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7.xml" ContentType="application/vnd.openxmlformats-officedocument.spreadsheetml.work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78B38032-A2ED-4ABD-A5B0-DE35964FB56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T energie vecteurs" sheetId="13" r:id="rId1"/>
    <sheet name="T energie usages" sheetId="16" r:id="rId2"/>
    <sheet name="T transport" sheetId="32" r:id="rId3"/>
    <sheet name="Résultats" sheetId="2" r:id="rId4"/>
    <sheet name="T CO2" sheetId="31" r:id="rId5"/>
    <sheet name="T logement" sheetId="14" r:id="rId6"/>
    <sheet name="G energie" sheetId="27" r:id="rId7"/>
    <sheet name="G mix energie" sheetId="30" r:id="rId8"/>
    <sheet name="G mix élec" sheetId="22" r:id="rId9"/>
    <sheet name="G mix carb" sheetId="23" r:id="rId10"/>
    <sheet name="G mix gaz" sheetId="24" r:id="rId11"/>
    <sheet name="G CO2" sheetId="26" r:id="rId12"/>
    <sheet name="T parc auto" sheetId="25" r:id="rId13"/>
    <sheet name="G parc auto total" sheetId="28" r:id="rId14"/>
    <sheet name="G parc elec" sheetId="29" r:id="rId15"/>
    <sheet name="G parc auto" sheetId="19" r:id="rId16"/>
    <sheet name="G parc logt" sheetId="20" r:id="rId17"/>
    <sheet name="Table Graphs" sheetId="33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xlnm.Print_Area" localSheetId="12">'T parc auto'!$C$26:$AM$107</definedName>
    <definedName name="_xlnm.Print_Area" localSheetId="2">'T transport'!$B$1:$AU$32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8" i="16" l="1"/>
  <c r="Q58" i="16"/>
  <c r="P58" i="16"/>
  <c r="O58" i="16"/>
  <c r="R57" i="16"/>
  <c r="P57" i="16"/>
  <c r="O57" i="16"/>
  <c r="S57" i="16" s="1"/>
  <c r="R56" i="16"/>
  <c r="R55" i="16" s="1"/>
  <c r="Q56" i="16"/>
  <c r="Q55" i="16" s="1"/>
  <c r="P56" i="16"/>
  <c r="P55" i="16" s="1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R42" i="16" s="1"/>
  <c r="Q43" i="16"/>
  <c r="Q42" i="16" s="1"/>
  <c r="P43" i="16"/>
  <c r="P42" i="16" s="1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K58" i="16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K53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K40" i="16"/>
  <c r="J40" i="16"/>
  <c r="I40" i="16"/>
  <c r="H40" i="16"/>
  <c r="K39" i="16"/>
  <c r="J39" i="16"/>
  <c r="I39" i="16"/>
  <c r="H39" i="16"/>
  <c r="K38" i="16"/>
  <c r="J38" i="16"/>
  <c r="I38" i="16"/>
  <c r="H38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K105" i="16"/>
  <c r="J105" i="16"/>
  <c r="I105" i="16"/>
  <c r="H105" i="16"/>
  <c r="K104" i="16"/>
  <c r="J104" i="16"/>
  <c r="I104" i="16"/>
  <c r="H104" i="16"/>
  <c r="K103" i="16"/>
  <c r="J103" i="16"/>
  <c r="I103" i="16"/>
  <c r="H103" i="16"/>
  <c r="AU20" i="32"/>
  <c r="AA20" i="32"/>
  <c r="Q20" i="32"/>
  <c r="AU17" i="32"/>
  <c r="AA17" i="32"/>
  <c r="Q17" i="32"/>
  <c r="BB10" i="32"/>
  <c r="BB9" i="32"/>
  <c r="BB8" i="32"/>
  <c r="BB7" i="32"/>
  <c r="S37" i="16" l="1"/>
  <c r="S41" i="16"/>
  <c r="S45" i="16"/>
  <c r="S54" i="16"/>
  <c r="H50" i="16"/>
  <c r="K102" i="16"/>
  <c r="I37" i="16"/>
  <c r="L110" i="16"/>
  <c r="L40" i="16"/>
  <c r="R59" i="16"/>
  <c r="Q46" i="16"/>
  <c r="S44" i="16"/>
  <c r="S58" i="16"/>
  <c r="S53" i="16"/>
  <c r="O55" i="16"/>
  <c r="S55" i="16" s="1"/>
  <c r="Q59" i="16"/>
  <c r="S43" i="16"/>
  <c r="R46" i="16"/>
  <c r="S56" i="16"/>
  <c r="L39" i="16"/>
  <c r="L54" i="16"/>
  <c r="L41" i="16"/>
  <c r="I102" i="16"/>
  <c r="L52" i="16"/>
  <c r="I107" i="16"/>
  <c r="L38" i="16"/>
  <c r="L45" i="16"/>
  <c r="L53" i="16"/>
  <c r="L57" i="16"/>
  <c r="I55" i="16"/>
  <c r="L51" i="16"/>
  <c r="L58" i="16"/>
  <c r="J37" i="16"/>
  <c r="J42" i="16"/>
  <c r="J50" i="16"/>
  <c r="K37" i="16"/>
  <c r="K42" i="16"/>
  <c r="L44" i="16"/>
  <c r="H55" i="16"/>
  <c r="J107" i="16"/>
  <c r="I42" i="16"/>
  <c r="H102" i="16"/>
  <c r="K107" i="16"/>
  <c r="J55" i="16"/>
  <c r="L105" i="16"/>
  <c r="H107" i="16"/>
  <c r="K50" i="16"/>
  <c r="K55" i="16"/>
  <c r="P59" i="16"/>
  <c r="S50" i="16"/>
  <c r="O59" i="16"/>
  <c r="P46" i="16"/>
  <c r="O42" i="16"/>
  <c r="S42" i="16" s="1"/>
  <c r="S40" i="16"/>
  <c r="I50" i="16"/>
  <c r="H42" i="16"/>
  <c r="L43" i="16"/>
  <c r="H37" i="16"/>
  <c r="L106" i="16"/>
  <c r="L56" i="16"/>
  <c r="J102" i="16"/>
  <c r="L109" i="16"/>
  <c r="L104" i="16"/>
  <c r="L103" i="16"/>
  <c r="L108" i="16"/>
  <c r="BD10" i="32"/>
  <c r="BD9" i="32"/>
  <c r="BD8" i="32"/>
  <c r="BD7" i="32"/>
  <c r="BC10" i="32"/>
  <c r="BC9" i="32"/>
  <c r="BC8" i="32"/>
  <c r="BC7" i="32"/>
  <c r="AU6" i="32"/>
  <c r="AA6" i="32"/>
  <c r="Q6" i="32"/>
  <c r="AU9" i="32"/>
  <c r="AA9" i="32"/>
  <c r="Q9" i="32"/>
  <c r="S59" i="16" l="1"/>
  <c r="I111" i="16"/>
  <c r="K111" i="16"/>
  <c r="H111" i="16"/>
  <c r="I46" i="16"/>
  <c r="J111" i="16"/>
  <c r="K46" i="16"/>
  <c r="L42" i="16"/>
  <c r="L107" i="16"/>
  <c r="I59" i="16"/>
  <c r="K59" i="16"/>
  <c r="J59" i="16"/>
  <c r="L102" i="16"/>
  <c r="J46" i="16"/>
  <c r="L55" i="16"/>
  <c r="H59" i="16"/>
  <c r="O46" i="16"/>
  <c r="S46" i="16" s="1"/>
  <c r="L50" i="16"/>
  <c r="L37" i="16"/>
  <c r="H46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A58" i="32"/>
  <c r="A36" i="32"/>
  <c r="A1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A4" i="32" s="1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U4" i="32" s="1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R6" i="32"/>
  <c r="S6" i="32"/>
  <c r="T6" i="32"/>
  <c r="U6" i="32"/>
  <c r="V6" i="32"/>
  <c r="W6" i="32"/>
  <c r="X6" i="32"/>
  <c r="Y6" i="32"/>
  <c r="Z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Q8" i="32"/>
  <c r="Q7" i="32" s="1"/>
  <c r="R8" i="32"/>
  <c r="S8" i="32"/>
  <c r="T8" i="32"/>
  <c r="U8" i="32"/>
  <c r="V8" i="32"/>
  <c r="W8" i="32"/>
  <c r="X8" i="32"/>
  <c r="Y8" i="32"/>
  <c r="Z8" i="32"/>
  <c r="AA8" i="32"/>
  <c r="AA7" i="32" s="1"/>
  <c r="AB8" i="32"/>
  <c r="AC8" i="32"/>
  <c r="AD8" i="32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U7" i="32" s="1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R9" i="32"/>
  <c r="S9" i="32"/>
  <c r="T9" i="32"/>
  <c r="U9" i="32"/>
  <c r="V9" i="32"/>
  <c r="W9" i="32"/>
  <c r="X9" i="32"/>
  <c r="Y9" i="32"/>
  <c r="Z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C14" i="32"/>
  <c r="D14" i="32"/>
  <c r="E14" i="32"/>
  <c r="F14" i="32"/>
  <c r="G14" i="32"/>
  <c r="H14" i="32"/>
  <c r="I14" i="32"/>
  <c r="J14" i="32"/>
  <c r="K14" i="32"/>
  <c r="L14" i="32"/>
  <c r="M14" i="32"/>
  <c r="N14" i="32"/>
  <c r="O14" i="32"/>
  <c r="P14" i="32"/>
  <c r="Q14" i="32"/>
  <c r="R14" i="32"/>
  <c r="S14" i="32"/>
  <c r="T14" i="32"/>
  <c r="U14" i="32"/>
  <c r="V14" i="32"/>
  <c r="W14" i="32"/>
  <c r="X14" i="32"/>
  <c r="Y14" i="32"/>
  <c r="Z14" i="32"/>
  <c r="AA14" i="32"/>
  <c r="AB14" i="32"/>
  <c r="AC14" i="32"/>
  <c r="AD14" i="32"/>
  <c r="AE14" i="32"/>
  <c r="AF14" i="32"/>
  <c r="AG14" i="32"/>
  <c r="AH14" i="32"/>
  <c r="AI14" i="32"/>
  <c r="AJ14" i="32"/>
  <c r="AK14" i="32"/>
  <c r="AL14" i="32"/>
  <c r="AM14" i="32"/>
  <c r="AN14" i="32"/>
  <c r="AO14" i="32"/>
  <c r="AP14" i="32"/>
  <c r="AQ14" i="32"/>
  <c r="AR14" i="32"/>
  <c r="AS14" i="32"/>
  <c r="AT14" i="32"/>
  <c r="AU14" i="32"/>
  <c r="C15" i="32"/>
  <c r="D15" i="32"/>
  <c r="E15" i="32"/>
  <c r="F15" i="32"/>
  <c r="G15" i="32"/>
  <c r="H15" i="32"/>
  <c r="I15" i="32"/>
  <c r="J15" i="32"/>
  <c r="K15" i="32"/>
  <c r="L15" i="32"/>
  <c r="M15" i="32"/>
  <c r="N15" i="32"/>
  <c r="O15" i="32"/>
  <c r="P15" i="32"/>
  <c r="Q15" i="32"/>
  <c r="R15" i="32"/>
  <c r="S15" i="32"/>
  <c r="T15" i="32"/>
  <c r="U15" i="32"/>
  <c r="V15" i="32"/>
  <c r="W15" i="32"/>
  <c r="X15" i="32"/>
  <c r="Y15" i="32"/>
  <c r="Z15" i="32"/>
  <c r="AA15" i="32"/>
  <c r="AB15" i="32"/>
  <c r="AC15" i="32"/>
  <c r="AD15" i="32"/>
  <c r="AE15" i="32"/>
  <c r="AF15" i="32"/>
  <c r="AG15" i="32"/>
  <c r="AH15" i="32"/>
  <c r="AI15" i="32"/>
  <c r="AJ15" i="32"/>
  <c r="AK15" i="32"/>
  <c r="AL15" i="32"/>
  <c r="AM15" i="32"/>
  <c r="AN15" i="32"/>
  <c r="AO15" i="32"/>
  <c r="AP15" i="32"/>
  <c r="AQ15" i="32"/>
  <c r="AR15" i="32"/>
  <c r="AS15" i="32"/>
  <c r="AT15" i="32"/>
  <c r="AU15" i="32"/>
  <c r="C16" i="32"/>
  <c r="D16" i="32"/>
  <c r="E16" i="32"/>
  <c r="F16" i="32"/>
  <c r="G16" i="32"/>
  <c r="H16" i="32"/>
  <c r="I16" i="32"/>
  <c r="J16" i="32"/>
  <c r="K16" i="32"/>
  <c r="L16" i="32"/>
  <c r="M16" i="32"/>
  <c r="N16" i="32"/>
  <c r="O16" i="32"/>
  <c r="P16" i="32"/>
  <c r="Q16" i="32"/>
  <c r="R16" i="32"/>
  <c r="S16" i="32"/>
  <c r="T16" i="32"/>
  <c r="U16" i="32"/>
  <c r="V16" i="32"/>
  <c r="W16" i="32"/>
  <c r="X16" i="32"/>
  <c r="Y16" i="32"/>
  <c r="Z16" i="32"/>
  <c r="AA16" i="32"/>
  <c r="AB16" i="32"/>
  <c r="AC16" i="32"/>
  <c r="AD16" i="32"/>
  <c r="AE16" i="32"/>
  <c r="AF16" i="32"/>
  <c r="AG16" i="32"/>
  <c r="AH16" i="32"/>
  <c r="AI16" i="32"/>
  <c r="AJ16" i="32"/>
  <c r="AK16" i="32"/>
  <c r="AL16" i="32"/>
  <c r="AM16" i="32"/>
  <c r="AN16" i="32"/>
  <c r="AO16" i="32"/>
  <c r="AP16" i="32"/>
  <c r="AQ16" i="32"/>
  <c r="AR16" i="32"/>
  <c r="AS16" i="32"/>
  <c r="AT16" i="32"/>
  <c r="AU16" i="32"/>
  <c r="C17" i="32"/>
  <c r="D17" i="32"/>
  <c r="E17" i="32"/>
  <c r="F17" i="32"/>
  <c r="G17" i="32"/>
  <c r="H17" i="32"/>
  <c r="I17" i="32"/>
  <c r="J17" i="32"/>
  <c r="K17" i="32"/>
  <c r="L17" i="32"/>
  <c r="M17" i="32"/>
  <c r="N17" i="32"/>
  <c r="O17" i="32"/>
  <c r="P17" i="32"/>
  <c r="R17" i="32"/>
  <c r="S17" i="32"/>
  <c r="T17" i="32"/>
  <c r="U17" i="32"/>
  <c r="V17" i="32"/>
  <c r="W17" i="32"/>
  <c r="X17" i="32"/>
  <c r="Y17" i="32"/>
  <c r="Z17" i="32"/>
  <c r="AB17" i="32"/>
  <c r="AC17" i="32"/>
  <c r="AD17" i="32"/>
  <c r="AE17" i="32"/>
  <c r="AF17" i="32"/>
  <c r="AG17" i="32"/>
  <c r="AH17" i="32"/>
  <c r="AI17" i="32"/>
  <c r="AJ17" i="32"/>
  <c r="AK17" i="32"/>
  <c r="AL17" i="32"/>
  <c r="AM17" i="32"/>
  <c r="AN17" i="32"/>
  <c r="AO17" i="32"/>
  <c r="AP17" i="32"/>
  <c r="AQ17" i="32"/>
  <c r="AR17" i="32"/>
  <c r="AS17" i="32"/>
  <c r="AT17" i="32"/>
  <c r="C18" i="32"/>
  <c r="D18" i="32"/>
  <c r="E18" i="32"/>
  <c r="F18" i="32"/>
  <c r="G18" i="32"/>
  <c r="H18" i="32"/>
  <c r="I18" i="32"/>
  <c r="J18" i="32"/>
  <c r="K18" i="32"/>
  <c r="L18" i="32"/>
  <c r="M18" i="32"/>
  <c r="N18" i="32"/>
  <c r="O18" i="32"/>
  <c r="P18" i="32"/>
  <c r="Q18" i="32"/>
  <c r="R18" i="32"/>
  <c r="S18" i="32"/>
  <c r="T18" i="32"/>
  <c r="U18" i="32"/>
  <c r="V18" i="32"/>
  <c r="W18" i="32"/>
  <c r="X18" i="32"/>
  <c r="Y18" i="32"/>
  <c r="Z18" i="32"/>
  <c r="AA18" i="32"/>
  <c r="AB18" i="32"/>
  <c r="AC18" i="32"/>
  <c r="AD18" i="32"/>
  <c r="AE18" i="32"/>
  <c r="AF18" i="32"/>
  <c r="AG18" i="32"/>
  <c r="AH18" i="32"/>
  <c r="AI18" i="32"/>
  <c r="AJ18" i="32"/>
  <c r="AK18" i="32"/>
  <c r="AL18" i="32"/>
  <c r="AM18" i="32"/>
  <c r="AN18" i="32"/>
  <c r="AO18" i="32"/>
  <c r="AP18" i="32"/>
  <c r="AQ18" i="32"/>
  <c r="AR18" i="32"/>
  <c r="AS18" i="32"/>
  <c r="AT18" i="32"/>
  <c r="AU18" i="32"/>
  <c r="C19" i="32"/>
  <c r="D19" i="32"/>
  <c r="E19" i="32"/>
  <c r="F19" i="32"/>
  <c r="G19" i="32"/>
  <c r="H19" i="32"/>
  <c r="I19" i="32"/>
  <c r="J19" i="32"/>
  <c r="K19" i="32"/>
  <c r="L19" i="32"/>
  <c r="M19" i="32"/>
  <c r="N19" i="32"/>
  <c r="O19" i="32"/>
  <c r="P19" i="32"/>
  <c r="Q19" i="32"/>
  <c r="R19" i="32"/>
  <c r="S19" i="32"/>
  <c r="T19" i="32"/>
  <c r="U19" i="32"/>
  <c r="V19" i="32"/>
  <c r="W19" i="32"/>
  <c r="X19" i="32"/>
  <c r="Y19" i="32"/>
  <c r="Z19" i="32"/>
  <c r="AA19" i="32"/>
  <c r="AB19" i="32"/>
  <c r="AC19" i="32"/>
  <c r="AD19" i="32"/>
  <c r="AE19" i="32"/>
  <c r="AF19" i="32"/>
  <c r="AG19" i="32"/>
  <c r="AH19" i="32"/>
  <c r="AI19" i="32"/>
  <c r="AJ19" i="32"/>
  <c r="AK19" i="32"/>
  <c r="AL19" i="32"/>
  <c r="AM19" i="32"/>
  <c r="AN19" i="32"/>
  <c r="AO19" i="32"/>
  <c r="AP19" i="32"/>
  <c r="AQ19" i="32"/>
  <c r="AR19" i="32"/>
  <c r="AS19" i="32"/>
  <c r="AT19" i="32"/>
  <c r="AU19" i="32"/>
  <c r="C20" i="32"/>
  <c r="D20" i="32"/>
  <c r="E20" i="32"/>
  <c r="F20" i="32"/>
  <c r="G20" i="32"/>
  <c r="H20" i="32"/>
  <c r="I20" i="32"/>
  <c r="J20" i="32"/>
  <c r="K20" i="32"/>
  <c r="L20" i="32"/>
  <c r="M20" i="32"/>
  <c r="N20" i="32"/>
  <c r="O20" i="32"/>
  <c r="P20" i="32"/>
  <c r="R20" i="32"/>
  <c r="S20" i="32"/>
  <c r="T20" i="32"/>
  <c r="U20" i="32"/>
  <c r="V20" i="32"/>
  <c r="W20" i="32"/>
  <c r="X20" i="32"/>
  <c r="Y20" i="32"/>
  <c r="Z20" i="32"/>
  <c r="AB20" i="32"/>
  <c r="AC20" i="32"/>
  <c r="AD20" i="32"/>
  <c r="AE20" i="32"/>
  <c r="AF20" i="32"/>
  <c r="AG20" i="32"/>
  <c r="AH20" i="32"/>
  <c r="AI20" i="32"/>
  <c r="AJ20" i="32"/>
  <c r="AK20" i="32"/>
  <c r="AL20" i="32"/>
  <c r="AM20" i="32"/>
  <c r="AN20" i="32"/>
  <c r="AO20" i="32"/>
  <c r="AP20" i="32"/>
  <c r="AQ20" i="32"/>
  <c r="AR20" i="32"/>
  <c r="AS20" i="32"/>
  <c r="AT20" i="32"/>
  <c r="A23" i="32"/>
  <c r="H29" i="31"/>
  <c r="T2" i="14"/>
  <c r="X2" i="25"/>
  <c r="T2" i="25"/>
  <c r="L111" i="16" l="1"/>
  <c r="L59" i="16"/>
  <c r="L46" i="16"/>
  <c r="AJ7" i="32"/>
  <c r="AO4" i="32"/>
  <c r="AI7" i="32"/>
  <c r="AN4" i="32"/>
  <c r="AB4" i="32"/>
  <c r="AT7" i="32"/>
  <c r="AH7" i="32"/>
  <c r="V7" i="32"/>
  <c r="AM4" i="32"/>
  <c r="Z4" i="32"/>
  <c r="AS7" i="32"/>
  <c r="AG7" i="32"/>
  <c r="AL4" i="32"/>
  <c r="AR7" i="32"/>
  <c r="AF7" i="32"/>
  <c r="T7" i="32"/>
  <c r="AK4" i="32"/>
  <c r="Y4" i="32"/>
  <c r="X4" i="32"/>
  <c r="S7" i="32"/>
  <c r="X7" i="32"/>
  <c r="AC4" i="32"/>
  <c r="W7" i="32"/>
  <c r="AQ7" i="32"/>
  <c r="AE7" i="32"/>
  <c r="AJ4" i="32"/>
  <c r="AP7" i="32"/>
  <c r="AD7" i="32"/>
  <c r="AI4" i="32"/>
  <c r="W4" i="32"/>
  <c r="V4" i="32"/>
  <c r="Q4" i="32"/>
  <c r="AX3" i="32" s="1"/>
  <c r="Q10" i="32"/>
  <c r="U7" i="32"/>
  <c r="R7" i="32"/>
  <c r="AO7" i="32"/>
  <c r="AC7" i="32"/>
  <c r="AT4" i="32"/>
  <c r="AH4" i="32"/>
  <c r="AN7" i="32"/>
  <c r="AB7" i="32"/>
  <c r="AS4" i="32"/>
  <c r="AG4" i="32"/>
  <c r="U4" i="32"/>
  <c r="AM7" i="32"/>
  <c r="AR4" i="32"/>
  <c r="AF4" i="32"/>
  <c r="T4" i="32"/>
  <c r="AL7" i="32"/>
  <c r="Z7" i="32"/>
  <c r="AQ4" i="32"/>
  <c r="AE4" i="32"/>
  <c r="S4" i="32"/>
  <c r="AK7" i="32"/>
  <c r="Y7" i="32"/>
  <c r="AP4" i="32"/>
  <c r="AD4" i="32"/>
  <c r="R4" i="32"/>
  <c r="AP31" i="32"/>
  <c r="AD31" i="32"/>
  <c r="R31" i="32"/>
  <c r="F31" i="32"/>
  <c r="AM30" i="32"/>
  <c r="AA30" i="32"/>
  <c r="O30" i="32"/>
  <c r="C30" i="32"/>
  <c r="AS28" i="32"/>
  <c r="AG28" i="32"/>
  <c r="AP27" i="32"/>
  <c r="AD27" i="32"/>
  <c r="R27" i="32"/>
  <c r="F27" i="32"/>
  <c r="L25" i="32"/>
  <c r="AS25" i="32"/>
  <c r="AG25" i="32"/>
  <c r="U25" i="32"/>
  <c r="I25" i="32"/>
  <c r="AL31" i="32"/>
  <c r="Z31" i="32"/>
  <c r="Z10" i="32"/>
  <c r="D30" i="32"/>
  <c r="M31" i="32"/>
  <c r="V30" i="32"/>
  <c r="AK27" i="32"/>
  <c r="Y10" i="32"/>
  <c r="AE25" i="32"/>
  <c r="AD25" i="32"/>
  <c r="AT28" i="32"/>
  <c r="AH21" i="32"/>
  <c r="AG31" i="32"/>
  <c r="U31" i="32"/>
  <c r="AP30" i="32"/>
  <c r="AD30" i="32"/>
  <c r="R30" i="32"/>
  <c r="F30" i="32"/>
  <c r="X28" i="32"/>
  <c r="AS27" i="32"/>
  <c r="AG27" i="32"/>
  <c r="I27" i="32"/>
  <c r="AA25" i="32"/>
  <c r="O25" i="32"/>
  <c r="C25" i="32"/>
  <c r="AR31" i="32"/>
  <c r="AF31" i="32"/>
  <c r="T31" i="32"/>
  <c r="H31" i="32"/>
  <c r="AO30" i="32"/>
  <c r="AC30" i="32"/>
  <c r="Q30" i="32"/>
  <c r="AU28" i="32"/>
  <c r="AI28" i="32"/>
  <c r="W28" i="32"/>
  <c r="K28" i="32"/>
  <c r="AR27" i="32"/>
  <c r="AF27" i="32"/>
  <c r="AL25" i="32"/>
  <c r="Z25" i="32"/>
  <c r="N25" i="32"/>
  <c r="AS10" i="32"/>
  <c r="AG10" i="32"/>
  <c r="U10" i="32"/>
  <c r="I10" i="32"/>
  <c r="S31" i="32"/>
  <c r="AN30" i="32"/>
  <c r="AH28" i="32"/>
  <c r="V28" i="32"/>
  <c r="J28" i="32"/>
  <c r="AE27" i="32"/>
  <c r="AS31" i="32"/>
  <c r="I31" i="32"/>
  <c r="AM25" i="32"/>
  <c r="N31" i="32"/>
  <c r="AU30" i="32"/>
  <c r="AI30" i="32"/>
  <c r="W30" i="32"/>
  <c r="K30" i="32"/>
  <c r="AO28" i="32"/>
  <c r="N10" i="32"/>
  <c r="S21" i="32"/>
  <c r="G21" i="32"/>
  <c r="H21" i="32"/>
  <c r="T21" i="32"/>
  <c r="AC28" i="32"/>
  <c r="E28" i="32"/>
  <c r="AL27" i="32"/>
  <c r="Z27" i="32"/>
  <c r="AR25" i="32"/>
  <c r="AF25" i="32"/>
  <c r="T25" i="32"/>
  <c r="H25" i="32"/>
  <c r="S27" i="32"/>
  <c r="T27" i="32"/>
  <c r="N27" i="32"/>
  <c r="O28" i="32"/>
  <c r="AJ27" i="32"/>
  <c r="AP25" i="32"/>
  <c r="AG21" i="32"/>
  <c r="AE21" i="32"/>
  <c r="AK31" i="32"/>
  <c r="AT30" i="32"/>
  <c r="AB28" i="32"/>
  <c r="P28" i="32"/>
  <c r="G25" i="32"/>
  <c r="AS21" i="32"/>
  <c r="I21" i="32"/>
  <c r="H27" i="32"/>
  <c r="AJ28" i="32"/>
  <c r="U30" i="32"/>
  <c r="AA28" i="32"/>
  <c r="AJ21" i="32"/>
  <c r="AF21" i="32"/>
  <c r="AO25" i="32"/>
  <c r="Q25" i="32"/>
  <c r="E25" i="32"/>
  <c r="AU2" i="32"/>
  <c r="AI25" i="32"/>
  <c r="K2" i="32"/>
  <c r="K54" i="32" s="1"/>
  <c r="V25" i="32"/>
  <c r="J25" i="32"/>
  <c r="L30" i="32"/>
  <c r="AD28" i="32"/>
  <c r="O10" i="32"/>
  <c r="X30" i="32"/>
  <c r="AM27" i="32"/>
  <c r="AM10" i="32"/>
  <c r="AA27" i="32"/>
  <c r="AA10" i="32"/>
  <c r="C27" i="32"/>
  <c r="C10" i="32"/>
  <c r="C28" i="32"/>
  <c r="L21" i="32"/>
  <c r="AP13" i="32"/>
  <c r="F13" i="32"/>
  <c r="F25" i="32"/>
  <c r="AJ31" i="32"/>
  <c r="O27" i="32"/>
  <c r="AT21" i="32"/>
  <c r="V21" i="32"/>
  <c r="AL10" i="32"/>
  <c r="AO10" i="32"/>
  <c r="AC10" i="32"/>
  <c r="E10" i="32"/>
  <c r="AY3" i="32"/>
  <c r="AK25" i="32"/>
  <c r="Y25" i="32"/>
  <c r="M2" i="32"/>
  <c r="M55" i="32" s="1"/>
  <c r="M25" i="32"/>
  <c r="L27" i="32"/>
  <c r="AK10" i="32"/>
  <c r="M10" i="32"/>
  <c r="AN10" i="32"/>
  <c r="AB10" i="32"/>
  <c r="P10" i="32"/>
  <c r="D10" i="32"/>
  <c r="AJ25" i="32"/>
  <c r="X25" i="32"/>
  <c r="L2" i="32"/>
  <c r="L53" i="32" s="1"/>
  <c r="AM31" i="32"/>
  <c r="R28" i="32"/>
  <c r="AM28" i="32"/>
  <c r="AG30" i="32"/>
  <c r="O31" i="32"/>
  <c r="C31" i="32"/>
  <c r="AJ30" i="32"/>
  <c r="AP28" i="32"/>
  <c r="AN28" i="32"/>
  <c r="D28" i="32"/>
  <c r="Y27" i="32"/>
  <c r="M27" i="32"/>
  <c r="AQ13" i="32"/>
  <c r="AQ25" i="32"/>
  <c r="AE13" i="32"/>
  <c r="S13" i="32"/>
  <c r="S25" i="32"/>
  <c r="G13" i="32"/>
  <c r="F28" i="32"/>
  <c r="AA31" i="32"/>
  <c r="J30" i="32"/>
  <c r="J21" i="32"/>
  <c r="X31" i="32"/>
  <c r="L31" i="32"/>
  <c r="X21" i="32"/>
  <c r="X27" i="32"/>
  <c r="AD13" i="32"/>
  <c r="U21" i="32"/>
  <c r="R13" i="32"/>
  <c r="AZ14" i="32"/>
  <c r="AU21" i="32"/>
  <c r="AI21" i="32"/>
  <c r="W21" i="32"/>
  <c r="K21" i="32"/>
  <c r="AC13" i="32"/>
  <c r="AU31" i="32"/>
  <c r="AR21" i="32"/>
  <c r="Q31" i="32"/>
  <c r="Z21" i="32"/>
  <c r="AR28" i="32"/>
  <c r="T28" i="32"/>
  <c r="AC21" i="32"/>
  <c r="E21" i="32"/>
  <c r="K13" i="32"/>
  <c r="AH31" i="32"/>
  <c r="AQ30" i="32"/>
  <c r="Y28" i="32"/>
  <c r="AT27" i="32"/>
  <c r="V27" i="32"/>
  <c r="I30" i="32"/>
  <c r="AY14" i="32"/>
  <c r="AS13" i="32"/>
  <c r="AG13" i="32"/>
  <c r="U13" i="32"/>
  <c r="I13" i="32"/>
  <c r="AS30" i="32"/>
  <c r="E30" i="32"/>
  <c r="Q28" i="32"/>
  <c r="AQ27" i="32"/>
  <c r="AZ13" i="32"/>
  <c r="AR13" i="32"/>
  <c r="AF13" i="32"/>
  <c r="T13" i="32"/>
  <c r="H13" i="32"/>
  <c r="P30" i="32"/>
  <c r="AE31" i="32"/>
  <c r="I28" i="32"/>
  <c r="AZ2" i="32"/>
  <c r="AX13" i="32"/>
  <c r="AL13" i="32"/>
  <c r="Z13" i="32"/>
  <c r="N13" i="32"/>
  <c r="Y31" i="32"/>
  <c r="AH30" i="32"/>
  <c r="P13" i="32"/>
  <c r="AK13" i="32"/>
  <c r="Y13" i="32"/>
  <c r="M13" i="32"/>
  <c r="AM21" i="32"/>
  <c r="O21" i="32"/>
  <c r="AP21" i="32"/>
  <c r="R21" i="32"/>
  <c r="F21" i="32"/>
  <c r="AJ13" i="32"/>
  <c r="X13" i="32"/>
  <c r="W31" i="32"/>
  <c r="K31" i="32"/>
  <c r="AR30" i="32"/>
  <c r="AF30" i="32"/>
  <c r="T30" i="32"/>
  <c r="H30" i="32"/>
  <c r="AX2" i="32"/>
  <c r="AL28" i="32"/>
  <c r="Z28" i="32"/>
  <c r="N28" i="32"/>
  <c r="AZ3" i="32"/>
  <c r="AI27" i="32"/>
  <c r="W27" i="32"/>
  <c r="K27" i="32"/>
  <c r="AA21" i="32"/>
  <c r="C21" i="32"/>
  <c r="AD21" i="32"/>
  <c r="L13" i="32"/>
  <c r="AO31" i="32"/>
  <c r="AC31" i="32"/>
  <c r="AL21" i="32"/>
  <c r="N21" i="32"/>
  <c r="AF28" i="32"/>
  <c r="AO21" i="32"/>
  <c r="AX14" i="32"/>
  <c r="AI13" i="32"/>
  <c r="V31" i="32"/>
  <c r="AE30" i="32"/>
  <c r="G30" i="32"/>
  <c r="AK28" i="32"/>
  <c r="AH27" i="32"/>
  <c r="J27" i="32"/>
  <c r="R25" i="32"/>
  <c r="AI31" i="32"/>
  <c r="E31" i="32"/>
  <c r="H28" i="32"/>
  <c r="AU13" i="32"/>
  <c r="W13" i="32"/>
  <c r="AT31" i="32"/>
  <c r="J31" i="32"/>
  <c r="S30" i="32"/>
  <c r="M28" i="32"/>
  <c r="AB30" i="32"/>
  <c r="U28" i="32"/>
  <c r="G27" i="32"/>
  <c r="AQ21" i="32"/>
  <c r="AN31" i="32"/>
  <c r="AB31" i="32"/>
  <c r="P31" i="32"/>
  <c r="D31" i="32"/>
  <c r="AK21" i="32"/>
  <c r="Y21" i="32"/>
  <c r="M21" i="32"/>
  <c r="AQ28" i="32"/>
  <c r="AE28" i="32"/>
  <c r="S28" i="32"/>
  <c r="G28" i="32"/>
  <c r="AN21" i="32"/>
  <c r="AB21" i="32"/>
  <c r="P21" i="32"/>
  <c r="D21" i="32"/>
  <c r="AT13" i="32"/>
  <c r="AH13" i="32"/>
  <c r="V13" i="32"/>
  <c r="J13" i="32"/>
  <c r="AP10" i="32"/>
  <c r="AD10" i="32"/>
  <c r="R10" i="32"/>
  <c r="F10" i="32"/>
  <c r="AY2" i="32"/>
  <c r="L28" i="32"/>
  <c r="U27" i="32"/>
  <c r="AN25" i="32"/>
  <c r="AB25" i="32"/>
  <c r="P25" i="32"/>
  <c r="D25" i="32"/>
  <c r="AA2" i="32"/>
  <c r="O2" i="32"/>
  <c r="O44" i="32" s="1"/>
  <c r="C2" i="32"/>
  <c r="C40" i="32" s="1"/>
  <c r="AQ31" i="32"/>
  <c r="G31" i="32"/>
  <c r="AM13" i="32"/>
  <c r="AA13" i="32"/>
  <c r="O13" i="32"/>
  <c r="C13" i="32"/>
  <c r="N2" i="32"/>
  <c r="I2" i="32"/>
  <c r="I42" i="32" s="1"/>
  <c r="AJ10" i="32"/>
  <c r="X10" i="32"/>
  <c r="L10" i="32"/>
  <c r="H2" i="32"/>
  <c r="H50" i="32" s="1"/>
  <c r="G2" i="32"/>
  <c r="G41" i="32" s="1"/>
  <c r="F2" i="32"/>
  <c r="F41" i="32" s="1"/>
  <c r="E2" i="32"/>
  <c r="E54" i="32" s="1"/>
  <c r="P2" i="32"/>
  <c r="P55" i="32" s="1"/>
  <c r="D2" i="32"/>
  <c r="D42" i="32" s="1"/>
  <c r="AO13" i="32"/>
  <c r="J2" i="32"/>
  <c r="J40" i="32" s="1"/>
  <c r="AL30" i="32"/>
  <c r="Z30" i="32"/>
  <c r="N30" i="32"/>
  <c r="AO27" i="32"/>
  <c r="AC27" i="32"/>
  <c r="Q27" i="32"/>
  <c r="E27" i="32"/>
  <c r="AU25" i="32"/>
  <c r="W25" i="32"/>
  <c r="K25" i="32"/>
  <c r="AB13" i="32"/>
  <c r="D13" i="32"/>
  <c r="AK30" i="32"/>
  <c r="Y30" i="32"/>
  <c r="M30" i="32"/>
  <c r="AN27" i="32"/>
  <c r="AB27" i="32"/>
  <c r="P27" i="32"/>
  <c r="D27" i="32"/>
  <c r="AT25" i="32"/>
  <c r="AH25" i="32"/>
  <c r="Q21" i="32"/>
  <c r="AU10" i="32"/>
  <c r="AZ4" i="32" s="1"/>
  <c r="AI10" i="32"/>
  <c r="W10" i="32"/>
  <c r="K10" i="32"/>
  <c r="Q13" i="32"/>
  <c r="AN13" i="32"/>
  <c r="AY13" i="32"/>
  <c r="AT10" i="32"/>
  <c r="AH10" i="32"/>
  <c r="V10" i="32"/>
  <c r="J10" i="32"/>
  <c r="E13" i="32"/>
  <c r="AR10" i="32"/>
  <c r="AF10" i="32"/>
  <c r="T10" i="32"/>
  <c r="H10" i="32"/>
  <c r="AQ10" i="32"/>
  <c r="AE10" i="32"/>
  <c r="S10" i="32"/>
  <c r="G10" i="32"/>
  <c r="AU27" i="32"/>
  <c r="AC25" i="32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AN2" i="32" l="1"/>
  <c r="AN40" i="32" s="1"/>
  <c r="AB2" i="32"/>
  <c r="AB50" i="32" s="1"/>
  <c r="AZ7" i="32"/>
  <c r="AZ8" i="32"/>
  <c r="AE2" i="32"/>
  <c r="AE40" i="32" s="1"/>
  <c r="AL2" i="32"/>
  <c r="AL39" i="32" s="1"/>
  <c r="AT2" i="32"/>
  <c r="AT50" i="32" s="1"/>
  <c r="AM2" i="32"/>
  <c r="AM50" i="32" s="1"/>
  <c r="T2" i="32"/>
  <c r="T50" i="32" s="1"/>
  <c r="AO2" i="32"/>
  <c r="AO43" i="32" s="1"/>
  <c r="AJ2" i="32"/>
  <c r="AJ51" i="32" s="1"/>
  <c r="AK2" i="32"/>
  <c r="AK41" i="32" s="1"/>
  <c r="AS2" i="32"/>
  <c r="AS54" i="32" s="1"/>
  <c r="W2" i="32"/>
  <c r="W41" i="32" s="1"/>
  <c r="AH2" i="32"/>
  <c r="AH43" i="32" s="1"/>
  <c r="Z2" i="32"/>
  <c r="Z43" i="32" s="1"/>
  <c r="AI2" i="32"/>
  <c r="AI24" i="32" s="1"/>
  <c r="AF2" i="32"/>
  <c r="AF54" i="32" s="1"/>
  <c r="AR2" i="32"/>
  <c r="AR53" i="32" s="1"/>
  <c r="AC2" i="32"/>
  <c r="AC52" i="32" s="1"/>
  <c r="Y2" i="32"/>
  <c r="Y43" i="32" s="1"/>
  <c r="AG2" i="32"/>
  <c r="AG50" i="32" s="1"/>
  <c r="V2" i="32"/>
  <c r="V54" i="32" s="1"/>
  <c r="X2" i="32"/>
  <c r="X39" i="32" s="1"/>
  <c r="S2" i="32"/>
  <c r="S41" i="32" s="1"/>
  <c r="AQ2" i="32"/>
  <c r="AQ40" i="32" s="1"/>
  <c r="AP2" i="32"/>
  <c r="AP53" i="32" s="1"/>
  <c r="AD2" i="32"/>
  <c r="AD41" i="32" s="1"/>
  <c r="AX4" i="32"/>
  <c r="U2" i="32"/>
  <c r="U50" i="32" s="1"/>
  <c r="R2" i="32"/>
  <c r="R41" i="32" s="1"/>
  <c r="Q2" i="32"/>
  <c r="AX8" i="32" s="1"/>
  <c r="R26" i="32"/>
  <c r="AA42" i="32"/>
  <c r="AY9" i="32"/>
  <c r="AY8" i="32"/>
  <c r="AU44" i="32"/>
  <c r="AZ9" i="32"/>
  <c r="AY7" i="32"/>
  <c r="F26" i="32"/>
  <c r="AD26" i="32"/>
  <c r="C29" i="32"/>
  <c r="AG26" i="32"/>
  <c r="AS26" i="32"/>
  <c r="C32" i="32"/>
  <c r="K32" i="32"/>
  <c r="K29" i="32"/>
  <c r="O29" i="32"/>
  <c r="W26" i="32"/>
  <c r="AM29" i="32"/>
  <c r="F29" i="32"/>
  <c r="R29" i="32"/>
  <c r="AD29" i="32"/>
  <c r="AP32" i="32"/>
  <c r="AM32" i="32"/>
  <c r="AA29" i="32"/>
  <c r="AP26" i="32"/>
  <c r="F32" i="32"/>
  <c r="V29" i="32"/>
  <c r="H29" i="32"/>
  <c r="AK26" i="32"/>
  <c r="AU24" i="32"/>
  <c r="L41" i="32"/>
  <c r="K39" i="32"/>
  <c r="J26" i="32"/>
  <c r="AC29" i="32"/>
  <c r="AO29" i="32"/>
  <c r="R32" i="32"/>
  <c r="K45" i="32"/>
  <c r="AI29" i="32"/>
  <c r="AH26" i="32"/>
  <c r="AL26" i="32"/>
  <c r="Q29" i="32"/>
  <c r="D29" i="32"/>
  <c r="AN29" i="32"/>
  <c r="AT26" i="32"/>
  <c r="K42" i="32"/>
  <c r="E24" i="32"/>
  <c r="U29" i="32"/>
  <c r="K40" i="32"/>
  <c r="AF26" i="32"/>
  <c r="V26" i="32"/>
  <c r="AR32" i="32"/>
  <c r="N24" i="32"/>
  <c r="T29" i="32"/>
  <c r="AD32" i="32"/>
  <c r="L55" i="32"/>
  <c r="H26" i="32"/>
  <c r="AE26" i="32"/>
  <c r="AP29" i="32"/>
  <c r="Z26" i="32"/>
  <c r="AR26" i="32"/>
  <c r="S29" i="32"/>
  <c r="AJ26" i="32"/>
  <c r="H45" i="32"/>
  <c r="AF29" i="32"/>
  <c r="O26" i="32"/>
  <c r="G32" i="32"/>
  <c r="N26" i="32"/>
  <c r="W29" i="32"/>
  <c r="I26" i="32"/>
  <c r="AU29" i="32"/>
  <c r="AI32" i="32"/>
  <c r="AH29" i="32"/>
  <c r="S26" i="32"/>
  <c r="D51" i="32"/>
  <c r="P51" i="32"/>
  <c r="AT29" i="32"/>
  <c r="AH32" i="32"/>
  <c r="P29" i="32"/>
  <c r="T26" i="32"/>
  <c r="AJ29" i="32"/>
  <c r="AQ32" i="32"/>
  <c r="AF32" i="32"/>
  <c r="D56" i="32"/>
  <c r="AQ26" i="32"/>
  <c r="E50" i="32"/>
  <c r="K41" i="32"/>
  <c r="K55" i="32"/>
  <c r="M26" i="32"/>
  <c r="J56" i="32"/>
  <c r="J32" i="32"/>
  <c r="AA26" i="32"/>
  <c r="P50" i="32"/>
  <c r="K52" i="32"/>
  <c r="K43" i="32"/>
  <c r="K65" i="32" s="1"/>
  <c r="K50" i="32"/>
  <c r="G29" i="32"/>
  <c r="L24" i="32"/>
  <c r="K24" i="32"/>
  <c r="L43" i="32"/>
  <c r="K53" i="32"/>
  <c r="K56" i="32"/>
  <c r="K44" i="32"/>
  <c r="G26" i="32"/>
  <c r="AE29" i="32"/>
  <c r="K51" i="32"/>
  <c r="F55" i="32"/>
  <c r="P24" i="32"/>
  <c r="AU41" i="32"/>
  <c r="AU54" i="32"/>
  <c r="J42" i="32"/>
  <c r="AU42" i="32"/>
  <c r="AU55" i="32"/>
  <c r="AX55" i="32" s="1"/>
  <c r="W32" i="32"/>
  <c r="I44" i="32"/>
  <c r="M54" i="32"/>
  <c r="AU40" i="32"/>
  <c r="E44" i="32"/>
  <c r="M56" i="32"/>
  <c r="M53" i="32"/>
  <c r="E29" i="32"/>
  <c r="AU50" i="32"/>
  <c r="C54" i="32"/>
  <c r="M51" i="32"/>
  <c r="AU39" i="32"/>
  <c r="AI26" i="32"/>
  <c r="AU52" i="32"/>
  <c r="D52" i="32"/>
  <c r="AU43" i="32"/>
  <c r="D45" i="32"/>
  <c r="P44" i="32"/>
  <c r="C50" i="32"/>
  <c r="AU51" i="32"/>
  <c r="AE32" i="32"/>
  <c r="AB29" i="32"/>
  <c r="AU53" i="32"/>
  <c r="I43" i="32"/>
  <c r="AJ32" i="32"/>
  <c r="P40" i="32"/>
  <c r="C52" i="32"/>
  <c r="K26" i="32"/>
  <c r="C24" i="32"/>
  <c r="V32" i="32"/>
  <c r="AR29" i="32"/>
  <c r="C42" i="32"/>
  <c r="M41" i="32"/>
  <c r="E55" i="32"/>
  <c r="P42" i="32"/>
  <c r="F51" i="32"/>
  <c r="E51" i="32"/>
  <c r="F56" i="32"/>
  <c r="O32" i="32"/>
  <c r="E56" i="32"/>
  <c r="L29" i="32"/>
  <c r="E53" i="32"/>
  <c r="F53" i="32"/>
  <c r="M50" i="32"/>
  <c r="D50" i="32"/>
  <c r="AA32" i="32"/>
  <c r="AY4" i="32"/>
  <c r="AA45" i="32"/>
  <c r="H41" i="32"/>
  <c r="H39" i="32"/>
  <c r="H61" i="32" s="1"/>
  <c r="N41" i="32"/>
  <c r="D54" i="32"/>
  <c r="H42" i="32"/>
  <c r="D40" i="32"/>
  <c r="L26" i="32"/>
  <c r="L32" i="32"/>
  <c r="N39" i="32"/>
  <c r="D53" i="32"/>
  <c r="AA40" i="32"/>
  <c r="AU45" i="32"/>
  <c r="S32" i="32"/>
  <c r="P43" i="32"/>
  <c r="P39" i="32"/>
  <c r="P41" i="32"/>
  <c r="I40" i="32"/>
  <c r="P56" i="32"/>
  <c r="P54" i="32"/>
  <c r="E39" i="32"/>
  <c r="N42" i="32"/>
  <c r="J29" i="32"/>
  <c r="P52" i="32"/>
  <c r="AA41" i="32"/>
  <c r="N44" i="32"/>
  <c r="P45" i="32"/>
  <c r="P53" i="32"/>
  <c r="J50" i="32"/>
  <c r="AX15" i="32"/>
  <c r="AT32" i="32"/>
  <c r="U26" i="32"/>
  <c r="U32" i="32"/>
  <c r="J53" i="32"/>
  <c r="H52" i="32"/>
  <c r="N54" i="32"/>
  <c r="I52" i="32"/>
  <c r="L52" i="32"/>
  <c r="L42" i="32"/>
  <c r="L64" i="32" s="1"/>
  <c r="L54" i="32"/>
  <c r="L50" i="32"/>
  <c r="L48" i="32" s="1"/>
  <c r="L40" i="32"/>
  <c r="L44" i="32"/>
  <c r="AM26" i="32"/>
  <c r="O42" i="32"/>
  <c r="G43" i="32"/>
  <c r="J45" i="32"/>
  <c r="H32" i="32"/>
  <c r="L45" i="32"/>
  <c r="F43" i="32"/>
  <c r="N56" i="32"/>
  <c r="C56" i="32"/>
  <c r="I45" i="32"/>
  <c r="G51" i="32"/>
  <c r="H51" i="32"/>
  <c r="X26" i="32"/>
  <c r="X32" i="32"/>
  <c r="F42" i="32"/>
  <c r="M45" i="32"/>
  <c r="I54" i="32"/>
  <c r="E45" i="32"/>
  <c r="G50" i="32"/>
  <c r="AA53" i="32"/>
  <c r="AA43" i="32"/>
  <c r="AA39" i="32"/>
  <c r="AA51" i="32"/>
  <c r="AA55" i="32"/>
  <c r="AW55" i="32" s="1"/>
  <c r="AA52" i="32"/>
  <c r="AA24" i="32"/>
  <c r="D43" i="32"/>
  <c r="D39" i="32"/>
  <c r="D41" i="32"/>
  <c r="D55" i="32"/>
  <c r="D24" i="32"/>
  <c r="F24" i="32"/>
  <c r="E52" i="32"/>
  <c r="E41" i="32"/>
  <c r="F45" i="32"/>
  <c r="AA54" i="32"/>
  <c r="G55" i="32"/>
  <c r="E43" i="32"/>
  <c r="E65" i="32" s="1"/>
  <c r="H54" i="32"/>
  <c r="G53" i="32"/>
  <c r="M43" i="32"/>
  <c r="E40" i="32"/>
  <c r="G54" i="32"/>
  <c r="X29" i="32"/>
  <c r="J24" i="32"/>
  <c r="J41" i="32"/>
  <c r="J43" i="32"/>
  <c r="J39" i="32"/>
  <c r="G24" i="32"/>
  <c r="T32" i="32"/>
  <c r="AY15" i="32"/>
  <c r="AA56" i="32"/>
  <c r="J52" i="32"/>
  <c r="H40" i="32"/>
  <c r="G56" i="32"/>
  <c r="C44" i="32"/>
  <c r="J51" i="32"/>
  <c r="J62" i="32" s="1"/>
  <c r="H56" i="32"/>
  <c r="J54" i="32"/>
  <c r="G45" i="32"/>
  <c r="I24" i="32"/>
  <c r="I55" i="32"/>
  <c r="I51" i="32"/>
  <c r="I41" i="32"/>
  <c r="I39" i="32"/>
  <c r="I53" i="32"/>
  <c r="I64" i="32" s="1"/>
  <c r="I50" i="32"/>
  <c r="G52" i="32"/>
  <c r="G63" i="32" s="1"/>
  <c r="E42" i="32"/>
  <c r="I29" i="32"/>
  <c r="I32" i="32"/>
  <c r="AQ29" i="32"/>
  <c r="O52" i="32"/>
  <c r="M24" i="32"/>
  <c r="M42" i="32"/>
  <c r="M40" i="32"/>
  <c r="M44" i="32"/>
  <c r="M66" i="32" s="1"/>
  <c r="J55" i="32"/>
  <c r="AA44" i="32"/>
  <c r="O45" i="32"/>
  <c r="N55" i="32"/>
  <c r="N51" i="32"/>
  <c r="N40" i="32"/>
  <c r="F54" i="32"/>
  <c r="F50" i="32"/>
  <c r="F44" i="32"/>
  <c r="F40" i="32"/>
  <c r="F52" i="32"/>
  <c r="F63" i="32" s="1"/>
  <c r="H43" i="32"/>
  <c r="J44" i="32"/>
  <c r="O54" i="32"/>
  <c r="H55" i="32"/>
  <c r="G39" i="32"/>
  <c r="AZ15" i="32"/>
  <c r="AU56" i="32"/>
  <c r="I56" i="32"/>
  <c r="H53" i="32"/>
  <c r="H48" i="32" s="1"/>
  <c r="N45" i="32"/>
  <c r="N43" i="32"/>
  <c r="L39" i="32"/>
  <c r="O53" i="32"/>
  <c r="O43" i="32"/>
  <c r="O39" i="32"/>
  <c r="O55" i="32"/>
  <c r="O66" i="32" s="1"/>
  <c r="O51" i="32"/>
  <c r="O41" i="32"/>
  <c r="O50" i="32"/>
  <c r="O56" i="32"/>
  <c r="H44" i="32"/>
  <c r="M39" i="32"/>
  <c r="D44" i="32"/>
  <c r="L51" i="32"/>
  <c r="C45" i="32"/>
  <c r="G40" i="32"/>
  <c r="G42" i="32"/>
  <c r="G44" i="32"/>
  <c r="AS29" i="32"/>
  <c r="AS32" i="32"/>
  <c r="N50" i="32"/>
  <c r="N52" i="32"/>
  <c r="AG29" i="32"/>
  <c r="AG32" i="32"/>
  <c r="O24" i="32"/>
  <c r="H24" i="32"/>
  <c r="N53" i="32"/>
  <c r="O40" i="32"/>
  <c r="C53" i="32"/>
  <c r="C43" i="32"/>
  <c r="C39" i="32"/>
  <c r="C55" i="32"/>
  <c r="C51" i="32"/>
  <c r="C62" i="32" s="1"/>
  <c r="C41" i="32"/>
  <c r="F39" i="32"/>
  <c r="AA50" i="32"/>
  <c r="Y26" i="32"/>
  <c r="M52" i="32"/>
  <c r="L56" i="32"/>
  <c r="C26" i="32"/>
  <c r="AO32" i="32"/>
  <c r="AO26" i="32"/>
  <c r="N32" i="32"/>
  <c r="N29" i="32"/>
  <c r="AL32" i="32"/>
  <c r="AL29" i="32"/>
  <c r="D26" i="32"/>
  <c r="D32" i="32"/>
  <c r="P26" i="32"/>
  <c r="P32" i="32"/>
  <c r="AB32" i="32"/>
  <c r="AB26" i="32"/>
  <c r="AN32" i="32"/>
  <c r="AN26" i="32"/>
  <c r="M32" i="32"/>
  <c r="M29" i="32"/>
  <c r="Y32" i="32"/>
  <c r="Y29" i="32"/>
  <c r="Z32" i="32"/>
  <c r="Z29" i="32"/>
  <c r="AU26" i="32"/>
  <c r="AU32" i="32"/>
  <c r="AK32" i="32"/>
  <c r="AK29" i="32"/>
  <c r="E32" i="32"/>
  <c r="E26" i="32"/>
  <c r="Q32" i="32"/>
  <c r="Q26" i="32"/>
  <c r="AC32" i="32"/>
  <c r="AC26" i="32"/>
  <c r="Q120" i="16"/>
  <c r="P120" i="16"/>
  <c r="Q107" i="16"/>
  <c r="O107" i="16"/>
  <c r="Q94" i="16"/>
  <c r="Q81" i="16"/>
  <c r="P81" i="16"/>
  <c r="O81" i="16"/>
  <c r="Q68" i="16"/>
  <c r="O68" i="16"/>
  <c r="Q29" i="16"/>
  <c r="Q16" i="16"/>
  <c r="O16" i="16"/>
  <c r="F128" i="16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N39" i="32" l="1"/>
  <c r="AN43" i="32"/>
  <c r="AN42" i="32"/>
  <c r="AN44" i="32"/>
  <c r="AN52" i="32"/>
  <c r="AN54" i="32"/>
  <c r="AN24" i="32"/>
  <c r="AN41" i="32"/>
  <c r="AN55" i="32"/>
  <c r="AN66" i="32" s="1"/>
  <c r="AN56" i="32"/>
  <c r="AN53" i="32"/>
  <c r="AN45" i="32"/>
  <c r="AN50" i="32"/>
  <c r="AN61" i="32" s="1"/>
  <c r="AN51" i="32"/>
  <c r="AN62" i="32" s="1"/>
  <c r="AE39" i="32"/>
  <c r="AI52" i="32"/>
  <c r="AB24" i="32"/>
  <c r="AB52" i="32"/>
  <c r="AE50" i="32"/>
  <c r="AE43" i="32"/>
  <c r="AE42" i="32"/>
  <c r="AE53" i="32"/>
  <c r="AB40" i="32"/>
  <c r="AL55" i="32"/>
  <c r="AE55" i="32"/>
  <c r="T42" i="32"/>
  <c r="T51" i="32"/>
  <c r="AL50" i="32"/>
  <c r="AL61" i="32" s="1"/>
  <c r="AT45" i="32"/>
  <c r="AE24" i="32"/>
  <c r="AB54" i="32"/>
  <c r="T40" i="32"/>
  <c r="AB45" i="32"/>
  <c r="AL45" i="32"/>
  <c r="AB42" i="32"/>
  <c r="AB44" i="32"/>
  <c r="AB53" i="32"/>
  <c r="AB48" i="32" s="1"/>
  <c r="AB55" i="32"/>
  <c r="AB41" i="32"/>
  <c r="Y42" i="32"/>
  <c r="AB39" i="32"/>
  <c r="AB61" i="32" s="1"/>
  <c r="AB56" i="32"/>
  <c r="AB51" i="32"/>
  <c r="Y24" i="32"/>
  <c r="T52" i="32"/>
  <c r="AB43" i="32"/>
  <c r="AE44" i="32"/>
  <c r="AE54" i="32"/>
  <c r="AE41" i="32"/>
  <c r="AE51" i="32"/>
  <c r="AE62" i="32" s="1"/>
  <c r="AK45" i="32"/>
  <c r="AM42" i="32"/>
  <c r="AT44" i="32"/>
  <c r="AM55" i="32"/>
  <c r="AR56" i="32"/>
  <c r="AE52" i="32"/>
  <c r="AE45" i="32"/>
  <c r="AM39" i="32"/>
  <c r="AM61" i="32" s="1"/>
  <c r="AM53" i="32"/>
  <c r="AM48" i="32" s="1"/>
  <c r="AT40" i="32"/>
  <c r="AR54" i="32"/>
  <c r="AT39" i="32"/>
  <c r="AR50" i="32"/>
  <c r="AR48" i="32" s="1"/>
  <c r="AI53" i="32"/>
  <c r="AL44" i="32"/>
  <c r="AT43" i="32"/>
  <c r="AT54" i="32"/>
  <c r="AC55" i="32"/>
  <c r="AL54" i="32"/>
  <c r="AT53" i="32"/>
  <c r="AT48" i="32" s="1"/>
  <c r="AE56" i="32"/>
  <c r="AO56" i="32"/>
  <c r="T55" i="32"/>
  <c r="AL41" i="32"/>
  <c r="AO42" i="32"/>
  <c r="AO45" i="32"/>
  <c r="AG41" i="32"/>
  <c r="T54" i="32"/>
  <c r="Y39" i="32"/>
  <c r="AL24" i="32"/>
  <c r="AJ42" i="32"/>
  <c r="Q54" i="32"/>
  <c r="AT56" i="32"/>
  <c r="AT42" i="32"/>
  <c r="T56" i="32"/>
  <c r="AT55" i="32"/>
  <c r="AT52" i="32"/>
  <c r="AL43" i="32"/>
  <c r="AT41" i="32"/>
  <c r="T53" i="32"/>
  <c r="T48" i="32" s="1"/>
  <c r="AT24" i="32"/>
  <c r="Q43" i="32"/>
  <c r="AM44" i="32"/>
  <c r="AL40" i="32"/>
  <c r="AO50" i="32"/>
  <c r="AL56" i="32"/>
  <c r="AO54" i="32"/>
  <c r="AO65" i="32" s="1"/>
  <c r="AO53" i="32"/>
  <c r="AO41" i="32"/>
  <c r="AO44" i="32"/>
  <c r="AL53" i="32"/>
  <c r="AO40" i="32"/>
  <c r="T45" i="32"/>
  <c r="AO52" i="32"/>
  <c r="AO39" i="32"/>
  <c r="AL42" i="32"/>
  <c r="AL37" i="32" s="1"/>
  <c r="AO51" i="32"/>
  <c r="AG51" i="32"/>
  <c r="AL51" i="32"/>
  <c r="AL52" i="32"/>
  <c r="AM40" i="32"/>
  <c r="AM45" i="32"/>
  <c r="AM41" i="32"/>
  <c r="AC24" i="32"/>
  <c r="AM54" i="32"/>
  <c r="Q51" i="32"/>
  <c r="AC54" i="32"/>
  <c r="AC56" i="32"/>
  <c r="AM52" i="32"/>
  <c r="AM56" i="32"/>
  <c r="AK50" i="32"/>
  <c r="AC40" i="32"/>
  <c r="Q40" i="32"/>
  <c r="Q56" i="32"/>
  <c r="AS53" i="32"/>
  <c r="AK53" i="32"/>
  <c r="AS39" i="32"/>
  <c r="X40" i="32"/>
  <c r="AS45" i="32"/>
  <c r="AT51" i="32"/>
  <c r="AJ24" i="32"/>
  <c r="AJ52" i="32"/>
  <c r="T24" i="32"/>
  <c r="AJ41" i="32"/>
  <c r="AK40" i="32"/>
  <c r="AK51" i="32"/>
  <c r="AK44" i="32"/>
  <c r="AK42" i="32"/>
  <c r="AK43" i="32"/>
  <c r="Y53" i="32"/>
  <c r="AK24" i="32"/>
  <c r="AK55" i="32"/>
  <c r="AJ56" i="32"/>
  <c r="AG39" i="32"/>
  <c r="AG61" i="32" s="1"/>
  <c r="AJ53" i="32"/>
  <c r="Q39" i="32"/>
  <c r="AM43" i="32"/>
  <c r="AJ45" i="32"/>
  <c r="Y56" i="32"/>
  <c r="AJ55" i="32"/>
  <c r="AM24" i="32"/>
  <c r="AJ54" i="32"/>
  <c r="AG40" i="32"/>
  <c r="AJ39" i="32"/>
  <c r="AI40" i="32"/>
  <c r="AJ50" i="32"/>
  <c r="AJ43" i="32"/>
  <c r="AJ44" i="32"/>
  <c r="Y55" i="32"/>
  <c r="Y54" i="32"/>
  <c r="Y65" i="32" s="1"/>
  <c r="T44" i="32"/>
  <c r="Y40" i="32"/>
  <c r="AO55" i="32"/>
  <c r="AJ40" i="32"/>
  <c r="AJ62" i="32" s="1"/>
  <c r="AC53" i="32"/>
  <c r="AS52" i="32"/>
  <c r="T41" i="32"/>
  <c r="AM51" i="32"/>
  <c r="AS43" i="32"/>
  <c r="AS65" i="32" s="1"/>
  <c r="X53" i="32"/>
  <c r="AF44" i="32"/>
  <c r="AI43" i="32"/>
  <c r="AF53" i="32"/>
  <c r="U44" i="32"/>
  <c r="AI42" i="32"/>
  <c r="AI44" i="32"/>
  <c r="AP40" i="32"/>
  <c r="AF43" i="32"/>
  <c r="AF65" i="32" s="1"/>
  <c r="U24" i="32"/>
  <c r="AI45" i="32"/>
  <c r="AF56" i="32"/>
  <c r="AF45" i="32"/>
  <c r="AI55" i="32"/>
  <c r="AP51" i="32"/>
  <c r="AQ53" i="32"/>
  <c r="W40" i="32"/>
  <c r="U52" i="32"/>
  <c r="AI54" i="32"/>
  <c r="AI39" i="32"/>
  <c r="AI51" i="32"/>
  <c r="AI56" i="32"/>
  <c r="AH24" i="32"/>
  <c r="AF42" i="32"/>
  <c r="U53" i="32"/>
  <c r="U48" i="32" s="1"/>
  <c r="AI50" i="32"/>
  <c r="Z56" i="32"/>
  <c r="AH39" i="32"/>
  <c r="W43" i="32"/>
  <c r="Q44" i="32"/>
  <c r="AP24" i="32"/>
  <c r="Z40" i="32"/>
  <c r="AH45" i="32"/>
  <c r="AH40" i="32"/>
  <c r="AH50" i="32"/>
  <c r="AS55" i="32"/>
  <c r="Z45" i="32"/>
  <c r="Z41" i="32"/>
  <c r="T39" i="32"/>
  <c r="T61" i="32" s="1"/>
  <c r="AH41" i="32"/>
  <c r="T43" i="32"/>
  <c r="AR24" i="32"/>
  <c r="AP55" i="32"/>
  <c r="AK54" i="32"/>
  <c r="AO24" i="32"/>
  <c r="AP42" i="32"/>
  <c r="AP64" i="32" s="1"/>
  <c r="AH54" i="32"/>
  <c r="AH65" i="32" s="1"/>
  <c r="AH51" i="32"/>
  <c r="AS41" i="32"/>
  <c r="AH55" i="32"/>
  <c r="R52" i="32"/>
  <c r="R63" i="32" s="1"/>
  <c r="AS51" i="32"/>
  <c r="R40" i="32"/>
  <c r="AH52" i="32"/>
  <c r="R24" i="32"/>
  <c r="AS56" i="32"/>
  <c r="Z51" i="32"/>
  <c r="Z54" i="32"/>
  <c r="Z65" i="32" s="1"/>
  <c r="Z44" i="32"/>
  <c r="AP54" i="32"/>
  <c r="AQ54" i="32"/>
  <c r="AP43" i="32"/>
  <c r="AS24" i="32"/>
  <c r="R50" i="32"/>
  <c r="AR52" i="32"/>
  <c r="R53" i="32"/>
  <c r="W56" i="32"/>
  <c r="R39" i="32"/>
  <c r="Z53" i="32"/>
  <c r="AR40" i="32"/>
  <c r="AD54" i="32"/>
  <c r="AR42" i="32"/>
  <c r="AR64" i="32" s="1"/>
  <c r="Z52" i="32"/>
  <c r="AR41" i="32"/>
  <c r="Z42" i="32"/>
  <c r="Z39" i="32"/>
  <c r="AD45" i="32"/>
  <c r="AH44" i="32"/>
  <c r="AP56" i="32"/>
  <c r="AP50" i="32"/>
  <c r="AP48" i="32" s="1"/>
  <c r="W53" i="32"/>
  <c r="AH42" i="32"/>
  <c r="AS42" i="32"/>
  <c r="AP41" i="32"/>
  <c r="AP39" i="32"/>
  <c r="AQ43" i="32"/>
  <c r="AK56" i="32"/>
  <c r="U43" i="32"/>
  <c r="Z24" i="32"/>
  <c r="AH56" i="32"/>
  <c r="AP52" i="32"/>
  <c r="AF50" i="32"/>
  <c r="AS50" i="32"/>
  <c r="W42" i="32"/>
  <c r="AS44" i="32"/>
  <c r="AK39" i="32"/>
  <c r="W50" i="32"/>
  <c r="AS40" i="32"/>
  <c r="AQ52" i="32"/>
  <c r="AG54" i="32"/>
  <c r="AG43" i="32"/>
  <c r="AQ51" i="32"/>
  <c r="AQ62" i="32" s="1"/>
  <c r="W54" i="32"/>
  <c r="AQ24" i="32"/>
  <c r="AC42" i="32"/>
  <c r="U55" i="32"/>
  <c r="Z50" i="32"/>
  <c r="AH53" i="32"/>
  <c r="AK52" i="32"/>
  <c r="AK63" i="32" s="1"/>
  <c r="U56" i="32"/>
  <c r="AP44" i="32"/>
  <c r="AC41" i="32"/>
  <c r="AC63" i="32" s="1"/>
  <c r="AI41" i="32"/>
  <c r="W45" i="32"/>
  <c r="W44" i="32"/>
  <c r="Z55" i="32"/>
  <c r="AF51" i="32"/>
  <c r="AX40" i="32"/>
  <c r="AQ41" i="32"/>
  <c r="W51" i="32"/>
  <c r="W39" i="32"/>
  <c r="AQ45" i="32"/>
  <c r="W52" i="32"/>
  <c r="W63" i="32" s="1"/>
  <c r="W55" i="32"/>
  <c r="AQ42" i="32"/>
  <c r="W24" i="32"/>
  <c r="AG44" i="32"/>
  <c r="S44" i="32"/>
  <c r="X45" i="32"/>
  <c r="Y50" i="32"/>
  <c r="S42" i="32"/>
  <c r="S50" i="32"/>
  <c r="X51" i="32"/>
  <c r="U41" i="32"/>
  <c r="V50" i="32"/>
  <c r="AR39" i="32"/>
  <c r="AF41" i="32"/>
  <c r="Q24" i="32"/>
  <c r="Y44" i="32"/>
  <c r="AG24" i="32"/>
  <c r="V55" i="32"/>
  <c r="U51" i="32"/>
  <c r="AD55" i="32"/>
  <c r="U54" i="32"/>
  <c r="V45" i="32"/>
  <c r="AF40" i="32"/>
  <c r="S55" i="32"/>
  <c r="S51" i="32"/>
  <c r="S56" i="32"/>
  <c r="AP45" i="32"/>
  <c r="X50" i="32"/>
  <c r="X61" i="32" s="1"/>
  <c r="X54" i="32"/>
  <c r="S54" i="32"/>
  <c r="X42" i="32"/>
  <c r="X37" i="32" s="1"/>
  <c r="S52" i="32"/>
  <c r="S63" i="32" s="1"/>
  <c r="S24" i="32"/>
  <c r="X52" i="32"/>
  <c r="X55" i="32"/>
  <c r="X43" i="32"/>
  <c r="X41" i="32"/>
  <c r="S53" i="32"/>
  <c r="V39" i="32"/>
  <c r="X56" i="32"/>
  <c r="X24" i="32"/>
  <c r="V51" i="32"/>
  <c r="V40" i="32"/>
  <c r="V41" i="32"/>
  <c r="AU61" i="32"/>
  <c r="U45" i="32"/>
  <c r="S40" i="32"/>
  <c r="U42" i="32"/>
  <c r="AD50" i="32"/>
  <c r="AG53" i="32"/>
  <c r="AG48" i="32" s="1"/>
  <c r="U39" i="32"/>
  <c r="U61" i="32" s="1"/>
  <c r="AC43" i="32"/>
  <c r="V24" i="32"/>
  <c r="Q53" i="32"/>
  <c r="X44" i="32"/>
  <c r="Q41" i="32"/>
  <c r="AF55" i="32"/>
  <c r="AR44" i="32"/>
  <c r="S45" i="32"/>
  <c r="AD42" i="32"/>
  <c r="R42" i="32"/>
  <c r="R44" i="32"/>
  <c r="Q45" i="32"/>
  <c r="AC44" i="32"/>
  <c r="AC51" i="32"/>
  <c r="AF39" i="32"/>
  <c r="AR55" i="32"/>
  <c r="AQ50" i="32"/>
  <c r="AF24" i="32"/>
  <c r="AQ56" i="32"/>
  <c r="AD52" i="32"/>
  <c r="AD63" i="32" s="1"/>
  <c r="AG45" i="32"/>
  <c r="V44" i="32"/>
  <c r="Y41" i="32"/>
  <c r="AR43" i="32"/>
  <c r="Q55" i="32"/>
  <c r="AD40" i="32"/>
  <c r="AG56" i="32"/>
  <c r="R54" i="32"/>
  <c r="AC45" i="32"/>
  <c r="AR51" i="32"/>
  <c r="AG52" i="32"/>
  <c r="AC39" i="32"/>
  <c r="V53" i="32"/>
  <c r="Y45" i="32"/>
  <c r="Y67" i="32" s="1"/>
  <c r="AD44" i="32"/>
  <c r="V56" i="32"/>
  <c r="Q52" i="32"/>
  <c r="V52" i="32"/>
  <c r="AG42" i="32"/>
  <c r="V43" i="32"/>
  <c r="V65" i="32" s="1"/>
  <c r="AG55" i="32"/>
  <c r="S39" i="32"/>
  <c r="AR45" i="32"/>
  <c r="S43" i="32"/>
  <c r="AQ55" i="32"/>
  <c r="Y52" i="32"/>
  <c r="AF52" i="32"/>
  <c r="V42" i="32"/>
  <c r="AQ44" i="32"/>
  <c r="AD39" i="32"/>
  <c r="AC50" i="32"/>
  <c r="Y51" i="32"/>
  <c r="Q50" i="32"/>
  <c r="AQ39" i="32"/>
  <c r="AD53" i="32"/>
  <c r="AD24" i="32"/>
  <c r="AD51" i="32"/>
  <c r="R55" i="32"/>
  <c r="R56" i="32"/>
  <c r="R51" i="32"/>
  <c r="AD43" i="32"/>
  <c r="AD56" i="32"/>
  <c r="R45" i="32"/>
  <c r="R43" i="32"/>
  <c r="U40" i="32"/>
  <c r="Q42" i="32"/>
  <c r="AX44" i="32"/>
  <c r="AY10" i="32"/>
  <c r="AW42" i="32"/>
  <c r="AZ10" i="32"/>
  <c r="AX7" i="32"/>
  <c r="AX9" i="32"/>
  <c r="L66" i="32"/>
  <c r="K67" i="32"/>
  <c r="AX51" i="32"/>
  <c r="L63" i="32"/>
  <c r="M62" i="32"/>
  <c r="K62" i="32"/>
  <c r="J64" i="32"/>
  <c r="K37" i="32"/>
  <c r="L65" i="32"/>
  <c r="K61" i="32"/>
  <c r="I63" i="32"/>
  <c r="K64" i="32"/>
  <c r="H67" i="32"/>
  <c r="D48" i="32"/>
  <c r="AW56" i="32"/>
  <c r="P67" i="32"/>
  <c r="D62" i="32"/>
  <c r="C65" i="32"/>
  <c r="D67" i="32"/>
  <c r="C64" i="32"/>
  <c r="AU65" i="32"/>
  <c r="AU63" i="32"/>
  <c r="AX54" i="32"/>
  <c r="P48" i="32"/>
  <c r="AX56" i="32"/>
  <c r="M64" i="32"/>
  <c r="AW51" i="32"/>
  <c r="K63" i="32"/>
  <c r="C63" i="32"/>
  <c r="D63" i="32"/>
  <c r="P62" i="32"/>
  <c r="E48" i="32"/>
  <c r="M67" i="32"/>
  <c r="O48" i="32"/>
  <c r="G62" i="32"/>
  <c r="K66" i="32"/>
  <c r="H66" i="32"/>
  <c r="AU48" i="32"/>
  <c r="K48" i="32"/>
  <c r="H62" i="32"/>
  <c r="F67" i="32"/>
  <c r="E62" i="32"/>
  <c r="O64" i="32"/>
  <c r="M65" i="32"/>
  <c r="AX53" i="32"/>
  <c r="E67" i="32"/>
  <c r="J67" i="32"/>
  <c r="I65" i="32"/>
  <c r="N48" i="32"/>
  <c r="AU37" i="32"/>
  <c r="P66" i="32"/>
  <c r="I48" i="32"/>
  <c r="G48" i="32"/>
  <c r="F62" i="32"/>
  <c r="F66" i="32"/>
  <c r="F64" i="32"/>
  <c r="O65" i="32"/>
  <c r="F48" i="32"/>
  <c r="E64" i="32"/>
  <c r="AU62" i="32"/>
  <c r="C67" i="32"/>
  <c r="D65" i="32"/>
  <c r="AX50" i="32"/>
  <c r="E66" i="32"/>
  <c r="I66" i="32"/>
  <c r="N65" i="32"/>
  <c r="N62" i="32"/>
  <c r="AX39" i="32"/>
  <c r="M63" i="32"/>
  <c r="P65" i="32"/>
  <c r="C66" i="32"/>
  <c r="G64" i="32"/>
  <c r="D66" i="32"/>
  <c r="AX42" i="32"/>
  <c r="AW53" i="32"/>
  <c r="AA63" i="32"/>
  <c r="P64" i="32"/>
  <c r="N67" i="32"/>
  <c r="AU64" i="32"/>
  <c r="AX43" i="32"/>
  <c r="AU66" i="32"/>
  <c r="H65" i="32"/>
  <c r="AX52" i="32"/>
  <c r="I62" i="32"/>
  <c r="M48" i="32"/>
  <c r="F37" i="32"/>
  <c r="F61" i="32"/>
  <c r="AA66" i="32"/>
  <c r="AW44" i="32"/>
  <c r="L61" i="32"/>
  <c r="L37" i="32"/>
  <c r="J66" i="32"/>
  <c r="G67" i="32"/>
  <c r="J37" i="32"/>
  <c r="J61" i="32"/>
  <c r="N66" i="32"/>
  <c r="E61" i="32"/>
  <c r="E37" i="32"/>
  <c r="AU67" i="32"/>
  <c r="AX45" i="32"/>
  <c r="D64" i="32"/>
  <c r="AA48" i="32"/>
  <c r="AW50" i="32"/>
  <c r="G66" i="32"/>
  <c r="J65" i="32"/>
  <c r="H37" i="32"/>
  <c r="H64" i="32"/>
  <c r="C61" i="32"/>
  <c r="C37" i="32"/>
  <c r="J63" i="32"/>
  <c r="AW52" i="32"/>
  <c r="J48" i="32"/>
  <c r="O63" i="32"/>
  <c r="G37" i="32"/>
  <c r="G61" i="32"/>
  <c r="I61" i="32"/>
  <c r="AW39" i="32"/>
  <c r="AA37" i="32"/>
  <c r="AA61" i="32"/>
  <c r="F65" i="32"/>
  <c r="H63" i="32"/>
  <c r="AA64" i="32"/>
  <c r="M61" i="32"/>
  <c r="M37" i="32"/>
  <c r="AA65" i="32"/>
  <c r="AW43" i="32"/>
  <c r="N63" i="32"/>
  <c r="I37" i="32"/>
  <c r="D61" i="32"/>
  <c r="D37" i="32"/>
  <c r="L67" i="32"/>
  <c r="AW54" i="32"/>
  <c r="AW41" i="32"/>
  <c r="P63" i="32"/>
  <c r="AX41" i="32"/>
  <c r="O61" i="32"/>
  <c r="O37" i="32"/>
  <c r="G65" i="32"/>
  <c r="L62" i="32"/>
  <c r="P61" i="32"/>
  <c r="P37" i="32"/>
  <c r="N61" i="32"/>
  <c r="N37" i="32"/>
  <c r="AW45" i="32"/>
  <c r="AA67" i="32"/>
  <c r="AW40" i="32"/>
  <c r="AA62" i="32"/>
  <c r="O62" i="32"/>
  <c r="O67" i="32"/>
  <c r="I67" i="32"/>
  <c r="C48" i="32"/>
  <c r="N64" i="32"/>
  <c r="E63" i="32"/>
  <c r="P94" i="16"/>
  <c r="P98" i="16" s="1"/>
  <c r="P29" i="16"/>
  <c r="P33" i="16" s="1"/>
  <c r="O120" i="16"/>
  <c r="O124" i="16" s="1"/>
  <c r="P16" i="16"/>
  <c r="P20" i="16" s="1"/>
  <c r="P68" i="16"/>
  <c r="P72" i="16" s="1"/>
  <c r="Q98" i="16"/>
  <c r="R29" i="16"/>
  <c r="R33" i="16" s="1"/>
  <c r="S70" i="16"/>
  <c r="S122" i="16"/>
  <c r="P124" i="16"/>
  <c r="S66" i="16"/>
  <c r="S123" i="16"/>
  <c r="S32" i="16"/>
  <c r="R94" i="16"/>
  <c r="R98" i="16" s="1"/>
  <c r="O111" i="16"/>
  <c r="R81" i="16"/>
  <c r="S81" i="16" s="1"/>
  <c r="S92" i="16"/>
  <c r="S102" i="16"/>
  <c r="S97" i="16"/>
  <c r="S109" i="16"/>
  <c r="Q124" i="16"/>
  <c r="S67" i="16"/>
  <c r="R68" i="16"/>
  <c r="R72" i="16" s="1"/>
  <c r="S71" i="16"/>
  <c r="O85" i="16"/>
  <c r="S83" i="16"/>
  <c r="S95" i="16"/>
  <c r="Q111" i="16"/>
  <c r="S118" i="16"/>
  <c r="S119" i="16"/>
  <c r="R120" i="16"/>
  <c r="R124" i="16" s="1"/>
  <c r="P85" i="16"/>
  <c r="Q33" i="16"/>
  <c r="O72" i="16"/>
  <c r="S105" i="16"/>
  <c r="S108" i="16"/>
  <c r="S110" i="16"/>
  <c r="S121" i="16"/>
  <c r="S80" i="16"/>
  <c r="S93" i="16"/>
  <c r="O20" i="16"/>
  <c r="S84" i="16"/>
  <c r="S79" i="16"/>
  <c r="S89" i="16"/>
  <c r="S96" i="16"/>
  <c r="R107" i="16"/>
  <c r="R111" i="16" s="1"/>
  <c r="S69" i="16"/>
  <c r="Q72" i="16"/>
  <c r="Q85" i="16"/>
  <c r="S106" i="16"/>
  <c r="S63" i="16"/>
  <c r="S115" i="16"/>
  <c r="S76" i="16"/>
  <c r="S82" i="16"/>
  <c r="O94" i="16"/>
  <c r="P107" i="16"/>
  <c r="P111" i="16" s="1"/>
  <c r="S15" i="16"/>
  <c r="S18" i="16"/>
  <c r="S30" i="16"/>
  <c r="R16" i="16"/>
  <c r="R20" i="16" s="1"/>
  <c r="S19" i="16"/>
  <c r="S27" i="16"/>
  <c r="S28" i="16"/>
  <c r="O29" i="16"/>
  <c r="O33" i="16" s="1"/>
  <c r="S14" i="16"/>
  <c r="Q20" i="16"/>
  <c r="S17" i="16"/>
  <c r="S31" i="16"/>
  <c r="S24" i="16"/>
  <c r="S11" i="16"/>
  <c r="H16" i="31"/>
  <c r="H42" i="31"/>
  <c r="H55" i="31"/>
  <c r="H68" i="31"/>
  <c r="H81" i="31"/>
  <c r="G15" i="31"/>
  <c r="F15" i="31"/>
  <c r="E15" i="31"/>
  <c r="D15" i="31"/>
  <c r="C15" i="31"/>
  <c r="F13" i="31"/>
  <c r="D13" i="31"/>
  <c r="G12" i="31"/>
  <c r="F12" i="31"/>
  <c r="D12" i="31"/>
  <c r="C12" i="31"/>
  <c r="F10" i="31"/>
  <c r="D10" i="31"/>
  <c r="C10" i="31"/>
  <c r="C9" i="31"/>
  <c r="F8" i="31"/>
  <c r="D8" i="31"/>
  <c r="G28" i="31"/>
  <c r="F28" i="31"/>
  <c r="E28" i="31"/>
  <c r="D28" i="31"/>
  <c r="C28" i="31"/>
  <c r="F26" i="31"/>
  <c r="D26" i="31"/>
  <c r="G25" i="31"/>
  <c r="F25" i="31"/>
  <c r="D25" i="31"/>
  <c r="C25" i="31"/>
  <c r="F23" i="31"/>
  <c r="D23" i="31"/>
  <c r="C23" i="31"/>
  <c r="C22" i="31"/>
  <c r="F21" i="31"/>
  <c r="D21" i="31"/>
  <c r="G41" i="31"/>
  <c r="F41" i="31"/>
  <c r="E41" i="31"/>
  <c r="D41" i="31"/>
  <c r="C41" i="31"/>
  <c r="F39" i="31"/>
  <c r="D39" i="31"/>
  <c r="G38" i="31"/>
  <c r="F38" i="31"/>
  <c r="D38" i="31"/>
  <c r="C38" i="31"/>
  <c r="F36" i="31"/>
  <c r="D36" i="31"/>
  <c r="C36" i="31"/>
  <c r="C35" i="31"/>
  <c r="F34" i="31"/>
  <c r="D34" i="31"/>
  <c r="G54" i="31"/>
  <c r="F54" i="31"/>
  <c r="E54" i="31"/>
  <c r="D54" i="31"/>
  <c r="C54" i="31"/>
  <c r="F52" i="31"/>
  <c r="D52" i="31"/>
  <c r="G51" i="31"/>
  <c r="F51" i="31"/>
  <c r="D51" i="31"/>
  <c r="C51" i="31"/>
  <c r="F49" i="31"/>
  <c r="D49" i="31"/>
  <c r="C49" i="31"/>
  <c r="C48" i="31"/>
  <c r="F47" i="31"/>
  <c r="D47" i="31"/>
  <c r="G67" i="31"/>
  <c r="F67" i="31"/>
  <c r="E67" i="31"/>
  <c r="D67" i="31"/>
  <c r="C67" i="31"/>
  <c r="F65" i="31"/>
  <c r="D65" i="31"/>
  <c r="G64" i="31"/>
  <c r="F64" i="31"/>
  <c r="D64" i="31"/>
  <c r="C64" i="31"/>
  <c r="F62" i="31"/>
  <c r="D62" i="31"/>
  <c r="C62" i="31"/>
  <c r="C61" i="31"/>
  <c r="F60" i="31"/>
  <c r="D60" i="31"/>
  <c r="G80" i="31"/>
  <c r="F80" i="31"/>
  <c r="E80" i="31"/>
  <c r="D80" i="31"/>
  <c r="C80" i="31"/>
  <c r="F78" i="31"/>
  <c r="D78" i="31"/>
  <c r="G77" i="31"/>
  <c r="F77" i="31"/>
  <c r="D77" i="31"/>
  <c r="C77" i="31"/>
  <c r="F75" i="31"/>
  <c r="D75" i="31"/>
  <c r="C75" i="31"/>
  <c r="C74" i="31"/>
  <c r="F73" i="31"/>
  <c r="D73" i="31"/>
  <c r="AN64" i="32" l="1"/>
  <c r="AN63" i="32"/>
  <c r="AN37" i="32"/>
  <c r="AK64" i="32"/>
  <c r="AN65" i="32"/>
  <c r="AN67" i="32"/>
  <c r="AN48" i="32"/>
  <c r="T65" i="32"/>
  <c r="AE37" i="32"/>
  <c r="AE61" i="32"/>
  <c r="AI63" i="32"/>
  <c r="AE64" i="32"/>
  <c r="AE48" i="32"/>
  <c r="AK67" i="32"/>
  <c r="AE66" i="32"/>
  <c r="AL66" i="32"/>
  <c r="AB63" i="32"/>
  <c r="AG63" i="32"/>
  <c r="AT67" i="32"/>
  <c r="AB37" i="32"/>
  <c r="AE65" i="32"/>
  <c r="T62" i="32"/>
  <c r="AB62" i="32"/>
  <c r="AB67" i="32"/>
  <c r="AJ37" i="32"/>
  <c r="AB65" i="32"/>
  <c r="AT66" i="32"/>
  <c r="AT37" i="32"/>
  <c r="AT64" i="32"/>
  <c r="AL67" i="32"/>
  <c r="AB66" i="32"/>
  <c r="T63" i="32"/>
  <c r="AC65" i="32"/>
  <c r="AT65" i="32"/>
  <c r="AE63" i="32"/>
  <c r="AT61" i="32"/>
  <c r="AB64" i="32"/>
  <c r="AS61" i="32"/>
  <c r="AT62" i="32"/>
  <c r="AC66" i="32"/>
  <c r="AL65" i="32"/>
  <c r="AO67" i="32"/>
  <c r="Y37" i="32"/>
  <c r="AR67" i="32"/>
  <c r="AT63" i="32"/>
  <c r="S61" i="32"/>
  <c r="AL63" i="32"/>
  <c r="AL62" i="32"/>
  <c r="AG62" i="32"/>
  <c r="AM66" i="32"/>
  <c r="AJ64" i="32"/>
  <c r="AE67" i="32"/>
  <c r="AR65" i="32"/>
  <c r="Y64" i="32"/>
  <c r="Q67" i="32"/>
  <c r="AI64" i="32"/>
  <c r="AI48" i="32"/>
  <c r="AJ63" i="32"/>
  <c r="AM37" i="32"/>
  <c r="W64" i="32"/>
  <c r="AO48" i="32"/>
  <c r="AQ67" i="32"/>
  <c r="U67" i="32"/>
  <c r="AM64" i="32"/>
  <c r="Q65" i="32"/>
  <c r="AR61" i="32"/>
  <c r="U64" i="32"/>
  <c r="T66" i="32"/>
  <c r="AO63" i="32"/>
  <c r="AO62" i="32"/>
  <c r="AO61" i="32"/>
  <c r="AK66" i="32"/>
  <c r="AM63" i="32"/>
  <c r="AL64" i="32"/>
  <c r="Q62" i="32"/>
  <c r="AO64" i="32"/>
  <c r="AJ48" i="32"/>
  <c r="T67" i="32"/>
  <c r="Y61" i="32"/>
  <c r="AO37" i="32"/>
  <c r="AO66" i="32"/>
  <c r="AC67" i="32"/>
  <c r="T64" i="32"/>
  <c r="X62" i="32"/>
  <c r="AP61" i="32"/>
  <c r="AF67" i="32"/>
  <c r="AJ66" i="32"/>
  <c r="AL48" i="32"/>
  <c r="AK37" i="32"/>
  <c r="AF64" i="32"/>
  <c r="AJ65" i="32"/>
  <c r="AK48" i="32"/>
  <c r="AS37" i="32"/>
  <c r="AM62" i="32"/>
  <c r="AM67" i="32"/>
  <c r="AC48" i="32"/>
  <c r="X67" i="32"/>
  <c r="V48" i="32"/>
  <c r="AC64" i="32"/>
  <c r="R65" i="32"/>
  <c r="AG67" i="32"/>
  <c r="U66" i="32"/>
  <c r="AH37" i="32"/>
  <c r="AD67" i="32"/>
  <c r="AC62" i="32"/>
  <c r="AS48" i="32"/>
  <c r="AS67" i="32"/>
  <c r="AH63" i="32"/>
  <c r="Z37" i="32"/>
  <c r="AI65" i="32"/>
  <c r="AJ67" i="32"/>
  <c r="AS62" i="32"/>
  <c r="AR63" i="32"/>
  <c r="AP65" i="32"/>
  <c r="AM65" i="32"/>
  <c r="AK62" i="32"/>
  <c r="Z67" i="32"/>
  <c r="AG37" i="32"/>
  <c r="AF37" i="32"/>
  <c r="AH62" i="32"/>
  <c r="AI67" i="32"/>
  <c r="AD37" i="32"/>
  <c r="X65" i="32"/>
  <c r="S66" i="32"/>
  <c r="AJ61" i="32"/>
  <c r="AD65" i="32"/>
  <c r="AQ66" i="32"/>
  <c r="AF48" i="32"/>
  <c r="R61" i="32"/>
  <c r="AK65" i="32"/>
  <c r="R62" i="32"/>
  <c r="V37" i="32"/>
  <c r="W66" i="32"/>
  <c r="W65" i="32"/>
  <c r="AP63" i="32"/>
  <c r="AI66" i="32"/>
  <c r="AK61" i="32"/>
  <c r="Y48" i="32"/>
  <c r="AH61" i="32"/>
  <c r="Z64" i="32"/>
  <c r="AH67" i="32"/>
  <c r="AI62" i="32"/>
  <c r="T37" i="32"/>
  <c r="Q66" i="32"/>
  <c r="Y66" i="32"/>
  <c r="AI61" i="32"/>
  <c r="AP62" i="32"/>
  <c r="W67" i="32"/>
  <c r="V61" i="32"/>
  <c r="R48" i="32"/>
  <c r="AQ37" i="32"/>
  <c r="AF66" i="32"/>
  <c r="AS63" i="32"/>
  <c r="S37" i="32"/>
  <c r="Q61" i="32"/>
  <c r="W62" i="32"/>
  <c r="Y62" i="32"/>
  <c r="U37" i="32"/>
  <c r="AR66" i="32"/>
  <c r="V62" i="32"/>
  <c r="AQ63" i="32"/>
  <c r="Z61" i="32"/>
  <c r="AS66" i="32"/>
  <c r="Z66" i="32"/>
  <c r="AX10" i="32"/>
  <c r="AI37" i="32"/>
  <c r="X48" i="32"/>
  <c r="R64" i="32"/>
  <c r="AR37" i="32"/>
  <c r="AQ64" i="32"/>
  <c r="AG65" i="32"/>
  <c r="Z62" i="32"/>
  <c r="AF61" i="32"/>
  <c r="U63" i="32"/>
  <c r="AP66" i="32"/>
  <c r="AP67" i="32"/>
  <c r="AQ65" i="32"/>
  <c r="AH66" i="32"/>
  <c r="Z63" i="32"/>
  <c r="Q64" i="32"/>
  <c r="AR62" i="32"/>
  <c r="U65" i="32"/>
  <c r="W37" i="32"/>
  <c r="W48" i="32"/>
  <c r="AH64" i="32"/>
  <c r="X64" i="32"/>
  <c r="AF63" i="32"/>
  <c r="Z48" i="32"/>
  <c r="V66" i="32"/>
  <c r="AD61" i="32"/>
  <c r="X63" i="32"/>
  <c r="AS64" i="32"/>
  <c r="AP37" i="32"/>
  <c r="S65" i="32"/>
  <c r="AC61" i="32"/>
  <c r="AF62" i="32"/>
  <c r="AH48" i="32"/>
  <c r="R37" i="32"/>
  <c r="W61" i="32"/>
  <c r="Q63" i="32"/>
  <c r="V64" i="32"/>
  <c r="AD66" i="32"/>
  <c r="Y63" i="32"/>
  <c r="R66" i="32"/>
  <c r="S48" i="32"/>
  <c r="S67" i="32"/>
  <c r="S62" i="32"/>
  <c r="X66" i="32"/>
  <c r="AD48" i="32"/>
  <c r="S64" i="32"/>
  <c r="AD64" i="32"/>
  <c r="U62" i="32"/>
  <c r="AG66" i="32"/>
  <c r="AQ61" i="32"/>
  <c r="V63" i="32"/>
  <c r="AG64" i="32"/>
  <c r="V67" i="32"/>
  <c r="R67" i="32"/>
  <c r="AQ48" i="32"/>
  <c r="Q48" i="32"/>
  <c r="AC37" i="32"/>
  <c r="AD62" i="32"/>
  <c r="Q37" i="32"/>
  <c r="R85" i="16"/>
  <c r="S85" i="16" s="1"/>
  <c r="S120" i="16"/>
  <c r="S68" i="16"/>
  <c r="S94" i="16"/>
  <c r="S124" i="16"/>
  <c r="S33" i="16"/>
  <c r="S16" i="16"/>
  <c r="S20" i="16"/>
  <c r="S29" i="16"/>
  <c r="S111" i="16"/>
  <c r="S107" i="16"/>
  <c r="S72" i="16"/>
  <c r="O98" i="16"/>
  <c r="S98" i="16" s="1"/>
  <c r="H41" i="31"/>
  <c r="F126" i="16" l="1"/>
  <c r="C204" i="16" l="1"/>
  <c r="E5" i="13" l="1"/>
  <c r="F2" i="25" l="1"/>
  <c r="E2" i="25"/>
  <c r="E26" i="25" l="1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3" i="25"/>
  <c r="E27" i="25"/>
  <c r="E29" i="25"/>
  <c r="E31" i="25"/>
  <c r="E33" i="25"/>
  <c r="E35" i="25"/>
  <c r="E37" i="25"/>
  <c r="E39" i="25"/>
  <c r="E41" i="25"/>
  <c r="E43" i="25"/>
  <c r="E45" i="25"/>
  <c r="E47" i="25"/>
  <c r="E49" i="25"/>
  <c r="E51" i="25"/>
  <c r="E53" i="25"/>
  <c r="E55" i="25"/>
  <c r="E57" i="25"/>
  <c r="E59" i="25"/>
  <c r="E61" i="25"/>
  <c r="F63" i="25"/>
  <c r="F26" i="25"/>
  <c r="F28" i="25"/>
  <c r="F30" i="25"/>
  <c r="F32" i="25"/>
  <c r="F34" i="25"/>
  <c r="F36" i="25"/>
  <c r="F38" i="25"/>
  <c r="F40" i="25"/>
  <c r="F42" i="25"/>
  <c r="F44" i="25"/>
  <c r="F46" i="25"/>
  <c r="F48" i="25"/>
  <c r="F50" i="25"/>
  <c r="F52" i="25"/>
  <c r="F54" i="25"/>
  <c r="F56" i="25"/>
  <c r="F58" i="25"/>
  <c r="F60" i="25"/>
  <c r="F62" i="25"/>
  <c r="F64" i="25"/>
  <c r="F61" i="25"/>
  <c r="F59" i="25"/>
  <c r="F27" i="25"/>
  <c r="F29" i="25"/>
  <c r="F31" i="25"/>
  <c r="F33" i="25"/>
  <c r="F35" i="25"/>
  <c r="F37" i="25"/>
  <c r="F39" i="25"/>
  <c r="F41" i="25"/>
  <c r="F43" i="25"/>
  <c r="F45" i="25"/>
  <c r="F47" i="25"/>
  <c r="F49" i="25"/>
  <c r="F51" i="25"/>
  <c r="F53" i="25"/>
  <c r="F55" i="25"/>
  <c r="F57" i="25"/>
  <c r="B11" i="33"/>
  <c r="B10" i="33"/>
  <c r="B9" i="33"/>
  <c r="B8" i="33"/>
  <c r="B7" i="33"/>
  <c r="B6" i="33"/>
  <c r="B5" i="33"/>
  <c r="B4" i="33"/>
  <c r="A4" i="14"/>
  <c r="A26" i="25"/>
  <c r="A4" i="25"/>
  <c r="A3" i="31"/>
  <c r="A4" i="16"/>
  <c r="A31" i="13"/>
  <c r="A4" i="13"/>
  <c r="G76" i="31" l="1"/>
  <c r="G63" i="31"/>
  <c r="G50" i="31"/>
  <c r="G37" i="31"/>
  <c r="G24" i="31"/>
  <c r="C76" i="31"/>
  <c r="C50" i="31"/>
  <c r="C24" i="31"/>
  <c r="G11" i="31"/>
  <c r="C11" i="31"/>
  <c r="C19" i="31"/>
  <c r="G19" i="31"/>
  <c r="C72" i="31"/>
  <c r="C71" i="31" s="1"/>
  <c r="G71" i="31"/>
  <c r="G58" i="31"/>
  <c r="C58" i="31"/>
  <c r="G45" i="31"/>
  <c r="C45" i="31"/>
  <c r="G32" i="31"/>
  <c r="C32" i="31"/>
  <c r="G6" i="31"/>
  <c r="C6" i="31"/>
  <c r="G27" i="31" l="1"/>
  <c r="F63" i="31"/>
  <c r="F37" i="31"/>
  <c r="F76" i="31"/>
  <c r="G14" i="31"/>
  <c r="D24" i="31"/>
  <c r="G79" i="31"/>
  <c r="H80" i="31"/>
  <c r="D63" i="31"/>
  <c r="H54" i="31"/>
  <c r="F24" i="31"/>
  <c r="H67" i="31"/>
  <c r="D76" i="31"/>
  <c r="F50" i="31"/>
  <c r="C79" i="31"/>
  <c r="C53" i="31"/>
  <c r="H15" i="31"/>
  <c r="D37" i="31"/>
  <c r="G40" i="31"/>
  <c r="G53" i="31"/>
  <c r="H28" i="31"/>
  <c r="C14" i="31"/>
  <c r="F11" i="31"/>
  <c r="C27" i="31"/>
  <c r="G66" i="31"/>
  <c r="D11" i="31"/>
  <c r="C37" i="31"/>
  <c r="D50" i="31"/>
  <c r="C63" i="31"/>
  <c r="C40" i="31" l="1"/>
  <c r="C66" i="31"/>
  <c r="E70" i="25" l="1"/>
  <c r="E72" i="25"/>
  <c r="E79" i="25" l="1"/>
  <c r="E75" i="25"/>
  <c r="E78" i="25"/>
  <c r="E74" i="25"/>
  <c r="E91" i="25"/>
  <c r="E71" i="25"/>
  <c r="E82" i="25"/>
  <c r="E83" i="25"/>
  <c r="E81" i="25"/>
  <c r="E69" i="25"/>
  <c r="E106" i="25"/>
  <c r="E94" i="25"/>
  <c r="E105" i="25"/>
  <c r="E87" i="25"/>
  <c r="E95" i="25"/>
  <c r="F97" i="25"/>
  <c r="F80" i="25"/>
  <c r="G2" i="25"/>
  <c r="E103" i="25"/>
  <c r="E96" i="25"/>
  <c r="E100" i="25"/>
  <c r="E98" i="25"/>
  <c r="E93" i="25"/>
  <c r="E80" i="25"/>
  <c r="E76" i="25"/>
  <c r="E77" i="25"/>
  <c r="E101" i="25"/>
  <c r="E92" i="25"/>
  <c r="E99" i="25"/>
  <c r="E104" i="25"/>
  <c r="E102" i="25"/>
  <c r="E97" i="25"/>
  <c r="E68" i="25"/>
  <c r="E73" i="25"/>
  <c r="E84" i="25"/>
  <c r="E89" i="25" l="1"/>
  <c r="E4" i="25"/>
  <c r="F71" i="25"/>
  <c r="F95" i="25"/>
  <c r="G48" i="25"/>
  <c r="G43" i="25"/>
  <c r="G46" i="25"/>
  <c r="G51" i="25"/>
  <c r="G55" i="25"/>
  <c r="G59" i="25"/>
  <c r="G63" i="25"/>
  <c r="G47" i="25"/>
  <c r="G52" i="25"/>
  <c r="G56" i="25"/>
  <c r="G60" i="25"/>
  <c r="G64" i="25"/>
  <c r="G49" i="25"/>
  <c r="G57" i="25"/>
  <c r="G44" i="25"/>
  <c r="G50" i="25"/>
  <c r="G58" i="25"/>
  <c r="G61" i="25"/>
  <c r="G30" i="25"/>
  <c r="G34" i="25"/>
  <c r="G38" i="25"/>
  <c r="G42" i="25"/>
  <c r="G36" i="25"/>
  <c r="G40" i="25"/>
  <c r="G29" i="25"/>
  <c r="G33" i="25"/>
  <c r="G45" i="25"/>
  <c r="G62" i="25"/>
  <c r="G27" i="25"/>
  <c r="G31" i="25"/>
  <c r="G35" i="25"/>
  <c r="G39" i="25"/>
  <c r="G26" i="25"/>
  <c r="G53" i="25"/>
  <c r="G28" i="25"/>
  <c r="G32" i="25"/>
  <c r="G54" i="25"/>
  <c r="G37" i="25"/>
  <c r="G41" i="25"/>
  <c r="F74" i="25"/>
  <c r="F92" i="25"/>
  <c r="F82" i="25"/>
  <c r="F78" i="25"/>
  <c r="F75" i="25"/>
  <c r="F72" i="25"/>
  <c r="F100" i="25"/>
  <c r="F101" i="25"/>
  <c r="F105" i="25"/>
  <c r="F103" i="25"/>
  <c r="F98" i="25"/>
  <c r="F93" i="25"/>
  <c r="F96" i="25"/>
  <c r="F104" i="25"/>
  <c r="F91" i="25"/>
  <c r="F70" i="25"/>
  <c r="F83" i="25"/>
  <c r="F77" i="25"/>
  <c r="F69" i="25"/>
  <c r="F76" i="25"/>
  <c r="F79" i="25"/>
  <c r="F102" i="25"/>
  <c r="F73" i="25"/>
  <c r="F81" i="25"/>
  <c r="F84" i="25"/>
  <c r="F106" i="25"/>
  <c r="E90" i="25"/>
  <c r="E85" i="25"/>
  <c r="H2" i="25"/>
  <c r="F68" i="25"/>
  <c r="F99" i="25"/>
  <c r="F94" i="25"/>
  <c r="E88" i="25"/>
  <c r="E86" i="25"/>
  <c r="G4" i="25" l="1"/>
  <c r="G5" i="25" s="1"/>
  <c r="F86" i="25"/>
  <c r="F4" i="25"/>
  <c r="G78" i="25"/>
  <c r="F88" i="25"/>
  <c r="F87" i="25"/>
  <c r="F89" i="25"/>
  <c r="G75" i="25"/>
  <c r="H43" i="25"/>
  <c r="H44" i="25"/>
  <c r="H45" i="25"/>
  <c r="H46" i="25"/>
  <c r="H47" i="25"/>
  <c r="H48" i="25"/>
  <c r="H50" i="25"/>
  <c r="H51" i="25"/>
  <c r="H52" i="25"/>
  <c r="H53" i="25"/>
  <c r="H49" i="25"/>
  <c r="H26" i="25"/>
  <c r="H30" i="25"/>
  <c r="H34" i="25"/>
  <c r="H38" i="25"/>
  <c r="H42" i="25"/>
  <c r="H32" i="25"/>
  <c r="H40" i="25"/>
  <c r="H33" i="25"/>
  <c r="H54" i="25"/>
  <c r="H55" i="25"/>
  <c r="H56" i="25"/>
  <c r="H57" i="25"/>
  <c r="H58" i="25"/>
  <c r="H59" i="25"/>
  <c r="H60" i="25"/>
  <c r="H61" i="25"/>
  <c r="H62" i="25"/>
  <c r="H63" i="25"/>
  <c r="H64" i="25"/>
  <c r="H27" i="25"/>
  <c r="H31" i="25"/>
  <c r="H35" i="25"/>
  <c r="H39" i="25"/>
  <c r="H28" i="25"/>
  <c r="H36" i="25"/>
  <c r="H29" i="25"/>
  <c r="H37" i="25"/>
  <c r="H41" i="25"/>
  <c r="G97" i="25"/>
  <c r="G71" i="25"/>
  <c r="G81" i="25"/>
  <c r="G82" i="25"/>
  <c r="G69" i="25"/>
  <c r="G94" i="25"/>
  <c r="G84" i="25"/>
  <c r="G102" i="25"/>
  <c r="G92" i="25"/>
  <c r="G83" i="25"/>
  <c r="G99" i="25"/>
  <c r="G73" i="25"/>
  <c r="G80" i="25"/>
  <c r="G86" i="25"/>
  <c r="G105" i="25"/>
  <c r="G96" i="25"/>
  <c r="G103" i="25"/>
  <c r="G68" i="25"/>
  <c r="G77" i="25"/>
  <c r="G93" i="25"/>
  <c r="G106" i="25"/>
  <c r="G100" i="25"/>
  <c r="G91" i="25"/>
  <c r="G6" i="25" s="1"/>
  <c r="G70" i="25"/>
  <c r="I2" i="25"/>
  <c r="G72" i="25"/>
  <c r="G74" i="25"/>
  <c r="G76" i="25"/>
  <c r="G79" i="25"/>
  <c r="G98" i="25"/>
  <c r="G101" i="25"/>
  <c r="G88" i="25"/>
  <c r="G104" i="25"/>
  <c r="G95" i="25"/>
  <c r="F85" i="25"/>
  <c r="F90" i="25"/>
  <c r="H102" i="25" l="1"/>
  <c r="H4" i="25"/>
  <c r="H5" i="25" s="1"/>
  <c r="H91" i="25"/>
  <c r="H6" i="25" s="1"/>
  <c r="I43" i="25"/>
  <c r="I4" i="25" s="1"/>
  <c r="I5" i="25" s="1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44" i="25"/>
  <c r="I45" i="25"/>
  <c r="I46" i="25"/>
  <c r="I47" i="25"/>
  <c r="I48" i="25"/>
  <c r="I27" i="25"/>
  <c r="I32" i="25"/>
  <c r="I36" i="25"/>
  <c r="I49" i="25"/>
  <c r="I26" i="25"/>
  <c r="I31" i="25"/>
  <c r="I35" i="25"/>
  <c r="I39" i="25"/>
  <c r="I34" i="25"/>
  <c r="I29" i="25"/>
  <c r="I28" i="25"/>
  <c r="I33" i="25"/>
  <c r="I42" i="25"/>
  <c r="I30" i="25"/>
  <c r="I38" i="25"/>
  <c r="I41" i="25"/>
  <c r="I37" i="25"/>
  <c r="I40" i="25"/>
  <c r="G7" i="25"/>
  <c r="G8" i="25" s="1"/>
  <c r="G89" i="25"/>
  <c r="H95" i="25"/>
  <c r="H103" i="25"/>
  <c r="H72" i="25"/>
  <c r="H73" i="25"/>
  <c r="H80" i="25"/>
  <c r="H71" i="25"/>
  <c r="H81" i="25"/>
  <c r="H98" i="25"/>
  <c r="H105" i="25"/>
  <c r="H96" i="25"/>
  <c r="H79" i="25"/>
  <c r="H94" i="25"/>
  <c r="H99" i="25"/>
  <c r="H7" i="25" s="1"/>
  <c r="G87" i="25"/>
  <c r="H76" i="25"/>
  <c r="J2" i="25"/>
  <c r="H83" i="25"/>
  <c r="H70" i="25"/>
  <c r="H87" i="25"/>
  <c r="H93" i="25"/>
  <c r="H84" i="25"/>
  <c r="H100" i="25"/>
  <c r="H89" i="25"/>
  <c r="H86" i="25"/>
  <c r="H75" i="25"/>
  <c r="H69" i="25"/>
  <c r="H74" i="25"/>
  <c r="H97" i="25"/>
  <c r="H88" i="25"/>
  <c r="H104" i="25"/>
  <c r="H68" i="25"/>
  <c r="H78" i="25"/>
  <c r="H77" i="25"/>
  <c r="H82" i="25"/>
  <c r="H106" i="25"/>
  <c r="H101" i="25"/>
  <c r="H92" i="25"/>
  <c r="G85" i="25"/>
  <c r="G90" i="25"/>
  <c r="H8" i="25" l="1"/>
  <c r="I96" i="25"/>
  <c r="I103" i="25"/>
  <c r="J44" i="25"/>
  <c r="J45" i="25"/>
  <c r="J46" i="25"/>
  <c r="J47" i="25"/>
  <c r="J48" i="25"/>
  <c r="J49" i="25"/>
  <c r="J43" i="25"/>
  <c r="J4" i="25" s="1"/>
  <c r="J5" i="25" s="1"/>
  <c r="J26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28" i="25"/>
  <c r="J29" i="25"/>
  <c r="J33" i="25"/>
  <c r="J37" i="25"/>
  <c r="J27" i="25"/>
  <c r="J32" i="25"/>
  <c r="J36" i="25"/>
  <c r="J35" i="25"/>
  <c r="J40" i="25"/>
  <c r="J30" i="25"/>
  <c r="J34" i="25"/>
  <c r="J31" i="25"/>
  <c r="J39" i="25"/>
  <c r="J42" i="25"/>
  <c r="J38" i="25"/>
  <c r="J41" i="25"/>
  <c r="I91" i="25"/>
  <c r="I99" i="25"/>
  <c r="I94" i="25"/>
  <c r="I100" i="25"/>
  <c r="I104" i="25"/>
  <c r="I102" i="25"/>
  <c r="I97" i="25"/>
  <c r="I68" i="25"/>
  <c r="I73" i="25"/>
  <c r="I89" i="25"/>
  <c r="K2" i="25"/>
  <c r="I84" i="25"/>
  <c r="I82" i="25"/>
  <c r="I106" i="25"/>
  <c r="I101" i="25"/>
  <c r="I81" i="25"/>
  <c r="I80" i="25"/>
  <c r="I77" i="25"/>
  <c r="I74" i="25"/>
  <c r="I83" i="25"/>
  <c r="I87" i="25"/>
  <c r="I105" i="25"/>
  <c r="I69" i="25"/>
  <c r="I76" i="25"/>
  <c r="I78" i="25"/>
  <c r="I71" i="25"/>
  <c r="H85" i="25"/>
  <c r="H90" i="25"/>
  <c r="I79" i="25"/>
  <c r="I72" i="25"/>
  <c r="I70" i="25"/>
  <c r="I75" i="25"/>
  <c r="I92" i="25"/>
  <c r="I95" i="25"/>
  <c r="I98" i="25"/>
  <c r="I93" i="25"/>
  <c r="I18" i="25" l="1"/>
  <c r="J100" i="25"/>
  <c r="J95" i="25"/>
  <c r="J101" i="25"/>
  <c r="J97" i="25"/>
  <c r="J102" i="25"/>
  <c r="J91" i="25"/>
  <c r="J6" i="25" s="1"/>
  <c r="I16" i="25"/>
  <c r="I17" i="25"/>
  <c r="I7" i="25"/>
  <c r="I15" i="25"/>
  <c r="I6" i="25"/>
  <c r="I14" i="25"/>
  <c r="I13" i="25"/>
  <c r="J77" i="25"/>
  <c r="J73" i="25"/>
  <c r="J80" i="25"/>
  <c r="K44" i="25"/>
  <c r="K45" i="25"/>
  <c r="K46" i="25"/>
  <c r="K47" i="25"/>
  <c r="K48" i="25"/>
  <c r="K49" i="25"/>
  <c r="K27" i="25"/>
  <c r="K43" i="25"/>
  <c r="K4" i="25" s="1"/>
  <c r="K5" i="25" s="1"/>
  <c r="K26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30" i="25"/>
  <c r="K34" i="25"/>
  <c r="K38" i="25"/>
  <c r="K28" i="25"/>
  <c r="K29" i="25"/>
  <c r="K33" i="25"/>
  <c r="K37" i="25"/>
  <c r="K36" i="25"/>
  <c r="K41" i="25"/>
  <c r="K31" i="25"/>
  <c r="K35" i="25"/>
  <c r="K40" i="25"/>
  <c r="K32" i="25"/>
  <c r="K39" i="25"/>
  <c r="K42" i="25"/>
  <c r="I88" i="25"/>
  <c r="J78" i="25"/>
  <c r="J96" i="25"/>
  <c r="J93" i="25"/>
  <c r="J104" i="25"/>
  <c r="J92" i="25"/>
  <c r="J105" i="25"/>
  <c r="J68" i="25"/>
  <c r="J106" i="25"/>
  <c r="J89" i="25"/>
  <c r="J82" i="25"/>
  <c r="J74" i="25"/>
  <c r="J84" i="25"/>
  <c r="J72" i="25"/>
  <c r="J83" i="25"/>
  <c r="J99" i="25"/>
  <c r="J7" i="25" s="1"/>
  <c r="J94" i="25"/>
  <c r="I90" i="25"/>
  <c r="I85" i="25"/>
  <c r="J70" i="25"/>
  <c r="J81" i="25"/>
  <c r="L2" i="25"/>
  <c r="J75" i="25"/>
  <c r="J69" i="25"/>
  <c r="J71" i="25"/>
  <c r="J76" i="25"/>
  <c r="J79" i="25"/>
  <c r="J103" i="25"/>
  <c r="J98" i="25"/>
  <c r="I86" i="25"/>
  <c r="J8" i="25" l="1"/>
  <c r="I19" i="25"/>
  <c r="I8" i="25"/>
  <c r="K101" i="25"/>
  <c r="L43" i="25"/>
  <c r="L4" i="25" s="1"/>
  <c r="L5" i="25" s="1"/>
  <c r="L44" i="25"/>
  <c r="L45" i="25"/>
  <c r="L46" i="25"/>
  <c r="L47" i="25"/>
  <c r="L48" i="25"/>
  <c r="L49" i="25"/>
  <c r="L28" i="25"/>
  <c r="L31" i="25"/>
  <c r="L35" i="25"/>
  <c r="L3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30" i="25"/>
  <c r="L34" i="25"/>
  <c r="L38" i="25"/>
  <c r="L29" i="25"/>
  <c r="L37" i="25"/>
  <c r="L42" i="25"/>
  <c r="L32" i="25"/>
  <c r="L36" i="25"/>
  <c r="L41" i="25"/>
  <c r="L26" i="25"/>
  <c r="L27" i="25"/>
  <c r="L33" i="25"/>
  <c r="L40" i="25"/>
  <c r="K97" i="25"/>
  <c r="K104" i="25"/>
  <c r="K95" i="25"/>
  <c r="K93" i="25"/>
  <c r="K78" i="25"/>
  <c r="K72" i="25"/>
  <c r="K84" i="25"/>
  <c r="J87" i="25"/>
  <c r="K75" i="25"/>
  <c r="K76" i="25"/>
  <c r="K70" i="25"/>
  <c r="K81" i="25"/>
  <c r="K88" i="25"/>
  <c r="K98" i="25"/>
  <c r="K92" i="25"/>
  <c r="K83" i="25"/>
  <c r="K99" i="25"/>
  <c r="K7" i="25" s="1"/>
  <c r="J86" i="25"/>
  <c r="K68" i="25"/>
  <c r="K82" i="25"/>
  <c r="K74" i="25"/>
  <c r="K69" i="25"/>
  <c r="K106" i="25"/>
  <c r="K94" i="25"/>
  <c r="K102" i="25"/>
  <c r="K96" i="25"/>
  <c r="K103" i="25"/>
  <c r="K71" i="25"/>
  <c r="K77" i="25"/>
  <c r="J85" i="25"/>
  <c r="J90" i="25"/>
  <c r="M2" i="25"/>
  <c r="K79" i="25"/>
  <c r="K73" i="25"/>
  <c r="K80" i="25"/>
  <c r="K105" i="25"/>
  <c r="K100" i="25"/>
  <c r="K91" i="25"/>
  <c r="K6" i="25" s="1"/>
  <c r="J88" i="25"/>
  <c r="M43" i="25" l="1"/>
  <c r="M4" i="25" s="1"/>
  <c r="M5" i="25" s="1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49" i="25"/>
  <c r="M45" i="25"/>
  <c r="M47" i="25"/>
  <c r="M32" i="25"/>
  <c r="M36" i="25"/>
  <c r="M31" i="25"/>
  <c r="M35" i="25"/>
  <c r="M46" i="25"/>
  <c r="M30" i="25"/>
  <c r="M38" i="25"/>
  <c r="M39" i="25"/>
  <c r="M26" i="25"/>
  <c r="M27" i="25"/>
  <c r="M33" i="25"/>
  <c r="M40" i="25"/>
  <c r="M29" i="25"/>
  <c r="M37" i="25"/>
  <c r="M42" i="25"/>
  <c r="M44" i="25"/>
  <c r="M48" i="25"/>
  <c r="M28" i="25"/>
  <c r="M34" i="25"/>
  <c r="M41" i="25"/>
  <c r="K8" i="25"/>
  <c r="L78" i="25"/>
  <c r="L77" i="25"/>
  <c r="L74" i="25"/>
  <c r="L81" i="25"/>
  <c r="K89" i="25"/>
  <c r="L105" i="25"/>
  <c r="L96" i="25"/>
  <c r="K87" i="25"/>
  <c r="L68" i="25"/>
  <c r="L80" i="25"/>
  <c r="L71" i="25"/>
  <c r="L73" i="25"/>
  <c r="L79" i="25"/>
  <c r="L91" i="25"/>
  <c r="L6" i="25" s="1"/>
  <c r="L87" i="25"/>
  <c r="L93" i="25"/>
  <c r="L84" i="25"/>
  <c r="L72" i="25"/>
  <c r="L95" i="25"/>
  <c r="L75" i="25"/>
  <c r="N2" i="25"/>
  <c r="L83" i="25"/>
  <c r="L99" i="25"/>
  <c r="L7" i="25" s="1"/>
  <c r="L94" i="25"/>
  <c r="L97" i="25"/>
  <c r="L88" i="25"/>
  <c r="L104" i="25"/>
  <c r="L76" i="25"/>
  <c r="L69" i="25"/>
  <c r="L82" i="25"/>
  <c r="L70" i="25"/>
  <c r="L98" i="25"/>
  <c r="L102" i="25"/>
  <c r="L103" i="25"/>
  <c r="L101" i="25"/>
  <c r="L92" i="25"/>
  <c r="K85" i="25"/>
  <c r="K90" i="25"/>
  <c r="L106" i="25"/>
  <c r="L100" i="25"/>
  <c r="K86" i="25"/>
  <c r="M93" i="25" l="1"/>
  <c r="M69" i="25"/>
  <c r="M98" i="25"/>
  <c r="M94" i="25"/>
  <c r="M74" i="25"/>
  <c r="M70" i="25"/>
  <c r="N43" i="25"/>
  <c r="N4" i="25" s="1"/>
  <c r="N5" i="25" s="1"/>
  <c r="N50" i="25"/>
  <c r="N51" i="25"/>
  <c r="N52" i="25"/>
  <c r="N26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27" i="25"/>
  <c r="N29" i="25"/>
  <c r="N33" i="25"/>
  <c r="N37" i="25"/>
  <c r="N45" i="25"/>
  <c r="N47" i="25"/>
  <c r="N32" i="25"/>
  <c r="N36" i="25"/>
  <c r="N31" i="25"/>
  <c r="N40" i="25"/>
  <c r="N42" i="25"/>
  <c r="N48" i="25"/>
  <c r="N34" i="25"/>
  <c r="N41" i="25"/>
  <c r="N46" i="25"/>
  <c r="N30" i="25"/>
  <c r="N38" i="25"/>
  <c r="N39" i="25"/>
  <c r="N49" i="25"/>
  <c r="N35" i="25"/>
  <c r="N44" i="25"/>
  <c r="N28" i="25"/>
  <c r="M91" i="25"/>
  <c r="M6" i="25" s="1"/>
  <c r="M80" i="25"/>
  <c r="M75" i="25"/>
  <c r="M99" i="25"/>
  <c r="M7" i="25" s="1"/>
  <c r="L8" i="25"/>
  <c r="M77" i="25"/>
  <c r="M83" i="25"/>
  <c r="M96" i="25"/>
  <c r="M103" i="25"/>
  <c r="M95" i="25"/>
  <c r="M92" i="25"/>
  <c r="M100" i="25"/>
  <c r="M82" i="25"/>
  <c r="M84" i="25"/>
  <c r="M72" i="25"/>
  <c r="M87" i="25"/>
  <c r="M104" i="25"/>
  <c r="M102" i="25"/>
  <c r="M97" i="25"/>
  <c r="L85" i="25"/>
  <c r="L90" i="25"/>
  <c r="M68" i="25"/>
  <c r="M79" i="25"/>
  <c r="O2" i="25"/>
  <c r="M106" i="25"/>
  <c r="M101" i="25"/>
  <c r="L86" i="25"/>
  <c r="L89" i="25"/>
  <c r="M73" i="25"/>
  <c r="M76" i="25"/>
  <c r="M81" i="25"/>
  <c r="M71" i="25"/>
  <c r="M78" i="25"/>
  <c r="M105" i="25"/>
  <c r="N77" i="25" l="1"/>
  <c r="N81" i="25"/>
  <c r="N71" i="25"/>
  <c r="N95" i="25"/>
  <c r="N91" i="25"/>
  <c r="N6" i="25" s="1"/>
  <c r="N105" i="25"/>
  <c r="N96" i="25"/>
  <c r="N93" i="25"/>
  <c r="O44" i="25"/>
  <c r="O45" i="25"/>
  <c r="O46" i="25"/>
  <c r="O47" i="25"/>
  <c r="O48" i="25"/>
  <c r="O49" i="25"/>
  <c r="O27" i="25"/>
  <c r="O50" i="25"/>
  <c r="O51" i="25"/>
  <c r="O52" i="25"/>
  <c r="O26" i="25"/>
  <c r="O43" i="25"/>
  <c r="O4" i="25" s="1"/>
  <c r="O5" i="25" s="1"/>
  <c r="O28" i="25"/>
  <c r="O30" i="25"/>
  <c r="O34" i="25"/>
  <c r="O38" i="25"/>
  <c r="O29" i="25"/>
  <c r="O33" i="25"/>
  <c r="O37" i="25"/>
  <c r="O32" i="25"/>
  <c r="O41" i="25"/>
  <c r="O35" i="25"/>
  <c r="O42" i="25"/>
  <c r="O31" i="25"/>
  <c r="O40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36" i="25"/>
  <c r="O39" i="25"/>
  <c r="M8" i="25"/>
  <c r="M89" i="25"/>
  <c r="M88" i="25"/>
  <c r="N84" i="25"/>
  <c r="N78" i="25"/>
  <c r="N70" i="25"/>
  <c r="N69" i="25"/>
  <c r="N76" i="25"/>
  <c r="N83" i="25"/>
  <c r="N75" i="25"/>
  <c r="N74" i="25"/>
  <c r="N92" i="25"/>
  <c r="N101" i="25"/>
  <c r="N97" i="25"/>
  <c r="N99" i="25"/>
  <c r="N7" i="25" s="1"/>
  <c r="N100" i="25"/>
  <c r="N72" i="25"/>
  <c r="N79" i="25"/>
  <c r="N104" i="25"/>
  <c r="N103" i="25"/>
  <c r="N98" i="25"/>
  <c r="N89" i="25"/>
  <c r="N102" i="25"/>
  <c r="M90" i="25"/>
  <c r="M85" i="25"/>
  <c r="P2" i="25"/>
  <c r="N73" i="25"/>
  <c r="N80" i="25"/>
  <c r="N106" i="25"/>
  <c r="M86" i="25"/>
  <c r="N87" i="25"/>
  <c r="N68" i="25"/>
  <c r="N82" i="25"/>
  <c r="N94" i="25"/>
  <c r="O84" i="25" l="1"/>
  <c r="O71" i="25"/>
  <c r="O76" i="25"/>
  <c r="N8" i="25"/>
  <c r="O83" i="25"/>
  <c r="O77" i="25"/>
  <c r="O94" i="25"/>
  <c r="O72" i="25"/>
  <c r="P44" i="25"/>
  <c r="P45" i="25"/>
  <c r="P46" i="25"/>
  <c r="P47" i="25"/>
  <c r="P48" i="25"/>
  <c r="P49" i="25"/>
  <c r="P28" i="25"/>
  <c r="P26" i="25"/>
  <c r="P31" i="25"/>
  <c r="P35" i="25"/>
  <c r="P39" i="25"/>
  <c r="P43" i="25"/>
  <c r="P4" i="25" s="1"/>
  <c r="P5" i="25" s="1"/>
  <c r="P27" i="25"/>
  <c r="P30" i="25"/>
  <c r="P34" i="25"/>
  <c r="P38" i="25"/>
  <c r="P50" i="25"/>
  <c r="P52" i="25"/>
  <c r="P33" i="25"/>
  <c r="P42" i="25"/>
  <c r="P36" i="25"/>
  <c r="P32" i="25"/>
  <c r="P41" i="25"/>
  <c r="P51" i="25"/>
  <c r="P29" i="25"/>
  <c r="P37" i="25"/>
  <c r="P40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O70" i="25"/>
  <c r="O78" i="25"/>
  <c r="Q2" i="25"/>
  <c r="O101" i="25"/>
  <c r="O103" i="25"/>
  <c r="N90" i="25"/>
  <c r="N85" i="25"/>
  <c r="O99" i="25"/>
  <c r="O7" i="25" s="1"/>
  <c r="O102" i="25"/>
  <c r="O96" i="25"/>
  <c r="O82" i="25"/>
  <c r="O75" i="25"/>
  <c r="O74" i="25"/>
  <c r="O69" i="25"/>
  <c r="O97" i="25"/>
  <c r="O105" i="25"/>
  <c r="O106" i="25"/>
  <c r="O100" i="25"/>
  <c r="O91" i="25"/>
  <c r="O6" i="25" s="1"/>
  <c r="N86" i="25"/>
  <c r="O92" i="25"/>
  <c r="O98" i="25"/>
  <c r="O68" i="25"/>
  <c r="O79" i="25"/>
  <c r="O81" i="25"/>
  <c r="O73" i="25"/>
  <c r="O80" i="25"/>
  <c r="O93" i="25"/>
  <c r="O104" i="25"/>
  <c r="O95" i="25"/>
  <c r="N88" i="25"/>
  <c r="P91" i="25" l="1"/>
  <c r="P6" i="25" s="1"/>
  <c r="P94" i="25"/>
  <c r="O8" i="25"/>
  <c r="Q43" i="25"/>
  <c r="Q4" i="25" s="1"/>
  <c r="Q5" i="25" s="1"/>
  <c r="Q50" i="25"/>
  <c r="Q51" i="25"/>
  <c r="Q52" i="25"/>
  <c r="Q44" i="25"/>
  <c r="Q45" i="25"/>
  <c r="Q46" i="25"/>
  <c r="Q47" i="25"/>
  <c r="Q48" i="25"/>
  <c r="Q53" i="25"/>
  <c r="Q54" i="25"/>
  <c r="Q55" i="25"/>
  <c r="Q56" i="25"/>
  <c r="Q57" i="25"/>
  <c r="Q58" i="25"/>
  <c r="Q59" i="25"/>
  <c r="Q60" i="25"/>
  <c r="Q61" i="25"/>
  <c r="Q62" i="25"/>
  <c r="Q63" i="25"/>
  <c r="Q64" i="25"/>
  <c r="Q32" i="25"/>
  <c r="Q36" i="25"/>
  <c r="Q26" i="25"/>
  <c r="Q28" i="25"/>
  <c r="Q31" i="25"/>
  <c r="Q35" i="25"/>
  <c r="Q27" i="25"/>
  <c r="Q34" i="25"/>
  <c r="Q37" i="25"/>
  <c r="Q39" i="25"/>
  <c r="Q33" i="25"/>
  <c r="Q42" i="25"/>
  <c r="Q30" i="25"/>
  <c r="Q38" i="25"/>
  <c r="Q41" i="25"/>
  <c r="Q49" i="25"/>
  <c r="Q29" i="25"/>
  <c r="Q40" i="25"/>
  <c r="P92" i="25"/>
  <c r="P98" i="25"/>
  <c r="P106" i="25"/>
  <c r="P101" i="25"/>
  <c r="O85" i="25"/>
  <c r="O90" i="25"/>
  <c r="P86" i="25"/>
  <c r="P80" i="25"/>
  <c r="P74" i="25"/>
  <c r="P95" i="25"/>
  <c r="P99" i="25"/>
  <c r="P7" i="25" s="1"/>
  <c r="P105" i="25"/>
  <c r="P96" i="25"/>
  <c r="P70" i="25"/>
  <c r="O86" i="25"/>
  <c r="O89" i="25"/>
  <c r="O87" i="25"/>
  <c r="P75" i="25"/>
  <c r="O88" i="25"/>
  <c r="P73" i="25"/>
  <c r="P76" i="25"/>
  <c r="P79" i="25"/>
  <c r="R2" i="25"/>
  <c r="P83" i="25"/>
  <c r="P102" i="25"/>
  <c r="P93" i="25"/>
  <c r="P84" i="25"/>
  <c r="P100" i="25"/>
  <c r="P68" i="25"/>
  <c r="P78" i="25"/>
  <c r="P69" i="25"/>
  <c r="P72" i="25"/>
  <c r="P77" i="25"/>
  <c r="P82" i="25"/>
  <c r="P71" i="25"/>
  <c r="P81" i="25"/>
  <c r="P103" i="25"/>
  <c r="P97" i="25"/>
  <c r="P104" i="25"/>
  <c r="P8" i="25" l="1"/>
  <c r="Q92" i="25"/>
  <c r="Q103" i="25"/>
  <c r="Q73" i="25"/>
  <c r="Q69" i="25"/>
  <c r="R43" i="25"/>
  <c r="R4" i="25" s="1"/>
  <c r="R5" i="25" s="1"/>
  <c r="R44" i="25"/>
  <c r="R45" i="25"/>
  <c r="R46" i="25"/>
  <c r="R47" i="25"/>
  <c r="R48" i="25"/>
  <c r="R49" i="25"/>
  <c r="R26" i="25"/>
  <c r="R53" i="25"/>
  <c r="R54" i="25"/>
  <c r="R55" i="25"/>
  <c r="R56" i="25"/>
  <c r="R57" i="25"/>
  <c r="R58" i="25"/>
  <c r="R59" i="25"/>
  <c r="R60" i="25"/>
  <c r="R61" i="25"/>
  <c r="R62" i="25"/>
  <c r="R63" i="25"/>
  <c r="R64" i="25"/>
  <c r="R29" i="25"/>
  <c r="R33" i="25"/>
  <c r="R37" i="25"/>
  <c r="R32" i="25"/>
  <c r="R36" i="25"/>
  <c r="R28" i="25"/>
  <c r="R35" i="25"/>
  <c r="R39" i="25"/>
  <c r="R40" i="25"/>
  <c r="R51" i="25"/>
  <c r="R38" i="25"/>
  <c r="R50" i="25"/>
  <c r="R52" i="25"/>
  <c r="R27" i="25"/>
  <c r="R34" i="25"/>
  <c r="R31" i="25"/>
  <c r="R42" i="25"/>
  <c r="R30" i="25"/>
  <c r="R41" i="25"/>
  <c r="Q70" i="25"/>
  <c r="Q100" i="25"/>
  <c r="Q94" i="25"/>
  <c r="Q91" i="25"/>
  <c r="Q6" i="25" s="1"/>
  <c r="Q96" i="25"/>
  <c r="Q99" i="25"/>
  <c r="Q7" i="25" s="1"/>
  <c r="Q104" i="25"/>
  <c r="Q76" i="25"/>
  <c r="Q77" i="25"/>
  <c r="Q80" i="25"/>
  <c r="Q83" i="25"/>
  <c r="Q74" i="25"/>
  <c r="Q71" i="25"/>
  <c r="Q84" i="25"/>
  <c r="Q95" i="25"/>
  <c r="Q102" i="25"/>
  <c r="Q97" i="25"/>
  <c r="P87" i="25"/>
  <c r="Q68" i="25"/>
  <c r="Q75" i="25"/>
  <c r="Q106" i="25"/>
  <c r="Q101" i="25"/>
  <c r="P85" i="25"/>
  <c r="P90" i="25"/>
  <c r="Q72" i="25"/>
  <c r="Q79" i="25"/>
  <c r="Q78" i="25"/>
  <c r="Q105" i="25"/>
  <c r="P88" i="25"/>
  <c r="S2" i="25"/>
  <c r="Q81" i="25"/>
  <c r="Q82" i="25"/>
  <c r="Q87" i="25"/>
  <c r="Q98" i="25"/>
  <c r="Q93" i="25"/>
  <c r="P89" i="25"/>
  <c r="R73" i="25" l="1"/>
  <c r="R81" i="25"/>
  <c r="R93" i="25"/>
  <c r="R74" i="25"/>
  <c r="R78" i="25"/>
  <c r="R92" i="25"/>
  <c r="R96" i="25"/>
  <c r="R100" i="25"/>
  <c r="R97" i="25"/>
  <c r="R95" i="25"/>
  <c r="R91" i="25"/>
  <c r="R6" i="25" s="1"/>
  <c r="R69" i="25"/>
  <c r="R80" i="25"/>
  <c r="Q8" i="25"/>
  <c r="R70" i="25"/>
  <c r="R71" i="25"/>
  <c r="R82" i="25"/>
  <c r="S44" i="25"/>
  <c r="S45" i="25"/>
  <c r="S46" i="25"/>
  <c r="S47" i="25"/>
  <c r="S48" i="25"/>
  <c r="S49" i="25"/>
  <c r="S43" i="25"/>
  <c r="S4" i="25" s="1"/>
  <c r="S5" i="25" s="1"/>
  <c r="S50" i="25"/>
  <c r="S51" i="25"/>
  <c r="S52" i="25"/>
  <c r="S27" i="25"/>
  <c r="S26" i="25"/>
  <c r="S68" i="25" s="1"/>
  <c r="S53" i="25"/>
  <c r="S54" i="25"/>
  <c r="S55" i="25"/>
  <c r="S56" i="25"/>
  <c r="S57" i="25"/>
  <c r="S58" i="25"/>
  <c r="S59" i="25"/>
  <c r="S60" i="25"/>
  <c r="S61" i="25"/>
  <c r="S62" i="25"/>
  <c r="S63" i="25"/>
  <c r="S64" i="25"/>
  <c r="S30" i="25"/>
  <c r="S34" i="25"/>
  <c r="S38" i="25"/>
  <c r="S29" i="25"/>
  <c r="S33" i="25"/>
  <c r="S37" i="25"/>
  <c r="S36" i="25"/>
  <c r="S41" i="25"/>
  <c r="S28" i="25"/>
  <c r="S35" i="25"/>
  <c r="S39" i="25"/>
  <c r="S40" i="25"/>
  <c r="S32" i="25"/>
  <c r="S31" i="25"/>
  <c r="S42" i="25"/>
  <c r="R75" i="25"/>
  <c r="R79" i="25"/>
  <c r="Q89" i="25"/>
  <c r="R99" i="25"/>
  <c r="R7" i="25" s="1"/>
  <c r="R104" i="25"/>
  <c r="R101" i="25"/>
  <c r="R94" i="25"/>
  <c r="R105" i="25"/>
  <c r="Q90" i="25"/>
  <c r="Q85" i="25"/>
  <c r="R68" i="25"/>
  <c r="R84" i="25"/>
  <c r="R103" i="25"/>
  <c r="R98" i="25"/>
  <c r="R83" i="25"/>
  <c r="R72" i="25"/>
  <c r="R89" i="25"/>
  <c r="R102" i="25"/>
  <c r="Q86" i="25"/>
  <c r="R77" i="25"/>
  <c r="R88" i="25"/>
  <c r="R76" i="25"/>
  <c r="R106" i="25"/>
  <c r="Q88" i="25"/>
  <c r="S70" i="25" l="1"/>
  <c r="S71" i="25"/>
  <c r="S69" i="25"/>
  <c r="S79" i="25"/>
  <c r="R8" i="25"/>
  <c r="S75" i="25"/>
  <c r="T43" i="25"/>
  <c r="T4" i="25" s="1"/>
  <c r="T5" i="25" s="1"/>
  <c r="T28" i="25"/>
  <c r="T44" i="25"/>
  <c r="T45" i="25"/>
  <c r="T46" i="25"/>
  <c r="T47" i="25"/>
  <c r="T48" i="25"/>
  <c r="T49" i="25"/>
  <c r="T50" i="25"/>
  <c r="T51" i="25"/>
  <c r="T52" i="25"/>
  <c r="T27" i="25"/>
  <c r="T31" i="25"/>
  <c r="T35" i="25"/>
  <c r="T39" i="25"/>
  <c r="T53" i="25"/>
  <c r="T54" i="25"/>
  <c r="T55" i="25"/>
  <c r="T56" i="25"/>
  <c r="T57" i="25"/>
  <c r="T58" i="25"/>
  <c r="T59" i="25"/>
  <c r="T60" i="25"/>
  <c r="T61" i="25"/>
  <c r="T62" i="25"/>
  <c r="T63" i="25"/>
  <c r="T64" i="25"/>
  <c r="T30" i="25"/>
  <c r="T34" i="25"/>
  <c r="T38" i="25"/>
  <c r="T26" i="25"/>
  <c r="T29" i="25"/>
  <c r="T37" i="25"/>
  <c r="T42" i="25"/>
  <c r="T36" i="25"/>
  <c r="T41" i="25"/>
  <c r="T33" i="25"/>
  <c r="T40" i="25"/>
  <c r="T32" i="25"/>
  <c r="X43" i="25"/>
  <c r="X4" i="25" s="1"/>
  <c r="X5" i="25" s="1"/>
  <c r="X49" i="25"/>
  <c r="X50" i="25"/>
  <c r="X51" i="25"/>
  <c r="X52" i="25"/>
  <c r="X44" i="25"/>
  <c r="X46" i="25"/>
  <c r="X48" i="25"/>
  <c r="X26" i="25"/>
  <c r="X31" i="25"/>
  <c r="X35" i="25"/>
  <c r="X39" i="25"/>
  <c r="X30" i="25"/>
  <c r="X34" i="25"/>
  <c r="X38" i="25"/>
  <c r="X47" i="25"/>
  <c r="X33" i="25"/>
  <c r="X42" i="25"/>
  <c r="X28" i="25"/>
  <c r="X53" i="25"/>
  <c r="X54" i="25"/>
  <c r="X55" i="25"/>
  <c r="X56" i="25"/>
  <c r="X57" i="25"/>
  <c r="X58" i="25"/>
  <c r="X59" i="25"/>
  <c r="X60" i="25"/>
  <c r="X61" i="25"/>
  <c r="X62" i="25"/>
  <c r="X63" i="25"/>
  <c r="X64" i="25"/>
  <c r="X32" i="25"/>
  <c r="X41" i="25"/>
  <c r="X45" i="25"/>
  <c r="X29" i="25"/>
  <c r="X37" i="25"/>
  <c r="X40" i="25"/>
  <c r="X27" i="25"/>
  <c r="X36" i="25"/>
  <c r="S101" i="25"/>
  <c r="S93" i="25"/>
  <c r="S72" i="25"/>
  <c r="S78" i="25"/>
  <c r="S82" i="25"/>
  <c r="S94" i="25"/>
  <c r="S102" i="25"/>
  <c r="S92" i="25"/>
  <c r="S83" i="25"/>
  <c r="S99" i="25"/>
  <c r="S89" i="25"/>
  <c r="S84" i="25"/>
  <c r="S105" i="25"/>
  <c r="S96" i="25"/>
  <c r="S103" i="25"/>
  <c r="R85" i="25"/>
  <c r="R90" i="25"/>
  <c r="S73" i="25"/>
  <c r="S97" i="25"/>
  <c r="S106" i="25"/>
  <c r="S100" i="25"/>
  <c r="S91" i="25"/>
  <c r="S6" i="25" s="1"/>
  <c r="Y2" i="25"/>
  <c r="AC2" i="25"/>
  <c r="R86" i="25"/>
  <c r="R87" i="25"/>
  <c r="U2" i="25"/>
  <c r="S81" i="25"/>
  <c r="S74" i="25"/>
  <c r="S76" i="25"/>
  <c r="S77" i="25"/>
  <c r="S80" i="25"/>
  <c r="S98" i="25"/>
  <c r="S88" i="25"/>
  <c r="S104" i="25"/>
  <c r="S95" i="25"/>
  <c r="X105" i="25" l="1"/>
  <c r="T104" i="25"/>
  <c r="X91" i="25"/>
  <c r="X6" i="25" s="1"/>
  <c r="X102" i="25"/>
  <c r="X94" i="25"/>
  <c r="AC43" i="25"/>
  <c r="AC4" i="25" s="1"/>
  <c r="AC5" i="25" s="1"/>
  <c r="AC49" i="25"/>
  <c r="AC50" i="25"/>
  <c r="AC51" i="25"/>
  <c r="AC52" i="25"/>
  <c r="AC44" i="25"/>
  <c r="AC45" i="25"/>
  <c r="AC46" i="25"/>
  <c r="AC47" i="25"/>
  <c r="AC48" i="25"/>
  <c r="AC53" i="25"/>
  <c r="AC54" i="25"/>
  <c r="AC55" i="25"/>
  <c r="AC56" i="25"/>
  <c r="AC57" i="25"/>
  <c r="AC58" i="25"/>
  <c r="AC59" i="25"/>
  <c r="AC60" i="25"/>
  <c r="AC61" i="25"/>
  <c r="AC62" i="25"/>
  <c r="AC63" i="25"/>
  <c r="AC64" i="25"/>
  <c r="AC28" i="25"/>
  <c r="AC32" i="25"/>
  <c r="AC36" i="25"/>
  <c r="AC31" i="25"/>
  <c r="AC35" i="25"/>
  <c r="AC30" i="25"/>
  <c r="AC38" i="25"/>
  <c r="AC39" i="25"/>
  <c r="AC41" i="25"/>
  <c r="AC33" i="25"/>
  <c r="AC40" i="25"/>
  <c r="AC27" i="25"/>
  <c r="AC29" i="25"/>
  <c r="AC37" i="25"/>
  <c r="AC42" i="25"/>
  <c r="AC34" i="25"/>
  <c r="AC26" i="25"/>
  <c r="Y43" i="25"/>
  <c r="Y4" i="25" s="1"/>
  <c r="Y5" i="25" s="1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27" i="25"/>
  <c r="Y28" i="25"/>
  <c r="Y32" i="25"/>
  <c r="Y36" i="25"/>
  <c r="Y44" i="25"/>
  <c r="Y46" i="25"/>
  <c r="Y48" i="25"/>
  <c r="Y26" i="25"/>
  <c r="Y31" i="25"/>
  <c r="Y35" i="25"/>
  <c r="Y34" i="25"/>
  <c r="Y45" i="25"/>
  <c r="Y29" i="25"/>
  <c r="Y47" i="25"/>
  <c r="Y33" i="25"/>
  <c r="Y39" i="25"/>
  <c r="Y42" i="25"/>
  <c r="Y30" i="25"/>
  <c r="Y38" i="25"/>
  <c r="Y41" i="25"/>
  <c r="Y37" i="25"/>
  <c r="Y40" i="25"/>
  <c r="J16" i="25"/>
  <c r="U43" i="25"/>
  <c r="U4" i="25" s="1"/>
  <c r="U5" i="25" s="1"/>
  <c r="U44" i="25"/>
  <c r="U45" i="25"/>
  <c r="U46" i="25"/>
  <c r="U47" i="25"/>
  <c r="U48" i="25"/>
  <c r="U49" i="25"/>
  <c r="U50" i="25"/>
  <c r="U51" i="25"/>
  <c r="U52" i="25"/>
  <c r="U53" i="25"/>
  <c r="U54" i="25"/>
  <c r="U55" i="25"/>
  <c r="U56" i="25"/>
  <c r="U57" i="25"/>
  <c r="U58" i="25"/>
  <c r="U59" i="25"/>
  <c r="U60" i="25"/>
  <c r="U61" i="25"/>
  <c r="U62" i="25"/>
  <c r="U63" i="25"/>
  <c r="U64" i="25"/>
  <c r="U28" i="25"/>
  <c r="U32" i="25"/>
  <c r="U36" i="25"/>
  <c r="U27" i="25"/>
  <c r="U31" i="25"/>
  <c r="U35" i="25"/>
  <c r="U30" i="25"/>
  <c r="U38" i="25"/>
  <c r="U41" i="25"/>
  <c r="U40" i="25"/>
  <c r="U26" i="25"/>
  <c r="U29" i="25"/>
  <c r="U37" i="25"/>
  <c r="U42" i="25"/>
  <c r="U34" i="25"/>
  <c r="U39" i="25"/>
  <c r="U33" i="25"/>
  <c r="J15" i="25"/>
  <c r="S7" i="25"/>
  <c r="S8" i="25" s="1"/>
  <c r="T91" i="25"/>
  <c r="T6" i="25" s="1"/>
  <c r="T94" i="25"/>
  <c r="T97" i="25"/>
  <c r="T102" i="25"/>
  <c r="X96" i="25"/>
  <c r="X75" i="25"/>
  <c r="X82" i="25"/>
  <c r="J17" i="25"/>
  <c r="T103" i="25"/>
  <c r="T68" i="25"/>
  <c r="T75" i="25"/>
  <c r="T72" i="25"/>
  <c r="T73" i="25"/>
  <c r="T89" i="25"/>
  <c r="T70" i="25"/>
  <c r="T95" i="25"/>
  <c r="T99" i="25"/>
  <c r="T7" i="25" s="1"/>
  <c r="T106" i="25"/>
  <c r="T101" i="25"/>
  <c r="T92" i="25"/>
  <c r="X68" i="25"/>
  <c r="X69" i="25"/>
  <c r="X78" i="25"/>
  <c r="X71" i="25"/>
  <c r="X95" i="25"/>
  <c r="X99" i="25"/>
  <c r="X7" i="25" s="1"/>
  <c r="X93" i="25"/>
  <c r="X84" i="25"/>
  <c r="X100" i="25"/>
  <c r="J18" i="25"/>
  <c r="T105" i="25"/>
  <c r="T96" i="25"/>
  <c r="X72" i="25"/>
  <c r="X79" i="25"/>
  <c r="X80" i="25"/>
  <c r="X70" i="25"/>
  <c r="X77" i="25"/>
  <c r="X103" i="25"/>
  <c r="X97" i="25"/>
  <c r="X88" i="25"/>
  <c r="X104" i="25"/>
  <c r="S85" i="25"/>
  <c r="S90" i="25"/>
  <c r="T82" i="25"/>
  <c r="T80" i="25"/>
  <c r="AD2" i="25"/>
  <c r="X89" i="25"/>
  <c r="T76" i="25"/>
  <c r="Z2" i="25"/>
  <c r="V2" i="25"/>
  <c r="T69" i="25"/>
  <c r="T74" i="25"/>
  <c r="T81" i="25"/>
  <c r="T98" i="25"/>
  <c r="T79" i="25"/>
  <c r="T71" i="25"/>
  <c r="T77" i="25"/>
  <c r="T78" i="25"/>
  <c r="T83" i="25"/>
  <c r="T93" i="25"/>
  <c r="T84" i="25"/>
  <c r="T100" i="25"/>
  <c r="X83" i="25"/>
  <c r="X76" i="25"/>
  <c r="AH2" i="25"/>
  <c r="X73" i="25"/>
  <c r="X74" i="25"/>
  <c r="X81" i="25"/>
  <c r="X98" i="25"/>
  <c r="X106" i="25"/>
  <c r="X101" i="25"/>
  <c r="X92" i="25"/>
  <c r="J13" i="25"/>
  <c r="J14" i="25"/>
  <c r="S87" i="25"/>
  <c r="S86" i="25"/>
  <c r="X8" i="25" l="1"/>
  <c r="AC91" i="25"/>
  <c r="AC6" i="25" s="1"/>
  <c r="AC92" i="25"/>
  <c r="U92" i="25"/>
  <c r="U99" i="25"/>
  <c r="U7" i="25" s="1"/>
  <c r="U73" i="25"/>
  <c r="Y99" i="25"/>
  <c r="Y7" i="25" s="1"/>
  <c r="Y77" i="25"/>
  <c r="Y73" i="25"/>
  <c r="AC95" i="25"/>
  <c r="V44" i="25"/>
  <c r="V45" i="25"/>
  <c r="V46" i="25"/>
  <c r="V47" i="25"/>
  <c r="V48" i="25"/>
  <c r="V26" i="25"/>
  <c r="V43" i="25"/>
  <c r="V4" i="25" s="1"/>
  <c r="V5" i="25" s="1"/>
  <c r="V53" i="25"/>
  <c r="V54" i="25"/>
  <c r="V55" i="25"/>
  <c r="V56" i="25"/>
  <c r="V57" i="25"/>
  <c r="V58" i="25"/>
  <c r="V59" i="25"/>
  <c r="V60" i="25"/>
  <c r="V61" i="25"/>
  <c r="V62" i="25"/>
  <c r="V63" i="25"/>
  <c r="V64" i="25"/>
  <c r="V49" i="25"/>
  <c r="V50" i="25"/>
  <c r="V51" i="25"/>
  <c r="V52" i="25"/>
  <c r="V29" i="25"/>
  <c r="V33" i="25"/>
  <c r="V37" i="25"/>
  <c r="V28" i="25"/>
  <c r="V32" i="25"/>
  <c r="V36" i="25"/>
  <c r="V31" i="25"/>
  <c r="V40" i="25"/>
  <c r="V42" i="25"/>
  <c r="V41" i="25"/>
  <c r="V30" i="25"/>
  <c r="V38" i="25"/>
  <c r="V27" i="25"/>
  <c r="V35" i="25"/>
  <c r="V34" i="25"/>
  <c r="V39" i="25"/>
  <c r="AD43" i="25"/>
  <c r="AD4" i="25" s="1"/>
  <c r="AD5" i="25" s="1"/>
  <c r="AD49" i="25"/>
  <c r="AD50" i="25"/>
  <c r="AD51" i="25"/>
  <c r="AD52" i="25"/>
  <c r="AD26" i="25"/>
  <c r="AD44" i="25"/>
  <c r="AD45" i="25"/>
  <c r="AD46" i="25"/>
  <c r="AD47" i="25"/>
  <c r="AD48" i="25"/>
  <c r="AD53" i="25"/>
  <c r="AD54" i="25"/>
  <c r="AD55" i="25"/>
  <c r="AD56" i="25"/>
  <c r="AD57" i="25"/>
  <c r="AD58" i="25"/>
  <c r="AD59" i="25"/>
  <c r="AD60" i="25"/>
  <c r="AD61" i="25"/>
  <c r="AD62" i="25"/>
  <c r="AD63" i="25"/>
  <c r="AD64" i="25"/>
  <c r="AD27" i="25"/>
  <c r="AD29" i="25"/>
  <c r="AD33" i="25"/>
  <c r="AD37" i="25"/>
  <c r="AD28" i="25"/>
  <c r="AD32" i="25"/>
  <c r="AD36" i="25"/>
  <c r="AD31" i="25"/>
  <c r="AD40" i="25"/>
  <c r="AD42" i="25"/>
  <c r="AD34" i="25"/>
  <c r="AD41" i="25"/>
  <c r="AD30" i="25"/>
  <c r="AD38" i="25"/>
  <c r="AD39" i="25"/>
  <c r="AD35" i="25"/>
  <c r="Y84" i="25"/>
  <c r="T8" i="25"/>
  <c r="AH43" i="25"/>
  <c r="AH4" i="25" s="1"/>
  <c r="AH5" i="25" s="1"/>
  <c r="AH26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45" i="25"/>
  <c r="AH47" i="25"/>
  <c r="AH29" i="25"/>
  <c r="AH33" i="25"/>
  <c r="AH37" i="25"/>
  <c r="AH49" i="25"/>
  <c r="AH50" i="25"/>
  <c r="AH51" i="25"/>
  <c r="AH52" i="25"/>
  <c r="AH28" i="25"/>
  <c r="AH32" i="25"/>
  <c r="AH36" i="25"/>
  <c r="AH44" i="25"/>
  <c r="AH35" i="25"/>
  <c r="AH40" i="25"/>
  <c r="AH27" i="25"/>
  <c r="AH38" i="25"/>
  <c r="AH48" i="25"/>
  <c r="AH34" i="25"/>
  <c r="AH39" i="25"/>
  <c r="AH46" i="25"/>
  <c r="AH31" i="25"/>
  <c r="AH42" i="25"/>
  <c r="AH30" i="25"/>
  <c r="AH41" i="25"/>
  <c r="Z44" i="25"/>
  <c r="Z45" i="25"/>
  <c r="Z46" i="25"/>
  <c r="Z47" i="25"/>
  <c r="Z48" i="25"/>
  <c r="Z26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29" i="25"/>
  <c r="Z33" i="25"/>
  <c r="Z37" i="25"/>
  <c r="Z27" i="25"/>
  <c r="Z28" i="25"/>
  <c r="Z32" i="25"/>
  <c r="Z36" i="25"/>
  <c r="Z43" i="25"/>
  <c r="Z4" i="25" s="1"/>
  <c r="Z5" i="25" s="1"/>
  <c r="Z35" i="25"/>
  <c r="Z40" i="25"/>
  <c r="Z30" i="25"/>
  <c r="Z34" i="25"/>
  <c r="Z31" i="25"/>
  <c r="Z39" i="25"/>
  <c r="Z42" i="25"/>
  <c r="Z38" i="25"/>
  <c r="Z41" i="25"/>
  <c r="Y69" i="25"/>
  <c r="J19" i="25"/>
  <c r="T87" i="25"/>
  <c r="U103" i="25"/>
  <c r="U94" i="25"/>
  <c r="U105" i="25"/>
  <c r="Y95" i="25"/>
  <c r="U95" i="25"/>
  <c r="U96" i="25"/>
  <c r="U100" i="25"/>
  <c r="U98" i="25"/>
  <c r="U93" i="25"/>
  <c r="Y96" i="25"/>
  <c r="Y91" i="25"/>
  <c r="Y6" i="25" s="1"/>
  <c r="AC99" i="25"/>
  <c r="AC7" i="25" s="1"/>
  <c r="AC94" i="25"/>
  <c r="AC105" i="25"/>
  <c r="U80" i="25"/>
  <c r="U77" i="25"/>
  <c r="U76" i="25"/>
  <c r="U84" i="25"/>
  <c r="U71" i="25"/>
  <c r="U82" i="25"/>
  <c r="U83" i="25"/>
  <c r="Y72" i="25"/>
  <c r="Y80" i="25"/>
  <c r="Y83" i="25"/>
  <c r="Y94" i="25"/>
  <c r="Y105" i="25"/>
  <c r="T86" i="25"/>
  <c r="AC96" i="25"/>
  <c r="U91" i="25"/>
  <c r="U6" i="25" s="1"/>
  <c r="T88" i="25"/>
  <c r="AC68" i="25"/>
  <c r="AC71" i="25"/>
  <c r="AC73" i="25"/>
  <c r="AC76" i="25"/>
  <c r="AC74" i="25"/>
  <c r="AC75" i="25"/>
  <c r="AC82" i="25"/>
  <c r="AC103" i="25"/>
  <c r="AC100" i="25"/>
  <c r="AC98" i="25"/>
  <c r="AC93" i="25"/>
  <c r="U79" i="25"/>
  <c r="U72" i="25"/>
  <c r="U75" i="25"/>
  <c r="U88" i="25"/>
  <c r="U104" i="25"/>
  <c r="U102" i="25"/>
  <c r="U97" i="25"/>
  <c r="Y79" i="25"/>
  <c r="Y76" i="25"/>
  <c r="AI2" i="25"/>
  <c r="Y92" i="25"/>
  <c r="Y104" i="25"/>
  <c r="Y98" i="25"/>
  <c r="Y93" i="25"/>
  <c r="X85" i="25"/>
  <c r="X90" i="25"/>
  <c r="AC69" i="25"/>
  <c r="Y86" i="25"/>
  <c r="AC70" i="25"/>
  <c r="AC89" i="25"/>
  <c r="AC80" i="25"/>
  <c r="AC72" i="25"/>
  <c r="AC77" i="25"/>
  <c r="AC87" i="25"/>
  <c r="AC84" i="25"/>
  <c r="AC104" i="25"/>
  <c r="AC102" i="25"/>
  <c r="AC97" i="25"/>
  <c r="U69" i="25"/>
  <c r="U74" i="25"/>
  <c r="U81" i="25"/>
  <c r="W2" i="25"/>
  <c r="U87" i="25"/>
  <c r="U106" i="25"/>
  <c r="U101" i="25"/>
  <c r="Y74" i="25"/>
  <c r="Y81" i="25"/>
  <c r="Y70" i="25"/>
  <c r="Y71" i="25"/>
  <c r="Y78" i="25"/>
  <c r="Y100" i="25"/>
  <c r="Y103" i="25"/>
  <c r="Y102" i="25"/>
  <c r="Y97" i="25"/>
  <c r="X86" i="25"/>
  <c r="T85" i="25"/>
  <c r="T90" i="25"/>
  <c r="AC78" i="25"/>
  <c r="AC79" i="25"/>
  <c r="AC81" i="25"/>
  <c r="AC83" i="25"/>
  <c r="AM2" i="25"/>
  <c r="AC88" i="25"/>
  <c r="AC106" i="25"/>
  <c r="AC101" i="25"/>
  <c r="U68" i="25"/>
  <c r="U70" i="25"/>
  <c r="AA2" i="25"/>
  <c r="AE2" i="25"/>
  <c r="U78" i="25"/>
  <c r="U89" i="25"/>
  <c r="Y68" i="25"/>
  <c r="Y75" i="25"/>
  <c r="Y82" i="25"/>
  <c r="Y106" i="25"/>
  <c r="Y101" i="25"/>
  <c r="X87" i="25"/>
  <c r="AC8" i="25" l="1"/>
  <c r="V100" i="25"/>
  <c r="V96" i="25"/>
  <c r="Z101" i="25"/>
  <c r="Z97" i="25"/>
  <c r="AD81" i="25"/>
  <c r="AD78" i="25"/>
  <c r="Z80" i="25"/>
  <c r="Z69" i="25"/>
  <c r="U8" i="25"/>
  <c r="Z70" i="25"/>
  <c r="V93" i="25"/>
  <c r="V105" i="25"/>
  <c r="AH80" i="25"/>
  <c r="AD97" i="25"/>
  <c r="V77" i="25"/>
  <c r="Y8" i="25"/>
  <c r="AD74" i="25"/>
  <c r="AD105" i="25"/>
  <c r="AH97" i="25"/>
  <c r="AD71" i="25"/>
  <c r="AD70" i="25"/>
  <c r="AD69" i="25"/>
  <c r="AH100" i="25"/>
  <c r="AH104" i="25"/>
  <c r="AH96" i="25"/>
  <c r="AH101" i="25"/>
  <c r="AD77" i="25"/>
  <c r="AD73" i="25"/>
  <c r="AH92" i="25"/>
  <c r="AD101" i="25"/>
  <c r="AD92" i="25"/>
  <c r="V75" i="25"/>
  <c r="V74" i="25"/>
  <c r="AD91" i="25"/>
  <c r="AD6" i="25" s="1"/>
  <c r="Z74" i="25"/>
  <c r="AH99" i="25"/>
  <c r="AH7" i="25" s="1"/>
  <c r="AD104" i="25"/>
  <c r="AD100" i="25"/>
  <c r="AD96" i="25"/>
  <c r="V95" i="25"/>
  <c r="AD93" i="25"/>
  <c r="Z81" i="25"/>
  <c r="Z77" i="25"/>
  <c r="Z71" i="25"/>
  <c r="AH93" i="25"/>
  <c r="AD95" i="25"/>
  <c r="V70" i="25"/>
  <c r="AE44" i="25"/>
  <c r="AE45" i="25"/>
  <c r="AE46" i="25"/>
  <c r="AE47" i="25"/>
  <c r="AE48" i="25"/>
  <c r="AE43" i="25"/>
  <c r="AE4" i="25" s="1"/>
  <c r="AE5" i="25" s="1"/>
  <c r="AE27" i="25"/>
  <c r="AE49" i="25"/>
  <c r="AE50" i="25"/>
  <c r="AE51" i="25"/>
  <c r="AE52" i="25"/>
  <c r="AE26" i="25"/>
  <c r="AE30" i="25"/>
  <c r="AE34" i="25"/>
  <c r="AE38" i="25"/>
  <c r="AE29" i="25"/>
  <c r="AE33" i="25"/>
  <c r="AE37" i="25"/>
  <c r="AE32" i="25"/>
  <c r="AE41" i="25"/>
  <c r="AE35" i="25"/>
  <c r="AE42" i="25"/>
  <c r="AE31" i="25"/>
  <c r="AE40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28" i="25"/>
  <c r="AE36" i="25"/>
  <c r="AE39" i="25"/>
  <c r="AM44" i="25"/>
  <c r="AM45" i="25"/>
  <c r="AM46" i="25"/>
  <c r="AM47" i="25"/>
  <c r="AM48" i="25"/>
  <c r="AM43" i="25"/>
  <c r="AM4" i="25" s="1"/>
  <c r="AM5" i="25" s="1"/>
  <c r="AM27" i="25"/>
  <c r="AM26" i="25"/>
  <c r="AM30" i="25"/>
  <c r="AM34" i="25"/>
  <c r="AM38" i="25"/>
  <c r="AM29" i="25"/>
  <c r="AM33" i="25"/>
  <c r="AM37" i="25"/>
  <c r="AM53" i="25"/>
  <c r="AM54" i="25"/>
  <c r="AM55" i="25"/>
  <c r="AM56" i="25"/>
  <c r="AM57" i="25"/>
  <c r="AM58" i="25"/>
  <c r="AM59" i="25"/>
  <c r="AM60" i="25"/>
  <c r="AM61" i="25"/>
  <c r="AM62" i="25"/>
  <c r="AM63" i="25"/>
  <c r="AM64" i="25"/>
  <c r="AM32" i="25"/>
  <c r="AM41" i="25"/>
  <c r="AM49" i="25"/>
  <c r="AM42" i="25"/>
  <c r="AM50" i="25"/>
  <c r="AM52" i="25"/>
  <c r="AM31" i="25"/>
  <c r="AM40" i="25"/>
  <c r="AM28" i="25"/>
  <c r="AM36" i="25"/>
  <c r="AM39" i="25"/>
  <c r="AM51" i="25"/>
  <c r="AM35" i="25"/>
  <c r="AI44" i="25"/>
  <c r="AI45" i="25"/>
  <c r="AI46" i="25"/>
  <c r="AI47" i="25"/>
  <c r="AI48" i="25"/>
  <c r="AI43" i="25"/>
  <c r="AI4" i="25" s="1"/>
  <c r="AI5" i="25" s="1"/>
  <c r="AI49" i="25"/>
  <c r="AI50" i="25"/>
  <c r="AI51" i="25"/>
  <c r="AI52" i="25"/>
  <c r="AI27" i="25"/>
  <c r="AI26" i="25"/>
  <c r="AI53" i="25"/>
  <c r="AI54" i="25"/>
  <c r="AI55" i="25"/>
  <c r="AI56" i="25"/>
  <c r="AI57" i="25"/>
  <c r="AI58" i="25"/>
  <c r="AI59" i="25"/>
  <c r="AI60" i="25"/>
  <c r="AI61" i="25"/>
  <c r="AI62" i="25"/>
  <c r="AI63" i="25"/>
  <c r="AI64" i="25"/>
  <c r="AI30" i="25"/>
  <c r="AI34" i="25"/>
  <c r="AI38" i="25"/>
  <c r="AI29" i="25"/>
  <c r="AI33" i="25"/>
  <c r="AI37" i="25"/>
  <c r="AI28" i="25"/>
  <c r="AI36" i="25"/>
  <c r="AI41" i="25"/>
  <c r="AI35" i="25"/>
  <c r="AI40" i="25"/>
  <c r="AI32" i="25"/>
  <c r="AI39" i="25"/>
  <c r="AI31" i="25"/>
  <c r="AI42" i="25"/>
  <c r="AA44" i="25"/>
  <c r="AA45" i="25"/>
  <c r="AA46" i="25"/>
  <c r="AA47" i="25"/>
  <c r="AA48" i="25"/>
  <c r="AA27" i="25"/>
  <c r="AA26" i="25"/>
  <c r="AA53" i="25"/>
  <c r="AA54" i="25"/>
  <c r="AA55" i="25"/>
  <c r="AA56" i="25"/>
  <c r="AA57" i="25"/>
  <c r="AA58" i="25"/>
  <c r="AA59" i="25"/>
  <c r="AA60" i="25"/>
  <c r="AA61" i="25"/>
  <c r="AA62" i="25"/>
  <c r="AA63" i="25"/>
  <c r="AA64" i="25"/>
  <c r="AA30" i="25"/>
  <c r="AA34" i="25"/>
  <c r="AA38" i="25"/>
  <c r="AA29" i="25"/>
  <c r="AA33" i="25"/>
  <c r="AA37" i="25"/>
  <c r="AA49" i="25"/>
  <c r="AA51" i="25"/>
  <c r="AA28" i="25"/>
  <c r="AA36" i="25"/>
  <c r="AA41" i="25"/>
  <c r="AA31" i="25"/>
  <c r="AA39" i="25"/>
  <c r="AA43" i="25"/>
  <c r="AA4" i="25" s="1"/>
  <c r="AA5" i="25" s="1"/>
  <c r="AA35" i="25"/>
  <c r="AA40" i="25"/>
  <c r="AA50" i="25"/>
  <c r="AA52" i="25"/>
  <c r="AA32" i="25"/>
  <c r="AA42" i="25"/>
  <c r="W44" i="25"/>
  <c r="W45" i="25"/>
  <c r="W46" i="25"/>
  <c r="W47" i="25"/>
  <c r="W48" i="25"/>
  <c r="W43" i="25"/>
  <c r="W4" i="25" s="1"/>
  <c r="W5" i="25" s="1"/>
  <c r="W27" i="25"/>
  <c r="W26" i="25"/>
  <c r="W30" i="25"/>
  <c r="W34" i="25"/>
  <c r="W38" i="25"/>
  <c r="W49" i="25"/>
  <c r="W50" i="25"/>
  <c r="W51" i="25"/>
  <c r="W52" i="25"/>
  <c r="W29" i="25"/>
  <c r="W33" i="25"/>
  <c r="W37" i="25"/>
  <c r="W53" i="25"/>
  <c r="W54" i="25"/>
  <c r="W55" i="25"/>
  <c r="W56" i="25"/>
  <c r="W57" i="25"/>
  <c r="W58" i="25"/>
  <c r="W59" i="25"/>
  <c r="W60" i="25"/>
  <c r="W61" i="25"/>
  <c r="W62" i="25"/>
  <c r="W63" i="25"/>
  <c r="W64" i="25"/>
  <c r="W32" i="25"/>
  <c r="W39" i="25"/>
  <c r="W41" i="25"/>
  <c r="W42" i="25"/>
  <c r="W31" i="25"/>
  <c r="W40" i="25"/>
  <c r="W28" i="25"/>
  <c r="W36" i="25"/>
  <c r="W35" i="25"/>
  <c r="Y87" i="25"/>
  <c r="V92" i="25"/>
  <c r="Z75" i="25"/>
  <c r="Z73" i="25"/>
  <c r="Z78" i="25"/>
  <c r="V82" i="25"/>
  <c r="V71" i="25"/>
  <c r="V76" i="25"/>
  <c r="V79" i="25"/>
  <c r="V104" i="25"/>
  <c r="V103" i="25"/>
  <c r="V98" i="25"/>
  <c r="Z82" i="25"/>
  <c r="Z84" i="25"/>
  <c r="Z72" i="25"/>
  <c r="Z79" i="25"/>
  <c r="AH74" i="25"/>
  <c r="AH69" i="25"/>
  <c r="AH71" i="25"/>
  <c r="AH76" i="25"/>
  <c r="AH91" i="25"/>
  <c r="AH6" i="25" s="1"/>
  <c r="AH82" i="25"/>
  <c r="AH98" i="25"/>
  <c r="V91" i="25"/>
  <c r="V6" i="25" s="1"/>
  <c r="AD75" i="25"/>
  <c r="AD76" i="25"/>
  <c r="AD79" i="25"/>
  <c r="AD103" i="25"/>
  <c r="AD98" i="25"/>
  <c r="AD80" i="25"/>
  <c r="Z106" i="25"/>
  <c r="AB2" i="25"/>
  <c r="AJ2" i="25"/>
  <c r="Z68" i="25"/>
  <c r="Z93" i="25"/>
  <c r="Z83" i="25"/>
  <c r="Z104" i="25"/>
  <c r="Z99" i="25"/>
  <c r="Z7" i="25" s="1"/>
  <c r="Z94" i="25"/>
  <c r="AH81" i="25"/>
  <c r="AH78" i="25"/>
  <c r="AH73" i="25"/>
  <c r="AH83" i="25"/>
  <c r="AH77" i="25"/>
  <c r="AH95" i="25"/>
  <c r="AH102" i="25"/>
  <c r="V73" i="25"/>
  <c r="V69" i="25"/>
  <c r="V81" i="25"/>
  <c r="V84" i="25"/>
  <c r="V87" i="25"/>
  <c r="V102" i="25"/>
  <c r="Y90" i="25"/>
  <c r="Y85" i="25"/>
  <c r="AD83" i="25"/>
  <c r="AD88" i="25"/>
  <c r="AD102" i="25"/>
  <c r="U90" i="25"/>
  <c r="U85" i="25"/>
  <c r="AF2" i="25"/>
  <c r="Z92" i="25"/>
  <c r="Z105" i="25"/>
  <c r="Z103" i="25"/>
  <c r="Z98" i="25"/>
  <c r="AH68" i="25"/>
  <c r="AH79" i="25"/>
  <c r="AH106" i="25"/>
  <c r="V68" i="25"/>
  <c r="V83" i="25"/>
  <c r="V106" i="25"/>
  <c r="AC90" i="25"/>
  <c r="AC85" i="25"/>
  <c r="AD89" i="25"/>
  <c r="AD68" i="25"/>
  <c r="AD82" i="25"/>
  <c r="AD106" i="25"/>
  <c r="U86" i="25"/>
  <c r="Z95" i="25"/>
  <c r="AD87" i="25"/>
  <c r="Z96" i="25"/>
  <c r="Z76" i="25"/>
  <c r="Z100" i="25"/>
  <c r="Z91" i="25"/>
  <c r="Z6" i="25" s="1"/>
  <c r="Z86" i="25"/>
  <c r="Z102" i="25"/>
  <c r="AH70" i="25"/>
  <c r="AH75" i="25"/>
  <c r="AH72" i="25"/>
  <c r="AH84" i="25"/>
  <c r="AH105" i="25"/>
  <c r="AH103" i="25"/>
  <c r="AH94" i="25"/>
  <c r="V80" i="25"/>
  <c r="V78" i="25"/>
  <c r="V72" i="25"/>
  <c r="V101" i="25"/>
  <c r="V97" i="25"/>
  <c r="V99" i="25"/>
  <c r="V7" i="25" s="1"/>
  <c r="V94" i="25"/>
  <c r="AC86" i="25"/>
  <c r="Y88" i="25"/>
  <c r="AD72" i="25"/>
  <c r="AD84" i="25"/>
  <c r="AD99" i="25"/>
  <c r="AD7" i="25" s="1"/>
  <c r="AD94" i="25"/>
  <c r="Y89" i="25"/>
  <c r="AE82" i="25" l="1"/>
  <c r="AI71" i="25"/>
  <c r="AE92" i="25"/>
  <c r="AD8" i="25"/>
  <c r="AE93" i="25"/>
  <c r="AE81" i="25"/>
  <c r="AH8" i="25"/>
  <c r="AE102" i="25"/>
  <c r="V8" i="25"/>
  <c r="Z8" i="25"/>
  <c r="AE77" i="25"/>
  <c r="AF44" i="25"/>
  <c r="AF45" i="25"/>
  <c r="AF46" i="25"/>
  <c r="AF47" i="25"/>
  <c r="AF48" i="25"/>
  <c r="AF43" i="25"/>
  <c r="AF4" i="25" s="1"/>
  <c r="AF5" i="25" s="1"/>
  <c r="AF49" i="25"/>
  <c r="AF50" i="25"/>
  <c r="AF51" i="25"/>
  <c r="AF52" i="25"/>
  <c r="AF26" i="25"/>
  <c r="AF31" i="25"/>
  <c r="AF35" i="25"/>
  <c r="AF27" i="25"/>
  <c r="AF30" i="25"/>
  <c r="AF34" i="25"/>
  <c r="AF38" i="25"/>
  <c r="AF33" i="25"/>
  <c r="AF42" i="25"/>
  <c r="AF53" i="25"/>
  <c r="AF54" i="25"/>
  <c r="AF55" i="25"/>
  <c r="AF56" i="25"/>
  <c r="AF57" i="25"/>
  <c r="AF58" i="25"/>
  <c r="AF59" i="25"/>
  <c r="AF60" i="25"/>
  <c r="AF61" i="25"/>
  <c r="AF62" i="25"/>
  <c r="AF63" i="25"/>
  <c r="AF64" i="25"/>
  <c r="AF36" i="25"/>
  <c r="AF32" i="25"/>
  <c r="AF41" i="25"/>
  <c r="AF29" i="25"/>
  <c r="AF37" i="25"/>
  <c r="AF40" i="25"/>
  <c r="AF28" i="25"/>
  <c r="AF39" i="25"/>
  <c r="AJ48" i="25"/>
  <c r="AJ49" i="25"/>
  <c r="AJ50" i="25"/>
  <c r="AJ51" i="25"/>
  <c r="AJ52" i="25"/>
  <c r="AJ43" i="25"/>
  <c r="AJ4" i="25" s="1"/>
  <c r="AJ5" i="25" s="1"/>
  <c r="AJ27" i="25"/>
  <c r="AJ31" i="25"/>
  <c r="AJ35" i="25"/>
  <c r="AJ45" i="25"/>
  <c r="AJ47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30" i="25"/>
  <c r="AJ34" i="25"/>
  <c r="AJ38" i="25"/>
  <c r="AJ26" i="25"/>
  <c r="AJ29" i="25"/>
  <c r="AJ37" i="25"/>
  <c r="AJ42" i="25"/>
  <c r="AJ39" i="25"/>
  <c r="AJ44" i="25"/>
  <c r="AJ28" i="25"/>
  <c r="AJ36" i="25"/>
  <c r="AJ41" i="25"/>
  <c r="AJ33" i="25"/>
  <c r="AJ40" i="25"/>
  <c r="AJ46" i="25"/>
  <c r="AJ32" i="25"/>
  <c r="AE72" i="25"/>
  <c r="AB43" i="25"/>
  <c r="AB4" i="25" s="1"/>
  <c r="AB5" i="25" s="1"/>
  <c r="AB44" i="25"/>
  <c r="AB45" i="25"/>
  <c r="AB46" i="25"/>
  <c r="AB47" i="25"/>
  <c r="AB48" i="25"/>
  <c r="AB31" i="25"/>
  <c r="AB35" i="25"/>
  <c r="AB39" i="25"/>
  <c r="AB53" i="25"/>
  <c r="AB54" i="25"/>
  <c r="AB55" i="25"/>
  <c r="AB56" i="25"/>
  <c r="AB57" i="25"/>
  <c r="AB58" i="25"/>
  <c r="AB59" i="25"/>
  <c r="AB60" i="25"/>
  <c r="AB61" i="25"/>
  <c r="AB62" i="25"/>
  <c r="AB63" i="25"/>
  <c r="AB64" i="25"/>
  <c r="AB30" i="25"/>
  <c r="AB34" i="25"/>
  <c r="AB38" i="25"/>
  <c r="AB27" i="25"/>
  <c r="AB29" i="25"/>
  <c r="AB37" i="25"/>
  <c r="AB42" i="25"/>
  <c r="AB52" i="25"/>
  <c r="AB32" i="25"/>
  <c r="AB49" i="25"/>
  <c r="AB51" i="25"/>
  <c r="AB28" i="25"/>
  <c r="AB36" i="25"/>
  <c r="AB41" i="25"/>
  <c r="AB26" i="25"/>
  <c r="AB33" i="25"/>
  <c r="AB40" i="25"/>
  <c r="AB50" i="25"/>
  <c r="AA97" i="25"/>
  <c r="AA93" i="25"/>
  <c r="AE94" i="25"/>
  <c r="AM97" i="25"/>
  <c r="AE97" i="25"/>
  <c r="AE105" i="25"/>
  <c r="AM94" i="25"/>
  <c r="AE79" i="25"/>
  <c r="AD86" i="25"/>
  <c r="AI75" i="25"/>
  <c r="AI76" i="25"/>
  <c r="AI82" i="25"/>
  <c r="AI70" i="25"/>
  <c r="W71" i="25"/>
  <c r="W76" i="25"/>
  <c r="W72" i="25"/>
  <c r="W77" i="25"/>
  <c r="AM102" i="25"/>
  <c r="AM92" i="25"/>
  <c r="AM99" i="25"/>
  <c r="AM7" i="25" s="1"/>
  <c r="AA98" i="25"/>
  <c r="AA104" i="25"/>
  <c r="AA95" i="25"/>
  <c r="AE84" i="25"/>
  <c r="AE76" i="25"/>
  <c r="AE80" i="25"/>
  <c r="AE83" i="25"/>
  <c r="AE99" i="25"/>
  <c r="AE7" i="25" s="1"/>
  <c r="AI81" i="25"/>
  <c r="AI79" i="25"/>
  <c r="AI93" i="25"/>
  <c r="AI69" i="25"/>
  <c r="AI101" i="25"/>
  <c r="AI97" i="25"/>
  <c r="AI106" i="25"/>
  <c r="AI100" i="25"/>
  <c r="AI91" i="25"/>
  <c r="AI6" i="25" s="1"/>
  <c r="AA68" i="25"/>
  <c r="AA79" i="25"/>
  <c r="AA73" i="25"/>
  <c r="V85" i="25"/>
  <c r="V90" i="25"/>
  <c r="AH85" i="25"/>
  <c r="AH90" i="25"/>
  <c r="AM68" i="25"/>
  <c r="AM73" i="25"/>
  <c r="AM84" i="25"/>
  <c r="V89" i="25"/>
  <c r="AH87" i="25"/>
  <c r="AH89" i="25"/>
  <c r="AA72" i="25"/>
  <c r="AK2" i="25"/>
  <c r="AA101" i="25"/>
  <c r="AA81" i="25"/>
  <c r="AA94" i="25"/>
  <c r="AA102" i="25"/>
  <c r="AA92" i="25"/>
  <c r="AA83" i="25"/>
  <c r="AA99" i="25"/>
  <c r="AA7" i="25" s="1"/>
  <c r="V86" i="25"/>
  <c r="AH86" i="25"/>
  <c r="AE71" i="25"/>
  <c r="AE70" i="25"/>
  <c r="AE69" i="25"/>
  <c r="AE101" i="25"/>
  <c r="AE96" i="25"/>
  <c r="AE103" i="25"/>
  <c r="AI84" i="25"/>
  <c r="AI74" i="25"/>
  <c r="AI72" i="25"/>
  <c r="AI73" i="25"/>
  <c r="AI80" i="25"/>
  <c r="AI98" i="25"/>
  <c r="AI104" i="25"/>
  <c r="AI95" i="25"/>
  <c r="W75" i="25"/>
  <c r="W70" i="25"/>
  <c r="W81" i="25"/>
  <c r="W79" i="25"/>
  <c r="W98" i="25"/>
  <c r="W93" i="25"/>
  <c r="W104" i="25"/>
  <c r="W95" i="25"/>
  <c r="AM72" i="25"/>
  <c r="AM75" i="25"/>
  <c r="AM77" i="25"/>
  <c r="AM82" i="25"/>
  <c r="AM86" i="25"/>
  <c r="AM105" i="25"/>
  <c r="AM96" i="25"/>
  <c r="AM103" i="25"/>
  <c r="AA89" i="25"/>
  <c r="V88" i="25"/>
  <c r="W87" i="25"/>
  <c r="W91" i="25"/>
  <c r="W6" i="25" s="1"/>
  <c r="AM74" i="25"/>
  <c r="AM80" i="25"/>
  <c r="AM83" i="25"/>
  <c r="AA76" i="25"/>
  <c r="AA71" i="25"/>
  <c r="AA74" i="25"/>
  <c r="AA70" i="25"/>
  <c r="AA80" i="25"/>
  <c r="AA105" i="25"/>
  <c r="AA96" i="25"/>
  <c r="AA103" i="25"/>
  <c r="AE75" i="25"/>
  <c r="AE74" i="25"/>
  <c r="AE73" i="25"/>
  <c r="AE98" i="25"/>
  <c r="AE106" i="25"/>
  <c r="AE100" i="25"/>
  <c r="AE91" i="25"/>
  <c r="AE6" i="25" s="1"/>
  <c r="AI68" i="25"/>
  <c r="AI78" i="25"/>
  <c r="AI77" i="25"/>
  <c r="AI89" i="25"/>
  <c r="AI94" i="25"/>
  <c r="AI102" i="25"/>
  <c r="AI92" i="25"/>
  <c r="AI83" i="25"/>
  <c r="AI99" i="25"/>
  <c r="AI7" i="25" s="1"/>
  <c r="W97" i="25"/>
  <c r="W78" i="25"/>
  <c r="W74" i="25"/>
  <c r="W69" i="25"/>
  <c r="W94" i="25"/>
  <c r="W102" i="25"/>
  <c r="W101" i="25"/>
  <c r="W92" i="25"/>
  <c r="W83" i="25"/>
  <c r="W99" i="25"/>
  <c r="W7" i="25" s="1"/>
  <c r="AM76" i="25"/>
  <c r="AM78" i="25"/>
  <c r="AM81" i="25"/>
  <c r="AM79" i="25"/>
  <c r="AM93" i="25"/>
  <c r="AM106" i="25"/>
  <c r="AM100" i="25"/>
  <c r="AM91" i="25"/>
  <c r="AM6" i="25" s="1"/>
  <c r="AA82" i="25"/>
  <c r="AE86" i="25"/>
  <c r="W106" i="25"/>
  <c r="W100" i="25"/>
  <c r="AM71" i="25"/>
  <c r="AH88" i="25"/>
  <c r="Z85" i="25"/>
  <c r="Z90" i="25"/>
  <c r="Z89" i="25"/>
  <c r="Z88" i="25"/>
  <c r="AA78" i="25"/>
  <c r="AA75" i="25"/>
  <c r="AA77" i="25"/>
  <c r="AA69" i="25"/>
  <c r="AA84" i="25"/>
  <c r="AA106" i="25"/>
  <c r="AA100" i="25"/>
  <c r="AA91" i="25"/>
  <c r="AA6" i="25" s="1"/>
  <c r="AD90" i="25"/>
  <c r="AD85" i="25"/>
  <c r="AE68" i="25"/>
  <c r="AE78" i="25"/>
  <c r="AE88" i="25"/>
  <c r="AE104" i="25"/>
  <c r="AE95" i="25"/>
  <c r="AI105" i="25"/>
  <c r="AI96" i="25"/>
  <c r="AI103" i="25"/>
  <c r="AG2" i="25"/>
  <c r="W68" i="25"/>
  <c r="W82" i="25"/>
  <c r="W73" i="25"/>
  <c r="W80" i="25"/>
  <c r="W84" i="25"/>
  <c r="W105" i="25"/>
  <c r="W96" i="25"/>
  <c r="W103" i="25"/>
  <c r="AM70" i="25"/>
  <c r="AM69" i="25"/>
  <c r="AM98" i="25"/>
  <c r="AM101" i="25"/>
  <c r="AM88" i="25"/>
  <c r="AM104" i="25"/>
  <c r="AM95" i="25"/>
  <c r="Z87" i="25"/>
  <c r="K15" i="25" l="1"/>
  <c r="K17" i="25"/>
  <c r="AF102" i="25"/>
  <c r="AF91" i="25"/>
  <c r="AF6" i="25" s="1"/>
  <c r="AF94" i="25"/>
  <c r="AM8" i="25"/>
  <c r="AK43" i="25"/>
  <c r="AK4" i="25" s="1"/>
  <c r="AK5" i="25" s="1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6" i="25"/>
  <c r="AK57" i="25"/>
  <c r="AK58" i="25"/>
  <c r="AK59" i="25"/>
  <c r="AK60" i="25"/>
  <c r="AK61" i="25"/>
  <c r="AK62" i="25"/>
  <c r="AK63" i="25"/>
  <c r="AK64" i="25"/>
  <c r="AK28" i="25"/>
  <c r="AK32" i="25"/>
  <c r="AK36" i="25"/>
  <c r="AK27" i="25"/>
  <c r="AK31" i="25"/>
  <c r="AK35" i="25"/>
  <c r="AK30" i="25"/>
  <c r="AK38" i="25"/>
  <c r="AK39" i="25"/>
  <c r="AK41" i="25"/>
  <c r="AK40" i="25"/>
  <c r="AK26" i="25"/>
  <c r="AK29" i="25"/>
  <c r="AK37" i="25"/>
  <c r="AK42" i="25"/>
  <c r="AK34" i="25"/>
  <c r="AK33" i="25"/>
  <c r="W8" i="25"/>
  <c r="AA8" i="25"/>
  <c r="AG43" i="25"/>
  <c r="AG4" i="25" s="1"/>
  <c r="AG5" i="25" s="1"/>
  <c r="AG49" i="25"/>
  <c r="AG50" i="25"/>
  <c r="AG51" i="25"/>
  <c r="AG52" i="25"/>
  <c r="AG44" i="25"/>
  <c r="AG45" i="25"/>
  <c r="AG46" i="25"/>
  <c r="AG47" i="25"/>
  <c r="AG53" i="25"/>
  <c r="AG54" i="25"/>
  <c r="AG55" i="25"/>
  <c r="AG56" i="25"/>
  <c r="AG57" i="25"/>
  <c r="AG58" i="25"/>
  <c r="AG59" i="25"/>
  <c r="AG60" i="25"/>
  <c r="AG61" i="25"/>
  <c r="AG62" i="25"/>
  <c r="AG63" i="25"/>
  <c r="AG64" i="25"/>
  <c r="AG28" i="25"/>
  <c r="AG32" i="25"/>
  <c r="AG36" i="25"/>
  <c r="AG26" i="25"/>
  <c r="AG31" i="25"/>
  <c r="AG35" i="25"/>
  <c r="AG48" i="25"/>
  <c r="AG34" i="25"/>
  <c r="AG39" i="25"/>
  <c r="AG37" i="25"/>
  <c r="AG33" i="25"/>
  <c r="AG42" i="25"/>
  <c r="AG27" i="25"/>
  <c r="AG30" i="25"/>
  <c r="AG38" i="25"/>
  <c r="AG41" i="25"/>
  <c r="AG29" i="25"/>
  <c r="AG40" i="25"/>
  <c r="AE8" i="25"/>
  <c r="AI8" i="25"/>
  <c r="AM89" i="25"/>
  <c r="AM87" i="25"/>
  <c r="AF98" i="25"/>
  <c r="AF95" i="25"/>
  <c r="AF99" i="25"/>
  <c r="AF7" i="25" s="1"/>
  <c r="AJ105" i="25"/>
  <c r="AJ96" i="25"/>
  <c r="AF72" i="25"/>
  <c r="AF69" i="25"/>
  <c r="AF70" i="25"/>
  <c r="AF77" i="25"/>
  <c r="AF93" i="25"/>
  <c r="AF84" i="25"/>
  <c r="AF100" i="25"/>
  <c r="AB72" i="25"/>
  <c r="AB83" i="25"/>
  <c r="AB71" i="25"/>
  <c r="AB79" i="25"/>
  <c r="K18" i="25"/>
  <c r="AF103" i="25"/>
  <c r="AB99" i="25"/>
  <c r="AB7" i="25" s="1"/>
  <c r="AB92" i="25"/>
  <c r="AI85" i="25"/>
  <c r="AI90" i="25"/>
  <c r="W85" i="25"/>
  <c r="W90" i="25"/>
  <c r="AJ69" i="25"/>
  <c r="W89" i="25"/>
  <c r="AB69" i="25"/>
  <c r="AB76" i="25"/>
  <c r="AB95" i="25"/>
  <c r="AB75" i="25"/>
  <c r="AL2" i="25"/>
  <c r="AB77" i="25"/>
  <c r="AB89" i="25"/>
  <c r="AB105" i="25"/>
  <c r="AB96" i="25"/>
  <c r="AI87" i="25"/>
  <c r="AE85" i="25"/>
  <c r="AE90" i="25"/>
  <c r="K13" i="25"/>
  <c r="K14" i="25"/>
  <c r="AI86" i="25"/>
  <c r="W86" i="25"/>
  <c r="AJ73" i="25"/>
  <c r="AJ72" i="25"/>
  <c r="AJ71" i="25"/>
  <c r="AJ70" i="25"/>
  <c r="AJ82" i="25"/>
  <c r="AJ83" i="25"/>
  <c r="AJ94" i="25"/>
  <c r="AJ93" i="25"/>
  <c r="AJ84" i="25"/>
  <c r="AJ100" i="25"/>
  <c r="AM85" i="25"/>
  <c r="AM90" i="25"/>
  <c r="W88" i="25"/>
  <c r="AF76" i="25"/>
  <c r="AF75" i="25"/>
  <c r="AF78" i="25"/>
  <c r="AF74" i="25"/>
  <c r="AF81" i="25"/>
  <c r="AF83" i="25"/>
  <c r="AF97" i="25"/>
  <c r="AF104" i="25"/>
  <c r="AB101" i="25"/>
  <c r="AJ86" i="25"/>
  <c r="AA85" i="25"/>
  <c r="AA90" i="25"/>
  <c r="AB73" i="25"/>
  <c r="AB78" i="25"/>
  <c r="AB98" i="25"/>
  <c r="AB82" i="25"/>
  <c r="AB70" i="25"/>
  <c r="AB81" i="25"/>
  <c r="AB94" i="25"/>
  <c r="AB93" i="25"/>
  <c r="AB84" i="25"/>
  <c r="AB100" i="25"/>
  <c r="K16" i="25"/>
  <c r="AA87" i="25"/>
  <c r="AJ76" i="25"/>
  <c r="AJ75" i="25"/>
  <c r="AJ74" i="25"/>
  <c r="AJ95" i="25"/>
  <c r="AJ91" i="25"/>
  <c r="AJ6" i="25" s="1"/>
  <c r="AJ102" i="25"/>
  <c r="AJ97" i="25"/>
  <c r="AJ104" i="25"/>
  <c r="AF82" i="25"/>
  <c r="AF79" i="25"/>
  <c r="AF80" i="25"/>
  <c r="AF87" i="25"/>
  <c r="AF106" i="25"/>
  <c r="AF101" i="25"/>
  <c r="AF92" i="25"/>
  <c r="AB106" i="25"/>
  <c r="AJ68" i="25"/>
  <c r="AJ80" i="25"/>
  <c r="AJ81" i="25"/>
  <c r="AB68" i="25"/>
  <c r="AB80" i="25"/>
  <c r="AB103" i="25"/>
  <c r="AB87" i="25"/>
  <c r="AB74" i="25"/>
  <c r="AB91" i="25"/>
  <c r="AB6" i="25" s="1"/>
  <c r="AB102" i="25"/>
  <c r="AB97" i="25"/>
  <c r="AB88" i="25"/>
  <c r="AB104" i="25"/>
  <c r="AA88" i="25"/>
  <c r="AJ106" i="25"/>
  <c r="AJ79" i="25"/>
  <c r="AJ98" i="25"/>
  <c r="AJ78" i="25"/>
  <c r="AJ77" i="25"/>
  <c r="AJ99" i="25"/>
  <c r="AJ7" i="25" s="1"/>
  <c r="AJ103" i="25"/>
  <c r="AJ101" i="25"/>
  <c r="AJ92" i="25"/>
  <c r="AA86" i="25"/>
  <c r="AI88" i="25"/>
  <c r="AE87" i="25"/>
  <c r="AE89" i="25"/>
  <c r="AF68" i="25"/>
  <c r="AF73" i="25"/>
  <c r="AF71" i="25"/>
  <c r="AF105" i="25"/>
  <c r="AF96" i="25"/>
  <c r="AF8" i="25" l="1"/>
  <c r="AK103" i="25"/>
  <c r="AK91" i="25"/>
  <c r="AK6" i="25" s="1"/>
  <c r="AG91" i="25"/>
  <c r="AG6" i="25" s="1"/>
  <c r="AG100" i="25"/>
  <c r="AG99" i="25"/>
  <c r="AG7" i="25" s="1"/>
  <c r="AG94" i="25"/>
  <c r="K19" i="25"/>
  <c r="AG104" i="25"/>
  <c r="AG96" i="25"/>
  <c r="AG92" i="25"/>
  <c r="AB8" i="25"/>
  <c r="AJ8" i="25"/>
  <c r="AL44" i="25"/>
  <c r="AL45" i="25"/>
  <c r="AL46" i="25"/>
  <c r="AL47" i="25"/>
  <c r="AL26" i="25"/>
  <c r="AL48" i="25"/>
  <c r="AL53" i="25"/>
  <c r="AL54" i="25"/>
  <c r="AL55" i="25"/>
  <c r="AL56" i="25"/>
  <c r="AL57" i="25"/>
  <c r="AL58" i="25"/>
  <c r="AL59" i="25"/>
  <c r="AL60" i="25"/>
  <c r="AL61" i="25"/>
  <c r="AL62" i="25"/>
  <c r="AL63" i="25"/>
  <c r="AL64" i="25"/>
  <c r="AL29" i="25"/>
  <c r="AL33" i="25"/>
  <c r="AL37" i="25"/>
  <c r="AL43" i="25"/>
  <c r="AL4" i="25" s="1"/>
  <c r="AL5" i="25" s="1"/>
  <c r="AL28" i="25"/>
  <c r="AL32" i="25"/>
  <c r="AL36" i="25"/>
  <c r="AL50" i="25"/>
  <c r="AL52" i="25"/>
  <c r="AL27" i="25"/>
  <c r="AL31" i="25"/>
  <c r="AL40" i="25"/>
  <c r="AL42" i="25"/>
  <c r="AL41" i="25"/>
  <c r="AL30" i="25"/>
  <c r="AL38" i="25"/>
  <c r="AL39" i="25"/>
  <c r="AL49" i="25"/>
  <c r="AL51" i="25"/>
  <c r="AL35" i="25"/>
  <c r="AL34" i="25"/>
  <c r="AK99" i="25"/>
  <c r="AK7" i="25" s="1"/>
  <c r="AK100" i="25"/>
  <c r="AJ88" i="25"/>
  <c r="AK95" i="25"/>
  <c r="AK92" i="25"/>
  <c r="AK96" i="25"/>
  <c r="AK104" i="25"/>
  <c r="AJ89" i="25"/>
  <c r="AG103" i="25"/>
  <c r="AG102" i="25"/>
  <c r="AG97" i="25"/>
  <c r="AJ87" i="25"/>
  <c r="AK98" i="25"/>
  <c r="AK93" i="25"/>
  <c r="AF89" i="25"/>
  <c r="AF86" i="25"/>
  <c r="AK102" i="25"/>
  <c r="AK77" i="25"/>
  <c r="AG77" i="25"/>
  <c r="AK76" i="25"/>
  <c r="AK78" i="25"/>
  <c r="AK83" i="25"/>
  <c r="AK97" i="25"/>
  <c r="AB85" i="25"/>
  <c r="AB90" i="25"/>
  <c r="AG72" i="25"/>
  <c r="AG79" i="25"/>
  <c r="AG78" i="25"/>
  <c r="AG106" i="25"/>
  <c r="AG101" i="25"/>
  <c r="AK80" i="25"/>
  <c r="AK84" i="25"/>
  <c r="AG80" i="25"/>
  <c r="AG75" i="25"/>
  <c r="AK70" i="25"/>
  <c r="AK69" i="25"/>
  <c r="AK79" i="25"/>
  <c r="AK72" i="25"/>
  <c r="AK87" i="25"/>
  <c r="AK106" i="25"/>
  <c r="AK101" i="25"/>
  <c r="AB86" i="25"/>
  <c r="AG69" i="25"/>
  <c r="AG74" i="25"/>
  <c r="AG70" i="25"/>
  <c r="AG81" i="25"/>
  <c r="AG82" i="25"/>
  <c r="AG87" i="25"/>
  <c r="AG105" i="25"/>
  <c r="AK68" i="25"/>
  <c r="AK75" i="25"/>
  <c r="AG68" i="25"/>
  <c r="AF85" i="25"/>
  <c r="AF90" i="25"/>
  <c r="AK74" i="25"/>
  <c r="AK73" i="25"/>
  <c r="AK82" i="25"/>
  <c r="AK81" i="25"/>
  <c r="AK71" i="25"/>
  <c r="AK88" i="25"/>
  <c r="AK94" i="25"/>
  <c r="AK89" i="25"/>
  <c r="AK105" i="25"/>
  <c r="AJ85" i="25"/>
  <c r="AJ90" i="25"/>
  <c r="AF88" i="25"/>
  <c r="AG73" i="25"/>
  <c r="AG76" i="25"/>
  <c r="AG71" i="25"/>
  <c r="AG83" i="25"/>
  <c r="AG84" i="25"/>
  <c r="AG95" i="25"/>
  <c r="AG98" i="25"/>
  <c r="AG93" i="25"/>
  <c r="AK8" i="25" l="1"/>
  <c r="AG8" i="25"/>
  <c r="AL80" i="25"/>
  <c r="AL93" i="25"/>
  <c r="AL105" i="25"/>
  <c r="AL104" i="25"/>
  <c r="AL74" i="25"/>
  <c r="AL83" i="25"/>
  <c r="AL75" i="25"/>
  <c r="AL71" i="25"/>
  <c r="AL95" i="25"/>
  <c r="AL77" i="25"/>
  <c r="AG89" i="25"/>
  <c r="AL100" i="25"/>
  <c r="AL96" i="25"/>
  <c r="AL91" i="25"/>
  <c r="AL6" i="25" s="1"/>
  <c r="AL92" i="25"/>
  <c r="AL101" i="25"/>
  <c r="AL97" i="25"/>
  <c r="AL99" i="25"/>
  <c r="AL7" i="25" s="1"/>
  <c r="AL73" i="25"/>
  <c r="AL69" i="25"/>
  <c r="AL81" i="25"/>
  <c r="AL84" i="25"/>
  <c r="AL82" i="25"/>
  <c r="AL98" i="25"/>
  <c r="AG90" i="25"/>
  <c r="AG85" i="25"/>
  <c r="AL68" i="25"/>
  <c r="AL102" i="25"/>
  <c r="AK90" i="25"/>
  <c r="AK85" i="25"/>
  <c r="AG88" i="25"/>
  <c r="AG86" i="25"/>
  <c r="AL72" i="25"/>
  <c r="AL106" i="25"/>
  <c r="AK86" i="25"/>
  <c r="AL70" i="25"/>
  <c r="AL78" i="25"/>
  <c r="AL76" i="25"/>
  <c r="AL79" i="25"/>
  <c r="AL103" i="25"/>
  <c r="AL94" i="25"/>
  <c r="AL8" i="25" l="1"/>
  <c r="AL85" i="25"/>
  <c r="AL90" i="25"/>
  <c r="AL86" i="25"/>
  <c r="AL88" i="25"/>
  <c r="AL87" i="25"/>
  <c r="AL89" i="25"/>
  <c r="E2" i="14" l="1"/>
  <c r="F2" i="14" s="1"/>
  <c r="G2" i="14" s="1"/>
  <c r="H2" i="14" l="1"/>
  <c r="G11" i="14"/>
  <c r="G7" i="14"/>
  <c r="G10" i="14"/>
  <c r="G6" i="14"/>
  <c r="G9" i="14"/>
  <c r="G5" i="14"/>
  <c r="G8" i="14"/>
  <c r="G15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E11" i="13"/>
  <c r="E15" i="13"/>
  <c r="E20" i="13"/>
  <c r="E24" i="13"/>
  <c r="E12" i="13"/>
  <c r="E16" i="13"/>
  <c r="E21" i="13"/>
  <c r="E25" i="13"/>
  <c r="E8" i="13"/>
  <c r="E13" i="13"/>
  <c r="E17" i="13"/>
  <c r="E22" i="13"/>
  <c r="E26" i="13"/>
  <c r="E9" i="13"/>
  <c r="E14" i="13"/>
  <c r="E18" i="13"/>
  <c r="E23" i="13"/>
  <c r="F5" i="13"/>
  <c r="E5" i="14"/>
  <c r="E4" i="14"/>
  <c r="E33" i="13" l="1"/>
  <c r="G5" i="13"/>
  <c r="G44" i="13" s="1"/>
  <c r="K14" i="16"/>
  <c r="F9" i="31" s="1"/>
  <c r="G19" i="14"/>
  <c r="G21" i="14"/>
  <c r="G16" i="14"/>
  <c r="G18" i="14"/>
  <c r="G20" i="14"/>
  <c r="G22" i="14"/>
  <c r="G17" i="14"/>
  <c r="I2" i="14"/>
  <c r="H15" i="14"/>
  <c r="H8" i="14"/>
  <c r="H7" i="14"/>
  <c r="H11" i="14"/>
  <c r="H6" i="14"/>
  <c r="H10" i="14"/>
  <c r="H5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J14" i="16"/>
  <c r="H17" i="16"/>
  <c r="H14" i="16"/>
  <c r="I14" i="16"/>
  <c r="D9" i="31" s="1"/>
  <c r="K13" i="16"/>
  <c r="I17" i="16"/>
  <c r="J13" i="16"/>
  <c r="J15" i="16"/>
  <c r="K19" i="16"/>
  <c r="H19" i="16"/>
  <c r="E7" i="13"/>
  <c r="E19" i="13"/>
  <c r="E10" i="13"/>
  <c r="E16" i="14"/>
  <c r="E15" i="14"/>
  <c r="H13" i="16"/>
  <c r="K15" i="16"/>
  <c r="J19" i="16"/>
  <c r="H15" i="16"/>
  <c r="I19" i="16"/>
  <c r="J17" i="16"/>
  <c r="K18" i="16"/>
  <c r="I13" i="16"/>
  <c r="I12" i="16"/>
  <c r="D7" i="31" s="1"/>
  <c r="J12" i="16"/>
  <c r="K17" i="16"/>
  <c r="I18" i="16"/>
  <c r="F20" i="13"/>
  <c r="F11" i="13"/>
  <c r="H12" i="16"/>
  <c r="J18" i="16"/>
  <c r="F26" i="13"/>
  <c r="F25" i="13"/>
  <c r="F23" i="13"/>
  <c r="K12" i="16"/>
  <c r="F7" i="31" s="1"/>
  <c r="F6" i="31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6" i="16" l="1"/>
  <c r="K16" i="16"/>
  <c r="J16" i="16"/>
  <c r="I16" i="16"/>
  <c r="G15" i="13"/>
  <c r="G39" i="13"/>
  <c r="G17" i="13"/>
  <c r="G16" i="13"/>
  <c r="G48" i="13"/>
  <c r="G14" i="13"/>
  <c r="G51" i="13"/>
  <c r="G24" i="13"/>
  <c r="G11" i="13"/>
  <c r="G47" i="13"/>
  <c r="G13" i="13"/>
  <c r="G12" i="13"/>
  <c r="G23" i="13"/>
  <c r="G9" i="13"/>
  <c r="G35" i="13"/>
  <c r="G26" i="13"/>
  <c r="G41" i="13"/>
  <c r="G22" i="13"/>
  <c r="G8" i="13"/>
  <c r="G49" i="13"/>
  <c r="G34" i="13"/>
  <c r="H5" i="13"/>
  <c r="H37" i="13" s="1"/>
  <c r="G25" i="13"/>
  <c r="G46" i="13"/>
  <c r="G21" i="13"/>
  <c r="G20" i="13"/>
  <c r="G43" i="13"/>
  <c r="G18" i="13"/>
  <c r="G38" i="13"/>
  <c r="G52" i="13"/>
  <c r="G50" i="13"/>
  <c r="G40" i="13"/>
  <c r="G37" i="13"/>
  <c r="G42" i="13"/>
  <c r="F14" i="31"/>
  <c r="H17" i="14"/>
  <c r="H16" i="14"/>
  <c r="H18" i="14"/>
  <c r="H21" i="14"/>
  <c r="H19" i="14"/>
  <c r="H20" i="14"/>
  <c r="H22" i="14"/>
  <c r="J2" i="14"/>
  <c r="I5" i="14"/>
  <c r="I9" i="14"/>
  <c r="I15" i="14"/>
  <c r="I8" i="14"/>
  <c r="I7" i="14"/>
  <c r="I11" i="14"/>
  <c r="I6" i="14"/>
  <c r="I10" i="14"/>
  <c r="H50" i="13"/>
  <c r="H35" i="13"/>
  <c r="H25" i="13"/>
  <c r="H11" i="13"/>
  <c r="H15" i="13"/>
  <c r="D6" i="31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E27" i="13"/>
  <c r="F7" i="13"/>
  <c r="I11" i="16"/>
  <c r="L17" i="16"/>
  <c r="L19" i="16"/>
  <c r="L13" i="16"/>
  <c r="H11" i="16"/>
  <c r="L12" i="16"/>
  <c r="F19" i="13"/>
  <c r="L15" i="16"/>
  <c r="L18" i="16"/>
  <c r="F10" i="13"/>
  <c r="I20" i="16" l="1"/>
  <c r="H20" i="16"/>
  <c r="J20" i="16"/>
  <c r="K20" i="16"/>
  <c r="L16" i="16"/>
  <c r="G7" i="13"/>
  <c r="G45" i="13"/>
  <c r="G33" i="13"/>
  <c r="G10" i="13"/>
  <c r="G19" i="13"/>
  <c r="H40" i="13"/>
  <c r="H43" i="13"/>
  <c r="H52" i="13"/>
  <c r="H24" i="13"/>
  <c r="H34" i="13"/>
  <c r="H33" i="13" s="1"/>
  <c r="H41" i="13"/>
  <c r="H22" i="13"/>
  <c r="H38" i="13"/>
  <c r="H42" i="13"/>
  <c r="H20" i="13"/>
  <c r="H44" i="13"/>
  <c r="H46" i="13"/>
  <c r="H13" i="13"/>
  <c r="H9" i="13"/>
  <c r="H47" i="13"/>
  <c r="H21" i="13"/>
  <c r="H17" i="13"/>
  <c r="H26" i="13"/>
  <c r="H8" i="13"/>
  <c r="H51" i="13"/>
  <c r="H14" i="13"/>
  <c r="H16" i="13"/>
  <c r="H23" i="13"/>
  <c r="H39" i="13"/>
  <c r="H48" i="13"/>
  <c r="I5" i="13"/>
  <c r="I42" i="13" s="1"/>
  <c r="H12" i="13"/>
  <c r="H18" i="13"/>
  <c r="H49" i="13"/>
  <c r="G36" i="13"/>
  <c r="I17" i="14"/>
  <c r="I22" i="14"/>
  <c r="I20" i="14"/>
  <c r="I18" i="14"/>
  <c r="I16" i="14"/>
  <c r="I21" i="14"/>
  <c r="I19" i="14"/>
  <c r="J5" i="13"/>
  <c r="I51" i="13"/>
  <c r="I47" i="13"/>
  <c r="I38" i="13"/>
  <c r="I49" i="13"/>
  <c r="I52" i="13"/>
  <c r="I48" i="13"/>
  <c r="I43" i="13"/>
  <c r="I39" i="13"/>
  <c r="I34" i="13"/>
  <c r="I44" i="13"/>
  <c r="I41" i="13"/>
  <c r="I37" i="13"/>
  <c r="I46" i="13"/>
  <c r="I50" i="13"/>
  <c r="I40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K2" i="14"/>
  <c r="J6" i="14"/>
  <c r="J10" i="14"/>
  <c r="J5" i="14"/>
  <c r="J9" i="14"/>
  <c r="J15" i="14"/>
  <c r="J8" i="14"/>
  <c r="J7" i="14"/>
  <c r="J11" i="14"/>
  <c r="D14" i="31"/>
  <c r="F53" i="13"/>
  <c r="F17" i="14"/>
  <c r="F22" i="14"/>
  <c r="F21" i="14"/>
  <c r="F16" i="14"/>
  <c r="F19" i="14"/>
  <c r="F18" i="14"/>
  <c r="F20" i="14"/>
  <c r="L11" i="16"/>
  <c r="F27" i="13"/>
  <c r="L20" i="16" l="1"/>
  <c r="L21" i="16"/>
  <c r="G27" i="13"/>
  <c r="G53" i="13"/>
  <c r="H45" i="13"/>
  <c r="H7" i="13"/>
  <c r="H10" i="13"/>
  <c r="H36" i="13"/>
  <c r="H19" i="13"/>
  <c r="I35" i="13"/>
  <c r="I33" i="13" s="1"/>
  <c r="AA47" i="13" s="1"/>
  <c r="K27" i="16"/>
  <c r="F22" i="31" s="1"/>
  <c r="H31" i="16"/>
  <c r="H28" i="16"/>
  <c r="I31" i="16"/>
  <c r="K30" i="16"/>
  <c r="J30" i="16"/>
  <c r="J27" i="16"/>
  <c r="I25" i="16"/>
  <c r="D20" i="31" s="1"/>
  <c r="J28" i="16"/>
  <c r="H26" i="16"/>
  <c r="H30" i="16"/>
  <c r="H32" i="16"/>
  <c r="I32" i="16"/>
  <c r="I27" i="16"/>
  <c r="D22" i="31" s="1"/>
  <c r="J31" i="16"/>
  <c r="K28" i="16"/>
  <c r="H25" i="16"/>
  <c r="I28" i="16"/>
  <c r="J25" i="16"/>
  <c r="K26" i="16"/>
  <c r="H27" i="16"/>
  <c r="I30" i="16"/>
  <c r="K25" i="16"/>
  <c r="F20" i="31" s="1"/>
  <c r="J32" i="16"/>
  <c r="K31" i="16"/>
  <c r="J26" i="16"/>
  <c r="K32" i="16"/>
  <c r="I26" i="16"/>
  <c r="E7" i="31"/>
  <c r="E8" i="31"/>
  <c r="H8" i="31" s="1"/>
  <c r="E12" i="31"/>
  <c r="E10" i="31"/>
  <c r="H10" i="31" s="1"/>
  <c r="E13" i="31"/>
  <c r="H13" i="31" s="1"/>
  <c r="E9" i="31"/>
  <c r="H9" i="31" s="1"/>
  <c r="Z17" i="14"/>
  <c r="J18" i="14"/>
  <c r="Z18" i="14"/>
  <c r="Z19" i="14"/>
  <c r="J16" i="14"/>
  <c r="J22" i="14"/>
  <c r="J20" i="14"/>
  <c r="L2" i="14"/>
  <c r="K7" i="14"/>
  <c r="K11" i="14"/>
  <c r="K6" i="14"/>
  <c r="K10" i="14"/>
  <c r="K5" i="14"/>
  <c r="K9" i="14"/>
  <c r="K15" i="14"/>
  <c r="K8" i="14"/>
  <c r="AK34" i="13"/>
  <c r="I7" i="13"/>
  <c r="AA46" i="13"/>
  <c r="AK33" i="13"/>
  <c r="I45" i="13"/>
  <c r="AA48" i="13"/>
  <c r="AA45" i="13"/>
  <c r="J19" i="14"/>
  <c r="J21" i="14"/>
  <c r="I36" i="13"/>
  <c r="AA44" i="13" s="1"/>
  <c r="J17" i="14"/>
  <c r="I19" i="13"/>
  <c r="I10" i="13"/>
  <c r="K5" i="13"/>
  <c r="J52" i="13"/>
  <c r="J48" i="13"/>
  <c r="J43" i="13"/>
  <c r="J39" i="13"/>
  <c r="J34" i="13"/>
  <c r="J50" i="13"/>
  <c r="J41" i="13"/>
  <c r="J49" i="13"/>
  <c r="J44" i="13"/>
  <c r="J40" i="13"/>
  <c r="J35" i="13"/>
  <c r="J46" i="13"/>
  <c r="J42" i="13"/>
  <c r="J51" i="13"/>
  <c r="J38" i="13"/>
  <c r="J47" i="13"/>
  <c r="J37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H53" i="13" l="1"/>
  <c r="H27" i="13"/>
  <c r="J24" i="16"/>
  <c r="J29" i="16"/>
  <c r="L27" i="16"/>
  <c r="K29" i="16"/>
  <c r="L25" i="16"/>
  <c r="H24" i="16"/>
  <c r="K24" i="16"/>
  <c r="F19" i="31"/>
  <c r="F27" i="31" s="1"/>
  <c r="L30" i="16"/>
  <c r="H29" i="16"/>
  <c r="I29" i="16"/>
  <c r="L26" i="16"/>
  <c r="L28" i="16"/>
  <c r="L31" i="16"/>
  <c r="D19" i="31"/>
  <c r="D27" i="31" s="1"/>
  <c r="I24" i="16"/>
  <c r="L32" i="16"/>
  <c r="AA33" i="13"/>
  <c r="Z20" i="14"/>
  <c r="K19" i="14"/>
  <c r="AA49" i="13"/>
  <c r="AF33" i="13"/>
  <c r="J36" i="13"/>
  <c r="I27" i="13"/>
  <c r="AA8" i="13" s="1"/>
  <c r="K20" i="14"/>
  <c r="J33" i="13"/>
  <c r="AA37" i="13"/>
  <c r="AA38" i="13"/>
  <c r="K22" i="14"/>
  <c r="J19" i="13"/>
  <c r="J10" i="13"/>
  <c r="J45" i="13"/>
  <c r="L5" i="13"/>
  <c r="K49" i="13"/>
  <c r="K44" i="13"/>
  <c r="K40" i="13"/>
  <c r="K35" i="13"/>
  <c r="K51" i="13"/>
  <c r="K50" i="13"/>
  <c r="K46" i="13"/>
  <c r="K41" i="13"/>
  <c r="K37" i="13"/>
  <c r="K47" i="13"/>
  <c r="K42" i="13"/>
  <c r="K43" i="13"/>
  <c r="K34" i="13"/>
  <c r="K39" i="13"/>
  <c r="K48" i="13"/>
  <c r="K38" i="13"/>
  <c r="K52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6" i="13"/>
  <c r="K25" i="13"/>
  <c r="AA34" i="13"/>
  <c r="AF34" i="13"/>
  <c r="K16" i="14"/>
  <c r="K18" i="14"/>
  <c r="I53" i="13"/>
  <c r="K21" i="14"/>
  <c r="M2" i="14"/>
  <c r="L15" i="14"/>
  <c r="L8" i="14"/>
  <c r="L7" i="14"/>
  <c r="L11" i="14"/>
  <c r="L6" i="14"/>
  <c r="L10" i="14"/>
  <c r="L5" i="14"/>
  <c r="L9" i="14"/>
  <c r="J7" i="13"/>
  <c r="AA35" i="13"/>
  <c r="AK35" i="13"/>
  <c r="AA36" i="13"/>
  <c r="K17" i="14"/>
  <c r="E6" i="31"/>
  <c r="H7" i="31"/>
  <c r="E11" i="31"/>
  <c r="H11" i="31" s="1"/>
  <c r="H12" i="31"/>
  <c r="K33" i="16" l="1"/>
  <c r="J33" i="16"/>
  <c r="I33" i="16"/>
  <c r="L29" i="16"/>
  <c r="H33" i="16"/>
  <c r="L24" i="16"/>
  <c r="J27" i="13"/>
  <c r="AF35" i="13"/>
  <c r="L17" i="14"/>
  <c r="K33" i="13"/>
  <c r="L20" i="14"/>
  <c r="L22" i="14"/>
  <c r="L16" i="14"/>
  <c r="L18" i="14"/>
  <c r="AA39" i="13"/>
  <c r="L21" i="14"/>
  <c r="L19" i="14"/>
  <c r="J53" i="13"/>
  <c r="N2" i="14"/>
  <c r="M5" i="14"/>
  <c r="M9" i="14"/>
  <c r="M15" i="14"/>
  <c r="M8" i="14"/>
  <c r="M7" i="14"/>
  <c r="M11" i="14"/>
  <c r="M6" i="14"/>
  <c r="M10" i="14"/>
  <c r="K7" i="13"/>
  <c r="K36" i="13"/>
  <c r="K19" i="13"/>
  <c r="K10" i="13"/>
  <c r="M5" i="13"/>
  <c r="L50" i="13"/>
  <c r="L46" i="13"/>
  <c r="L41" i="13"/>
  <c r="L37" i="13"/>
  <c r="L43" i="13"/>
  <c r="L51" i="13"/>
  <c r="L47" i="13"/>
  <c r="L42" i="13"/>
  <c r="L38" i="13"/>
  <c r="L52" i="13"/>
  <c r="L48" i="13"/>
  <c r="L44" i="13"/>
  <c r="L35" i="13"/>
  <c r="L40" i="13"/>
  <c r="L49" i="13"/>
  <c r="L39" i="13"/>
  <c r="L34" i="13"/>
  <c r="L8" i="13"/>
  <c r="L9" i="13"/>
  <c r="L13" i="13"/>
  <c r="L17" i="13"/>
  <c r="L22" i="13"/>
  <c r="L11" i="13"/>
  <c r="L15" i="13"/>
  <c r="L25" i="13"/>
  <c r="L12" i="13"/>
  <c r="L16" i="13"/>
  <c r="L21" i="13"/>
  <c r="L26" i="13"/>
  <c r="L14" i="13"/>
  <c r="L18" i="13"/>
  <c r="L23" i="13"/>
  <c r="L20" i="13"/>
  <c r="L24" i="13"/>
  <c r="K45" i="13"/>
  <c r="E14" i="31"/>
  <c r="H14" i="31" s="1"/>
  <c r="H6" i="31"/>
  <c r="L33" i="16" l="1"/>
  <c r="E22" i="31"/>
  <c r="H22" i="31" s="1"/>
  <c r="L9" i="31" s="1"/>
  <c r="E25" i="31"/>
  <c r="E23" i="31"/>
  <c r="H23" i="31" s="1"/>
  <c r="L10" i="31" s="1"/>
  <c r="E26" i="31"/>
  <c r="H26" i="31" s="1"/>
  <c r="E21" i="31"/>
  <c r="H21" i="31" s="1"/>
  <c r="E20" i="31"/>
  <c r="L33" i="13"/>
  <c r="K53" i="13"/>
  <c r="M17" i="14"/>
  <c r="L7" i="13"/>
  <c r="K27" i="13"/>
  <c r="L36" i="13"/>
  <c r="N5" i="13"/>
  <c r="K66" i="16" s="1"/>
  <c r="F35" i="31" s="1"/>
  <c r="M51" i="13"/>
  <c r="M47" i="13"/>
  <c r="M42" i="13"/>
  <c r="M38" i="13"/>
  <c r="M44" i="13"/>
  <c r="M52" i="13"/>
  <c r="M48" i="13"/>
  <c r="M43" i="13"/>
  <c r="M39" i="13"/>
  <c r="M34" i="13"/>
  <c r="M49" i="13"/>
  <c r="M46" i="13"/>
  <c r="M37" i="13"/>
  <c r="M50" i="13"/>
  <c r="M40" i="13"/>
  <c r="M41" i="13"/>
  <c r="M35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L10" i="13"/>
  <c r="M22" i="14"/>
  <c r="M20" i="14"/>
  <c r="L45" i="13"/>
  <c r="M18" i="14"/>
  <c r="M16" i="14"/>
  <c r="L19" i="13"/>
  <c r="M21" i="14"/>
  <c r="M19" i="14"/>
  <c r="O2" i="14"/>
  <c r="N6" i="14"/>
  <c r="N10" i="14"/>
  <c r="N5" i="14"/>
  <c r="N9" i="14"/>
  <c r="N15" i="14"/>
  <c r="N8" i="14"/>
  <c r="N7" i="14"/>
  <c r="N11" i="14"/>
  <c r="E19" i="31" l="1"/>
  <c r="H19" i="31" s="1"/>
  <c r="L8" i="31" s="1"/>
  <c r="H20" i="31"/>
  <c r="H25" i="31"/>
  <c r="E24" i="31"/>
  <c r="L53" i="13"/>
  <c r="L27" i="13"/>
  <c r="N18" i="14"/>
  <c r="N22" i="14"/>
  <c r="N20" i="14"/>
  <c r="P2" i="14"/>
  <c r="O7" i="14"/>
  <c r="O11" i="14"/>
  <c r="O6" i="14"/>
  <c r="O10" i="14"/>
  <c r="O5" i="14"/>
  <c r="O9" i="14"/>
  <c r="O15" i="14"/>
  <c r="O8" i="14"/>
  <c r="M7" i="13"/>
  <c r="M33" i="13"/>
  <c r="N16" i="14"/>
  <c r="M36" i="13"/>
  <c r="N19" i="14"/>
  <c r="N21" i="14"/>
  <c r="M19" i="13"/>
  <c r="M10" i="13"/>
  <c r="M45" i="13"/>
  <c r="O5" i="13"/>
  <c r="N52" i="13"/>
  <c r="N48" i="13"/>
  <c r="N43" i="13"/>
  <c r="N39" i="13"/>
  <c r="N34" i="13"/>
  <c r="N46" i="13"/>
  <c r="N49" i="13"/>
  <c r="N44" i="13"/>
  <c r="N40" i="13"/>
  <c r="N35" i="13"/>
  <c r="N50" i="13"/>
  <c r="N41" i="13"/>
  <c r="N47" i="13"/>
  <c r="N38" i="13"/>
  <c r="N42" i="13"/>
  <c r="N51" i="13"/>
  <c r="N37" i="13"/>
  <c r="N25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6" i="13"/>
  <c r="H71" i="16"/>
  <c r="H70" i="16"/>
  <c r="H66" i="16"/>
  <c r="K69" i="16"/>
  <c r="K64" i="16"/>
  <c r="F33" i="31" s="1"/>
  <c r="J69" i="16"/>
  <c r="I71" i="16"/>
  <c r="I65" i="16"/>
  <c r="J64" i="16"/>
  <c r="H69" i="16"/>
  <c r="H67" i="16"/>
  <c r="I69" i="16"/>
  <c r="K70" i="16"/>
  <c r="K65" i="16"/>
  <c r="I67" i="16"/>
  <c r="J71" i="16"/>
  <c r="K67" i="16"/>
  <c r="K71" i="16"/>
  <c r="H65" i="16"/>
  <c r="H64" i="16"/>
  <c r="I70" i="16"/>
  <c r="J67" i="16"/>
  <c r="I64" i="16"/>
  <c r="D33" i="31" s="1"/>
  <c r="J65" i="16"/>
  <c r="J66" i="16"/>
  <c r="I66" i="16"/>
  <c r="D35" i="31" s="1"/>
  <c r="J70" i="16"/>
  <c r="N17" i="14"/>
  <c r="H24" i="31" l="1"/>
  <c r="L11" i="31" s="1"/>
  <c r="L12" i="31" s="1"/>
  <c r="E27" i="31"/>
  <c r="H27" i="31" s="1"/>
  <c r="M27" i="13"/>
  <c r="N7" i="13"/>
  <c r="M53" i="13"/>
  <c r="J63" i="16"/>
  <c r="F32" i="31"/>
  <c r="F40" i="31" s="1"/>
  <c r="K63" i="16"/>
  <c r="L71" i="16"/>
  <c r="O17" i="14"/>
  <c r="I68" i="16"/>
  <c r="N45" i="13"/>
  <c r="O20" i="14"/>
  <c r="O22" i="14"/>
  <c r="I63" i="16"/>
  <c r="H63" i="16"/>
  <c r="L64" i="16"/>
  <c r="K68" i="16"/>
  <c r="L65" i="16"/>
  <c r="L67" i="16"/>
  <c r="L66" i="16"/>
  <c r="N19" i="13"/>
  <c r="N10" i="13"/>
  <c r="N36" i="13"/>
  <c r="N33" i="13"/>
  <c r="O16" i="14"/>
  <c r="O18" i="14"/>
  <c r="L69" i="16"/>
  <c r="H68" i="16"/>
  <c r="J68" i="16"/>
  <c r="L70" i="16"/>
  <c r="P5" i="13"/>
  <c r="O49" i="13"/>
  <c r="O44" i="13"/>
  <c r="O40" i="13"/>
  <c r="O35" i="13"/>
  <c r="O47" i="13"/>
  <c r="O42" i="13"/>
  <c r="O50" i="13"/>
  <c r="O46" i="13"/>
  <c r="O41" i="13"/>
  <c r="O37" i="13"/>
  <c r="O51" i="13"/>
  <c r="O48" i="13"/>
  <c r="O39" i="13"/>
  <c r="O52" i="13"/>
  <c r="O34" i="13"/>
  <c r="O43" i="13"/>
  <c r="O38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9" i="14"/>
  <c r="O21" i="14"/>
  <c r="Q2" i="14"/>
  <c r="P15" i="14"/>
  <c r="P8" i="14"/>
  <c r="P7" i="14"/>
  <c r="P11" i="14"/>
  <c r="P6" i="14"/>
  <c r="P10" i="14"/>
  <c r="P5" i="14"/>
  <c r="P9" i="14"/>
  <c r="O33" i="13" l="1"/>
  <c r="N27" i="13"/>
  <c r="P17" i="14"/>
  <c r="P16" i="14"/>
  <c r="N53" i="13"/>
  <c r="I72" i="16"/>
  <c r="O7" i="13"/>
  <c r="O36" i="13"/>
  <c r="L63" i="16"/>
  <c r="H72" i="16"/>
  <c r="K72" i="16"/>
  <c r="P20" i="14"/>
  <c r="P22" i="14"/>
  <c r="R2" i="14"/>
  <c r="Q5" i="14"/>
  <c r="Q9" i="14"/>
  <c r="Q15" i="14"/>
  <c r="Q8" i="14"/>
  <c r="Q7" i="14"/>
  <c r="Q11" i="14"/>
  <c r="Q6" i="14"/>
  <c r="Q10" i="14"/>
  <c r="P18" i="14"/>
  <c r="O19" i="13"/>
  <c r="O10" i="13"/>
  <c r="O45" i="13"/>
  <c r="Q5" i="13"/>
  <c r="P50" i="13"/>
  <c r="P46" i="13"/>
  <c r="P41" i="13"/>
  <c r="P37" i="13"/>
  <c r="P52" i="13"/>
  <c r="P48" i="13"/>
  <c r="P51" i="13"/>
  <c r="P47" i="13"/>
  <c r="P42" i="13"/>
  <c r="P38" i="13"/>
  <c r="P43" i="13"/>
  <c r="P49" i="13"/>
  <c r="P40" i="13"/>
  <c r="P44" i="13"/>
  <c r="P39" i="13"/>
  <c r="P34" i="13"/>
  <c r="P35" i="13"/>
  <c r="P8" i="13"/>
  <c r="P9" i="13"/>
  <c r="P14" i="13"/>
  <c r="P18" i="13"/>
  <c r="P23" i="13"/>
  <c r="P25" i="13"/>
  <c r="P16" i="13"/>
  <c r="P21" i="13"/>
  <c r="P13" i="13"/>
  <c r="P17" i="13"/>
  <c r="P22" i="13"/>
  <c r="P12" i="13"/>
  <c r="P11" i="13"/>
  <c r="P15" i="13"/>
  <c r="P20" i="13"/>
  <c r="P24" i="13"/>
  <c r="P26" i="13"/>
  <c r="L68" i="16"/>
  <c r="D32" i="31"/>
  <c r="P21" i="14"/>
  <c r="P19" i="14"/>
  <c r="J72" i="16"/>
  <c r="E34" i="31" l="1"/>
  <c r="H34" i="31" s="1"/>
  <c r="E35" i="31"/>
  <c r="E36" i="31"/>
  <c r="H36" i="31" s="1"/>
  <c r="E39" i="31"/>
  <c r="H39" i="31" s="1"/>
  <c r="E38" i="31"/>
  <c r="E33" i="31"/>
  <c r="Q17" i="14"/>
  <c r="Q18" i="14"/>
  <c r="O27" i="13"/>
  <c r="Q22" i="14"/>
  <c r="Q21" i="14"/>
  <c r="O53" i="13"/>
  <c r="Q20" i="14"/>
  <c r="P19" i="13"/>
  <c r="P33" i="13"/>
  <c r="P36" i="13"/>
  <c r="R5" i="13"/>
  <c r="Q51" i="13"/>
  <c r="Q47" i="13"/>
  <c r="Q42" i="13"/>
  <c r="Q38" i="13"/>
  <c r="Q49" i="13"/>
  <c r="Q52" i="13"/>
  <c r="Q48" i="13"/>
  <c r="Q43" i="13"/>
  <c r="Q39" i="13"/>
  <c r="Q34" i="13"/>
  <c r="Q44" i="13"/>
  <c r="Q50" i="13"/>
  <c r="Q41" i="13"/>
  <c r="Q46" i="13"/>
  <c r="Q40" i="13"/>
  <c r="Q35" i="13"/>
  <c r="Q37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16" i="14"/>
  <c r="D40" i="31"/>
  <c r="Q19" i="14"/>
  <c r="S2" i="14"/>
  <c r="R6" i="14"/>
  <c r="R10" i="14"/>
  <c r="R5" i="14"/>
  <c r="R9" i="14"/>
  <c r="R15" i="14"/>
  <c r="R8" i="14"/>
  <c r="R7" i="14"/>
  <c r="R11" i="14"/>
  <c r="L72" i="16"/>
  <c r="P10" i="13"/>
  <c r="P7" i="13"/>
  <c r="P45" i="13"/>
  <c r="P53" i="13" l="1"/>
  <c r="P27" i="13"/>
  <c r="Q7" i="13"/>
  <c r="Q45" i="13"/>
  <c r="Q36" i="13"/>
  <c r="R17" i="14"/>
  <c r="Q33" i="13"/>
  <c r="R22" i="14"/>
  <c r="R20" i="14"/>
  <c r="S15" i="14"/>
  <c r="S8" i="14"/>
  <c r="S5" i="14"/>
  <c r="S9" i="14"/>
  <c r="S6" i="14"/>
  <c r="S10" i="14"/>
  <c r="S7" i="14"/>
  <c r="S11" i="14"/>
  <c r="E37" i="31"/>
  <c r="H37" i="31" s="1"/>
  <c r="H38" i="31"/>
  <c r="E32" i="31"/>
  <c r="H32" i="31" s="1"/>
  <c r="H33" i="31"/>
  <c r="R18" i="14"/>
  <c r="R16" i="14"/>
  <c r="Q19" i="13"/>
  <c r="Q10" i="13"/>
  <c r="S5" i="13"/>
  <c r="K79" i="16" s="1"/>
  <c r="F48" i="31" s="1"/>
  <c r="R52" i="13"/>
  <c r="R48" i="13"/>
  <c r="R43" i="13"/>
  <c r="R39" i="13"/>
  <c r="R34" i="13"/>
  <c r="R50" i="13"/>
  <c r="R49" i="13"/>
  <c r="R44" i="13"/>
  <c r="R40" i="13"/>
  <c r="R35" i="13"/>
  <c r="R46" i="13"/>
  <c r="R41" i="13"/>
  <c r="R51" i="13"/>
  <c r="R37" i="13"/>
  <c r="R42" i="13"/>
  <c r="R38" i="13"/>
  <c r="R47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H35" i="31"/>
  <c r="Y10" i="14" l="1"/>
  <c r="S17" i="14"/>
  <c r="S21" i="14"/>
  <c r="S22" i="14"/>
  <c r="E40" i="31"/>
  <c r="H40" i="31" s="1"/>
  <c r="S18" i="14"/>
  <c r="S19" i="14"/>
  <c r="S20" i="14"/>
  <c r="Q27" i="13"/>
  <c r="Q53" i="13"/>
  <c r="R45" i="13"/>
  <c r="R19" i="13"/>
  <c r="R10" i="13"/>
  <c r="S49" i="13"/>
  <c r="S44" i="13"/>
  <c r="S40" i="13"/>
  <c r="S35" i="13"/>
  <c r="S51" i="13"/>
  <c r="S42" i="13"/>
  <c r="S50" i="13"/>
  <c r="S46" i="13"/>
  <c r="S41" i="13"/>
  <c r="S37" i="13"/>
  <c r="S47" i="13"/>
  <c r="S52" i="13"/>
  <c r="S34" i="13"/>
  <c r="S43" i="13"/>
  <c r="S38" i="13"/>
  <c r="S39" i="13"/>
  <c r="S48" i="13"/>
  <c r="I84" i="16"/>
  <c r="J80" i="16"/>
  <c r="I78" i="16"/>
  <c r="I79" i="16"/>
  <c r="D48" i="31" s="1"/>
  <c r="K84" i="16"/>
  <c r="S25" i="13"/>
  <c r="K82" i="16"/>
  <c r="S9" i="13"/>
  <c r="K80" i="16"/>
  <c r="S12" i="13"/>
  <c r="S14" i="13"/>
  <c r="S17" i="13"/>
  <c r="T5" i="13"/>
  <c r="K92" i="16" s="1"/>
  <c r="F61" i="31" s="1"/>
  <c r="H78" i="16"/>
  <c r="H83" i="16"/>
  <c r="H84" i="16"/>
  <c r="S20" i="13"/>
  <c r="K83" i="16"/>
  <c r="K78" i="16"/>
  <c r="S13" i="13"/>
  <c r="K77" i="16"/>
  <c r="F46" i="31" s="1"/>
  <c r="S15" i="13"/>
  <c r="S21" i="13"/>
  <c r="I83" i="16"/>
  <c r="H82" i="16"/>
  <c r="S16" i="13"/>
  <c r="S24" i="13"/>
  <c r="J83" i="16"/>
  <c r="H79" i="16"/>
  <c r="I80" i="16"/>
  <c r="J84" i="16"/>
  <c r="I82" i="16"/>
  <c r="S18" i="13"/>
  <c r="S23" i="13"/>
  <c r="J78" i="16"/>
  <c r="H80" i="16"/>
  <c r="I77" i="16"/>
  <c r="D46" i="31" s="1"/>
  <c r="J77" i="16"/>
  <c r="H77" i="16"/>
  <c r="S22" i="13"/>
  <c r="J82" i="16"/>
  <c r="S11" i="13"/>
  <c r="J79" i="16"/>
  <c r="S26" i="13"/>
  <c r="S8" i="13"/>
  <c r="U2" i="14"/>
  <c r="U4" i="14" s="1"/>
  <c r="T6" i="14"/>
  <c r="T10" i="14"/>
  <c r="T7" i="14"/>
  <c r="T11" i="14"/>
  <c r="T15" i="14"/>
  <c r="T8" i="14"/>
  <c r="T5" i="14"/>
  <c r="T9" i="14"/>
  <c r="R7" i="13"/>
  <c r="R36" i="13"/>
  <c r="S16" i="14"/>
  <c r="R33" i="13"/>
  <c r="AA19" i="14" l="1"/>
  <c r="AA18" i="14"/>
  <c r="S19" i="13"/>
  <c r="AA17" i="14"/>
  <c r="I81" i="16"/>
  <c r="R27" i="13"/>
  <c r="AL34" i="13"/>
  <c r="T22" i="14"/>
  <c r="T16" i="14"/>
  <c r="T18" i="14"/>
  <c r="S7" i="13"/>
  <c r="AB45" i="13"/>
  <c r="T20" i="14"/>
  <c r="T19" i="14"/>
  <c r="T21" i="14"/>
  <c r="L80" i="16"/>
  <c r="L84" i="16"/>
  <c r="U5" i="13"/>
  <c r="T44" i="13"/>
  <c r="T46" i="13"/>
  <c r="T42" i="13"/>
  <c r="T43" i="13"/>
  <c r="K95" i="16"/>
  <c r="I91" i="16"/>
  <c r="I95" i="16"/>
  <c r="I93" i="16"/>
  <c r="I92" i="16"/>
  <c r="D61" i="31" s="1"/>
  <c r="T20" i="13"/>
  <c r="H97" i="16"/>
  <c r="T26" i="13"/>
  <c r="J93" i="16"/>
  <c r="T24" i="13"/>
  <c r="T9" i="13"/>
  <c r="T40" i="13"/>
  <c r="T41" i="13"/>
  <c r="T38" i="13"/>
  <c r="T52" i="13"/>
  <c r="K96" i="16"/>
  <c r="I97" i="16"/>
  <c r="K91" i="16"/>
  <c r="T14" i="13"/>
  <c r="H95" i="16"/>
  <c r="H93" i="16"/>
  <c r="T8" i="13"/>
  <c r="H92" i="16"/>
  <c r="T13" i="13"/>
  <c r="T16" i="13"/>
  <c r="T23" i="13"/>
  <c r="T25" i="13"/>
  <c r="T34" i="13"/>
  <c r="T37" i="13"/>
  <c r="T51" i="13"/>
  <c r="T48" i="13"/>
  <c r="J97" i="16"/>
  <c r="I90" i="16"/>
  <c r="D59" i="31" s="1"/>
  <c r="J91" i="16"/>
  <c r="K93" i="16"/>
  <c r="I96" i="16"/>
  <c r="T17" i="13"/>
  <c r="H91" i="16"/>
  <c r="H90" i="16"/>
  <c r="T12" i="13"/>
  <c r="H96" i="16"/>
  <c r="T18" i="13"/>
  <c r="T15" i="13"/>
  <c r="T50" i="13"/>
  <c r="T47" i="13"/>
  <c r="J92" i="16"/>
  <c r="K90" i="16"/>
  <c r="F59" i="31" s="1"/>
  <c r="J90" i="16"/>
  <c r="T21" i="13"/>
  <c r="T22" i="13"/>
  <c r="T49" i="13"/>
  <c r="T35" i="13"/>
  <c r="T39" i="13"/>
  <c r="K97" i="16"/>
  <c r="J95" i="16"/>
  <c r="J96" i="16"/>
  <c r="T11" i="13"/>
  <c r="S36" i="13"/>
  <c r="AB44" i="13" s="1"/>
  <c r="R53" i="13"/>
  <c r="T17" i="14"/>
  <c r="H76" i="16"/>
  <c r="L77" i="16"/>
  <c r="S33" i="13"/>
  <c r="AB47" i="13" s="1"/>
  <c r="S10" i="13"/>
  <c r="J76" i="16"/>
  <c r="L83" i="16"/>
  <c r="K81" i="16"/>
  <c r="AB48" i="13"/>
  <c r="AL33" i="13"/>
  <c r="AB46" i="13"/>
  <c r="S45" i="13"/>
  <c r="V2" i="14"/>
  <c r="V4" i="14" s="1"/>
  <c r="U15" i="14"/>
  <c r="U8" i="14"/>
  <c r="U5" i="14"/>
  <c r="U9" i="14"/>
  <c r="U6" i="14"/>
  <c r="U10" i="14"/>
  <c r="U7" i="14"/>
  <c r="U11" i="14"/>
  <c r="J81" i="16"/>
  <c r="I76" i="16"/>
  <c r="L79" i="16"/>
  <c r="H81" i="16"/>
  <c r="L82" i="16"/>
  <c r="F45" i="31"/>
  <c r="F53" i="31" s="1"/>
  <c r="K76" i="16"/>
  <c r="L78" i="16"/>
  <c r="S27" i="13" l="1"/>
  <c r="AB8" i="13" s="1"/>
  <c r="AA20" i="14"/>
  <c r="I85" i="16"/>
  <c r="T7" i="13"/>
  <c r="AL35" i="13"/>
  <c r="U21" i="14"/>
  <c r="U19" i="14"/>
  <c r="U17" i="14"/>
  <c r="U22" i="14"/>
  <c r="AB33" i="13"/>
  <c r="U20" i="14"/>
  <c r="L81" i="16"/>
  <c r="K85" i="16"/>
  <c r="T10" i="13"/>
  <c r="L96" i="16"/>
  <c r="U18" i="14"/>
  <c r="U16" i="14"/>
  <c r="AG34" i="13"/>
  <c r="AB36" i="13"/>
  <c r="S53" i="13"/>
  <c r="AB37" i="13"/>
  <c r="AB35" i="13"/>
  <c r="L93" i="16"/>
  <c r="T19" i="13"/>
  <c r="T45" i="13"/>
  <c r="AB38" i="13"/>
  <c r="J85" i="16"/>
  <c r="AG33" i="13"/>
  <c r="AB34" i="13"/>
  <c r="J89" i="16"/>
  <c r="T33" i="13"/>
  <c r="H94" i="16"/>
  <c r="L95" i="16"/>
  <c r="K94" i="16"/>
  <c r="W2" i="14"/>
  <c r="W4" i="14" s="1"/>
  <c r="V5" i="14"/>
  <c r="V9" i="14"/>
  <c r="V6" i="14"/>
  <c r="V10" i="14"/>
  <c r="V7" i="14"/>
  <c r="V11" i="14"/>
  <c r="V8" i="14"/>
  <c r="V15" i="14"/>
  <c r="AB49" i="13"/>
  <c r="J94" i="16"/>
  <c r="F58" i="31"/>
  <c r="F66" i="31" s="1"/>
  <c r="K89" i="16"/>
  <c r="L90" i="16"/>
  <c r="H89" i="16"/>
  <c r="L92" i="16"/>
  <c r="V5" i="13"/>
  <c r="U50" i="13"/>
  <c r="U46" i="13"/>
  <c r="U41" i="13"/>
  <c r="U37" i="13"/>
  <c r="U43" i="13"/>
  <c r="U51" i="13"/>
  <c r="U47" i="13"/>
  <c r="U42" i="13"/>
  <c r="U38" i="13"/>
  <c r="U52" i="13"/>
  <c r="U48" i="13"/>
  <c r="U35" i="13"/>
  <c r="U44" i="13"/>
  <c r="U49" i="13"/>
  <c r="U34" i="13"/>
  <c r="U39" i="13"/>
  <c r="U40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I89" i="16"/>
  <c r="T36" i="13"/>
  <c r="D45" i="31"/>
  <c r="H85" i="16"/>
  <c r="L76" i="16"/>
  <c r="L91" i="16"/>
  <c r="L97" i="16"/>
  <c r="I94" i="16"/>
  <c r="E48" i="31" l="1"/>
  <c r="E46" i="31"/>
  <c r="E47" i="31"/>
  <c r="H47" i="31" s="1"/>
  <c r="E51" i="31"/>
  <c r="E52" i="31"/>
  <c r="H52" i="31" s="1"/>
  <c r="E49" i="31"/>
  <c r="H49" i="31" s="1"/>
  <c r="M10" i="31" s="1"/>
  <c r="L85" i="16"/>
  <c r="T53" i="13"/>
  <c r="T27" i="13"/>
  <c r="V22" i="14"/>
  <c r="V20" i="14"/>
  <c r="AB39" i="13"/>
  <c r="I98" i="16"/>
  <c r="V18" i="14"/>
  <c r="V16" i="14"/>
  <c r="AG35" i="13"/>
  <c r="U19" i="13"/>
  <c r="U10" i="13"/>
  <c r="U33" i="13"/>
  <c r="K98" i="16"/>
  <c r="U36" i="13"/>
  <c r="W5" i="13"/>
  <c r="K118" i="16" s="1"/>
  <c r="V51" i="13"/>
  <c r="V47" i="13"/>
  <c r="V42" i="13"/>
  <c r="V38" i="13"/>
  <c r="V44" i="13"/>
  <c r="V52" i="13"/>
  <c r="V48" i="13"/>
  <c r="V43" i="13"/>
  <c r="V39" i="13"/>
  <c r="V34" i="13"/>
  <c r="V49" i="13"/>
  <c r="V37" i="13"/>
  <c r="V35" i="13"/>
  <c r="V41" i="13"/>
  <c r="V40" i="13"/>
  <c r="V46" i="13"/>
  <c r="V50" i="13"/>
  <c r="V8" i="13"/>
  <c r="V11" i="13"/>
  <c r="V13" i="13"/>
  <c r="V15" i="13"/>
  <c r="V17" i="13"/>
  <c r="V20" i="13"/>
  <c r="V22" i="13"/>
  <c r="V24" i="13"/>
  <c r="V26" i="13"/>
  <c r="V9" i="13"/>
  <c r="V12" i="13"/>
  <c r="V14" i="13"/>
  <c r="V16" i="13"/>
  <c r="V18" i="13"/>
  <c r="V21" i="13"/>
  <c r="V23" i="13"/>
  <c r="V25" i="13"/>
  <c r="L94" i="16"/>
  <c r="J98" i="16"/>
  <c r="D58" i="31"/>
  <c r="D53" i="31"/>
  <c r="U7" i="13"/>
  <c r="U45" i="13"/>
  <c r="V21" i="14"/>
  <c r="W5" i="14"/>
  <c r="W9" i="14"/>
  <c r="W6" i="14"/>
  <c r="W10" i="14"/>
  <c r="W7" i="14"/>
  <c r="W11" i="14"/>
  <c r="W8" i="14"/>
  <c r="W15" i="14"/>
  <c r="L89" i="16"/>
  <c r="H98" i="16"/>
  <c r="V19" i="14"/>
  <c r="V17" i="14"/>
  <c r="F74" i="31" l="1"/>
  <c r="K133" i="16"/>
  <c r="R133" i="16"/>
  <c r="E62" i="31"/>
  <c r="H62" i="31" s="1"/>
  <c r="E61" i="31"/>
  <c r="E59" i="31"/>
  <c r="E60" i="31"/>
  <c r="H60" i="31" s="1"/>
  <c r="E65" i="31"/>
  <c r="H65" i="31" s="1"/>
  <c r="E64" i="31"/>
  <c r="U27" i="13"/>
  <c r="L98" i="16"/>
  <c r="W18" i="14"/>
  <c r="W16" i="14"/>
  <c r="U53" i="13"/>
  <c r="W22" i="14"/>
  <c r="V7" i="13"/>
  <c r="V33" i="13"/>
  <c r="W21" i="14"/>
  <c r="D66" i="31"/>
  <c r="H48" i="31"/>
  <c r="M9" i="31" s="1"/>
  <c r="W19" i="14"/>
  <c r="W17" i="14"/>
  <c r="V45" i="13"/>
  <c r="V36" i="13"/>
  <c r="W43" i="13"/>
  <c r="X43" i="13" s="1"/>
  <c r="W40" i="13"/>
  <c r="X40" i="13" s="1"/>
  <c r="W50" i="13"/>
  <c r="X50" i="13" s="1"/>
  <c r="W42" i="13"/>
  <c r="X42" i="13" s="1"/>
  <c r="H117" i="16"/>
  <c r="J123" i="16"/>
  <c r="J121" i="16"/>
  <c r="H116" i="16"/>
  <c r="W25" i="13"/>
  <c r="X25" i="13" s="1"/>
  <c r="H123" i="16"/>
  <c r="W8" i="13"/>
  <c r="X8" i="13" s="1"/>
  <c r="I116" i="16"/>
  <c r="W15" i="13"/>
  <c r="X15" i="13" s="1"/>
  <c r="J118" i="16"/>
  <c r="I117" i="16"/>
  <c r="I118" i="16"/>
  <c r="W14" i="13"/>
  <c r="X14" i="13" s="1"/>
  <c r="W18" i="13"/>
  <c r="X18" i="13" s="1"/>
  <c r="W39" i="13"/>
  <c r="X39" i="13" s="1"/>
  <c r="W34" i="13"/>
  <c r="X34" i="13" s="1"/>
  <c r="W46" i="13"/>
  <c r="X46" i="13" s="1"/>
  <c r="W51" i="13"/>
  <c r="X51" i="13" s="1"/>
  <c r="H118" i="16"/>
  <c r="J117" i="16"/>
  <c r="K119" i="16"/>
  <c r="J116" i="16"/>
  <c r="W24" i="13"/>
  <c r="X24" i="13" s="1"/>
  <c r="I121" i="16"/>
  <c r="J122" i="16"/>
  <c r="H121" i="16"/>
  <c r="W13" i="13"/>
  <c r="X13" i="13" s="1"/>
  <c r="H122" i="16"/>
  <c r="W12" i="13"/>
  <c r="X12" i="13" s="1"/>
  <c r="W20" i="13"/>
  <c r="X20" i="13" s="1"/>
  <c r="W52" i="13"/>
  <c r="W49" i="13"/>
  <c r="X49" i="13" s="1"/>
  <c r="W41" i="13"/>
  <c r="X41" i="13" s="1"/>
  <c r="W37" i="13"/>
  <c r="X37" i="13" s="1"/>
  <c r="W38" i="13"/>
  <c r="X38" i="13" s="1"/>
  <c r="J119" i="16"/>
  <c r="H119" i="16"/>
  <c r="K121" i="16"/>
  <c r="K116" i="16"/>
  <c r="I122" i="16"/>
  <c r="W22" i="13"/>
  <c r="X22" i="13" s="1"/>
  <c r="W23" i="13"/>
  <c r="X23" i="13" s="1"/>
  <c r="W17" i="13"/>
  <c r="X17" i="13" s="1"/>
  <c r="I119" i="16"/>
  <c r="W9" i="13"/>
  <c r="X9" i="13" s="1"/>
  <c r="W48" i="13"/>
  <c r="X48" i="13" s="1"/>
  <c r="W44" i="13"/>
  <c r="X44" i="13" s="1"/>
  <c r="W47" i="13"/>
  <c r="X47" i="13" s="1"/>
  <c r="W35" i="13"/>
  <c r="X35" i="13" s="1"/>
  <c r="I123" i="16"/>
  <c r="K123" i="16"/>
  <c r="K117" i="16"/>
  <c r="K122" i="16"/>
  <c r="W26" i="13"/>
  <c r="W21" i="13"/>
  <c r="X21" i="13" s="1"/>
  <c r="W11" i="13"/>
  <c r="X11" i="13" s="1"/>
  <c r="W16" i="13"/>
  <c r="X16" i="13" s="1"/>
  <c r="E45" i="31"/>
  <c r="H45" i="31" s="1"/>
  <c r="M8" i="31" s="1"/>
  <c r="H46" i="31"/>
  <c r="E50" i="31"/>
  <c r="H50" i="31" s="1"/>
  <c r="M11" i="31" s="1"/>
  <c r="H51" i="31"/>
  <c r="W20" i="14"/>
  <c r="V19" i="13"/>
  <c r="V10" i="13"/>
  <c r="P134" i="16" l="1"/>
  <c r="I134" i="16"/>
  <c r="J132" i="16"/>
  <c r="Q132" i="16"/>
  <c r="D72" i="31"/>
  <c r="I131" i="16"/>
  <c r="P131" i="16"/>
  <c r="O133" i="16"/>
  <c r="H133" i="16"/>
  <c r="K132" i="16"/>
  <c r="R132" i="16"/>
  <c r="I137" i="16"/>
  <c r="P137" i="16"/>
  <c r="H137" i="16"/>
  <c r="O137" i="16"/>
  <c r="H131" i="16"/>
  <c r="O131" i="16"/>
  <c r="K138" i="16"/>
  <c r="R138" i="16"/>
  <c r="F72" i="31"/>
  <c r="F71" i="31" s="1"/>
  <c r="F79" i="31" s="1"/>
  <c r="R131" i="16"/>
  <c r="K131" i="16"/>
  <c r="Q136" i="16"/>
  <c r="J136" i="16"/>
  <c r="J138" i="16"/>
  <c r="Q138" i="16"/>
  <c r="I138" i="16"/>
  <c r="P138" i="16"/>
  <c r="H136" i="16"/>
  <c r="O136" i="16"/>
  <c r="O134" i="16"/>
  <c r="H134" i="16"/>
  <c r="H132" i="16"/>
  <c r="O132" i="16"/>
  <c r="R136" i="16"/>
  <c r="K136" i="16"/>
  <c r="H138" i="16"/>
  <c r="O138" i="16"/>
  <c r="R137" i="16"/>
  <c r="K137" i="16"/>
  <c r="J137" i="16"/>
  <c r="Q137" i="16"/>
  <c r="Q134" i="16"/>
  <c r="J134" i="16"/>
  <c r="P136" i="16"/>
  <c r="I136" i="16"/>
  <c r="D74" i="31"/>
  <c r="P133" i="16"/>
  <c r="I133" i="16"/>
  <c r="I132" i="16"/>
  <c r="P132" i="16"/>
  <c r="J131" i="16"/>
  <c r="Q131" i="16"/>
  <c r="J133" i="16"/>
  <c r="Q133" i="16"/>
  <c r="R134" i="16"/>
  <c r="K134" i="16"/>
  <c r="L117" i="16"/>
  <c r="AM34" i="13"/>
  <c r="L116" i="16"/>
  <c r="AB17" i="14"/>
  <c r="M12" i="31"/>
  <c r="AB19" i="14"/>
  <c r="V27" i="13"/>
  <c r="K120" i="16"/>
  <c r="W7" i="13"/>
  <c r="V53" i="13"/>
  <c r="AB18" i="14"/>
  <c r="J120" i="16"/>
  <c r="H120" i="16"/>
  <c r="L121" i="16"/>
  <c r="L119" i="16"/>
  <c r="AM33" i="13"/>
  <c r="W45" i="13"/>
  <c r="AC46" i="13"/>
  <c r="L123" i="16"/>
  <c r="E63" i="31"/>
  <c r="H63" i="31" s="1"/>
  <c r="H64" i="31"/>
  <c r="E53" i="31"/>
  <c r="H53" i="31" s="1"/>
  <c r="W19" i="13"/>
  <c r="W10" i="13"/>
  <c r="AC45" i="13"/>
  <c r="L122" i="16"/>
  <c r="I120" i="16"/>
  <c r="W33" i="13"/>
  <c r="AC47" i="13" s="1"/>
  <c r="H61" i="31"/>
  <c r="E58" i="31"/>
  <c r="H58" i="31" s="1"/>
  <c r="H59" i="31"/>
  <c r="W36" i="13"/>
  <c r="AC44" i="13" s="1"/>
  <c r="J115" i="16"/>
  <c r="K115" i="16"/>
  <c r="AC48" i="13"/>
  <c r="L118" i="16"/>
  <c r="I115" i="16"/>
  <c r="H115" i="16"/>
  <c r="L120" i="16" l="1"/>
  <c r="L133" i="16"/>
  <c r="S133" i="16"/>
  <c r="L132" i="16"/>
  <c r="S132" i="16"/>
  <c r="Q135" i="16"/>
  <c r="J135" i="16"/>
  <c r="R130" i="16"/>
  <c r="K130" i="16"/>
  <c r="Q130" i="16"/>
  <c r="J130" i="16"/>
  <c r="R135" i="16"/>
  <c r="K135" i="16"/>
  <c r="L138" i="16"/>
  <c r="S138" i="16"/>
  <c r="H130" i="16"/>
  <c r="O130" i="16"/>
  <c r="P135" i="16"/>
  <c r="I135" i="16"/>
  <c r="L134" i="16"/>
  <c r="S134" i="16"/>
  <c r="S131" i="16"/>
  <c r="L131" i="16"/>
  <c r="O135" i="16"/>
  <c r="H135" i="16"/>
  <c r="P130" i="16"/>
  <c r="I130" i="16"/>
  <c r="S137" i="16"/>
  <c r="L137" i="16"/>
  <c r="S136" i="16"/>
  <c r="L136" i="16"/>
  <c r="AM35" i="13"/>
  <c r="AC38" i="13"/>
  <c r="W27" i="13"/>
  <c r="AC8" i="13" s="1"/>
  <c r="AB20" i="14"/>
  <c r="J124" i="16"/>
  <c r="AC36" i="13"/>
  <c r="AC33" i="13"/>
  <c r="AC34" i="13"/>
  <c r="K124" i="16"/>
  <c r="I124" i="16"/>
  <c r="AC35" i="13"/>
  <c r="AC37" i="13"/>
  <c r="AC49" i="13"/>
  <c r="D71" i="31"/>
  <c r="W53" i="13"/>
  <c r="L115" i="16"/>
  <c r="H124" i="16"/>
  <c r="E66" i="31"/>
  <c r="H66" i="31" s="1"/>
  <c r="AH33" i="13"/>
  <c r="AH34" i="13"/>
  <c r="O139" i="16" l="1"/>
  <c r="H139" i="16"/>
  <c r="S130" i="16"/>
  <c r="L130" i="16"/>
  <c r="J139" i="16"/>
  <c r="Q139" i="16"/>
  <c r="S135" i="16"/>
  <c r="L135" i="16"/>
  <c r="P139" i="16"/>
  <c r="I139" i="16"/>
  <c r="K139" i="16"/>
  <c r="R139" i="16"/>
  <c r="E75" i="31"/>
  <c r="H75" i="31" s="1"/>
  <c r="N10" i="31" s="1"/>
  <c r="E74" i="31"/>
  <c r="H74" i="31" s="1"/>
  <c r="N9" i="31" s="1"/>
  <c r="E73" i="31"/>
  <c r="H73" i="31" s="1"/>
  <c r="E78" i="31"/>
  <c r="H78" i="31" s="1"/>
  <c r="E77" i="31"/>
  <c r="E72" i="31"/>
  <c r="H72" i="31" s="1"/>
  <c r="L124" i="16"/>
  <c r="AC39" i="13"/>
  <c r="AH35" i="13"/>
  <c r="D79" i="31"/>
  <c r="L139" i="16" l="1"/>
  <c r="S139" i="16"/>
  <c r="E76" i="31"/>
  <c r="H76" i="31" s="1"/>
  <c r="N11" i="31" s="1"/>
  <c r="H77" i="31"/>
  <c r="E71" i="31"/>
  <c r="H71" i="31" s="1"/>
  <c r="N8" i="31" s="1"/>
  <c r="N12" i="31" l="1"/>
  <c r="E79" i="31"/>
  <c r="H79" i="3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69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7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<sst xmlns="http://schemas.openxmlformats.org/spreadsheetml/2006/main" count="1877" uniqueCount="543">
  <si>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</si>
  <si>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</si>
  <si>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</si>
  <si>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</si>
  <si>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</si>
  <si>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</si>
  <si>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</si>
  <si>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</si>
  <si>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</si>
  <si>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</si>
  <si>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</si>
  <si>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</si>
  <si>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</si>
  <si>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</si>
  <si>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</si>
  <si>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</si>
  <si>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</si>
  <si>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</si>
  <si>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</si>
  <si>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</si>
  <si>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</si>
  <si>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</si>
  <si>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</si>
  <si>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</si>
  <si>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</si>
  <si>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</si>
  <si>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</si>
  <si>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</si>
  <si>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</si>
  <si>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</si>
  <si>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</si>
  <si>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</si>
  <si>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</si>
  <si>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</si>
  <si>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</si>
  <si>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</si>
  <si>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</si>
  <si>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</si>
  <si>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</si>
  <si>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</si>
  <si>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</si>
  <si>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</si>
  <si>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</si>
  <si>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</si>
  <si>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</si>
  <si>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</si>
  <si>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</si>
  <si>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</si>
  <si>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</si>
  <si>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</si>
  <si>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</si>
  <si>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</si>
  <si>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</si>
  <si>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</si>
  <si>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</si>
  <si>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</si>
  <si>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</si>
  <si>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</si>
  <si>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</si>
  <si>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</si>
  <si>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</si>
  <si>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</si>
  <si>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</si>
  <si>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</si>
  <si>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</si>
  <si>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</si>
  <si>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</si>
  <si>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</si>
  <si>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</si>
  <si>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</si>
  <si>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</si>
  <si>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</si>
  <si>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</si>
  <si>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</si>
  <si>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</si>
  <si>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</si>
  <si>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</si>
  <si>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</si>
  <si>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</si>
  <si>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</si>
  <si>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</si>
  <si>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</si>
  <si>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</si>
  <si>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</si>
  <si>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</si>
  <si>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</si>
  <si>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</si>
  <si>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</si>
  <si>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</si>
  <si>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</si>
  <si>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</si>
  <si>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</si>
  <si>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</si>
  <si>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</si>
  <si>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</si>
  <si>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</si>
  <si>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</si>
  <si>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</si>
  <si>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</si>
  <si>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</si>
  <si>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</si>
  <si>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</si>
  <si>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</si>
  <si>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ER_OIL_2</t>
  </si>
  <si>
    <t>ER_OIL_2201_2</t>
  </si>
  <si>
    <t>ER_OIL_2202_2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</si>
  <si>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</si>
  <si>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</si>
  <si>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</si>
  <si>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</si>
  <si>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</si>
  <si>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</si>
  <si>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</si>
  <si>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</si>
  <si>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ER_ELEC_2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</si>
  <si>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</si>
  <si>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</si>
  <si>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</si>
  <si>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</si>
  <si>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</si>
  <si>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</si>
  <si>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</si>
  <si>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</si>
  <si>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</si>
  <si>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ER_AGRICULTURE_2</t>
  </si>
  <si>
    <t>ER_INDUS_2</t>
  </si>
  <si>
    <t>ER_RESIDENTIAL_2</t>
  </si>
  <si>
    <t>ER_TERTIARY_2</t>
  </si>
  <si>
    <t>ER_TRANS_PRIVATE_2</t>
  </si>
  <si>
    <t>ER_TRANS_PUBLIC_2</t>
  </si>
  <si>
    <t>ER_AUTO_2</t>
  </si>
  <si>
    <t>ER_AUTO_TH_A_2</t>
  </si>
  <si>
    <t>ER_AUTO_TH_B_2</t>
  </si>
  <si>
    <t>ER_AUTO_TH_C_2</t>
  </si>
  <si>
    <t>ER_AUTO_TH_D_2</t>
  </si>
  <si>
    <t>ER_AUTO_TH_E_2</t>
  </si>
  <si>
    <t>ER_AUTO_TH_F_2</t>
  </si>
  <si>
    <t>ER_AUTO_TH_G_2</t>
  </si>
  <si>
    <t>ER_AUTO_ELEC_A_2</t>
  </si>
  <si>
    <t>ER_AUTO_ELEC_B_2</t>
  </si>
  <si>
    <t>ER_AUTO_ELEC_C_2</t>
  </si>
  <si>
    <t>ER_AUTO_ELEC_D_2</t>
  </si>
  <si>
    <t>ER_AUTO_ELEC_E_2</t>
  </si>
  <si>
    <t>ER_AUTO_ELEC_F_2</t>
  </si>
  <si>
    <t>ER_AUTO_ELEC_G_2</t>
  </si>
  <si>
    <t>ER_AUTO_COAL_2</t>
  </si>
  <si>
    <t>ER_AUTO_TH_2</t>
  </si>
  <si>
    <t>ER_AUTO_ELEC_2</t>
  </si>
  <si>
    <t>ER_AUTO_GAS_2</t>
  </si>
  <si>
    <t>ER_NEWAUTO_2</t>
  </si>
  <si>
    <t>ER_NEWAUTO_TH_2</t>
  </si>
  <si>
    <t>ER_NEWAUTO_TH_A_2</t>
  </si>
  <si>
    <t>ER_NEWAUTO_TH_B_2</t>
  </si>
  <si>
    <t>ER_NEWAUTO_TH_C_2</t>
  </si>
  <si>
    <t>ER_NEWAUTO_TH_D_2</t>
  </si>
  <si>
    <t>ER_NEWAUTO_TH_E_2</t>
  </si>
  <si>
    <t>ER_NEWAUTO_TH_F_2</t>
  </si>
  <si>
    <t>ER_NEWAUTO_TH_G_2</t>
  </si>
  <si>
    <t>ER_NEWAUTO_ELEC_2</t>
  </si>
  <si>
    <t>ER_NEWAUTO_ELEC_A_2</t>
  </si>
  <si>
    <t>ER_NEWAUTO_ELEC_B_2</t>
  </si>
  <si>
    <t>ER_NEWAUTO_ELEC_C_2</t>
  </si>
  <si>
    <t>ER_NEWAUTO_ELEC_D_2</t>
  </si>
  <si>
    <t>ER_NEWAUTO_ELEC_E_2</t>
  </si>
  <si>
    <t>ER_NEWAUTO_ELEC_F_2</t>
  </si>
  <si>
    <t>ER_NEWAUTO_ELEC_G_2</t>
  </si>
  <si>
    <t>ER_AGRICULTURE_COAL_2</t>
  </si>
  <si>
    <t>ER_INDUS_COAL_2</t>
  </si>
  <si>
    <t>ER_RESIDENTIAL_COAL_2</t>
  </si>
  <si>
    <t>ER_TERTIARY_COAL_2</t>
  </si>
  <si>
    <t>ER_TRANS_PRIVATE_COAL_2</t>
  </si>
  <si>
    <t>ER_TRANS_PUBLIC_COAL_2</t>
  </si>
  <si>
    <t>ER_AGRICULTURE_OIL_2</t>
  </si>
  <si>
    <t>ER_INDUS_OIL_2</t>
  </si>
  <si>
    <t>ER_RESIDENTIAL_OIL_2</t>
  </si>
  <si>
    <t>ER_TERTIARY_OIL_2</t>
  </si>
  <si>
    <t>ER_TRANS_PRIVATE_OIL_2</t>
  </si>
  <si>
    <t>ER_TRANS_PUBLIC_OIL_2</t>
  </si>
  <si>
    <t>ER_AGRICULTURE_ELEC_2</t>
  </si>
  <si>
    <t>ER_INDUS_ELEC_2</t>
  </si>
  <si>
    <t>ER_RESIDENTIAL_ELEC_2</t>
  </si>
  <si>
    <t>ER_TERTIARY_ELEC_2</t>
  </si>
  <si>
    <t>ER_TRANS_PRIVATE_ELEC_2</t>
  </si>
  <si>
    <t>ER_TRANS_PUBLIC_ELEC_2</t>
  </si>
  <si>
    <t>ER_AGRICULTURE_GAS_2</t>
  </si>
  <si>
    <t>ER_INDUS_GAS_2</t>
  </si>
  <si>
    <t>ER_RESIDENTIAL_GAS_2</t>
  </si>
  <si>
    <t>ER_TERTIARY_GAS_2</t>
  </si>
  <si>
    <t>ER_TRANS_PRIVATE_GAS_2</t>
  </si>
  <si>
    <t>ER_TRANS_PUBLIC_GAS_2</t>
  </si>
  <si>
    <t>ER_BUIL_2</t>
  </si>
  <si>
    <t>ER_BUIL_A_2</t>
  </si>
  <si>
    <t>ER_BUIL_B_2</t>
  </si>
  <si>
    <t>ER_BUIL_C_2</t>
  </si>
  <si>
    <t>ER_BUIL_D_2</t>
  </si>
  <si>
    <t>ER_BUIL_E_2</t>
  </si>
  <si>
    <t>ER_BUIL_F_2</t>
  </si>
  <si>
    <t>ER_BUIL_G_2</t>
  </si>
  <si>
    <t>TTCO_VOL_SIGNAL_2</t>
  </si>
  <si>
    <t>PGDP_2</t>
  </si>
  <si>
    <t>100*(GDP_2/@ELEM(GDP_2,"2006"))</t>
  </si>
  <si>
    <t>100*(EMS_TOT_2/@ELEM(EMS_TOT_2,"2006"))</t>
  </si>
  <si>
    <t>EMS_DC_04_2</t>
  </si>
  <si>
    <t>EMS_DC_05_2</t>
  </si>
  <si>
    <t>EMS_DC_2</t>
  </si>
  <si>
    <t>EMS_HH_2</t>
  </si>
  <si>
    <t>EMS_HH_21_2</t>
  </si>
  <si>
    <t>EMS_HH_21_H01_2</t>
  </si>
  <si>
    <t>EMS_HH_22_2</t>
  </si>
  <si>
    <t>EMS_HH_22_H01_2</t>
  </si>
  <si>
    <t>EMS_HH_24_2</t>
  </si>
  <si>
    <t>EMS_HH_24_H01_2</t>
  </si>
  <si>
    <t>EMS_SEC_TOT_01_2</t>
  </si>
  <si>
    <t>EMS_SEC_TOT_02_2</t>
  </si>
  <si>
    <t>EMS_SEC_TOT_03_2</t>
  </si>
  <si>
    <t>EMS_SEC_TOT_04_2</t>
  </si>
  <si>
    <t>EMS_SEC_TOT_05_2</t>
  </si>
  <si>
    <t>EMS_SEC_TOT_06_2</t>
  </si>
  <si>
    <t>EMS_SEC_TOT_07_2</t>
  </si>
  <si>
    <t>EMS_SEC_TOT_08_2</t>
  </si>
  <si>
    <t>EMS_SEC_TOT_09_2</t>
  </si>
  <si>
    <t>EMS_SEC_TOT_10_2</t>
  </si>
  <si>
    <t>EMS_SEC_TOT_11_2</t>
  </si>
  <si>
    <t>EMS_SEC_TOT_12_2</t>
  </si>
  <si>
    <t>EMS_SEC_TOT_13_2</t>
  </si>
  <si>
    <t>EMS_SEC_TOT_14_2</t>
  </si>
  <si>
    <t>EMS_SEC_TOT_15_2</t>
  </si>
  <si>
    <t>EMS_SEC_TOT_16_2</t>
  </si>
  <si>
    <t>EMS_SEC_TOT_17_2</t>
  </si>
  <si>
    <t>EMS_SEC_TOT_18_2</t>
  </si>
  <si>
    <t>EMS_SEC_TOT_19_2</t>
  </si>
  <si>
    <t>EMS_SEC_TOT_2</t>
  </si>
  <si>
    <t>EMS_SEC_TOT_20_2</t>
  </si>
  <si>
    <t>EMS_SEC_TOT_21_05_2</t>
  </si>
  <si>
    <t>EMS_SEC_TOT_21_06_2</t>
  </si>
  <si>
    <t>EMS_SEC_TOT_21_07_2</t>
  </si>
  <si>
    <t>EMS_SEC_TOT_21_08_2</t>
  </si>
  <si>
    <t>EMS_SEC_TOT_21_10_2</t>
  </si>
  <si>
    <t>EMS_SEC_TOT_21_12_2</t>
  </si>
  <si>
    <t>EMS_SEC_TOT_21_19_2</t>
  </si>
  <si>
    <t>EMS_SEC_TOT_21_20_2</t>
  </si>
  <si>
    <t>EMS_SEC_TOT_21_2304_2</t>
  </si>
  <si>
    <t>EMS_SEC_TOT_2201_2</t>
  </si>
  <si>
    <t>EMS_SEC_TOT_22_01_2</t>
  </si>
  <si>
    <t>EMS_SEC_TOT_22_02_2</t>
  </si>
  <si>
    <t>EMS_SEC_TOT_22_03_2</t>
  </si>
  <si>
    <t>EMS_SEC_TOT_22_04_2</t>
  </si>
  <si>
    <t>EMS_SEC_TOT_22_05_2</t>
  </si>
  <si>
    <t>EMS_SEC_TOT_22_06_2</t>
  </si>
  <si>
    <t>EMS_SEC_TOT_22_07_2</t>
  </si>
  <si>
    <t>EMS_SEC_TOT_22_08_2</t>
  </si>
  <si>
    <t>EMS_SEC_TOT_22_09_2</t>
  </si>
  <si>
    <t>EMS_SEC_TOT_22_12_2</t>
  </si>
  <si>
    <t>EMS_SEC_TOT_22_13_2</t>
  </si>
  <si>
    <t>EMS_SEC_TOT_22_14_2</t>
  </si>
  <si>
    <t>EMS_SEC_TOT_22_15_2</t>
  </si>
  <si>
    <t>EMS_SEC_TOT_22_16_2</t>
  </si>
  <si>
    <t>EMS_SEC_TOT_22_17_2</t>
  </si>
  <si>
    <t>EMS_SEC_TOT_22_18_2</t>
  </si>
  <si>
    <t>EMS_SEC_TOT_22_19_2</t>
  </si>
  <si>
    <t>EMS_SEC_TOT_22_20_2</t>
  </si>
  <si>
    <t>EMS_SEC_TOT_22_2201_2</t>
  </si>
  <si>
    <t>EMS_SEC_TOT_22_2302_2</t>
  </si>
  <si>
    <t>EMS_SEC_TOT_2302_2</t>
  </si>
  <si>
    <t>EMS_SEC_TOT_2303_2</t>
  </si>
  <si>
    <t>EMS_SEC_TOT_2304_2</t>
  </si>
  <si>
    <t>EMS_SEC_TOT_2401_2</t>
  </si>
  <si>
    <t>EMS_SEC_TOT_24_01_2</t>
  </si>
  <si>
    <t>EMS_SEC_TOT_24_02_2</t>
  </si>
  <si>
    <t>EMS_SEC_TOT_24_03_2</t>
  </si>
  <si>
    <t>EMS_SEC_TOT_24_04_2</t>
  </si>
  <si>
    <t>EMS_SEC_TOT_24_05_2</t>
  </si>
  <si>
    <t>EMS_SEC_TOT_24_06_2</t>
  </si>
  <si>
    <t>EMS_SEC_TOT_24_07_2</t>
  </si>
  <si>
    <t>EMS_SEC_TOT_24_08_2</t>
  </si>
  <si>
    <t>EMS_SEC_TOT_24_09_2</t>
  </si>
  <si>
    <t>EMS_SEC_TOT_24_10_2</t>
  </si>
  <si>
    <t>EMS_SEC_TOT_24_11_2</t>
  </si>
  <si>
    <t>EMS_SEC_TOT_24_12_2</t>
  </si>
  <si>
    <t>EMS_SEC_TOT_24_13_2</t>
  </si>
  <si>
    <t>EMS_SEC_TOT_24_14_2</t>
  </si>
  <si>
    <t>EMS_SEC_TOT_24_15_2</t>
  </si>
  <si>
    <t>EMS_SEC_TOT_24_16_2</t>
  </si>
  <si>
    <t>EMS_SEC_TOT_24_17_2</t>
  </si>
  <si>
    <t>EMS_SEC_TOT_24_18_2</t>
  </si>
  <si>
    <t>EMS_SEC_TOT_24_19_2</t>
  </si>
  <si>
    <t>EMS_SEC_TOT_24_20_2</t>
  </si>
  <si>
    <t>EMS_SEC_TOT_24_2201_2</t>
  </si>
  <si>
    <t>EMS_SEC_TOT_24_2303_2</t>
  </si>
  <si>
    <t>EMS_SEC_TOT_24_2401_2</t>
  </si>
  <si>
    <t>EMS_SECSOU_2</t>
  </si>
  <si>
    <t>EMS_SECSOU_21_2</t>
  </si>
  <si>
    <t>EMS_SECSOU_22_2</t>
  </si>
  <si>
    <t>EMS_SECSOU_24_2</t>
  </si>
  <si>
    <t>EMS_SOU_2</t>
  </si>
  <si>
    <t>EMS_SOU_21_2</t>
  </si>
  <si>
    <t>EMS_SOU_22_2</t>
  </si>
  <si>
    <t>EMS_SOU_24_2</t>
  </si>
  <si>
    <t>EMS_TOT_2</t>
  </si>
  <si>
    <t>Q_MTEP_EP_2</t>
  </si>
  <si>
    <t>Q_MTEP_EP_21_2</t>
  </si>
  <si>
    <t>Q_MTEP_EP_21_21_2</t>
  </si>
  <si>
    <t>Q_MTEP_EP_2201_2</t>
  </si>
  <si>
    <t>Q_MTEP_EP_2202_2</t>
  </si>
  <si>
    <t>Q_MTEP_EP_22_2201_2</t>
  </si>
  <si>
    <t>Q_MTEP_EP_22_2202_2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</si>
  <si>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</si>
  <si>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</si>
  <si>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</si>
  <si>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</si>
  <si>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</si>
  <si>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</si>
  <si>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</si>
  <si>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</si>
  <si>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Q_MTEP_EP_23_2301_2</t>
  </si>
  <si>
    <t>Q_MTEP_EP_23_2302_2</t>
  </si>
  <si>
    <t>Q_MTEP_EP_23_2303_2</t>
  </si>
  <si>
    <t>Q_MTEP_EP_23_2304_2</t>
  </si>
  <si>
    <t>Q_MTEP_EP_23_2305_2</t>
  </si>
  <si>
    <t>Q_MTEP_EP_23_2306_2</t>
  </si>
  <si>
    <t>Q_MTEP_EP_23_2307_2</t>
  </si>
  <si>
    <t>Q_MTEP_EP_23_2308_2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</si>
  <si>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</si>
  <si>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</si>
  <si>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</si>
  <si>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</si>
  <si>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</si>
  <si>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</si>
  <si>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</si>
  <si>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</si>
  <si>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</si>
  <si>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</si>
  <si>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</si>
  <si>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</si>
  <si>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</si>
  <si>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</si>
  <si>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</si>
  <si>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</si>
  <si>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</si>
  <si>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</si>
  <si>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</si>
  <si>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</si>
  <si>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</si>
  <si>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</si>
  <si>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</si>
  <si>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</si>
  <si>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</si>
  <si>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</si>
  <si>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</si>
  <si>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</si>
  <si>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</si>
  <si>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</si>
  <si>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</si>
  <si>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</si>
  <si>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</si>
  <si>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</si>
  <si>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Q_Mtep_ep_2201_2</t>
  </si>
  <si>
    <t>Q_Mtep_ep_2202_2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</si>
  <si>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</si>
  <si>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</si>
  <si>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</si>
  <si>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</si>
  <si>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</si>
  <si>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</si>
  <si>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</si>
  <si>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</si>
  <si>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</si>
  <si>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</si>
  <si>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</si>
  <si>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</si>
  <si>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</si>
  <si>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</si>
  <si>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Q_Mtep_ep_21_2</t>
  </si>
  <si>
    <t>ER_Oil_2</t>
  </si>
  <si>
    <t>ER_oil_2201_2</t>
  </si>
  <si>
    <t>ER_oil_2202_2</t>
  </si>
  <si>
    <t>ER_elec_2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</si>
  <si>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</si>
  <si>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</si>
  <si>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</si>
  <si>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</si>
  <si>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</si>
  <si>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</si>
  <si>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</si>
  <si>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</si>
  <si>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</si>
  <si>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</si>
  <si>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</si>
  <si>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</si>
  <si>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</si>
  <si>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</si>
  <si>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</si>
  <si>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</si>
  <si>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</si>
  <si>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</si>
  <si>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</si>
  <si>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</si>
  <si>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</si>
  <si>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</si>
  <si>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</si>
  <si>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</si>
  <si>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</si>
  <si>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</si>
  <si>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</si>
  <si>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</si>
  <si>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</si>
  <si>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</si>
  <si>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</si>
  <si>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</si>
  <si>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</si>
  <si>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</si>
  <si>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</si>
  <si>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</si>
  <si>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</si>
  <si>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</si>
  <si>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</si>
  <si>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</si>
  <si>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</si>
  <si>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</si>
  <si>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</si>
  <si>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</si>
  <si>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</si>
  <si>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ER_AUTO_2/1000</t>
  </si>
  <si>
    <t>ER_AUTO_ELEC_2/ER_AUTO_2</t>
  </si>
  <si>
    <t>ER_AUTO_TH_2/ER_AUTO_2</t>
  </si>
  <si>
    <t>ER_NEWAUTO_ELEC_2/ER_NEWAUTO_2</t>
  </si>
  <si>
    <t>ER_NEWAUTO_ELEC_A_2/ER_NEWAUTO_2</t>
  </si>
  <si>
    <t>ER_NEWAUTO_ELEC_B_2/ER_NEWAUTO_2</t>
  </si>
  <si>
    <t>ER_NEWAUTO_ELEC_C_2/ER_NEWAUTO_2</t>
  </si>
  <si>
    <t>ER_NEWAUTO_ELEC_D_2/ER_NEWAUTO_2</t>
  </si>
  <si>
    <t>ER_NEWAUTO_ELEC_E_2/ER_NEWAUTO_2</t>
  </si>
  <si>
    <t>ER_NEWAUTO_ELEC_F_2/ER_NEWAUTO_2</t>
  </si>
  <si>
    <t>ER_NEWAUTO_ELEC_G_2/ER_NEWAUTO_2</t>
  </si>
  <si>
    <t>ER_NEWAUTO_TH_2/ER_NEWAUTO_2</t>
  </si>
  <si>
    <t>ER_NEWAUTO_TH_A_2/ER_NEWAUTO_2</t>
  </si>
  <si>
    <t>ER_NEWAUTO_TH_B_2/ER_NEWAUTO_2</t>
  </si>
  <si>
    <t>ER_NEWAUTO_TH_C_2/ER_NEWAUTO_2</t>
  </si>
  <si>
    <t>ER_NEWAUTO_TH_D_2/ER_NEWAUTO_2</t>
  </si>
  <si>
    <t>ER_NEWAUTO_TH_E_2/ER_NEWAUTO_2</t>
  </si>
  <si>
    <t>ER_NEWAUTO_TH_F_2/ER_NEWAUTO_2</t>
  </si>
  <si>
    <t>ER_NEWAUTO_TH_G_2/ER_NEWAUTO_2</t>
  </si>
  <si>
    <t>ER_AUTO_COAL_2/ER_AUTO_2</t>
  </si>
  <si>
    <t>ER_AUTO_GAS_2/ER_AUTO_2</t>
  </si>
  <si>
    <t>ER_AUTO_ELEC_A_2/ER_AUTO_2</t>
  </si>
  <si>
    <t>ER_AUTO_ELEC_B_2/ER_AUTO_2</t>
  </si>
  <si>
    <t>ER_AUTO_ELEC_C_2/ER_AUTO_2</t>
  </si>
  <si>
    <t>ER_AUTO_ELEC_D_2/ER_AUTO_2</t>
  </si>
  <si>
    <t>ER_AUTO_ELEC_E_2/ER_AUTO_2</t>
  </si>
  <si>
    <t>ER_AUTO_ELEC_F_2/ER_AUTO_2</t>
  </si>
  <si>
    <t>ER_AUTO_ELEC_G_2/ER_AUTO_2</t>
  </si>
  <si>
    <t>ER_AUTO_TH_A_2/ER_AUTO_2</t>
  </si>
  <si>
    <t>ER_AUTO_TH_B_2/ER_AUTO_2</t>
  </si>
  <si>
    <t>ER_AUTO_TH_C_2/ER_AUTO_2</t>
  </si>
  <si>
    <t>ER_AUTO_TH_D_2/ER_AUTO_2</t>
  </si>
  <si>
    <t>ER_AUTO_TH_E_2/ER_AUTO_2</t>
  </si>
  <si>
    <t>ER_AUTO_TH_F_2/ER_AUTO_2</t>
  </si>
  <si>
    <t>ER_AUTO_TH_G_2/ER_AUTO_2</t>
  </si>
  <si>
    <t>Cf. onglet "G mix energie"</t>
  </si>
  <si>
    <t>electricité</t>
  </si>
  <si>
    <t>chaleur (bois…)</t>
  </si>
  <si>
    <t>gaz</t>
  </si>
  <si>
    <t>carburant</t>
  </si>
  <si>
    <t>Electric</t>
  </si>
  <si>
    <t>Stock of vehicles</t>
  </si>
  <si>
    <t>S1</t>
  </si>
  <si>
    <t>Transport (milliers de km voyageurs)</t>
  </si>
  <si>
    <t>Avion (France + RDM)</t>
  </si>
  <si>
    <t>Longue Distance (LD)</t>
  </si>
  <si>
    <t xml:space="preserve">    voiture LD</t>
  </si>
  <si>
    <t xml:space="preserve">    train</t>
  </si>
  <si>
    <t>Courte Distance (CD)</t>
  </si>
  <si>
    <t xml:space="preserve">    voiture CD</t>
  </si>
  <si>
    <t xml:space="preserve">    bus</t>
  </si>
  <si>
    <t>Voiture CD+LD</t>
  </si>
  <si>
    <t>TEND</t>
  </si>
  <si>
    <t>Ecarts de transport 
(milliers de km voyageurs)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</si>
  <si>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</si>
  <si>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</si>
  <si>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</si>
  <si>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</si>
  <si>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</si>
  <si>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</si>
  <si>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</si>
  <si>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</si>
  <si>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1) Copier-coller sorties Eviews en B2
2) veillez à ce que les données commencent en 2004
3) modifier le scénario si besoin en B1</t>
  </si>
  <si>
    <t>Energie finale</t>
  </si>
  <si>
    <t>EMS_TOT_2/@ELEM(EMS_TOT,"2006")*100</t>
  </si>
  <si>
    <t>c</t>
  </si>
  <si>
    <t>Différences en 2050 résultant des modifs de chocs</t>
  </si>
  <si>
    <t>Ecarts par rapport à la cible</t>
  </si>
  <si>
    <t>Industry</t>
  </si>
  <si>
    <t>Industry energetic uses</t>
  </si>
  <si>
    <t>SNBC3</t>
  </si>
  <si>
    <t>Part modale hors avion</t>
  </si>
  <si>
    <t>voiture CD</t>
  </si>
  <si>
    <t>voiture LD</t>
  </si>
  <si>
    <t>voiture CD+LD</t>
  </si>
  <si>
    <t>Transport (parts modales en %)</t>
  </si>
  <si>
    <t>2030/2019</t>
  </si>
  <si>
    <t>2050/2019</t>
  </si>
  <si>
    <t>Total hors avion</t>
  </si>
  <si>
    <t>Ecarts de transport 
(points de %)</t>
  </si>
  <si>
    <t>Avion</t>
  </si>
  <si>
    <t>train</t>
  </si>
  <si>
    <t>bus</t>
  </si>
  <si>
    <t>route</t>
  </si>
  <si>
    <t>Cibles DGEC</t>
  </si>
  <si>
    <t>TTCO_VOL_SIGNAL_1</t>
  </si>
  <si>
    <t>PGDP_1</t>
  </si>
  <si>
    <t>(GDP_2/GDP_1-1)*100</t>
  </si>
  <si>
    <t>(CH_2/CH_1-1)*100</t>
  </si>
  <si>
    <t>(I_2/I_1-1)*100</t>
  </si>
  <si>
    <t>(X_2/X_1-1)*100</t>
  </si>
  <si>
    <t>(M_2/M_1-1)*100</t>
  </si>
  <si>
    <t>(DC_VAL_2/(PGDP_2*GDP_2)-DC_VAL_1/(PGDP_1*GDP_1))*100</t>
  </si>
  <si>
    <t>(UNR_TOT_2-UNR_TOT_1)*100</t>
  </si>
  <si>
    <t>(L_2/L_1-1)*100</t>
  </si>
  <si>
    <t>((W_S_2/PCH_2)/(W_S_1/PCH_1)-1)*100</t>
  </si>
  <si>
    <t>INFL_FR_2-INFL_FR_1</t>
  </si>
  <si>
    <t>R_2-R_1</t>
  </si>
  <si>
    <t>(DEBT_G_VAL_2/(PGDP_2*GDP_2)-DEBT_G_VAL_1/(PGDP_1*GDP_1))*100</t>
  </si>
  <si>
    <t>(DP_G_VAL_2-DP_G_VAL_1)*100</t>
  </si>
  <si>
    <t>100*(GDP_2/GDP_1-1)</t>
  </si>
  <si>
    <t>100*(CH_2/CH_1-1)</t>
  </si>
  <si>
    <t>100*(I_2/I_1-1)</t>
  </si>
  <si>
    <t>100*(X_2/X_1-1)</t>
  </si>
  <si>
    <t>100*(M_2/M_1-1)</t>
  </si>
  <si>
    <t>100*(UNR_TOT_2-UNR_TOT_1)</t>
  </si>
  <si>
    <t>100*(L_2/L_1-1)</t>
  </si>
  <si>
    <t>100*((W_2/PCH_2)/(W_1/PCH_1)-1)</t>
  </si>
  <si>
    <t>100*(PCH_2/PCH_1-1)</t>
  </si>
  <si>
    <t>100*(R_2-R_1)</t>
  </si>
  <si>
    <t>100*(DEBT_G_VAL_2/(PGDP_2*GDP_2)-DEBT_G_VAL_1/(PGDP_1*GDP_1))</t>
  </si>
  <si>
    <t>100*(DP_G_VAL_2-DP_G_VAL_1)</t>
  </si>
  <si>
    <t>100*(EMS_TOT_2/EMS_TOT_1-1)</t>
  </si>
  <si>
    <t>KM_AUTO_H01_1</t>
  </si>
  <si>
    <t>KM_TRAVELER_18_H01_1</t>
  </si>
  <si>
    <t>KM_TRAV_AUTO_LD_H01_1</t>
  </si>
  <si>
    <t>KM_TRAV_AUTO_CD_H01_1</t>
  </si>
  <si>
    <t>KM_TRAVELER_14_H01_1</t>
  </si>
  <si>
    <t>KM_TRAVELER_15_H01_1</t>
  </si>
  <si>
    <t>KM_TRAVELER_CD_H01_1</t>
  </si>
  <si>
    <t>KM_TRAVELER_LD_H01_1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</si>
</sst>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#,##0.0"/>
    <numFmt numFmtId="167" formatCode="0.000"/>
    <numFmt numFmtId="168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321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/>
    <xf numFmtId="0" fontId="2" fillId="0" borderId="1" xfId="0" applyFont="1" applyBorder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2" fontId="2" fillId="0" borderId="0" xfId="0" applyNumberFormat="1" applyFont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1" fontId="0" fillId="0" borderId="0" xfId="0" applyNumberFormat="1"/>
    <xf numFmtId="0" fontId="19" fillId="0" borderId="0" xfId="3" applyFill="1"/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11" fillId="2" borderId="0" xfId="0" applyNumberFormat="1" applyFont="1" applyFill="1" applyAlignment="1">
      <alignment horizontal="right"/>
    </xf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0" fontId="22" fillId="2" borderId="0" xfId="4" applyFill="1"/>
    <xf numFmtId="1" fontId="22" fillId="2" borderId="0" xfId="4" applyNumberFormat="1" applyFill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9" fontId="2" fillId="3" borderId="21" xfId="0" applyNumberFormat="1" applyFont="1" applyFill="1" applyBorder="1" applyAlignment="1">
      <alignment horizontal="center"/>
    </xf>
    <xf numFmtId="9" fontId="2" fillId="3" borderId="26" xfId="0" applyNumberFormat="1" applyFont="1" applyFill="1" applyBorder="1" applyAlignment="1">
      <alignment horizontal="center"/>
    </xf>
    <xf numFmtId="9" fontId="0" fillId="2" borderId="18" xfId="0" applyNumberFormat="1" applyFill="1" applyBorder="1" applyAlignment="1">
      <alignment vertical="center"/>
    </xf>
    <xf numFmtId="9" fontId="0" fillId="2" borderId="37" xfId="0" applyNumberFormat="1" applyFill="1" applyBorder="1" applyAlignment="1">
      <alignment vertical="center"/>
    </xf>
    <xf numFmtId="9" fontId="22" fillId="2" borderId="17" xfId="4" applyNumberFormat="1" applyFill="1" applyBorder="1" applyAlignment="1">
      <alignment vertical="center"/>
    </xf>
    <xf numFmtId="0" fontId="12" fillId="2" borderId="1" xfId="0" applyFont="1" applyFill="1" applyBorder="1"/>
    <xf numFmtId="1" fontId="2" fillId="7" borderId="1" xfId="0" applyNumberFormat="1" applyFont="1" applyFill="1" applyBorder="1" applyAlignment="1">
      <alignment horizontal="left"/>
    </xf>
    <xf numFmtId="1" fontId="22" fillId="2" borderId="0" xfId="4" applyNumberFormat="1" applyFill="1" applyBorder="1"/>
    <xf numFmtId="1" fontId="22" fillId="2" borderId="0" xfId="4" applyNumberFormat="1" applyFill="1" applyBorder="1" applyAlignment="1">
      <alignment horizontal="right"/>
    </xf>
    <xf numFmtId="1" fontId="2" fillId="2" borderId="15" xfId="0" applyNumberFormat="1" applyFont="1" applyFill="1" applyBorder="1" applyAlignment="1">
      <alignment horizontal="right"/>
    </xf>
    <xf numFmtId="1" fontId="2" fillId="2" borderId="3" xfId="0" applyNumberFormat="1" applyFont="1" applyFill="1" applyBorder="1" applyAlignment="1">
      <alignment horizontal="right"/>
    </xf>
    <xf numFmtId="1" fontId="0" fillId="0" borderId="0" xfId="0" applyNumberFormat="1" applyAlignment="1">
      <alignment vertical="center"/>
    </xf>
    <xf numFmtId="1" fontId="26" fillId="10" borderId="0" xfId="5" applyNumberFormat="1" applyFont="1" applyFill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ill="1" applyBorder="1"/>
    <xf numFmtId="2" fontId="22" fillId="2" borderId="0" xfId="4" applyNumberFormat="1" applyFill="1" applyBorder="1"/>
    <xf numFmtId="9" fontId="0" fillId="2" borderId="0" xfId="0" applyNumberFormat="1" applyFill="1" applyAlignment="1">
      <alignment horizontal="right"/>
    </xf>
    <xf numFmtId="9" fontId="0" fillId="2" borderId="6" xfId="0" applyNumberFormat="1" applyFill="1" applyBorder="1" applyAlignment="1">
      <alignment horizontal="right"/>
    </xf>
    <xf numFmtId="9" fontId="0" fillId="2" borderId="3" xfId="0" applyNumberFormat="1" applyFill="1" applyBorder="1" applyAlignment="1">
      <alignment horizontal="right"/>
    </xf>
    <xf numFmtId="9" fontId="0" fillId="2" borderId="10" xfId="0" applyNumberFormat="1" applyFill="1" applyBorder="1" applyAlignment="1">
      <alignment horizontal="right"/>
    </xf>
    <xf numFmtId="9" fontId="22" fillId="2" borderId="0" xfId="4" applyNumberFormat="1" applyFill="1" applyBorder="1" applyAlignment="1">
      <alignment horizontal="right"/>
    </xf>
    <xf numFmtId="165" fontId="2" fillId="2" borderId="0" xfId="1" applyNumberFormat="1" applyFont="1" applyFill="1" applyBorder="1"/>
    <xf numFmtId="2" fontId="2" fillId="2" borderId="0" xfId="0" applyNumberFormat="1" applyFont="1" applyFill="1" applyAlignment="1">
      <alignment horizontal="right"/>
    </xf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/>
    <xf numFmtId="164" fontId="14" fillId="2" borderId="0" xfId="0" applyNumberFormat="1" applyFont="1" applyFill="1"/>
    <xf numFmtId="11" fontId="0" fillId="2" borderId="0" xfId="0" applyNumberFormat="1" applyFill="1"/>
    <xf numFmtId="3" fontId="0" fillId="2" borderId="0" xfId="0" applyNumberFormat="1" applyFill="1"/>
    <xf numFmtId="3" fontId="2" fillId="3" borderId="22" xfId="0" applyNumberFormat="1" applyFont="1" applyFill="1" applyBorder="1" applyAlignment="1">
      <alignment horizontal="right"/>
    </xf>
    <xf numFmtId="3" fontId="0" fillId="2" borderId="22" xfId="0" applyNumberFormat="1" applyFill="1" applyBorder="1" applyAlignment="1">
      <alignment horizontal="right"/>
    </xf>
    <xf numFmtId="3" fontId="0" fillId="2" borderId="10" xfId="0" applyNumberFormat="1" applyFill="1" applyBorder="1" applyAlignment="1">
      <alignment horizontal="right"/>
    </xf>
    <xf numFmtId="0" fontId="8" fillId="2" borderId="27" xfId="0" applyFont="1" applyFill="1" applyBorder="1"/>
    <xf numFmtId="0" fontId="0" fillId="2" borderId="28" xfId="0" applyFill="1" applyBorder="1"/>
    <xf numFmtId="0" fontId="7" fillId="2" borderId="18" xfId="0" applyFont="1" applyFill="1" applyBorder="1" applyAlignment="1">
      <alignment horizontal="left" indent="2"/>
    </xf>
    <xf numFmtId="0" fontId="7" fillId="2" borderId="17" xfId="0" applyFont="1" applyFill="1" applyBorder="1" applyAlignment="1">
      <alignment horizontal="left" indent="2"/>
    </xf>
    <xf numFmtId="0" fontId="2" fillId="2" borderId="25" xfId="0" applyFont="1" applyFill="1" applyBorder="1"/>
    <xf numFmtId="0" fontId="2" fillId="2" borderId="18" xfId="0" applyFont="1" applyFill="1" applyBorder="1"/>
    <xf numFmtId="0" fontId="7" fillId="2" borderId="37" xfId="0" applyFont="1" applyFill="1" applyBorder="1" applyAlignment="1">
      <alignment horizontal="left" indent="2"/>
    </xf>
    <xf numFmtId="0" fontId="2" fillId="2" borderId="28" xfId="0" applyFont="1" applyFill="1" applyBorder="1"/>
    <xf numFmtId="3" fontId="0" fillId="2" borderId="3" xfId="1" applyNumberFormat="1" applyFont="1" applyFill="1" applyBorder="1" applyAlignment="1">
      <alignment horizontal="right"/>
    </xf>
    <xf numFmtId="3" fontId="2" fillId="3" borderId="24" xfId="0" applyNumberFormat="1" applyFont="1" applyFill="1" applyBorder="1" applyAlignment="1">
      <alignment horizontal="right"/>
    </xf>
    <xf numFmtId="3" fontId="0" fillId="2" borderId="6" xfId="1" applyNumberFormat="1" applyFont="1" applyFill="1" applyBorder="1" applyAlignment="1">
      <alignment horizontal="right"/>
    </xf>
    <xf numFmtId="3" fontId="0" fillId="2" borderId="10" xfId="1" applyNumberFormat="1" applyFont="1" applyFill="1" applyBorder="1" applyAlignment="1">
      <alignment horizontal="right"/>
    </xf>
    <xf numFmtId="0" fontId="9" fillId="2" borderId="0" xfId="0" applyFont="1" applyFill="1"/>
    <xf numFmtId="0" fontId="2" fillId="2" borderId="6" xfId="0" applyFont="1" applyFill="1" applyBorder="1"/>
    <xf numFmtId="0" fontId="0" fillId="2" borderId="6" xfId="0" applyFill="1" applyBorder="1"/>
    <xf numFmtId="9" fontId="22" fillId="2" borderId="0" xfId="4" applyNumberFormat="1" applyFill="1"/>
    <xf numFmtId="165" fontId="0" fillId="2" borderId="0" xfId="0" applyNumberFormat="1" applyFill="1"/>
    <xf numFmtId="3" fontId="2" fillId="3" borderId="15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7" fillId="11" borderId="3" xfId="0" applyFont="1" applyFill="1" applyBorder="1"/>
    <xf numFmtId="0" fontId="6" fillId="0" borderId="4" xfId="0" applyFont="1" applyBorder="1"/>
    <xf numFmtId="0" fontId="6" fillId="2" borderId="4" xfId="0" applyFont="1" applyFill="1" applyBorder="1"/>
    <xf numFmtId="0" fontId="2" fillId="10" borderId="0" xfId="0" applyFont="1" applyFill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/>
    <xf numFmtId="3" fontId="2" fillId="2" borderId="5" xfId="0" applyNumberFormat="1" applyFont="1" applyFill="1" applyBorder="1"/>
    <xf numFmtId="3" fontId="2" fillId="2" borderId="0" xfId="0" applyNumberFormat="1" applyFont="1" applyFill="1"/>
    <xf numFmtId="3" fontId="2" fillId="2" borderId="7" xfId="0" applyNumberFormat="1" applyFont="1" applyFill="1" applyBorder="1"/>
    <xf numFmtId="0" fontId="0" fillId="0" borderId="15" xfId="0" applyBorder="1"/>
    <xf numFmtId="3" fontId="0" fillId="2" borderId="4" xfId="0" applyNumberFormat="1" applyFill="1" applyBorder="1"/>
    <xf numFmtId="3" fontId="0" fillId="2" borderId="1" xfId="0" applyNumberFormat="1" applyFill="1" applyBorder="1"/>
    <xf numFmtId="3" fontId="0" fillId="2" borderId="16" xfId="0" applyNumberFormat="1" applyFill="1" applyBorder="1"/>
    <xf numFmtId="3" fontId="0" fillId="0" borderId="0" xfId="0" applyNumberFormat="1"/>
    <xf numFmtId="0" fontId="0" fillId="0" borderId="27" xfId="0" applyBorder="1"/>
    <xf numFmtId="3" fontId="0" fillId="2" borderId="8" xfId="0" applyNumberFormat="1" applyFill="1" applyBorder="1"/>
    <xf numFmtId="3" fontId="0" fillId="2" borderId="2" xfId="0" applyNumberFormat="1" applyFill="1" applyBorder="1"/>
    <xf numFmtId="3" fontId="0" fillId="2" borderId="7" xfId="0" applyNumberFormat="1" applyFill="1" applyBorder="1"/>
    <xf numFmtId="0" fontId="0" fillId="0" borderId="18" xfId="0" applyBorder="1"/>
    <xf numFmtId="3" fontId="0" fillId="2" borderId="5" xfId="0" applyNumberFormat="1" applyFill="1" applyBorder="1"/>
    <xf numFmtId="3" fontId="0" fillId="2" borderId="6" xfId="0" applyNumberFormat="1" applyFill="1" applyBorder="1"/>
    <xf numFmtId="0" fontId="0" fillId="0" borderId="17" xfId="0" applyBorder="1"/>
    <xf numFmtId="3" fontId="0" fillId="2" borderId="9" xfId="0" applyNumberFormat="1" applyFill="1" applyBorder="1"/>
    <xf numFmtId="3" fontId="0" fillId="2" borderId="3" xfId="0" applyNumberFormat="1" applyFill="1" applyBorder="1"/>
    <xf numFmtId="3" fontId="0" fillId="2" borderId="10" xfId="0" applyNumberFormat="1" applyFill="1" applyBorder="1"/>
    <xf numFmtId="167" fontId="0" fillId="2" borderId="0" xfId="0" applyNumberFormat="1" applyFill="1"/>
    <xf numFmtId="0" fontId="11" fillId="11" borderId="15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0" borderId="5" xfId="0" applyBorder="1"/>
    <xf numFmtId="0" fontId="2" fillId="5" borderId="41" xfId="0" applyFont="1" applyFill="1" applyBorder="1" applyAlignment="1">
      <alignment horizontal="center" vertical="center"/>
    </xf>
    <xf numFmtId="2" fontId="21" fillId="2" borderId="0" xfId="0" applyNumberFormat="1" applyFont="1" applyFill="1" applyAlignment="1">
      <alignment horizontal="right"/>
    </xf>
    <xf numFmtId="164" fontId="16" fillId="2" borderId="0" xfId="0" applyNumberFormat="1" applyFont="1" applyFill="1" applyAlignment="1">
      <alignment horizontal="right"/>
    </xf>
    <xf numFmtId="165" fontId="0" fillId="10" borderId="36" xfId="0" applyNumberFormat="1" applyFill="1" applyBorder="1"/>
    <xf numFmtId="1" fontId="0" fillId="0" borderId="0" xfId="0" applyNumberFormat="1" applyAlignment="1">
      <alignment horizontal="right"/>
    </xf>
    <xf numFmtId="0" fontId="13" fillId="0" borderId="0" xfId="0" applyFont="1"/>
    <xf numFmtId="0" fontId="16" fillId="0" borderId="0" xfId="0" applyFont="1"/>
    <xf numFmtId="1" fontId="2" fillId="13" borderId="4" xfId="0" applyNumberFormat="1" applyFont="1" applyFill="1" applyBorder="1" applyAlignment="1">
      <alignment horizontal="left"/>
    </xf>
    <xf numFmtId="0" fontId="0" fillId="13" borderId="0" xfId="0" applyFill="1"/>
    <xf numFmtId="164" fontId="2" fillId="13" borderId="1" xfId="0" applyNumberFormat="1" applyFont="1" applyFill="1" applyBorder="1" applyAlignment="1">
      <alignment horizontal="right"/>
    </xf>
    <xf numFmtId="164" fontId="2" fillId="13" borderId="1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" fontId="2" fillId="14" borderId="4" xfId="0" applyNumberFormat="1" applyFont="1" applyFill="1" applyBorder="1"/>
    <xf numFmtId="0" fontId="0" fillId="14" borderId="3" xfId="0" applyFill="1" applyBorder="1"/>
    <xf numFmtId="164" fontId="2" fillId="14" borderId="1" xfId="0" applyNumberFormat="1" applyFont="1" applyFill="1" applyBorder="1"/>
    <xf numFmtId="164" fontId="2" fillId="14" borderId="15" xfId="0" applyNumberFormat="1" applyFont="1" applyFill="1" applyBorder="1"/>
    <xf numFmtId="164" fontId="11" fillId="13" borderId="4" xfId="0" quotePrefix="1" applyNumberFormat="1" applyFont="1" applyFill="1" applyBorder="1" applyAlignment="1">
      <alignment horizontal="right"/>
    </xf>
    <xf numFmtId="164" fontId="11" fillId="13" borderId="1" xfId="0" applyNumberFormat="1" applyFont="1" applyFill="1" applyBorder="1" applyAlignment="1">
      <alignment horizontal="right"/>
    </xf>
    <xf numFmtId="164" fontId="11" fillId="13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11" fillId="13" borderId="4" xfId="0" applyNumberFormat="1" applyFont="1" applyFill="1" applyBorder="1" applyAlignment="1">
      <alignment horizontal="right"/>
    </xf>
    <xf numFmtId="164" fontId="0" fillId="2" borderId="5" xfId="0" applyNumberFormat="1" applyFill="1" applyBorder="1" applyAlignment="1">
      <alignment horizontal="right"/>
    </xf>
    <xf numFmtId="164" fontId="11" fillId="14" borderId="4" xfId="0" applyNumberFormat="1" applyFont="1" applyFill="1" applyBorder="1"/>
    <xf numFmtId="164" fontId="11" fillId="14" borderId="1" xfId="0" applyNumberFormat="1" applyFont="1" applyFill="1" applyBorder="1"/>
    <xf numFmtId="164" fontId="11" fillId="14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0" fontId="21" fillId="2" borderId="0" xfId="0" applyFont="1" applyFill="1"/>
    <xf numFmtId="168" fontId="21" fillId="2" borderId="6" xfId="0" applyNumberFormat="1" applyFont="1" applyFill="1" applyBorder="1" applyAlignment="1">
      <alignment horizontal="right"/>
    </xf>
    <xf numFmtId="168" fontId="21" fillId="2" borderId="10" xfId="0" applyNumberFormat="1" applyFont="1" applyFill="1" applyBorder="1" applyAlignment="1">
      <alignment horizontal="right"/>
    </xf>
    <xf numFmtId="0" fontId="21" fillId="0" borderId="0" xfId="0" applyFont="1"/>
    <xf numFmtId="9" fontId="0" fillId="0" borderId="0" xfId="1" applyFont="1"/>
    <xf numFmtId="9" fontId="0" fillId="2" borderId="4" xfId="1" applyFont="1" applyFill="1" applyBorder="1"/>
    <xf numFmtId="9" fontId="0" fillId="2" borderId="2" xfId="1" applyFont="1" applyFill="1" applyBorder="1"/>
    <xf numFmtId="9" fontId="0" fillId="2" borderId="7" xfId="1" applyFont="1" applyFill="1" applyBorder="1"/>
    <xf numFmtId="9" fontId="0" fillId="0" borderId="0" xfId="0" applyNumberFormat="1"/>
    <xf numFmtId="9" fontId="0" fillId="2" borderId="0" xfId="1" applyFont="1" applyFill="1"/>
    <xf numFmtId="9" fontId="0" fillId="2" borderId="6" xfId="1" applyFont="1" applyFill="1" applyBorder="1"/>
    <xf numFmtId="9" fontId="0" fillId="2" borderId="3" xfId="1" applyFont="1" applyFill="1" applyBorder="1"/>
    <xf numFmtId="9" fontId="0" fillId="2" borderId="10" xfId="1" applyFont="1" applyFill="1" applyBorder="1"/>
    <xf numFmtId="9" fontId="0" fillId="2" borderId="1" xfId="1" applyFont="1" applyFill="1" applyBorder="1"/>
    <xf numFmtId="9" fontId="0" fillId="2" borderId="16" xfId="1" applyFont="1" applyFill="1" applyBorder="1"/>
    <xf numFmtId="9" fontId="2" fillId="0" borderId="0" xfId="0" applyNumberFormat="1" applyFont="1"/>
    <xf numFmtId="9" fontId="2" fillId="2" borderId="0" xfId="1" applyFont="1" applyFill="1"/>
    <xf numFmtId="165" fontId="0" fillId="0" borderId="0" xfId="1" applyNumberFormat="1" applyFont="1"/>
    <xf numFmtId="0" fontId="28" fillId="15" borderId="5" xfId="0" applyFont="1" applyFill="1" applyBorder="1" applyAlignment="1">
      <alignment horizontal="left" indent="2"/>
    </xf>
    <xf numFmtId="0" fontId="2" fillId="15" borderId="0" xfId="0" applyFont="1" applyFill="1"/>
    <xf numFmtId="1" fontId="2" fillId="15" borderId="0" xfId="0" applyNumberFormat="1" applyFont="1" applyFill="1" applyAlignment="1">
      <alignment horizontal="right"/>
    </xf>
    <xf numFmtId="1" fontId="2" fillId="15" borderId="18" xfId="0" applyNumberFormat="1" applyFont="1" applyFill="1" applyBorder="1" applyAlignment="1">
      <alignment horizontal="right"/>
    </xf>
    <xf numFmtId="167" fontId="2" fillId="3" borderId="1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7.xml"/><Relationship Id="rId18" Type="http://schemas.openxmlformats.org/officeDocument/2006/relationships/worksheet" Target="worksheets/sheet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chartsheet" Target="chartsheets/sheet1.xml"/><Relationship Id="rId12" Type="http://schemas.openxmlformats.org/officeDocument/2006/relationships/chartsheet" Target="chartsheets/sheet6.xml"/><Relationship Id="rId17" Type="http://schemas.openxmlformats.org/officeDocument/2006/relationships/chartsheet" Target="chartsheets/sheet10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9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5.xml"/><Relationship Id="rId24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8.xml"/><Relationship Id="rId23" Type="http://schemas.openxmlformats.org/officeDocument/2006/relationships/externalLink" Target="externalLinks/externalLink5.xml"/><Relationship Id="rId28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chartsheet" Target="chartsheets/sheet7.xml"/><Relationship Id="rId22" Type="http://schemas.openxmlformats.org/officeDocument/2006/relationships/externalLink" Target="externalLinks/externalLink4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SNBC3 : Energie finale par usage et énergie primaire (Mtep)</c:v>
            </c:pt>
          </c:strCache>
        </c:strRef>
      </c:tx>
      <c:layout>
        <c:manualLayout>
          <c:xMode val="edge"/>
          <c:yMode val="edge"/>
          <c:x val="4.15560737277888E-2"/>
          <c:y val="1.879086784349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ER_RESIDENTIAL_coal_2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ER_TRANS_PUBLIC_coal_2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ER_TERTIARY_coal_2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236.9242264001</c:v>
                </c:pt>
                <c:pt idx="1">
                  <c:v>219.82289087399997</c:v>
                </c:pt>
                <c:pt idx="2">
                  <c:v>136.99657109662002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ER_INDUS_coal_2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3647219379051268E-3"/>
                  <c:y val="-3.1347962382445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87-4F22-A5E8-E4153E109927}"/>
                </c:ext>
              </c:extLst>
            </c:dLbl>
            <c:dLbl>
              <c:idx val="1"/>
              <c:layout>
                <c:manualLayout>
                  <c:x val="1.3647219379051519E-3"/>
                  <c:y val="-2.5078369905956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87-4F22-A5E8-E4153E109927}"/>
                </c:ext>
              </c:extLst>
            </c:dLbl>
            <c:dLbl>
              <c:idx val="2"/>
              <c:layout>
                <c:manualLayout>
                  <c:x val="5.4588877516206077E-3"/>
                  <c:y val="-1.46290491118078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87-4F22-A5E8-E4153E109927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smooth val="0"/>
          <c:extLst>
            <c:ext xmlns:c16="http://schemas.microsoft.com/office/drawing/2014/chart" uri="{C3380CC4-5D6E-409C-BE32-E72D297353CC}">
              <c16:uniqueId val="{00000000-B687-4F22-A5E8-E4153E109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506857222784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vecteurs'!$Z$48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CC-4F25-BB18-D2DE93E1EAE8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CC-4F25-BB18-D2DE93E1EAE8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vecteurs'!$AA$48:$AC$48</c:f>
              <c:numCache>
                <c:formatCode>0</c:formatCode>
                <c:ptCount val="3"/>
                <c:pt idx="0">
                  <c:v>2.0763035849999998</c:v>
                </c:pt>
                <c:pt idx="1">
                  <c:v>0.31033247130000002</c:v>
                </c:pt>
                <c:pt idx="2">
                  <c:v>0.1048105744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CC-4F25-BB18-D2DE93E1EAE8}"/>
            </c:ext>
          </c:extLst>
        </c:ser>
        <c:ser>
          <c:idx val="3"/>
          <c:order val="1"/>
          <c:tx>
            <c:strRef>
              <c:f>'T energie vecteurs'!$Z$47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CC-4F25-BB18-D2DE93E1EAE8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vecteurs'!$AA$47:$AC$47</c:f>
              <c:numCache>
                <c:formatCode>0</c:formatCode>
                <c:ptCount val="3"/>
                <c:pt idx="0">
                  <c:v>63.117414568000001</c:v>
                </c:pt>
                <c:pt idx="1">
                  <c:v>46.740563330000001</c:v>
                </c:pt>
                <c:pt idx="2">
                  <c:v>18.715222993000001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CC-4F25-BB18-D2DE93E1EAE8}"/>
            </c:ext>
          </c:extLst>
        </c:ser>
        <c:ser>
          <c:idx val="1"/>
          <c:order val="2"/>
          <c:tx>
            <c:strRef>
              <c:f>'T energie vecteurs'!$Z$45</c:f>
              <c:strCache>
                <c:ptCount val="1"/>
                <c:pt idx="0">
                  <c:v>chaleur (bois…)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vecteurs'!$AA$45:$AC$45</c:f>
              <c:numCache>
                <c:formatCode>0</c:formatCode>
                <c:ptCount val="3"/>
                <c:pt idx="0">
                  <c:v>12.5842752767</c:v>
                </c:pt>
                <c:pt idx="1">
                  <c:v>16.4554018121</c:v>
                </c:pt>
                <c:pt idx="2">
                  <c:v>16.629165163700002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CC-4F25-BB18-D2DE93E1EAE8}"/>
            </c:ext>
          </c:extLst>
        </c:ser>
        <c:ser>
          <c:idx val="2"/>
          <c:order val="3"/>
          <c:tx>
            <c:strRef>
              <c:f>'T energie vecteurs'!$Z$46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vecteurs'!$AA$46:$AC$46</c:f>
              <c:numCache>
                <c:formatCode>0</c:formatCode>
                <c:ptCount val="3"/>
                <c:pt idx="0">
                  <c:v>28.712355098300002</c:v>
                </c:pt>
                <c:pt idx="1">
                  <c:v>20.237486830000002</c:v>
                </c:pt>
                <c:pt idx="2">
                  <c:v>14.93019587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CC-4F25-BB18-D2DE93E1EAE8}"/>
            </c:ext>
          </c:extLst>
        </c:ser>
        <c:ser>
          <c:idx val="4"/>
          <c:order val="4"/>
          <c:tx>
            <c:strRef>
              <c:f>'T energie vecteurs'!$Z$44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vecteurs'!$AA$44:$AC$44</c:f>
              <c:numCache>
                <c:formatCode>0</c:formatCode>
                <c:ptCount val="3"/>
                <c:pt idx="0">
                  <c:v>38.150345359399999</c:v>
                </c:pt>
                <c:pt idx="1">
                  <c:v>41.902509338499996</c:v>
                </c:pt>
                <c:pt idx="2">
                  <c:v>42.219164021819992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CC-4F25-BB18-D2DE93E1E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11088"/>
        <c:axId val="231610696"/>
      </c:barChart>
      <c:catAx>
        <c:axId val="2316110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0696"/>
        <c:crosses val="autoZero"/>
        <c:auto val="1"/>
        <c:lblAlgn val="ctr"/>
        <c:lblOffset val="100"/>
        <c:noMultiLvlLbl val="0"/>
      </c:catAx>
      <c:valAx>
        <c:axId val="231610696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SNBC3 : Ventilation du mix énergie (Mtep)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0739596005"/>
          <c:y val="0.24874563404511155"/>
          <c:w val="0.1834512958142259"/>
          <c:h val="0.236074017393593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8.6413757750890465E-3</c:v>
                </c:pt>
                <c:pt idx="1">
                  <c:v>9.4212087350406841E-4</c:v>
                </c:pt>
                <c:pt idx="2">
                  <c:v>3.481894149396826E-4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0.69408091304409747</c:v>
                </c:pt>
                <c:pt idx="1">
                  <c:v>0.62114143570122804</c:v>
                </c:pt>
                <c:pt idx="2">
                  <c:v>0.32025252686225841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0.1025860132360687</c:v>
                </c:pt>
                <c:pt idx="1">
                  <c:v>0.10094479365973498</c:v>
                </c:pt>
                <c:pt idx="2">
                  <c:v>8.5931446892813332E-2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3.6998234267680535E-2</c:v>
                </c:pt>
                <c:pt idx="1">
                  <c:v>8.7555323867659643E-2</c:v>
                </c:pt>
                <c:pt idx="2">
                  <c:v>0.19408802049621332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8.3952357044936893E-2</c:v>
                </c:pt>
                <c:pt idx="1">
                  <c:v>0.12657892135177479</c:v>
                </c:pt>
                <c:pt idx="2">
                  <c:v>0.37324050712742429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7.3741106632127351E-2</c:v>
                </c:pt>
                <c:pt idx="1">
                  <c:v>6.2837404546098624E-2</c:v>
                </c:pt>
                <c:pt idx="2">
                  <c:v>2.6139309206350946E-2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SNBC3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6046167306E-2"/>
              <c:y val="2.402380831726580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0.95161573824114942</c:v>
                </c:pt>
                <c:pt idx="1">
                  <c:v>0.91402602078993811</c:v>
                </c:pt>
                <c:pt idx="2">
                  <c:v>0.33469665979095609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4.8384261758850571E-2</c:v>
                </c:pt>
                <c:pt idx="1">
                  <c:v>8.5973979210061863E-2</c:v>
                </c:pt>
                <c:pt idx="2">
                  <c:v>0.66530334020904391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SNBC3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0.98439656249840246</c:v>
                </c:pt>
                <c:pt idx="1">
                  <c:v>0.84678728163995054</c:v>
                </c:pt>
                <c:pt idx="2">
                  <c:v>0.35555602084676469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1.5603437501597555E-2</c:v>
                </c:pt>
                <c:pt idx="1">
                  <c:v>0.15321271836004943</c:v>
                </c:pt>
                <c:pt idx="2">
                  <c:v>0.64444397915323537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SNBC3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127.26924156657354</c:v>
                </c:pt>
                <c:pt idx="1">
                  <c:v>98.197292127446403</c:v>
                </c:pt>
                <c:pt idx="2">
                  <c:v>10.40807631344876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52.677424580705377</c:v>
                </c:pt>
                <c:pt idx="1">
                  <c:v>33.628989880977443</c:v>
                </c:pt>
                <c:pt idx="2">
                  <c:v>7.1552238484594985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28.820812404437007</c:v>
                </c:pt>
                <c:pt idx="1">
                  <c:v>20.905618110242699</c:v>
                </c:pt>
                <c:pt idx="2">
                  <c:v>4.7455736982466323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96.359735495249581</c:v>
                </c:pt>
                <c:pt idx="1">
                  <c:v>66.475102473202824</c:v>
                </c:pt>
                <c:pt idx="2">
                  <c:v>41.220616157455495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Graphs'!$B$9</c:f>
              <c:strCache>
                <c:ptCount val="1"/>
                <c:pt idx="0">
                  <c:v>SNBC3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677304466662714E-2"/>
          <c:y val="0.18782278038184441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auto'!$I$5:$AM$5</c:f>
              <c:numCache>
                <c:formatCode>#\ ##0.0</c:formatCode>
                <c:ptCount val="31"/>
                <c:pt idx="0">
                  <c:v>37.179487020000003</c:v>
                </c:pt>
                <c:pt idx="1">
                  <c:v>37.01466319</c:v>
                </c:pt>
                <c:pt idx="2">
                  <c:v>36.688159140000003</c:v>
                </c:pt>
                <c:pt idx="3">
                  <c:v>36.318789250000002</c:v>
                </c:pt>
                <c:pt idx="4">
                  <c:v>36.457487149999999</c:v>
                </c:pt>
                <c:pt idx="5">
                  <c:v>36.763716890000005</c:v>
                </c:pt>
                <c:pt idx="6">
                  <c:v>36.639481160000003</c:v>
                </c:pt>
                <c:pt idx="7">
                  <c:v>36.315633169999998</c:v>
                </c:pt>
                <c:pt idx="8">
                  <c:v>35.898810439999998</c:v>
                </c:pt>
                <c:pt idx="9">
                  <c:v>35.416428279999998</c:v>
                </c:pt>
                <c:pt idx="10">
                  <c:v>34.895548939999998</c:v>
                </c:pt>
                <c:pt idx="11">
                  <c:v>34.355081859999999</c:v>
                </c:pt>
                <c:pt idx="12">
                  <c:v>33.819292099999998</c:v>
                </c:pt>
                <c:pt idx="13">
                  <c:v>33.292623429999999</c:v>
                </c:pt>
                <c:pt idx="14">
                  <c:v>32.779233679999997</c:v>
                </c:pt>
                <c:pt idx="15">
                  <c:v>32.279545880000001</c:v>
                </c:pt>
                <c:pt idx="16">
                  <c:v>31.835165280000002</c:v>
                </c:pt>
                <c:pt idx="17">
                  <c:v>31.429478179999997</c:v>
                </c:pt>
                <c:pt idx="18">
                  <c:v>31.042617269999997</c:v>
                </c:pt>
                <c:pt idx="19">
                  <c:v>30.670763180000002</c:v>
                </c:pt>
                <c:pt idx="20">
                  <c:v>30.30407482</c:v>
                </c:pt>
                <c:pt idx="21">
                  <c:v>29.948167249999997</c:v>
                </c:pt>
                <c:pt idx="22">
                  <c:v>29.600779530000001</c:v>
                </c:pt>
                <c:pt idx="23">
                  <c:v>29.260051560000001</c:v>
                </c:pt>
                <c:pt idx="24">
                  <c:v>28.923650049999999</c:v>
                </c:pt>
                <c:pt idx="25">
                  <c:v>28.519402500000002</c:v>
                </c:pt>
                <c:pt idx="26">
                  <c:v>28.143878560000001</c:v>
                </c:pt>
                <c:pt idx="27">
                  <c:v>27.78560525</c:v>
                </c:pt>
                <c:pt idx="28">
                  <c:v>27.441713029999999</c:v>
                </c:pt>
                <c:pt idx="29">
                  <c:v>27.107776780000002</c:v>
                </c:pt>
                <c:pt idx="30">
                  <c:v>26.76518991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5D2-B2A5-76AA1C492B9B}"/>
            </c:ext>
          </c:extLst>
        </c:ser>
        <c:ser>
          <c:idx val="2"/>
          <c:order val="1"/>
          <c:tx>
            <c:strRef>
              <c:f>'[6]T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'[6]T parc auto'!$I$5:$AM$5</c:f>
              <c:numCache>
                <c:formatCode>General</c:formatCode>
                <c:ptCount val="31"/>
                <c:pt idx="0">
                  <c:v>34.664492700000004</c:v>
                </c:pt>
                <c:pt idx="1">
                  <c:v>34.956187980000003</c:v>
                </c:pt>
                <c:pt idx="2">
                  <c:v>35.116030049999999</c:v>
                </c:pt>
                <c:pt idx="3">
                  <c:v>35.22984451</c:v>
                </c:pt>
                <c:pt idx="4">
                  <c:v>35.293663940000002</c:v>
                </c:pt>
                <c:pt idx="5">
                  <c:v>35.310390290000001</c:v>
                </c:pt>
                <c:pt idx="6">
                  <c:v>35.378433780000002</c:v>
                </c:pt>
                <c:pt idx="7">
                  <c:v>35.496856720000004</c:v>
                </c:pt>
                <c:pt idx="8">
                  <c:v>35.653829440000003</c:v>
                </c:pt>
                <c:pt idx="9">
                  <c:v>35.834650719999999</c:v>
                </c:pt>
                <c:pt idx="10">
                  <c:v>36.029956510000005</c:v>
                </c:pt>
                <c:pt idx="11">
                  <c:v>36.22702245</c:v>
                </c:pt>
                <c:pt idx="12">
                  <c:v>36.422585409999996</c:v>
                </c:pt>
                <c:pt idx="13">
                  <c:v>36.615497920000003</c:v>
                </c:pt>
                <c:pt idx="14">
                  <c:v>36.806113070000002</c:v>
                </c:pt>
                <c:pt idx="15">
                  <c:v>36.99621071</c:v>
                </c:pt>
                <c:pt idx="16">
                  <c:v>37.184294620000003</c:v>
                </c:pt>
                <c:pt idx="17">
                  <c:v>37.372872549999997</c:v>
                </c:pt>
                <c:pt idx="18">
                  <c:v>37.563526299999999</c:v>
                </c:pt>
                <c:pt idx="19">
                  <c:v>37.757729379999994</c:v>
                </c:pt>
                <c:pt idx="20">
                  <c:v>37.955981359999996</c:v>
                </c:pt>
                <c:pt idx="21">
                  <c:v>38.166927919999999</c:v>
                </c:pt>
                <c:pt idx="22">
                  <c:v>38.388725370000003</c:v>
                </c:pt>
                <c:pt idx="23">
                  <c:v>38.617999920000003</c:v>
                </c:pt>
                <c:pt idx="24">
                  <c:v>38.852641049999995</c:v>
                </c:pt>
                <c:pt idx="25">
                  <c:v>39.090289320000004</c:v>
                </c:pt>
                <c:pt idx="26">
                  <c:v>39.328744280000002</c:v>
                </c:pt>
                <c:pt idx="27">
                  <c:v>39.56777889</c:v>
                </c:pt>
                <c:pt idx="28">
                  <c:v>39.807161919999999</c:v>
                </c:pt>
                <c:pt idx="29">
                  <c:v>40.046711999999999</c:v>
                </c:pt>
                <c:pt idx="30">
                  <c:v>40.288447350000006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C3-45D2-B2A5-76AA1C492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chemeClr val="tx1"/>
                    </a:solidFill>
                  </a:rPr>
                  <a:t>Parc auto</a:t>
                </a:r>
                <a:br>
                  <a:rPr lang="fr-FR" b="1">
                    <a:solidFill>
                      <a:schemeClr val="tx1"/>
                    </a:solidFill>
                  </a:rPr>
                </a:br>
                <a:r>
                  <a:rPr lang="fr-FR" b="1">
                    <a:solidFill>
                      <a:schemeClr val="tx1"/>
                    </a:solidFill>
                  </a:rPr>
                  <a:t>(millions de</a:t>
                </a:r>
                <a:r>
                  <a:rPr lang="fr-FR" b="1" baseline="0">
                    <a:solidFill>
                      <a:schemeClr val="tx1"/>
                    </a:solidFill>
                  </a:rPr>
                  <a:t> véhicules)</a:t>
                </a:r>
              </a:p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fr-FR" b="1" baseline="0">
                    <a:solidFill>
                      <a:schemeClr val="tx1"/>
                    </a:solidFill>
                  </a:rPr>
                  <a:t>(actualiser TEND)</a:t>
                </a:r>
                <a:endParaRPr lang="fr-FR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417526627996E-2"/>
              <c:y val="3.879238910236656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835039786960974E-2"/>
          <c:y val="0.19199059976233585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auto'!$I$6:$AM$6</c:f>
              <c:numCache>
                <c:formatCode>0%</c:formatCode>
                <c:ptCount val="31"/>
                <c:pt idx="0">
                  <c:v>1.5950631566836501E-2</c:v>
                </c:pt>
                <c:pt idx="1">
                  <c:v>1.9447703727707485E-2</c:v>
                </c:pt>
                <c:pt idx="2">
                  <c:v>2.3879847935592006E-2</c:v>
                </c:pt>
                <c:pt idx="3">
                  <c:v>2.9477021704406074E-2</c:v>
                </c:pt>
                <c:pt idx="4">
                  <c:v>3.7894789959488473E-2</c:v>
                </c:pt>
                <c:pt idx="5">
                  <c:v>4.8268223322182155E-2</c:v>
                </c:pt>
                <c:pt idx="6">
                  <c:v>5.8862133325034233E-2</c:v>
                </c:pt>
                <c:pt idx="7">
                  <c:v>7.1682829893503955E-2</c:v>
                </c:pt>
                <c:pt idx="8">
                  <c:v>8.8520607815438246E-2</c:v>
                </c:pt>
                <c:pt idx="9">
                  <c:v>0.10971938828157857</c:v>
                </c:pt>
                <c:pt idx="10">
                  <c:v>0.13521673586831959</c:v>
                </c:pt>
                <c:pt idx="11">
                  <c:v>0.16434541640763245</c:v>
                </c:pt>
                <c:pt idx="12">
                  <c:v>0.19620438492265191</c:v>
                </c:pt>
                <c:pt idx="13">
                  <c:v>0.22950507724527491</c:v>
                </c:pt>
                <c:pt idx="14">
                  <c:v>0.26321595166711659</c:v>
                </c:pt>
                <c:pt idx="15">
                  <c:v>0.2965995733208871</c:v>
                </c:pt>
                <c:pt idx="16">
                  <c:v>0.33008772492856364</c:v>
                </c:pt>
                <c:pt idx="17">
                  <c:v>0.36304787959416257</c:v>
                </c:pt>
                <c:pt idx="18">
                  <c:v>0.39494040767780919</c:v>
                </c:pt>
                <c:pt idx="19">
                  <c:v>0.42564849604110827</c:v>
                </c:pt>
                <c:pt idx="20">
                  <c:v>0.4549937654226</c:v>
                </c:pt>
                <c:pt idx="21">
                  <c:v>0.48296635380918013</c:v>
                </c:pt>
                <c:pt idx="22">
                  <c:v>0.50958329407212066</c:v>
                </c:pt>
                <c:pt idx="23">
                  <c:v>0.53487588830482569</c:v>
                </c:pt>
                <c:pt idx="24">
                  <c:v>0.55887226550094427</c:v>
                </c:pt>
                <c:pt idx="25">
                  <c:v>0.58244369740915858</c:v>
                </c:pt>
                <c:pt idx="26">
                  <c:v>0.6050801606358267</c:v>
                </c:pt>
                <c:pt idx="27">
                  <c:v>0.62665514979199533</c:v>
                </c:pt>
                <c:pt idx="28">
                  <c:v>0.64717790761038363</c:v>
                </c:pt>
                <c:pt idx="29">
                  <c:v>0.66664270429336181</c:v>
                </c:pt>
                <c:pt idx="30">
                  <c:v>0.68488406552090852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F-413C-A382-BDDA928D9525}"/>
            </c:ext>
          </c:extLst>
        </c:ser>
        <c:ser>
          <c:idx val="2"/>
          <c:order val="1"/>
          <c:tx>
            <c:strRef>
              <c:f>'[6]T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'[6]T parc auto'!$I$6:$AM$6</c:f>
              <c:numCache>
                <c:formatCode>General</c:formatCode>
                <c:ptCount val="31"/>
                <c:pt idx="0">
                  <c:v>8.5699726798540449E-3</c:v>
                </c:pt>
                <c:pt idx="1">
                  <c:v>1.3125767536852568E-2</c:v>
                </c:pt>
                <c:pt idx="2">
                  <c:v>2.093814652035246E-2</c:v>
                </c:pt>
                <c:pt idx="3">
                  <c:v>2.9339596650975963E-2</c:v>
                </c:pt>
                <c:pt idx="4">
                  <c:v>3.8422705171822412E-2</c:v>
                </c:pt>
                <c:pt idx="5">
                  <c:v>4.8298948326351107E-2</c:v>
                </c:pt>
                <c:pt idx="6">
                  <c:v>5.9426982864022086E-2</c:v>
                </c:pt>
                <c:pt idx="7">
                  <c:v>7.1945526561541698E-2</c:v>
                </c:pt>
                <c:pt idx="8">
                  <c:v>8.5942049539349558E-2</c:v>
                </c:pt>
                <c:pt idx="9">
                  <c:v>0.10147172535354351</c:v>
                </c:pt>
                <c:pt idx="10">
                  <c:v>0.11859008108472456</c:v>
                </c:pt>
                <c:pt idx="11">
                  <c:v>0.13730358074183932</c:v>
                </c:pt>
                <c:pt idx="12">
                  <c:v>0.15763780877629907</c:v>
                </c:pt>
                <c:pt idx="13">
                  <c:v>0.17959577390884213</c:v>
                </c:pt>
                <c:pt idx="14">
                  <c:v>0.20315166958215294</c:v>
                </c:pt>
                <c:pt idx="15">
                  <c:v>0.22824904180571959</c:v>
                </c:pt>
                <c:pt idx="16">
                  <c:v>0.2547637951132391</c:v>
                </c:pt>
                <c:pt idx="17">
                  <c:v>0.28256330245612871</c:v>
                </c:pt>
                <c:pt idx="18">
                  <c:v>0.31147078409409074</c:v>
                </c:pt>
                <c:pt idx="19">
                  <c:v>0.34127816401018973</c:v>
                </c:pt>
                <c:pt idx="20">
                  <c:v>0.3717464103001657</c:v>
                </c:pt>
                <c:pt idx="21">
                  <c:v>0.40269710709271045</c:v>
                </c:pt>
                <c:pt idx="22">
                  <c:v>0.43384849821076515</c:v>
                </c:pt>
                <c:pt idx="23">
                  <c:v>0.464913357170052</c:v>
                </c:pt>
                <c:pt idx="24">
                  <c:v>0.49563467577965337</c:v>
                </c:pt>
                <c:pt idx="25">
                  <c:v>0.52577836510113596</c:v>
                </c:pt>
                <c:pt idx="26">
                  <c:v>0.55514202702634574</c:v>
                </c:pt>
                <c:pt idx="27">
                  <c:v>0.58357173153926301</c:v>
                </c:pt>
                <c:pt idx="28">
                  <c:v>0.61094374421556352</c:v>
                </c:pt>
                <c:pt idx="29">
                  <c:v>0.63716406480512056</c:v>
                </c:pt>
                <c:pt idx="30">
                  <c:v>0.66218106938290833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F-413C-A382-BDDA928D9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ysClr val="windowText" lastClr="000000"/>
                    </a:solidFill>
                  </a:rPr>
                  <a:t>Pénétration véhicule</a:t>
                </a:r>
                <a:r>
                  <a:rPr lang="fr-FR" b="1" baseline="0">
                    <a:solidFill>
                      <a:sysClr val="windowText" lastClr="000000"/>
                    </a:solidFill>
                  </a:rPr>
                  <a:t> elec (% du parc)</a:t>
                </a:r>
              </a:p>
              <a:p>
                <a:pPr>
                  <a:defRPr/>
                </a:pPr>
                <a:r>
                  <a:rPr lang="fr-FR" b="1" baseline="0">
                    <a:solidFill>
                      <a:sysClr val="windowText" lastClr="000000"/>
                    </a:solidFill>
                  </a:rPr>
                  <a:t>(actualiser TEND)</a:t>
                </a:r>
                <a:endParaRPr lang="fr-FR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388951702174E-2"/>
              <c:y val="3.654170667887090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SNBC3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0%</c:formatCode>
                <c:ptCount val="3"/>
                <c:pt idx="0">
                  <c:v>0.12408073482881528</c:v>
                </c:pt>
                <c:pt idx="1">
                  <c:v>7.721501562084325E-2</c:v>
                </c:pt>
                <c:pt idx="2">
                  <c:v>2.7375946296806977E-2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0%</c:formatCode>
                <c:ptCount val="3"/>
                <c:pt idx="0">
                  <c:v>0.71962549646280727</c:v>
                </c:pt>
                <c:pt idx="1">
                  <c:v>0.62688159597697968</c:v>
                </c:pt>
                <c:pt idx="2">
                  <c:v>0.22804243158833615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0%</c:formatCode>
                <c:ptCount val="3"/>
                <c:pt idx="0">
                  <c:v>0.1403431373701616</c:v>
                </c:pt>
                <c:pt idx="1">
                  <c:v>0.16068665261409698</c:v>
                </c:pt>
                <c:pt idx="2">
                  <c:v>5.969755639592994E-2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0%</c:formatCode>
                <c:ptCount val="3"/>
                <c:pt idx="0">
                  <c:v>1.5950631566836501E-2</c:v>
                </c:pt>
                <c:pt idx="1">
                  <c:v>0.13521673586831959</c:v>
                </c:pt>
                <c:pt idx="2">
                  <c:v>0.68488406552090852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Graphs'!$B$11</c:f>
          <c:strCache>
            <c:ptCount val="1"/>
            <c:pt idx="0">
              <c:v>SNBC3 : Ventilation du parc de logements (%)</c:v>
            </c:pt>
          </c:strCache>
        </c:strRef>
      </c:tx>
      <c:layout>
        <c:manualLayout>
          <c:xMode val="edge"/>
          <c:yMode val="edge"/>
          <c:x val="3.4237370593317988E-2"/>
          <c:y val="1.2537313727519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0.17630487037800679</c:v>
                </c:pt>
                <c:pt idx="1">
                  <c:v>0.11662031020319853</c:v>
                </c:pt>
                <c:pt idx="2">
                  <c:v>6.4232437029826006E-2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0.76438415313463193</c:v>
                </c:pt>
                <c:pt idx="1">
                  <c:v>0.70274659637665293</c:v>
                </c:pt>
                <c:pt idx="2">
                  <c:v>0.47989053637990919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5.9310976393672804E-2</c:v>
                </c:pt>
                <c:pt idx="1">
                  <c:v>0.18063309325490787</c:v>
                </c:pt>
                <c:pt idx="2">
                  <c:v>0.45607394888379299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Users/Callonnecg/Github/ThreeME/data/shocks/Bilan%20S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https://ademecloud-my.sharepoint.com/Users/alma.monserand/Documents/GitHub/ThreeME/data/shocks/Bilan%20&#233;nergie%20-%20AMErun2%20-%20AMSrun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/Users/alma.monserand/Documents/GitHub/ThreeME/data/shocks/Bilan%20&#233;nergie%20-%20AMErun2%20-%20AMSrun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AMS-run2\001_Transports\Transports_AMS_run2-vf10.xlsx" TargetMode="External"/><Relationship Id="rId1" Type="http://schemas.openxmlformats.org/officeDocument/2006/relationships/externalLinkPath" Target="/Users/callonnecg/Documents/Github/ThreeME/data/calibrations/Documents%20MTE/AMS-run2/001_Transports/Transports_AMS_run2-vf10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esktop\Temporaire\reporting%202%20-%20energie%20SNBC3%20-%20template%20parts%20modales%20voyageurs.xlsx" TargetMode="External"/><Relationship Id="rId1" Type="http://schemas.openxmlformats.org/officeDocument/2006/relationships/externalLinkPath" Target="https://ademecloud-my.sharepoint.com/Users/alma.monserand/Desktop/Temporaire/reporting%202%20-%20energie%20SNBC3%20-%20template%20parts%20modales%20voyageur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Github\ThreeME\results\reporting%201%20-%20energie%20TEND.xlsx" TargetMode="External"/><Relationship Id="rId1" Type="http://schemas.openxmlformats.org/officeDocument/2006/relationships/externalLinkPath" Target="https://ademecloud-my.sharepoint.com/Users/alma.monserand/Documents/GitHub/ThreeME/results/reporting%201%20-%20energie%20TE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Cibles THREEME"/>
      <sheetName val="Bilan 2030"/>
      <sheetName val="Bilan 2050"/>
      <sheetName val="Bilan 2020 BAU"/>
      <sheetName val="Bilan 2006"/>
      <sheetName val="Bilan 2010"/>
      <sheetName val="Bilan 2015"/>
      <sheetName val="Bilan 2025"/>
      <sheetName val="bilan énergie format SDS"/>
      <sheetName val="Bilan enerdata_2015"/>
      <sheetName val="Bilan enerdata_2020"/>
      <sheetName val="Bilan enerdata_2025"/>
      <sheetName val="Bilan enerdata_2030"/>
      <sheetName val="Bilan enerdata_2050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Mix énergie_2020"/>
      <sheetName val="Mix énergie_2025"/>
      <sheetName val="Mix énergie_2030"/>
      <sheetName val="Mix énergie_2050"/>
    </sheetNames>
    <sheetDataSet>
      <sheetData sheetId="0" refreshError="1"/>
      <sheetData sheetId="1" refreshError="1">
        <row r="4">
          <cell r="H4">
            <v>10.400607231191495</v>
          </cell>
          <cell r="AJ4">
            <v>9.6821026074859624</v>
          </cell>
        </row>
        <row r="5">
          <cell r="H5">
            <v>3.4968412155770827</v>
          </cell>
          <cell r="AJ5">
            <v>3.4968412155770827</v>
          </cell>
        </row>
        <row r="8">
          <cell r="AJ8">
            <v>0.62105913154569725</v>
          </cell>
        </row>
        <row r="9">
          <cell r="AJ9">
            <v>0.01</v>
          </cell>
        </row>
        <row r="10">
          <cell r="H10">
            <v>2.6577034315641361</v>
          </cell>
          <cell r="AJ10">
            <v>1.0959867027277013</v>
          </cell>
        </row>
        <row r="11">
          <cell r="H11">
            <v>0</v>
          </cell>
          <cell r="AJ11">
            <v>0.01</v>
          </cell>
        </row>
        <row r="12">
          <cell r="H12">
            <v>2.2929206076239605</v>
          </cell>
          <cell r="AJ12">
            <v>12.585580636323101</v>
          </cell>
        </row>
        <row r="13">
          <cell r="H13">
            <v>0</v>
          </cell>
          <cell r="AJ13">
            <v>7.4283543184877532</v>
          </cell>
        </row>
        <row r="14">
          <cell r="H14">
            <v>17.773000859845226</v>
          </cell>
          <cell r="AJ14">
            <v>3.8663975346227235</v>
          </cell>
        </row>
        <row r="15">
          <cell r="AJ15">
            <v>0.31052956577284868</v>
          </cell>
        </row>
        <row r="17">
          <cell r="H17">
            <v>10.490111779879621</v>
          </cell>
          <cell r="AJ17">
            <v>1.3970598106217755</v>
          </cell>
        </row>
        <row r="18">
          <cell r="H18">
            <v>5.4600171969045563</v>
          </cell>
          <cell r="AJ18">
            <v>10.432652801530878</v>
          </cell>
        </row>
        <row r="19">
          <cell r="H19">
            <v>1.1621270136304822</v>
          </cell>
          <cell r="AJ19">
            <v>12.301085039507219</v>
          </cell>
        </row>
        <row r="20">
          <cell r="AJ20">
            <v>0.69912973511411425</v>
          </cell>
        </row>
        <row r="21">
          <cell r="AJ21">
            <v>0.94296387002405035</v>
          </cell>
        </row>
        <row r="22">
          <cell r="AJ22">
            <v>6.7613203915324087</v>
          </cell>
        </row>
        <row r="28">
          <cell r="H28">
            <v>5.438782729559458</v>
          </cell>
        </row>
        <row r="29">
          <cell r="H29">
            <v>11.911185835668668</v>
          </cell>
        </row>
        <row r="30">
          <cell r="H30">
            <v>12.325609312525271</v>
          </cell>
        </row>
        <row r="31">
          <cell r="H31">
            <v>0.79152054400721716</v>
          </cell>
        </row>
        <row r="32">
          <cell r="H32">
            <v>0.25795356835769562</v>
          </cell>
        </row>
        <row r="33">
          <cell r="H33">
            <v>7.4811633429693902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  <sheetName val="Bilan 2022 ré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1.2504899941046146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9" refreshError="1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22.254054739303911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>
        <row r="13">
          <cell r="L13">
            <v>60.64963620940091</v>
          </cell>
          <cell r="T13">
            <v>7.3122587409445634</v>
          </cell>
          <cell r="U13">
            <v>128.0707707310485</v>
          </cell>
          <cell r="V13">
            <v>168.01959458902522</v>
          </cell>
          <cell r="W13">
            <v>127.92853513720873</v>
          </cell>
          <cell r="X13">
            <v>16.304325769708704</v>
          </cell>
        </row>
        <row r="22">
          <cell r="T22">
            <v>2.893035141697446</v>
          </cell>
          <cell r="U22">
            <v>108.65207410895239</v>
          </cell>
          <cell r="V22">
            <v>114.1719455581988</v>
          </cell>
          <cell r="W22">
            <v>64.071431869588679</v>
          </cell>
          <cell r="X22">
            <v>4.2921454750670778</v>
          </cell>
        </row>
        <row r="30">
          <cell r="T30">
            <v>0</v>
          </cell>
          <cell r="U30">
            <v>25.280585756064298</v>
          </cell>
          <cell r="V30">
            <v>23.209710288069441</v>
          </cell>
          <cell r="W30">
            <v>13.960757550169284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1.3784255803477652</v>
          </cell>
          <cell r="U37">
            <v>18.096562918466454</v>
          </cell>
          <cell r="V37">
            <v>70.323676853398695</v>
          </cell>
          <cell r="W37">
            <v>0.46648924043058942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0.36066131262685786</v>
          </cell>
          <cell r="U39">
            <v>4.7991131198633983E-4</v>
          </cell>
          <cell r="V39">
            <v>1.4653773673998376</v>
          </cell>
          <cell r="W39">
            <v>1.9742667541400529</v>
          </cell>
          <cell r="X39">
            <v>0</v>
          </cell>
        </row>
        <row r="40">
          <cell r="T40">
            <v>0.25</v>
          </cell>
          <cell r="U40">
            <v>2.4387543945312502</v>
          </cell>
          <cell r="V40">
            <v>51.588449054022554</v>
          </cell>
          <cell r="W40">
            <v>19.376355841859095</v>
          </cell>
          <cell r="X40">
            <v>0</v>
          </cell>
        </row>
        <row r="41">
          <cell r="T41">
            <v>2.687574286548855</v>
          </cell>
          <cell r="U41">
            <v>0.8476478513209047</v>
          </cell>
          <cell r="V41">
            <v>0</v>
          </cell>
          <cell r="W41">
            <v>0</v>
          </cell>
          <cell r="X41">
            <v>42.098104263639655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405.6747609386457</v>
          </cell>
        </row>
        <row r="43">
          <cell r="T43">
            <v>34.907892644785463</v>
          </cell>
          <cell r="U43">
            <v>21.669942218787114</v>
          </cell>
          <cell r="V43">
            <v>24.373858785220854</v>
          </cell>
          <cell r="W43">
            <v>18.955073126944075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6.3079973787187962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37.871878906250004</v>
          </cell>
        </row>
        <row r="53">
          <cell r="E53">
            <v>13.481059545005067</v>
          </cell>
        </row>
        <row r="54">
          <cell r="E54">
            <v>134.79719064700697</v>
          </cell>
        </row>
        <row r="55">
          <cell r="E55">
            <v>0.85849251597945853</v>
          </cell>
        </row>
        <row r="56">
          <cell r="E56">
            <v>1.2788535468039099</v>
          </cell>
        </row>
        <row r="57">
          <cell r="E57">
            <v>0.36066305637359619</v>
          </cell>
        </row>
      </sheetData>
      <sheetData sheetId="23" refreshError="1"/>
      <sheetData sheetId="24" refreshError="1">
        <row r="13">
          <cell r="L13">
            <v>60.040984503318555</v>
          </cell>
          <cell r="T13">
            <v>6.8477994877191097</v>
          </cell>
          <cell r="U13">
            <v>150.98087036591164</v>
          </cell>
          <cell r="V13">
            <v>168.99529037460601</v>
          </cell>
          <cell r="W13">
            <v>120.41840773999139</v>
          </cell>
          <cell r="X13">
            <v>33.627467612150312</v>
          </cell>
        </row>
        <row r="22">
          <cell r="T22">
            <v>2.4312392278746091</v>
          </cell>
          <cell r="U22">
            <v>98.251995508081279</v>
          </cell>
          <cell r="V22">
            <v>75.312934912361044</v>
          </cell>
          <cell r="W22">
            <v>50.621968033343542</v>
          </cell>
          <cell r="X22">
            <v>7.5907588452297716</v>
          </cell>
        </row>
        <row r="30">
          <cell r="T30">
            <v>0</v>
          </cell>
          <cell r="U30">
            <v>26.694598475411762</v>
          </cell>
          <cell r="V30">
            <v>26.200174165432053</v>
          </cell>
          <cell r="W30">
            <v>18.232180099567369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2.2700672066089305</v>
          </cell>
          <cell r="U37">
            <v>21.324114250752451</v>
          </cell>
          <cell r="V37">
            <v>59.781394249240854</v>
          </cell>
          <cell r="W37">
            <v>0.65520868022421808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0.62518456969816016</v>
          </cell>
          <cell r="U39">
            <v>5.5791983277925228E-4</v>
          </cell>
          <cell r="V39">
            <v>1.8312707461125663</v>
          </cell>
          <cell r="W39">
            <v>2.5023556054496878</v>
          </cell>
          <cell r="X39">
            <v>0</v>
          </cell>
        </row>
        <row r="40">
          <cell r="T40">
            <v>0.5</v>
          </cell>
          <cell r="U40">
            <v>5.4360292968749997</v>
          </cell>
          <cell r="V40">
            <v>71.261229807028784</v>
          </cell>
          <cell r="W40">
            <v>30.500312120088047</v>
          </cell>
          <cell r="X40">
            <v>0</v>
          </cell>
        </row>
        <row r="41">
          <cell r="T41">
            <v>4.4101434474454244</v>
          </cell>
          <cell r="U41">
            <v>1.0929506417768975</v>
          </cell>
          <cell r="V41">
            <v>0</v>
          </cell>
          <cell r="W41">
            <v>0</v>
          </cell>
          <cell r="X41">
            <v>37.967259624706756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316.65258451410631</v>
          </cell>
        </row>
        <row r="43">
          <cell r="T43">
            <v>30.67679188462478</v>
          </cell>
          <cell r="U43">
            <v>12.950442965803651</v>
          </cell>
          <cell r="V43">
            <v>7.2864711080849975</v>
          </cell>
          <cell r="W43">
            <v>3.924731163958576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3.3758020597581235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20.032589355468751</v>
          </cell>
        </row>
        <row r="53">
          <cell r="E53">
            <v>13.544705953911897</v>
          </cell>
        </row>
        <row r="54">
          <cell r="E54">
            <v>126.95463683256074</v>
          </cell>
        </row>
        <row r="55">
          <cell r="E55">
            <v>2.0363529469545623</v>
          </cell>
        </row>
        <row r="56">
          <cell r="E56">
            <v>2.9522071662650609</v>
          </cell>
        </row>
        <row r="57">
          <cell r="E57">
            <v>1.1221461296081543</v>
          </cell>
        </row>
      </sheetData>
      <sheetData sheetId="25" refreshError="1"/>
      <sheetData sheetId="26" refreshError="1">
        <row r="13">
          <cell r="L13">
            <v>78.775924512815891</v>
          </cell>
          <cell r="T13">
            <v>6.8713820538899668</v>
          </cell>
          <cell r="U13">
            <v>163.03873271483607</v>
          </cell>
          <cell r="V13">
            <v>161.8990647634788</v>
          </cell>
          <cell r="W13">
            <v>118.84997058968706</v>
          </cell>
          <cell r="X13">
            <v>62.922987609450331</v>
          </cell>
        </row>
        <row r="22">
          <cell r="T22">
            <v>2.3133122988205677</v>
          </cell>
          <cell r="U22">
            <v>91.224472664234952</v>
          </cell>
          <cell r="V22">
            <v>50.249574150791091</v>
          </cell>
          <cell r="W22">
            <v>36.280546270763686</v>
          </cell>
          <cell r="X22">
            <v>10.301260187064024</v>
          </cell>
        </row>
        <row r="30">
          <cell r="T30">
            <v>0</v>
          </cell>
          <cell r="U30">
            <v>27.031662623925747</v>
          </cell>
          <cell r="V30">
            <v>25.454386166903632</v>
          </cell>
          <cell r="W30">
            <v>18.615976216598927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2.70050068143768</v>
          </cell>
          <cell r="U37">
            <v>21.686124483212218</v>
          </cell>
          <cell r="V37">
            <v>49.933380533226007</v>
          </cell>
          <cell r="W37">
            <v>0.59757790855029691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0.96290247555165809</v>
          </cell>
          <cell r="U39">
            <v>6.9244826847420892E-4</v>
          </cell>
          <cell r="V39">
            <v>2.3427124137087052</v>
          </cell>
          <cell r="W39">
            <v>2.8464095248186312</v>
          </cell>
          <cell r="X39">
            <v>0</v>
          </cell>
        </row>
        <row r="40">
          <cell r="T40">
            <v>0.75</v>
          </cell>
          <cell r="U40">
            <v>9.2526142578124997</v>
          </cell>
          <cell r="V40">
            <v>86.346993730736358</v>
          </cell>
          <cell r="W40">
            <v>38.891325575185007</v>
          </cell>
          <cell r="X40">
            <v>0</v>
          </cell>
        </row>
        <row r="41">
          <cell r="T41">
            <v>8.7092137788049975</v>
          </cell>
          <cell r="U41">
            <v>1.1432225445669904</v>
          </cell>
          <cell r="V41">
            <v>0</v>
          </cell>
          <cell r="W41">
            <v>0</v>
          </cell>
          <cell r="X41">
            <v>55.768281667489369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192.91287296266353</v>
          </cell>
        </row>
        <row r="43">
          <cell r="T43">
            <v>22.266407522057087</v>
          </cell>
          <cell r="U43">
            <v>9.7376785306283384</v>
          </cell>
          <cell r="V43">
            <v>3.0522332565861259</v>
          </cell>
          <cell r="W43">
            <v>2.064637318394833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3.6562282006850468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11.341361328125</v>
          </cell>
        </row>
        <row r="53">
          <cell r="E53">
            <v>11.111186214134182</v>
          </cell>
        </row>
        <row r="54">
          <cell r="E54">
            <v>104.6693916418363</v>
          </cell>
        </row>
        <row r="55">
          <cell r="E55">
            <v>4.7506049603028071</v>
          </cell>
        </row>
        <row r="56">
          <cell r="E56">
            <v>16.302515661537178</v>
          </cell>
        </row>
        <row r="57">
          <cell r="E57">
            <v>16.030988088411341</v>
          </cell>
        </row>
      </sheetData>
      <sheetData sheetId="27" refreshError="1"/>
      <sheetData sheetId="28" refreshError="1">
        <row r="13">
          <cell r="L13">
            <v>64.4982724362319</v>
          </cell>
          <cell r="T13">
            <v>6.8949646200608239</v>
          </cell>
          <cell r="U13">
            <v>177.15385275416003</v>
          </cell>
          <cell r="V13">
            <v>153.62760172238077</v>
          </cell>
          <cell r="W13">
            <v>116.64209363039593</v>
          </cell>
          <cell r="X13">
            <v>93.510067312183125</v>
          </cell>
        </row>
        <row r="22">
          <cell r="T22">
            <v>2.1953853697665267</v>
          </cell>
          <cell r="U22">
            <v>80.926569958454124</v>
          </cell>
          <cell r="V22">
            <v>35.31669341373469</v>
          </cell>
          <cell r="W22">
            <v>22.492374235292672</v>
          </cell>
          <cell r="X22">
            <v>12.628400711843788</v>
          </cell>
        </row>
        <row r="30">
          <cell r="T30">
            <v>0</v>
          </cell>
          <cell r="U30">
            <v>27.62245537234817</v>
          </cell>
          <cell r="V30">
            <v>23.742467864871486</v>
          </cell>
          <cell r="W30">
            <v>18.985143288462343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3.1309341562664299</v>
          </cell>
          <cell r="U37">
            <v>22.312304964799452</v>
          </cell>
          <cell r="V37">
            <v>42.672719714557346</v>
          </cell>
          <cell r="W37">
            <v>0.54085293774126075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1.300620381405156</v>
          </cell>
          <cell r="U39">
            <v>7.8820466826144567E-4</v>
          </cell>
          <cell r="V39">
            <v>2.7285855468891569</v>
          </cell>
          <cell r="W39">
            <v>3.1511646453296667</v>
          </cell>
          <cell r="X39">
            <v>0</v>
          </cell>
        </row>
        <row r="40">
          <cell r="T40">
            <v>1</v>
          </cell>
          <cell r="U40">
            <v>13.3040771484375</v>
          </cell>
          <cell r="V40">
            <v>97.294965653266104</v>
          </cell>
          <cell r="W40">
            <v>46.022009309639856</v>
          </cell>
          <cell r="X40">
            <v>0</v>
          </cell>
        </row>
        <row r="41">
          <cell r="T41">
            <v>14.856440343671846</v>
          </cell>
          <cell r="U41">
            <v>2.0803229791147206</v>
          </cell>
          <cell r="V41">
            <v>0</v>
          </cell>
          <cell r="W41">
            <v>0</v>
          </cell>
          <cell r="X41">
            <v>75.081695100664817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66.70797411064288</v>
          </cell>
        </row>
        <row r="43">
          <cell r="T43">
            <v>11.703228817007544</v>
          </cell>
          <cell r="U43">
            <v>5.9508631597557615</v>
          </cell>
          <cell r="V43">
            <v>0.70989784165710235</v>
          </cell>
          <cell r="W43">
            <v>0.74292942782649596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2.7829395451988024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10.5576943359375</v>
          </cell>
        </row>
        <row r="53">
          <cell r="E53">
            <v>8.9820116802829233</v>
          </cell>
        </row>
        <row r="54">
          <cell r="E54">
            <v>83.18009003150803</v>
          </cell>
        </row>
        <row r="55">
          <cell r="E55">
            <v>7.771086156633026</v>
          </cell>
        </row>
        <row r="56">
          <cell r="E56">
            <v>29.113845956766554</v>
          </cell>
        </row>
        <row r="57">
          <cell r="E57">
            <v>30.755676878666431</v>
          </cell>
        </row>
      </sheetData>
      <sheetData sheetId="29" refreshError="1"/>
      <sheetData sheetId="30" refreshError="1">
        <row r="13">
          <cell r="L13">
            <v>-76.400000000000006</v>
          </cell>
          <cell r="T13">
            <v>6.9303674525217573</v>
          </cell>
          <cell r="U13">
            <v>213.72427811943899</v>
          </cell>
          <cell r="V13">
            <v>133.64902180729109</v>
          </cell>
          <cell r="W13">
            <v>111.32761597349254</v>
          </cell>
          <cell r="X13">
            <v>117.90461095014412</v>
          </cell>
        </row>
        <row r="22">
          <cell r="T22">
            <v>1.9262770132702434</v>
          </cell>
          <cell r="U22">
            <v>61.251424631871934</v>
          </cell>
          <cell r="V22">
            <v>18.424388422101337</v>
          </cell>
          <cell r="W22">
            <v>6.3171748285877136</v>
          </cell>
          <cell r="X22">
            <v>14.813456281706959</v>
          </cell>
        </row>
        <row r="30">
          <cell r="T30">
            <v>0</v>
          </cell>
          <cell r="U30">
            <v>27.619750744869535</v>
          </cell>
          <cell r="V30">
            <v>20.977029614075306</v>
          </cell>
          <cell r="W30">
            <v>18.167862149010045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3.9918011059239289</v>
          </cell>
          <cell r="U37">
            <v>23.360019261656848</v>
          </cell>
          <cell r="V37">
            <v>30.406752837013876</v>
          </cell>
          <cell r="W37">
            <v>0.45236993281073634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2.1874070050904897</v>
          </cell>
          <cell r="U39">
            <v>8.5890570413253253E-4</v>
          </cell>
          <cell r="V39">
            <v>3.1166998128913419</v>
          </cell>
          <cell r="W39">
            <v>3.3575351400940563</v>
          </cell>
          <cell r="X39">
            <v>0</v>
          </cell>
        </row>
        <row r="40">
          <cell r="T40">
            <v>1.5</v>
          </cell>
          <cell r="U40">
            <v>22.01365625</v>
          </cell>
          <cell r="V40">
            <v>105.40020235475453</v>
          </cell>
          <cell r="W40">
            <v>52.288295873759658</v>
          </cell>
          <cell r="X40">
            <v>0</v>
          </cell>
        </row>
        <row r="41">
          <cell r="T41">
            <v>18.700816435906518</v>
          </cell>
          <cell r="U41">
            <v>1.3034813300305972</v>
          </cell>
          <cell r="V41">
            <v>0</v>
          </cell>
          <cell r="W41">
            <v>0</v>
          </cell>
          <cell r="X41">
            <v>24.115043444028551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2.548518600222561</v>
          </cell>
        </row>
        <row r="43">
          <cell r="T43">
            <v>0.14607036001340537</v>
          </cell>
          <cell r="U43">
            <v>1.525731430410463</v>
          </cell>
          <cell r="V43">
            <v>0.35613019618188829</v>
          </cell>
          <cell r="W43">
            <v>6.5854952123934399E-2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0.64129319091675452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0</v>
          </cell>
        </row>
        <row r="53">
          <cell r="E53">
            <v>3.2223770587889593</v>
          </cell>
        </row>
        <row r="54">
          <cell r="E54">
            <v>44.559074374942114</v>
          </cell>
        </row>
        <row r="55">
          <cell r="E55">
            <v>13.801033069140475</v>
          </cell>
        </row>
        <row r="56">
          <cell r="E56">
            <v>53.321417696630832</v>
          </cell>
        </row>
        <row r="57">
          <cell r="E57">
            <v>63.833639735754474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</sheetNames>
    <sheetDataSet>
      <sheetData sheetId="0"/>
      <sheetData sheetId="1"/>
      <sheetData sheetId="2">
        <row r="22">
          <cell r="D22">
            <v>0.95568230636841967</v>
          </cell>
        </row>
      </sheetData>
      <sheetData sheetId="3"/>
      <sheetData sheetId="4"/>
      <sheetData sheetId="5"/>
      <sheetData sheetId="6"/>
      <sheetData sheetId="7"/>
      <sheetData sheetId="8">
        <row r="13">
          <cell r="T13">
            <v>0.74651762682717104</v>
          </cell>
        </row>
      </sheetData>
      <sheetData sheetId="9">
        <row r="13">
          <cell r="L13">
            <v>45.039193999999995</v>
          </cell>
        </row>
      </sheetData>
      <sheetData sheetId="10"/>
      <sheetData sheetId="11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26.203729444444445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25.961824722222225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>
        <row r="13">
          <cell r="L13">
            <v>24.298097404469559</v>
          </cell>
        </row>
      </sheetData>
      <sheetData sheetId="14">
        <row r="13">
          <cell r="L13">
            <v>64.055272794649682</v>
          </cell>
        </row>
      </sheetData>
      <sheetData sheetId="15">
        <row r="13">
          <cell r="L13">
            <v>71.534753758802367</v>
          </cell>
        </row>
      </sheetData>
      <sheetData sheetId="16">
        <row r="5">
          <cell r="T5">
            <v>47.147872325239078</v>
          </cell>
        </row>
      </sheetData>
      <sheetData sheetId="17">
        <row r="13">
          <cell r="L13">
            <v>60.003896317889257</v>
          </cell>
        </row>
      </sheetData>
      <sheetData sheetId="18">
        <row r="13">
          <cell r="L13">
            <v>50.941346245748719</v>
          </cell>
        </row>
      </sheetData>
      <sheetData sheetId="19">
        <row r="13">
          <cell r="L13">
            <v>38.942042128507637</v>
          </cell>
        </row>
      </sheetData>
      <sheetData sheetId="20">
        <row r="13">
          <cell r="L13">
            <v>31.055970799843635</v>
          </cell>
        </row>
      </sheetData>
      <sheetData sheetId="21">
        <row r="13">
          <cell r="L13">
            <v>16.706363002811486</v>
          </cell>
        </row>
      </sheetData>
      <sheetData sheetId="22">
        <row r="13">
          <cell r="L13">
            <v>12.7985093299136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lan énergie"/>
      <sheetName val="FE_et_bio"/>
      <sheetName val="VP"/>
      <sheetName val="VUL"/>
      <sheetName val="PL"/>
      <sheetName val="donnees parc"/>
      <sheetName val="B&amp;C"/>
      <sheetName val="2RM"/>
      <sheetName val="Autres_modes"/>
      <sheetName val="Aérien"/>
      <sheetName val="Trafic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3">
          <cell r="H23">
            <v>629.84570702567703</v>
          </cell>
          <cell r="J23">
            <v>746.12634327708076</v>
          </cell>
          <cell r="N23">
            <v>684.63084367246472</v>
          </cell>
        </row>
        <row r="25">
          <cell r="H25">
            <v>64.888834107401252</v>
          </cell>
          <cell r="J25">
            <v>140.59793923050162</v>
          </cell>
          <cell r="N25">
            <v>187.05149835225939</v>
          </cell>
        </row>
        <row r="26">
          <cell r="H26">
            <v>37.912440194392154</v>
          </cell>
          <cell r="J26">
            <v>75.079943524557834</v>
          </cell>
          <cell r="N26">
            <v>97.003287033728711</v>
          </cell>
        </row>
        <row r="27">
          <cell r="H27">
            <v>7.2496149479999996</v>
          </cell>
          <cell r="J27">
            <v>14.4</v>
          </cell>
          <cell r="N27">
            <v>6.5</v>
          </cell>
        </row>
        <row r="28">
          <cell r="H28">
            <v>9.5825009382689181</v>
          </cell>
          <cell r="J28">
            <v>11.58776593289357</v>
          </cell>
          <cell r="N28">
            <v>11.683292928212129</v>
          </cell>
        </row>
        <row r="29">
          <cell r="H29">
            <v>5.5</v>
          </cell>
          <cell r="J29">
            <v>19.108172758676037</v>
          </cell>
          <cell r="N29">
            <v>28.331906374785511</v>
          </cell>
        </row>
        <row r="30">
          <cell r="H30">
            <v>754.94948226573945</v>
          </cell>
          <cell r="J30">
            <v>1006.9001647237097</v>
          </cell>
          <cell r="N30">
            <v>1015.2008283614504</v>
          </cell>
        </row>
        <row r="31">
          <cell r="H31">
            <v>749.44948226573945</v>
          </cell>
          <cell r="J31">
            <v>987.79199196503373</v>
          </cell>
          <cell r="N31">
            <v>986.86892198666487</v>
          </cell>
        </row>
      </sheetData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 energie vecteurs"/>
      <sheetName val="T energie usages"/>
      <sheetName val="Résultats"/>
      <sheetName val="T CO2"/>
      <sheetName val="T logement"/>
      <sheetName val="G energie"/>
      <sheetName val="G mix energie"/>
      <sheetName val="G mix élec"/>
      <sheetName val="G mix carb"/>
      <sheetName val="G mix gaz"/>
      <sheetName val="G CO2"/>
      <sheetName val="T parc auto"/>
      <sheetName val="G parc auto total"/>
      <sheetName val="G parc elec"/>
      <sheetName val="G parc auto"/>
      <sheetName val="T transport"/>
      <sheetName val="G parc logt"/>
      <sheetName val="Table Graphs"/>
    </sheetNames>
    <sheetDataSet>
      <sheetData sheetId="0" refreshError="1"/>
      <sheetData sheetId="1" refreshError="1"/>
      <sheetData sheetId="2">
        <row r="1">
          <cell r="B1" t="str">
            <v>SNBC3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  <sheetName val="T energie vecteurs"/>
      <sheetName val="T energie usages"/>
      <sheetName val="G energie"/>
      <sheetName val="G mix élec"/>
      <sheetName val="G mix carb"/>
      <sheetName val="G mix gaz"/>
      <sheetName val="T CO2"/>
      <sheetName val="G CO2"/>
      <sheetName val="T parc auto"/>
      <sheetName val="G parc auto"/>
      <sheetName val="T logement"/>
      <sheetName val="G parc logt"/>
      <sheetName val="Table Graph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>
        <row r="4">
          <cell r="A4" t="str">
            <v>TEND</v>
          </cell>
        </row>
        <row r="5">
          <cell r="I5">
            <v>34.664492700000004</v>
          </cell>
          <cell r="J5">
            <v>34.956187980000003</v>
          </cell>
          <cell r="K5">
            <v>35.116030049999999</v>
          </cell>
          <cell r="L5">
            <v>35.22984451</v>
          </cell>
          <cell r="M5">
            <v>35.293663940000002</v>
          </cell>
          <cell r="N5">
            <v>35.310390290000001</v>
          </cell>
          <cell r="O5">
            <v>35.378433780000002</v>
          </cell>
          <cell r="P5">
            <v>35.496856720000004</v>
          </cell>
          <cell r="Q5">
            <v>35.653829440000003</v>
          </cell>
          <cell r="R5">
            <v>35.834650719999999</v>
          </cell>
          <cell r="S5">
            <v>36.029956510000005</v>
          </cell>
          <cell r="T5">
            <v>36.22702245</v>
          </cell>
          <cell r="U5">
            <v>36.422585409999996</v>
          </cell>
          <cell r="V5">
            <v>36.615497920000003</v>
          </cell>
          <cell r="W5">
            <v>36.806113070000002</v>
          </cell>
          <cell r="X5">
            <v>36.99621071</v>
          </cell>
          <cell r="Y5">
            <v>37.184294620000003</v>
          </cell>
          <cell r="Z5">
            <v>37.372872549999997</v>
          </cell>
          <cell r="AA5">
            <v>37.563526299999999</v>
          </cell>
          <cell r="AB5">
            <v>37.757729379999994</v>
          </cell>
          <cell r="AC5">
            <v>37.955981359999996</v>
          </cell>
          <cell r="AD5">
            <v>38.166927919999999</v>
          </cell>
          <cell r="AE5">
            <v>38.388725370000003</v>
          </cell>
          <cell r="AF5">
            <v>38.617999920000003</v>
          </cell>
          <cell r="AG5">
            <v>38.852641049999995</v>
          </cell>
          <cell r="AH5">
            <v>39.090289320000004</v>
          </cell>
          <cell r="AI5">
            <v>39.328744280000002</v>
          </cell>
          <cell r="AJ5">
            <v>39.56777889</v>
          </cell>
          <cell r="AK5">
            <v>39.807161919999999</v>
          </cell>
          <cell r="AL5">
            <v>40.046711999999999</v>
          </cell>
          <cell r="AM5">
            <v>40.288447350000006</v>
          </cell>
        </row>
        <row r="6">
          <cell r="I6">
            <v>8.5699726798540449E-3</v>
          </cell>
          <cell r="J6">
            <v>1.3125767536852568E-2</v>
          </cell>
          <cell r="K6">
            <v>2.093814652035246E-2</v>
          </cell>
          <cell r="L6">
            <v>2.9339596650975963E-2</v>
          </cell>
          <cell r="M6">
            <v>3.8422705171822412E-2</v>
          </cell>
          <cell r="N6">
            <v>4.8298948326351107E-2</v>
          </cell>
          <cell r="O6">
            <v>5.9426982864022086E-2</v>
          </cell>
          <cell r="P6">
            <v>7.1945526561541698E-2</v>
          </cell>
          <cell r="Q6">
            <v>8.5942049539349558E-2</v>
          </cell>
          <cell r="R6">
            <v>0.10147172535354351</v>
          </cell>
          <cell r="S6">
            <v>0.11859008108472456</v>
          </cell>
          <cell r="T6">
            <v>0.13730358074183932</v>
          </cell>
          <cell r="U6">
            <v>0.15763780877629907</v>
          </cell>
          <cell r="V6">
            <v>0.17959577390884213</v>
          </cell>
          <cell r="W6">
            <v>0.20315166958215294</v>
          </cell>
          <cell r="X6">
            <v>0.22824904180571959</v>
          </cell>
          <cell r="Y6">
            <v>0.2547637951132391</v>
          </cell>
          <cell r="Z6">
            <v>0.28256330245612871</v>
          </cell>
          <cell r="AA6">
            <v>0.31147078409409074</v>
          </cell>
          <cell r="AB6">
            <v>0.34127816401018973</v>
          </cell>
          <cell r="AC6">
            <v>0.3717464103001657</v>
          </cell>
          <cell r="AD6">
            <v>0.40269710709271045</v>
          </cell>
          <cell r="AE6">
            <v>0.43384849821076515</v>
          </cell>
          <cell r="AF6">
            <v>0.464913357170052</v>
          </cell>
          <cell r="AG6">
            <v>0.49563467577965337</v>
          </cell>
          <cell r="AH6">
            <v>0.52577836510113596</v>
          </cell>
          <cell r="AI6">
            <v>0.55514202702634574</v>
          </cell>
          <cell r="AJ6">
            <v>0.58357173153926301</v>
          </cell>
          <cell r="AK6">
            <v>0.61094374421556352</v>
          </cell>
          <cell r="AL6">
            <v>0.63716406480512056</v>
          </cell>
          <cell r="AM6">
            <v>0.66218106938290833</v>
          </cell>
        </row>
      </sheetData>
      <sheetData sheetId="10" refreshError="1"/>
      <sheetData sheetId="11"/>
      <sheetData sheetId="12" refreshError="1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>
    <tabColor rgb="FF0070C0"/>
  </sheetPr>
  <dimension ref="A1:BF524"/>
  <sheetViews>
    <sheetView zoomScale="90" zoomScaleNormal="90" workbookViewId="0">
      <selection activeCell="T5" sqref="T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8" width="5.5703125" customWidth="1"/>
    <col min="9" max="23" width="7.42578125" customWidth="1"/>
    <col min="25" max="58" width="11.42578125" style="3"/>
  </cols>
  <sheetData>
    <row r="1" spans="1:29" ht="28.5" x14ac:dyDescent="0.45">
      <c r="A1" s="171" t="s">
        <v>97</v>
      </c>
      <c r="B1" s="3"/>
      <c r="C1" s="3"/>
      <c r="D1" s="3" t="s">
        <v>487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46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172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61" t="str">
        <f>Résultats!B1</f>
        <v>SNBC3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s="3" customFormat="1" ht="23.25" x14ac:dyDescent="0.35">
      <c r="A5" s="46"/>
      <c r="D5" s="7"/>
      <c r="E5" s="235">
        <f>Résultats!E1</f>
        <v>4</v>
      </c>
      <c r="F5" s="235">
        <f>E5+9</f>
        <v>13</v>
      </c>
      <c r="G5" s="235">
        <f>F5+3</f>
        <v>16</v>
      </c>
      <c r="H5" s="235">
        <f t="shared" ref="H5:S5" si="0">G5+1</f>
        <v>17</v>
      </c>
      <c r="I5" s="235">
        <f t="shared" si="0"/>
        <v>18</v>
      </c>
      <c r="J5" s="235">
        <f t="shared" si="0"/>
        <v>19</v>
      </c>
      <c r="K5" s="235">
        <f t="shared" si="0"/>
        <v>20</v>
      </c>
      <c r="L5" s="235">
        <f t="shared" si="0"/>
        <v>21</v>
      </c>
      <c r="M5" s="235">
        <f t="shared" si="0"/>
        <v>22</v>
      </c>
      <c r="N5" s="235">
        <f t="shared" si="0"/>
        <v>23</v>
      </c>
      <c r="O5" s="235">
        <f t="shared" si="0"/>
        <v>24</v>
      </c>
      <c r="P5" s="235">
        <f t="shared" si="0"/>
        <v>25</v>
      </c>
      <c r="Q5" s="235">
        <f t="shared" si="0"/>
        <v>26</v>
      </c>
      <c r="R5" s="235">
        <f t="shared" si="0"/>
        <v>27</v>
      </c>
      <c r="S5" s="235">
        <f t="shared" si="0"/>
        <v>28</v>
      </c>
      <c r="T5" s="235">
        <f>S5+5</f>
        <v>33</v>
      </c>
      <c r="U5" s="235">
        <f>T5+5</f>
        <v>38</v>
      </c>
      <c r="V5" s="235">
        <f>U5+5</f>
        <v>43</v>
      </c>
      <c r="W5" s="235">
        <f>V5+5</f>
        <v>48</v>
      </c>
    </row>
    <row r="6" spans="1:29" x14ac:dyDescent="0.25">
      <c r="A6" s="3"/>
      <c r="B6" s="168"/>
      <c r="C6" s="2"/>
      <c r="D6" s="15"/>
      <c r="E6" s="4">
        <v>2006</v>
      </c>
      <c r="F6" s="4">
        <v>2015</v>
      </c>
      <c r="G6" s="20">
        <v>2018</v>
      </c>
      <c r="H6" s="27">
        <v>2019</v>
      </c>
      <c r="I6" s="83">
        <v>2020</v>
      </c>
      <c r="J6" s="91">
        <v>2021</v>
      </c>
      <c r="K6" s="27">
        <v>2022</v>
      </c>
      <c r="L6" s="27">
        <v>2023</v>
      </c>
      <c r="M6" s="27">
        <v>2024</v>
      </c>
      <c r="N6" s="83">
        <v>2025</v>
      </c>
      <c r="O6" s="91">
        <v>2026</v>
      </c>
      <c r="P6" s="27">
        <v>2027</v>
      </c>
      <c r="Q6" s="27">
        <v>2028</v>
      </c>
      <c r="R6" s="27">
        <v>2029</v>
      </c>
      <c r="S6" s="92">
        <v>2030</v>
      </c>
      <c r="T6" s="93">
        <v>2035</v>
      </c>
      <c r="U6" s="93">
        <v>2040</v>
      </c>
      <c r="V6" s="93">
        <v>2045</v>
      </c>
      <c r="W6" s="93">
        <v>2050</v>
      </c>
      <c r="X6" s="3"/>
      <c r="Y6" s="19"/>
      <c r="Z6" s="166" t="s">
        <v>90</v>
      </c>
      <c r="AA6" s="166"/>
      <c r="AB6" s="166"/>
      <c r="AC6" s="38"/>
    </row>
    <row r="7" spans="1:29" ht="15" customHeight="1" x14ac:dyDescent="0.25">
      <c r="A7" s="3"/>
      <c r="B7" s="318" t="s">
        <v>0</v>
      </c>
      <c r="C7" s="5" t="s">
        <v>1</v>
      </c>
      <c r="D7" s="2"/>
      <c r="E7" s="6">
        <f>SUM(E8:E9)</f>
        <v>85.510810725100001</v>
      </c>
      <c r="F7" s="6">
        <f>SUM(F8:F9)</f>
        <v>73.59448528099999</v>
      </c>
      <c r="G7" s="84">
        <f t="shared" ref="G7:R7" si="1">SUM(G8:G9)</f>
        <v>67.589052749000004</v>
      </c>
      <c r="H7" s="6">
        <f t="shared" si="1"/>
        <v>66.189072916000001</v>
      </c>
      <c r="I7" s="85">
        <f t="shared" si="1"/>
        <v>64.394567817999999</v>
      </c>
      <c r="J7" s="84">
        <f t="shared" si="1"/>
        <v>64.236745472999999</v>
      </c>
      <c r="K7" s="6">
        <f t="shared" si="1"/>
        <v>63.648905399</v>
      </c>
      <c r="L7" s="6">
        <f t="shared" si="1"/>
        <v>62.810228072000001</v>
      </c>
      <c r="M7" s="6">
        <f t="shared" si="1"/>
        <v>61.006897755000004</v>
      </c>
      <c r="N7" s="85">
        <f t="shared" si="1"/>
        <v>59.018113837999998</v>
      </c>
      <c r="O7" s="84">
        <f t="shared" si="1"/>
        <v>56.864441859000003</v>
      </c>
      <c r="P7" s="6">
        <f t="shared" si="1"/>
        <v>54.826156860999994</v>
      </c>
      <c r="Q7" s="6">
        <f t="shared" si="1"/>
        <v>52.851892792999998</v>
      </c>
      <c r="R7" s="6">
        <f t="shared" si="1"/>
        <v>50.789269676000004</v>
      </c>
      <c r="S7" s="85">
        <f>SUM(S8:S9)</f>
        <v>48.731936249999997</v>
      </c>
      <c r="T7" s="94">
        <f>SUM(T8:T9)</f>
        <v>38.884211405000002</v>
      </c>
      <c r="U7" s="94">
        <f>SUM(U8:U9)</f>
        <v>30.323988669999999</v>
      </c>
      <c r="V7" s="94">
        <f>SUM(V8:V9)</f>
        <v>23.685713371999988</v>
      </c>
      <c r="W7" s="94">
        <f>SUM(W8:W9)</f>
        <v>19.251037148000002</v>
      </c>
      <c r="X7" s="3"/>
      <c r="Y7" s="75"/>
      <c r="Z7" s="194"/>
      <c r="AA7" s="195">
        <v>2020</v>
      </c>
      <c r="AB7" s="195">
        <v>2030</v>
      </c>
      <c r="AC7" s="196">
        <v>2050</v>
      </c>
    </row>
    <row r="8" spans="1:29" x14ac:dyDescent="0.25">
      <c r="A8" s="3"/>
      <c r="B8" s="319"/>
      <c r="C8" s="3" t="s">
        <v>2</v>
      </c>
      <c r="D8" s="15" t="s">
        <v>356</v>
      </c>
      <c r="E8" s="16">
        <f>VLOOKUP($D8,Résultats!$B$2:$AX$476,E$5,FALSE)</f>
        <v>84.843357019999999</v>
      </c>
      <c r="F8" s="16">
        <f>VLOOKUP($D8,Résultats!$B$2:$AX$476,F$5,FALSE)</f>
        <v>70.434398619999996</v>
      </c>
      <c r="G8" s="22">
        <f>VLOOKUP($D8,Résultats!$B$2:$AX$476,G$5,FALSE)</f>
        <v>64.516312839999998</v>
      </c>
      <c r="H8" s="16">
        <f>VLOOKUP($D8,Résultats!$B$2:$AX$476,H$5,FALSE)</f>
        <v>63.117137509999999</v>
      </c>
      <c r="I8" s="86">
        <f>VLOOKUP($D8,Résultats!$B$2:$AX$476,I$5,FALSE)</f>
        <v>61.340678310000001</v>
      </c>
      <c r="J8" s="22">
        <f>VLOOKUP($D8,Résultats!$B$2:$AX$476,J$5,FALSE)</f>
        <v>61.0412751</v>
      </c>
      <c r="K8" s="16">
        <f>VLOOKUP($D8,Résultats!$B$2:$AX$476,K$5,FALSE)</f>
        <v>60.341106500000002</v>
      </c>
      <c r="L8" s="16">
        <f>VLOOKUP($D8,Résultats!$B$2:$AX$476,L$5,FALSE)</f>
        <v>59.41204879</v>
      </c>
      <c r="M8" s="16">
        <f>VLOOKUP($D8,Résultats!$B$2:$AX$476,M$5,FALSE)</f>
        <v>57.356290860000001</v>
      </c>
      <c r="N8" s="86">
        <f>VLOOKUP($D8,Résultats!$B$2:$AX$476,N$5,FALSE)</f>
        <v>55.12773601</v>
      </c>
      <c r="O8" s="22">
        <f>VLOOKUP($D8,Résultats!$B$2:$AX$476,O$5,FALSE)</f>
        <v>52.959099190000003</v>
      </c>
      <c r="P8" s="16">
        <f>VLOOKUP($D8,Résultats!$B$2:$AX$476,P$5,FALSE)</f>
        <v>50.895746699999997</v>
      </c>
      <c r="Q8" s="16">
        <f>VLOOKUP($D8,Résultats!$B$2:$AX$476,Q$5,FALSE)</f>
        <v>48.888762389999997</v>
      </c>
      <c r="R8" s="16">
        <f>VLOOKUP($D8,Résultats!$B$2:$AX$476,R$5,FALSE)</f>
        <v>46.800443950000002</v>
      </c>
      <c r="S8" s="86">
        <f>VLOOKUP($D8,Résultats!$B$2:$AX$476,S$5,FALSE)</f>
        <v>44.713464029999997</v>
      </c>
      <c r="T8" s="95">
        <f>VLOOKUP($D8,Résultats!$B$2:$AX$476,T$5,FALSE)</f>
        <v>31.53527755</v>
      </c>
      <c r="U8" s="95">
        <f>VLOOKUP($D8,Résultats!$B$2:$AX$476,U$5,FALSE)</f>
        <v>18.214441369999999</v>
      </c>
      <c r="V8" s="95">
        <f>VLOOKUP($D8,Résultats!$B$2:$AX$476,V$5,FALSE)</f>
        <v>9.7960041419999904</v>
      </c>
      <c r="W8" s="95">
        <f>VLOOKUP($D8,Résultats!$B$2:$AX$476,W$5,FALSE)</f>
        <v>6.7997367779999998</v>
      </c>
      <c r="X8" s="45">
        <f>W8-'[1]Cibles THREEME'!$H4</f>
        <v>-3.6008704531914955</v>
      </c>
      <c r="Y8" s="75"/>
      <c r="Z8" s="198" t="s">
        <v>68</v>
      </c>
      <c r="AA8" s="199">
        <f>I27</f>
        <v>236.9242264001</v>
      </c>
      <c r="AB8" s="199">
        <f>S27</f>
        <v>219.82289087399997</v>
      </c>
      <c r="AC8" s="89">
        <f>W27</f>
        <v>136.99657109662002</v>
      </c>
    </row>
    <row r="9" spans="1:29" x14ac:dyDescent="0.25">
      <c r="A9" s="3"/>
      <c r="B9" s="320"/>
      <c r="C9" s="7" t="s">
        <v>3</v>
      </c>
      <c r="D9" s="15" t="s">
        <v>357</v>
      </c>
      <c r="E9" s="16">
        <f>VLOOKUP($D9,Résultats!$B$2:$AX$476,E$5,FALSE)</f>
        <v>0.66745370510000002</v>
      </c>
      <c r="F9" s="16">
        <f>VLOOKUP($D9,Résultats!$B$2:$AX$476,F$5,FALSE)</f>
        <v>3.1600866609999998</v>
      </c>
      <c r="G9" s="22">
        <f>VLOOKUP($D9,Résultats!$B$2:$AX$476,G$5,FALSE)</f>
        <v>3.072739909</v>
      </c>
      <c r="H9" s="16">
        <f>VLOOKUP($D9,Résultats!$B$2:$AX$476,H$5,FALSE)</f>
        <v>3.0719354060000001</v>
      </c>
      <c r="I9" s="86">
        <f>VLOOKUP($D9,Résultats!$B$2:$AX$476,I$5,FALSE)</f>
        <v>3.0538895080000001</v>
      </c>
      <c r="J9" s="22">
        <f>VLOOKUP($D9,Résultats!$B$2:$AX$476,J$5,FALSE)</f>
        <v>3.195470373</v>
      </c>
      <c r="K9" s="16">
        <f>VLOOKUP($D9,Résultats!$B$2:$AX$476,K$5,FALSE)</f>
        <v>3.3077988989999998</v>
      </c>
      <c r="L9" s="16">
        <f>VLOOKUP($D9,Résultats!$B$2:$AX$476,L$5,FALSE)</f>
        <v>3.3981792820000001</v>
      </c>
      <c r="M9" s="16">
        <f>VLOOKUP($D9,Résultats!$B$2:$AX$476,M$5,FALSE)</f>
        <v>3.6506068950000001</v>
      </c>
      <c r="N9" s="86">
        <f>VLOOKUP($D9,Résultats!$B$2:$AX$476,N$5,FALSE)</f>
        <v>3.8903778280000001</v>
      </c>
      <c r="O9" s="22">
        <f>VLOOKUP($D9,Résultats!$B$2:$AX$476,O$5,FALSE)</f>
        <v>3.9053426689999999</v>
      </c>
      <c r="P9" s="16">
        <f>VLOOKUP($D9,Résultats!$B$2:$AX$476,P$5,FALSE)</f>
        <v>3.9304101610000002</v>
      </c>
      <c r="Q9" s="16">
        <f>VLOOKUP($D9,Résultats!$B$2:$AX$476,Q$5,FALSE)</f>
        <v>3.9631304030000001</v>
      </c>
      <c r="R9" s="16">
        <f>VLOOKUP($D9,Résultats!$B$2:$AX$476,R$5,FALSE)</f>
        <v>3.988825726</v>
      </c>
      <c r="S9" s="86">
        <f>VLOOKUP($D9,Résultats!$B$2:$AX$476,S$5,FALSE)</f>
        <v>4.0184722199999996</v>
      </c>
      <c r="T9" s="95">
        <f>VLOOKUP($D9,Résultats!$B$2:$AX$476,T$5,FALSE)</f>
        <v>7.3489338550000003</v>
      </c>
      <c r="U9" s="95">
        <f>VLOOKUP($D9,Résultats!$B$2:$AX$476,U$5,FALSE)</f>
        <v>12.109547299999999</v>
      </c>
      <c r="V9" s="95">
        <f>VLOOKUP($D9,Résultats!$B$2:$AX$476,V$5,FALSE)</f>
        <v>13.889709229999999</v>
      </c>
      <c r="W9" s="95">
        <f>VLOOKUP($D9,Résultats!$B$2:$AX$476,W$5,FALSE)</f>
        <v>12.45130037</v>
      </c>
      <c r="X9" s="45">
        <f>W9-'[1]Cibles THREEME'!$H5</f>
        <v>8.9544591544229171</v>
      </c>
      <c r="Y9" s="75"/>
      <c r="Z9" s="75"/>
      <c r="AA9" s="75"/>
      <c r="AB9" s="75"/>
      <c r="AC9" s="75"/>
    </row>
    <row r="10" spans="1:29" ht="15" customHeight="1" x14ac:dyDescent="0.25">
      <c r="A10" s="3"/>
      <c r="B10" s="318" t="s">
        <v>4</v>
      </c>
      <c r="C10" s="5" t="s">
        <v>1</v>
      </c>
      <c r="D10" s="2"/>
      <c r="E10" s="8">
        <f>SUM(E11:E18)</f>
        <v>135.21120486200002</v>
      </c>
      <c r="F10" s="8">
        <f>SUM(F11:F18)</f>
        <v>148.13138393279999</v>
      </c>
      <c r="G10" s="21">
        <f t="shared" ref="G10:R10" si="2">SUM(G11:G18)</f>
        <v>137.0593913562</v>
      </c>
      <c r="H10" s="8">
        <f t="shared" si="2"/>
        <v>132.63713307349997</v>
      </c>
      <c r="I10" s="87">
        <f t="shared" si="2"/>
        <v>128.24952882010001</v>
      </c>
      <c r="J10" s="21">
        <f t="shared" si="2"/>
        <v>126.90685485740002</v>
      </c>
      <c r="K10" s="8">
        <f t="shared" si="2"/>
        <v>125.4569579763</v>
      </c>
      <c r="L10" s="8">
        <f t="shared" si="2"/>
        <v>122.88169363599998</v>
      </c>
      <c r="M10" s="8">
        <f t="shared" si="2"/>
        <v>132.9517346936</v>
      </c>
      <c r="N10" s="87">
        <f t="shared" si="2"/>
        <v>141.00003905019997</v>
      </c>
      <c r="O10" s="21">
        <f t="shared" si="2"/>
        <v>139.30541827490001</v>
      </c>
      <c r="P10" s="8">
        <f t="shared" si="2"/>
        <v>137.40930875340001</v>
      </c>
      <c r="Q10" s="8">
        <f t="shared" si="2"/>
        <v>135.48315956339999</v>
      </c>
      <c r="R10" s="8">
        <f t="shared" si="2"/>
        <v>134.4238838688</v>
      </c>
      <c r="S10" s="87">
        <f>SUM(S11:S18)</f>
        <v>133.55846766459999</v>
      </c>
      <c r="T10" s="96">
        <f>SUM(T11:T18)</f>
        <v>113.55587208451999</v>
      </c>
      <c r="U10" s="96">
        <f>SUM(U11:U18)</f>
        <v>112.50910245492001</v>
      </c>
      <c r="V10" s="96">
        <f>SUM(V11:V18)</f>
        <v>98.740432918420012</v>
      </c>
      <c r="W10" s="96">
        <f>SUM(W11:W18)</f>
        <v>86.002515365220006</v>
      </c>
      <c r="X10" s="45"/>
      <c r="Y10" s="75"/>
      <c r="Z10" s="75"/>
      <c r="AA10" s="75"/>
      <c r="AB10" s="75"/>
      <c r="AC10" s="75"/>
    </row>
    <row r="11" spans="1:29" x14ac:dyDescent="0.25">
      <c r="A11" s="3"/>
      <c r="B11" s="319"/>
      <c r="C11" s="3" t="s">
        <v>5</v>
      </c>
      <c r="D11" s="3" t="s">
        <v>358</v>
      </c>
      <c r="E11" s="16">
        <f>VLOOKUP($D11,Résultats!$B$2:$AX$476,E$5,FALSE)</f>
        <v>118.4723395</v>
      </c>
      <c r="F11" s="16">
        <f>VLOOKUP($D11,Résultats!$B$2:$AX$476,F$5,FALSE)</f>
        <v>128.5801055</v>
      </c>
      <c r="G11" s="22">
        <f>VLOOKUP($D11,Résultats!$B$2:$AX$476,G$5,FALSE)</f>
        <v>116.8125196</v>
      </c>
      <c r="H11" s="16">
        <f>VLOOKUP($D11,Résultats!$B$2:$AX$476,H$5,FALSE)</f>
        <v>112.2347765</v>
      </c>
      <c r="I11" s="86">
        <f>VLOOKUP($D11,Résultats!$B$2:$AX$476,I$5,FALSE)</f>
        <v>107.6756245</v>
      </c>
      <c r="J11" s="22">
        <f>VLOOKUP($D11,Résultats!$B$2:$AX$476,J$5,FALSE)</f>
        <v>105.9761366</v>
      </c>
      <c r="K11" s="16">
        <f>VLOOKUP($D11,Résultats!$B$2:$AX$476,K$5,FALSE)</f>
        <v>104.1886612</v>
      </c>
      <c r="L11" s="16">
        <f>VLOOKUP($D11,Résultats!$B$2:$AX$476,L$5,FALSE)</f>
        <v>101.4739191</v>
      </c>
      <c r="M11" s="16">
        <f>VLOOKUP($D11,Résultats!$B$2:$AX$476,M$5,FALSE)</f>
        <v>110.2545123</v>
      </c>
      <c r="N11" s="86">
        <f>VLOOKUP($D11,Résultats!$B$2:$AX$476,N$5,FALSE)</f>
        <v>117.2413961</v>
      </c>
      <c r="O11" s="22">
        <f>VLOOKUP($D11,Résultats!$B$2:$AX$476,O$5,FALSE)</f>
        <v>115.34733799999999</v>
      </c>
      <c r="P11" s="16">
        <f>VLOOKUP($D11,Résultats!$B$2:$AX$476,P$5,FALSE)</f>
        <v>113.3103655</v>
      </c>
      <c r="Q11" s="16">
        <f>VLOOKUP($D11,Résultats!$B$2:$AX$476,Q$5,FALSE)</f>
        <v>111.272734</v>
      </c>
      <c r="R11" s="16">
        <f>VLOOKUP($D11,Résultats!$B$2:$AX$476,R$5,FALSE)</f>
        <v>109.9261896</v>
      </c>
      <c r="S11" s="86">
        <f>VLOOKUP($D11,Résultats!$B$2:$AX$476,S$5,FALSE)</f>
        <v>108.7420415</v>
      </c>
      <c r="T11" s="95">
        <f>VLOOKUP($D11,Résultats!$B$2:$AX$476,T$5,FALSE)</f>
        <v>88.080872139999997</v>
      </c>
      <c r="U11" s="95">
        <f>VLOOKUP($D11,Résultats!$B$2:$AX$476,U$5,FALSE)</f>
        <v>86.171605970000002</v>
      </c>
      <c r="V11" s="95">
        <f>VLOOKUP($D11,Résultats!$B$2:$AX$476,V$5,FALSE)</f>
        <v>68.09476153</v>
      </c>
      <c r="W11" s="95">
        <f>VLOOKUP($D11,Résultats!$B$2:$AX$476,W$5,FALSE)</f>
        <v>51.576912280000002</v>
      </c>
      <c r="X11" s="45">
        <f>W11-'[1]Cibles THREEME'!$H10</f>
        <v>48.919208848435865</v>
      </c>
      <c r="Y11" s="75"/>
      <c r="Z11" s="75"/>
      <c r="AA11" s="75"/>
      <c r="AB11" s="75"/>
      <c r="AC11" s="75"/>
    </row>
    <row r="12" spans="1:29" x14ac:dyDescent="0.25">
      <c r="A12" s="3"/>
      <c r="B12" s="319"/>
      <c r="C12" s="3" t="s">
        <v>6</v>
      </c>
      <c r="D12" s="3" t="s">
        <v>359</v>
      </c>
      <c r="E12" s="16">
        <f>VLOOKUP($D12,Résultats!$B$2:$AX$476,E$5,FALSE)</f>
        <v>1.321034456</v>
      </c>
      <c r="F12" s="16">
        <f>VLOOKUP($D12,Résultats!$B$2:$AX$476,F$5,FALSE)</f>
        <v>0.78091528880000005</v>
      </c>
      <c r="G12" s="22">
        <f>VLOOKUP($D12,Résultats!$B$2:$AX$476,G$5,FALSE)</f>
        <v>0.52104596520000002</v>
      </c>
      <c r="H12" s="16">
        <f>VLOOKUP($D12,Résultats!$B$2:$AX$476,H$5,FALSE)</f>
        <v>0.43108283250000001</v>
      </c>
      <c r="I12" s="86">
        <f>VLOOKUP($D12,Résultats!$B$2:$AX$476,I$5,FALSE)</f>
        <v>0.34144338880000003</v>
      </c>
      <c r="J12" s="22">
        <f>VLOOKUP($D12,Résultats!$B$2:$AX$476,J$5,FALSE)</f>
        <v>0.44586965849999999</v>
      </c>
      <c r="K12" s="16">
        <f>VLOOKUP($D12,Résultats!$B$2:$AX$476,K$5,FALSE)</f>
        <v>0.5493950111</v>
      </c>
      <c r="L12" s="16">
        <f>VLOOKUP($D12,Résultats!$B$2:$AX$476,L$5,FALSE)</f>
        <v>0.64638445529999999</v>
      </c>
      <c r="M12" s="16">
        <f>VLOOKUP($D12,Résultats!$B$2:$AX$476,M$5,FALSE)</f>
        <v>0.3873749756</v>
      </c>
      <c r="N12" s="86">
        <f>VLOOKUP($D12,Résultats!$B$2:$AX$476,N$5,FALSE)</f>
        <v>0.1849061521</v>
      </c>
      <c r="O12" s="22">
        <f>VLOOKUP($D12,Résultats!$B$2:$AX$476,O$5,FALSE)</f>
        <v>0.17137394240000001</v>
      </c>
      <c r="P12" s="16">
        <f>VLOOKUP($D12,Résultats!$B$2:$AX$476,P$5,FALSE)</f>
        <v>0.13979880850000001</v>
      </c>
      <c r="Q12" s="16">
        <f>VLOOKUP($D12,Résultats!$B$2:$AX$476,Q$5,FALSE)</f>
        <v>9.1179901699999996E-2</v>
      </c>
      <c r="R12" s="16">
        <f>VLOOKUP($D12,Résultats!$B$2:$AX$476,R$5,FALSE)</f>
        <v>8.1636596300000003E-2</v>
      </c>
      <c r="S12" s="86">
        <f>VLOOKUP($D12,Résultats!$B$2:$AX$476,S$5,FALSE)</f>
        <v>7.2232481900000006E-2</v>
      </c>
      <c r="T12" s="95">
        <f>VLOOKUP($D12,Résultats!$B$2:$AX$476,T$5,FALSE)</f>
        <v>6.07757217E-2</v>
      </c>
      <c r="U12" s="95">
        <f>VLOOKUP($D12,Résultats!$B$2:$AX$476,U$5,FALSE)</f>
        <v>1.2690899199999999E-2</v>
      </c>
      <c r="V12" s="95">
        <f>VLOOKUP($D12,Résultats!$B$2:$AX$476,V$5,FALSE)</f>
        <v>7.5914064100000003E-3</v>
      </c>
      <c r="W12" s="95">
        <f>VLOOKUP($D12,Résultats!$B$2:$AX$476,W$5,FALSE)</f>
        <v>7.3501565600000004E-3</v>
      </c>
      <c r="X12" s="45">
        <f>W12-'[1]Cibles THREEME'!$H11</f>
        <v>7.3501565600000004E-3</v>
      </c>
      <c r="Y12" s="75"/>
      <c r="Z12" s="200"/>
      <c r="AA12" s="188"/>
      <c r="AB12" s="188"/>
      <c r="AC12" s="188"/>
    </row>
    <row r="13" spans="1:29" x14ac:dyDescent="0.25">
      <c r="A13" s="3"/>
      <c r="B13" s="319"/>
      <c r="C13" s="3" t="s">
        <v>7</v>
      </c>
      <c r="D13" s="3" t="s">
        <v>360</v>
      </c>
      <c r="E13" s="16">
        <f>VLOOKUP($D13,Résultats!$B$2:$AX$476,E$5,FALSE)</f>
        <v>3.5861711399999998</v>
      </c>
      <c r="F13" s="16">
        <f>VLOOKUP($D13,Résultats!$B$2:$AX$476,F$5,FALSE)</f>
        <v>4.2457908739999999</v>
      </c>
      <c r="G13" s="22">
        <f>VLOOKUP($D13,Résultats!$B$2:$AX$476,G$5,FALSE)</f>
        <v>5.320367611</v>
      </c>
      <c r="H13" s="16">
        <f>VLOOKUP($D13,Résultats!$B$2:$AX$476,H$5,FALSE)</f>
        <v>5.6577920879999999</v>
      </c>
      <c r="I13" s="86">
        <f>VLOOKUP($D13,Résultats!$B$2:$AX$476,I$5,FALSE)</f>
        <v>5.997142288</v>
      </c>
      <c r="J13" s="22">
        <f>VLOOKUP($D13,Résultats!$B$2:$AX$476,J$5,FALSE)</f>
        <v>5.7174815069999996</v>
      </c>
      <c r="K13" s="16">
        <f>VLOOKUP($D13,Résultats!$B$2:$AX$476,K$5,FALSE)</f>
        <v>5.4320456070000001</v>
      </c>
      <c r="L13" s="16">
        <f>VLOOKUP($D13,Résultats!$B$2:$AX$476,L$5,FALSE)</f>
        <v>5.0991621279999997</v>
      </c>
      <c r="M13" s="16">
        <f>VLOOKUP($D13,Résultats!$B$2:$AX$476,M$5,FALSE)</f>
        <v>5.8217581379999999</v>
      </c>
      <c r="N13" s="86">
        <f>VLOOKUP($D13,Résultats!$B$2:$AX$476,N$5,FALSE)</f>
        <v>6.4488842210000001</v>
      </c>
      <c r="O13" s="22">
        <f>VLOOKUP($D13,Résultats!$B$2:$AX$476,O$5,FALSE)</f>
        <v>6.187985802</v>
      </c>
      <c r="P13" s="16">
        <f>VLOOKUP($D13,Résultats!$B$2:$AX$476,P$5,FALSE)</f>
        <v>5.9243361319999996</v>
      </c>
      <c r="Q13" s="16">
        <f>VLOOKUP($D13,Résultats!$B$2:$AX$476,Q$5,FALSE)</f>
        <v>5.6657828659999998</v>
      </c>
      <c r="R13" s="16">
        <f>VLOOKUP($D13,Résultats!$B$2:$AX$476,R$5,FALSE)</f>
        <v>5.4513979529999999</v>
      </c>
      <c r="S13" s="86">
        <f>VLOOKUP($D13,Résultats!$B$2:$AX$476,S$5,FALSE)</f>
        <v>5.247918511</v>
      </c>
      <c r="T13" s="95">
        <f>VLOOKUP($D13,Résultats!$B$2:$AX$476,T$5,FALSE)</f>
        <v>3.3230886129999999</v>
      </c>
      <c r="U13" s="95">
        <f>VLOOKUP($D13,Résultats!$B$2:$AX$476,U$5,FALSE)</f>
        <v>0.37066519599999997</v>
      </c>
      <c r="V13" s="95">
        <f>VLOOKUP($D13,Résultats!$B$2:$AX$476,V$5,FALSE)</f>
        <v>0.45994520459999999</v>
      </c>
      <c r="W13" s="95">
        <f>VLOOKUP($D13,Résultats!$B$2:$AX$476,W$5,FALSE)</f>
        <v>0.52381623310000003</v>
      </c>
      <c r="X13" s="45">
        <f>W13-'[1]Cibles THREEME'!$H12</f>
        <v>-1.7691043745239605</v>
      </c>
      <c r="Y13" s="75"/>
    </row>
    <row r="14" spans="1:29" x14ac:dyDescent="0.25">
      <c r="A14" s="3"/>
      <c r="B14" s="319"/>
      <c r="C14" s="3" t="s">
        <v>8</v>
      </c>
      <c r="D14" s="3" t="s">
        <v>361</v>
      </c>
      <c r="E14" s="16">
        <f>VLOOKUP($D14,Résultats!$B$2:$AX$476,E$5,FALSE)</f>
        <v>5.2639693569999997</v>
      </c>
      <c r="F14" s="16">
        <f>VLOOKUP($D14,Résultats!$B$2:$AX$476,F$5,FALSE)</f>
        <v>3.3855395970000002</v>
      </c>
      <c r="G14" s="22">
        <f>VLOOKUP($D14,Résultats!$B$2:$AX$476,G$5,FALSE)</f>
        <v>1.93144692</v>
      </c>
      <c r="H14" s="16">
        <f>VLOOKUP($D14,Résultats!$B$2:$AX$476,H$5,FALSE)</f>
        <v>1.4349571169999999</v>
      </c>
      <c r="I14" s="86">
        <f>VLOOKUP($D14,Résultats!$B$2:$AX$476,I$5,FALSE)</f>
        <v>0.94103403129999996</v>
      </c>
      <c r="J14" s="22">
        <f>VLOOKUP($D14,Résultats!$B$2:$AX$476,J$5,FALSE)</f>
        <v>0.89728604190000005</v>
      </c>
      <c r="K14" s="16">
        <f>VLOOKUP($D14,Résultats!$B$2:$AX$476,K$5,FALSE)</f>
        <v>0.85255925720000003</v>
      </c>
      <c r="L14" s="16">
        <f>VLOOKUP($D14,Résultats!$B$2:$AX$476,L$5,FALSE)</f>
        <v>0.80031339369999999</v>
      </c>
      <c r="M14" s="16">
        <f>VLOOKUP($D14,Résultats!$B$2:$AX$476,M$5,FALSE)</f>
        <v>0.331240062</v>
      </c>
      <c r="N14" s="86">
        <f>VLOOKUP($D14,Résultats!$B$2:$AX$476,N$5,FALSE)</f>
        <v>6.1961922099999997E-2</v>
      </c>
      <c r="O14" s="22">
        <f>VLOOKUP($D14,Résultats!$B$2:$AX$476,O$5,FALSE)</f>
        <v>4.7596083499999997E-2</v>
      </c>
      <c r="P14" s="16">
        <f>VLOOKUP($D14,Résultats!$B$2:$AX$476,P$5,FALSE)</f>
        <v>3.3525392899999999E-2</v>
      </c>
      <c r="Q14" s="16">
        <f>VLOOKUP($D14,Résultats!$B$2:$AX$476,Q$5,FALSE)</f>
        <v>1.9829753700000001E-2</v>
      </c>
      <c r="R14" s="16">
        <f>VLOOKUP($D14,Résultats!$B$2:$AX$476,R$5,FALSE)</f>
        <v>1.96691965E-2</v>
      </c>
      <c r="S14" s="86">
        <f>VLOOKUP($D14,Résultats!$B$2:$AX$476,S$5,FALSE)</f>
        <v>1.95363827E-2</v>
      </c>
      <c r="T14" s="95">
        <f>VLOOKUP($D14,Résultats!$B$2:$AX$476,T$5,FALSE)</f>
        <v>8.2406908200000004E-3</v>
      </c>
      <c r="U14" s="95">
        <f>VLOOKUP($D14,Résultats!$B$2:$AX$476,U$5,FALSE)</f>
        <v>7.9383667199999994E-3</v>
      </c>
      <c r="V14" s="95">
        <f>VLOOKUP($D14,Résultats!$B$2:$AX$476,V$5,FALSE)</f>
        <v>7.5914064100000003E-3</v>
      </c>
      <c r="W14" s="95">
        <f>VLOOKUP($D14,Résultats!$B$2:$AX$476,W$5,FALSE)</f>
        <v>7.3501565600000004E-3</v>
      </c>
      <c r="X14" s="45">
        <f>W14-'[1]Cibles THREEME'!$H13</f>
        <v>7.3501565600000004E-3</v>
      </c>
      <c r="Y14" s="75"/>
    </row>
    <row r="15" spans="1:29" x14ac:dyDescent="0.25">
      <c r="A15" s="3"/>
      <c r="B15" s="319"/>
      <c r="C15" s="3" t="s">
        <v>9</v>
      </c>
      <c r="D15" s="3" t="s">
        <v>362</v>
      </c>
      <c r="E15" s="16">
        <f>VLOOKUP($D15,Résultats!$B$2:$AX$476,E$5,FALSE)</f>
        <v>0.36837955350000001</v>
      </c>
      <c r="F15" s="16">
        <f>VLOOKUP($D15,Résultats!$B$2:$AX$476,F$5,FALSE)</f>
        <v>2.5924139620000002</v>
      </c>
      <c r="G15" s="22">
        <f>VLOOKUP($D15,Résultats!$B$2:$AX$476,G$5,FALSE)</f>
        <v>3.3456457730000002</v>
      </c>
      <c r="H15" s="16">
        <f>VLOOKUP($D15,Résultats!$B$2:$AX$476,H$5,FALSE)</f>
        <v>3.587289084</v>
      </c>
      <c r="I15" s="86">
        <f>VLOOKUP($D15,Résultats!$B$2:$AX$476,I$5,FALSE)</f>
        <v>3.8318073789999998</v>
      </c>
      <c r="J15" s="22">
        <f>VLOOKUP($D15,Résultats!$B$2:$AX$476,J$5,FALSE)</f>
        <v>4.0073647350000003</v>
      </c>
      <c r="K15" s="16">
        <f>VLOOKUP($D15,Résultats!$B$2:$AX$476,K$5,FALSE)</f>
        <v>4.1792278859999996</v>
      </c>
      <c r="L15" s="16">
        <f>VLOOKUP($D15,Résultats!$B$2:$AX$476,L$5,FALSE)</f>
        <v>4.311113068</v>
      </c>
      <c r="M15" s="16">
        <f>VLOOKUP($D15,Résultats!$B$2:$AX$476,M$5,FALSE)</f>
        <v>4.7310041079999996</v>
      </c>
      <c r="N15" s="86">
        <f>VLOOKUP($D15,Résultats!$B$2:$AX$476,N$5,FALSE)</f>
        <v>5.068057971</v>
      </c>
      <c r="O15" s="22">
        <f>VLOOKUP($D15,Résultats!$B$2:$AX$476,O$5,FALSE)</f>
        <v>5.3594964669999996</v>
      </c>
      <c r="P15" s="16">
        <f>VLOOKUP($D15,Résultats!$B$2:$AX$476,P$5,FALSE)</f>
        <v>5.6348875219999996</v>
      </c>
      <c r="Q15" s="16">
        <f>VLOOKUP($D15,Résultats!$B$2:$AX$476,Q$5,FALSE)</f>
        <v>5.9002279770000001</v>
      </c>
      <c r="R15" s="16">
        <f>VLOOKUP($D15,Résultats!$B$2:$AX$476,R$5,FALSE)</f>
        <v>6.1825737309999997</v>
      </c>
      <c r="S15" s="86">
        <f>VLOOKUP($D15,Résultats!$B$2:$AX$476,S$5,FALSE)</f>
        <v>6.469218916</v>
      </c>
      <c r="T15" s="95">
        <f>VLOOKUP($D15,Résultats!$B$2:$AX$476,T$5,FALSE)</f>
        <v>8.861503914</v>
      </c>
      <c r="U15" s="95">
        <f>VLOOKUP($D15,Résultats!$B$2:$AX$476,U$5,FALSE)</f>
        <v>11.764626890000001</v>
      </c>
      <c r="V15" s="95">
        <f>VLOOKUP($D15,Résultats!$B$2:$AX$476,V$5,FALSE)</f>
        <v>14.80800573</v>
      </c>
      <c r="W15" s="95">
        <f>VLOOKUP($D15,Résultats!$B$2:$AX$476,W$5,FALSE)</f>
        <v>17.800091120000001</v>
      </c>
      <c r="X15" s="45">
        <f>W15-'[1]Cibles THREEME'!$H14</f>
        <v>2.7090260154775336E-2</v>
      </c>
      <c r="Y15" s="75"/>
    </row>
    <row r="16" spans="1:29" x14ac:dyDescent="0.25">
      <c r="A16" s="3"/>
      <c r="B16" s="319"/>
      <c r="C16" s="3" t="s">
        <v>10</v>
      </c>
      <c r="D16" s="3" t="s">
        <v>363</v>
      </c>
      <c r="E16" s="16">
        <f>VLOOKUP($D16,Résultats!$B$2:$AX$476,E$5,FALSE)</f>
        <v>8.2885399499999998E-2</v>
      </c>
      <c r="F16" s="16">
        <f>VLOOKUP($D16,Résultats!$B$2:$AX$476,F$5,FALSE)</f>
        <v>1.1424901270000001</v>
      </c>
      <c r="G16" s="22">
        <f>VLOOKUP($D16,Résultats!$B$2:$AX$476,G$5,FALSE)</f>
        <v>1.4744432489999999</v>
      </c>
      <c r="H16" s="16">
        <f>VLOOKUP($D16,Résultats!$B$2:$AX$476,H$5,FALSE)</f>
        <v>1.580936696</v>
      </c>
      <c r="I16" s="86">
        <f>VLOOKUP($D16,Résultats!$B$2:$AX$476,I$5,FALSE)</f>
        <v>1.688697162</v>
      </c>
      <c r="J16" s="22">
        <f>VLOOKUP($D16,Résultats!$B$2:$AX$476,J$5,FALSE)</f>
        <v>1.7417935440000001</v>
      </c>
      <c r="K16" s="16">
        <f>VLOOKUP($D16,Résultats!$B$2:$AX$476,K$5,FALSE)</f>
        <v>1.793325005</v>
      </c>
      <c r="L16" s="16">
        <f>VLOOKUP($D16,Résultats!$B$2:$AX$476,L$5,FALSE)</f>
        <v>1.8279607870000001</v>
      </c>
      <c r="M16" s="16">
        <f>VLOOKUP($D16,Résultats!$B$2:$AX$476,M$5,FALSE)</f>
        <v>2.166043417</v>
      </c>
      <c r="N16" s="86">
        <f>VLOOKUP($D16,Résultats!$B$2:$AX$476,N$5,FALSE)</f>
        <v>2.467841591</v>
      </c>
      <c r="O16" s="22">
        <f>VLOOKUP($D16,Résultats!$B$2:$AX$476,O$5,FALSE)</f>
        <v>2.8885904</v>
      </c>
      <c r="P16" s="16">
        <f>VLOOKUP($D16,Résultats!$B$2:$AX$476,P$5,FALSE)</f>
        <v>3.29419504</v>
      </c>
      <c r="Q16" s="16">
        <f>VLOOKUP($D16,Résultats!$B$2:$AX$476,Q$5,FALSE)</f>
        <v>3.6874599219999999</v>
      </c>
      <c r="R16" s="16">
        <f>VLOOKUP($D16,Résultats!$B$2:$AX$476,R$5,FALSE)</f>
        <v>4.0810820080000001</v>
      </c>
      <c r="S16" s="86">
        <f>VLOOKUP($D16,Résultats!$B$2:$AX$476,S$5,FALSE)</f>
        <v>4.4747936800000003</v>
      </c>
      <c r="T16" s="95">
        <f>VLOOKUP($D16,Résultats!$B$2:$AX$476,T$5,FALSE)</f>
        <v>5.71757647</v>
      </c>
      <c r="U16" s="95">
        <f>VLOOKUP($D16,Résultats!$B$2:$AX$476,U$5,FALSE)</f>
        <v>6.9184866190000003</v>
      </c>
      <c r="V16" s="95">
        <f>VLOOKUP($D16,Résultats!$B$2:$AX$476,V$5,FALSE)</f>
        <v>8.2664751750000001</v>
      </c>
      <c r="W16" s="95">
        <f>VLOOKUP($D16,Résultats!$B$2:$AX$476,W$5,FALSE)</f>
        <v>9.2561883970000007</v>
      </c>
      <c r="X16" s="45">
        <f>W16-'[1]Cibles THREEME'!$H17</f>
        <v>-1.2339233828796203</v>
      </c>
      <c r="Y16" s="75"/>
    </row>
    <row r="17" spans="1:39" x14ac:dyDescent="0.25">
      <c r="A17" s="3"/>
      <c r="B17" s="319"/>
      <c r="C17" s="3" t="s">
        <v>11</v>
      </c>
      <c r="D17" s="3" t="s">
        <v>364</v>
      </c>
      <c r="E17" s="16">
        <f>VLOOKUP($D17,Résultats!$B$2:$AX$476,E$5,FALSE)</f>
        <v>4.6467055889999997</v>
      </c>
      <c r="F17" s="16">
        <f>VLOOKUP($D17,Résultats!$B$2:$AX$476,F$5,FALSE)</f>
        <v>3.3821242819999999</v>
      </c>
      <c r="G17" s="22">
        <f>VLOOKUP($D17,Résultats!$B$2:$AX$476,G$5,FALSE)</f>
        <v>4.382249163</v>
      </c>
      <c r="H17" s="16">
        <f>VLOOKUP($D17,Résultats!$B$2:$AX$476,H$5,FALSE)</f>
        <v>4.704963223</v>
      </c>
      <c r="I17" s="86">
        <f>VLOOKUP($D17,Résultats!$B$2:$AX$476,I$5,FALSE)</f>
        <v>5.032271004</v>
      </c>
      <c r="J17" s="22">
        <f>VLOOKUP($D17,Résultats!$B$2:$AX$476,J$5,FALSE)</f>
        <v>5.2413564050000003</v>
      </c>
      <c r="K17" s="16">
        <f>VLOOKUP($D17,Résultats!$B$2:$AX$476,K$5,FALSE)</f>
        <v>5.445905067</v>
      </c>
      <c r="L17" s="16">
        <f>VLOOKUP($D17,Résultats!$B$2:$AX$476,L$5,FALSE)</f>
        <v>5.5988410399999999</v>
      </c>
      <c r="M17" s="16">
        <f>VLOOKUP($D17,Résultats!$B$2:$AX$476,M$5,FALSE)</f>
        <v>5.7904701080000001</v>
      </c>
      <c r="N17" s="86">
        <f>VLOOKUP($D17,Résultats!$B$2:$AX$476,N$5,FALSE)</f>
        <v>5.8778071660000002</v>
      </c>
      <c r="O17" s="22">
        <f>VLOOKUP($D17,Résultats!$B$2:$AX$476,O$5,FALSE)</f>
        <v>5.8398360949999999</v>
      </c>
      <c r="P17" s="16">
        <f>VLOOKUP($D17,Résultats!$B$2:$AX$476,P$5,FALSE)</f>
        <v>5.7931661849999996</v>
      </c>
      <c r="Q17" s="16">
        <f>VLOOKUP($D17,Résultats!$B$2:$AX$476,Q$5,FALSE)</f>
        <v>5.7449071869999999</v>
      </c>
      <c r="R17" s="16">
        <f>VLOOKUP($D17,Résultats!$B$2:$AX$476,R$5,FALSE)</f>
        <v>5.7266249260000004</v>
      </c>
      <c r="S17" s="86">
        <f>VLOOKUP($D17,Résultats!$B$2:$AX$476,S$5,FALSE)</f>
        <v>5.7160272440000002</v>
      </c>
      <c r="T17" s="95">
        <f>VLOOKUP($D17,Résultats!$B$2:$AX$476,T$5,FALSE)</f>
        <v>5.0743257010000002</v>
      </c>
      <c r="U17" s="95">
        <f>VLOOKUP($D17,Résultats!$B$2:$AX$476,U$5,FALSE)</f>
        <v>4.758640787</v>
      </c>
      <c r="V17" s="95">
        <f>VLOOKUP($D17,Résultats!$B$2:$AX$476,V$5,FALSE)</f>
        <v>4.6901866710000002</v>
      </c>
      <c r="W17" s="95">
        <f>VLOOKUP($D17,Résultats!$B$2:$AX$476,W$5,FALSE)</f>
        <v>4.5114170939999996</v>
      </c>
      <c r="X17" s="45">
        <f>W17-'[1]Cibles THREEME'!$H18</f>
        <v>-0.94860010290455676</v>
      </c>
      <c r="Y17" s="75"/>
    </row>
    <row r="18" spans="1:39" x14ac:dyDescent="0.25">
      <c r="A18" s="3"/>
      <c r="B18" s="320"/>
      <c r="C18" s="7" t="s">
        <v>12</v>
      </c>
      <c r="D18" s="3" t="s">
        <v>365</v>
      </c>
      <c r="E18" s="17">
        <f>VLOOKUP($D18,Résultats!$B$2:$AX$476,E$5,FALSE)</f>
        <v>1.469719867</v>
      </c>
      <c r="F18" s="17">
        <f>VLOOKUP($D18,Résultats!$B$2:$AX$476,F$5,FALSE)</f>
        <v>4.022004302</v>
      </c>
      <c r="G18" s="88">
        <f>VLOOKUP($D18,Résultats!$B$2:$AX$476,G$5,FALSE)</f>
        <v>3.2716730749999998</v>
      </c>
      <c r="H18" s="17">
        <f>VLOOKUP($D18,Résultats!$B$2:$AX$476,H$5,FALSE)</f>
        <v>3.0053355329999998</v>
      </c>
      <c r="I18" s="89">
        <f>VLOOKUP($D18,Résultats!$B$2:$AX$476,I$5,FALSE)</f>
        <v>2.741509067</v>
      </c>
      <c r="J18" s="88">
        <f>VLOOKUP($D18,Résultats!$B$2:$AX$476,J$5,FALSE)</f>
        <v>2.8795663660000002</v>
      </c>
      <c r="K18" s="17">
        <f>VLOOKUP($D18,Résultats!$B$2:$AX$476,K$5,FALSE)</f>
        <v>3.0158389429999999</v>
      </c>
      <c r="L18" s="17">
        <f>VLOOKUP($D18,Résultats!$B$2:$AX$476,L$5,FALSE)</f>
        <v>3.1239996639999998</v>
      </c>
      <c r="M18" s="17">
        <f>VLOOKUP($D18,Résultats!$B$2:$AX$476,M$5,FALSE)</f>
        <v>3.4693315849999999</v>
      </c>
      <c r="N18" s="89">
        <f>VLOOKUP($D18,Résultats!$B$2:$AX$476,N$5,FALSE)</f>
        <v>3.6491839270000002</v>
      </c>
      <c r="O18" s="88">
        <f>VLOOKUP($D18,Résultats!$B$2:$AX$476,O$5,FALSE)</f>
        <v>3.4632014849999999</v>
      </c>
      <c r="P18" s="17">
        <f>VLOOKUP($D18,Résultats!$B$2:$AX$476,P$5,FALSE)</f>
        <v>3.2790341729999999</v>
      </c>
      <c r="Q18" s="17">
        <f>VLOOKUP($D18,Résultats!$B$2:$AX$476,Q$5,FALSE)</f>
        <v>3.1010379559999999</v>
      </c>
      <c r="R18" s="17">
        <f>VLOOKUP($D18,Résultats!$B$2:$AX$476,R$5,FALSE)</f>
        <v>2.9547098580000002</v>
      </c>
      <c r="S18" s="89">
        <f>VLOOKUP($D18,Résultats!$B$2:$AX$476,S$5,FALSE)</f>
        <v>2.8166989490000001</v>
      </c>
      <c r="T18" s="97">
        <f>VLOOKUP($D18,Résultats!$B$2:$AX$476,T$5,FALSE)</f>
        <v>2.4294888339999998</v>
      </c>
      <c r="U18" s="97">
        <f>VLOOKUP($D18,Résultats!$B$2:$AX$476,U$5,FALSE)</f>
        <v>2.5044477270000001</v>
      </c>
      <c r="V18" s="97">
        <f>VLOOKUP($D18,Résultats!$B$2:$AX$476,V$5,FALSE)</f>
        <v>2.405875795</v>
      </c>
      <c r="W18" s="97">
        <f>VLOOKUP($D18,Résultats!$B$2:$AX$476,W$5,FALSE)</f>
        <v>2.3193899280000001</v>
      </c>
      <c r="X18" s="45">
        <f>W18-'[1]Cibles THREEME'!$H19</f>
        <v>1.1572629143695179</v>
      </c>
      <c r="Y18" s="75"/>
    </row>
    <row r="19" spans="1:39" ht="15" customHeight="1" x14ac:dyDescent="0.25">
      <c r="A19" s="3"/>
      <c r="B19" s="318" t="s">
        <v>53</v>
      </c>
      <c r="C19" s="5" t="s">
        <v>1</v>
      </c>
      <c r="D19" s="2"/>
      <c r="E19" s="6">
        <f>SUM(E20:E25)</f>
        <v>38.516180095199999</v>
      </c>
      <c r="F19" s="6">
        <f>SUM(F20:F25)</f>
        <v>44.462305542400003</v>
      </c>
      <c r="G19" s="84">
        <f t="shared" ref="G19:R19" si="3">SUM(G20:G25)</f>
        <v>44.200798071899996</v>
      </c>
      <c r="H19" s="6">
        <f t="shared" si="3"/>
        <v>42.968303221700012</v>
      </c>
      <c r="I19" s="85">
        <f t="shared" si="3"/>
        <v>42.203826177000003</v>
      </c>
      <c r="J19" s="84">
        <f t="shared" si="3"/>
        <v>42.001000273599999</v>
      </c>
      <c r="K19" s="6">
        <f t="shared" si="3"/>
        <v>41.827726914699994</v>
      </c>
      <c r="L19" s="6">
        <f t="shared" si="3"/>
        <v>42.412732206899996</v>
      </c>
      <c r="M19" s="6">
        <f t="shared" si="3"/>
        <v>41.772217704700005</v>
      </c>
      <c r="N19" s="85">
        <f t="shared" si="3"/>
        <v>41.010040274600001</v>
      </c>
      <c r="O19" s="84">
        <f t="shared" si="3"/>
        <v>40.361802136099996</v>
      </c>
      <c r="P19" s="6">
        <f t="shared" si="3"/>
        <v>39.8911725042</v>
      </c>
      <c r="Q19" s="6">
        <f t="shared" si="3"/>
        <v>39.394924845700004</v>
      </c>
      <c r="R19" s="6">
        <f t="shared" si="3"/>
        <v>38.311766798000001</v>
      </c>
      <c r="S19" s="85">
        <f>SUM(S20:S25)</f>
        <v>37.222154488099996</v>
      </c>
      <c r="T19" s="94">
        <f>SUM(T20:T25)</f>
        <v>35.507158958999995</v>
      </c>
      <c r="U19" s="94">
        <f>SUM(U20:U25)</f>
        <v>33.653399114999999</v>
      </c>
      <c r="V19" s="94">
        <f>SUM(V20:V25)</f>
        <v>33.838553250000004</v>
      </c>
      <c r="W19" s="94">
        <f>SUM(W20:W25)</f>
        <v>31.638208009000003</v>
      </c>
      <c r="X19" s="3"/>
      <c r="Y19" s="75"/>
    </row>
    <row r="20" spans="1:39" x14ac:dyDescent="0.25">
      <c r="A20" s="3"/>
      <c r="B20" s="319"/>
      <c r="C20" s="3" t="s">
        <v>13</v>
      </c>
      <c r="D20" s="3" t="s">
        <v>366</v>
      </c>
      <c r="E20" s="16">
        <f>VLOOKUP($D20,Résultats!$B$2:$AX$476,E$5,FALSE)</f>
        <v>35.35928097</v>
      </c>
      <c r="F20" s="16">
        <f>VLOOKUP($D20,Résultats!$B$2:$AX$476,F$5,FALSE)</f>
        <v>31.2848194</v>
      </c>
      <c r="G20" s="22">
        <f>VLOOKUP($D20,Résultats!$B$2:$AX$476,G$5,FALSE)</f>
        <v>30.583535479999998</v>
      </c>
      <c r="H20" s="16">
        <f>VLOOKUP($D20,Résultats!$B$2:$AX$476,H$5,FALSE)</f>
        <v>29.59551647</v>
      </c>
      <c r="I20" s="86">
        <f>VLOOKUP($D20,Résultats!$B$2:$AX$476,I$5,FALSE)</f>
        <v>28.95175287</v>
      </c>
      <c r="J20" s="22">
        <f>VLOOKUP($D20,Résultats!$B$2:$AX$476,J$5,FALSE)</f>
        <v>27.66419024</v>
      </c>
      <c r="K20" s="16">
        <f>VLOOKUP($D20,Résultats!$B$2:$AX$476,K$5,FALSE)</f>
        <v>26.37740217</v>
      </c>
      <c r="L20" s="16">
        <f>VLOOKUP($D20,Résultats!$B$2:$AX$476,L$5,FALSE)</f>
        <v>25.277296360000001</v>
      </c>
      <c r="M20" s="16">
        <f>VLOOKUP($D20,Résultats!$B$2:$AX$476,M$5,FALSE)</f>
        <v>24.804494300000002</v>
      </c>
      <c r="N20" s="86">
        <f>VLOOKUP($D20,Résultats!$B$2:$AX$476,N$5,FALSE)</f>
        <v>23.938998680000001</v>
      </c>
      <c r="O20" s="22">
        <f>VLOOKUP($D20,Résultats!$B$2:$AX$476,O$5,FALSE)</f>
        <v>22.61996555</v>
      </c>
      <c r="P20" s="16">
        <f>VLOOKUP($D20,Résultats!$B$2:$AX$476,P$5,FALSE)</f>
        <v>21.43716594</v>
      </c>
      <c r="Q20" s="16">
        <f>VLOOKUP($D20,Résultats!$B$2:$AX$476,Q$5,FALSE)</f>
        <v>20.269900530000001</v>
      </c>
      <c r="R20" s="16">
        <f>VLOOKUP($D20,Résultats!$B$2:$AX$476,R$5,FALSE)</f>
        <v>18.875695010000001</v>
      </c>
      <c r="S20" s="86">
        <f>VLOOKUP($D20,Résultats!$B$2:$AX$476,S$5,FALSE)</f>
        <v>17.527681399999999</v>
      </c>
      <c r="T20" s="95">
        <f>VLOOKUP($D20,Résultats!$B$2:$AX$476,T$5,FALSE)</f>
        <v>10.179972019999999</v>
      </c>
      <c r="U20" s="95">
        <f>VLOOKUP($D20,Résultats!$B$2:$AX$476,U$5,FALSE)</f>
        <v>9.6136016860000009</v>
      </c>
      <c r="V20" s="95">
        <f>VLOOKUP($D20,Résultats!$B$2:$AX$476,V$5,FALSE)</f>
        <v>3.2055468619999998</v>
      </c>
      <c r="W20" s="95">
        <f>VLOOKUP($D20,Résultats!$B$2:$AX$476,W$5,FALSE)</f>
        <v>5.3138295549999999</v>
      </c>
      <c r="X20" s="45">
        <f>W20-'[1]Cibles THREEME'!$H28</f>
        <v>-0.12495317455945809</v>
      </c>
      <c r="Y20" s="75"/>
    </row>
    <row r="21" spans="1:39" x14ac:dyDescent="0.25">
      <c r="A21" s="3"/>
      <c r="B21" s="319"/>
      <c r="C21" s="3" t="s">
        <v>14</v>
      </c>
      <c r="D21" s="3" t="s">
        <v>367</v>
      </c>
      <c r="E21" s="16">
        <f>VLOOKUP($D21,Résultats!$B$2:$AX$476,E$5,FALSE)</f>
        <v>1.608611019</v>
      </c>
      <c r="F21" s="16">
        <f>VLOOKUP($D21,Résultats!$B$2:$AX$476,F$5,FALSE)</f>
        <v>7.913858877</v>
      </c>
      <c r="G21" s="22">
        <f>VLOOKUP($D21,Résultats!$B$2:$AX$476,G$5,FALSE)</f>
        <v>8.1672845120000002</v>
      </c>
      <c r="H21" s="16">
        <f>VLOOKUP($D21,Résultats!$B$2:$AX$476,H$5,FALSE)</f>
        <v>8.0454068119999995</v>
      </c>
      <c r="I21" s="86">
        <f>VLOOKUP($D21,Résultats!$B$2:$AX$476,I$5,FALSE)</f>
        <v>8.0107860520000003</v>
      </c>
      <c r="J21" s="22">
        <f>VLOOKUP($D21,Résultats!$B$2:$AX$476,J$5,FALSE)</f>
        <v>8.194134343</v>
      </c>
      <c r="K21" s="16">
        <f>VLOOKUP($D21,Résultats!$B$2:$AX$476,K$5,FALSE)</f>
        <v>8.3869122090000001</v>
      </c>
      <c r="L21" s="16">
        <f>VLOOKUP($D21,Résultats!$B$2:$AX$476,L$5,FALSE)</f>
        <v>8.9504428859999994</v>
      </c>
      <c r="M21" s="16">
        <f>VLOOKUP($D21,Résultats!$B$2:$AX$476,M$5,FALSE)</f>
        <v>8.5064116080000005</v>
      </c>
      <c r="N21" s="86">
        <f>VLOOKUP($D21,Résultats!$B$2:$AX$476,N$5,FALSE)</f>
        <v>8.317653859</v>
      </c>
      <c r="O21" s="22">
        <f>VLOOKUP($D21,Résultats!$B$2:$AX$476,O$5,FALSE)</f>
        <v>8.2342934400000001</v>
      </c>
      <c r="P21" s="16">
        <f>VLOOKUP($D21,Résultats!$B$2:$AX$476,P$5,FALSE)</f>
        <v>8.1854243990000004</v>
      </c>
      <c r="Q21" s="16">
        <f>VLOOKUP($D21,Résultats!$B$2:$AX$476,Q$5,FALSE)</f>
        <v>8.1329748380000009</v>
      </c>
      <c r="R21" s="16">
        <f>VLOOKUP($D21,Résultats!$B$2:$AX$476,R$5,FALSE)</f>
        <v>7.9868415659999998</v>
      </c>
      <c r="S21" s="86">
        <f>VLOOKUP($D21,Résultats!$B$2:$AX$476,S$5,FALSE)</f>
        <v>7.8434935729999999</v>
      </c>
      <c r="T21" s="95">
        <f>VLOOKUP($D21,Résultats!$B$2:$AX$476,T$5,FALSE)</f>
        <v>9.3475523260000006</v>
      </c>
      <c r="U21" s="95">
        <f>VLOOKUP($D21,Résultats!$B$2:$AX$476,U$5,FALSE)</f>
        <v>6.9875657469999997</v>
      </c>
      <c r="V21" s="95">
        <f>VLOOKUP($D21,Résultats!$B$2:$AX$476,V$5,FALSE)</f>
        <v>10.03111539</v>
      </c>
      <c r="W21" s="95">
        <f>VLOOKUP($D21,Résultats!$B$2:$AX$476,W$5,FALSE)</f>
        <v>6.7566959359999998</v>
      </c>
      <c r="X21" s="45">
        <f>W21-'[1]Cibles THREEME'!$H29</f>
        <v>-5.1544898996686683</v>
      </c>
      <c r="Y21" s="75"/>
    </row>
    <row r="22" spans="1:39" x14ac:dyDescent="0.25">
      <c r="A22" s="3"/>
      <c r="B22" s="319"/>
      <c r="C22" s="3" t="s">
        <v>15</v>
      </c>
      <c r="D22" s="3" t="s">
        <v>368</v>
      </c>
      <c r="E22" s="16">
        <f>VLOOKUP($D22,Résultats!$B$2:$AX$476,E$5,FALSE)</f>
        <v>0.20107637740000001</v>
      </c>
      <c r="F22" s="16">
        <f>VLOOKUP($D22,Résultats!$B$2:$AX$476,F$5,FALSE)</f>
        <v>0.13375148210000001</v>
      </c>
      <c r="G22" s="22">
        <f>VLOOKUP($D22,Résultats!$B$2:$AX$476,G$5,FALSE)</f>
        <v>0.33387848790000002</v>
      </c>
      <c r="H22" s="16">
        <f>VLOOKUP($D22,Résultats!$B$2:$AX$476,H$5,FALSE)</f>
        <v>0.39014215829999999</v>
      </c>
      <c r="I22" s="86">
        <f>VLOOKUP($D22,Résultats!$B$2:$AX$476,I$5,FALSE)</f>
        <v>0.44801143830000001</v>
      </c>
      <c r="J22" s="22">
        <f>VLOOKUP($D22,Résultats!$B$2:$AX$476,J$5,FALSE)</f>
        <v>0.6952335181</v>
      </c>
      <c r="K22" s="16">
        <f>VLOOKUP($D22,Résultats!$B$2:$AX$476,K$5,FALSE)</f>
        <v>0.94724941159999998</v>
      </c>
      <c r="L22" s="16">
        <f>VLOOKUP($D22,Résultats!$B$2:$AX$476,L$5,FALSE)</f>
        <v>1.2378676179999999</v>
      </c>
      <c r="M22" s="16">
        <f>VLOOKUP($D22,Résultats!$B$2:$AX$476,M$5,FALSE)</f>
        <v>1.3226306350000001</v>
      </c>
      <c r="N22" s="86">
        <f>VLOOKUP($D22,Résultats!$B$2:$AX$476,N$5,FALSE)</f>
        <v>1.4089508630000001</v>
      </c>
      <c r="O22" s="22">
        <f>VLOOKUP($D22,Résultats!$B$2:$AX$476,O$5,FALSE)</f>
        <v>1.8157551569999999</v>
      </c>
      <c r="P22" s="16">
        <f>VLOOKUP($D22,Résultats!$B$2:$AX$476,P$5,FALSE)</f>
        <v>2.2137814680000001</v>
      </c>
      <c r="Q22" s="16">
        <f>VLOOKUP($D22,Résultats!$B$2:$AX$476,Q$5,FALSE)</f>
        <v>2.5954569200000002</v>
      </c>
      <c r="R22" s="16">
        <f>VLOOKUP($D22,Résultats!$B$2:$AX$476,R$5,FALSE)</f>
        <v>2.8602228360000002</v>
      </c>
      <c r="S22" s="86">
        <f>VLOOKUP($D22,Résultats!$B$2:$AX$476,S$5,FALSE)</f>
        <v>3.1006403699999998</v>
      </c>
      <c r="T22" s="95">
        <f>VLOOKUP($D22,Résultats!$B$2:$AX$476,T$5,FALSE)</f>
        <v>5.4486137799999996</v>
      </c>
      <c r="U22" s="95">
        <f>VLOOKUP($D22,Résultats!$B$2:$AX$476,U$5,FALSE)</f>
        <v>7.0260872479999996</v>
      </c>
      <c r="V22" s="95">
        <f>VLOOKUP($D22,Résultats!$B$2:$AX$476,V$5,FALSE)</f>
        <v>8.8973083979999998</v>
      </c>
      <c r="W22" s="95">
        <f>VLOOKUP($D22,Résultats!$B$2:$AX$476,W$5,FALSE)</f>
        <v>9.6216748360000004</v>
      </c>
      <c r="X22" s="45">
        <f>W22-'[1]Cibles THREEME'!$H30</f>
        <v>-2.7039344765252711</v>
      </c>
      <c r="Y22" s="75"/>
      <c r="Z22" s="75"/>
      <c r="AA22" s="75"/>
    </row>
    <row r="23" spans="1:39" x14ac:dyDescent="0.25">
      <c r="A23" s="3"/>
      <c r="B23" s="319"/>
      <c r="C23" s="3" t="s">
        <v>16</v>
      </c>
      <c r="D23" s="3" t="s">
        <v>369</v>
      </c>
      <c r="E23" s="16">
        <f>VLOOKUP($D23,Résultats!$B$2:$AX$476,E$5,FALSE)</f>
        <v>0.74398259649999998</v>
      </c>
      <c r="F23" s="16">
        <f>VLOOKUP($D23,Résultats!$B$2:$AX$476,F$5,FALSE)</f>
        <v>0.67333163539999996</v>
      </c>
      <c r="G23" s="22">
        <f>VLOOKUP($D23,Résultats!$B$2:$AX$476,G$5,FALSE)</f>
        <v>1.4228698319999999</v>
      </c>
      <c r="H23" s="16">
        <f>VLOOKUP($D23,Résultats!$B$2:$AX$476,H$5,FALSE)</f>
        <v>1.5824614509999999</v>
      </c>
      <c r="I23" s="86">
        <f>VLOOKUP($D23,Résultats!$B$2:$AX$476,I$5,FALSE)</f>
        <v>1.7284212919999999</v>
      </c>
      <c r="J23" s="22">
        <f>VLOOKUP($D23,Résultats!$B$2:$AX$476,J$5,FALSE)</f>
        <v>1.779038897</v>
      </c>
      <c r="K23" s="16">
        <f>VLOOKUP($D23,Résultats!$B$2:$AX$476,K$5,FALSE)</f>
        <v>1.830999888</v>
      </c>
      <c r="L23" s="16">
        <f>VLOOKUP($D23,Résultats!$B$2:$AX$476,L$5,FALSE)</f>
        <v>1.9241877329999999</v>
      </c>
      <c r="M23" s="16">
        <f>VLOOKUP($D23,Résultats!$B$2:$AX$476,M$5,FALSE)</f>
        <v>1.6195121050000001</v>
      </c>
      <c r="N23" s="86">
        <f>VLOOKUP($D23,Résultats!$B$2:$AX$476,N$5,FALSE)</f>
        <v>1.3794838300000001</v>
      </c>
      <c r="O23" s="22">
        <f>VLOOKUP($D23,Résultats!$B$2:$AX$476,O$5,FALSE)</f>
        <v>1.397815075</v>
      </c>
      <c r="P23" s="16">
        <f>VLOOKUP($D23,Résultats!$B$2:$AX$476,P$5,FALSE)</f>
        <v>1.420602876</v>
      </c>
      <c r="Q23" s="16">
        <f>VLOOKUP($D23,Résultats!$B$2:$AX$476,Q$5,FALSE)</f>
        <v>1.4411241960000001</v>
      </c>
      <c r="R23" s="16">
        <f>VLOOKUP($D23,Résultats!$B$2:$AX$476,R$5,FALSE)</f>
        <v>1.427631879</v>
      </c>
      <c r="S23" s="86">
        <f>VLOOKUP($D23,Résultats!$B$2:$AX$476,S$5,FALSE)</f>
        <v>1.4124429140000001</v>
      </c>
      <c r="T23" s="95">
        <f>VLOOKUP($D23,Résultats!$B$2:$AX$476,T$5,FALSE)</f>
        <v>1.4740406960000001</v>
      </c>
      <c r="U23" s="95">
        <f>VLOOKUP($D23,Résultats!$B$2:$AX$476,U$5,FALSE)</f>
        <v>1.1954664779999999</v>
      </c>
      <c r="V23" s="95">
        <f>VLOOKUP($D23,Résultats!$B$2:$AX$476,V$5,FALSE)</f>
        <v>1.44586883</v>
      </c>
      <c r="W23" s="95">
        <f>VLOOKUP($D23,Résultats!$B$2:$AX$476,W$5,FALSE)</f>
        <v>1.051178951</v>
      </c>
      <c r="X23" s="45">
        <f>W23-'[1]Cibles THREEME'!$H31</f>
        <v>0.25965840699278286</v>
      </c>
      <c r="Y23" s="75"/>
      <c r="Z23" s="75"/>
      <c r="AA23" s="75"/>
    </row>
    <row r="24" spans="1:39" x14ac:dyDescent="0.25">
      <c r="A24" s="3"/>
      <c r="B24" s="319"/>
      <c r="C24" s="3" t="s">
        <v>17</v>
      </c>
      <c r="D24" s="3" t="s">
        <v>370</v>
      </c>
      <c r="E24" s="16">
        <f>VLOOKUP($D24,Résultats!$B$2:$AX$476,E$5,FALSE)</f>
        <v>0.20107637740000001</v>
      </c>
      <c r="F24" s="16">
        <f>VLOOKUP($D24,Résultats!$B$2:$AX$476,F$5,FALSE)</f>
        <v>0.2273860409</v>
      </c>
      <c r="G24" s="22">
        <f>VLOOKUP($D24,Résultats!$B$2:$AX$476,G$5,FALSE)</f>
        <v>0.33592485</v>
      </c>
      <c r="H24" s="16">
        <f>VLOOKUP($D24,Résultats!$B$2:$AX$476,H$5,FALSE)</f>
        <v>0.36257800740000001</v>
      </c>
      <c r="I24" s="86">
        <f>VLOOKUP($D24,Résultats!$B$2:$AX$476,I$5,FALSE)</f>
        <v>0.39180595969999998</v>
      </c>
      <c r="J24" s="22">
        <f>VLOOKUP($D24,Résultats!$B$2:$AX$476,J$5,FALSE)</f>
        <v>0.46455778450000002</v>
      </c>
      <c r="K24" s="16">
        <f>VLOOKUP($D24,Résultats!$B$2:$AX$476,K$5,FALSE)</f>
        <v>0.53891920209999999</v>
      </c>
      <c r="L24" s="16">
        <f>VLOOKUP($D24,Résultats!$B$2:$AX$476,L$5,FALSE)</f>
        <v>0.64729335389999998</v>
      </c>
      <c r="M24" s="16">
        <f>VLOOKUP($D24,Résultats!$B$2:$AX$476,M$5,FALSE)</f>
        <v>0.60855085870000003</v>
      </c>
      <c r="N24" s="86">
        <f>VLOOKUP($D24,Résultats!$B$2:$AX$476,N$5,FALSE)</f>
        <v>0.60101518659999997</v>
      </c>
      <c r="O24" s="22">
        <f>VLOOKUP($D24,Résultats!$B$2:$AX$476,O$5,FALSE)</f>
        <v>0.63814542110000005</v>
      </c>
      <c r="P24" s="16">
        <f>VLOOKUP($D24,Résultats!$B$2:$AX$476,P$5,FALSE)</f>
        <v>0.67627090020000002</v>
      </c>
      <c r="Q24" s="16">
        <f>VLOOKUP($D24,Résultats!$B$2:$AX$476,Q$5,FALSE)</f>
        <v>0.71266047970000002</v>
      </c>
      <c r="R24" s="16">
        <f>VLOOKUP($D24,Résultats!$B$2:$AX$476,R$5,FALSE)</f>
        <v>0.74076787899999996</v>
      </c>
      <c r="S24" s="86">
        <f>VLOOKUP($D24,Résultats!$B$2:$AX$476,S$5,FALSE)</f>
        <v>0.76629647609999996</v>
      </c>
      <c r="T24" s="95">
        <f>VLOOKUP($D24,Résultats!$B$2:$AX$476,T$5,FALSE)</f>
        <v>1.248589132</v>
      </c>
      <c r="U24" s="95">
        <f>VLOOKUP($D24,Résultats!$B$2:$AX$476,U$5,FALSE)</f>
        <v>1.0241316499999999</v>
      </c>
      <c r="V24" s="95">
        <f>VLOOKUP($D24,Résultats!$B$2:$AX$476,V$5,FALSE)</f>
        <v>1.4854257019999999</v>
      </c>
      <c r="W24" s="95">
        <f>VLOOKUP($D24,Résultats!$B$2:$AX$476,W$5,FALSE)</f>
        <v>1.0981857690000001</v>
      </c>
      <c r="X24" s="45">
        <f>W24-'[1]Cibles THREEME'!$H32</f>
        <v>0.84023220064230442</v>
      </c>
      <c r="Y24" s="75"/>
      <c r="Z24" s="75"/>
      <c r="AA24" s="75"/>
    </row>
    <row r="25" spans="1:39" x14ac:dyDescent="0.25">
      <c r="A25" s="3"/>
      <c r="B25" s="320"/>
      <c r="C25" s="7" t="s">
        <v>12</v>
      </c>
      <c r="D25" s="3" t="s">
        <v>371</v>
      </c>
      <c r="E25" s="17">
        <f>VLOOKUP($D25,Résultats!$B$2:$AX$476,E$5,FALSE)</f>
        <v>0.40215275490000002</v>
      </c>
      <c r="F25" s="17">
        <f>VLOOKUP($D25,Résultats!$B$2:$AX$476,F$5,FALSE)</f>
        <v>4.2291581069999999</v>
      </c>
      <c r="G25" s="88">
        <f>VLOOKUP($D25,Résultats!$B$2:$AX$476,G$5,FALSE)</f>
        <v>3.3573049099999999</v>
      </c>
      <c r="H25" s="17">
        <f>VLOOKUP($D25,Résultats!$B$2:$AX$476,H$5,FALSE)</f>
        <v>2.9921983230000002</v>
      </c>
      <c r="I25" s="89">
        <f>VLOOKUP($D25,Résultats!$B$2:$AX$476,I$5,FALSE)</f>
        <v>2.6730485650000002</v>
      </c>
      <c r="J25" s="88">
        <f>VLOOKUP($D25,Résultats!$B$2:$AX$476,J$5,FALSE)</f>
        <v>3.203845491</v>
      </c>
      <c r="K25" s="17">
        <f>VLOOKUP($D25,Résultats!$B$2:$AX$476,K$5,FALSE)</f>
        <v>3.7462440340000001</v>
      </c>
      <c r="L25" s="17">
        <f>VLOOKUP($D25,Résultats!$B$2:$AX$476,L$5,FALSE)</f>
        <v>4.3756442560000002</v>
      </c>
      <c r="M25" s="17">
        <f>VLOOKUP($D25,Résultats!$B$2:$AX$476,M$5,FALSE)</f>
        <v>4.9106181979999999</v>
      </c>
      <c r="N25" s="89">
        <f>VLOOKUP($D25,Résultats!$B$2:$AX$476,N$5,FALSE)</f>
        <v>5.3639378559999997</v>
      </c>
      <c r="O25" s="88">
        <f>VLOOKUP($D25,Résultats!$B$2:$AX$476,O$5,FALSE)</f>
        <v>5.6558274930000003</v>
      </c>
      <c r="P25" s="17">
        <f>VLOOKUP($D25,Résultats!$B$2:$AX$476,P$5,FALSE)</f>
        <v>5.9579269210000003</v>
      </c>
      <c r="Q25" s="17">
        <f>VLOOKUP($D25,Résultats!$B$2:$AX$476,Q$5,FALSE)</f>
        <v>6.2428078820000001</v>
      </c>
      <c r="R25" s="17">
        <f>VLOOKUP($D25,Résultats!$B$2:$AX$476,R$5,FALSE)</f>
        <v>6.420607628</v>
      </c>
      <c r="S25" s="89">
        <f>VLOOKUP($D25,Résultats!$B$2:$AX$476,S$5,FALSE)</f>
        <v>6.5715997550000003</v>
      </c>
      <c r="T25" s="97">
        <f>VLOOKUP($D25,Résultats!$B$2:$AX$476,T$5,FALSE)</f>
        <v>7.8083910049999998</v>
      </c>
      <c r="U25" s="97">
        <f>VLOOKUP($D25,Résultats!$B$2:$AX$476,U$5,FALSE)</f>
        <v>7.8065463060000004</v>
      </c>
      <c r="V25" s="97">
        <f>VLOOKUP($D25,Résultats!$B$2:$AX$476,V$5,FALSE)</f>
        <v>8.7732880679999994</v>
      </c>
      <c r="W25" s="97">
        <f>VLOOKUP($D25,Résultats!$B$2:$AX$476,W$5,FALSE)</f>
        <v>7.796642962</v>
      </c>
      <c r="X25" s="45">
        <f>W25-'[1]Cibles THREEME'!$H33</f>
        <v>0.31547961903060973</v>
      </c>
      <c r="Y25" s="75"/>
      <c r="Z25" s="75"/>
      <c r="AA25" s="75"/>
    </row>
    <row r="26" spans="1:39" x14ac:dyDescent="0.25">
      <c r="A26" s="3"/>
      <c r="B26" s="170" t="s">
        <v>8</v>
      </c>
      <c r="C26" s="2"/>
      <c r="D26" s="14" t="s">
        <v>372</v>
      </c>
      <c r="E26" s="6">
        <f>VLOOKUP($D26,Résultats!$B$2:$AX$476,E$5,FALSE)</f>
        <v>5.7508898210000003</v>
      </c>
      <c r="F26" s="6">
        <f>VLOOKUP($D26,Résultats!$B$2:$AX$476,F$5,FALSE)</f>
        <v>4.2281147880000001</v>
      </c>
      <c r="G26" s="84">
        <f>VLOOKUP($D26,Résultats!$B$2:$AX$476,G$5,FALSE)</f>
        <v>2.474274055</v>
      </c>
      <c r="H26" s="6">
        <f>VLOOKUP($D26,Résultats!$B$2:$AX$476,H$5,FALSE)</f>
        <v>2.2606160329999998</v>
      </c>
      <c r="I26" s="85">
        <f>VLOOKUP($D26,Résultats!$B$2:$AX$476,I$5,FALSE)</f>
        <v>2.0763035849999998</v>
      </c>
      <c r="J26" s="84">
        <f>VLOOKUP($D26,Résultats!$B$2:$AX$476,J$5,FALSE)</f>
        <v>2.062396621</v>
      </c>
      <c r="K26" s="6">
        <f>VLOOKUP($D26,Résultats!$B$2:$AX$476,K$5,FALSE)</f>
        <v>2.0278059179999999</v>
      </c>
      <c r="L26" s="6">
        <f>VLOOKUP($D26,Résultats!$B$2:$AX$476,L$5,FALSE)</f>
        <v>1.727388994</v>
      </c>
      <c r="M26" s="6">
        <f>VLOOKUP($D26,Résultats!$B$2:$AX$476,M$5,FALSE)</f>
        <v>1.3447071610000001</v>
      </c>
      <c r="N26" s="85">
        <f>VLOOKUP($D26,Résultats!$B$2:$AX$476,N$5,FALSE)</f>
        <v>0.9865863829</v>
      </c>
      <c r="O26" s="84">
        <f>VLOOKUP($D26,Résultats!$B$2:$AX$476,O$5,FALSE)</f>
        <v>0.73849129869999997</v>
      </c>
      <c r="P26" s="6">
        <f>VLOOKUP($D26,Résultats!$B$2:$AX$476,P$5,FALSE)</f>
        <v>0.572250021</v>
      </c>
      <c r="Q26" s="6">
        <f>VLOOKUP($D26,Résultats!$B$2:$AX$476,Q$5,FALSE)</f>
        <v>0.45591781640000001</v>
      </c>
      <c r="R26" s="6">
        <f>VLOOKUP($D26,Résultats!$B$2:$AX$476,R$5,FALSE)</f>
        <v>0.37179510700000001</v>
      </c>
      <c r="S26" s="85">
        <f>VLOOKUP($D26,Résultats!$B$2:$AX$476,S$5,FALSE)</f>
        <v>0.31033247130000002</v>
      </c>
      <c r="T26" s="94">
        <f>VLOOKUP($D26,Résultats!$B$2:$AX$476,T$5,FALSE)</f>
        <v>0.19739560340000001</v>
      </c>
      <c r="U26" s="94">
        <f>VLOOKUP($D26,Résultats!$B$2:$AX$476,U$5,FALSE)</f>
        <v>0.1530616169</v>
      </c>
      <c r="V26" s="94">
        <f>VLOOKUP($D26,Résultats!$B$2:$AX$476,V$5,FALSE)</f>
        <v>0.1237916148</v>
      </c>
      <c r="W26" s="94">
        <f>VLOOKUP($D26,Résultats!$B$2:$AX$476,W$5,FALSE)</f>
        <v>0.1048105744</v>
      </c>
      <c r="X26" s="3"/>
      <c r="Y26" s="75"/>
      <c r="Z26" s="75"/>
      <c r="AA26" s="75"/>
    </row>
    <row r="27" spans="1:39" x14ac:dyDescent="0.25">
      <c r="A27" s="3"/>
      <c r="B27" s="169" t="s">
        <v>1</v>
      </c>
      <c r="C27" s="2"/>
      <c r="D27" s="2"/>
      <c r="E27" s="9">
        <f>E26+E19+E10+E7</f>
        <v>264.98908550330003</v>
      </c>
      <c r="F27" s="9">
        <f>F26+F19+F10+F7</f>
        <v>270.41628954419997</v>
      </c>
      <c r="G27" s="23">
        <f t="shared" ref="G27:R27" si="4">G26+G19+G10+G7</f>
        <v>251.32351623210002</v>
      </c>
      <c r="H27" s="9">
        <f t="shared" si="4"/>
        <v>244.05512524419998</v>
      </c>
      <c r="I27" s="90">
        <f t="shared" si="4"/>
        <v>236.9242264001</v>
      </c>
      <c r="J27" s="23">
        <f t="shared" si="4"/>
        <v>235.20699722500001</v>
      </c>
      <c r="K27" s="9">
        <f t="shared" si="4"/>
        <v>232.961396208</v>
      </c>
      <c r="L27" s="9">
        <f t="shared" si="4"/>
        <v>229.83204290889998</v>
      </c>
      <c r="M27" s="9">
        <f t="shared" si="4"/>
        <v>237.07555731430003</v>
      </c>
      <c r="N27" s="90">
        <f t="shared" si="4"/>
        <v>242.01477954569998</v>
      </c>
      <c r="O27" s="23">
        <f t="shared" si="4"/>
        <v>237.27015356870001</v>
      </c>
      <c r="P27" s="9">
        <f t="shared" si="4"/>
        <v>232.6988881396</v>
      </c>
      <c r="Q27" s="9">
        <f t="shared" si="4"/>
        <v>228.18589501849999</v>
      </c>
      <c r="R27" s="9">
        <f t="shared" si="4"/>
        <v>223.89671544980001</v>
      </c>
      <c r="S27" s="90">
        <f>S26+S19+S10+S7</f>
        <v>219.82289087399997</v>
      </c>
      <c r="T27" s="98">
        <f>T26+T19+T10+T7</f>
        <v>188.14463805192</v>
      </c>
      <c r="U27" s="98">
        <f>U26+U19+U10+U7</f>
        <v>176.63955185682002</v>
      </c>
      <c r="V27" s="98">
        <f>V26+V19+V10+V7</f>
        <v>156.38849115522001</v>
      </c>
      <c r="W27" s="98">
        <f>W26+W19+W10+W7</f>
        <v>136.99657109662002</v>
      </c>
      <c r="X27" s="3"/>
      <c r="Y27" s="75"/>
      <c r="Z27" s="75"/>
      <c r="AA27" s="75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172" t="s">
        <v>82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61" t="str">
        <f>Résultats!B1</f>
        <v>SNBC3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166" t="s">
        <v>91</v>
      </c>
      <c r="AA31" s="166"/>
      <c r="AB31" s="166"/>
      <c r="AC31" s="38"/>
      <c r="AE31" s="166" t="s">
        <v>94</v>
      </c>
      <c r="AF31" s="166"/>
      <c r="AG31" s="166"/>
      <c r="AH31" s="38"/>
      <c r="AJ31" s="166" t="s">
        <v>95</v>
      </c>
      <c r="AK31" s="166"/>
      <c r="AL31" s="166"/>
      <c r="AM31" s="38"/>
    </row>
    <row r="32" spans="1:39" x14ac:dyDescent="0.25">
      <c r="A32" s="3"/>
      <c r="B32" s="168"/>
      <c r="C32" s="2"/>
      <c r="D32" s="15"/>
      <c r="E32" s="4">
        <v>2006</v>
      </c>
      <c r="F32" s="4">
        <v>2015</v>
      </c>
      <c r="G32" s="20">
        <v>2018</v>
      </c>
      <c r="H32" s="27">
        <v>2019</v>
      </c>
      <c r="I32" s="83">
        <v>2020</v>
      </c>
      <c r="J32" s="91">
        <v>2021</v>
      </c>
      <c r="K32" s="27">
        <v>2022</v>
      </c>
      <c r="L32" s="27">
        <v>2023</v>
      </c>
      <c r="M32" s="27">
        <v>2024</v>
      </c>
      <c r="N32" s="83">
        <v>2025</v>
      </c>
      <c r="O32" s="91">
        <v>2026</v>
      </c>
      <c r="P32" s="27">
        <v>2027</v>
      </c>
      <c r="Q32" s="27">
        <v>2028</v>
      </c>
      <c r="R32" s="27">
        <v>2029</v>
      </c>
      <c r="S32" s="92">
        <v>2030</v>
      </c>
      <c r="T32" s="93">
        <v>2035</v>
      </c>
      <c r="U32" s="93">
        <v>2040</v>
      </c>
      <c r="V32" s="93">
        <v>2045</v>
      </c>
      <c r="W32" s="93">
        <v>2050</v>
      </c>
      <c r="X32" s="3"/>
      <c r="Z32" s="194"/>
      <c r="AA32" s="195">
        <v>2020</v>
      </c>
      <c r="AB32" s="195">
        <v>2030</v>
      </c>
      <c r="AC32" s="196">
        <v>2050</v>
      </c>
      <c r="AE32" s="194"/>
      <c r="AF32" s="195">
        <v>2020</v>
      </c>
      <c r="AG32" s="195">
        <v>2030</v>
      </c>
      <c r="AH32" s="196">
        <v>2050</v>
      </c>
      <c r="AJ32" s="194"/>
      <c r="AK32" s="195">
        <v>2020</v>
      </c>
      <c r="AL32" s="195">
        <v>2030</v>
      </c>
      <c r="AM32" s="196">
        <v>2050</v>
      </c>
    </row>
    <row r="33" spans="1:39" x14ac:dyDescent="0.25">
      <c r="A33" s="3"/>
      <c r="B33" s="318" t="s">
        <v>0</v>
      </c>
      <c r="C33" s="5" t="s">
        <v>1</v>
      </c>
      <c r="D33" s="2" t="s">
        <v>373</v>
      </c>
      <c r="E33" s="6">
        <f>SUM(E34:E35)</f>
        <v>80.669792335099999</v>
      </c>
      <c r="F33" s="6">
        <f>SUM(F34:F35)</f>
        <v>71.305305000999994</v>
      </c>
      <c r="G33" s="84">
        <f t="shared" ref="G33:R33" si="5">SUM(G34:G35)</f>
        <v>65.942181708999996</v>
      </c>
      <c r="H33" s="6">
        <f t="shared" si="5"/>
        <v>64.726067516000001</v>
      </c>
      <c r="I33" s="85">
        <f t="shared" si="5"/>
        <v>63.117414568000001</v>
      </c>
      <c r="J33" s="84">
        <f t="shared" si="5"/>
        <v>62.736062613000001</v>
      </c>
      <c r="K33" s="6">
        <f t="shared" si="5"/>
        <v>61.940047588999995</v>
      </c>
      <c r="L33" s="6">
        <f t="shared" si="5"/>
        <v>60.907456142000001</v>
      </c>
      <c r="M33" s="6">
        <f t="shared" si="5"/>
        <v>58.884795365000002</v>
      </c>
      <c r="N33" s="85">
        <f t="shared" si="5"/>
        <v>56.707176667999995</v>
      </c>
      <c r="O33" s="84">
        <f t="shared" si="5"/>
        <v>54.619331228999997</v>
      </c>
      <c r="P33" s="6">
        <f t="shared" si="5"/>
        <v>52.644437550999996</v>
      </c>
      <c r="Q33" s="6">
        <f t="shared" si="5"/>
        <v>50.733097213000001</v>
      </c>
      <c r="R33" s="6">
        <f t="shared" si="5"/>
        <v>48.732947626000005</v>
      </c>
      <c r="S33" s="85">
        <f>SUM(S34:S35)</f>
        <v>46.740563330000001</v>
      </c>
      <c r="T33" s="94">
        <f>SUM(T34:T35)</f>
        <v>37.238854564999997</v>
      </c>
      <c r="U33" s="94">
        <f>SUM(U34:U35)</f>
        <v>28.963415659999999</v>
      </c>
      <c r="V33" s="94">
        <f>SUM(V34:V35)</f>
        <v>22.671679027</v>
      </c>
      <c r="W33" s="94">
        <f>SUM(W34:W35)</f>
        <v>18.715222993000001</v>
      </c>
      <c r="X33" s="3"/>
      <c r="Z33" s="197" t="s">
        <v>42</v>
      </c>
      <c r="AA33" s="201">
        <f>(I38+I40)/I36</f>
        <v>8.6413757750890465E-3</v>
      </c>
      <c r="AB33" s="201">
        <f>(S38+S40)/S36</f>
        <v>9.4212087350406841E-4</v>
      </c>
      <c r="AC33" s="202">
        <f>(W38+W40)/W36</f>
        <v>3.481894149396826E-4</v>
      </c>
      <c r="AE33" s="197" t="s">
        <v>96</v>
      </c>
      <c r="AF33" s="201">
        <f>I34/I33</f>
        <v>0.95161573824114942</v>
      </c>
      <c r="AG33" s="201">
        <f>S34/S33</f>
        <v>0.91402602078993811</v>
      </c>
      <c r="AH33" s="202">
        <f>W34/W33</f>
        <v>0.33469665979095609</v>
      </c>
      <c r="AJ33" s="197" t="s">
        <v>66</v>
      </c>
      <c r="AK33" s="201">
        <f>I46/(I46+I48)</f>
        <v>0.98439656249840246</v>
      </c>
      <c r="AL33" s="201">
        <f>S46/(S46+S48)</f>
        <v>0.84678728163995054</v>
      </c>
      <c r="AM33" s="202">
        <f>W46/(W46+W48)</f>
        <v>0.35555602084676469</v>
      </c>
    </row>
    <row r="34" spans="1:39" x14ac:dyDescent="0.25">
      <c r="A34" s="3"/>
      <c r="B34" s="319"/>
      <c r="C34" s="3" t="s">
        <v>2</v>
      </c>
      <c r="D34" s="15" t="s">
        <v>374</v>
      </c>
      <c r="E34" s="16">
        <f>VLOOKUP($D34,Résultats!$B$2:$AX$476,E$5,FALSE)</f>
        <v>80.002338629999997</v>
      </c>
      <c r="F34" s="16">
        <f>VLOOKUP($D34,Résultats!$B$2:$AX$476,F$5,FALSE)</f>
        <v>68.14521834</v>
      </c>
      <c r="G34" s="22">
        <f>VLOOKUP($D34,Résultats!$B$2:$AX$476,G$5,FALSE)</f>
        <v>62.869441799999997</v>
      </c>
      <c r="H34" s="16">
        <f>VLOOKUP($D34,Résultats!$B$2:$AX$476,H$5,FALSE)</f>
        <v>61.654132109999999</v>
      </c>
      <c r="I34" s="86">
        <f>VLOOKUP($D34,Résultats!$B$2:$AX$476,I$5,FALSE)</f>
        <v>60.063525060000003</v>
      </c>
      <c r="J34" s="22">
        <f>VLOOKUP($D34,Résultats!$B$2:$AX$476,J$5,FALSE)</f>
        <v>59.540592240000002</v>
      </c>
      <c r="K34" s="16">
        <f>VLOOKUP($D34,Résultats!$B$2:$AX$476,K$5,FALSE)</f>
        <v>58.632248689999997</v>
      </c>
      <c r="L34" s="16">
        <f>VLOOKUP($D34,Résultats!$B$2:$AX$476,L$5,FALSE)</f>
        <v>57.50927686</v>
      </c>
      <c r="M34" s="16">
        <f>VLOOKUP($D34,Résultats!$B$2:$AX$476,M$5,FALSE)</f>
        <v>55.234188469999999</v>
      </c>
      <c r="N34" s="86">
        <f>VLOOKUP($D34,Résultats!$B$2:$AX$476,N$5,FALSE)</f>
        <v>52.816798839999997</v>
      </c>
      <c r="O34" s="22">
        <f>VLOOKUP($D34,Résultats!$B$2:$AX$476,O$5,FALSE)</f>
        <v>50.713988559999997</v>
      </c>
      <c r="P34" s="16">
        <f>VLOOKUP($D34,Résultats!$B$2:$AX$476,P$5,FALSE)</f>
        <v>48.714027389999998</v>
      </c>
      <c r="Q34" s="16">
        <f>VLOOKUP($D34,Résultats!$B$2:$AX$476,Q$5,FALSE)</f>
        <v>46.76996681</v>
      </c>
      <c r="R34" s="16">
        <f>VLOOKUP($D34,Résultats!$B$2:$AX$476,R$5,FALSE)</f>
        <v>44.744121900000003</v>
      </c>
      <c r="S34" s="86">
        <f>VLOOKUP($D34,Résultats!$B$2:$AX$476,S$5,FALSE)</f>
        <v>42.722091110000001</v>
      </c>
      <c r="T34" s="95">
        <f>VLOOKUP($D34,Résultats!$B$2:$AX$476,T$5,FALSE)</f>
        <v>29.889920709999998</v>
      </c>
      <c r="U34" s="95">
        <f>VLOOKUP($D34,Résultats!$B$2:$AX$476,U$5,FALSE)</f>
        <v>16.85386836</v>
      </c>
      <c r="V34" s="95">
        <f>VLOOKUP($D34,Résultats!$B$2:$AX$476,V$5,FALSE)</f>
        <v>8.7819697970000004</v>
      </c>
      <c r="W34" s="95">
        <f>VLOOKUP($D34,Résultats!$B$2:$AX$476,W$5,FALSE)</f>
        <v>6.263922623</v>
      </c>
      <c r="X34" s="45">
        <f>W34-'[1]Cibles THREEME'!$AJ4</f>
        <v>-3.4181799844859624</v>
      </c>
      <c r="Z34" s="197" t="s">
        <v>61</v>
      </c>
      <c r="AA34" s="201">
        <f>I37/I36</f>
        <v>0.69408091304409747</v>
      </c>
      <c r="AB34" s="201">
        <f>S37/S36</f>
        <v>0.62114143570122804</v>
      </c>
      <c r="AC34" s="202">
        <f>W37/W36</f>
        <v>0.32025252686225841</v>
      </c>
      <c r="AE34" s="198" t="s">
        <v>65</v>
      </c>
      <c r="AF34" s="203">
        <f>I35/I33</f>
        <v>4.8384261758850571E-2</v>
      </c>
      <c r="AG34" s="203">
        <f>S35/S33</f>
        <v>8.5973979210061863E-2</v>
      </c>
      <c r="AH34" s="204">
        <f>W35/W33</f>
        <v>0.66530334020904391</v>
      </c>
      <c r="AJ34" s="198" t="s">
        <v>67</v>
      </c>
      <c r="AK34" s="203">
        <f>I48/(I46+I48)</f>
        <v>1.5603437501597555E-2</v>
      </c>
      <c r="AL34" s="203">
        <f>S48/(S46+S48)</f>
        <v>0.15321271836004943</v>
      </c>
      <c r="AM34" s="204">
        <f>W48/(W46+W48)</f>
        <v>0.64444397915323537</v>
      </c>
    </row>
    <row r="35" spans="1:39" x14ac:dyDescent="0.25">
      <c r="A35" s="3"/>
      <c r="B35" s="320"/>
      <c r="C35" s="7" t="s">
        <v>3</v>
      </c>
      <c r="D35" s="3" t="s">
        <v>375</v>
      </c>
      <c r="E35" s="16">
        <f>VLOOKUP($D35,Résultats!$B$2:$AX$476,E$5,FALSE)</f>
        <v>0.66745370510000002</v>
      </c>
      <c r="F35" s="16">
        <f>VLOOKUP($D35,Résultats!$B$2:$AX$476,F$5,FALSE)</f>
        <v>3.1600866609999998</v>
      </c>
      <c r="G35" s="22">
        <f>VLOOKUP($D35,Résultats!$B$2:$AX$476,G$5,FALSE)</f>
        <v>3.072739909</v>
      </c>
      <c r="H35" s="16">
        <f>VLOOKUP($D35,Résultats!$B$2:$AX$476,H$5,FALSE)</f>
        <v>3.0719354060000001</v>
      </c>
      <c r="I35" s="86">
        <f>VLOOKUP($D35,Résultats!$B$2:$AX$476,I$5,FALSE)</f>
        <v>3.0538895080000001</v>
      </c>
      <c r="J35" s="22">
        <f>VLOOKUP($D35,Résultats!$B$2:$AX$476,J$5,FALSE)</f>
        <v>3.195470373</v>
      </c>
      <c r="K35" s="16">
        <f>VLOOKUP($D35,Résultats!$B$2:$AX$476,K$5,FALSE)</f>
        <v>3.3077988989999998</v>
      </c>
      <c r="L35" s="16">
        <f>VLOOKUP($D35,Résultats!$B$2:$AX$476,L$5,FALSE)</f>
        <v>3.3981792820000001</v>
      </c>
      <c r="M35" s="16">
        <f>VLOOKUP($D35,Résultats!$B$2:$AX$476,M$5,FALSE)</f>
        <v>3.6506068950000001</v>
      </c>
      <c r="N35" s="86">
        <f>VLOOKUP($D35,Résultats!$B$2:$AX$476,N$5,FALSE)</f>
        <v>3.8903778280000001</v>
      </c>
      <c r="O35" s="22">
        <f>VLOOKUP($D35,Résultats!$B$2:$AX$476,O$5,FALSE)</f>
        <v>3.9053426689999999</v>
      </c>
      <c r="P35" s="16">
        <f>VLOOKUP($D35,Résultats!$B$2:$AX$476,P$5,FALSE)</f>
        <v>3.9304101610000002</v>
      </c>
      <c r="Q35" s="16">
        <f>VLOOKUP($D35,Résultats!$B$2:$AX$476,Q$5,FALSE)</f>
        <v>3.9631304030000001</v>
      </c>
      <c r="R35" s="16">
        <f>VLOOKUP($D35,Résultats!$B$2:$AX$476,R$5,FALSE)</f>
        <v>3.988825726</v>
      </c>
      <c r="S35" s="86">
        <f>VLOOKUP($D35,Résultats!$B$2:$AX$476,S$5,FALSE)</f>
        <v>4.0184722199999996</v>
      </c>
      <c r="T35" s="95">
        <f>VLOOKUP($D35,Résultats!$B$2:$AX$476,T$5,FALSE)</f>
        <v>7.3489338550000003</v>
      </c>
      <c r="U35" s="95">
        <f>VLOOKUP($D35,Résultats!$B$2:$AX$476,U$5,FALSE)</f>
        <v>12.109547299999999</v>
      </c>
      <c r="V35" s="95">
        <f>VLOOKUP($D35,Résultats!$B$2:$AX$476,V$5,FALSE)</f>
        <v>13.889709229999999</v>
      </c>
      <c r="W35" s="95">
        <f>VLOOKUP($D35,Résultats!$B$2:$AX$476,W$5,FALSE)</f>
        <v>12.45130037</v>
      </c>
      <c r="X35" s="45">
        <f>W35-'[1]Cibles THREEME'!$AJ5</f>
        <v>8.9544591544229171</v>
      </c>
      <c r="Z35" s="197" t="s">
        <v>93</v>
      </c>
      <c r="AA35" s="201">
        <f>I43/I36</f>
        <v>0.1025860132360687</v>
      </c>
      <c r="AB35" s="201">
        <f>S43/S36</f>
        <v>0.10094479365973498</v>
      </c>
      <c r="AC35" s="202">
        <f>W43/W36</f>
        <v>8.5931446892813332E-2</v>
      </c>
      <c r="AE35" s="189" t="s">
        <v>92</v>
      </c>
      <c r="AF35" s="205">
        <f>SUM(AF33:AF34)</f>
        <v>1</v>
      </c>
      <c r="AG35" s="205">
        <f t="shared" ref="AG35:AH35" si="6">SUM(AG33:AG34)</f>
        <v>1</v>
      </c>
      <c r="AH35" s="205">
        <f t="shared" si="6"/>
        <v>1</v>
      </c>
      <c r="AJ35" s="189" t="s">
        <v>92</v>
      </c>
      <c r="AK35" s="205">
        <f>SUM(AK33:AK34)</f>
        <v>1</v>
      </c>
      <c r="AL35" s="205">
        <f t="shared" ref="AL35" si="7">SUM(AL33:AL34)</f>
        <v>1</v>
      </c>
      <c r="AM35" s="205">
        <f t="shared" ref="AM35" si="8">SUM(AM33:AM34)</f>
        <v>1</v>
      </c>
    </row>
    <row r="36" spans="1:39" x14ac:dyDescent="0.25">
      <c r="A36" s="3"/>
      <c r="B36" s="318" t="s">
        <v>4</v>
      </c>
      <c r="C36" s="5" t="s">
        <v>1</v>
      </c>
      <c r="D36" s="2" t="s">
        <v>376</v>
      </c>
      <c r="E36" s="8">
        <f>SUM(E37:E44)</f>
        <v>37.199321333399993</v>
      </c>
      <c r="F36" s="8">
        <f>SUM(F37:F44)</f>
        <v>39.462886477800005</v>
      </c>
      <c r="G36" s="21">
        <f t="shared" ref="G36:R36" si="9">SUM(G37:G44)</f>
        <v>38.932360361400001</v>
      </c>
      <c r="H36" s="8">
        <f t="shared" si="9"/>
        <v>38.535172850500004</v>
      </c>
      <c r="I36" s="87">
        <f t="shared" si="9"/>
        <v>38.150345359399999</v>
      </c>
      <c r="J36" s="21">
        <f t="shared" si="9"/>
        <v>38.555938343100003</v>
      </c>
      <c r="K36" s="8">
        <f t="shared" si="9"/>
        <v>38.926699144299995</v>
      </c>
      <c r="L36" s="8">
        <f t="shared" si="9"/>
        <v>38.944185320499997</v>
      </c>
      <c r="M36" s="8">
        <f t="shared" si="9"/>
        <v>40.511551223200009</v>
      </c>
      <c r="N36" s="87">
        <f t="shared" si="9"/>
        <v>41.315709639200008</v>
      </c>
      <c r="O36" s="21">
        <f t="shared" si="9"/>
        <v>41.387560873899993</v>
      </c>
      <c r="P36" s="8">
        <f t="shared" si="9"/>
        <v>41.380798092700005</v>
      </c>
      <c r="Q36" s="8">
        <f t="shared" si="9"/>
        <v>41.351299016300004</v>
      </c>
      <c r="R36" s="8">
        <f t="shared" si="9"/>
        <v>41.599244569899994</v>
      </c>
      <c r="S36" s="87">
        <f>SUM(S37:S44)</f>
        <v>41.902509338499996</v>
      </c>
      <c r="T36" s="96">
        <f>SUM(T37:T44)</f>
        <v>41.708673868269997</v>
      </c>
      <c r="U36" s="96">
        <f>SUM(U37:U44)</f>
        <v>42.66499092782</v>
      </c>
      <c r="V36" s="96">
        <f>SUM(V37:V44)</f>
        <v>42.542704773839993</v>
      </c>
      <c r="W36" s="96">
        <f>SUM(W37:W44)</f>
        <v>42.219164021819992</v>
      </c>
      <c r="X36" s="3"/>
      <c r="Z36" s="197" t="s">
        <v>62</v>
      </c>
      <c r="AA36" s="201">
        <f>I42/I36</f>
        <v>3.6998234267680535E-2</v>
      </c>
      <c r="AB36" s="201">
        <f>S42/S36</f>
        <v>8.7555323867659643E-2</v>
      </c>
      <c r="AC36" s="202">
        <f>W42/W36</f>
        <v>0.19408802049621332</v>
      </c>
    </row>
    <row r="37" spans="1:39" x14ac:dyDescent="0.25">
      <c r="A37" s="3"/>
      <c r="B37" s="319"/>
      <c r="C37" s="3" t="s">
        <v>5</v>
      </c>
      <c r="D37" s="3" t="s">
        <v>377</v>
      </c>
      <c r="E37" s="16">
        <f>VLOOKUP($D37,Résultats!$B$2:$AX$476,E$5,FALSE)</f>
        <v>29.720911040000001</v>
      </c>
      <c r="F37" s="16">
        <f>VLOOKUP($D37,Résultats!$B$2:$AX$476,F$5,FALSE)</f>
        <v>30.624969549999999</v>
      </c>
      <c r="G37" s="22">
        <f>VLOOKUP($D37,Résultats!$B$2:$AX$476,G$5,FALSE)</f>
        <v>28.36906127</v>
      </c>
      <c r="H37" s="16">
        <f>VLOOKUP($D37,Résultats!$B$2:$AX$476,H$5,FALSE)</f>
        <v>27.4255742</v>
      </c>
      <c r="I37" s="86">
        <f>VLOOKUP($D37,Résultats!$B$2:$AX$476,I$5,FALSE)</f>
        <v>26.479426539999999</v>
      </c>
      <c r="J37" s="22">
        <f>VLOOKUP($D37,Résultats!$B$2:$AX$476,J$5,FALSE)</f>
        <v>26.429850470000002</v>
      </c>
      <c r="K37" s="16">
        <f>VLOOKUP($D37,Résultats!$B$2:$AX$476,K$5,FALSE)</f>
        <v>26.347436550000001</v>
      </c>
      <c r="L37" s="16">
        <f>VLOOKUP($D37,Résultats!$B$2:$AX$476,L$5,FALSE)</f>
        <v>26.020234169999998</v>
      </c>
      <c r="M37" s="16">
        <f>VLOOKUP($D37,Résultats!$B$2:$AX$476,M$5,FALSE)</f>
        <v>26.980828580000001</v>
      </c>
      <c r="N37" s="86">
        <f>VLOOKUP($D37,Résultats!$B$2:$AX$476,N$5,FALSE)</f>
        <v>27.437548</v>
      </c>
      <c r="O37" s="22">
        <f>VLOOKUP($D37,Résultats!$B$2:$AX$476,O$5,FALSE)</f>
        <v>27.114082010000001</v>
      </c>
      <c r="P37" s="16">
        <f>VLOOKUP($D37,Résultats!$B$2:$AX$476,P$5,FALSE)</f>
        <v>26.747897949999999</v>
      </c>
      <c r="Q37" s="16">
        <f>VLOOKUP($D37,Résultats!$B$2:$AX$476,Q$5,FALSE)</f>
        <v>26.376345600000001</v>
      </c>
      <c r="R37" s="16">
        <f>VLOOKUP($D37,Résultats!$B$2:$AX$476,R$5,FALSE)</f>
        <v>26.18251398</v>
      </c>
      <c r="S37" s="86">
        <f>VLOOKUP($D37,Résultats!$B$2:$AX$476,S$5,FALSE)</f>
        <v>26.027384810000001</v>
      </c>
      <c r="T37" s="95">
        <f>VLOOKUP($D37,Résultats!$B$2:$AX$476,T$5,FALSE)</f>
        <v>22.199072869999998</v>
      </c>
      <c r="U37" s="95">
        <f>VLOOKUP($D37,Résultats!$B$2:$AX$476,U$5,FALSE)</f>
        <v>20.960391659999999</v>
      </c>
      <c r="V37" s="95">
        <f>VLOOKUP($D37,Résultats!$B$2:$AX$476,V$5,FALSE)</f>
        <v>17.074587619999999</v>
      </c>
      <c r="W37" s="95">
        <f>VLOOKUP($D37,Résultats!$B$2:$AX$476,W$5,FALSE)</f>
        <v>13.520793960000001</v>
      </c>
      <c r="X37" s="45">
        <f>W37-'[1]Cibles THREEME'!$AJ8</f>
        <v>12.899734828454303</v>
      </c>
      <c r="Z37" s="197" t="s">
        <v>63</v>
      </c>
      <c r="AA37" s="201">
        <f>I41/I36</f>
        <v>8.3952357044936893E-2</v>
      </c>
      <c r="AB37" s="201">
        <f>S41/S36</f>
        <v>0.12657892135177479</v>
      </c>
      <c r="AC37" s="202">
        <f>W41/W36</f>
        <v>0.37324050712742429</v>
      </c>
    </row>
    <row r="38" spans="1:39" x14ac:dyDescent="0.25">
      <c r="A38" s="3"/>
      <c r="B38" s="319"/>
      <c r="C38" s="3" t="s">
        <v>6</v>
      </c>
      <c r="D38" s="3" t="s">
        <v>378</v>
      </c>
      <c r="E38" s="16">
        <f>VLOOKUP($D38,Résultats!$B$2:$AX$476,E$5,FALSE)</f>
        <v>0.38143247060000002</v>
      </c>
      <c r="F38" s="16">
        <f>VLOOKUP($D38,Résultats!$B$2:$AX$476,F$5,FALSE)</f>
        <v>0.2417950341</v>
      </c>
      <c r="G38" s="22">
        <f>VLOOKUP($D38,Résultats!$B$2:$AX$476,G$5,FALSE)</f>
        <v>0.1661261154</v>
      </c>
      <c r="H38" s="16">
        <f>VLOOKUP($D38,Résultats!$B$2:$AX$476,H$5,FALSE)</f>
        <v>0.13874728150000001</v>
      </c>
      <c r="I38" s="86">
        <f>VLOOKUP($D38,Résultats!$B$2:$AX$476,I$5,FALSE)</f>
        <v>0.1109630446</v>
      </c>
      <c r="J38" s="22">
        <f>VLOOKUP($D38,Résultats!$B$2:$AX$476,J$5,FALSE)</f>
        <v>0.14724723279999999</v>
      </c>
      <c r="K38" s="16">
        <f>VLOOKUP($D38,Résultats!$B$2:$AX$476,K$5,FALSE)</f>
        <v>0.18434846060000001</v>
      </c>
      <c r="L38" s="16">
        <f>VLOOKUP($D38,Résultats!$B$2:$AX$476,L$5,FALSE)</f>
        <v>0.2203784053</v>
      </c>
      <c r="M38" s="16">
        <f>VLOOKUP($D38,Résultats!$B$2:$AX$476,M$5,FALSE)</f>
        <v>0.15649731019999999</v>
      </c>
      <c r="N38" s="86">
        <f>VLOOKUP($D38,Résultats!$B$2:$AX$476,N$5,FALSE)</f>
        <v>9.33829979E-2</v>
      </c>
      <c r="O38" s="22">
        <f>VLOOKUP($D38,Résultats!$B$2:$AX$476,O$5,FALSE)</f>
        <v>7.1114016000000002E-2</v>
      </c>
      <c r="P38" s="16">
        <f>VLOOKUP($D38,Résultats!$B$2:$AX$476,P$5,FALSE)</f>
        <v>4.9240795699999999E-2</v>
      </c>
      <c r="Q38" s="16">
        <f>VLOOKUP($D38,Résultats!$B$2:$AX$476,Q$5,FALSE)</f>
        <v>2.79042384E-2</v>
      </c>
      <c r="R38" s="16">
        <f>VLOOKUP($D38,Résultats!$B$2:$AX$476,R$5,FALSE)</f>
        <v>2.4884559300000001E-2</v>
      </c>
      <c r="S38" s="86">
        <f>VLOOKUP($D38,Résultats!$B$2:$AX$476,S$5,FALSE)</f>
        <v>2.1933144299999999E-2</v>
      </c>
      <c r="T38" s="95">
        <f>VLOOKUP($D38,Résultats!$B$2:$AX$476,T$5,FALSE)</f>
        <v>1.9425904500000001E-2</v>
      </c>
      <c r="U38" s="95">
        <f>VLOOKUP($D38,Résultats!$B$2:$AX$476,U$5,FALSE)</f>
        <v>9.4077341400000004E-3</v>
      </c>
      <c r="V38" s="95">
        <f>VLOOKUP($D38,Résultats!$B$2:$AX$476,V$5,FALSE)</f>
        <v>7.5913812200000003E-3</v>
      </c>
      <c r="W38" s="95">
        <f>VLOOKUP($D38,Résultats!$B$2:$AX$476,W$5,FALSE)</f>
        <v>7.35013301E-3</v>
      </c>
      <c r="X38" s="45">
        <f>W38-'[1]Cibles THREEME'!$AJ9</f>
        <v>-2.6498669900000002E-3</v>
      </c>
      <c r="Z38" s="198" t="s">
        <v>64</v>
      </c>
      <c r="AA38" s="203">
        <f>(I39+I44)/I36</f>
        <v>7.3741106632127351E-2</v>
      </c>
      <c r="AB38" s="203">
        <f>(S39+S44)/S36</f>
        <v>6.2837404546098624E-2</v>
      </c>
      <c r="AC38" s="204">
        <f>(W39+W44)/W36</f>
        <v>2.6139309206350946E-2</v>
      </c>
    </row>
    <row r="39" spans="1:39" x14ac:dyDescent="0.25">
      <c r="A39" s="3"/>
      <c r="B39" s="319"/>
      <c r="C39" s="3" t="s">
        <v>7</v>
      </c>
      <c r="D39" s="3" t="s">
        <v>379</v>
      </c>
      <c r="E39" s="16">
        <f>VLOOKUP($D39,Résultats!$B$2:$AX$476,E$5,FALSE)</f>
        <v>1.523277926</v>
      </c>
      <c r="F39" s="16">
        <f>VLOOKUP($D39,Résultats!$B$2:$AX$476,F$5,FALSE)</f>
        <v>1.59027981</v>
      </c>
      <c r="G39" s="22">
        <f>VLOOKUP($D39,Résultats!$B$2:$AX$476,G$5,FALSE)</f>
        <v>2.0470020149999999</v>
      </c>
      <c r="H39" s="16">
        <f>VLOOKUP($D39,Résultats!$B$2:$AX$476,H$5,FALSE)</f>
        <v>2.1956828970000002</v>
      </c>
      <c r="I39" s="86">
        <f>VLOOKUP($D39,Résultats!$B$2:$AX$476,I$5,FALSE)</f>
        <v>2.3480382880000001</v>
      </c>
      <c r="J39" s="22">
        <f>VLOOKUP($D39,Résultats!$B$2:$AX$476,J$5,FALSE)</f>
        <v>2.2655698790000001</v>
      </c>
      <c r="K39" s="16">
        <f>VLOOKUP($D39,Résultats!$B$2:$AX$476,K$5,FALSE)</f>
        <v>2.1781471940000001</v>
      </c>
      <c r="L39" s="16">
        <f>VLOOKUP($D39,Résultats!$B$2:$AX$476,L$5,FALSE)</f>
        <v>2.0691154389999999</v>
      </c>
      <c r="M39" s="16">
        <f>VLOOKUP($D39,Résultats!$B$2:$AX$476,M$5,FALSE)</f>
        <v>2.2760951220000001</v>
      </c>
      <c r="N39" s="86">
        <f>VLOOKUP($D39,Résultats!$B$2:$AX$476,N$5,FALSE)</f>
        <v>2.433877748</v>
      </c>
      <c r="O39" s="22">
        <f>VLOOKUP($D39,Résultats!$B$2:$AX$476,O$5,FALSE)</f>
        <v>2.3441560140000002</v>
      </c>
      <c r="P39" s="16">
        <f>VLOOKUP($D39,Résultats!$B$2:$AX$476,P$5,FALSE)</f>
        <v>2.252205086</v>
      </c>
      <c r="Q39" s="16">
        <f>VLOOKUP($D39,Résultats!$B$2:$AX$476,Q$5,FALSE)</f>
        <v>2.1613778510000001</v>
      </c>
      <c r="R39" s="16">
        <f>VLOOKUP($D39,Résultats!$B$2:$AX$476,R$5,FALSE)</f>
        <v>2.0881366469999998</v>
      </c>
      <c r="S39" s="86">
        <f>VLOOKUP($D39,Résultats!$B$2:$AX$476,S$5,FALSE)</f>
        <v>2.018623608</v>
      </c>
      <c r="T39" s="95">
        <f>VLOOKUP($D39,Résultats!$B$2:$AX$476,T$5,FALSE)</f>
        <v>1.40713629</v>
      </c>
      <c r="U39" s="95">
        <f>VLOOKUP($D39,Résultats!$B$2:$AX$476,U$5,FALSE)</f>
        <v>0.15477498379999999</v>
      </c>
      <c r="V39" s="95">
        <f>VLOOKUP($D39,Résultats!$B$2:$AX$476,V$5,FALSE)</f>
        <v>0.20117328009999999</v>
      </c>
      <c r="W39" s="95">
        <f>VLOOKUP($D39,Résultats!$B$2:$AX$476,W$5,FALSE)</f>
        <v>0.23353231660000001</v>
      </c>
      <c r="X39" s="45">
        <f>W39-'[1]Cibles THREEME'!$AJ10</f>
        <v>-0.8624543861277012</v>
      </c>
      <c r="Z39" s="189" t="s">
        <v>92</v>
      </c>
      <c r="AA39" s="205">
        <f>SUM(AA33:AA38)</f>
        <v>1</v>
      </c>
      <c r="AB39" s="205">
        <f t="shared" ref="AB39:AC39" si="10">SUM(AB33:AB38)</f>
        <v>1.0000000000000002</v>
      </c>
      <c r="AC39" s="205">
        <f t="shared" si="10"/>
        <v>1</v>
      </c>
      <c r="AJ39" s="189"/>
      <c r="AK39" s="205"/>
      <c r="AL39" s="205"/>
      <c r="AM39" s="205"/>
    </row>
    <row r="40" spans="1:39" x14ac:dyDescent="0.25">
      <c r="A40" s="3"/>
      <c r="B40" s="319"/>
      <c r="C40" s="3" t="s">
        <v>8</v>
      </c>
      <c r="D40" s="3" t="s">
        <v>380</v>
      </c>
      <c r="E40" s="16">
        <f>VLOOKUP($D40,Résultats!$B$2:$AX$476,E$5,FALSE)</f>
        <v>1.519906486</v>
      </c>
      <c r="F40" s="16">
        <f>VLOOKUP($D40,Résultats!$B$2:$AX$476,F$5,FALSE)</f>
        <v>0.74545444719999998</v>
      </c>
      <c r="G40" s="22">
        <f>VLOOKUP($D40,Résultats!$B$2:$AX$476,G$5,FALSE)</f>
        <v>0.43939432750000001</v>
      </c>
      <c r="H40" s="16">
        <f>VLOOKUP($D40,Résultats!$B$2:$AX$476,H$5,FALSE)</f>
        <v>0.32991805019999998</v>
      </c>
      <c r="I40" s="86">
        <f>VLOOKUP($D40,Résultats!$B$2:$AX$476,I$5,FALSE)</f>
        <v>0.21870842560000001</v>
      </c>
      <c r="J40" s="22">
        <f>VLOOKUP($D40,Résultats!$B$2:$AX$476,J$5,FALSE)</f>
        <v>0.210901167</v>
      </c>
      <c r="K40" s="16">
        <f>VLOOKUP($D40,Résultats!$B$2:$AX$476,K$5,FALSE)</f>
        <v>0.20262915249999999</v>
      </c>
      <c r="L40" s="16">
        <f>VLOOKUP($D40,Résultats!$B$2:$AX$476,L$5,FALSE)</f>
        <v>0.19234451420000001</v>
      </c>
      <c r="M40" s="16">
        <f>VLOOKUP($D40,Résultats!$B$2:$AX$476,M$5,FALSE)</f>
        <v>0.12298353419999999</v>
      </c>
      <c r="N40" s="86">
        <f>VLOOKUP($D40,Résultats!$B$2:$AX$476,N$5,FALSE)</f>
        <v>5.5242931100000003E-2</v>
      </c>
      <c r="O40" s="22">
        <f>VLOOKUP($D40,Résultats!$B$2:$AX$476,O$5,FALSE)</f>
        <v>4.24912806E-2</v>
      </c>
      <c r="P40" s="16">
        <f>VLOOKUP($D40,Résultats!$B$2:$AX$476,P$5,FALSE)</f>
        <v>2.9962961600000001E-2</v>
      </c>
      <c r="Q40" s="16">
        <f>VLOOKUP($D40,Résultats!$B$2:$AX$476,Q$5,FALSE)</f>
        <v>1.77410528E-2</v>
      </c>
      <c r="R40" s="16">
        <f>VLOOKUP($D40,Résultats!$B$2:$AX$476,R$5,FALSE)</f>
        <v>1.76296448E-2</v>
      </c>
      <c r="S40" s="86">
        <f>VLOOKUP($D40,Résultats!$B$2:$AX$476,S$5,FALSE)</f>
        <v>1.75440844E-2</v>
      </c>
      <c r="T40" s="95">
        <f>VLOOKUP($D40,Résultats!$B$2:$AX$476,T$5,FALSE)</f>
        <v>8.2403170699999907E-3</v>
      </c>
      <c r="U40" s="95">
        <f>VLOOKUP($D40,Résultats!$B$2:$AX$476,U$5,FALSE)</f>
        <v>7.9380902800000007E-3</v>
      </c>
      <c r="V40" s="95">
        <f>VLOOKUP($D40,Résultats!$B$2:$AX$476,V$5,FALSE)</f>
        <v>7.5913812200000003E-3</v>
      </c>
      <c r="W40" s="95">
        <f>VLOOKUP($D40,Résultats!$B$2:$AX$476,W$5,FALSE)</f>
        <v>7.35013301E-3</v>
      </c>
      <c r="X40" s="45">
        <f>W40-'[1]Cibles THREEME'!$AJ11</f>
        <v>-2.6498669900000002E-3</v>
      </c>
    </row>
    <row r="41" spans="1:39" x14ac:dyDescent="0.25">
      <c r="A41" s="3"/>
      <c r="B41" s="319"/>
      <c r="C41" s="3" t="s">
        <v>9</v>
      </c>
      <c r="D41" s="3" t="s">
        <v>381</v>
      </c>
      <c r="E41" s="16">
        <f>VLOOKUP($D41,Résultats!$B$2:$AX$476,E$5,FALSE)</f>
        <v>0.30706909919999997</v>
      </c>
      <c r="F41" s="16">
        <f>VLOOKUP($D41,Résultats!$B$2:$AX$476,F$5,FALSE)</f>
        <v>2.1092605500000001</v>
      </c>
      <c r="G41" s="22">
        <f>VLOOKUP($D41,Résultats!$B$2:$AX$476,G$5,FALSE)</f>
        <v>2.767227798</v>
      </c>
      <c r="H41" s="16">
        <f>VLOOKUP($D41,Résultats!$B$2:$AX$476,H$5,FALSE)</f>
        <v>2.9824093829999998</v>
      </c>
      <c r="I41" s="86">
        <f>VLOOKUP($D41,Résultats!$B$2:$AX$476,I$5,FALSE)</f>
        <v>3.2028114150000002</v>
      </c>
      <c r="J41" s="22">
        <f>VLOOKUP($D41,Résultats!$B$2:$AX$476,J$5,FALSE)</f>
        <v>3.3982865709999999</v>
      </c>
      <c r="K41" s="16">
        <f>VLOOKUP($D41,Résultats!$B$2:$AX$476,K$5,FALSE)</f>
        <v>3.5950604350000002</v>
      </c>
      <c r="L41" s="16">
        <f>VLOOKUP($D41,Résultats!$B$2:$AX$476,L$5,FALSE)</f>
        <v>3.7619748419999999</v>
      </c>
      <c r="M41" s="16">
        <f>VLOOKUP($D41,Résultats!$B$2:$AX$476,M$5,FALSE)</f>
        <v>3.9910438240000001</v>
      </c>
      <c r="N41" s="86">
        <f>VLOOKUP($D41,Résultats!$B$2:$AX$476,N$5,FALSE)</f>
        <v>4.1409585849999999</v>
      </c>
      <c r="O41" s="22">
        <f>VLOOKUP($D41,Résultats!$B$2:$AX$476,O$5,FALSE)</f>
        <v>4.3816404039999997</v>
      </c>
      <c r="P41" s="16">
        <f>VLOOKUP($D41,Résultats!$B$2:$AX$476,P$5,FALSE)</f>
        <v>4.6084741469999999</v>
      </c>
      <c r="Q41" s="16">
        <f>VLOOKUP($D41,Résultats!$B$2:$AX$476,Q$5,FALSE)</f>
        <v>4.8269082640000001</v>
      </c>
      <c r="R41" s="16">
        <f>VLOOKUP($D41,Résultats!$B$2:$AX$476,R$5,FALSE)</f>
        <v>5.0632190640000001</v>
      </c>
      <c r="S41" s="86">
        <f>VLOOKUP($D41,Résultats!$B$2:$AX$476,S$5,FALSE)</f>
        <v>5.3039744339999997</v>
      </c>
      <c r="T41" s="95">
        <f>VLOOKUP($D41,Résultats!$B$2:$AX$476,T$5,FALSE)</f>
        <v>8.0355919880000002</v>
      </c>
      <c r="U41" s="95">
        <f>VLOOKUP($D41,Résultats!$B$2:$AX$476,U$5,FALSE)</f>
        <v>10.587202189999999</v>
      </c>
      <c r="V41" s="95">
        <f>VLOOKUP($D41,Résultats!$B$2:$AX$476,V$5,FALSE)</f>
        <v>13.220021490000001</v>
      </c>
      <c r="W41" s="95">
        <f>VLOOKUP($D41,Résultats!$B$2:$AX$476,W$5,FALSE)</f>
        <v>15.757902189999999</v>
      </c>
      <c r="X41" s="45">
        <f>W41-'[1]Cibles THREEME'!$AJ12</f>
        <v>3.1723215536768983</v>
      </c>
    </row>
    <row r="42" spans="1:39" x14ac:dyDescent="0.25">
      <c r="A42" s="3"/>
      <c r="B42" s="319"/>
      <c r="C42" s="3" t="s">
        <v>10</v>
      </c>
      <c r="D42" s="3" t="s">
        <v>382</v>
      </c>
      <c r="E42" s="16">
        <f>VLOOKUP($D42,Résultats!$B$2:$AX$476,E$5,FALSE)</f>
        <v>6.9090547299999999E-2</v>
      </c>
      <c r="F42" s="16">
        <f>VLOOKUP($D42,Résultats!$B$2:$AX$476,F$5,FALSE)</f>
        <v>0.92956194089999999</v>
      </c>
      <c r="G42" s="22">
        <f>VLOOKUP($D42,Résultats!$B$2:$AX$476,G$5,FALSE)</f>
        <v>1.2195314820000001</v>
      </c>
      <c r="H42" s="16">
        <f>VLOOKUP($D42,Résultats!$B$2:$AX$476,H$5,FALSE)</f>
        <v>1.3143631099999999</v>
      </c>
      <c r="I42" s="86">
        <f>VLOOKUP($D42,Résultats!$B$2:$AX$476,I$5,FALSE)</f>
        <v>1.4114954150000001</v>
      </c>
      <c r="J42" s="22">
        <f>VLOOKUP($D42,Résultats!$B$2:$AX$476,J$5,FALSE)</f>
        <v>1.4770588659999999</v>
      </c>
      <c r="K42" s="16">
        <f>VLOOKUP($D42,Résultats!$B$2:$AX$476,K$5,FALSE)</f>
        <v>1.5426561910000001</v>
      </c>
      <c r="L42" s="16">
        <f>VLOOKUP($D42,Résultats!$B$2:$AX$476,L$5,FALSE)</f>
        <v>1.5951199570000001</v>
      </c>
      <c r="M42" s="16">
        <f>VLOOKUP($D42,Résultats!$B$2:$AX$476,M$5,FALSE)</f>
        <v>1.827259923</v>
      </c>
      <c r="N42" s="86">
        <f>VLOOKUP($D42,Résultats!$B$2:$AX$476,N$5,FALSE)</f>
        <v>2.0163995520000002</v>
      </c>
      <c r="O42" s="22">
        <f>VLOOKUP($D42,Résultats!$B$2:$AX$476,O$5,FALSE)</f>
        <v>2.3615584950000001</v>
      </c>
      <c r="P42" s="16">
        <f>VLOOKUP($D42,Résultats!$B$2:$AX$476,P$5,FALSE)</f>
        <v>2.6941465330000001</v>
      </c>
      <c r="Q42" s="16">
        <f>VLOOKUP($D42,Résultats!$B$2:$AX$476,Q$5,FALSE)</f>
        <v>3.0166683120000002</v>
      </c>
      <c r="R42" s="16">
        <f>VLOOKUP($D42,Résultats!$B$2:$AX$476,R$5,FALSE)</f>
        <v>3.3422023140000001</v>
      </c>
      <c r="S42" s="86">
        <f>VLOOKUP($D42,Résultats!$B$2:$AX$476,S$5,FALSE)</f>
        <v>3.6687877759999998</v>
      </c>
      <c r="T42" s="95">
        <f>VLOOKUP($D42,Résultats!$B$2:$AX$476,T$5,FALSE)</f>
        <v>5.1846855930000002</v>
      </c>
      <c r="U42" s="95">
        <f>VLOOKUP($D42,Résultats!$B$2:$AX$476,U$5,FALSE)</f>
        <v>6.2260722260000003</v>
      </c>
      <c r="V42" s="95">
        <f>VLOOKUP($D42,Résultats!$B$2:$AX$476,V$5,FALSE)</f>
        <v>7.3799930580000002</v>
      </c>
      <c r="W42" s="95">
        <f>VLOOKUP($D42,Résultats!$B$2:$AX$476,W$5,FALSE)</f>
        <v>8.1942339719999904</v>
      </c>
      <c r="X42" s="45">
        <f>W42-'[1]Cibles THREEME'!$AJ13</f>
        <v>0.76587965351223719</v>
      </c>
      <c r="Z42" s="60" t="s">
        <v>457</v>
      </c>
    </row>
    <row r="43" spans="1:39" x14ac:dyDescent="0.25">
      <c r="A43" s="3"/>
      <c r="B43" s="319"/>
      <c r="C43" s="3" t="s">
        <v>11</v>
      </c>
      <c r="D43" s="3" t="s">
        <v>383</v>
      </c>
      <c r="E43" s="16">
        <f>VLOOKUP($D43,Résultats!$B$2:$AX$476,E$5,FALSE)</f>
        <v>3.4538927410000002</v>
      </c>
      <c r="F43" s="16">
        <f>VLOOKUP($D43,Résultats!$B$2:$AX$476,F$5,FALSE)</f>
        <v>2.5774217450000001</v>
      </c>
      <c r="G43" s="22">
        <f>VLOOKUP($D43,Résultats!$B$2:$AX$476,G$5,FALSE)</f>
        <v>3.3814281990000001</v>
      </c>
      <c r="H43" s="16">
        <f>VLOOKUP($D43,Résultats!$B$2:$AX$476,H$5,FALSE)</f>
        <v>3.6443704399999999</v>
      </c>
      <c r="I43" s="86">
        <f>VLOOKUP($D43,Résultats!$B$2:$AX$476,I$5,FALSE)</f>
        <v>3.9136918340000002</v>
      </c>
      <c r="J43" s="22">
        <f>VLOOKUP($D43,Résultats!$B$2:$AX$476,J$5,FALSE)</f>
        <v>4.1330012839999997</v>
      </c>
      <c r="K43" s="16">
        <f>VLOOKUP($D43,Résultats!$B$2:$AX$476,K$5,FALSE)</f>
        <v>4.3533861969999998</v>
      </c>
      <c r="L43" s="16">
        <f>VLOOKUP($D43,Résultats!$B$2:$AX$476,L$5,FALSE)</f>
        <v>4.5373085660000001</v>
      </c>
      <c r="M43" s="16">
        <f>VLOOKUP($D43,Résultats!$B$2:$AX$476,M$5,FALSE)</f>
        <v>4.5139008690000004</v>
      </c>
      <c r="N43" s="86">
        <f>VLOOKUP($D43,Résultats!$B$2:$AX$476,N$5,FALSE)</f>
        <v>4.4159751600000003</v>
      </c>
      <c r="O43" s="22">
        <f>VLOOKUP($D43,Résultats!$B$2:$AX$476,O$5,FALSE)</f>
        <v>4.3732481180000002</v>
      </c>
      <c r="P43" s="16">
        <f>VLOOKUP($D43,Résultats!$B$2:$AX$476,P$5,FALSE)</f>
        <v>4.3234071439999999</v>
      </c>
      <c r="Q43" s="16">
        <f>VLOOKUP($D43,Résultats!$B$2:$AX$476,Q$5,FALSE)</f>
        <v>4.2724574740000003</v>
      </c>
      <c r="R43" s="16">
        <f>VLOOKUP($D43,Résultats!$B$2:$AX$476,R$5,FALSE)</f>
        <v>4.248048206</v>
      </c>
      <c r="S43" s="86">
        <f>VLOOKUP($D43,Résultats!$B$2:$AX$476,S$5,FALSE)</f>
        <v>4.2298401590000001</v>
      </c>
      <c r="T43" s="95">
        <f>VLOOKUP($D43,Résultats!$B$2:$AX$476,T$5,FALSE)</f>
        <v>4.1495658019999997</v>
      </c>
      <c r="U43" s="95">
        <f>VLOOKUP($D43,Résultats!$B$2:$AX$476,U$5,FALSE)</f>
        <v>3.8600689629999998</v>
      </c>
      <c r="V43" s="95">
        <f>VLOOKUP($D43,Résultats!$B$2:$AX$476,V$5,FALSE)</f>
        <v>3.7917828089999999</v>
      </c>
      <c r="W43" s="95">
        <f>VLOOKUP($D43,Résultats!$B$2:$AX$476,W$5,FALSE)</f>
        <v>3.627953851</v>
      </c>
      <c r="X43" s="45">
        <f>W43-'[1]Cibles THREEME'!$AJ14</f>
        <v>-0.2384436836227235</v>
      </c>
      <c r="Z43" s="194"/>
      <c r="AA43" s="195">
        <v>2020</v>
      </c>
      <c r="AB43" s="195">
        <v>2030</v>
      </c>
      <c r="AC43" s="196">
        <v>2050</v>
      </c>
    </row>
    <row r="44" spans="1:39" x14ac:dyDescent="0.25">
      <c r="A44" s="3"/>
      <c r="B44" s="320"/>
      <c r="C44" s="7" t="s">
        <v>12</v>
      </c>
      <c r="D44" s="3" t="s">
        <v>384</v>
      </c>
      <c r="E44" s="17">
        <f>VLOOKUP($D44,Résultats!$B$2:$AX$476,E$5,FALSE)</f>
        <v>0.22374102330000001</v>
      </c>
      <c r="F44" s="17">
        <f>VLOOKUP($D44,Résultats!$B$2:$AX$476,F$5,FALSE)</f>
        <v>0.64414340059999997</v>
      </c>
      <c r="G44" s="88">
        <f>VLOOKUP($D44,Résultats!$B$2:$AX$476,G$5,FALSE)</f>
        <v>0.5425891545</v>
      </c>
      <c r="H44" s="17">
        <f>VLOOKUP($D44,Résultats!$B$2:$AX$476,H$5,FALSE)</f>
        <v>0.5041074888</v>
      </c>
      <c r="I44" s="89">
        <f>VLOOKUP($D44,Résultats!$B$2:$AX$476,I$5,FALSE)</f>
        <v>0.46521039720000001</v>
      </c>
      <c r="J44" s="88">
        <f>VLOOKUP($D44,Résultats!$B$2:$AX$476,J$5,FALSE)</f>
        <v>0.4940228733</v>
      </c>
      <c r="K44" s="17">
        <f>VLOOKUP($D44,Résultats!$B$2:$AX$476,K$5,FALSE)</f>
        <v>0.52303496419999995</v>
      </c>
      <c r="L44" s="17">
        <f>VLOOKUP($D44,Résultats!$B$2:$AX$476,L$5,FALSE)</f>
        <v>0.54770942700000003</v>
      </c>
      <c r="M44" s="17">
        <f>VLOOKUP($D44,Résultats!$B$2:$AX$476,M$5,FALSE)</f>
        <v>0.64294206080000005</v>
      </c>
      <c r="N44" s="89">
        <f>VLOOKUP($D44,Résultats!$B$2:$AX$476,N$5,FALSE)</f>
        <v>0.72232466520000005</v>
      </c>
      <c r="O44" s="88">
        <f>VLOOKUP($D44,Résultats!$B$2:$AX$476,O$5,FALSE)</f>
        <v>0.69927053630000002</v>
      </c>
      <c r="P44" s="17">
        <f>VLOOKUP($D44,Résultats!$B$2:$AX$476,P$5,FALSE)</f>
        <v>0.67546347539999996</v>
      </c>
      <c r="Q44" s="17">
        <f>VLOOKUP($D44,Résultats!$B$2:$AX$476,Q$5,FALSE)</f>
        <v>0.65189622410000003</v>
      </c>
      <c r="R44" s="17">
        <f>VLOOKUP($D44,Résultats!$B$2:$AX$476,R$5,FALSE)</f>
        <v>0.63261015480000005</v>
      </c>
      <c r="S44" s="89">
        <f>VLOOKUP($D44,Résultats!$B$2:$AX$476,S$5,FALSE)</f>
        <v>0.61442132279999995</v>
      </c>
      <c r="T44" s="97">
        <f>VLOOKUP($D44,Résultats!$B$2:$AX$476,T$5,FALSE)</f>
        <v>0.70495510370000003</v>
      </c>
      <c r="U44" s="97">
        <f>VLOOKUP($D44,Résultats!$B$2:$AX$476,U$5,FALSE)</f>
        <v>0.85913508059999999</v>
      </c>
      <c r="V44" s="97">
        <f>VLOOKUP($D44,Résultats!$B$2:$AX$476,V$5,FALSE)</f>
        <v>0.85996375430000005</v>
      </c>
      <c r="W44" s="97">
        <f>VLOOKUP($D44,Résultats!$B$2:$AX$476,W$5,FALSE)</f>
        <v>0.87004746619999995</v>
      </c>
      <c r="X44" s="45">
        <f>W44-'[1]Cibles THREEME'!$AJ15</f>
        <v>0.55951790042715133</v>
      </c>
      <c r="Z44" s="197" t="s">
        <v>458</v>
      </c>
      <c r="AA44" s="16">
        <f>I36</f>
        <v>38.150345359399999</v>
      </c>
      <c r="AB44" s="16">
        <f>S36</f>
        <v>41.902509338499996</v>
      </c>
      <c r="AC44" s="86">
        <f>W36</f>
        <v>42.219164021819992</v>
      </c>
    </row>
    <row r="45" spans="1:39" x14ac:dyDescent="0.25">
      <c r="A45" s="3"/>
      <c r="B45" s="318" t="s">
        <v>53</v>
      </c>
      <c r="C45" s="5" t="s">
        <v>1</v>
      </c>
      <c r="D45" s="2" t="s">
        <v>385</v>
      </c>
      <c r="E45" s="6">
        <f>SUM(E46:E51)</f>
        <v>37.372055505900001</v>
      </c>
      <c r="F45" s="6">
        <f>SUM(F46:F51)</f>
        <v>43.150748523100006</v>
      </c>
      <c r="G45" s="84">
        <f t="shared" ref="G45:R45" si="11">SUM(G46:G51)</f>
        <v>43.039959169900001</v>
      </c>
      <c r="H45" s="6">
        <f t="shared" si="11"/>
        <v>41.930906919700007</v>
      </c>
      <c r="I45" s="85">
        <f t="shared" si="11"/>
        <v>41.296630375000007</v>
      </c>
      <c r="J45" s="84">
        <f t="shared" si="11"/>
        <v>41.147333411600002</v>
      </c>
      <c r="K45" s="6">
        <f t="shared" si="11"/>
        <v>41.026941716699994</v>
      </c>
      <c r="L45" s="6">
        <f t="shared" si="11"/>
        <v>41.655988816899999</v>
      </c>
      <c r="M45" s="6">
        <f t="shared" si="11"/>
        <v>41.068486537700004</v>
      </c>
      <c r="N45" s="85">
        <f t="shared" si="11"/>
        <v>40.3552308246</v>
      </c>
      <c r="O45" s="84">
        <f t="shared" si="11"/>
        <v>39.730585133099993</v>
      </c>
      <c r="P45" s="6">
        <f t="shared" si="11"/>
        <v>39.280709970200007</v>
      </c>
      <c r="Q45" s="6">
        <f t="shared" si="11"/>
        <v>38.805638067700002</v>
      </c>
      <c r="R45" s="6">
        <f t="shared" si="11"/>
        <v>37.752693147000002</v>
      </c>
      <c r="S45" s="85">
        <f>SUM(S46:S51)</f>
        <v>36.692888642100002</v>
      </c>
      <c r="T45" s="94">
        <f>SUM(T46:T51)</f>
        <v>35.107720512</v>
      </c>
      <c r="U45" s="94">
        <f>SUM(U46:U51)</f>
        <v>33.371681844000001</v>
      </c>
      <c r="V45" s="94">
        <f>SUM(V46:V51)</f>
        <v>33.650450057</v>
      </c>
      <c r="W45" s="94">
        <f>SUM(W46:W51)</f>
        <v>31.5593610337</v>
      </c>
      <c r="X45" s="3"/>
      <c r="Z45" s="197" t="s">
        <v>459</v>
      </c>
      <c r="AA45" s="16">
        <f>SUM(I47,I49:I51)</f>
        <v>12.5842752767</v>
      </c>
      <c r="AB45" s="16">
        <f>S47+SUM(S49:S51)</f>
        <v>16.4554018121</v>
      </c>
      <c r="AC45" s="86">
        <f>W47+SUM(W49:W51)</f>
        <v>16.629165163700002</v>
      </c>
    </row>
    <row r="46" spans="1:39" x14ac:dyDescent="0.25">
      <c r="A46" s="3"/>
      <c r="B46" s="319"/>
      <c r="C46" s="3" t="s">
        <v>13</v>
      </c>
      <c r="D46" s="3" t="s">
        <v>386</v>
      </c>
      <c r="E46" s="16">
        <f>VLOOKUP($D46,Résultats!$B$2:$AX$476,E$5,FALSE)</f>
        <v>34.363952900000001</v>
      </c>
      <c r="F46" s="16">
        <f>VLOOKUP($D46,Résultats!$B$2:$AX$476,F$5,FALSE)</f>
        <v>30.171865149999999</v>
      </c>
      <c r="G46" s="22">
        <f>VLOOKUP($D46,Résultats!$B$2:$AX$476,G$5,FALSE)</f>
        <v>29.71158097</v>
      </c>
      <c r="H46" s="16">
        <f>VLOOKUP($D46,Résultats!$B$2:$AX$476,H$5,FALSE)</f>
        <v>28.822103909999999</v>
      </c>
      <c r="I46" s="86">
        <f>VLOOKUP($D46,Résultats!$B$2:$AX$476,I$5,FALSE)</f>
        <v>28.264343660000002</v>
      </c>
      <c r="J46" s="22">
        <f>VLOOKUP($D46,Résultats!$B$2:$AX$476,J$5,FALSE)</f>
        <v>27.02340615</v>
      </c>
      <c r="K46" s="16">
        <f>VLOOKUP($D46,Résultats!$B$2:$AX$476,K$5,FALSE)</f>
        <v>25.781749520000002</v>
      </c>
      <c r="L46" s="16">
        <f>VLOOKUP($D46,Résultats!$B$2:$AX$476,L$5,FALSE)</f>
        <v>24.721190159999999</v>
      </c>
      <c r="M46" s="16">
        <f>VLOOKUP($D46,Résultats!$B$2:$AX$476,M$5,FALSE)</f>
        <v>24.270557660000001</v>
      </c>
      <c r="N46" s="86">
        <f>VLOOKUP($D46,Résultats!$B$2:$AX$476,N$5,FALSE)</f>
        <v>23.427722249999999</v>
      </c>
      <c r="O46" s="22">
        <f>VLOOKUP($D46,Résultats!$B$2:$AX$476,O$5,FALSE)</f>
        <v>22.132374710000001</v>
      </c>
      <c r="P46" s="16">
        <f>VLOOKUP($D46,Résultats!$B$2:$AX$476,P$5,FALSE)</f>
        <v>20.970821910000002</v>
      </c>
      <c r="Q46" s="16">
        <f>VLOOKUP($D46,Résultats!$B$2:$AX$476,Q$5,FALSE)</f>
        <v>19.824932839999999</v>
      </c>
      <c r="R46" s="16">
        <f>VLOOKUP($D46,Résultats!$B$2:$AX$476,R$5,FALSE)</f>
        <v>18.458066899999999</v>
      </c>
      <c r="S46" s="86">
        <f>VLOOKUP($D46,Résultats!$B$2:$AX$476,S$5,FALSE)</f>
        <v>17.136846460000001</v>
      </c>
      <c r="T46" s="95">
        <f>VLOOKUP($D46,Résultats!$B$2:$AX$476,T$5,FALSE)</f>
        <v>9.897821832</v>
      </c>
      <c r="U46" s="95">
        <f>VLOOKUP($D46,Résultats!$B$2:$AX$476,U$5,FALSE)</f>
        <v>9.439362891</v>
      </c>
      <c r="V46" s="95">
        <f>VLOOKUP($D46,Résultats!$B$2:$AX$476,V$5,FALSE)</f>
        <v>3.0987866789999998</v>
      </c>
      <c r="W46" s="95">
        <f>VLOOKUP($D46,Résultats!$B$2:$AX$476,W$5,FALSE)</f>
        <v>5.308521034</v>
      </c>
      <c r="X46" s="45">
        <f>W46-'[1]Cibles THREEME'!$AJ17</f>
        <v>3.9114612233782244</v>
      </c>
      <c r="Z46" s="197" t="s">
        <v>460</v>
      </c>
      <c r="AA46" s="16">
        <f>I46+I48</f>
        <v>28.712355098300002</v>
      </c>
      <c r="AB46" s="16">
        <f>S46+S48</f>
        <v>20.237486830000002</v>
      </c>
      <c r="AC46" s="86">
        <f>W46+W48</f>
        <v>14.93019587</v>
      </c>
    </row>
    <row r="47" spans="1:39" x14ac:dyDescent="0.25">
      <c r="A47" s="3"/>
      <c r="B47" s="319"/>
      <c r="C47" s="3" t="s">
        <v>14</v>
      </c>
      <c r="D47" s="3" t="s">
        <v>387</v>
      </c>
      <c r="E47" s="16">
        <f>VLOOKUP($D47,Résultats!$B$2:$AX$476,E$5,FALSE)</f>
        <v>1.608611019</v>
      </c>
      <c r="F47" s="16">
        <f>VLOOKUP($D47,Résultats!$B$2:$AX$476,F$5,FALSE)</f>
        <v>7.913858877</v>
      </c>
      <c r="G47" s="22">
        <f>VLOOKUP($D47,Résultats!$B$2:$AX$476,G$5,FALSE)</f>
        <v>8.1672845120000002</v>
      </c>
      <c r="H47" s="16">
        <f>VLOOKUP($D47,Résultats!$B$2:$AX$476,H$5,FALSE)</f>
        <v>8.0454068119999995</v>
      </c>
      <c r="I47" s="86">
        <f>VLOOKUP($D47,Résultats!$B$2:$AX$476,I$5,FALSE)</f>
        <v>8.0107860520000003</v>
      </c>
      <c r="J47" s="22">
        <f>VLOOKUP($D47,Résultats!$B$2:$AX$476,J$5,FALSE)</f>
        <v>8.194134343</v>
      </c>
      <c r="K47" s="16">
        <f>VLOOKUP($D47,Résultats!$B$2:$AX$476,K$5,FALSE)</f>
        <v>8.3869122090000001</v>
      </c>
      <c r="L47" s="16">
        <f>VLOOKUP($D47,Résultats!$B$2:$AX$476,L$5,FALSE)</f>
        <v>8.9504428859999994</v>
      </c>
      <c r="M47" s="16">
        <f>VLOOKUP($D47,Résultats!$B$2:$AX$476,M$5,FALSE)</f>
        <v>8.5064116080000005</v>
      </c>
      <c r="N47" s="86">
        <f>VLOOKUP($D47,Résultats!$B$2:$AX$476,N$5,FALSE)</f>
        <v>8.317653859</v>
      </c>
      <c r="O47" s="22">
        <f>VLOOKUP($D47,Résultats!$B$2:$AX$476,O$5,FALSE)</f>
        <v>8.2342934400000001</v>
      </c>
      <c r="P47" s="16">
        <f>VLOOKUP($D47,Résultats!$B$2:$AX$476,P$5,FALSE)</f>
        <v>8.1854243990000004</v>
      </c>
      <c r="Q47" s="16">
        <f>VLOOKUP($D47,Résultats!$B$2:$AX$476,Q$5,FALSE)</f>
        <v>8.1329748380000009</v>
      </c>
      <c r="R47" s="16">
        <f>VLOOKUP($D47,Résultats!$B$2:$AX$476,R$5,FALSE)</f>
        <v>7.9868415659999998</v>
      </c>
      <c r="S47" s="86">
        <f>VLOOKUP($D47,Résultats!$B$2:$AX$476,S$5,FALSE)</f>
        <v>7.8434935729999999</v>
      </c>
      <c r="T47" s="95">
        <f>VLOOKUP($D47,Résultats!$B$2:$AX$476,T$5,FALSE)</f>
        <v>9.3475523260000006</v>
      </c>
      <c r="U47" s="95">
        <f>VLOOKUP($D47,Résultats!$B$2:$AX$476,U$5,FALSE)</f>
        <v>6.9875657469999997</v>
      </c>
      <c r="V47" s="95">
        <f>VLOOKUP($D47,Résultats!$B$2:$AX$476,V$5,FALSE)</f>
        <v>10.03111539</v>
      </c>
      <c r="W47" s="95">
        <f>VLOOKUP($D47,Résultats!$B$2:$AX$476,W$5,FALSE)</f>
        <v>6.7566959359999998</v>
      </c>
      <c r="X47" s="45">
        <f>W47-'[1]Cibles THREEME'!$AJ18</f>
        <v>-3.6759568655308783</v>
      </c>
      <c r="Z47" s="197" t="s">
        <v>461</v>
      </c>
      <c r="AA47" s="16">
        <f>I33</f>
        <v>63.117414568000001</v>
      </c>
      <c r="AB47" s="16">
        <f>S33</f>
        <v>46.740563330000001</v>
      </c>
      <c r="AC47" s="86">
        <f>W33</f>
        <v>18.715222993000001</v>
      </c>
    </row>
    <row r="48" spans="1:39" x14ac:dyDescent="0.25">
      <c r="A48" s="3"/>
      <c r="B48" s="319"/>
      <c r="C48" s="3" t="s">
        <v>15</v>
      </c>
      <c r="D48" s="3" t="s">
        <v>388</v>
      </c>
      <c r="E48" s="16">
        <f>VLOOKUP($D48,Résultats!$B$2:$AX$476,E$5,FALSE)</f>
        <v>0.20107637740000001</v>
      </c>
      <c r="F48" s="16">
        <f>VLOOKUP($D48,Résultats!$B$2:$AX$476,F$5,FALSE)</f>
        <v>0.13375148210000001</v>
      </c>
      <c r="G48" s="22">
        <f>VLOOKUP($D48,Résultats!$B$2:$AX$476,G$5,FALSE)</f>
        <v>0.33387848790000002</v>
      </c>
      <c r="H48" s="16">
        <f>VLOOKUP($D48,Résultats!$B$2:$AX$476,H$5,FALSE)</f>
        <v>0.39014215829999999</v>
      </c>
      <c r="I48" s="86">
        <f>VLOOKUP($D48,Résultats!$B$2:$AX$476,I$5,FALSE)</f>
        <v>0.44801143830000001</v>
      </c>
      <c r="J48" s="22">
        <f>VLOOKUP($D48,Résultats!$B$2:$AX$476,J$5,FALSE)</f>
        <v>0.6952335181</v>
      </c>
      <c r="K48" s="16">
        <f>VLOOKUP($D48,Résultats!$B$2:$AX$476,K$5,FALSE)</f>
        <v>0.94724941159999998</v>
      </c>
      <c r="L48" s="16">
        <f>VLOOKUP($D48,Résultats!$B$2:$AX$476,L$5,FALSE)</f>
        <v>1.2378676179999999</v>
      </c>
      <c r="M48" s="16">
        <f>VLOOKUP($D48,Résultats!$B$2:$AX$476,M$5,FALSE)</f>
        <v>1.3226306350000001</v>
      </c>
      <c r="N48" s="86">
        <f>VLOOKUP($D48,Résultats!$B$2:$AX$476,N$5,FALSE)</f>
        <v>1.4089508630000001</v>
      </c>
      <c r="O48" s="22">
        <f>VLOOKUP($D48,Résultats!$B$2:$AX$476,O$5,FALSE)</f>
        <v>1.8157551569999999</v>
      </c>
      <c r="P48" s="16">
        <f>VLOOKUP($D48,Résultats!$B$2:$AX$476,P$5,FALSE)</f>
        <v>2.2137814680000001</v>
      </c>
      <c r="Q48" s="16">
        <f>VLOOKUP($D48,Résultats!$B$2:$AX$476,Q$5,FALSE)</f>
        <v>2.5954569200000002</v>
      </c>
      <c r="R48" s="16">
        <f>VLOOKUP($D48,Résultats!$B$2:$AX$476,R$5,FALSE)</f>
        <v>2.8602228360000002</v>
      </c>
      <c r="S48" s="86">
        <f>VLOOKUP($D48,Résultats!$B$2:$AX$476,S$5,FALSE)</f>
        <v>3.1006403699999998</v>
      </c>
      <c r="T48" s="95">
        <f>VLOOKUP($D48,Résultats!$B$2:$AX$476,T$5,FALSE)</f>
        <v>5.4486137799999996</v>
      </c>
      <c r="U48" s="95">
        <f>VLOOKUP($D48,Résultats!$B$2:$AX$476,U$5,FALSE)</f>
        <v>7.0260872479999996</v>
      </c>
      <c r="V48" s="95">
        <f>VLOOKUP($D48,Résultats!$B$2:$AX$476,V$5,FALSE)</f>
        <v>8.8973083979999998</v>
      </c>
      <c r="W48" s="95">
        <f>VLOOKUP($D48,Résultats!$B$2:$AX$476,W$5,FALSE)</f>
        <v>9.6216748360000004</v>
      </c>
      <c r="X48" s="45">
        <f>W48-'[1]Cibles THREEME'!$AJ19</f>
        <v>-2.6794102035072189</v>
      </c>
      <c r="Z48" s="198" t="s">
        <v>42</v>
      </c>
      <c r="AA48" s="17">
        <f>I52</f>
        <v>2.0763035849999998</v>
      </c>
      <c r="AB48" s="17">
        <f>S52</f>
        <v>0.31033247130000002</v>
      </c>
      <c r="AC48" s="89">
        <f>W52</f>
        <v>0.1048105744</v>
      </c>
    </row>
    <row r="49" spans="1:29" x14ac:dyDescent="0.25">
      <c r="A49" s="3"/>
      <c r="B49" s="319"/>
      <c r="C49" s="3" t="s">
        <v>16</v>
      </c>
      <c r="D49" s="3" t="s">
        <v>389</v>
      </c>
      <c r="E49" s="16">
        <f>VLOOKUP($D49,Résultats!$B$2:$AX$476,E$5,FALSE)</f>
        <v>0.59518607720000005</v>
      </c>
      <c r="F49" s="16">
        <f>VLOOKUP($D49,Résultats!$B$2:$AX$476,F$5,FALSE)</f>
        <v>0.47472886609999998</v>
      </c>
      <c r="G49" s="22">
        <f>VLOOKUP($D49,Résultats!$B$2:$AX$476,G$5,FALSE)</f>
        <v>1.13398544</v>
      </c>
      <c r="H49" s="16">
        <f>VLOOKUP($D49,Résultats!$B$2:$AX$476,H$5,FALSE)</f>
        <v>1.3184777089999999</v>
      </c>
      <c r="I49" s="86">
        <f>VLOOKUP($D49,Résultats!$B$2:$AX$476,I$5,FALSE)</f>
        <v>1.5086347</v>
      </c>
      <c r="J49" s="22">
        <f>VLOOKUP($D49,Résultats!$B$2:$AX$476,J$5,FALSE)</f>
        <v>1.566156125</v>
      </c>
      <c r="K49" s="16">
        <f>VLOOKUP($D49,Résultats!$B$2:$AX$476,K$5,FALSE)</f>
        <v>1.6258673400000001</v>
      </c>
      <c r="L49" s="16">
        <f>VLOOKUP($D49,Résultats!$B$2:$AX$476,L$5,FALSE)</f>
        <v>1.723550543</v>
      </c>
      <c r="M49" s="16">
        <f>VLOOKUP($D49,Résultats!$B$2:$AX$476,M$5,FALSE)</f>
        <v>1.449717578</v>
      </c>
      <c r="N49" s="86">
        <f>VLOOKUP($D49,Résultats!$B$2:$AX$476,N$5,FALSE)</f>
        <v>1.2359508100000001</v>
      </c>
      <c r="O49" s="22">
        <f>VLOOKUP($D49,Résultats!$B$2:$AX$476,O$5,FALSE)</f>
        <v>1.254188912</v>
      </c>
      <c r="P49" s="16">
        <f>VLOOKUP($D49,Résultats!$B$2:$AX$476,P$5,FALSE)</f>
        <v>1.2764843720000001</v>
      </c>
      <c r="Q49" s="16">
        <f>VLOOKUP($D49,Résultats!$B$2:$AX$476,Q$5,FALSE)</f>
        <v>1.296805108</v>
      </c>
      <c r="R49" s="16">
        <f>VLOOKUP($D49,Résultats!$B$2:$AX$476,R$5,FALSE)</f>
        <v>1.286186338</v>
      </c>
      <c r="S49" s="86">
        <f>VLOOKUP($D49,Résultats!$B$2:$AX$476,S$5,FALSE)</f>
        <v>1.2740120079999999</v>
      </c>
      <c r="T49" s="95">
        <f>VLOOKUP($D49,Résultats!$B$2:$AX$476,T$5,FALSE)</f>
        <v>1.3567524369999999</v>
      </c>
      <c r="U49" s="95">
        <f>VLOOKUP($D49,Résultats!$B$2:$AX$476,U$5,FALSE)</f>
        <v>1.0879880019999999</v>
      </c>
      <c r="V49" s="95">
        <f>VLOOKUP($D49,Résultats!$B$2:$AX$476,V$5,FALSE)</f>
        <v>1.3645258199999999</v>
      </c>
      <c r="W49" s="95">
        <f>VLOOKUP($D49,Résultats!$B$2:$AX$476,W$5,FALSE)</f>
        <v>0.97764049669999997</v>
      </c>
      <c r="X49" s="45">
        <f>W49-'[1]Cibles THREEME'!$AJ20</f>
        <v>0.27851076158588572</v>
      </c>
      <c r="Z49" s="189" t="s">
        <v>485</v>
      </c>
      <c r="AA49" s="189">
        <f>SUM(AA44:AA48)</f>
        <v>144.6406938874</v>
      </c>
      <c r="AB49" s="189">
        <f t="shared" ref="AB49:AC49" si="12">SUM(AB44:AB48)</f>
        <v>125.6462937819</v>
      </c>
      <c r="AC49" s="189">
        <f t="shared" si="12"/>
        <v>92.598558622919995</v>
      </c>
    </row>
    <row r="50" spans="1:29" x14ac:dyDescent="0.25">
      <c r="A50" s="3"/>
      <c r="B50" s="319"/>
      <c r="C50" s="3" t="s">
        <v>17</v>
      </c>
      <c r="D50" s="3" t="s">
        <v>390</v>
      </c>
      <c r="E50" s="16">
        <f>VLOOKUP($D50,Résultats!$B$2:$AX$476,E$5,FALSE)</f>
        <v>0.20107637740000001</v>
      </c>
      <c r="F50" s="16">
        <f>VLOOKUP($D50,Résultats!$B$2:$AX$476,F$5,FALSE)</f>
        <v>0.2273860409</v>
      </c>
      <c r="G50" s="22">
        <f>VLOOKUP($D50,Résultats!$B$2:$AX$476,G$5,FALSE)</f>
        <v>0.33592485</v>
      </c>
      <c r="H50" s="16">
        <f>VLOOKUP($D50,Résultats!$B$2:$AX$476,H$5,FALSE)</f>
        <v>0.36257800740000001</v>
      </c>
      <c r="I50" s="86">
        <f>VLOOKUP($D50,Résultats!$B$2:$AX$476,I$5,FALSE)</f>
        <v>0.39180595969999998</v>
      </c>
      <c r="J50" s="22">
        <f>VLOOKUP($D50,Résultats!$B$2:$AX$476,J$5,FALSE)</f>
        <v>0.46455778450000002</v>
      </c>
      <c r="K50" s="16">
        <f>VLOOKUP($D50,Résultats!$B$2:$AX$476,K$5,FALSE)</f>
        <v>0.53891920209999999</v>
      </c>
      <c r="L50" s="16">
        <f>VLOOKUP($D50,Résultats!$B$2:$AX$476,L$5,FALSE)</f>
        <v>0.64729335389999998</v>
      </c>
      <c r="M50" s="16">
        <f>VLOOKUP($D50,Résultats!$B$2:$AX$476,M$5,FALSE)</f>
        <v>0.60855085870000003</v>
      </c>
      <c r="N50" s="86">
        <f>VLOOKUP($D50,Résultats!$B$2:$AX$476,N$5,FALSE)</f>
        <v>0.60101518659999997</v>
      </c>
      <c r="O50" s="22">
        <f>VLOOKUP($D50,Résultats!$B$2:$AX$476,O$5,FALSE)</f>
        <v>0.63814542110000005</v>
      </c>
      <c r="P50" s="16">
        <f>VLOOKUP($D50,Résultats!$B$2:$AX$476,P$5,FALSE)</f>
        <v>0.67627090020000002</v>
      </c>
      <c r="Q50" s="16">
        <f>VLOOKUP($D50,Résultats!$B$2:$AX$476,Q$5,FALSE)</f>
        <v>0.71266047970000002</v>
      </c>
      <c r="R50" s="16">
        <f>VLOOKUP($D50,Résultats!$B$2:$AX$476,R$5,FALSE)</f>
        <v>0.74076787899999996</v>
      </c>
      <c r="S50" s="86">
        <f>VLOOKUP($D50,Résultats!$B$2:$AX$476,S$5,FALSE)</f>
        <v>0.76629647609999996</v>
      </c>
      <c r="T50" s="95">
        <f>VLOOKUP($D50,Résultats!$B$2:$AX$476,T$5,FALSE)</f>
        <v>1.248589132</v>
      </c>
      <c r="U50" s="95">
        <f>VLOOKUP($D50,Résultats!$B$2:$AX$476,U$5,FALSE)</f>
        <v>1.0241316499999999</v>
      </c>
      <c r="V50" s="95">
        <f>VLOOKUP($D50,Résultats!$B$2:$AX$476,V$5,FALSE)</f>
        <v>1.4854257019999999</v>
      </c>
      <c r="W50" s="95">
        <f>VLOOKUP($D50,Résultats!$B$2:$AX$476,W$5,FALSE)</f>
        <v>1.0981857690000001</v>
      </c>
      <c r="X50" s="45">
        <f>W50-'[1]Cibles THREEME'!$AJ21</f>
        <v>0.15522189897594973</v>
      </c>
    </row>
    <row r="51" spans="1:29" x14ac:dyDescent="0.25">
      <c r="A51" s="3"/>
      <c r="B51" s="320"/>
      <c r="C51" s="7" t="s">
        <v>12</v>
      </c>
      <c r="D51" s="3" t="s">
        <v>391</v>
      </c>
      <c r="E51" s="17">
        <f>VLOOKUP($D51,Résultats!$B$2:$AX$476,E$5,FALSE)</f>
        <v>0.40215275490000002</v>
      </c>
      <c r="F51" s="17">
        <f>VLOOKUP($D51,Résultats!$B$2:$AX$476,F$5,FALSE)</f>
        <v>4.2291581069999999</v>
      </c>
      <c r="G51" s="88">
        <f>VLOOKUP($D51,Résultats!$B$2:$AX$476,G$5,FALSE)</f>
        <v>3.3573049099999999</v>
      </c>
      <c r="H51" s="17">
        <f>VLOOKUP($D51,Résultats!$B$2:$AX$476,H$5,FALSE)</f>
        <v>2.9921983230000002</v>
      </c>
      <c r="I51" s="89">
        <f>VLOOKUP($D51,Résultats!$B$2:$AX$476,I$5,FALSE)</f>
        <v>2.6730485650000002</v>
      </c>
      <c r="J51" s="88">
        <f>VLOOKUP($D51,Résultats!$B$2:$AX$476,J$5,FALSE)</f>
        <v>3.203845491</v>
      </c>
      <c r="K51" s="17">
        <f>VLOOKUP($D51,Résultats!$B$2:$AX$476,K$5,FALSE)</f>
        <v>3.7462440340000001</v>
      </c>
      <c r="L51" s="17">
        <f>VLOOKUP($D51,Résultats!$B$2:$AX$476,L$5,FALSE)</f>
        <v>4.3756442560000002</v>
      </c>
      <c r="M51" s="17">
        <f>VLOOKUP($D51,Résultats!$B$2:$AX$476,M$5,FALSE)</f>
        <v>4.9106181979999999</v>
      </c>
      <c r="N51" s="89">
        <f>VLOOKUP($D51,Résultats!$B$2:$AX$476,N$5,FALSE)</f>
        <v>5.3639378559999997</v>
      </c>
      <c r="O51" s="88">
        <f>VLOOKUP($D51,Résultats!$B$2:$AX$476,O$5,FALSE)</f>
        <v>5.6558274930000003</v>
      </c>
      <c r="P51" s="17">
        <f>VLOOKUP($D51,Résultats!$B$2:$AX$476,P$5,FALSE)</f>
        <v>5.9579269210000003</v>
      </c>
      <c r="Q51" s="17">
        <f>VLOOKUP($D51,Résultats!$B$2:$AX$476,Q$5,FALSE)</f>
        <v>6.2428078820000001</v>
      </c>
      <c r="R51" s="17">
        <f>VLOOKUP($D51,Résultats!$B$2:$AX$476,R$5,FALSE)</f>
        <v>6.420607628</v>
      </c>
      <c r="S51" s="89">
        <f>VLOOKUP($D51,Résultats!$B$2:$AX$476,S$5,FALSE)</f>
        <v>6.5715997550000003</v>
      </c>
      <c r="T51" s="97">
        <f>VLOOKUP($D51,Résultats!$B$2:$AX$476,T$5,FALSE)</f>
        <v>7.8083910049999998</v>
      </c>
      <c r="U51" s="97">
        <f>VLOOKUP($D51,Résultats!$B$2:$AX$476,U$5,FALSE)</f>
        <v>7.8065463060000004</v>
      </c>
      <c r="V51" s="97">
        <f>VLOOKUP($D51,Résultats!$B$2:$AX$476,V$5,FALSE)</f>
        <v>8.7732880679999994</v>
      </c>
      <c r="W51" s="97">
        <f>VLOOKUP($D51,Résultats!$B$2:$AX$476,W$5,FALSE)</f>
        <v>7.796642962</v>
      </c>
      <c r="X51" s="45">
        <f>W51-'[1]Cibles THREEME'!$AJ22</f>
        <v>1.0353225704675912</v>
      </c>
    </row>
    <row r="52" spans="1:29" x14ac:dyDescent="0.25">
      <c r="A52" s="3"/>
      <c r="B52" s="170" t="s">
        <v>8</v>
      </c>
      <c r="C52" s="2"/>
      <c r="D52" s="14" t="s">
        <v>392</v>
      </c>
      <c r="E52" s="6">
        <f>VLOOKUP($D52,Résultats!$B$2:$AX$476,E$5,FALSE)</f>
        <v>5.7508898210000003</v>
      </c>
      <c r="F52" s="6">
        <f>VLOOKUP($D52,Résultats!$B$2:$AX$476,F$5,FALSE)</f>
        <v>4.2281147880000001</v>
      </c>
      <c r="G52" s="84">
        <f>VLOOKUP($D52,Résultats!$B$2:$AX$476,G$5,FALSE)</f>
        <v>2.474274055</v>
      </c>
      <c r="H52" s="6">
        <f>VLOOKUP($D52,Résultats!$B$2:$AX$476,H$5,FALSE)</f>
        <v>2.2606160329999998</v>
      </c>
      <c r="I52" s="85">
        <f>VLOOKUP($D52,Résultats!$B$2:$AX$476,I$5,FALSE)</f>
        <v>2.0763035849999998</v>
      </c>
      <c r="J52" s="84">
        <f>VLOOKUP($D52,Résultats!$B$2:$AX$476,J$5,FALSE)</f>
        <v>2.062396621</v>
      </c>
      <c r="K52" s="6">
        <f>VLOOKUP($D52,Résultats!$B$2:$AX$476,K$5,FALSE)</f>
        <v>2.0278059179999999</v>
      </c>
      <c r="L52" s="6">
        <f>VLOOKUP($D52,Résultats!$B$2:$AX$476,L$5,FALSE)</f>
        <v>1.727388994</v>
      </c>
      <c r="M52" s="6">
        <f>VLOOKUP($D52,Résultats!$B$2:$AX$476,M$5,FALSE)</f>
        <v>1.3447071610000001</v>
      </c>
      <c r="N52" s="85">
        <f>VLOOKUP($D52,Résultats!$B$2:$AX$476,N$5,FALSE)</f>
        <v>0.9865863829</v>
      </c>
      <c r="O52" s="84">
        <f>VLOOKUP($D52,Résultats!$B$2:$AX$476,O$5,FALSE)</f>
        <v>0.73849129869999997</v>
      </c>
      <c r="P52" s="6">
        <f>VLOOKUP($D52,Résultats!$B$2:$AX$476,P$5,FALSE)</f>
        <v>0.572250021</v>
      </c>
      <c r="Q52" s="6">
        <f>VLOOKUP($D52,Résultats!$B$2:$AX$476,Q$5,FALSE)</f>
        <v>0.45591781640000001</v>
      </c>
      <c r="R52" s="6">
        <f>VLOOKUP($D52,Résultats!$B$2:$AX$476,R$5,FALSE)</f>
        <v>0.37179510700000001</v>
      </c>
      <c r="S52" s="85">
        <f>VLOOKUP($D52,Résultats!$B$2:$AX$476,S$5,FALSE)</f>
        <v>0.31033247130000002</v>
      </c>
      <c r="T52" s="94">
        <f>VLOOKUP($D52,Résultats!$B$2:$AX$476,T$5,FALSE)</f>
        <v>0.19739560340000001</v>
      </c>
      <c r="U52" s="94">
        <f>VLOOKUP($D52,Résultats!$B$2:$AX$476,U$5,FALSE)</f>
        <v>0.1530616169</v>
      </c>
      <c r="V52" s="94">
        <f>VLOOKUP($D52,Résultats!$B$2:$AX$476,V$5,FALSE)</f>
        <v>0.1237916148</v>
      </c>
      <c r="W52" s="94">
        <f>VLOOKUP($D52,Résultats!$B$2:$AX$476,W$5,FALSE)</f>
        <v>0.1048105744</v>
      </c>
      <c r="X52" s="3"/>
    </row>
    <row r="53" spans="1:29" x14ac:dyDescent="0.25">
      <c r="A53" s="3"/>
      <c r="B53" s="169" t="s">
        <v>1</v>
      </c>
      <c r="C53" s="2"/>
      <c r="D53" s="2" t="s">
        <v>393</v>
      </c>
      <c r="E53" s="9">
        <f>E52+E45+E36+E33</f>
        <v>160.99205899539999</v>
      </c>
      <c r="F53" s="9">
        <f>F52+F45+F36+F33</f>
        <v>158.14705478990001</v>
      </c>
      <c r="G53" s="23">
        <f t="shared" ref="G53:R53" si="13">G52+G45+G36+G33</f>
        <v>150.38877529529998</v>
      </c>
      <c r="H53" s="9">
        <f t="shared" si="13"/>
        <v>147.45276331920002</v>
      </c>
      <c r="I53" s="90">
        <f t="shared" si="13"/>
        <v>144.6406938874</v>
      </c>
      <c r="J53" s="23">
        <f t="shared" si="13"/>
        <v>144.50173098869999</v>
      </c>
      <c r="K53" s="9">
        <f t="shared" si="13"/>
        <v>143.92149436799997</v>
      </c>
      <c r="L53" s="9">
        <f t="shared" si="13"/>
        <v>143.23501927339998</v>
      </c>
      <c r="M53" s="9">
        <f t="shared" si="13"/>
        <v>141.80954028690002</v>
      </c>
      <c r="N53" s="90">
        <f t="shared" si="13"/>
        <v>139.36470351470001</v>
      </c>
      <c r="O53" s="23">
        <f t="shared" si="13"/>
        <v>136.47596853469997</v>
      </c>
      <c r="P53" s="9">
        <f t="shared" si="13"/>
        <v>133.87819563490001</v>
      </c>
      <c r="Q53" s="9">
        <f t="shared" si="13"/>
        <v>131.34595211340002</v>
      </c>
      <c r="R53" s="9">
        <f t="shared" si="13"/>
        <v>128.45668044990001</v>
      </c>
      <c r="S53" s="90">
        <f>S52+S45+S36+S33</f>
        <v>125.6462937819</v>
      </c>
      <c r="T53" s="98">
        <f>T52+T45+T36+T33</f>
        <v>114.25264454866999</v>
      </c>
      <c r="U53" s="98">
        <f>U52+U45+U36+U33</f>
        <v>105.15315004871999</v>
      </c>
      <c r="V53" s="98">
        <f>V52+V45+V36+V33</f>
        <v>98.988625472639981</v>
      </c>
      <c r="W53" s="98">
        <f>W52+W45+W36+W33</f>
        <v>92.598558622919995</v>
      </c>
      <c r="X53" s="3"/>
    </row>
    <row r="54" spans="1:29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9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9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9" s="3" customFormat="1" x14ac:dyDescent="0.25"/>
    <row r="58" spans="1:29" s="3" customFormat="1" x14ac:dyDescent="0.25"/>
    <row r="59" spans="1:29" s="3" customFormat="1" x14ac:dyDescent="0.25"/>
    <row r="60" spans="1:29" s="3" customFormat="1" x14ac:dyDescent="0.25"/>
    <row r="61" spans="1:29" s="3" customFormat="1" x14ac:dyDescent="0.25"/>
    <row r="62" spans="1:29" s="3" customFormat="1" x14ac:dyDescent="0.25"/>
    <row r="63" spans="1:29" s="3" customFormat="1" x14ac:dyDescent="0.25"/>
    <row r="64" spans="1:29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0070C0"/>
  </sheetPr>
  <dimension ref="A1:AE860"/>
  <sheetViews>
    <sheetView tabSelected="1" topLeftCell="A101" zoomScale="70" zoomScaleNormal="70" workbookViewId="0">
      <selection activeCell="M4" sqref="M4"/>
    </sheetView>
  </sheetViews>
  <sheetFormatPr baseColWidth="10" defaultRowHeight="15" x14ac:dyDescent="0.25"/>
  <cols>
    <col min="1" max="2" width="11.42578125" style="3"/>
    <col min="3" max="3" width="37.28515625" customWidth="1"/>
    <col min="4" max="4" width="25.2851562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2" width="11.42578125" customWidth="1"/>
    <col min="14" max="14" width="24.85546875" style="3" customWidth="1"/>
    <col min="20" max="20" width="11.42578125" style="3"/>
    <col min="21" max="21" width="37.28515625" customWidth="1"/>
    <col min="22" max="22" width="25.2851562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31" max="31" width="11.42578125" style="3"/>
  </cols>
  <sheetData>
    <row r="1" spans="1:30" ht="28.5" x14ac:dyDescent="0.45">
      <c r="A1" s="171" t="s">
        <v>98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41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61" t="str">
        <f>Résultats!B1</f>
        <v>SNBC3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41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41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42"/>
      <c r="C6" s="42"/>
      <c r="D6" s="42"/>
      <c r="E6" s="42"/>
      <c r="F6" s="42"/>
      <c r="G6" s="42"/>
      <c r="H6" s="42"/>
      <c r="I6" s="42"/>
      <c r="J6" s="3"/>
      <c r="K6" s="3"/>
      <c r="M6" s="3"/>
      <c r="O6" s="3"/>
      <c r="P6" s="3"/>
      <c r="Q6" s="3"/>
      <c r="R6" s="41"/>
      <c r="S6" s="41"/>
      <c r="T6" s="42"/>
      <c r="U6" s="42"/>
      <c r="V6" s="42"/>
      <c r="W6" s="42"/>
      <c r="X6" s="42"/>
      <c r="Y6" s="42"/>
      <c r="Z6" s="42"/>
      <c r="AA6" s="42"/>
      <c r="AB6" s="3"/>
      <c r="AC6" s="3"/>
    </row>
    <row r="7" spans="1:30" ht="18.75" x14ac:dyDescent="0.3">
      <c r="C7" s="41" t="s">
        <v>83</v>
      </c>
      <c r="I7" s="3"/>
      <c r="J7" s="3"/>
      <c r="K7" s="3"/>
      <c r="L7" s="3"/>
      <c r="M7" s="3"/>
      <c r="N7" s="41" t="s">
        <v>84</v>
      </c>
      <c r="O7" s="3"/>
      <c r="P7" s="3"/>
      <c r="Q7" s="3"/>
      <c r="R7" s="3"/>
      <c r="S7" s="3"/>
      <c r="U7" s="41" t="s">
        <v>83</v>
      </c>
      <c r="AA7" s="3"/>
      <c r="AB7" s="3"/>
      <c r="AC7" s="3"/>
      <c r="AD7" s="3"/>
    </row>
    <row r="8" spans="1:30" ht="23.25" x14ac:dyDescent="0.35">
      <c r="B8" s="46"/>
      <c r="C8" s="42" t="s">
        <v>50</v>
      </c>
      <c r="D8" s="3"/>
      <c r="E8" s="42"/>
      <c r="F8" s="42"/>
      <c r="G8" s="42"/>
      <c r="H8" s="42"/>
      <c r="I8" s="42"/>
      <c r="J8" s="42"/>
      <c r="K8" s="42"/>
      <c r="L8" s="3"/>
      <c r="M8" s="3"/>
      <c r="N8" t="s">
        <v>85</v>
      </c>
      <c r="U8" s="42" t="s">
        <v>50</v>
      </c>
      <c r="V8" s="3"/>
      <c r="W8" s="42"/>
      <c r="X8" s="42"/>
      <c r="Y8" s="42"/>
      <c r="Z8" s="42"/>
      <c r="AA8" s="42"/>
      <c r="AB8" s="42"/>
      <c r="AC8" s="42"/>
      <c r="AD8" s="3"/>
    </row>
    <row r="9" spans="1:30" x14ac:dyDescent="0.25">
      <c r="B9" s="42"/>
      <c r="C9" s="3"/>
      <c r="D9" s="3"/>
      <c r="E9" s="3"/>
      <c r="F9" s="3"/>
      <c r="G9" s="3"/>
      <c r="H9" s="42"/>
      <c r="I9" s="42"/>
      <c r="J9" s="42"/>
      <c r="K9" s="42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42"/>
      <c r="AA9" s="42"/>
      <c r="AB9" s="42"/>
      <c r="AC9" s="42"/>
      <c r="AD9" s="3"/>
    </row>
    <row r="10" spans="1:30" ht="31.5" x14ac:dyDescent="0.35">
      <c r="B10" s="42"/>
      <c r="C10" s="145">
        <v>2015</v>
      </c>
      <c r="D10" s="146"/>
      <c r="E10" s="146"/>
      <c r="F10" s="146"/>
      <c r="G10" s="146"/>
      <c r="H10" s="76" t="s">
        <v>36</v>
      </c>
      <c r="I10" s="76" t="s">
        <v>49</v>
      </c>
      <c r="J10" s="76" t="s">
        <v>38</v>
      </c>
      <c r="K10" s="76" t="s">
        <v>48</v>
      </c>
      <c r="L10" s="93" t="s">
        <v>1</v>
      </c>
      <c r="M10" s="19"/>
      <c r="N10" s="145">
        <v>2015</v>
      </c>
      <c r="O10" s="141" t="s">
        <v>36</v>
      </c>
      <c r="P10" s="76" t="s">
        <v>49</v>
      </c>
      <c r="Q10" s="76" t="s">
        <v>38</v>
      </c>
      <c r="R10" s="76" t="s">
        <v>48</v>
      </c>
      <c r="S10" s="93" t="s">
        <v>1</v>
      </c>
      <c r="U10" s="145">
        <v>2015</v>
      </c>
      <c r="V10" s="146"/>
      <c r="W10" s="146"/>
      <c r="X10" s="146"/>
      <c r="Y10" s="146"/>
      <c r="Z10" s="76" t="s">
        <v>36</v>
      </c>
      <c r="AA10" s="76" t="s">
        <v>49</v>
      </c>
      <c r="AB10" s="76" t="s">
        <v>38</v>
      </c>
      <c r="AC10" s="76" t="s">
        <v>48</v>
      </c>
      <c r="AD10" s="93" t="s">
        <v>1</v>
      </c>
    </row>
    <row r="11" spans="1:30" x14ac:dyDescent="0.25">
      <c r="C11" s="147" t="s">
        <v>18</v>
      </c>
      <c r="H11" s="8">
        <f>SUM(H12:H13)</f>
        <v>0</v>
      </c>
      <c r="I11" s="8">
        <f>SUM(I12:I13)</f>
        <v>43.297579249999998</v>
      </c>
      <c r="J11" s="8">
        <f>SUM(J12:J13)</f>
        <v>1.2190467307000001</v>
      </c>
      <c r="K11" s="8">
        <f>SUM(K12:K13)</f>
        <v>0.24410581364298001</v>
      </c>
      <c r="L11" s="96">
        <f>SUM(H11:K11)</f>
        <v>44.760731794342981</v>
      </c>
      <c r="M11" s="75"/>
      <c r="N11" s="150" t="s">
        <v>18</v>
      </c>
      <c r="O11" s="29">
        <f>'[2]Bilan 2015'!$X$46</f>
        <v>0</v>
      </c>
      <c r="P11" s="28">
        <f>SUM('[2]Bilan 2015'!$X$41:$X$43)</f>
        <v>42.748696780825377</v>
      </c>
      <c r="Q11" s="28">
        <f>'[2]Bilan 2015'!$X$13</f>
        <v>0.94471195184866696</v>
      </c>
      <c r="R11" s="28">
        <f>('[2]Bilan 2015'!$X$22+'[2]Bilan 2015'!$X$30+SUM('[2]Bilan 2015'!$X$36:$X$40)+SUM('[2]Bilan 2015'!$X$44:$X$45)+'[2]Bilan 2015'!$X$47)</f>
        <v>7.267406707154804E-2</v>
      </c>
      <c r="S11" s="142">
        <f>SUM(O11:R11)</f>
        <v>43.76608279974559</v>
      </c>
      <c r="U11" s="147" t="s">
        <v>18</v>
      </c>
      <c r="Z11" s="8">
        <v>0</v>
      </c>
      <c r="AA11" s="8">
        <v>43.296932820000002</v>
      </c>
      <c r="AB11" s="8">
        <v>1.2190954743</v>
      </c>
      <c r="AC11" s="8">
        <v>0.24410668334510999</v>
      </c>
      <c r="AD11" s="96">
        <v>44.760134977645109</v>
      </c>
    </row>
    <row r="12" spans="1:30" x14ac:dyDescent="0.25">
      <c r="C12" s="148" t="s">
        <v>19</v>
      </c>
      <c r="D12" t="s">
        <v>394</v>
      </c>
      <c r="E12" t="s">
        <v>395</v>
      </c>
      <c r="F12" t="s">
        <v>396</v>
      </c>
      <c r="G12" t="s">
        <v>397</v>
      </c>
      <c r="H12" s="16">
        <f>VLOOKUP(D12,Résultats!$B$2:$AX$476,'T energie vecteurs'!F5,FALSE)</f>
        <v>0</v>
      </c>
      <c r="I12" s="16">
        <f>VLOOKUP(E12,Résultats!$B$2:$AX$476,'T energie vecteurs'!F5,FALSE)</f>
        <v>24.25559183</v>
      </c>
      <c r="J12" s="16">
        <f>VLOOKUP(F12,Résultats!$B$2:$AX$476,'T energie vecteurs'!F5,FALSE)</f>
        <v>2.90116217E-2</v>
      </c>
      <c r="K12" s="16">
        <f>VLOOKUP(G12,Résultats!$B$2:$AX$476,'T energie vecteurs'!F5,FALSE)</f>
        <v>9.1403429799999907E-6</v>
      </c>
      <c r="L12" s="95">
        <f t="shared" ref="L12:L19" si="0">SUM(H12:K12)</f>
        <v>24.284612592042979</v>
      </c>
      <c r="M12" s="16"/>
      <c r="N12" s="148" t="s">
        <v>19</v>
      </c>
      <c r="O12" s="143"/>
      <c r="P12" s="16"/>
      <c r="Q12" s="34"/>
      <c r="R12" s="16"/>
      <c r="S12" s="95"/>
      <c r="U12" s="148" t="s">
        <v>19</v>
      </c>
      <c r="V12" t="s">
        <v>394</v>
      </c>
      <c r="W12" t="s">
        <v>395</v>
      </c>
      <c r="X12" t="s">
        <v>396</v>
      </c>
      <c r="Y12" t="s">
        <v>397</v>
      </c>
      <c r="Z12" s="16">
        <v>0</v>
      </c>
      <c r="AA12" s="16">
        <v>24.255608590000001</v>
      </c>
      <c r="AB12" s="16">
        <v>2.90174393E-2</v>
      </c>
      <c r="AC12" s="16">
        <v>9.1394451100000005E-6</v>
      </c>
      <c r="AD12" s="95">
        <v>24.284635168745108</v>
      </c>
    </row>
    <row r="13" spans="1:30" x14ac:dyDescent="0.25">
      <c r="C13" s="149" t="s">
        <v>20</v>
      </c>
      <c r="D13" t="s">
        <v>398</v>
      </c>
      <c r="E13" t="s">
        <v>399</v>
      </c>
      <c r="F13" t="s">
        <v>400</v>
      </c>
      <c r="G13" t="s">
        <v>401</v>
      </c>
      <c r="H13" s="16">
        <f>VLOOKUP(D13,Résultats!$B$2:$AX$476,'T energie vecteurs'!F5,FALSE)</f>
        <v>0</v>
      </c>
      <c r="I13" s="16">
        <f>VLOOKUP(E13,Résultats!$B$2:$AX$476,'T energie vecteurs'!F5,FALSE)</f>
        <v>19.041987420000002</v>
      </c>
      <c r="J13" s="16">
        <f>VLOOKUP(F13,Résultats!$B$2:$AX$476,'T energie vecteurs'!F5,FALSE)</f>
        <v>1.1900351090000001</v>
      </c>
      <c r="K13" s="16">
        <f>VLOOKUP(G13,Résultats!$B$2:$AX$476,'T energie vecteurs'!F5,FALSE)</f>
        <v>0.24409667330000001</v>
      </c>
      <c r="L13" s="95">
        <f t="shared" si="0"/>
        <v>20.476119202300001</v>
      </c>
      <c r="M13" s="16"/>
      <c r="N13" s="149" t="s">
        <v>20</v>
      </c>
      <c r="O13" s="143"/>
      <c r="P13" s="16"/>
      <c r="Q13" s="34"/>
      <c r="R13" s="16"/>
      <c r="S13" s="95"/>
      <c r="U13" s="149" t="s">
        <v>20</v>
      </c>
      <c r="V13" t="s">
        <v>398</v>
      </c>
      <c r="W13" t="s">
        <v>399</v>
      </c>
      <c r="X13" t="s">
        <v>400</v>
      </c>
      <c r="Y13" t="s">
        <v>401</v>
      </c>
      <c r="Z13" s="16">
        <v>0</v>
      </c>
      <c r="AA13" s="16">
        <v>19.041324230000001</v>
      </c>
      <c r="AB13" s="16">
        <v>1.190078035</v>
      </c>
      <c r="AC13" s="16">
        <v>0.24409754389999999</v>
      </c>
      <c r="AD13" s="95">
        <v>20.4754998089</v>
      </c>
    </row>
    <row r="14" spans="1:30" x14ac:dyDescent="0.25">
      <c r="C14" s="147" t="s">
        <v>21</v>
      </c>
      <c r="D14" t="s">
        <v>402</v>
      </c>
      <c r="E14" t="s">
        <v>403</v>
      </c>
      <c r="F14" t="s">
        <v>404</v>
      </c>
      <c r="G14" t="s">
        <v>405</v>
      </c>
      <c r="H14" s="8">
        <f>VLOOKUP(D14,Résultats!$B$2:$AX$476,'T energie vecteurs'!F5,FALSE)</f>
        <v>0.34571671929999997</v>
      </c>
      <c r="I14" s="8">
        <f>VLOOKUP(E14,Résultats!$B$2:$AX$476,'T energie vecteurs'!F5,FALSE)</f>
        <v>7.2334679939999997</v>
      </c>
      <c r="J14" s="8">
        <f>VLOOKUP(F14,Résultats!$B$2:$AX$476,'T energie vecteurs'!F5,FALSE)</f>
        <v>13.967789249999999</v>
      </c>
      <c r="K14" s="8">
        <f>VLOOKUP(G14,Résultats!$B$2:$AX$476,'T energie vecteurs'!F5,FALSE)+5</f>
        <v>23.604732500000001</v>
      </c>
      <c r="L14" s="96">
        <f>SUM(H14:K14)</f>
        <v>45.151706463300002</v>
      </c>
      <c r="M14" s="75"/>
      <c r="N14" s="150" t="s">
        <v>21</v>
      </c>
      <c r="O14" s="29">
        <f>'[2]Bilan 2015'!$V$46</f>
        <v>3.6764196608413298E-2</v>
      </c>
      <c r="P14" s="28">
        <f>SUM('[2]Bilan 2015'!$V$41:$V$43)</f>
        <v>6.6752954110546101</v>
      </c>
      <c r="Q14" s="28">
        <f>'[2]Bilan 2015'!$V$13</f>
        <v>13.6203670581426</v>
      </c>
      <c r="R14" s="28">
        <f>('[2]Bilan 2015'!$V$22+'[2]Bilan 2015'!$V$30+SUM('[2]Bilan 2015'!$V$36:$V$40)+SUM('[2]Bilan 2015'!$V$44:$V$45)+'[2]Bilan 2015'!$V$47)</f>
        <v>21.832863706323721</v>
      </c>
      <c r="S14" s="142">
        <f t="shared" ref="S14:S19" si="1">SUM(O14:R14)</f>
        <v>42.165290372129348</v>
      </c>
      <c r="U14" s="147" t="s">
        <v>21</v>
      </c>
      <c r="V14" t="s">
        <v>402</v>
      </c>
      <c r="W14" t="s">
        <v>403</v>
      </c>
      <c r="X14" t="s">
        <v>404</v>
      </c>
      <c r="Y14" t="s">
        <v>405</v>
      </c>
      <c r="Z14" s="8">
        <v>0.33102998449999999</v>
      </c>
      <c r="AA14" s="8">
        <v>7.2482517270000004</v>
      </c>
      <c r="AB14" s="8">
        <v>13.92291518</v>
      </c>
      <c r="AC14" s="8">
        <v>23.328284350000001</v>
      </c>
      <c r="AD14" s="96">
        <v>44.830481241499996</v>
      </c>
    </row>
    <row r="15" spans="1:30" x14ac:dyDescent="0.25">
      <c r="C15" s="147" t="s">
        <v>22</v>
      </c>
      <c r="D15" t="s">
        <v>406</v>
      </c>
      <c r="E15" t="s">
        <v>407</v>
      </c>
      <c r="F15" t="s">
        <v>408</v>
      </c>
      <c r="G15" t="s">
        <v>409</v>
      </c>
      <c r="H15" s="8">
        <f>VLOOKUP(D15,Résultats!$B$2:$AX$476,'T energie vecteurs'!F5,FALSE)</f>
        <v>0</v>
      </c>
      <c r="I15" s="8">
        <f>VLOOKUP(E15,Résultats!$B$2:$AX$476,'T energie vecteurs'!F5,FALSE)</f>
        <v>4.1772880060000004</v>
      </c>
      <c r="J15" s="8">
        <f>VLOOKUP(F15,Résultats!$B$2:$AX$476,'T energie vecteurs'!F5,FALSE)</f>
        <v>13.0718031</v>
      </c>
      <c r="K15" s="8">
        <f>VLOOKUP(G15,Résultats!$B$2:$AX$476,'T energie vecteurs'!F5,FALSE)</f>
        <v>11.1203783</v>
      </c>
      <c r="L15" s="96">
        <f t="shared" si="0"/>
        <v>28.369469406</v>
      </c>
      <c r="M15" s="75"/>
      <c r="N15" s="150" t="s">
        <v>22</v>
      </c>
      <c r="O15" s="29">
        <f>'[2]Bilan 2015'!$W$46</f>
        <v>4.3073392295861899E-2</v>
      </c>
      <c r="P15" s="28">
        <f>SUM('[2]Bilan 2015'!$W$41:$W$43)</f>
        <v>3.01546564464017</v>
      </c>
      <c r="Q15" s="28">
        <f>'[2]Bilan 2015'!$W$13</f>
        <v>12.701365476499801</v>
      </c>
      <c r="R15" s="28">
        <f>('[2]Bilan 2015'!$W$22+'[2]Bilan 2015'!$W$30+SUM('[2]Bilan 2015'!$W$36:$W$40)+SUM('[2]Bilan 2015'!$W$44:$W$45)+'[2]Bilan 2015'!$W$47)</f>
        <v>8.7461122445901367</v>
      </c>
      <c r="S15" s="142">
        <f t="shared" si="1"/>
        <v>24.506016758025968</v>
      </c>
      <c r="U15" s="147" t="s">
        <v>22</v>
      </c>
      <c r="V15" t="s">
        <v>406</v>
      </c>
      <c r="W15" t="s">
        <v>407</v>
      </c>
      <c r="X15" t="s">
        <v>408</v>
      </c>
      <c r="Y15" t="s">
        <v>409</v>
      </c>
      <c r="Z15" s="8">
        <v>0</v>
      </c>
      <c r="AA15" s="317">
        <v>4.1769172069999998</v>
      </c>
      <c r="AB15" s="294">
        <v>13.073687619999999</v>
      </c>
      <c r="AC15" s="294">
        <v>11.122664589999999</v>
      </c>
      <c r="AD15" s="96">
        <v>28.373269416999999</v>
      </c>
    </row>
    <row r="16" spans="1:30" x14ac:dyDescent="0.25">
      <c r="C16" s="147" t="s">
        <v>23</v>
      </c>
      <c r="H16" s="8">
        <f>SUM(H17:H18)</f>
        <v>4.8766091472999999</v>
      </c>
      <c r="I16" s="8">
        <f t="shared" ref="I16:K16" si="2">SUM(I17:I18)</f>
        <v>16.050703114000001</v>
      </c>
      <c r="J16" s="8">
        <f t="shared" si="2"/>
        <v>10.886840510000001</v>
      </c>
      <c r="K16" s="8">
        <f t="shared" si="2"/>
        <v>14.569437075000002</v>
      </c>
      <c r="L16" s="96">
        <f>SUM(H16:K16)</f>
        <v>46.383589846300005</v>
      </c>
      <c r="M16" s="75"/>
      <c r="N16" s="150" t="s">
        <v>490</v>
      </c>
      <c r="O16" s="29">
        <f>O17+O18</f>
        <v>4.2636280705371687</v>
      </c>
      <c r="P16" s="28">
        <f t="shared" ref="P16:R16" si="3">P17+P18</f>
        <v>14.865720748941945</v>
      </c>
      <c r="Q16" s="28">
        <f t="shared" si="3"/>
        <v>10.069552160228</v>
      </c>
      <c r="R16" s="28">
        <f t="shared" si="3"/>
        <v>13.756399814544654</v>
      </c>
      <c r="S16" s="142">
        <f t="shared" si="1"/>
        <v>42.95530079425177</v>
      </c>
      <c r="U16" s="147" t="s">
        <v>23</v>
      </c>
      <c r="Z16" s="8">
        <v>4.8763319073</v>
      </c>
      <c r="AA16" s="8">
        <v>16.049445446</v>
      </c>
      <c r="AB16" s="8">
        <v>10.8882403</v>
      </c>
      <c r="AC16" s="8">
        <v>14.570157203999999</v>
      </c>
      <c r="AD16" s="96">
        <v>46.384174857299996</v>
      </c>
    </row>
    <row r="17" spans="2:30" x14ac:dyDescent="0.25">
      <c r="C17" s="149" t="s">
        <v>24</v>
      </c>
      <c r="D17" t="s">
        <v>410</v>
      </c>
      <c r="E17" t="s">
        <v>411</v>
      </c>
      <c r="F17" t="s">
        <v>412</v>
      </c>
      <c r="G17" t="s">
        <v>413</v>
      </c>
      <c r="H17" s="16">
        <f>VLOOKUP(D17,Résultats!$B$2:$AX$476,'T energie vecteurs'!F5,FALSE)</f>
        <v>3.8823980690000002</v>
      </c>
      <c r="I17" s="16">
        <f>VLOOKUP(E17,Résultats!$B$2:$AX$476,'T energie vecteurs'!F5,FALSE)</f>
        <v>14.15527215</v>
      </c>
      <c r="J17" s="16">
        <f>VLOOKUP(F17,Résultats!$B$2:$AX$476,'T energie vecteurs'!F5,FALSE)</f>
        <v>10.886840510000001</v>
      </c>
      <c r="K17" s="16">
        <f>VLOOKUP(G17,Résultats!$B$2:$AX$476,'T energie vecteurs'!F5,FALSE)</f>
        <v>12.782149950000001</v>
      </c>
      <c r="L17" s="95">
        <f t="shared" si="0"/>
        <v>41.706660678999995</v>
      </c>
      <c r="M17" s="16"/>
      <c r="N17" s="149" t="s">
        <v>491</v>
      </c>
      <c r="O17" s="143">
        <f>'[2]Bilan 2015'!$U$46</f>
        <v>1.0493092649428299</v>
      </c>
      <c r="P17" s="30">
        <f>SUM('[2]Bilan 2015'!$U$41:$U$43)</f>
        <v>2.4127207489419455</v>
      </c>
      <c r="Q17" s="30">
        <f>'[2]Bilan 2015'!$U$13</f>
        <v>10.069552160228</v>
      </c>
      <c r="R17" s="30">
        <f>('[2]Bilan 2015'!$U$22+'[2]Bilan 2015'!$U$30+SUM('[2]Bilan 2015'!$U$36:$U$40)+SUM('[2]Bilan 2015'!$U$44:$U$45)+'[2]Bilan 2015'!$U$47)</f>
        <v>12.654813573219924</v>
      </c>
      <c r="S17" s="95">
        <f t="shared" si="1"/>
        <v>26.186395747332696</v>
      </c>
      <c r="U17" s="149" t="s">
        <v>24</v>
      </c>
      <c r="V17" t="s">
        <v>410</v>
      </c>
      <c r="W17" t="s">
        <v>411</v>
      </c>
      <c r="X17" t="s">
        <v>412</v>
      </c>
      <c r="Y17" t="s">
        <v>413</v>
      </c>
      <c r="Z17" s="16">
        <v>3.8821006499999999</v>
      </c>
      <c r="AA17" s="16">
        <v>14.154015080000001</v>
      </c>
      <c r="AB17" s="16">
        <v>10.8882403</v>
      </c>
      <c r="AC17" s="16">
        <v>12.78279875</v>
      </c>
      <c r="AD17" s="95">
        <v>41.707154779999996</v>
      </c>
    </row>
    <row r="18" spans="2:30" x14ac:dyDescent="0.25">
      <c r="C18" s="149" t="s">
        <v>47</v>
      </c>
      <c r="D18" t="s">
        <v>414</v>
      </c>
      <c r="E18" t="s">
        <v>415</v>
      </c>
      <c r="F18" t="s">
        <v>416</v>
      </c>
      <c r="G18" t="s">
        <v>417</v>
      </c>
      <c r="H18" s="16">
        <f>VLOOKUP(D18,Résultats!$B$2:$AX$476,'T energie vecteurs'!F5,FALSE)</f>
        <v>0.9942110783</v>
      </c>
      <c r="I18" s="16">
        <f>VLOOKUP(E18,Résultats!$B$2:$AX$476,'T energie vecteurs'!F5,FALSE)</f>
        <v>1.895430964</v>
      </c>
      <c r="J18" s="16">
        <f>VLOOKUP(F18,Résultats!$B$2:$AX$476,'T energie vecteurs'!F5,FALSE)</f>
        <v>0</v>
      </c>
      <c r="K18" s="16">
        <f>VLOOKUP(G18,Résultats!$B$2:$AX$476,'T energie vecteurs'!F5,FALSE)</f>
        <v>1.787287125</v>
      </c>
      <c r="L18" s="95">
        <f t="shared" si="0"/>
        <v>4.6769291673</v>
      </c>
      <c r="M18" s="16"/>
      <c r="N18" s="149" t="s">
        <v>47</v>
      </c>
      <c r="O18" s="22">
        <f>'[2]Bilan 2015'!$E$52</f>
        <v>3.2143188055943388</v>
      </c>
      <c r="P18" s="16">
        <f>('[2]Bilan 2015'!$E$54+'[2]Bilan 2015'!$E$56)</f>
        <v>12.452999999999999</v>
      </c>
      <c r="Q18" s="16">
        <v>0</v>
      </c>
      <c r="R18" s="16">
        <f>('[2]Bilan 2015'!$E$53+'[2]Bilan 2015'!$E$55+'[2]Bilan 2015'!$E$57)</f>
        <v>1.1015862413247299</v>
      </c>
      <c r="S18" s="95">
        <f t="shared" si="1"/>
        <v>16.768905046919066</v>
      </c>
      <c r="U18" s="149" t="s">
        <v>47</v>
      </c>
      <c r="V18" t="s">
        <v>414</v>
      </c>
      <c r="W18" t="s">
        <v>415</v>
      </c>
      <c r="X18" t="s">
        <v>416</v>
      </c>
      <c r="Y18" t="s">
        <v>417</v>
      </c>
      <c r="Z18" s="16">
        <v>0.99423125729999995</v>
      </c>
      <c r="AA18" s="16">
        <v>1.895430366</v>
      </c>
      <c r="AB18" s="16">
        <v>0</v>
      </c>
      <c r="AC18" s="16">
        <v>1.787358454</v>
      </c>
      <c r="AD18" s="95">
        <v>4.6770200772999999</v>
      </c>
    </row>
    <row r="19" spans="2:30" x14ac:dyDescent="0.25">
      <c r="C19" s="313" t="s">
        <v>25</v>
      </c>
      <c r="D19" s="314" t="s">
        <v>418</v>
      </c>
      <c r="E19" s="314" t="s">
        <v>419</v>
      </c>
      <c r="F19" s="314" t="s">
        <v>420</v>
      </c>
      <c r="G19" s="314" t="s">
        <v>421</v>
      </c>
      <c r="H19" s="315">
        <f>VLOOKUP(D19,Résultats!$B$2:$AX$476,'T energie vecteurs'!F5,FALSE)</f>
        <v>0</v>
      </c>
      <c r="I19" s="315">
        <f>VLOOKUP(E19,Résultats!$B$2:$AX$476,'T energie vecteurs'!F5,FALSE)</f>
        <v>2.4416976039999998</v>
      </c>
      <c r="J19" s="315">
        <f>VLOOKUP(F19,Résultats!$B$2:$AX$476,'T energie vecteurs'!F5,FALSE)</f>
        <v>0.31740688319999999</v>
      </c>
      <c r="K19" s="315">
        <f>VLOOKUP(G19,Résultats!$B$2:$AX$476,'T energie vecteurs'!F5,FALSE)</f>
        <v>0.3993819649</v>
      </c>
      <c r="L19" s="316">
        <f t="shared" si="0"/>
        <v>3.1584864520999996</v>
      </c>
      <c r="M19" s="16"/>
      <c r="N19" s="150" t="s">
        <v>25</v>
      </c>
      <c r="O19" s="29">
        <f>'[2]Bilan 2015'!$T$46</f>
        <v>2.2137192704974398E-3</v>
      </c>
      <c r="P19" s="28">
        <f>SUM('[2]Bilan 2015'!$T$41:$T$43)</f>
        <v>3.4936667755496749</v>
      </c>
      <c r="Q19" s="28">
        <f>'[2]Bilan 2015'!$T$13</f>
        <v>0.74651762682717104</v>
      </c>
      <c r="R19" s="28">
        <f>('[2]Bilan 2015'!$T$22+'[2]Bilan 2015'!$T$30+SUM('[2]Bilan 2015'!$T$36:$T$40)+SUM('[2]Bilan 2015'!$T$44:$T$45)+'[2]Bilan 2015'!$T$47)</f>
        <v>0.24365267378081518</v>
      </c>
      <c r="S19" s="142">
        <f t="shared" si="1"/>
        <v>4.4860507954281585</v>
      </c>
      <c r="U19" s="313" t="s">
        <v>25</v>
      </c>
      <c r="V19" s="314" t="s">
        <v>418</v>
      </c>
      <c r="W19" s="314" t="s">
        <v>419</v>
      </c>
      <c r="X19" s="314" t="s">
        <v>420</v>
      </c>
      <c r="Y19" s="314" t="s">
        <v>421</v>
      </c>
      <c r="Z19" s="315">
        <v>0</v>
      </c>
      <c r="AA19" s="315">
        <v>2.4414391539999998</v>
      </c>
      <c r="AB19" s="315">
        <v>0.3174427065</v>
      </c>
      <c r="AC19" s="315">
        <v>0.39939874060000002</v>
      </c>
      <c r="AD19" s="316">
        <v>3.1582806011</v>
      </c>
    </row>
    <row r="20" spans="2:30" x14ac:dyDescent="0.25">
      <c r="C20" s="23" t="s">
        <v>26</v>
      </c>
      <c r="D20" s="10"/>
      <c r="E20" s="10"/>
      <c r="F20" s="10"/>
      <c r="G20" s="10"/>
      <c r="H20" s="9">
        <f>SUM(H11,H14:H16,H19)</f>
        <v>5.2223258666000003</v>
      </c>
      <c r="I20" s="9">
        <f t="shared" ref="I20:K20" si="4">SUM(I11,I14:I16,I19)</f>
        <v>73.200735967999989</v>
      </c>
      <c r="J20" s="9">
        <f t="shared" si="4"/>
        <v>39.462886473899999</v>
      </c>
      <c r="K20" s="9">
        <f t="shared" si="4"/>
        <v>49.93803565354299</v>
      </c>
      <c r="L20" s="98">
        <f>SUM(H20:K20)</f>
        <v>167.82398396204297</v>
      </c>
      <c r="M20" s="79"/>
      <c r="N20" s="151" t="s">
        <v>26</v>
      </c>
      <c r="O20" s="32">
        <f>O11+O14+O15+O16+O19</f>
        <v>4.3456793787119414</v>
      </c>
      <c r="P20" s="31">
        <f>P11+P14+P15+P16+P19</f>
        <v>70.798845361011772</v>
      </c>
      <c r="Q20" s="31">
        <f>Q11+Q14+Q15+Q16+Q19</f>
        <v>38.082514273546238</v>
      </c>
      <c r="R20" s="31">
        <f>R11+R14+R15+R16+R19</f>
        <v>44.651702506310876</v>
      </c>
      <c r="S20" s="144">
        <f>SUM(O20:R20)</f>
        <v>157.87874151958081</v>
      </c>
      <c r="T20" s="45"/>
      <c r="U20" s="23" t="s">
        <v>26</v>
      </c>
      <c r="V20" s="10"/>
      <c r="W20" s="10"/>
      <c r="X20" s="10"/>
      <c r="Y20" s="10"/>
      <c r="Z20" s="9">
        <v>5.2073618917999998</v>
      </c>
      <c r="AA20" s="9">
        <v>73.212986354000009</v>
      </c>
      <c r="AB20" s="9">
        <v>39.421381280800006</v>
      </c>
      <c r="AC20" s="9">
        <v>49.664611567945109</v>
      </c>
      <c r="AD20" s="98">
        <v>167.50634109454512</v>
      </c>
    </row>
    <row r="21" spans="2:30" s="3" customFormat="1" x14ac:dyDescent="0.25">
      <c r="B21" s="60"/>
      <c r="H21" s="45"/>
      <c r="I21" s="45"/>
      <c r="J21" s="45"/>
      <c r="K21" s="45"/>
      <c r="L21" s="45">
        <f>L11+L14+L15+L16+L19</f>
        <v>167.82398396204297</v>
      </c>
      <c r="M21" s="45"/>
      <c r="N21" s="45"/>
      <c r="O21" s="77"/>
      <c r="P21" s="77"/>
      <c r="Q21" s="77"/>
      <c r="R21" s="78"/>
      <c r="S21" s="45"/>
      <c r="Z21" s="45"/>
      <c r="AA21" s="45"/>
      <c r="AB21" s="45"/>
      <c r="AC21" s="45"/>
      <c r="AD21" s="45">
        <v>167.50634109454509</v>
      </c>
    </row>
    <row r="22" spans="2:30" s="3" customFormat="1" x14ac:dyDescent="0.25">
      <c r="I22" s="45"/>
      <c r="J22" s="45"/>
      <c r="K22" s="45"/>
      <c r="AA22" s="45"/>
      <c r="AB22" s="45"/>
      <c r="AC22" s="45"/>
    </row>
    <row r="23" spans="2:30" ht="31.5" x14ac:dyDescent="0.35">
      <c r="C23" s="145">
        <v>2020</v>
      </c>
      <c r="D23" s="146"/>
      <c r="E23" s="146"/>
      <c r="F23" s="146"/>
      <c r="G23" s="146"/>
      <c r="H23" s="76" t="s">
        <v>36</v>
      </c>
      <c r="I23" s="76" t="s">
        <v>49</v>
      </c>
      <c r="J23" s="76" t="s">
        <v>38</v>
      </c>
      <c r="K23" s="76" t="s">
        <v>48</v>
      </c>
      <c r="L23" s="93" t="s">
        <v>1</v>
      </c>
      <c r="M23" s="19"/>
      <c r="N23" s="145">
        <v>2020</v>
      </c>
      <c r="O23" s="141" t="s">
        <v>36</v>
      </c>
      <c r="P23" s="76" t="s">
        <v>49</v>
      </c>
      <c r="Q23" s="76" t="s">
        <v>38</v>
      </c>
      <c r="R23" s="76" t="s">
        <v>48</v>
      </c>
      <c r="S23" s="93" t="s">
        <v>1</v>
      </c>
      <c r="T23" s="19"/>
      <c r="U23" s="145">
        <v>2020</v>
      </c>
      <c r="V23" s="146"/>
      <c r="W23" s="146"/>
      <c r="X23" s="146"/>
      <c r="Y23" s="146"/>
      <c r="Z23" s="76" t="s">
        <v>36</v>
      </c>
      <c r="AA23" s="76" t="s">
        <v>49</v>
      </c>
      <c r="AB23" s="76" t="s">
        <v>38</v>
      </c>
      <c r="AC23" s="76" t="s">
        <v>48</v>
      </c>
      <c r="AD23" s="93" t="s">
        <v>1</v>
      </c>
    </row>
    <row r="24" spans="2:30" x14ac:dyDescent="0.25">
      <c r="C24" s="147" t="s">
        <v>18</v>
      </c>
      <c r="H24" s="8">
        <f>SUM(H25:H26)</f>
        <v>0</v>
      </c>
      <c r="I24" s="8">
        <f>SUM(I25:I26)</f>
        <v>42.345427360000002</v>
      </c>
      <c r="J24" s="8">
        <f>SUM(J25:J26)</f>
        <v>1.4326743242</v>
      </c>
      <c r="K24" s="8">
        <f>SUM(K25:K26)</f>
        <v>0.2680054176119</v>
      </c>
      <c r="L24" s="96">
        <f t="shared" ref="L24:L33" si="5">SUM(H24:K24)</f>
        <v>44.046107101811906</v>
      </c>
      <c r="M24" s="75"/>
      <c r="N24" s="150" t="s">
        <v>18</v>
      </c>
      <c r="O24" s="29">
        <f>'[2]Bilan 2020'!$X$46/11.63</f>
        <v>0</v>
      </c>
      <c r="P24" s="28">
        <f>SUM('[2]Bilan 2020'!$X$41:$X$43)/11.63</f>
        <v>35.668036461633939</v>
      </c>
      <c r="Q24" s="28">
        <f>'[2]Bilan 2020'!$X$13/11.63</f>
        <v>0.71687008340498715</v>
      </c>
      <c r="R24" s="28">
        <f>('[2]Bilan 2020'!$X$22+'[2]Bilan 2020'!$X$30+SUM('[2]Bilan 2020'!$X$36:$X$40)+SUM('[2]Bilan 2020'!$X$44:$X$45)+'[2]Bilan 2020'!$X$47)/11.63</f>
        <v>0.19326865864144452</v>
      </c>
      <c r="S24" s="142">
        <f>SUM(O24:R24)</f>
        <v>36.578175203680367</v>
      </c>
      <c r="T24" s="75"/>
      <c r="U24" s="147" t="s">
        <v>18</v>
      </c>
      <c r="Z24" s="8">
        <v>0</v>
      </c>
      <c r="AA24" s="8">
        <v>42.333698310000003</v>
      </c>
      <c r="AB24" s="8">
        <v>1.4318834410999999</v>
      </c>
      <c r="AC24" s="8">
        <v>0.26790814094160004</v>
      </c>
      <c r="AD24" s="96">
        <v>44.033489892041601</v>
      </c>
    </row>
    <row r="25" spans="2:30" x14ac:dyDescent="0.25">
      <c r="C25" s="148" t="s">
        <v>19</v>
      </c>
      <c r="D25" t="s">
        <v>394</v>
      </c>
      <c r="E25" t="s">
        <v>395</v>
      </c>
      <c r="F25" t="s">
        <v>396</v>
      </c>
      <c r="G25" t="s">
        <v>397</v>
      </c>
      <c r="H25" s="16">
        <f>VLOOKUP(D25,Résultats!$B$2:$AX$476,'T energie vecteurs'!I5,FALSE)</f>
        <v>0</v>
      </c>
      <c r="I25" s="16">
        <f>VLOOKUP(E25,Résultats!$B$2:$AX$476,'T energie vecteurs'!I5,FALSE)</f>
        <v>23.824519200000001</v>
      </c>
      <c r="J25" s="16">
        <f>VLOOKUP(F25,Résultats!$B$2:$AX$476,'T energie vecteurs'!I5,FALSE)</f>
        <v>0.1099991292</v>
      </c>
      <c r="K25" s="16">
        <f>VLOOKUP(G77,Résultats!$B$2:$AX$476,'T energie vecteurs'!I5,FALSE)</f>
        <v>1.28358119E-5</v>
      </c>
      <c r="L25" s="95">
        <f t="shared" si="5"/>
        <v>23.934531165011901</v>
      </c>
      <c r="M25" s="16"/>
      <c r="N25" s="148" t="s">
        <v>19</v>
      </c>
      <c r="O25" s="143"/>
      <c r="P25" s="16"/>
      <c r="Q25" s="34"/>
      <c r="R25" s="16"/>
      <c r="S25" s="95"/>
      <c r="T25" s="16"/>
      <c r="U25" s="148" t="s">
        <v>19</v>
      </c>
      <c r="V25" t="s">
        <v>394</v>
      </c>
      <c r="W25" t="s">
        <v>395</v>
      </c>
      <c r="X25" t="s">
        <v>396</v>
      </c>
      <c r="Y25" t="s">
        <v>397</v>
      </c>
      <c r="Z25" s="16">
        <v>0</v>
      </c>
      <c r="AA25" s="16">
        <v>23.824457299999999</v>
      </c>
      <c r="AB25" s="16">
        <v>0.11001909510000001</v>
      </c>
      <c r="AC25" s="16">
        <v>1.28334416E-5</v>
      </c>
      <c r="AD25" s="95">
        <v>23.934489228541597</v>
      </c>
    </row>
    <row r="26" spans="2:30" x14ac:dyDescent="0.25">
      <c r="C26" s="149" t="s">
        <v>20</v>
      </c>
      <c r="D26" t="s">
        <v>398</v>
      </c>
      <c r="E26" t="s">
        <v>399</v>
      </c>
      <c r="F26" t="s">
        <v>400</v>
      </c>
      <c r="G26" t="s">
        <v>401</v>
      </c>
      <c r="H26" s="16">
        <f>VLOOKUP(D26,Résultats!$B$2:$AX$476,'T energie vecteurs'!I5,FALSE)</f>
        <v>0</v>
      </c>
      <c r="I26" s="16">
        <f>VLOOKUP(E26,Résultats!$B$2:$AX$476,'T energie vecteurs'!I5,FALSE)</f>
        <v>18.520908160000001</v>
      </c>
      <c r="J26" s="16">
        <f>VLOOKUP(F26,Résultats!$B$2:$AX$476,'T energie vecteurs'!I5,FALSE)</f>
        <v>1.322675195</v>
      </c>
      <c r="K26" s="16">
        <f>VLOOKUP(G26,Résultats!$B$2:$AX$476,'T energie vecteurs'!I5,FALSE)</f>
        <v>0.26799258180000002</v>
      </c>
      <c r="L26" s="95">
        <f t="shared" si="5"/>
        <v>20.111575936800001</v>
      </c>
      <c r="M26" s="16"/>
      <c r="N26" s="149" t="s">
        <v>20</v>
      </c>
      <c r="O26" s="143"/>
      <c r="P26" s="16"/>
      <c r="Q26" s="34"/>
      <c r="R26" s="16"/>
      <c r="S26" s="95"/>
      <c r="T26" s="16"/>
      <c r="U26" s="149" t="s">
        <v>20</v>
      </c>
      <c r="V26" t="s">
        <v>398</v>
      </c>
      <c r="W26" t="s">
        <v>399</v>
      </c>
      <c r="X26" t="s">
        <v>400</v>
      </c>
      <c r="Y26" t="s">
        <v>401</v>
      </c>
      <c r="Z26" s="16">
        <v>0</v>
      </c>
      <c r="AA26" s="16">
        <v>18.50924101</v>
      </c>
      <c r="AB26" s="16">
        <v>1.3218643459999999</v>
      </c>
      <c r="AC26" s="16">
        <v>0.26789530750000001</v>
      </c>
      <c r="AD26" s="95">
        <v>20.099000663500004</v>
      </c>
    </row>
    <row r="27" spans="2:30" x14ac:dyDescent="0.25">
      <c r="C27" s="147" t="s">
        <v>21</v>
      </c>
      <c r="D27" t="s">
        <v>402</v>
      </c>
      <c r="E27" t="s">
        <v>403</v>
      </c>
      <c r="F27" t="s">
        <v>404</v>
      </c>
      <c r="G27" t="s">
        <v>405</v>
      </c>
      <c r="H27" s="8">
        <f>VLOOKUP(D27,Résultats!$B$2:$AX$476,'T energie vecteurs'!I5,FALSE)</f>
        <v>0.33928923659999999</v>
      </c>
      <c r="I27" s="8">
        <f>VLOOKUP(E27,Résultats!$B$2:$AX$476,'T energie vecteurs'!I5,FALSE)</f>
        <v>6.5116750760000004</v>
      </c>
      <c r="J27" s="8">
        <f>VLOOKUP(F27,Résultats!$B$2:$AX$476,'T energie vecteurs'!I5,FALSE)</f>
        <v>14.79004134</v>
      </c>
      <c r="K27" s="8">
        <f>VLOOKUP(G27,Résultats!$B$2:$AX$476,'T energie vecteurs'!I5,FALSE)+6</f>
        <v>24.113294410000002</v>
      </c>
      <c r="L27" s="96">
        <f t="shared" si="5"/>
        <v>45.754300062600002</v>
      </c>
      <c r="M27" s="75"/>
      <c r="N27" s="150" t="s">
        <v>21</v>
      </c>
      <c r="O27" s="29">
        <f>'[2]Bilan 2020'!$V$46/11.63</f>
        <v>2.0700734999999998E-2</v>
      </c>
      <c r="P27" s="28">
        <f>SUM('[2]Bilan 2020'!$V$41:$V$43)/11.63</f>
        <v>4.2874727518867157</v>
      </c>
      <c r="Q27" s="28">
        <f>'[2]Bilan 2020'!$V$13/11.63</f>
        <v>13.618731599337918</v>
      </c>
      <c r="R27" s="28">
        <f>('[2]Bilan 2020'!$V$22+'[2]Bilan 2020'!$V$30+SUM('[2]Bilan 2020'!$V$36:$V$40)+SUM('[2]Bilan 2020'!$V$44:$V$45)+'[2]Bilan 2020'!$V$47)/11.63</f>
        <v>20.408410382607048</v>
      </c>
      <c r="S27" s="142">
        <f t="shared" ref="S27:S33" si="6">SUM(O27:R27)</f>
        <v>38.335315468831681</v>
      </c>
      <c r="T27" s="75"/>
      <c r="U27" s="147" t="s">
        <v>21</v>
      </c>
      <c r="V27" t="s">
        <v>402</v>
      </c>
      <c r="W27" t="s">
        <v>403</v>
      </c>
      <c r="X27" t="s">
        <v>404</v>
      </c>
      <c r="Y27" t="s">
        <v>405</v>
      </c>
      <c r="Z27" s="8">
        <v>0.30744641430000003</v>
      </c>
      <c r="AA27" s="8">
        <v>6.2467997679999998</v>
      </c>
      <c r="AB27" s="8">
        <v>14.62403494</v>
      </c>
      <c r="AC27" s="8">
        <v>23.129462539999999</v>
      </c>
      <c r="AD27" s="96">
        <v>44.307743662299998</v>
      </c>
    </row>
    <row r="28" spans="2:30" x14ac:dyDescent="0.25">
      <c r="C28" s="147" t="s">
        <v>22</v>
      </c>
      <c r="D28" t="s">
        <v>406</v>
      </c>
      <c r="E28" t="s">
        <v>407</v>
      </c>
      <c r="F28" t="s">
        <v>408</v>
      </c>
      <c r="G28" t="s">
        <v>409</v>
      </c>
      <c r="H28" s="8">
        <f>VLOOKUP(D28,Résultats!$B$2:$AX$476,'T energie vecteurs'!I5,FALSE)</f>
        <v>0</v>
      </c>
      <c r="I28" s="8">
        <f>VLOOKUP(E28,Résultats!$B$2:$AX$476,'T energie vecteurs'!I5,FALSE)</f>
        <v>3.0098717559999999</v>
      </c>
      <c r="J28" s="8">
        <f>VLOOKUP(F28,Résultats!$B$2:$AX$476,'T energie vecteurs'!I5,FALSE)</f>
        <v>12.662424270000001</v>
      </c>
      <c r="K28" s="8">
        <f>VLOOKUP(G28,Résultats!$B$2:$AX$476,'T energie vecteurs'!I5,FALSE)</f>
        <v>9.4095998529999996</v>
      </c>
      <c r="L28" s="96">
        <f t="shared" si="5"/>
        <v>25.081895879000001</v>
      </c>
      <c r="M28" s="75"/>
      <c r="N28" s="150" t="s">
        <v>22</v>
      </c>
      <c r="O28" s="29">
        <f>('[2]Bilan 2020'!$W$46)/11.63</f>
        <v>3.0546421000000001E-2</v>
      </c>
      <c r="P28" s="28">
        <f>SUM('[2]Bilan 2020'!$W$41:$W$43)/11.63</f>
        <v>2.7068355531694666</v>
      </c>
      <c r="Q28" s="28">
        <f>('[2]Bilan 2020'!$W$13)/11.63</f>
        <v>10.724850576412381</v>
      </c>
      <c r="R28" s="28">
        <f>('[2]Bilan 2020'!$W$22+'[2]Bilan 2020'!$W$30+SUM('[2]Bilan 2020'!$W$36:$W$40)+SUM('[2]Bilan 2020'!$W$44:$W$45)+'[2]Bilan 2020'!$W$47)/11.63</f>
        <v>7.1906336380053082</v>
      </c>
      <c r="S28" s="142">
        <f t="shared" si="6"/>
        <v>20.652866188587154</v>
      </c>
      <c r="T28" s="75"/>
      <c r="U28" s="147" t="s">
        <v>22</v>
      </c>
      <c r="V28" t="s">
        <v>406</v>
      </c>
      <c r="W28" t="s">
        <v>407</v>
      </c>
      <c r="X28" t="s">
        <v>408</v>
      </c>
      <c r="Y28" t="s">
        <v>409</v>
      </c>
      <c r="Z28" s="8">
        <v>0</v>
      </c>
      <c r="AA28" s="8">
        <v>3.0098661529999999</v>
      </c>
      <c r="AB28" s="8">
        <v>12.6575308</v>
      </c>
      <c r="AC28" s="8">
        <v>9.4167197809999994</v>
      </c>
      <c r="AD28" s="96">
        <v>25.084116733999998</v>
      </c>
    </row>
    <row r="29" spans="2:30" x14ac:dyDescent="0.25">
      <c r="C29" s="147" t="s">
        <v>23</v>
      </c>
      <c r="H29" s="8">
        <f>SUM(H30:H32)</f>
        <v>2.6013462454000003</v>
      </c>
      <c r="I29" s="8">
        <f>SUM(I30:I32)</f>
        <v>13.126236127</v>
      </c>
      <c r="J29" s="8">
        <f>SUM(J30:J32)</f>
        <v>9.2652054253999996</v>
      </c>
      <c r="K29" s="8">
        <f>SUM(K30:K32)</f>
        <v>15.6323588396</v>
      </c>
      <c r="L29" s="96">
        <f t="shared" si="5"/>
        <v>40.6251466374</v>
      </c>
      <c r="M29" s="75"/>
      <c r="N29" s="150" t="s">
        <v>490</v>
      </c>
      <c r="O29" s="29">
        <f>O30+O31</f>
        <v>3.1626378182920636</v>
      </c>
      <c r="P29" s="28">
        <f t="shared" ref="P29:R29" si="7">P30+P31</f>
        <v>13.919973516612528</v>
      </c>
      <c r="Q29" s="28">
        <f t="shared" si="7"/>
        <v>9.0413234941421319</v>
      </c>
      <c r="R29" s="28">
        <f t="shared" si="7"/>
        <v>14.312071337572707</v>
      </c>
      <c r="S29" s="142">
        <f t="shared" si="6"/>
        <v>40.436006166619435</v>
      </c>
      <c r="T29" s="75"/>
      <c r="U29" s="147" t="s">
        <v>23</v>
      </c>
      <c r="Z29" s="8">
        <v>2.5992043728000001</v>
      </c>
      <c r="AA29" s="8">
        <v>13.111346733999991</v>
      </c>
      <c r="AB29" s="8">
        <v>9.2550758707000007</v>
      </c>
      <c r="AC29" s="8">
        <v>15.6269432908</v>
      </c>
      <c r="AD29" s="96">
        <v>40.592570268299994</v>
      </c>
    </row>
    <row r="30" spans="2:30" x14ac:dyDescent="0.25">
      <c r="C30" s="149" t="s">
        <v>24</v>
      </c>
      <c r="D30" t="s">
        <v>410</v>
      </c>
      <c r="E30" t="s">
        <v>411</v>
      </c>
      <c r="F30" t="s">
        <v>412</v>
      </c>
      <c r="G30" t="s">
        <v>413</v>
      </c>
      <c r="H30" s="16">
        <f>VLOOKUP(D30,Résultats!$B$2:$AX$476,'T energie vecteurs'!I5,FALSE)</f>
        <v>1.737014348</v>
      </c>
      <c r="I30" s="16">
        <f>VLOOKUP(E30,Résultats!$B$2:$AX$476,'T energie vecteurs'!I5,FALSE)</f>
        <v>8.8579192649999996</v>
      </c>
      <c r="J30" s="16">
        <f>VLOOKUP(F30,Résultats!$B$2:$AX$476,'T energie vecteurs'!I5,FALSE)</f>
        <v>8.9510479800000002</v>
      </c>
      <c r="K30" s="16">
        <f>VLOOKUP(G30,Résultats!$B$2:$AX$476,'T energie vecteurs'!I5,FALSE)</f>
        <v>13.13050241</v>
      </c>
      <c r="L30" s="95">
        <f t="shared" si="5"/>
        <v>32.676484002999999</v>
      </c>
      <c r="M30" s="16"/>
      <c r="N30" s="149" t="s">
        <v>491</v>
      </c>
      <c r="O30" s="143">
        <f>'[2]Bilan 2020'!$U$46/11.63</f>
        <v>0.77267988499999996</v>
      </c>
      <c r="P30" s="30">
        <f>SUM('[2]Bilan 2020'!$U$41:$U$43)/11.63</f>
        <v>2.7003587770125286</v>
      </c>
      <c r="Q30" s="30">
        <f>'[2]Bilan 2020'!$U$13/11.63</f>
        <v>9.0413234941421319</v>
      </c>
      <c r="R30" s="30">
        <f>('[2]Bilan 2020'!$U$22+'[2]Bilan 2020'!$U$30+SUM('[2]Bilan 2020'!$U$36:$U$40)+SUM('[2]Bilan 2020'!$U$44:$U$45)+'[2]Bilan 2020'!$U$47)/11.63</f>
        <v>13.277854957521116</v>
      </c>
      <c r="S30" s="95">
        <f t="shared" si="6"/>
        <v>25.792217113675775</v>
      </c>
      <c r="T30" s="16"/>
      <c r="U30" s="149" t="s">
        <v>24</v>
      </c>
      <c r="V30" t="s">
        <v>410</v>
      </c>
      <c r="W30" t="s">
        <v>411</v>
      </c>
      <c r="X30" t="s">
        <v>412</v>
      </c>
      <c r="Y30" t="s">
        <v>413</v>
      </c>
      <c r="Z30" s="16">
        <v>1.7357585980000001</v>
      </c>
      <c r="AA30" s="16">
        <v>8.8442361789999904</v>
      </c>
      <c r="AB30" s="16">
        <v>8.9412112659999998</v>
      </c>
      <c r="AC30" s="16">
        <v>13.124730339999999</v>
      </c>
      <c r="AD30" s="95">
        <v>32.645936382999992</v>
      </c>
    </row>
    <row r="31" spans="2:30" x14ac:dyDescent="0.25">
      <c r="C31" s="149" t="s">
        <v>47</v>
      </c>
      <c r="D31" t="s">
        <v>414</v>
      </c>
      <c r="E31" t="s">
        <v>415</v>
      </c>
      <c r="F31" t="s">
        <v>416</v>
      </c>
      <c r="G31" t="s">
        <v>417</v>
      </c>
      <c r="H31" s="16">
        <f>VLOOKUP(D31,Résultats!$B$2:$AX$476,'T energie vecteurs'!I5,FALSE)</f>
        <v>0.86433189740000005</v>
      </c>
      <c r="I31" s="16">
        <f>VLOOKUP(E31,Résultats!$B$2:$AX$476,'T energie vecteurs'!I5,FALSE)</f>
        <v>1.8757957510000001</v>
      </c>
      <c r="J31" s="16">
        <f>VLOOKUP(F31,Résultats!$B$2:$AX$476,'T energie vecteurs'!I5,FALSE)</f>
        <v>0</v>
      </c>
      <c r="K31" s="16">
        <f>VLOOKUP(G31,Résultats!$B$2:$AX$476,'T energie vecteurs'!I5,FALSE)</f>
        <v>2.1266281440000001</v>
      </c>
      <c r="L31" s="95">
        <f t="shared" si="5"/>
        <v>4.8667557924000002</v>
      </c>
      <c r="M31" s="16"/>
      <c r="N31" s="149" t="s">
        <v>47</v>
      </c>
      <c r="O31" s="22">
        <f>'[2]Bilan 2020'!$E$52/11.63</f>
        <v>2.3899579332920635</v>
      </c>
      <c r="P31" s="16">
        <f>('[2]Bilan 2020'!$E$54+'[2]Bilan 2020'!$E$56)/11.63</f>
        <v>11.219614739599999</v>
      </c>
      <c r="Q31" s="16">
        <v>0</v>
      </c>
      <c r="R31" s="16">
        <f>('[2]Bilan 2020'!$E$53+'[2]Bilan 2020'!$E$55+'[2]Bilan 2020'!$E$57)/11.63</f>
        <v>1.0342163800515907</v>
      </c>
      <c r="S31" s="95">
        <f t="shared" si="6"/>
        <v>14.643789052943653</v>
      </c>
      <c r="T31" s="16"/>
      <c r="U31" s="149" t="s">
        <v>47</v>
      </c>
      <c r="V31" t="s">
        <v>414</v>
      </c>
      <c r="W31" t="s">
        <v>415</v>
      </c>
      <c r="X31" t="s">
        <v>416</v>
      </c>
      <c r="Y31" t="s">
        <v>417</v>
      </c>
      <c r="Z31" s="16">
        <v>0.86344577479999995</v>
      </c>
      <c r="AA31" s="16">
        <v>1.875822884</v>
      </c>
      <c r="AB31" s="16">
        <v>0</v>
      </c>
      <c r="AC31" s="16">
        <v>2.1270282470000001</v>
      </c>
      <c r="AD31" s="95">
        <v>4.8662969058000005</v>
      </c>
    </row>
    <row r="32" spans="2:30" x14ac:dyDescent="0.25">
      <c r="C32" s="149" t="s">
        <v>25</v>
      </c>
      <c r="D32" t="s">
        <v>418</v>
      </c>
      <c r="E32" t="s">
        <v>419</v>
      </c>
      <c r="F32" t="s">
        <v>420</v>
      </c>
      <c r="G32" t="s">
        <v>421</v>
      </c>
      <c r="H32" s="16">
        <f>VLOOKUP(D32,Résultats!$B$2:$AX$476,'T energie vecteurs'!I5,FALSE)</f>
        <v>0</v>
      </c>
      <c r="I32" s="16">
        <f>VLOOKUP(E32,Résultats!$B$2:$AX$476,'T energie vecteurs'!I5,FALSE)</f>
        <v>2.3925211110000002</v>
      </c>
      <c r="J32" s="16">
        <f>VLOOKUP(F32,Résultats!$B$2:$AX$476,'T energie vecteurs'!I5,FALSE)</f>
        <v>0.31415744540000001</v>
      </c>
      <c r="K32" s="16">
        <f>VLOOKUP(G32,Résultats!$B$2:$AX$476,'T energie vecteurs'!I5,FALSE)</f>
        <v>0.37522828559999999</v>
      </c>
      <c r="L32" s="95">
        <f t="shared" si="5"/>
        <v>3.081906842</v>
      </c>
      <c r="M32" s="16"/>
      <c r="N32" s="150" t="s">
        <v>25</v>
      </c>
      <c r="O32" s="29">
        <f>'[2]Bilan 2020'!$T$46/11.63</f>
        <v>1.3217009999999998E-3</v>
      </c>
      <c r="P32" s="28">
        <f>SUM('[2]Bilan 2020'!$T$41:$T$43)/11.63</f>
        <v>3.3486884684627563</v>
      </c>
      <c r="Q32" s="28">
        <f>'[2]Bilan 2020'!$T$13/11.63</f>
        <v>0.69143728159498707</v>
      </c>
      <c r="R32" s="28">
        <f>('[2]Bilan 2020'!$T$22+'[2]Bilan 2020'!$T$30+SUM('[2]Bilan 2020'!$T$36:$T$40)+SUM('[2]Bilan 2020'!$T$44:$T$45)+'[2]Bilan 2020'!$T$47)/11.63</f>
        <v>0.41959097162510717</v>
      </c>
      <c r="S32" s="142">
        <f t="shared" si="6"/>
        <v>4.4610384226828508</v>
      </c>
      <c r="T32" s="16"/>
      <c r="U32" s="149" t="s">
        <v>25</v>
      </c>
      <c r="V32" t="s">
        <v>418</v>
      </c>
      <c r="W32" t="s">
        <v>419</v>
      </c>
      <c r="X32" t="s">
        <v>420</v>
      </c>
      <c r="Y32" t="s">
        <v>421</v>
      </c>
      <c r="Z32" s="16">
        <v>0</v>
      </c>
      <c r="AA32" s="16">
        <v>2.3912876710000002</v>
      </c>
      <c r="AB32" s="16">
        <v>0.31386460469999999</v>
      </c>
      <c r="AC32" s="16">
        <v>0.37518470380000002</v>
      </c>
      <c r="AD32" s="95">
        <v>3.0803369795000002</v>
      </c>
    </row>
    <row r="33" spans="3:30" x14ac:dyDescent="0.25">
      <c r="C33" s="23" t="s">
        <v>26</v>
      </c>
      <c r="D33" s="10"/>
      <c r="E33" s="10"/>
      <c r="F33" s="10"/>
      <c r="G33" s="10"/>
      <c r="H33" s="9">
        <f>SUM(H24,H27:H29)</f>
        <v>2.9406354820000002</v>
      </c>
      <c r="I33" s="9">
        <f>SUM(I24,I27:I29)</f>
        <v>64.993210319000013</v>
      </c>
      <c r="J33" s="9">
        <f>SUM(J24,J27:J29)</f>
        <v>38.150345359599996</v>
      </c>
      <c r="K33" s="9">
        <f>SUM(K24,K27:K29)</f>
        <v>49.423258520211903</v>
      </c>
      <c r="L33" s="98">
        <f t="shared" si="5"/>
        <v>155.50744968081193</v>
      </c>
      <c r="M33" s="79"/>
      <c r="N33" s="151" t="s">
        <v>26</v>
      </c>
      <c r="O33" s="32">
        <f>O24+O27+O28+O29+O32</f>
        <v>3.2152066752920638</v>
      </c>
      <c r="P33" s="31">
        <f>P24+P27+P28+P29+P32</f>
        <v>59.931006751765409</v>
      </c>
      <c r="Q33" s="31">
        <f>Q24+Q27+Q28+Q29+Q32</f>
        <v>34.793213034892403</v>
      </c>
      <c r="R33" s="31">
        <f>R24+R27+R28+R29+R32</f>
        <v>42.523974988451613</v>
      </c>
      <c r="S33" s="144">
        <f t="shared" si="6"/>
        <v>140.46340145040148</v>
      </c>
      <c r="T33" s="79"/>
      <c r="U33" s="23" t="s">
        <v>26</v>
      </c>
      <c r="V33" s="10"/>
      <c r="W33" s="10"/>
      <c r="X33" s="10"/>
      <c r="Y33" s="10"/>
      <c r="Z33" s="9">
        <v>2.9066507871000002</v>
      </c>
      <c r="AA33" s="9">
        <v>64.70171096499999</v>
      </c>
      <c r="AB33" s="9">
        <v>37.9685250518</v>
      </c>
      <c r="AC33" s="9">
        <v>48.441033752741596</v>
      </c>
      <c r="AD33" s="98">
        <v>154.0179205566416</v>
      </c>
    </row>
    <row r="34" spans="3:30" s="3" customFormat="1" x14ac:dyDescent="0.25">
      <c r="H34" s="45"/>
      <c r="I34" s="45"/>
      <c r="J34" s="45"/>
      <c r="K34" s="45"/>
      <c r="L34" s="45"/>
      <c r="M34" s="45"/>
      <c r="N34" s="45"/>
      <c r="O34" s="77"/>
      <c r="P34" s="77"/>
      <c r="Q34" s="77"/>
      <c r="R34" s="78"/>
      <c r="S34" s="45"/>
      <c r="T34" s="45"/>
      <c r="Z34" s="45"/>
      <c r="AA34" s="45"/>
      <c r="AB34" s="45"/>
      <c r="AC34" s="45"/>
      <c r="AD34" s="45"/>
    </row>
    <row r="35" spans="3:30" s="3" customFormat="1" x14ac:dyDescent="0.25"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Z35" s="45"/>
      <c r="AA35" s="45"/>
      <c r="AB35" s="45"/>
      <c r="AC35" s="45"/>
      <c r="AD35" s="45"/>
    </row>
    <row r="36" spans="3:30" ht="31.5" x14ac:dyDescent="0.35">
      <c r="C36" s="145">
        <v>2022</v>
      </c>
      <c r="D36" s="146"/>
      <c r="E36" s="146"/>
      <c r="F36" s="146"/>
      <c r="G36" s="146"/>
      <c r="H36" s="76" t="s">
        <v>36</v>
      </c>
      <c r="I36" s="76" t="s">
        <v>49</v>
      </c>
      <c r="J36" s="76" t="s">
        <v>38</v>
      </c>
      <c r="K36" s="76" t="s">
        <v>48</v>
      </c>
      <c r="L36" s="93" t="s">
        <v>1</v>
      </c>
      <c r="M36" s="19"/>
      <c r="N36" s="145">
        <v>2022</v>
      </c>
      <c r="O36" s="141" t="s">
        <v>36</v>
      </c>
      <c r="P36" s="76" t="s">
        <v>49</v>
      </c>
      <c r="Q36" s="76" t="s">
        <v>38</v>
      </c>
      <c r="R36" s="76" t="s">
        <v>48</v>
      </c>
      <c r="S36" s="93" t="s">
        <v>1</v>
      </c>
      <c r="T36" s="19"/>
      <c r="U36" s="145">
        <v>2022</v>
      </c>
      <c r="V36" s="146"/>
      <c r="W36" s="146"/>
      <c r="X36" s="146"/>
      <c r="Y36" s="146"/>
      <c r="Z36" s="76" t="s">
        <v>36</v>
      </c>
      <c r="AA36" s="76" t="s">
        <v>49</v>
      </c>
      <c r="AB36" s="76" t="s">
        <v>38</v>
      </c>
      <c r="AC36" s="76" t="s">
        <v>48</v>
      </c>
      <c r="AD36" s="93" t="s">
        <v>1</v>
      </c>
    </row>
    <row r="37" spans="3:30" x14ac:dyDescent="0.25">
      <c r="C37" s="147" t="s">
        <v>18</v>
      </c>
      <c r="H37" s="8">
        <f>SUM(H38:H39)</f>
        <v>0</v>
      </c>
      <c r="I37" s="8">
        <f>SUM(I38:I39)</f>
        <v>41.763564559999999</v>
      </c>
      <c r="J37" s="8">
        <f>SUM(J38:J39)</f>
        <v>1.5319480065</v>
      </c>
      <c r="K37" s="8">
        <f>SUM(K38:K39)</f>
        <v>0.3761106537451</v>
      </c>
      <c r="L37" s="96">
        <f t="shared" ref="L37:L46" si="8">SUM(H37:K37)</f>
        <v>43.671623220245102</v>
      </c>
      <c r="M37" s="75"/>
      <c r="N37" s="150" t="s">
        <v>18</v>
      </c>
      <c r="O37" s="29">
        <f>'[3]Bilan 2022 réel'!$X$46/11.63</f>
        <v>0</v>
      </c>
      <c r="P37" s="28">
        <f>SUM('[3]Bilan 2022 réel'!$X$41:$X$43)/11.63</f>
        <v>43.395882986244146</v>
      </c>
      <c r="Q37" s="28">
        <f>'[3]Bilan 2022 réel'!$X$13/11.63</f>
        <v>0.93062751504729158</v>
      </c>
      <c r="R37" s="28">
        <f>('[3]Bilan 2022 réel'!$X$22+'[3]Bilan 2022 réel'!$X$30+SUM('[3]Bilan 2022 réel'!$X$36:$X$40)+SUM('[3]Bilan 2022 réel'!$X$44:$X$45)+'[3]Bilan 2022 réel'!$X$47)/11.63</f>
        <v>0.31885683576956142</v>
      </c>
      <c r="S37" s="142">
        <f>SUM(O37:R37)</f>
        <v>44.645367337060996</v>
      </c>
      <c r="T37" s="75"/>
      <c r="U37" s="147" t="s">
        <v>18</v>
      </c>
      <c r="Z37" s="8">
        <v>0</v>
      </c>
      <c r="AA37" s="8">
        <v>41.7366946</v>
      </c>
      <c r="AB37" s="8">
        <v>1.5301373292</v>
      </c>
      <c r="AC37" s="8">
        <v>0.3757359559597</v>
      </c>
      <c r="AD37" s="96">
        <v>43.6425678851597</v>
      </c>
    </row>
    <row r="38" spans="3:30" x14ac:dyDescent="0.25">
      <c r="C38" s="148" t="s">
        <v>19</v>
      </c>
      <c r="D38" t="s">
        <v>394</v>
      </c>
      <c r="E38" t="s">
        <v>395</v>
      </c>
      <c r="F38" t="s">
        <v>396</v>
      </c>
      <c r="G38" t="s">
        <v>397</v>
      </c>
      <c r="H38" s="16">
        <f>VLOOKUP(D38,Résultats!$B$2:$AX$476,'T energie vecteurs'!K5,FALSE)</f>
        <v>0</v>
      </c>
      <c r="I38" s="16">
        <f>VLOOKUP(E38,Résultats!$B$2:$AX$476,'T energie vecteurs'!K5,FALSE)</f>
        <v>22.977506429999998</v>
      </c>
      <c r="J38" s="16">
        <f>VLOOKUP(F38,Résultats!$B$2:$AX$476,'T energie vecteurs'!K5,FALSE)</f>
        <v>0.16670699350000001</v>
      </c>
      <c r="K38" s="16">
        <f>VLOOKUP(G51,Résultats!$B$2:$AX$476,'T energie vecteurs'!K5,FALSE)</f>
        <v>1.5548845100000001E-5</v>
      </c>
      <c r="L38" s="95">
        <f t="shared" si="8"/>
        <v>23.144228972345097</v>
      </c>
      <c r="M38" s="16"/>
      <c r="N38" s="148" t="s">
        <v>19</v>
      </c>
      <c r="O38" s="143"/>
      <c r="P38" s="16"/>
      <c r="Q38" s="34"/>
      <c r="R38" s="16"/>
      <c r="S38" s="95"/>
      <c r="T38" s="16"/>
      <c r="U38" s="148" t="s">
        <v>19</v>
      </c>
      <c r="V38" t="s">
        <v>394</v>
      </c>
      <c r="W38" t="s">
        <v>395</v>
      </c>
      <c r="X38" t="s">
        <v>396</v>
      </c>
      <c r="Y38" t="s">
        <v>397</v>
      </c>
      <c r="Z38" s="16">
        <v>0</v>
      </c>
      <c r="AA38" s="16">
        <v>22.973949990000001</v>
      </c>
      <c r="AB38" s="16">
        <v>0.16659521320000001</v>
      </c>
      <c r="AC38" s="16">
        <v>1.55386597E-5</v>
      </c>
      <c r="AD38" s="95">
        <v>23.140560741859701</v>
      </c>
    </row>
    <row r="39" spans="3:30" x14ac:dyDescent="0.25">
      <c r="C39" s="149" t="s">
        <v>20</v>
      </c>
      <c r="D39" t="s">
        <v>398</v>
      </c>
      <c r="E39" t="s">
        <v>399</v>
      </c>
      <c r="F39" t="s">
        <v>400</v>
      </c>
      <c r="G39" t="s">
        <v>401</v>
      </c>
      <c r="H39" s="16">
        <f>VLOOKUP(D39,Résultats!$B$2:$AX$476,'T energie vecteurs'!K5,FALSE)</f>
        <v>0</v>
      </c>
      <c r="I39" s="16">
        <f>VLOOKUP(E39,Résultats!$B$2:$AX$476,'T energie vecteurs'!K5,FALSE)</f>
        <v>18.786058130000001</v>
      </c>
      <c r="J39" s="16">
        <f>VLOOKUP(F39,Résultats!$B$2:$AX$476,'T energie vecteurs'!K5,FALSE)</f>
        <v>1.3652410129999999</v>
      </c>
      <c r="K39" s="16">
        <f>VLOOKUP(G39,Résultats!$B$2:$AX$476,'T energie vecteurs'!K5,FALSE)</f>
        <v>0.37609510489999998</v>
      </c>
      <c r="L39" s="95">
        <f t="shared" si="8"/>
        <v>20.527394247899998</v>
      </c>
      <c r="M39" s="16"/>
      <c r="N39" s="149" t="s">
        <v>20</v>
      </c>
      <c r="O39" s="143"/>
      <c r="P39" s="16"/>
      <c r="Q39" s="34"/>
      <c r="R39" s="16"/>
      <c r="S39" s="95"/>
      <c r="T39" s="16"/>
      <c r="U39" s="149" t="s">
        <v>20</v>
      </c>
      <c r="V39" t="s">
        <v>398</v>
      </c>
      <c r="W39" t="s">
        <v>399</v>
      </c>
      <c r="X39" t="s">
        <v>400</v>
      </c>
      <c r="Y39" t="s">
        <v>401</v>
      </c>
      <c r="Z39" s="16">
        <v>0</v>
      </c>
      <c r="AA39" s="16">
        <v>18.762744609999999</v>
      </c>
      <c r="AB39" s="16">
        <v>1.3635421160000001</v>
      </c>
      <c r="AC39" s="16">
        <v>0.3757204173</v>
      </c>
      <c r="AD39" s="95">
        <v>20.502007143299998</v>
      </c>
    </row>
    <row r="40" spans="3:30" x14ac:dyDescent="0.25">
      <c r="C40" s="147" t="s">
        <v>21</v>
      </c>
      <c r="D40" t="s">
        <v>402</v>
      </c>
      <c r="E40" t="s">
        <v>403</v>
      </c>
      <c r="F40" t="s">
        <v>404</v>
      </c>
      <c r="G40" t="s">
        <v>405</v>
      </c>
      <c r="H40" s="8">
        <f>VLOOKUP(D40,Résultats!$B$2:$AX$476,'T energie vecteurs'!K5,FALSE)</f>
        <v>0.32479758279999998</v>
      </c>
      <c r="I40" s="8">
        <f>VLOOKUP(E40,Résultats!$B$2:$AX$476,'T energie vecteurs'!K5,FALSE)</f>
        <v>6.2118723920000001</v>
      </c>
      <c r="J40" s="8">
        <f>VLOOKUP(F40,Résultats!$B$2:$AX$476,'T energie vecteurs'!K5,FALSE)</f>
        <v>14.938632999999999</v>
      </c>
      <c r="K40" s="8">
        <f>VLOOKUP(G40,Résultats!$B$2:$AX$476,'T energie vecteurs'!K5,FALSE)+8</f>
        <v>25.537743339999999</v>
      </c>
      <c r="L40" s="96">
        <f t="shared" si="8"/>
        <v>47.013046314799993</v>
      </c>
      <c r="M40" s="75"/>
      <c r="N40" s="150" t="s">
        <v>21</v>
      </c>
      <c r="O40" s="29">
        <f>'[3]Bilan 2022 réel'!$V$46/11.63</f>
        <v>2.6476317000000003E-2</v>
      </c>
      <c r="P40" s="28">
        <f>SUM('[3]Bilan 2022 réel'!$V$41:$V$43)/11.63</f>
        <v>3.5006052343</v>
      </c>
      <c r="Q40" s="28">
        <f>'[3]Bilan 2022 réel'!$V$13/11.63</f>
        <v>13.359407222699915</v>
      </c>
      <c r="R40" s="28">
        <f>('[3]Bilan 2022 réel'!$V$22+'[3]Bilan 2022 réel'!$V$30+SUM('[3]Bilan 2022 réel'!$V$36:$V$40)+SUM('[3]Bilan 2022 réel'!$V$44:$V$45)+'[3]Bilan 2022 réel'!$V$47)/11.63</f>
        <v>20.358936597126686</v>
      </c>
      <c r="S40" s="142">
        <f t="shared" ref="S40:S46" si="9">SUM(O40:R40)</f>
        <v>37.245425371126601</v>
      </c>
      <c r="T40" s="75"/>
      <c r="U40" s="147" t="s">
        <v>21</v>
      </c>
      <c r="V40" t="s">
        <v>402</v>
      </c>
      <c r="W40" t="s">
        <v>403</v>
      </c>
      <c r="X40" t="s">
        <v>404</v>
      </c>
      <c r="Y40" t="s">
        <v>405</v>
      </c>
      <c r="Z40" s="8">
        <v>0.29218850759999998</v>
      </c>
      <c r="AA40" s="8">
        <v>5.8697182550000004</v>
      </c>
      <c r="AB40" s="8">
        <v>14.74872476</v>
      </c>
      <c r="AC40" s="8">
        <v>24.436259159999999</v>
      </c>
      <c r="AD40" s="96">
        <v>45.346890682599998</v>
      </c>
    </row>
    <row r="41" spans="3:30" x14ac:dyDescent="0.25">
      <c r="C41" s="147" t="s">
        <v>22</v>
      </c>
      <c r="D41" t="s">
        <v>406</v>
      </c>
      <c r="E41" t="s">
        <v>407</v>
      </c>
      <c r="F41" t="s">
        <v>408</v>
      </c>
      <c r="G41" t="s">
        <v>409</v>
      </c>
      <c r="H41" s="8">
        <f>VLOOKUP(D41,Résultats!$B$2:$AX$476,'T energie vecteurs'!K5,FALSE)</f>
        <v>0</v>
      </c>
      <c r="I41" s="8">
        <f>VLOOKUP(E41,Résultats!$B$2:$AX$476,'T energie vecteurs'!K5,FALSE)</f>
        <v>3.0090733420000002</v>
      </c>
      <c r="J41" s="8">
        <f>VLOOKUP(F41,Résultats!$B$2:$AX$476,'T energie vecteurs'!K5,FALSE)</f>
        <v>12.796435499999999</v>
      </c>
      <c r="K41" s="8">
        <f>VLOOKUP(G41,Résultats!$B$2:$AX$476,'T energie vecteurs'!K5,FALSE)</f>
        <v>9.2620195750000001</v>
      </c>
      <c r="L41" s="96">
        <f t="shared" si="8"/>
        <v>25.067528416999998</v>
      </c>
      <c r="M41" s="75"/>
      <c r="N41" s="150" t="s">
        <v>22</v>
      </c>
      <c r="O41" s="29">
        <f>('[3]Bilan 2022 réel'!$W$46)/11.63</f>
        <v>3.2835727999999995E-2</v>
      </c>
      <c r="P41" s="28">
        <f>SUM('[3]Bilan 2022 réel'!$W$41:$W$43)/11.63</f>
        <v>2.0815720291000002</v>
      </c>
      <c r="Q41" s="28">
        <f>('[3]Bilan 2022 réel'!$W$13)/11.63</f>
        <v>11.4388796216681</v>
      </c>
      <c r="R41" s="28">
        <f>('[3]Bilan 2022 réel'!$W$22+'[3]Bilan 2022 réel'!$W$30+SUM('[3]Bilan 2022 réel'!$W$36:$W$40)+SUM('[3]Bilan 2022 réel'!$W$44:$W$45)+'[3]Bilan 2022 réel'!$W$47)/11.63</f>
        <v>7.4016622456291197</v>
      </c>
      <c r="S41" s="142">
        <f t="shared" si="9"/>
        <v>20.954949624397219</v>
      </c>
      <c r="T41" s="75"/>
      <c r="U41" s="147" t="s">
        <v>22</v>
      </c>
      <c r="V41" t="s">
        <v>406</v>
      </c>
      <c r="W41" t="s">
        <v>407</v>
      </c>
      <c r="X41" t="s">
        <v>408</v>
      </c>
      <c r="Y41" t="s">
        <v>409</v>
      </c>
      <c r="Z41" s="8">
        <v>0</v>
      </c>
      <c r="AA41" s="8">
        <v>3.0092418190000001</v>
      </c>
      <c r="AB41" s="8">
        <v>12.789291540000001</v>
      </c>
      <c r="AC41" s="8">
        <v>9.2705074389999904</v>
      </c>
      <c r="AD41" s="96">
        <v>25.069040797999989</v>
      </c>
    </row>
    <row r="42" spans="3:30" x14ac:dyDescent="0.25">
      <c r="C42" s="147" t="s">
        <v>23</v>
      </c>
      <c r="H42" s="8">
        <f>SUM(H43:H45)</f>
        <v>2.5866465235999998</v>
      </c>
      <c r="I42" s="8">
        <f>SUM(I43:I45)</f>
        <v>12.860198467</v>
      </c>
      <c r="J42" s="8">
        <f>SUM(J43:J45)</f>
        <v>9.6596826448000002</v>
      </c>
      <c r="K42" s="8">
        <f>SUM(K43:K45)</f>
        <v>16.0034215465</v>
      </c>
      <c r="L42" s="96">
        <f t="shared" si="8"/>
        <v>41.109949181899999</v>
      </c>
      <c r="M42" s="75"/>
      <c r="N42" s="150" t="s">
        <v>490</v>
      </c>
      <c r="O42" s="29">
        <f>O43+O44</f>
        <v>4.5030917883254036</v>
      </c>
      <c r="P42" s="28">
        <f t="shared" ref="P42:R42" si="10">P43+P44</f>
        <v>11.747675010745624</v>
      </c>
      <c r="Q42" s="28">
        <f t="shared" si="10"/>
        <v>9.2559822012037838</v>
      </c>
      <c r="R42" s="28">
        <f t="shared" si="10"/>
        <v>13.798624448265977</v>
      </c>
      <c r="S42" s="142">
        <f t="shared" si="9"/>
        <v>39.305373448540784</v>
      </c>
      <c r="T42" s="75"/>
      <c r="U42" s="147" t="s">
        <v>23</v>
      </c>
      <c r="Z42" s="8">
        <v>2.5815140112999999</v>
      </c>
      <c r="AA42" s="8">
        <v>12.829603892000002</v>
      </c>
      <c r="AB42" s="8">
        <v>9.639446283599991</v>
      </c>
      <c r="AC42" s="8">
        <v>15.985122134800001</v>
      </c>
      <c r="AD42" s="96">
        <v>41.035686321699991</v>
      </c>
    </row>
    <row r="43" spans="3:30" x14ac:dyDescent="0.25">
      <c r="C43" s="149" t="s">
        <v>24</v>
      </c>
      <c r="D43" t="s">
        <v>410</v>
      </c>
      <c r="E43" t="s">
        <v>411</v>
      </c>
      <c r="F43" t="s">
        <v>412</v>
      </c>
      <c r="G43" t="s">
        <v>413</v>
      </c>
      <c r="H43" s="16">
        <f>VLOOKUP(D43,Résultats!$B$2:$AX$476,'T energie vecteurs'!K5,FALSE)</f>
        <v>1.7030083359999999</v>
      </c>
      <c r="I43" s="16">
        <f>VLOOKUP(E43,Résultats!$B$2:$AX$476,'T energie vecteurs'!K5,FALSE)</f>
        <v>8.5243015460000002</v>
      </c>
      <c r="J43" s="16">
        <f>VLOOKUP(F43,Résultats!$B$2:$AX$476,'T energie vecteurs'!K5,FALSE)</f>
        <v>9.3351355740000006</v>
      </c>
      <c r="K43" s="16">
        <f>VLOOKUP(G43,Résultats!$B$2:$AX$476,'T energie vecteurs'!K5,FALSE)</f>
        <v>13.46417488</v>
      </c>
      <c r="L43" s="95">
        <f t="shared" si="8"/>
        <v>33.026620336000001</v>
      </c>
      <c r="M43" s="16"/>
      <c r="N43" s="149" t="s">
        <v>491</v>
      </c>
      <c r="O43" s="143">
        <f>'[3]Bilan 2022 réel'!$U$46/11.63</f>
        <v>0.63402045200000001</v>
      </c>
      <c r="P43" s="30">
        <f>SUM('[3]Bilan 2022 réel'!$U$41:$U$43)/11.63</f>
        <v>2.4775829957456241</v>
      </c>
      <c r="Q43" s="30">
        <f>'[3]Bilan 2022 réel'!$U$13/11.63</f>
        <v>9.2559822012037838</v>
      </c>
      <c r="R43" s="30">
        <f>('[3]Bilan 2022 réel'!$U$22+'[3]Bilan 2022 réel'!$U$30+SUM('[3]Bilan 2022 réel'!$U$36:$U$40)+SUM('[3]Bilan 2022 réel'!$U$44:$U$45)+'[3]Bilan 2022 réel'!$U$47)/11.63</f>
        <v>12.926272664087129</v>
      </c>
      <c r="S43" s="95">
        <f t="shared" si="9"/>
        <v>25.293858313036537</v>
      </c>
      <c r="T43" s="16"/>
      <c r="U43" s="149" t="s">
        <v>24</v>
      </c>
      <c r="V43" t="s">
        <v>410</v>
      </c>
      <c r="W43" t="s">
        <v>411</v>
      </c>
      <c r="X43" t="s">
        <v>412</v>
      </c>
      <c r="Y43" t="s">
        <v>413</v>
      </c>
      <c r="Z43" s="16">
        <v>1.6999228799999999</v>
      </c>
      <c r="AA43" s="16">
        <v>8.4956087700000005</v>
      </c>
      <c r="AB43" s="16">
        <v>9.3153372319999903</v>
      </c>
      <c r="AC43" s="16">
        <v>13.44573585</v>
      </c>
      <c r="AD43" s="95">
        <v>32.956604731999988</v>
      </c>
    </row>
    <row r="44" spans="3:30" x14ac:dyDescent="0.25">
      <c r="C44" s="149" t="s">
        <v>47</v>
      </c>
      <c r="D44" t="s">
        <v>414</v>
      </c>
      <c r="E44" t="s">
        <v>415</v>
      </c>
      <c r="F44" t="s">
        <v>416</v>
      </c>
      <c r="G44" t="s">
        <v>417</v>
      </c>
      <c r="H44" s="16">
        <f>VLOOKUP(D44,Résultats!$B$2:$AX$476,'T energie vecteurs'!K5,FALSE)</f>
        <v>0.88363818760000001</v>
      </c>
      <c r="I44" s="16">
        <f>VLOOKUP(E44,Résultats!$B$2:$AX$476,'T energie vecteurs'!K5,FALSE)</f>
        <v>1.904661172</v>
      </c>
      <c r="J44" s="16">
        <f>VLOOKUP(F44,Résultats!$B$2:$AX$476,'T energie vecteurs'!K5,FALSE)</f>
        <v>0</v>
      </c>
      <c r="K44" s="16">
        <f>VLOOKUP(G44,Résultats!$B$2:$AX$476,'T energie vecteurs'!K5,FALSE)</f>
        <v>2.1523533970000002</v>
      </c>
      <c r="L44" s="95">
        <f t="shared" si="8"/>
        <v>4.9406527566000005</v>
      </c>
      <c r="M44" s="16"/>
      <c r="N44" s="149" t="s">
        <v>47</v>
      </c>
      <c r="O44" s="22">
        <f>'[3]Bilan 2022 réel'!$E$52/11.63</f>
        <v>3.8690713363254039</v>
      </c>
      <c r="P44" s="16">
        <f>('[3]Bilan 2022 réel'!$E$54+'[3]Bilan 2022 réel'!$E$56)/11.63</f>
        <v>9.2700920149999995</v>
      </c>
      <c r="Q44" s="16">
        <v>0</v>
      </c>
      <c r="R44" s="16">
        <f>('[3]Bilan 2022 réel'!$E$53+'[3]Bilan 2022 réel'!$E$55+'[3]Bilan 2022 réel'!$E$57)/11.63</f>
        <v>0.87235178417884784</v>
      </c>
      <c r="S44" s="95">
        <f t="shared" si="9"/>
        <v>14.011515135504252</v>
      </c>
      <c r="T44" s="16"/>
      <c r="U44" s="149" t="s">
        <v>47</v>
      </c>
      <c r="V44" t="s">
        <v>414</v>
      </c>
      <c r="W44" t="s">
        <v>415</v>
      </c>
      <c r="X44" t="s">
        <v>416</v>
      </c>
      <c r="Y44" t="s">
        <v>417</v>
      </c>
      <c r="Z44" s="16">
        <v>0.8815911313</v>
      </c>
      <c r="AA44" s="16">
        <v>1.904483468</v>
      </c>
      <c r="AB44" s="16">
        <v>0</v>
      </c>
      <c r="AC44" s="16">
        <v>2.1525847499999999</v>
      </c>
      <c r="AD44" s="95">
        <v>4.9386593492999999</v>
      </c>
    </row>
    <row r="45" spans="3:30" x14ac:dyDescent="0.25">
      <c r="C45" s="149" t="s">
        <v>25</v>
      </c>
      <c r="D45" t="s">
        <v>418</v>
      </c>
      <c r="E45" t="s">
        <v>419</v>
      </c>
      <c r="F45" t="s">
        <v>420</v>
      </c>
      <c r="G45" t="s">
        <v>421</v>
      </c>
      <c r="H45" s="16">
        <f>VLOOKUP(D45,Résultats!$B$2:$AX$476,'T energie vecteurs'!K5,FALSE)</f>
        <v>0</v>
      </c>
      <c r="I45" s="16">
        <f>VLOOKUP(E45,Résultats!$B$2:$AX$476,'T energie vecteurs'!K5,FALSE)</f>
        <v>2.4312357489999998</v>
      </c>
      <c r="J45" s="16">
        <f>VLOOKUP(F45,Résultats!$B$2:$AX$476,'T energie vecteurs'!K5,FALSE)</f>
        <v>0.3245470708</v>
      </c>
      <c r="K45" s="16">
        <f>VLOOKUP(G45,Résultats!$B$2:$AX$476,'T energie vecteurs'!K5,FALSE)</f>
        <v>0.38689326950000003</v>
      </c>
      <c r="L45" s="95">
        <f t="shared" si="8"/>
        <v>3.1426760893000001</v>
      </c>
      <c r="M45" s="16"/>
      <c r="N45" s="150" t="s">
        <v>25</v>
      </c>
      <c r="O45" s="29">
        <f>'[3]Bilan 2022 réel'!$T$46/11.63</f>
        <v>1.651664E-3</v>
      </c>
      <c r="P45" s="28">
        <f>SUM('[3]Bilan 2022 réel'!$T$41:$T$43)/11.63</f>
        <v>3.5697769387513203</v>
      </c>
      <c r="Q45" s="28">
        <f>'[3]Bilan 2022 réel'!$T$13/11.63</f>
        <v>0.67291487532244199</v>
      </c>
      <c r="R45" s="28">
        <f>('[3]Bilan 2022 réel'!$T$22+'[3]Bilan 2022 réel'!$T$30+SUM('[3]Bilan 2022 réel'!$T$36:$T$40)+SUM('[3]Bilan 2022 réel'!$T$44:$T$45)+'[3]Bilan 2022 réel'!$T$47)/11.63</f>
        <v>0.43996563007547523</v>
      </c>
      <c r="S45" s="142">
        <f t="shared" si="9"/>
        <v>4.6843091081492378</v>
      </c>
      <c r="T45" s="16"/>
      <c r="U45" s="149" t="s">
        <v>25</v>
      </c>
      <c r="V45" t="s">
        <v>418</v>
      </c>
      <c r="W45" t="s">
        <v>419</v>
      </c>
      <c r="X45" t="s">
        <v>420</v>
      </c>
      <c r="Y45" t="s">
        <v>421</v>
      </c>
      <c r="Z45" s="16">
        <v>0</v>
      </c>
      <c r="AA45" s="16">
        <v>2.4295116540000001</v>
      </c>
      <c r="AB45" s="16">
        <v>0.32410905159999998</v>
      </c>
      <c r="AC45" s="16">
        <v>0.38680153480000001</v>
      </c>
      <c r="AD45" s="95">
        <v>3.1404222404</v>
      </c>
    </row>
    <row r="46" spans="3:30" x14ac:dyDescent="0.25">
      <c r="C46" s="23" t="s">
        <v>26</v>
      </c>
      <c r="D46" s="10"/>
      <c r="E46" s="10"/>
      <c r="F46" s="10"/>
      <c r="G46" s="10"/>
      <c r="H46" s="9">
        <f>SUM(H37,H40:H42)</f>
        <v>2.9114441063999998</v>
      </c>
      <c r="I46" s="9">
        <f>SUM(I37,I40:I42)</f>
        <v>63.844708760999993</v>
      </c>
      <c r="J46" s="9">
        <f>SUM(J37,J40:J42)</f>
        <v>38.926699151299999</v>
      </c>
      <c r="K46" s="9">
        <f>SUM(K37,K40:K42)</f>
        <v>51.179295115245104</v>
      </c>
      <c r="L46" s="98">
        <f t="shared" si="8"/>
        <v>156.86214713394509</v>
      </c>
      <c r="M46" s="79"/>
      <c r="N46" s="151" t="s">
        <v>26</v>
      </c>
      <c r="O46" s="32">
        <f>O37+O40+O41+O42+O45</f>
        <v>4.5640554973254037</v>
      </c>
      <c r="P46" s="31">
        <f>P37+P40+P41+P42+P45</f>
        <v>64.295512199141086</v>
      </c>
      <c r="Q46" s="31">
        <f>Q37+Q40+Q41+Q42+Q45</f>
        <v>35.657811435941532</v>
      </c>
      <c r="R46" s="31">
        <f>R37+R40+R41+R42+R45</f>
        <v>42.318045756866823</v>
      </c>
      <c r="S46" s="144">
        <f t="shared" si="9"/>
        <v>146.83542488927486</v>
      </c>
      <c r="T46" s="79"/>
      <c r="U46" s="23" t="s">
        <v>26</v>
      </c>
      <c r="V46" s="10"/>
      <c r="W46" s="10"/>
      <c r="X46" s="10"/>
      <c r="Y46" s="10"/>
      <c r="Z46" s="9">
        <v>2.8737025189000001</v>
      </c>
      <c r="AA46" s="9">
        <v>63.445258566000007</v>
      </c>
      <c r="AB46" s="9">
        <v>38.707599912799992</v>
      </c>
      <c r="AC46" s="9">
        <v>50.06762468975969</v>
      </c>
      <c r="AD46" s="98">
        <v>155.09418568745969</v>
      </c>
    </row>
    <row r="47" spans="3:30" s="3" customFormat="1" x14ac:dyDescent="0.25">
      <c r="H47" s="45"/>
      <c r="I47" s="45"/>
      <c r="J47" s="45"/>
      <c r="K47" s="45"/>
      <c r="L47" s="45"/>
      <c r="M47" s="45"/>
      <c r="N47" s="45"/>
      <c r="O47" s="77"/>
      <c r="P47" s="77"/>
      <c r="Q47" s="77"/>
      <c r="R47" s="78"/>
      <c r="S47" s="45"/>
      <c r="T47" s="45"/>
      <c r="Z47" s="45"/>
      <c r="AA47" s="45"/>
      <c r="AB47" s="45"/>
      <c r="AC47" s="45"/>
      <c r="AD47" s="45"/>
    </row>
    <row r="48" spans="3:30" s="3" customFormat="1" x14ac:dyDescent="0.25"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Z48" s="45"/>
      <c r="AA48" s="45"/>
      <c r="AB48" s="45"/>
      <c r="AC48" s="45"/>
      <c r="AD48" s="45"/>
    </row>
    <row r="49" spans="2:30" ht="31.5" x14ac:dyDescent="0.35">
      <c r="C49" s="145">
        <v>2023</v>
      </c>
      <c r="D49" s="146"/>
      <c r="E49" s="146"/>
      <c r="F49" s="146"/>
      <c r="G49" s="146"/>
      <c r="H49" s="76" t="s">
        <v>36</v>
      </c>
      <c r="I49" s="76" t="s">
        <v>49</v>
      </c>
      <c r="J49" s="76" t="s">
        <v>38</v>
      </c>
      <c r="K49" s="76" t="s">
        <v>48</v>
      </c>
      <c r="L49" s="93" t="s">
        <v>1</v>
      </c>
      <c r="M49" s="19"/>
      <c r="N49" s="145">
        <v>2023</v>
      </c>
      <c r="O49" s="141" t="s">
        <v>36</v>
      </c>
      <c r="P49" s="76" t="s">
        <v>49</v>
      </c>
      <c r="Q49" s="76" t="s">
        <v>38</v>
      </c>
      <c r="R49" s="76" t="s">
        <v>48</v>
      </c>
      <c r="S49" s="93" t="s">
        <v>1</v>
      </c>
      <c r="T49" s="19"/>
      <c r="U49" s="145">
        <v>2023</v>
      </c>
      <c r="V49" s="146"/>
      <c r="W49" s="146"/>
      <c r="X49" s="146"/>
      <c r="Y49" s="146"/>
      <c r="Z49" s="76" t="s">
        <v>36</v>
      </c>
      <c r="AA49" s="76" t="s">
        <v>49</v>
      </c>
      <c r="AB49" s="76" t="s">
        <v>38</v>
      </c>
      <c r="AC49" s="76" t="s">
        <v>48</v>
      </c>
      <c r="AD49" s="93" t="s">
        <v>1</v>
      </c>
    </row>
    <row r="50" spans="2:30" x14ac:dyDescent="0.25">
      <c r="C50" s="147" t="s">
        <v>18</v>
      </c>
      <c r="H50" s="8">
        <f>SUM(H51:H52)</f>
        <v>0</v>
      </c>
      <c r="I50" s="8">
        <f>SUM(I51:I52)</f>
        <v>41.480180590000003</v>
      </c>
      <c r="J50" s="8">
        <f>SUM(J51:J52)</f>
        <v>1.6020263836000002</v>
      </c>
      <c r="K50" s="8">
        <f>SUM(K51:K52)</f>
        <v>0.42046073687609997</v>
      </c>
      <c r="L50" s="96">
        <f>SUM(H50:K50)</f>
        <v>43.502667710476103</v>
      </c>
      <c r="M50" s="75"/>
      <c r="N50" s="150" t="s">
        <v>18</v>
      </c>
      <c r="O50" s="29">
        <f>'[3]Bilan 2023 réel'!$X$46/11.63</f>
        <v>0</v>
      </c>
      <c r="P50" s="28">
        <f>SUM('[3]Bilan 2023 réel'!$X$41:$X$43)/11.63</f>
        <v>42.139633010859157</v>
      </c>
      <c r="Q50" s="28">
        <f>'[3]Bilan 2023 réel'!$X$13/11.63</f>
        <v>0.9065512467755803</v>
      </c>
      <c r="R50" s="28">
        <f>('[3]Bilan 2023 réel'!$X$22+'[3]Bilan 2023 réel'!$X$30+SUM('[3]Bilan 2023 réel'!$X$36:$X$40)+SUM('[3]Bilan 2023 réel'!$X$44:$X$45)+'[3]Bilan 2023 réel'!$X$47)/11.63</f>
        <v>0.31885683576956142</v>
      </c>
      <c r="S50" s="142">
        <f>SUM(O50:R50)</f>
        <v>43.365041093404294</v>
      </c>
      <c r="T50" s="270"/>
      <c r="U50" s="147" t="s">
        <v>18</v>
      </c>
      <c r="Z50" s="8">
        <v>0</v>
      </c>
      <c r="AA50" s="8">
        <v>41.449566140000002</v>
      </c>
      <c r="AB50" s="8">
        <v>1.5999709751</v>
      </c>
      <c r="AC50" s="8">
        <v>0.42002461775510003</v>
      </c>
      <c r="AD50" s="96">
        <v>43.469561732855098</v>
      </c>
    </row>
    <row r="51" spans="2:30" x14ac:dyDescent="0.25">
      <c r="C51" s="148" t="s">
        <v>19</v>
      </c>
      <c r="D51" t="s">
        <v>394</v>
      </c>
      <c r="E51" t="s">
        <v>395</v>
      </c>
      <c r="F51" t="s">
        <v>396</v>
      </c>
      <c r="G51" t="s">
        <v>397</v>
      </c>
      <c r="H51" s="16">
        <f>VLOOKUP(D51,Résultats!$B$2:$AX$476,'T energie vecteurs'!L5,FALSE)</f>
        <v>0</v>
      </c>
      <c r="I51" s="16">
        <f>VLOOKUP(E51,Résultats!$B$2:$AX$476,'T energie vecteurs'!L5,FALSE)</f>
        <v>22.430729660000001</v>
      </c>
      <c r="J51" s="16">
        <f>VLOOKUP(F51,Résultats!$B$2:$AX$476,'T energie vecteurs'!L5,FALSE)</f>
        <v>0.20627713959999999</v>
      </c>
      <c r="K51" s="16">
        <f>VLOOKUP(G51,Résultats!$B$2:$AX$476,'T energie vecteurs'!L5,FALSE)</f>
        <v>1.7495676099999998E-5</v>
      </c>
      <c r="L51" s="95">
        <f t="shared" ref="L51:L52" si="11">SUM(H51:K51)</f>
        <v>22.637024295276102</v>
      </c>
      <c r="M51" s="16"/>
      <c r="N51" s="148" t="s">
        <v>19</v>
      </c>
      <c r="O51" s="143"/>
      <c r="P51" s="16"/>
      <c r="Q51" s="34"/>
      <c r="R51" s="16"/>
      <c r="S51" s="95"/>
      <c r="T51" s="270"/>
      <c r="U51" s="148" t="s">
        <v>19</v>
      </c>
      <c r="V51" t="s">
        <v>394</v>
      </c>
      <c r="W51" t="s">
        <v>395</v>
      </c>
      <c r="X51" t="s">
        <v>396</v>
      </c>
      <c r="Y51" t="s">
        <v>397</v>
      </c>
      <c r="Z51" s="16">
        <v>0</v>
      </c>
      <c r="AA51" s="16">
        <v>22.426168499999999</v>
      </c>
      <c r="AB51" s="16">
        <v>0.2061081031</v>
      </c>
      <c r="AC51" s="16">
        <v>1.7482355099999999E-5</v>
      </c>
      <c r="AD51" s="95">
        <v>22.632294085455101</v>
      </c>
    </row>
    <row r="52" spans="2:30" x14ac:dyDescent="0.25">
      <c r="C52" s="149" t="s">
        <v>20</v>
      </c>
      <c r="D52" t="s">
        <v>398</v>
      </c>
      <c r="E52" t="s">
        <v>399</v>
      </c>
      <c r="F52" t="s">
        <v>400</v>
      </c>
      <c r="G52" t="s">
        <v>401</v>
      </c>
      <c r="H52" s="16">
        <f>VLOOKUP(D52,Résultats!$B$2:$AX$476,'T energie vecteurs'!L5,FALSE)</f>
        <v>0</v>
      </c>
      <c r="I52" s="16">
        <f>VLOOKUP(E52,Résultats!$B$2:$AX$476,'T energie vecteurs'!L5,FALSE)</f>
        <v>19.049450929999999</v>
      </c>
      <c r="J52" s="16">
        <f>VLOOKUP(F52,Résultats!$B$2:$AX$476,'T energie vecteurs'!L5,FALSE)</f>
        <v>1.3957492440000001</v>
      </c>
      <c r="K52" s="16">
        <f>VLOOKUP(G52,Résultats!$B$2:$AX$476,'T energie vecteurs'!L5,FALSE)</f>
        <v>0.42044324119999998</v>
      </c>
      <c r="L52" s="95">
        <f t="shared" si="11"/>
        <v>20.865643415200001</v>
      </c>
      <c r="M52" s="16"/>
      <c r="N52" s="149" t="s">
        <v>20</v>
      </c>
      <c r="O52" s="143"/>
      <c r="P52" s="16"/>
      <c r="Q52" s="34"/>
      <c r="R52" s="16"/>
      <c r="S52" s="95"/>
      <c r="T52" s="270"/>
      <c r="U52" s="149" t="s">
        <v>20</v>
      </c>
      <c r="V52" t="s">
        <v>398</v>
      </c>
      <c r="W52" t="s">
        <v>399</v>
      </c>
      <c r="X52" t="s">
        <v>400</v>
      </c>
      <c r="Y52" t="s">
        <v>401</v>
      </c>
      <c r="Z52" s="16">
        <v>0</v>
      </c>
      <c r="AA52" s="16">
        <v>19.023397639999999</v>
      </c>
      <c r="AB52" s="16">
        <v>1.3938628719999999</v>
      </c>
      <c r="AC52" s="16">
        <v>0.42000713540000001</v>
      </c>
      <c r="AD52" s="95">
        <v>20.837267647399997</v>
      </c>
    </row>
    <row r="53" spans="2:30" x14ac:dyDescent="0.25">
      <c r="C53" s="147" t="s">
        <v>21</v>
      </c>
      <c r="D53" t="s">
        <v>402</v>
      </c>
      <c r="E53" t="s">
        <v>403</v>
      </c>
      <c r="F53" t="s">
        <v>404</v>
      </c>
      <c r="G53" t="s">
        <v>405</v>
      </c>
      <c r="H53" s="8">
        <f>VLOOKUP(D53,Résultats!$B$2:$AX$476,'T energie vecteurs'!L5,FALSE)</f>
        <v>0.3173758304</v>
      </c>
      <c r="I53" s="294">
        <f>VLOOKUP(E53,Résultats!$B$2:$AX$476,'T energie vecteurs'!L5,FALSE)</f>
        <v>6.0049824650000003</v>
      </c>
      <c r="J53" s="8">
        <f>VLOOKUP(F53,Résultats!$B$2:$AX$476,'T energie vecteurs'!L5,FALSE)</f>
        <v>15.03671061</v>
      </c>
      <c r="K53" s="8">
        <f>VLOOKUP(G53,Résultats!$B$2:$AX$476,'T energie vecteurs'!L5,FALSE)+8</f>
        <v>25.56540171</v>
      </c>
      <c r="L53" s="96">
        <f>SUM(H53:K53)</f>
        <v>46.924470615399997</v>
      </c>
      <c r="M53" s="75"/>
      <c r="N53" s="150" t="s">
        <v>21</v>
      </c>
      <c r="O53" s="29">
        <f>'[3]Bilan 2023 réel'!$V$46/11.63</f>
        <v>1.9785054E-2</v>
      </c>
      <c r="P53" s="28">
        <f>SUM('[3]Bilan 2023 réel'!$V$41:$V$43)/11.63</f>
        <v>3.0423469738</v>
      </c>
      <c r="Q53" s="28">
        <f>'[3]Bilan 2023 réel'!$V$13/11.63</f>
        <v>13.020267239896821</v>
      </c>
      <c r="R53" s="28">
        <f>('[3]Bilan 2023 réel'!$V$22+'[3]Bilan 2023 réel'!$V$30+SUM('[3]Bilan 2023 réel'!$V$36:$V$40)+SUM('[3]Bilan 2023 réel'!$V$44:$V$45)+'[3]Bilan 2023 réel'!$V$47)/11.63</f>
        <v>20.330842243575045</v>
      </c>
      <c r="S53" s="142">
        <f t="shared" ref="S53:S59" si="12">SUM(O53:R53)</f>
        <v>36.413241511271863</v>
      </c>
      <c r="T53" s="270"/>
      <c r="U53" s="147" t="s">
        <v>21</v>
      </c>
      <c r="V53" t="s">
        <v>402</v>
      </c>
      <c r="W53" t="s">
        <v>403</v>
      </c>
      <c r="X53" t="s">
        <v>404</v>
      </c>
      <c r="Y53" t="s">
        <v>405</v>
      </c>
      <c r="Z53" s="8">
        <v>0.28480931409999999</v>
      </c>
      <c r="AA53" s="294">
        <v>5.633111145</v>
      </c>
      <c r="AB53" s="8">
        <v>14.835570260000001</v>
      </c>
      <c r="AC53" s="8">
        <v>24.406614040000001</v>
      </c>
      <c r="AD53" s="96">
        <v>45.160104759100001</v>
      </c>
    </row>
    <row r="54" spans="2:30" x14ac:dyDescent="0.25">
      <c r="C54" s="147" t="s">
        <v>22</v>
      </c>
      <c r="D54" t="s">
        <v>406</v>
      </c>
      <c r="E54" t="s">
        <v>407</v>
      </c>
      <c r="F54" t="s">
        <v>408</v>
      </c>
      <c r="G54" t="s">
        <v>409</v>
      </c>
      <c r="H54" s="8">
        <f>VLOOKUP(D54,Résultats!$B$2:$AX$476,'T energie vecteurs'!L5,FALSE)</f>
        <v>0</v>
      </c>
      <c r="I54" s="8">
        <f>VLOOKUP(E54,Résultats!$B$2:$AX$476,'T energie vecteurs'!L5,FALSE)</f>
        <v>2.9954080859999999</v>
      </c>
      <c r="J54" s="8">
        <f>VLOOKUP(F54,Résultats!$B$2:$AX$476,'T energie vecteurs'!L5,FALSE)</f>
        <v>12.77557262</v>
      </c>
      <c r="K54" s="8">
        <f>VLOOKUP(G54,Résultats!$B$2:$AX$476,'T energie vecteurs'!L5,FALSE)</f>
        <v>9.3901054659999996</v>
      </c>
      <c r="L54" s="96">
        <f t="shared" ref="L54:L56" si="13">SUM(H54:K54)</f>
        <v>25.161086171999997</v>
      </c>
      <c r="M54" s="75"/>
      <c r="N54" s="150" t="s">
        <v>22</v>
      </c>
      <c r="O54" s="29">
        <f>('[3]Bilan 2023 réel'!$W$46)/11.63</f>
        <v>2.9470376E-2</v>
      </c>
      <c r="P54" s="28">
        <f>SUM('[3]Bilan 2023 réel'!$W$41:$W$43)/11.63</f>
        <v>2.063881609425366</v>
      </c>
      <c r="Q54" s="28">
        <f>('[3]Bilan 2023 réel'!$W$13)/11.63</f>
        <v>11.200373602751505</v>
      </c>
      <c r="R54" s="28">
        <f>('[3]Bilan 2023 réel'!$W$22+'[3]Bilan 2023 réel'!$W$30+SUM('[3]Bilan 2023 réel'!$W$36:$W$40)+SUM('[3]Bilan 2023 réel'!$W$44:$W$45)+'[3]Bilan 2023 réel'!$W$47)/11.63</f>
        <v>7.0633917765357781</v>
      </c>
      <c r="S54" s="142">
        <f t="shared" si="12"/>
        <v>20.35711736471265</v>
      </c>
      <c r="T54" s="270"/>
      <c r="U54" s="147" t="s">
        <v>22</v>
      </c>
      <c r="V54" t="s">
        <v>406</v>
      </c>
      <c r="W54" t="s">
        <v>407</v>
      </c>
      <c r="X54" t="s">
        <v>408</v>
      </c>
      <c r="Y54" t="s">
        <v>409</v>
      </c>
      <c r="Z54" s="8">
        <v>0</v>
      </c>
      <c r="AA54" s="8">
        <v>2.995206027</v>
      </c>
      <c r="AB54" s="8">
        <v>12.76609567</v>
      </c>
      <c r="AC54" s="8">
        <v>9.4040393029999905</v>
      </c>
      <c r="AD54" s="96">
        <v>25.165340999999991</v>
      </c>
    </row>
    <row r="55" spans="2:30" x14ac:dyDescent="0.25">
      <c r="C55" s="147" t="s">
        <v>23</v>
      </c>
      <c r="H55" s="8">
        <f>SUM(H56:H58)</f>
        <v>2.5988500598000002</v>
      </c>
      <c r="I55" s="8">
        <f>SUM(I56:I58)</f>
        <v>12.790947322999999</v>
      </c>
      <c r="J55" s="8">
        <f>SUM(J56:J58)</f>
        <v>9.9458712415999901</v>
      </c>
      <c r="K55" s="8">
        <f>SUM(K56:K58)</f>
        <v>16.4742062324</v>
      </c>
      <c r="L55" s="96">
        <f t="shared" si="13"/>
        <v>41.809874856799993</v>
      </c>
      <c r="M55" s="75"/>
      <c r="N55" s="150" t="s">
        <v>490</v>
      </c>
      <c r="O55" s="29">
        <f>O56+O57</f>
        <v>3.8091541290558895</v>
      </c>
      <c r="P55" s="28">
        <f t="shared" ref="P55:R55" si="14">P56+P57</f>
        <v>12.120619615422576</v>
      </c>
      <c r="Q55" s="28">
        <f t="shared" si="14"/>
        <v>8.8688043852106624</v>
      </c>
      <c r="R55" s="28">
        <f t="shared" si="14"/>
        <v>13.00955432637566</v>
      </c>
      <c r="S55" s="142">
        <f t="shared" si="12"/>
        <v>37.808132456064783</v>
      </c>
      <c r="T55" s="270"/>
      <c r="U55" s="147" t="s">
        <v>23</v>
      </c>
      <c r="Z55" s="8">
        <v>2.5926006634999998</v>
      </c>
      <c r="AA55" s="8">
        <v>12.755525670999999</v>
      </c>
      <c r="AB55" s="8">
        <v>9.9204348672000009</v>
      </c>
      <c r="AC55" s="8">
        <v>16.456197314200001</v>
      </c>
      <c r="AD55" s="96">
        <v>41.7247585159</v>
      </c>
    </row>
    <row r="56" spans="2:30" x14ac:dyDescent="0.25">
      <c r="C56" s="149" t="s">
        <v>24</v>
      </c>
      <c r="D56" t="s">
        <v>410</v>
      </c>
      <c r="E56" t="s">
        <v>411</v>
      </c>
      <c r="F56" t="s">
        <v>412</v>
      </c>
      <c r="G56" t="s">
        <v>413</v>
      </c>
      <c r="H56" s="16">
        <f>VLOOKUP(D56,Résultats!$B$2:$AX$476,'T energie vecteurs'!L5,FALSE)</f>
        <v>1.697779564</v>
      </c>
      <c r="I56" s="16">
        <f>VLOOKUP(E56,Résultats!$B$2:$AX$476,'T energie vecteurs'!L5,FALSE)</f>
        <v>8.3810761510000003</v>
      </c>
      <c r="J56" s="16">
        <f>VLOOKUP(F56,Résultats!$B$2:$AX$476,'T energie vecteurs'!L5,FALSE)</f>
        <v>9.6123615069999904</v>
      </c>
      <c r="K56" s="16">
        <f>VLOOKUP(G56,Résultats!$B$2:$AX$476,'T energie vecteurs'!L5,FALSE)</f>
        <v>13.87618106</v>
      </c>
      <c r="L56" s="95">
        <f t="shared" si="13"/>
        <v>33.567398281999992</v>
      </c>
      <c r="M56" s="16"/>
      <c r="N56" s="149" t="s">
        <v>491</v>
      </c>
      <c r="O56" s="143">
        <f>'[3]Bilan 2023 réel'!$U$46/11.63</f>
        <v>0.58092196100000004</v>
      </c>
      <c r="P56" s="30">
        <f>SUM('[3]Bilan 2023 réel'!$U$41:$U$43)/11.63</f>
        <v>2.395717067522579</v>
      </c>
      <c r="Q56" s="30">
        <f>'[3]Bilan 2023 réel'!$U$13/11.63</f>
        <v>8.8688043852106624</v>
      </c>
      <c r="R56" s="30">
        <f>('[3]Bilan 2023 réel'!$U$22+'[3]Bilan 2023 réel'!$U$30+SUM('[3]Bilan 2023 réel'!$U$36:$U$40)+SUM('[3]Bilan 2023 réel'!$U$44:$U$45)+'[3]Bilan 2023 réel'!$U$47)/11.63</f>
        <v>12.148361914509795</v>
      </c>
      <c r="S56" s="95">
        <f t="shared" si="12"/>
        <v>23.993805328243035</v>
      </c>
      <c r="T56" s="270"/>
      <c r="U56" s="149" t="s">
        <v>24</v>
      </c>
      <c r="V56" t="s">
        <v>410</v>
      </c>
      <c r="W56" t="s">
        <v>411</v>
      </c>
      <c r="X56" t="s">
        <v>412</v>
      </c>
      <c r="Y56" t="s">
        <v>413</v>
      </c>
      <c r="Z56" s="16">
        <v>1.694013835</v>
      </c>
      <c r="AA56" s="16">
        <v>8.3478165880000006</v>
      </c>
      <c r="AB56" s="16">
        <v>9.5874179690000005</v>
      </c>
      <c r="AC56" s="16">
        <v>13.85763822</v>
      </c>
      <c r="AD56" s="95">
        <v>33.486886611999999</v>
      </c>
    </row>
    <row r="57" spans="2:30" x14ac:dyDescent="0.25">
      <c r="C57" s="149" t="s">
        <v>47</v>
      </c>
      <c r="D57" t="s">
        <v>414</v>
      </c>
      <c r="E57" t="s">
        <v>415</v>
      </c>
      <c r="F57" t="s">
        <v>416</v>
      </c>
      <c r="G57" t="s">
        <v>417</v>
      </c>
      <c r="H57" s="16">
        <f>VLOOKUP(D57,Résultats!$B$2:$AX$476,'T energie vecteurs'!L5,FALSE)</f>
        <v>0.90107049579999998</v>
      </c>
      <c r="I57" s="16">
        <f>VLOOKUP(E57,Résultats!$B$2:$AX$476,'T energie vecteurs'!L5,FALSE)</f>
        <v>1.9397006969999999</v>
      </c>
      <c r="J57" s="16">
        <f>VLOOKUP(F57,Résultats!$B$2:$AX$476,'T energie vecteurs'!L5,FALSE)</f>
        <v>0</v>
      </c>
      <c r="K57" s="16">
        <f>VLOOKUP(G57,Résultats!$B$2:$AX$476,'T energie vecteurs'!L5,FALSE)</f>
        <v>2.1941853309999999</v>
      </c>
      <c r="L57" s="95">
        <f>SUM(H57:K57)</f>
        <v>5.0349565238</v>
      </c>
      <c r="M57" s="16"/>
      <c r="N57" s="149" t="s">
        <v>47</v>
      </c>
      <c r="O57" s="22">
        <f>'[3]Bilan 2023 réel'!$E$52/11.63</f>
        <v>3.2282321680558894</v>
      </c>
      <c r="P57" s="16">
        <f>('[3]Bilan 2023 réel'!$E$54+'[3]Bilan 2023 réel'!$E$56)/11.63</f>
        <v>9.7249025478999975</v>
      </c>
      <c r="Q57" s="16">
        <v>0</v>
      </c>
      <c r="R57" s="16">
        <f>('[3]Bilan 2023 réel'!$E$53+'[3]Bilan 2023 réel'!$E$55+'[3]Bilan 2023 réel'!$E$57)/11.63</f>
        <v>0.86119241186586415</v>
      </c>
      <c r="S57" s="95">
        <f t="shared" si="12"/>
        <v>13.814327127821752</v>
      </c>
      <c r="T57" s="270"/>
      <c r="U57" s="149" t="s">
        <v>47</v>
      </c>
      <c r="V57" t="s">
        <v>414</v>
      </c>
      <c r="W57" t="s">
        <v>415</v>
      </c>
      <c r="X57" t="s">
        <v>416</v>
      </c>
      <c r="Y57" t="s">
        <v>417</v>
      </c>
      <c r="Z57" s="16">
        <v>0.89858682850000005</v>
      </c>
      <c r="AA57" s="16">
        <v>1.939446158</v>
      </c>
      <c r="AB57" s="16">
        <v>0</v>
      </c>
      <c r="AC57" s="16">
        <v>2.1946655310000001</v>
      </c>
      <c r="AD57" s="95">
        <v>5.0326985175000001</v>
      </c>
    </row>
    <row r="58" spans="2:30" x14ac:dyDescent="0.25">
      <c r="C58" s="149" t="s">
        <v>25</v>
      </c>
      <c r="D58" t="s">
        <v>418</v>
      </c>
      <c r="E58" t="s">
        <v>419</v>
      </c>
      <c r="F58" t="s">
        <v>420</v>
      </c>
      <c r="G58" t="s">
        <v>421</v>
      </c>
      <c r="H58" s="16">
        <f>VLOOKUP(D58,Résultats!$B$2:$AX$476,'T energie vecteurs'!L5,FALSE)</f>
        <v>0</v>
      </c>
      <c r="I58" s="16">
        <f>VLOOKUP(E58,Résultats!$B$2:$AX$476,'T energie vecteurs'!L5,FALSE)</f>
        <v>2.4701704750000002</v>
      </c>
      <c r="J58" s="16">
        <f>VLOOKUP(F58,Résultats!$B$2:$AX$476,'T energie vecteurs'!L5,FALSE)</f>
        <v>0.3335097346</v>
      </c>
      <c r="K58" s="16">
        <f>VLOOKUP(G58,Résultats!$B$2:$AX$476,'T energie vecteurs'!L5,FALSE)</f>
        <v>0.40383984140000001</v>
      </c>
      <c r="L58" s="95">
        <f t="shared" ref="L58" si="15">SUM(H58:K58)</f>
        <v>3.2075200510000004</v>
      </c>
      <c r="M58" s="16"/>
      <c r="N58" s="150" t="s">
        <v>25</v>
      </c>
      <c r="O58" s="29">
        <f>'[3]Bilan 2023 réel'!$T$46/11.63</f>
        <v>1.221354E-3</v>
      </c>
      <c r="P58" s="28">
        <f>SUM('[3]Bilan 2023 réel'!$T$41:$T$43)/11.63</f>
        <v>3.4194391444513199</v>
      </c>
      <c r="Q58" s="28">
        <f>'[3]Bilan 2023 réel'!$T$13/11.63</f>
        <v>0.65647798796216683</v>
      </c>
      <c r="R58" s="28">
        <f>('[3]Bilan 2023 réel'!$T$22+'[3]Bilan 2023 réel'!$T$30+SUM('[3]Bilan 2023 réel'!$T$36:$T$40)+SUM('[3]Bilan 2023 réel'!$T$44:$T$45)+'[3]Bilan 2023 réel'!$T$47)/11.63</f>
        <v>0.44186481322250887</v>
      </c>
      <c r="S58" s="142">
        <f t="shared" si="12"/>
        <v>4.5190032996359957</v>
      </c>
      <c r="T58" s="270"/>
      <c r="U58" s="149" t="s">
        <v>25</v>
      </c>
      <c r="V58" t="s">
        <v>418</v>
      </c>
      <c r="W58" t="s">
        <v>419</v>
      </c>
      <c r="X58" t="s">
        <v>420</v>
      </c>
      <c r="Y58" t="s">
        <v>421</v>
      </c>
      <c r="Z58" s="16">
        <v>0</v>
      </c>
      <c r="AA58" s="16">
        <v>2.4682629249999999</v>
      </c>
      <c r="AB58" s="16">
        <v>0.33301689820000002</v>
      </c>
      <c r="AC58" s="16">
        <v>0.40389356320000003</v>
      </c>
      <c r="AD58" s="95">
        <v>3.2051733863999998</v>
      </c>
    </row>
    <row r="59" spans="2:30" x14ac:dyDescent="0.25">
      <c r="C59" s="23" t="s">
        <v>26</v>
      </c>
      <c r="D59" s="10"/>
      <c r="E59" s="10"/>
      <c r="F59" s="10"/>
      <c r="G59" s="10"/>
      <c r="H59" s="9">
        <f>SUM(H50,H53:H55)</f>
        <v>2.9162258902000002</v>
      </c>
      <c r="I59" s="9">
        <f>SUM(I50,I53:I55)</f>
        <v>63.271518463999996</v>
      </c>
      <c r="J59" s="9">
        <f>SUM(J50,J53:J55)</f>
        <v>39.360180855199985</v>
      </c>
      <c r="K59" s="9">
        <f>SUM(K50,K53:K55)</f>
        <v>51.8501741452761</v>
      </c>
      <c r="L59" s="98">
        <f>SUM(H59:K59)</f>
        <v>157.39809935467608</v>
      </c>
      <c r="M59" s="79"/>
      <c r="N59" s="151" t="s">
        <v>26</v>
      </c>
      <c r="O59" s="32">
        <f>O50+O53+O54+O55+O58</f>
        <v>3.8596309130558897</v>
      </c>
      <c r="P59" s="31">
        <f>P50+P53+P54+P55+P58</f>
        <v>62.785920353958417</v>
      </c>
      <c r="Q59" s="31">
        <f>Q50+Q53+Q54+Q55+Q58</f>
        <v>34.652474462596736</v>
      </c>
      <c r="R59" s="31">
        <f>R50+R53+R54+R55+R58</f>
        <v>41.164509995478554</v>
      </c>
      <c r="S59" s="144">
        <f t="shared" si="12"/>
        <v>142.46253572508959</v>
      </c>
      <c r="T59" s="79"/>
      <c r="U59" s="23" t="s">
        <v>26</v>
      </c>
      <c r="V59" s="10"/>
      <c r="W59" s="10"/>
      <c r="X59" s="10"/>
      <c r="Y59" s="10"/>
      <c r="Z59" s="9">
        <v>2.8774099775999997</v>
      </c>
      <c r="AA59" s="9">
        <v>62.833408983000005</v>
      </c>
      <c r="AB59" s="9">
        <v>39.122071772300004</v>
      </c>
      <c r="AC59" s="9">
        <v>50.686875274955085</v>
      </c>
      <c r="AD59" s="98">
        <v>155.51976600785508</v>
      </c>
    </row>
    <row r="60" spans="2:30" s="3" customFormat="1" x14ac:dyDescent="0.25">
      <c r="O60" s="77"/>
      <c r="P60" s="77"/>
      <c r="Q60" s="77"/>
      <c r="R60" s="78"/>
      <c r="S60" s="45"/>
    </row>
    <row r="61" spans="2:30" s="3" customFormat="1" x14ac:dyDescent="0.25">
      <c r="B61" s="60"/>
      <c r="K61" s="47"/>
      <c r="O61" s="79"/>
      <c r="P61" s="79"/>
      <c r="Q61" s="79"/>
      <c r="R61" s="80"/>
      <c r="S61" s="81"/>
      <c r="AC61" s="47"/>
    </row>
    <row r="62" spans="2:30" ht="31.5" x14ac:dyDescent="0.35">
      <c r="C62" s="145">
        <v>2025</v>
      </c>
      <c r="D62" s="146"/>
      <c r="E62" s="146"/>
      <c r="F62" s="146"/>
      <c r="G62" s="146"/>
      <c r="H62" s="76" t="s">
        <v>36</v>
      </c>
      <c r="I62" s="76" t="s">
        <v>49</v>
      </c>
      <c r="J62" s="76" t="s">
        <v>38</v>
      </c>
      <c r="K62" s="76" t="s">
        <v>48</v>
      </c>
      <c r="L62" s="93" t="s">
        <v>1</v>
      </c>
      <c r="M62" s="19"/>
      <c r="N62" s="145">
        <v>2025</v>
      </c>
      <c r="O62" s="141" t="s">
        <v>36</v>
      </c>
      <c r="P62" s="76" t="s">
        <v>49</v>
      </c>
      <c r="Q62" s="76" t="s">
        <v>38</v>
      </c>
      <c r="R62" s="76" t="s">
        <v>48</v>
      </c>
      <c r="S62" s="93" t="s">
        <v>1</v>
      </c>
      <c r="T62" s="19"/>
      <c r="U62" s="145">
        <v>2025</v>
      </c>
      <c r="V62" s="146"/>
      <c r="W62" s="146"/>
      <c r="X62" s="146"/>
      <c r="Y62" s="146"/>
      <c r="Z62" s="76" t="s">
        <v>36</v>
      </c>
      <c r="AA62" s="76" t="s">
        <v>49</v>
      </c>
      <c r="AB62" s="76" t="s">
        <v>38</v>
      </c>
      <c r="AC62" s="76" t="s">
        <v>48</v>
      </c>
      <c r="AD62" s="93" t="s">
        <v>1</v>
      </c>
    </row>
    <row r="63" spans="2:30" x14ac:dyDescent="0.25">
      <c r="C63" s="147" t="s">
        <v>18</v>
      </c>
      <c r="H63" s="8">
        <f>SUM(H64:H65)</f>
        <v>0</v>
      </c>
      <c r="I63" s="8">
        <f>SUM(I64:I65)</f>
        <v>41.03498999</v>
      </c>
      <c r="J63" s="8">
        <f>SUM(J64:J65)</f>
        <v>1.8968946765999999</v>
      </c>
      <c r="K63" s="8">
        <f>SUM(K64:K65)</f>
        <v>0.44461153940699999</v>
      </c>
      <c r="L63" s="96">
        <f t="shared" ref="L63:L72" si="16">SUM(H63:K63)</f>
        <v>43.376496206006998</v>
      </c>
      <c r="M63" s="75"/>
      <c r="N63" s="150" t="s">
        <v>18</v>
      </c>
      <c r="O63" s="29">
        <f>'[2]Bilan 2025 AMS'!$X$46/11.63</f>
        <v>0</v>
      </c>
      <c r="P63" s="28">
        <f>SUM('[2]Bilan 2025 AMS'!$X$41:$X$43)/11.63</f>
        <v>38.50153613089298</v>
      </c>
      <c r="Q63" s="28">
        <f>'[2]Bilan 2025 AMS'!$X$13/11.63</f>
        <v>1.4019196706542307</v>
      </c>
      <c r="R63" s="28">
        <f>('[2]Bilan 2025 AMS'!$X$22+'[2]Bilan 2025 AMS'!$X$30+SUM('[2]Bilan 2025 AMS'!$X$36:$X$40)+SUM('[2]Bilan 2025 AMS'!$X$44:$X$45)+'[2]Bilan 2025 AMS'!$X$47)/11.63</f>
        <v>0.36905808040129645</v>
      </c>
      <c r="S63" s="142">
        <f>SUM(O63:R63)</f>
        <v>40.272513881948505</v>
      </c>
      <c r="T63" s="75"/>
      <c r="U63" s="147" t="s">
        <v>18</v>
      </c>
      <c r="Z63" s="8">
        <v>0</v>
      </c>
      <c r="AA63" s="8">
        <v>40.985383769999999</v>
      </c>
      <c r="AB63" s="8">
        <v>1.893264987</v>
      </c>
      <c r="AC63" s="8">
        <v>0.44391657700379999</v>
      </c>
      <c r="AD63" s="96">
        <v>43.322565334003798</v>
      </c>
    </row>
    <row r="64" spans="2:30" x14ac:dyDescent="0.25">
      <c r="C64" s="148" t="s">
        <v>19</v>
      </c>
      <c r="D64" t="s">
        <v>394</v>
      </c>
      <c r="E64" t="s">
        <v>395</v>
      </c>
      <c r="F64" t="s">
        <v>396</v>
      </c>
      <c r="G64" t="s">
        <v>397</v>
      </c>
      <c r="H64" s="16">
        <f>VLOOKUP(D64,Résultats!$B$2:$AX$476,'T energie vecteurs'!N5,FALSE)</f>
        <v>0</v>
      </c>
      <c r="I64" s="16">
        <f>VLOOKUP(E64,Résultats!$B$2:$AX$476,'T energie vecteurs'!N5,FALSE)</f>
        <v>21.82418594</v>
      </c>
      <c r="J64" s="16">
        <f>VLOOKUP(F64,Résultats!$B$2:$AX$476,'T energie vecteurs'!N5,FALSE)</f>
        <v>0.3205392286</v>
      </c>
      <c r="K64" s="16">
        <f>VLOOKUP(G77,Résultats!$B$2:$AX$476,'T energie vecteurs'!N5,FALSE)</f>
        <v>2.2935307E-5</v>
      </c>
      <c r="L64" s="95">
        <f t="shared" si="16"/>
        <v>22.144748103907002</v>
      </c>
      <c r="M64" s="16"/>
      <c r="N64" s="148" t="s">
        <v>19</v>
      </c>
      <c r="O64" s="143"/>
      <c r="P64" s="16"/>
      <c r="Q64" s="34"/>
      <c r="R64" s="16"/>
      <c r="S64" s="95"/>
      <c r="T64" s="16"/>
      <c r="U64" s="148" t="s">
        <v>19</v>
      </c>
      <c r="V64" t="s">
        <v>394</v>
      </c>
      <c r="W64" t="s">
        <v>395</v>
      </c>
      <c r="X64" t="s">
        <v>396</v>
      </c>
      <c r="Y64" t="s">
        <v>397</v>
      </c>
      <c r="Z64" s="16">
        <v>0</v>
      </c>
      <c r="AA64" s="16">
        <v>21.816310250000001</v>
      </c>
      <c r="AB64" s="16">
        <v>0.32012290399999999</v>
      </c>
      <c r="AC64" s="16">
        <v>2.29070038E-5</v>
      </c>
      <c r="AD64" s="95">
        <v>22.136456061003802</v>
      </c>
    </row>
    <row r="65" spans="3:30" x14ac:dyDescent="0.25">
      <c r="C65" s="149" t="s">
        <v>20</v>
      </c>
      <c r="D65" t="s">
        <v>398</v>
      </c>
      <c r="E65" t="s">
        <v>399</v>
      </c>
      <c r="F65" t="s">
        <v>400</v>
      </c>
      <c r="G65" t="s">
        <v>401</v>
      </c>
      <c r="H65" s="16">
        <f>VLOOKUP(D65,Résultats!$B$2:$AX$476,'T energie vecteurs'!N5,FALSE)</f>
        <v>0</v>
      </c>
      <c r="I65" s="16">
        <f>VLOOKUP(E65,Résultats!$B$2:$AX$476,'T energie vecteurs'!N5,FALSE)</f>
        <v>19.21080405</v>
      </c>
      <c r="J65" s="16">
        <f>VLOOKUP(F65,Résultats!$B$2:$AX$476,'T energie vecteurs'!N5,FALSE)</f>
        <v>1.5763554479999999</v>
      </c>
      <c r="K65" s="16">
        <f>VLOOKUP(G65,Résultats!$B$2:$AX$476,'T energie vecteurs'!N5,FALSE)</f>
        <v>0.44458860410000001</v>
      </c>
      <c r="L65" s="95">
        <f t="shared" si="16"/>
        <v>21.231748102100003</v>
      </c>
      <c r="M65" s="16"/>
      <c r="N65" s="149" t="s">
        <v>20</v>
      </c>
      <c r="O65" s="143"/>
      <c r="P65" s="16"/>
      <c r="Q65" s="34"/>
      <c r="R65" s="16"/>
      <c r="S65" s="95"/>
      <c r="T65" s="16"/>
      <c r="U65" s="149" t="s">
        <v>20</v>
      </c>
      <c r="V65" t="s">
        <v>398</v>
      </c>
      <c r="W65" t="s">
        <v>399</v>
      </c>
      <c r="X65" t="s">
        <v>400</v>
      </c>
      <c r="Y65" t="s">
        <v>401</v>
      </c>
      <c r="Z65" s="16">
        <v>0</v>
      </c>
      <c r="AA65" s="16">
        <v>19.169073520000001</v>
      </c>
      <c r="AB65" s="16">
        <v>1.573142083</v>
      </c>
      <c r="AC65" s="16">
        <v>0.44389367000000002</v>
      </c>
      <c r="AD65" s="95">
        <v>21.186109273000003</v>
      </c>
    </row>
    <row r="66" spans="3:30" x14ac:dyDescent="0.25">
      <c r="C66" s="147" t="s">
        <v>21</v>
      </c>
      <c r="D66" t="s">
        <v>402</v>
      </c>
      <c r="E66" t="s">
        <v>403</v>
      </c>
      <c r="F66" t="s">
        <v>404</v>
      </c>
      <c r="G66" t="s">
        <v>405</v>
      </c>
      <c r="H66" s="8">
        <f>VLOOKUP(D66,Résultats!$B$2:$AX$476,'T energie vecteurs'!N5,FALSE)</f>
        <v>0.30079694909999999</v>
      </c>
      <c r="I66" s="8">
        <f>VLOOKUP(E66,Résultats!$B$2:$AX$476,'T energie vecteurs'!N5,FALSE)</f>
        <v>5.7001281749999997</v>
      </c>
      <c r="J66" s="8">
        <f>VLOOKUP(F66,Résultats!$B$2:$AX$476,'T energie vecteurs'!N5,FALSE)</f>
        <v>15.16462325</v>
      </c>
      <c r="K66" s="8">
        <f>VLOOKUP(G66,Résultats!$B$2:$AX$476,'T energie vecteurs'!N5,FALSE)+8</f>
        <v>25.19845239</v>
      </c>
      <c r="L66" s="96">
        <f t="shared" si="16"/>
        <v>46.364000764099998</v>
      </c>
      <c r="M66" s="75"/>
      <c r="N66" s="150" t="s">
        <v>21</v>
      </c>
      <c r="O66" s="29">
        <f>'[2]Bilan 2025 AMS'!$V$46/11.63</f>
        <v>0</v>
      </c>
      <c r="P66" s="28">
        <f>SUM('[2]Bilan 2025 AMS'!$V$41:$V$43)/11.63</f>
        <v>2.0957746160980957</v>
      </c>
      <c r="Q66" s="28">
        <f>'[2]Bilan 2025 AMS'!$V$13/11.63</f>
        <v>14.447084659417472</v>
      </c>
      <c r="R66" s="28">
        <f>('[2]Bilan 2025 AMS'!$V$22+'[2]Bilan 2025 AMS'!$V$30+SUM('[2]Bilan 2025 AMS'!$V$36:$V$40)+SUM('[2]Bilan 2025 AMS'!$V$44:$V$45)+'[2]Bilan 2025 AMS'!$V$47)/11.63</f>
        <v>22.421251859079046</v>
      </c>
      <c r="S66" s="142">
        <f t="shared" ref="S66:S72" si="17">SUM(O66:R66)</f>
        <v>38.964111134594617</v>
      </c>
      <c r="T66" s="75"/>
      <c r="U66" s="147" t="s">
        <v>21</v>
      </c>
      <c r="V66" t="s">
        <v>402</v>
      </c>
      <c r="W66" t="s">
        <v>403</v>
      </c>
      <c r="X66" t="s">
        <v>404</v>
      </c>
      <c r="Y66" t="s">
        <v>405</v>
      </c>
      <c r="Z66" s="8">
        <v>0.2695608994</v>
      </c>
      <c r="AA66" s="8">
        <v>5.27552194</v>
      </c>
      <c r="AB66" s="8">
        <v>14.950165589999999</v>
      </c>
      <c r="AC66" s="8">
        <v>23.978500240000002</v>
      </c>
      <c r="AD66" s="96">
        <v>44.473748669400003</v>
      </c>
    </row>
    <row r="67" spans="3:30" x14ac:dyDescent="0.25">
      <c r="C67" s="147" t="s">
        <v>22</v>
      </c>
      <c r="D67" t="s">
        <v>406</v>
      </c>
      <c r="E67" t="s">
        <v>407</v>
      </c>
      <c r="F67" t="s">
        <v>408</v>
      </c>
      <c r="G67" t="s">
        <v>409</v>
      </c>
      <c r="H67" s="8">
        <f>VLOOKUP(D67,Résultats!$B$2:$AX$476,'T energie vecteurs'!N5,FALSE)</f>
        <v>0</v>
      </c>
      <c r="I67" s="8">
        <f>VLOOKUP(E67,Résultats!$B$2:$AX$476,'T energie vecteurs'!N5,FALSE)</f>
        <v>2.171853246</v>
      </c>
      <c r="J67" s="8">
        <f>VLOOKUP(F67,Résultats!$B$2:$AX$476,'T energie vecteurs'!N5,FALSE)</f>
        <v>12.423402790000001</v>
      </c>
      <c r="K67" s="8">
        <f>VLOOKUP(G67,Résultats!$B$2:$AX$476,'T energie vecteurs'!N5,FALSE)</f>
        <v>12.650655049999999</v>
      </c>
      <c r="L67" s="96">
        <f t="shared" si="16"/>
        <v>27.245911086</v>
      </c>
      <c r="M67" s="75"/>
      <c r="N67" s="150" t="s">
        <v>22</v>
      </c>
      <c r="O67" s="29">
        <f>('[2]Bilan 2025 AMS'!$W$46)/11.63</f>
        <v>0</v>
      </c>
      <c r="P67" s="28">
        <f>SUM('[2]Bilan 2025 AMS'!$W$41:$W$43)/11.63</f>
        <v>1.6298429171920958</v>
      </c>
      <c r="Q67" s="28">
        <f>('[2]Bilan 2025 AMS'!$W$13)/11.63</f>
        <v>10.999874044471945</v>
      </c>
      <c r="R67" s="28">
        <f>('[2]Bilan 2025 AMS'!$W$22+'[2]Bilan 2025 AMS'!$W$30+SUM('[2]Bilan 2025 AMS'!$W$36:$W$40)+SUM('[2]Bilan 2025 AMS'!$W$44:$W$45)+'[2]Bilan 2025 AMS'!$W$47)/11.63</f>
        <v>8.5854945190187202</v>
      </c>
      <c r="S67" s="142">
        <f t="shared" si="17"/>
        <v>21.215211480682761</v>
      </c>
      <c r="T67" s="75"/>
      <c r="U67" s="147" t="s">
        <v>22</v>
      </c>
      <c r="V67" t="s">
        <v>406</v>
      </c>
      <c r="W67" t="s">
        <v>407</v>
      </c>
      <c r="X67" t="s">
        <v>408</v>
      </c>
      <c r="Y67" t="s">
        <v>409</v>
      </c>
      <c r="Z67" s="8">
        <v>0</v>
      </c>
      <c r="AA67" s="8">
        <v>2.1708208619999998</v>
      </c>
      <c r="AB67" s="8">
        <v>12.410258880000001</v>
      </c>
      <c r="AC67" s="8">
        <v>12.67350802</v>
      </c>
      <c r="AD67" s="96">
        <v>27.254587762</v>
      </c>
    </row>
    <row r="68" spans="3:30" x14ac:dyDescent="0.25">
      <c r="C68" s="147" t="s">
        <v>23</v>
      </c>
      <c r="H68" s="8">
        <f>SUM(H69:H71)</f>
        <v>2.2665529178999999</v>
      </c>
      <c r="I68" s="8">
        <f>SUM(I69:I71)</f>
        <v>11.053075348</v>
      </c>
      <c r="J68" s="8">
        <f>SUM(J69:J71)</f>
        <v>13.0019707103</v>
      </c>
      <c r="K68" s="8">
        <f>SUM(K69:K71)</f>
        <v>12.117115237099998</v>
      </c>
      <c r="L68" s="96">
        <f t="shared" si="16"/>
        <v>38.438714213300003</v>
      </c>
      <c r="M68" s="75"/>
      <c r="N68" s="150" t="s">
        <v>490</v>
      </c>
      <c r="O68" s="29">
        <f>O69+O70</f>
        <v>3.798785579103078</v>
      </c>
      <c r="P68" s="28">
        <f t="shared" ref="P68:R68" si="18">P69+P70</f>
        <v>13.636597959064392</v>
      </c>
      <c r="Q68" s="28">
        <f t="shared" si="18"/>
        <v>11.012104104131426</v>
      </c>
      <c r="R68" s="28">
        <f t="shared" si="18"/>
        <v>14.545887550015864</v>
      </c>
      <c r="S68" s="142">
        <f t="shared" si="17"/>
        <v>42.993375192314758</v>
      </c>
      <c r="T68" s="75"/>
      <c r="U68" s="147" t="s">
        <v>23</v>
      </c>
      <c r="Z68" s="8">
        <v>2.2610457150999999</v>
      </c>
      <c r="AA68" s="8">
        <v>11.016054733000001</v>
      </c>
      <c r="AB68" s="8">
        <v>12.958739359200001</v>
      </c>
      <c r="AC68" s="8">
        <v>12.0999436668</v>
      </c>
      <c r="AD68" s="96">
        <v>38.335783474100005</v>
      </c>
    </row>
    <row r="69" spans="3:30" x14ac:dyDescent="0.25">
      <c r="C69" s="149" t="s">
        <v>24</v>
      </c>
      <c r="D69" t="s">
        <v>410</v>
      </c>
      <c r="E69" t="s">
        <v>411</v>
      </c>
      <c r="F69" t="s">
        <v>412</v>
      </c>
      <c r="G69" t="s">
        <v>413</v>
      </c>
      <c r="H69" s="16">
        <f>VLOOKUP(D69,Résultats!$B$2:$AX$476,'T energie vecteurs'!N5,FALSE)</f>
        <v>1.376325636</v>
      </c>
      <c r="I69" s="16">
        <f>VLOOKUP(E69,Résultats!$B$2:$AX$476,'T energie vecteurs'!N5,FALSE)</f>
        <v>6.5809054119999999</v>
      </c>
      <c r="J69" s="16">
        <f>VLOOKUP(F69,Résultats!$B$2:$AX$476,'T energie vecteurs'!N5,FALSE)</f>
        <v>12.664394740000001</v>
      </c>
      <c r="K69" s="16">
        <f>VLOOKUP(G69,Résultats!$B$2:$AX$476,'T energie vecteurs'!N5,FALSE)</f>
        <v>9.6449456389999995</v>
      </c>
      <c r="L69" s="95">
        <f t="shared" si="16"/>
        <v>30.266571426999999</v>
      </c>
      <c r="M69" s="16"/>
      <c r="N69" s="149" t="s">
        <v>491</v>
      </c>
      <c r="O69" s="143">
        <f>'[2]Bilan 2025 AMS'!$U$46/11.63</f>
        <v>0.54239014434383459</v>
      </c>
      <c r="P69" s="30">
        <f>SUM('[2]Bilan 2025 AMS'!$U$41:$U$43)/11.63</f>
        <v>1.9361642364667253</v>
      </c>
      <c r="Q69" s="30">
        <f>'[2]Bilan 2025 AMS'!$U$13/11.63</f>
        <v>11.012104104131426</v>
      </c>
      <c r="R69" s="30">
        <f>('[2]Bilan 2025 AMS'!$U$22+'[2]Bilan 2025 AMS'!$U$30+SUM('[2]Bilan 2025 AMS'!$U$36:$U$40)+SUM('[2]Bilan 2025 AMS'!$U$44:$U$45)+'[2]Bilan 2025 AMS'!$U$47)/11.63</f>
        <v>13.281896568299775</v>
      </c>
      <c r="S69" s="95">
        <f t="shared" si="17"/>
        <v>26.77255505324176</v>
      </c>
      <c r="T69" s="16"/>
      <c r="U69" s="149" t="s">
        <v>24</v>
      </c>
      <c r="V69" t="s">
        <v>410</v>
      </c>
      <c r="W69" t="s">
        <v>411</v>
      </c>
      <c r="X69" t="s">
        <v>412</v>
      </c>
      <c r="Y69" t="s">
        <v>413</v>
      </c>
      <c r="Z69" s="16">
        <v>1.3736206369999999</v>
      </c>
      <c r="AA69" s="16">
        <v>6.5484711930000001</v>
      </c>
      <c r="AB69" s="16">
        <v>12.622105100000001</v>
      </c>
      <c r="AC69" s="16">
        <v>9.6274626919999999</v>
      </c>
      <c r="AD69" s="95">
        <v>30.171659622</v>
      </c>
    </row>
    <row r="70" spans="3:30" x14ac:dyDescent="0.25">
      <c r="C70" s="149" t="s">
        <v>47</v>
      </c>
      <c r="D70" t="s">
        <v>414</v>
      </c>
      <c r="E70" t="s">
        <v>415</v>
      </c>
      <c r="F70" t="s">
        <v>416</v>
      </c>
      <c r="G70" t="s">
        <v>417</v>
      </c>
      <c r="H70" s="16">
        <f>VLOOKUP(D70,Résultats!$B$2:$AX$476,'T energie vecteurs'!N5,FALSE)</f>
        <v>0.8902272819</v>
      </c>
      <c r="I70" s="16">
        <f>VLOOKUP(E70,Résultats!$B$2:$AX$476,'T energie vecteurs'!N5,FALSE)</f>
        <v>1.983640031</v>
      </c>
      <c r="J70" s="16">
        <f>VLOOKUP(F70,Résultats!$B$2:$AX$476,'T energie vecteurs'!N5,FALSE)</f>
        <v>0</v>
      </c>
      <c r="K70" s="16">
        <f>VLOOKUP(G70,Résultats!$B$2:$AX$476,'T energie vecteurs'!N5,FALSE)</f>
        <v>2.0556033870000001</v>
      </c>
      <c r="L70" s="95">
        <f t="shared" si="16"/>
        <v>4.9294706998999995</v>
      </c>
      <c r="M70" s="16"/>
      <c r="N70" s="149" t="s">
        <v>47</v>
      </c>
      <c r="O70" s="22">
        <f>'[2]Bilan 2025 AMS'!$E$52/11.63</f>
        <v>3.2563954347592436</v>
      </c>
      <c r="P70" s="16">
        <f>('[2]Bilan 2025 AMS'!$E$54+'[2]Bilan 2025 AMS'!$E$56)/11.63</f>
        <v>11.700433722597667</v>
      </c>
      <c r="Q70" s="16">
        <v>0</v>
      </c>
      <c r="R70" s="16">
        <f>('[2]Bilan 2025 AMS'!$E$53+'[2]Bilan 2025 AMS'!$E$55+'[2]Bilan 2025 AMS'!$E$57)/11.63</f>
        <v>1.2639909817160895</v>
      </c>
      <c r="S70" s="95">
        <f t="shared" si="17"/>
        <v>16.220820139072998</v>
      </c>
      <c r="T70" s="16"/>
      <c r="U70" s="149" t="s">
        <v>47</v>
      </c>
      <c r="V70" t="s">
        <v>414</v>
      </c>
      <c r="W70" t="s">
        <v>415</v>
      </c>
      <c r="X70" t="s">
        <v>416</v>
      </c>
      <c r="Y70" t="s">
        <v>417</v>
      </c>
      <c r="Z70" s="16">
        <v>0.88742507810000004</v>
      </c>
      <c r="AA70" s="16">
        <v>1.983344607</v>
      </c>
      <c r="AB70" s="16">
        <v>0</v>
      </c>
      <c r="AC70" s="16">
        <v>2.0560990440000002</v>
      </c>
      <c r="AD70" s="95">
        <v>4.9268687291000006</v>
      </c>
    </row>
    <row r="71" spans="3:30" x14ac:dyDescent="0.25">
      <c r="C71" s="149" t="s">
        <v>25</v>
      </c>
      <c r="D71" t="s">
        <v>418</v>
      </c>
      <c r="E71" t="s">
        <v>419</v>
      </c>
      <c r="F71" t="s">
        <v>420</v>
      </c>
      <c r="G71" t="s">
        <v>421</v>
      </c>
      <c r="H71" s="16">
        <f>VLOOKUP(D71,Résultats!$B$2:$AX$476,'T energie vecteurs'!N5,FALSE)</f>
        <v>0</v>
      </c>
      <c r="I71" s="16">
        <f>VLOOKUP(E71,Résultats!$B$2:$AX$476,'T energie vecteurs'!N5,FALSE)</f>
        <v>2.488529905</v>
      </c>
      <c r="J71" s="16">
        <f>VLOOKUP(F71,Résultats!$B$2:$AX$476,'T energie vecteurs'!N5,FALSE)</f>
        <v>0.33757597029999997</v>
      </c>
      <c r="K71" s="16">
        <f>VLOOKUP(G71,Résultats!$B$2:$AX$476,'T energie vecteurs'!N5,FALSE)</f>
        <v>0.41656621109999997</v>
      </c>
      <c r="L71" s="95">
        <f t="shared" si="16"/>
        <v>3.2426720864000003</v>
      </c>
      <c r="M71" s="16"/>
      <c r="N71" s="150" t="s">
        <v>25</v>
      </c>
      <c r="O71" s="29">
        <f>'[2]Bilan 2025 AMS'!$T$46/11.63</f>
        <v>0</v>
      </c>
      <c r="P71" s="28">
        <f>SUM('[2]Bilan 2025 AMS'!$T$41:$T$43)/11.63</f>
        <v>3.2326282830038102</v>
      </c>
      <c r="Q71" s="28">
        <f>'[2]Bilan 2025 AMS'!$T$13/11.63</f>
        <v>0.62874107832713355</v>
      </c>
      <c r="R71" s="28">
        <f>('[2]Bilan 2025 AMS'!$T$22+'[2]Bilan 2025 AMS'!$T$30+SUM('[2]Bilan 2025 AMS'!$T$36:$T$40)+SUM('[2]Bilan 2025 AMS'!$T$44:$T$45)+'[2]Bilan 2025 AMS'!$T$47)/11.63</f>
        <v>0.4197869333337978</v>
      </c>
      <c r="S71" s="142">
        <f t="shared" si="17"/>
        <v>4.2811562946647417</v>
      </c>
      <c r="T71" s="16"/>
      <c r="U71" s="149" t="s">
        <v>25</v>
      </c>
      <c r="V71" t="s">
        <v>418</v>
      </c>
      <c r="W71" t="s">
        <v>419</v>
      </c>
      <c r="X71" t="s">
        <v>420</v>
      </c>
      <c r="Y71" t="s">
        <v>421</v>
      </c>
      <c r="Z71" s="16">
        <v>0</v>
      </c>
      <c r="AA71" s="16">
        <v>2.4842389329999999</v>
      </c>
      <c r="AB71" s="16">
        <v>0.33663425920000001</v>
      </c>
      <c r="AC71" s="16">
        <v>0.41638193080000002</v>
      </c>
      <c r="AD71" s="95">
        <v>3.2372551229999997</v>
      </c>
    </row>
    <row r="72" spans="3:30" x14ac:dyDescent="0.25">
      <c r="C72" s="23" t="s">
        <v>26</v>
      </c>
      <c r="D72" s="10"/>
      <c r="E72" s="10"/>
      <c r="F72" s="10"/>
      <c r="G72" s="10"/>
      <c r="H72" s="9">
        <f>SUM(H63,H66:H68)</f>
        <v>2.5673498669999999</v>
      </c>
      <c r="I72" s="9">
        <f>SUM(I63,I66:I68)</f>
        <v>59.960046759000001</v>
      </c>
      <c r="J72" s="9">
        <f>SUM(J63,J66:J68)</f>
        <v>42.486891426900002</v>
      </c>
      <c r="K72" s="9">
        <f>SUM(K63,K66:K68)</f>
        <v>50.410834216506998</v>
      </c>
      <c r="L72" s="98">
        <f t="shared" si="16"/>
        <v>155.42512226940698</v>
      </c>
      <c r="M72" s="79"/>
      <c r="N72" s="151" t="s">
        <v>26</v>
      </c>
      <c r="O72" s="32">
        <f>O63+O66+O67+O68+O71</f>
        <v>3.798785579103078</v>
      </c>
      <c r="P72" s="31">
        <f>P63+P66+P67+P68+P71</f>
        <v>59.096379906251379</v>
      </c>
      <c r="Q72" s="31">
        <f>Q63+Q66+Q67+Q68+Q71</f>
        <v>38.4897235570022</v>
      </c>
      <c r="R72" s="31">
        <f>R63+R66+R67+R68+R71</f>
        <v>46.34147894184872</v>
      </c>
      <c r="S72" s="144">
        <f t="shared" si="17"/>
        <v>147.72636798420538</v>
      </c>
      <c r="T72" s="79"/>
      <c r="U72" s="23" t="s">
        <v>26</v>
      </c>
      <c r="V72" s="10"/>
      <c r="W72" s="10"/>
      <c r="X72" s="10"/>
      <c r="Y72" s="10"/>
      <c r="Z72" s="9">
        <v>2.5306066144999999</v>
      </c>
      <c r="AA72" s="9">
        <v>59.447781304999992</v>
      </c>
      <c r="AB72" s="9">
        <v>42.212428816200003</v>
      </c>
      <c r="AC72" s="9">
        <v>49.195868503803808</v>
      </c>
      <c r="AD72" s="98">
        <v>153.38668523950381</v>
      </c>
    </row>
    <row r="73" spans="3:30" s="3" customFormat="1" x14ac:dyDescent="0.25">
      <c r="H73" s="45"/>
      <c r="I73" s="45"/>
      <c r="J73" s="45"/>
      <c r="K73" s="45"/>
      <c r="L73" s="45"/>
      <c r="M73" s="45"/>
      <c r="N73" s="45"/>
      <c r="O73" s="77"/>
      <c r="P73" s="77"/>
      <c r="Q73" s="77"/>
      <c r="R73" s="78"/>
      <c r="S73" s="45"/>
      <c r="T73" s="45"/>
      <c r="Z73" s="45"/>
      <c r="AA73" s="45"/>
      <c r="AB73" s="45"/>
      <c r="AC73" s="45"/>
      <c r="AD73" s="45"/>
    </row>
    <row r="74" spans="3:30" s="3" customFormat="1" x14ac:dyDescent="0.25"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Z74" s="45"/>
      <c r="AA74" s="45"/>
      <c r="AB74" s="45"/>
      <c r="AC74" s="45"/>
      <c r="AD74" s="45"/>
    </row>
    <row r="75" spans="3:30" ht="31.5" x14ac:dyDescent="0.35">
      <c r="C75" s="145">
        <v>2030</v>
      </c>
      <c r="D75" s="146"/>
      <c r="E75" s="146"/>
      <c r="F75" s="146"/>
      <c r="G75" s="146"/>
      <c r="H75" s="76" t="s">
        <v>36</v>
      </c>
      <c r="I75" s="76" t="s">
        <v>49</v>
      </c>
      <c r="J75" s="76" t="s">
        <v>38</v>
      </c>
      <c r="K75" s="76" t="s">
        <v>48</v>
      </c>
      <c r="L75" s="93" t="s">
        <v>1</v>
      </c>
      <c r="M75" s="19"/>
      <c r="N75" s="145">
        <v>2030</v>
      </c>
      <c r="O75" s="141" t="s">
        <v>36</v>
      </c>
      <c r="P75" s="76" t="s">
        <v>49</v>
      </c>
      <c r="Q75" s="76" t="s">
        <v>38</v>
      </c>
      <c r="R75" s="76" t="s">
        <v>48</v>
      </c>
      <c r="S75" s="93" t="s">
        <v>1</v>
      </c>
      <c r="T75" s="19"/>
      <c r="U75" s="145">
        <v>2030</v>
      </c>
      <c r="V75" s="146"/>
      <c r="W75" s="146"/>
      <c r="X75" s="146"/>
      <c r="Y75" s="146"/>
      <c r="Z75" s="76" t="s">
        <v>36</v>
      </c>
      <c r="AA75" s="76" t="s">
        <v>49</v>
      </c>
      <c r="AB75" s="76" t="s">
        <v>38</v>
      </c>
      <c r="AC75" s="76" t="s">
        <v>48</v>
      </c>
      <c r="AD75" s="93" t="s">
        <v>1</v>
      </c>
    </row>
    <row r="76" spans="3:30" x14ac:dyDescent="0.25">
      <c r="C76" s="147" t="s">
        <v>18</v>
      </c>
      <c r="H76" s="8">
        <f>SUM(H77:H78)</f>
        <v>0</v>
      </c>
      <c r="I76" s="8">
        <f>SUM(I77:I78)</f>
        <v>36.393849850000002</v>
      </c>
      <c r="J76" s="8">
        <f>SUM(J77:J78)</f>
        <v>3.1517232461000004</v>
      </c>
      <c r="K76" s="8">
        <f>SUM(K77:K78)</f>
        <v>0.67091115033319992</v>
      </c>
      <c r="L76" s="96">
        <f>SUM(H76:K76)</f>
        <v>40.216484246433197</v>
      </c>
      <c r="M76" s="75"/>
      <c r="N76" s="150" t="s">
        <v>18</v>
      </c>
      <c r="O76" s="29">
        <f>'[2]Bilan 2030 AMS'!$X$46/11.63</f>
        <v>0</v>
      </c>
      <c r="P76" s="28">
        <f>SUM('[2]Bilan 2030 AMS'!$X$41:$X$43)/11.63</f>
        <v>30.491818068685557</v>
      </c>
      <c r="Q76" s="28">
        <f>'[2]Bilan 2030 AMS'!$X$13/11.63</f>
        <v>2.8914417551290033</v>
      </c>
      <c r="R76" s="28">
        <f>('[2]Bilan 2030 AMS'!$X$22+'[2]Bilan 2030 AMS'!$X$30+SUM('[2]Bilan 2030 AMS'!$X$36:$X$40)+SUM('[2]Bilan 2030 AMS'!$X$44:$X$45)+'[2]Bilan 2030 AMS'!$X$47)/11.63</f>
        <v>0.65268777688992008</v>
      </c>
      <c r="S76" s="142">
        <f>SUM(O76:R76)</f>
        <v>34.035947600704482</v>
      </c>
      <c r="T76" s="270"/>
      <c r="U76" s="147" t="s">
        <v>18</v>
      </c>
      <c r="Z76" s="8">
        <v>0</v>
      </c>
      <c r="AA76" s="8">
        <v>36.33904716</v>
      </c>
      <c r="AB76" s="8">
        <v>3.1449792724999996</v>
      </c>
      <c r="AC76" s="8">
        <v>0.66962199216160001</v>
      </c>
      <c r="AD76" s="96">
        <v>40.153648424661604</v>
      </c>
    </row>
    <row r="77" spans="3:30" x14ac:dyDescent="0.25">
      <c r="C77" s="148" t="s">
        <v>19</v>
      </c>
      <c r="D77" t="s">
        <v>394</v>
      </c>
      <c r="E77" t="s">
        <v>395</v>
      </c>
      <c r="F77" t="s">
        <v>396</v>
      </c>
      <c r="G77" t="s">
        <v>397</v>
      </c>
      <c r="H77" s="16">
        <f>VLOOKUP(D77,Résultats!$B$2:$AX$476,'T energie vecteurs'!S5,FALSE)</f>
        <v>0</v>
      </c>
      <c r="I77" s="16">
        <f>VLOOKUP(E77,Résultats!$B$2:$AX$476,'T energie vecteurs'!S5,FALSE)</f>
        <v>18.319180580000001</v>
      </c>
      <c r="J77" s="16">
        <f>VLOOKUP(F77,Résultats!$B$2:$AX$476,'T energie vecteurs'!S5,FALSE)</f>
        <v>0.84183176510000002</v>
      </c>
      <c r="K77" s="16">
        <f>VLOOKUP(G77,Résultats!$B$2:$AX$476,'T energie vecteurs'!S5,FALSE)</f>
        <v>2.7265233200000001E-5</v>
      </c>
      <c r="L77" s="95">
        <f t="shared" ref="L77:L84" si="19">SUM(H77:K77)</f>
        <v>19.161039610333201</v>
      </c>
      <c r="M77" s="16"/>
      <c r="N77" s="148" t="s">
        <v>19</v>
      </c>
      <c r="O77" s="143"/>
      <c r="P77" s="16"/>
      <c r="Q77" s="34"/>
      <c r="R77" s="16"/>
      <c r="S77" s="95"/>
      <c r="T77" s="270"/>
      <c r="U77" s="148" t="s">
        <v>19</v>
      </c>
      <c r="V77" t="s">
        <v>394</v>
      </c>
      <c r="W77" t="s">
        <v>395</v>
      </c>
      <c r="X77" t="s">
        <v>396</v>
      </c>
      <c r="Y77" t="s">
        <v>397</v>
      </c>
      <c r="Z77" s="16">
        <v>0</v>
      </c>
      <c r="AA77" s="16">
        <v>18.308015090000001</v>
      </c>
      <c r="AB77" s="16">
        <v>0.84039515249999996</v>
      </c>
      <c r="AC77" s="16">
        <v>2.71954616E-5</v>
      </c>
      <c r="AD77" s="95">
        <v>19.148437437961601</v>
      </c>
    </row>
    <row r="78" spans="3:30" x14ac:dyDescent="0.25">
      <c r="C78" s="149" t="s">
        <v>20</v>
      </c>
      <c r="D78" t="s">
        <v>398</v>
      </c>
      <c r="E78" t="s">
        <v>399</v>
      </c>
      <c r="F78" t="s">
        <v>400</v>
      </c>
      <c r="G78" t="s">
        <v>401</v>
      </c>
      <c r="H78" s="16">
        <f>VLOOKUP(D78,Résultats!$B$2:$AX$476,'T energie vecteurs'!S5,FALSE)</f>
        <v>0</v>
      </c>
      <c r="I78" s="16">
        <f>VLOOKUP(E78,Résultats!$B$2:$AX$476,'T energie vecteurs'!S5,FALSE)</f>
        <v>18.074669270000001</v>
      </c>
      <c r="J78" s="16">
        <f>VLOOKUP(F78,Résultats!$B$2:$AX$476,'T energie vecteurs'!S5,FALSE)</f>
        <v>2.3098914810000002</v>
      </c>
      <c r="K78" s="16">
        <f>VLOOKUP(G78,Résultats!$B$2:$AX$476,'T energie vecteurs'!S5,FALSE)</f>
        <v>0.67088388509999997</v>
      </c>
      <c r="L78" s="95">
        <f t="shared" si="19"/>
        <v>21.055444636100002</v>
      </c>
      <c r="M78" s="16"/>
      <c r="N78" s="149" t="s">
        <v>20</v>
      </c>
      <c r="O78" s="143"/>
      <c r="P78" s="16"/>
      <c r="Q78" s="34"/>
      <c r="R78" s="16"/>
      <c r="S78" s="95"/>
      <c r="T78" s="270"/>
      <c r="U78" s="149" t="s">
        <v>20</v>
      </c>
      <c r="V78" t="s">
        <v>398</v>
      </c>
      <c r="W78" t="s">
        <v>399</v>
      </c>
      <c r="X78" t="s">
        <v>400</v>
      </c>
      <c r="Y78" t="s">
        <v>401</v>
      </c>
      <c r="Z78" s="16">
        <v>0</v>
      </c>
      <c r="AA78" s="16">
        <v>18.031032069999998</v>
      </c>
      <c r="AB78" s="16">
        <v>2.3045841199999999</v>
      </c>
      <c r="AC78" s="16">
        <v>0.66959479669999999</v>
      </c>
      <c r="AD78" s="95">
        <v>21.0052109867</v>
      </c>
    </row>
    <row r="79" spans="3:30" x14ac:dyDescent="0.25">
      <c r="C79" s="147" t="s">
        <v>21</v>
      </c>
      <c r="D79" t="s">
        <v>402</v>
      </c>
      <c r="E79" t="s">
        <v>403</v>
      </c>
      <c r="F79" t="s">
        <v>404</v>
      </c>
      <c r="G79" t="s">
        <v>405</v>
      </c>
      <c r="H79" s="8">
        <f>VLOOKUP(D79,Résultats!$B$2:$AX$476,'T energie vecteurs'!S5,FALSE)</f>
        <v>0.25397414499999998</v>
      </c>
      <c r="I79" s="294">
        <f>VLOOKUP(E79,Résultats!$B$2:$AX$476,'T energie vecteurs'!S5,FALSE)</f>
        <v>4.996366095</v>
      </c>
      <c r="J79" s="8">
        <f>VLOOKUP(F79,Résultats!$B$2:$AX$476,'T energie vecteurs'!S5,FALSE)</f>
        <v>15.005518950000001</v>
      </c>
      <c r="K79" s="8">
        <f>VLOOKUP(G79,Résultats!$B$2:$AX$476,'T energie vecteurs'!S5,FALSE)+8</f>
        <v>23.337702870000001</v>
      </c>
      <c r="L79" s="96">
        <f>SUM(H79:K79)</f>
        <v>43.593562060000004</v>
      </c>
      <c r="M79" s="75"/>
      <c r="N79" s="150" t="s">
        <v>21</v>
      </c>
      <c r="O79" s="29">
        <f>'[2]Bilan 2030 AMS'!$V$46/11.63</f>
        <v>0</v>
      </c>
      <c r="P79" s="28">
        <f>SUM('[2]Bilan 2030 AMS'!$V$41:$V$43)/11.63</f>
        <v>0.62652374102192576</v>
      </c>
      <c r="Q79" s="28">
        <f>'[2]Bilan 2030 AMS'!$V$13/11.63</f>
        <v>14.530979395924851</v>
      </c>
      <c r="R79" s="28">
        <f>('[2]Bilan 2030 AMS'!$V$22+'[2]Bilan 2030 AMS'!$V$30+SUM('[2]Bilan 2030 AMS'!$V$36:$V$40)+SUM('[2]Bilan 2030 AMS'!$V$44:$V$45)+'[2]Bilan 2030 AMS'!$V$47)/11.63</f>
        <v>20.153654675853421</v>
      </c>
      <c r="S79" s="142">
        <f t="shared" ref="S79:S85" si="20">SUM(O79:R79)</f>
        <v>35.311157812800197</v>
      </c>
      <c r="T79" s="270"/>
      <c r="U79" s="147" t="s">
        <v>21</v>
      </c>
      <c r="V79" t="s">
        <v>402</v>
      </c>
      <c r="W79" t="s">
        <v>403</v>
      </c>
      <c r="X79" t="s">
        <v>404</v>
      </c>
      <c r="Y79" t="s">
        <v>405</v>
      </c>
      <c r="Z79" s="8">
        <v>0.23261861340000001</v>
      </c>
      <c r="AA79" s="294">
        <v>4.5282255229999997</v>
      </c>
      <c r="AB79" s="8">
        <v>14.844787999999999</v>
      </c>
      <c r="AC79" s="8">
        <v>22.29439202</v>
      </c>
      <c r="AD79" s="96">
        <v>41.900024156399994</v>
      </c>
    </row>
    <row r="80" spans="3:30" x14ac:dyDescent="0.25">
      <c r="C80" s="147" t="s">
        <v>22</v>
      </c>
      <c r="D80" t="s">
        <v>406</v>
      </c>
      <c r="E80" t="s">
        <v>407</v>
      </c>
      <c r="F80" t="s">
        <v>408</v>
      </c>
      <c r="G80" t="s">
        <v>409</v>
      </c>
      <c r="H80" s="8">
        <f>VLOOKUP(D80,Résultats!$B$2:$AX$476,'T energie vecteurs'!S5,FALSE)</f>
        <v>0</v>
      </c>
      <c r="I80" s="8">
        <f>VLOOKUP(E80,Résultats!$B$2:$AX$476,'T energie vecteurs'!S5,FALSE)</f>
        <v>1.384373278</v>
      </c>
      <c r="J80" s="8">
        <f>VLOOKUP(F80,Résultats!$B$2:$AX$476,'T energie vecteurs'!S5,FALSE)</f>
        <v>9.4613566989999995</v>
      </c>
      <c r="K80" s="8">
        <f>VLOOKUP(G80,Résultats!$B$2:$AX$476,'T energie vecteurs'!S5,FALSE)</f>
        <v>14.276299910000001</v>
      </c>
      <c r="L80" s="96">
        <f t="shared" si="19"/>
        <v>25.122029887</v>
      </c>
      <c r="M80" s="75"/>
      <c r="N80" s="150" t="s">
        <v>22</v>
      </c>
      <c r="O80" s="29">
        <f>('[2]Bilan 2030 AMS'!$W$46)/11.63</f>
        <v>0</v>
      </c>
      <c r="P80" s="28">
        <f>SUM('[2]Bilan 2030 AMS'!$W$41:$W$43)/11.63</f>
        <v>0.33746613619592225</v>
      </c>
      <c r="Q80" s="28">
        <f>('[2]Bilan 2030 AMS'!$W$13)/11.63</f>
        <v>10.35411932416091</v>
      </c>
      <c r="R80" s="28">
        <f>('[2]Bilan 2030 AMS'!$W$22+'[2]Bilan 2030 AMS'!$W$30+SUM('[2]Bilan 2030 AMS'!$W$36:$W$40)+SUM('[2]Bilan 2030 AMS'!$W$44:$W$45)+'[2]Bilan 2030 AMS'!$W$47)/11.63</f>
        <v>8.8144475097741068</v>
      </c>
      <c r="S80" s="142">
        <f t="shared" si="20"/>
        <v>19.506032970130939</v>
      </c>
      <c r="T80" s="270"/>
      <c r="U80" s="147" t="s">
        <v>22</v>
      </c>
      <c r="V80" t="s">
        <v>406</v>
      </c>
      <c r="W80" t="s">
        <v>407</v>
      </c>
      <c r="X80" t="s">
        <v>408</v>
      </c>
      <c r="Y80" t="s">
        <v>409</v>
      </c>
      <c r="Z80" s="8">
        <v>0</v>
      </c>
      <c r="AA80" s="8">
        <v>1.381675473</v>
      </c>
      <c r="AB80" s="8">
        <v>9.4420622400000003</v>
      </c>
      <c r="AC80" s="8">
        <v>14.312370469999999</v>
      </c>
      <c r="AD80" s="96">
        <v>25.136108182999997</v>
      </c>
    </row>
    <row r="81" spans="2:30" x14ac:dyDescent="0.25">
      <c r="C81" s="147" t="s">
        <v>23</v>
      </c>
      <c r="H81" s="8">
        <f>SUM(H82:H84)</f>
        <v>1.8499869151000001</v>
      </c>
      <c r="I81" s="8">
        <f>SUM(I82:I84)</f>
        <v>9.4165135450000008</v>
      </c>
      <c r="J81" s="8">
        <f>SUM(J82:J84)</f>
        <v>17.4296862176</v>
      </c>
      <c r="K81" s="8">
        <f>SUM(K82:K84)</f>
        <v>8.4398279624000008</v>
      </c>
      <c r="L81" s="96">
        <f t="shared" si="19"/>
        <v>37.136014640100001</v>
      </c>
      <c r="M81" s="75"/>
      <c r="N81" s="150" t="s">
        <v>490</v>
      </c>
      <c r="O81" s="29">
        <f>O82+O83</f>
        <v>2.0127593650238067</v>
      </c>
      <c r="P81" s="28">
        <f t="shared" ref="P81:R81" si="21">P82+P83</f>
        <v>12.377492485503554</v>
      </c>
      <c r="Q81" s="28">
        <f t="shared" si="21"/>
        <v>12.982018088212522</v>
      </c>
      <c r="R81" s="28">
        <f t="shared" si="21"/>
        <v>14.480696516029912</v>
      </c>
      <c r="S81" s="142">
        <f t="shared" si="20"/>
        <v>41.852966454769799</v>
      </c>
      <c r="T81" s="270"/>
      <c r="U81" s="147" t="s">
        <v>23</v>
      </c>
      <c r="Z81" s="8">
        <v>1.8472781841999999</v>
      </c>
      <c r="AA81" s="8">
        <v>9.3839647250000002</v>
      </c>
      <c r="AB81" s="8">
        <v>17.3607147978</v>
      </c>
      <c r="AC81" s="8">
        <v>8.4263232433999988</v>
      </c>
      <c r="AD81" s="96">
        <v>37.018280950399998</v>
      </c>
    </row>
    <row r="82" spans="2:30" x14ac:dyDescent="0.25">
      <c r="C82" s="149" t="s">
        <v>24</v>
      </c>
      <c r="D82" t="s">
        <v>410</v>
      </c>
      <c r="E82" t="s">
        <v>411</v>
      </c>
      <c r="F82" t="s">
        <v>412</v>
      </c>
      <c r="G82" t="s">
        <v>413</v>
      </c>
      <c r="H82" s="16">
        <f>VLOOKUP(D82,Résultats!$B$2:$AX$476,'T energie vecteurs'!S5,FALSE)</f>
        <v>0.96846139590000002</v>
      </c>
      <c r="I82" s="16">
        <f>VLOOKUP(E82,Résultats!$B$2:$AX$476,'T energie vecteurs'!S5,FALSE)</f>
        <v>4.6308549010000002</v>
      </c>
      <c r="J82" s="16">
        <f>VLOOKUP(F82,Résultats!$B$2:$AX$476,'T energie vecteurs'!S5,FALSE)</f>
        <v>17.08075886</v>
      </c>
      <c r="K82" s="16">
        <f>VLOOKUP(G82,Résultats!$B$2:$AX$476,'T energie vecteurs'!S5,FALSE)</f>
        <v>5.9630172290000001</v>
      </c>
      <c r="L82" s="95">
        <f t="shared" si="19"/>
        <v>28.643092385899998</v>
      </c>
      <c r="M82" s="16"/>
      <c r="N82" s="149" t="s">
        <v>491</v>
      </c>
      <c r="O82" s="143">
        <f>'[2]Bilan 2030 AMS'!$U$46/11.63</f>
        <v>0.29026672912795559</v>
      </c>
      <c r="P82" s="30">
        <f>SUM('[2]Bilan 2030 AMS'!$U$41:$U$43)/11.63</f>
        <v>1.2075144976423513</v>
      </c>
      <c r="Q82" s="30">
        <f>'[2]Bilan 2030 AMS'!$U$13/11.63</f>
        <v>12.982018088212522</v>
      </c>
      <c r="R82" s="30">
        <f>('[2]Bilan 2030 AMS'!$U$22+'[2]Bilan 2030 AMS'!$U$30+SUM('[2]Bilan 2030 AMS'!$U$36:$U$40)+SUM('[2]Bilan 2030 AMS'!$U$44:$U$45)+'[2]Bilan 2030 AMS'!$U$47)/11.63</f>
        <v>13.044479402489532</v>
      </c>
      <c r="S82" s="95">
        <f t="shared" si="20"/>
        <v>27.524278717472363</v>
      </c>
      <c r="T82" s="270"/>
      <c r="U82" s="149" t="s">
        <v>24</v>
      </c>
      <c r="V82" t="s">
        <v>410</v>
      </c>
      <c r="W82" t="s">
        <v>411</v>
      </c>
      <c r="X82" t="s">
        <v>412</v>
      </c>
      <c r="Y82" t="s">
        <v>413</v>
      </c>
      <c r="Z82" s="16">
        <v>0.96915804729999999</v>
      </c>
      <c r="AA82" s="16">
        <v>4.6034723829999997</v>
      </c>
      <c r="AB82" s="16">
        <v>17.012824340000002</v>
      </c>
      <c r="AC82" s="16">
        <v>5.9483764409999997</v>
      </c>
      <c r="AD82" s="95">
        <v>28.533831211300001</v>
      </c>
    </row>
    <row r="83" spans="2:30" x14ac:dyDescent="0.25">
      <c r="C83" s="149" t="s">
        <v>47</v>
      </c>
      <c r="D83" t="s">
        <v>414</v>
      </c>
      <c r="E83" t="s">
        <v>415</v>
      </c>
      <c r="F83" t="s">
        <v>416</v>
      </c>
      <c r="G83" t="s">
        <v>417</v>
      </c>
      <c r="H83" s="16">
        <f>VLOOKUP(D83,Résultats!$B$2:$AX$476,'T energie vecteurs'!S5,FALSE)</f>
        <v>0.8815255192</v>
      </c>
      <c r="I83" s="16">
        <f>VLOOKUP(E83,Résultats!$B$2:$AX$476,'T energie vecteurs'!S5,FALSE)</f>
        <v>2.0980134490000002</v>
      </c>
      <c r="J83" s="16">
        <f>VLOOKUP(F83,Résultats!$B$2:$AX$476,'T energie vecteurs'!S5,FALSE)</f>
        <v>0</v>
      </c>
      <c r="K83" s="16">
        <f>VLOOKUP(G83,Résultats!$B$2:$AX$476,'T energie vecteurs'!S5,FALSE)</f>
        <v>2.0318532500000002</v>
      </c>
      <c r="L83" s="95">
        <f>SUM(H83:K83)</f>
        <v>5.0113922182000001</v>
      </c>
      <c r="M83" s="16"/>
      <c r="N83" s="149" t="s">
        <v>47</v>
      </c>
      <c r="O83" s="22">
        <f>'[2]Bilan 2030 AMS'!$E$52/11.63</f>
        <v>1.7224926358958512</v>
      </c>
      <c r="P83" s="16">
        <f>('[2]Bilan 2030 AMS'!$E$54+'[2]Bilan 2030 AMS'!$E$56)/11.63</f>
        <v>11.169977987861202</v>
      </c>
      <c r="Q83" s="16">
        <v>0</v>
      </c>
      <c r="R83" s="16">
        <f>('[2]Bilan 2030 AMS'!$E$53+'[2]Bilan 2030 AMS'!$E$55+'[2]Bilan 2030 AMS'!$E$57)/11.63</f>
        <v>1.4362171135403794</v>
      </c>
      <c r="S83" s="95">
        <f t="shared" si="20"/>
        <v>14.328687737297432</v>
      </c>
      <c r="T83" s="270"/>
      <c r="U83" s="149" t="s">
        <v>47</v>
      </c>
      <c r="V83" t="s">
        <v>414</v>
      </c>
      <c r="W83" t="s">
        <v>415</v>
      </c>
      <c r="X83" t="s">
        <v>416</v>
      </c>
      <c r="Y83" t="s">
        <v>417</v>
      </c>
      <c r="Z83" s="16">
        <v>0.87812013690000001</v>
      </c>
      <c r="AA83" s="16">
        <v>2.097893419</v>
      </c>
      <c r="AB83" s="16">
        <v>0</v>
      </c>
      <c r="AC83" s="16">
        <v>2.0329833019999999</v>
      </c>
      <c r="AD83" s="95">
        <v>5.0089968578999997</v>
      </c>
    </row>
    <row r="84" spans="2:30" x14ac:dyDescent="0.25">
      <c r="C84" s="149" t="s">
        <v>25</v>
      </c>
      <c r="D84" t="s">
        <v>418</v>
      </c>
      <c r="E84" t="s">
        <v>419</v>
      </c>
      <c r="F84" t="s">
        <v>420</v>
      </c>
      <c r="G84" t="s">
        <v>421</v>
      </c>
      <c r="H84" s="16">
        <f>VLOOKUP(D84,Résultats!$B$2:$AX$476,'T energie vecteurs'!S5,FALSE)</f>
        <v>0</v>
      </c>
      <c r="I84" s="16">
        <f>VLOOKUP(E84,Résultats!$B$2:$AX$476,'T energie vecteurs'!S5,FALSE)</f>
        <v>2.687645195</v>
      </c>
      <c r="J84" s="16">
        <f>VLOOKUP(F84,Résultats!$B$2:$AX$476,'T energie vecteurs'!S5,FALSE)</f>
        <v>0.34892735759999999</v>
      </c>
      <c r="K84" s="16">
        <f>VLOOKUP(G84,Résultats!$B$2:$AX$476,'T energie vecteurs'!S5,FALSE)</f>
        <v>0.44495748340000002</v>
      </c>
      <c r="L84" s="95">
        <f t="shared" si="19"/>
        <v>3.4815300360000001</v>
      </c>
      <c r="M84" s="16"/>
      <c r="N84" s="150" t="s">
        <v>25</v>
      </c>
      <c r="O84" s="29">
        <f>'[2]Bilan 2030 AMS'!$T$46/11.63</f>
        <v>0</v>
      </c>
      <c r="P84" s="28">
        <f>SUM('[2]Bilan 2030 AMS'!$T$41:$T$43)/11.63</f>
        <v>3.0169333905477389</v>
      </c>
      <c r="Q84" s="28">
        <f>'[2]Bilan 2030 AMS'!$T$13/11.63</f>
        <v>0.58880477108504814</v>
      </c>
      <c r="R84" s="28">
        <f>('[2]Bilan 2030 AMS'!$T$22+'[2]Bilan 2030 AMS'!$T$30+SUM('[2]Bilan 2030 AMS'!$T$36:$T$40)+SUM('[2]Bilan 2030 AMS'!$T$44:$T$45)+'[2]Bilan 2030 AMS'!$T$47)/11.63</f>
        <v>0.50098804851089418</v>
      </c>
      <c r="S84" s="142">
        <f t="shared" si="20"/>
        <v>4.1067262101436812</v>
      </c>
      <c r="T84" s="270"/>
      <c r="U84" s="149" t="s">
        <v>25</v>
      </c>
      <c r="V84" t="s">
        <v>418</v>
      </c>
      <c r="W84" t="s">
        <v>419</v>
      </c>
      <c r="X84" t="s">
        <v>420</v>
      </c>
      <c r="Y84" t="s">
        <v>421</v>
      </c>
      <c r="Z84" s="16">
        <v>0</v>
      </c>
      <c r="AA84" s="16">
        <v>2.682598923</v>
      </c>
      <c r="AB84" s="16">
        <v>0.3478904578</v>
      </c>
      <c r="AC84" s="16">
        <v>0.44496350039999999</v>
      </c>
      <c r="AD84" s="95">
        <v>3.4754528812000003</v>
      </c>
    </row>
    <row r="85" spans="2:30" x14ac:dyDescent="0.25">
      <c r="C85" s="23" t="s">
        <v>26</v>
      </c>
      <c r="D85" s="10"/>
      <c r="E85" s="10"/>
      <c r="F85" s="10"/>
      <c r="G85" s="10"/>
      <c r="H85" s="9">
        <f>SUM(H76,H79:H81)</f>
        <v>2.1039610601000001</v>
      </c>
      <c r="I85" s="9">
        <f>SUM(I76,I79:I81)</f>
        <v>52.191102768</v>
      </c>
      <c r="J85" s="9">
        <f>SUM(J76,J79:J81)</f>
        <v>45.0482851127</v>
      </c>
      <c r="K85" s="9">
        <f>SUM(K76,K79:K81)</f>
        <v>46.724741892733206</v>
      </c>
      <c r="L85" s="98">
        <f>SUM(H85:K85)</f>
        <v>146.0680908335332</v>
      </c>
      <c r="M85" s="79"/>
      <c r="N85" s="151" t="s">
        <v>26</v>
      </c>
      <c r="O85" s="32">
        <f>O76+O79+O80+O81+O84</f>
        <v>2.0127593650238067</v>
      </c>
      <c r="P85" s="31">
        <f>P76+P79+P80+P81+P84</f>
        <v>46.850233821954703</v>
      </c>
      <c r="Q85" s="31">
        <f>Q76+Q79+Q80+Q81+Q84</f>
        <v>41.347363334512337</v>
      </c>
      <c r="R85" s="31">
        <f>R76+R79+R80+R81+R84</f>
        <v>44.602474527058249</v>
      </c>
      <c r="S85" s="144">
        <f t="shared" si="20"/>
        <v>134.81283104854907</v>
      </c>
      <c r="T85" s="79"/>
      <c r="U85" s="23" t="s">
        <v>26</v>
      </c>
      <c r="V85" s="10"/>
      <c r="W85" s="10"/>
      <c r="X85" s="10"/>
      <c r="Y85" s="10"/>
      <c r="Z85" s="9">
        <v>2.0798967976</v>
      </c>
      <c r="AA85" s="9">
        <v>51.632912880999996</v>
      </c>
      <c r="AB85" s="9">
        <v>44.792544310300002</v>
      </c>
      <c r="AC85" s="9">
        <v>45.702707725561595</v>
      </c>
      <c r="AD85" s="98">
        <v>144.20806171446159</v>
      </c>
    </row>
    <row r="86" spans="2:30" s="3" customFormat="1" x14ac:dyDescent="0.25">
      <c r="O86" s="77"/>
      <c r="P86" s="77"/>
      <c r="Q86" s="77"/>
      <c r="R86" s="78"/>
      <c r="S86" s="45"/>
    </row>
    <row r="87" spans="2:30" s="3" customFormat="1" x14ac:dyDescent="0.25">
      <c r="B87" s="60"/>
      <c r="K87" s="47"/>
      <c r="O87" s="79"/>
      <c r="P87" s="79"/>
      <c r="Q87" s="79"/>
      <c r="R87" s="80"/>
      <c r="S87" s="81"/>
      <c r="AC87" s="47"/>
    </row>
    <row r="88" spans="2:30" s="3" customFormat="1" ht="31.5" x14ac:dyDescent="0.35">
      <c r="B88" s="60"/>
      <c r="C88" s="145">
        <v>2035</v>
      </c>
      <c r="D88" s="146"/>
      <c r="E88" s="146"/>
      <c r="F88" s="146"/>
      <c r="G88" s="146"/>
      <c r="H88" s="76" t="s">
        <v>36</v>
      </c>
      <c r="I88" s="76" t="s">
        <v>49</v>
      </c>
      <c r="J88" s="76" t="s">
        <v>38</v>
      </c>
      <c r="K88" s="76" t="s">
        <v>48</v>
      </c>
      <c r="L88" s="93" t="s">
        <v>1</v>
      </c>
      <c r="N88" s="145">
        <v>2035</v>
      </c>
      <c r="O88" s="141" t="s">
        <v>36</v>
      </c>
      <c r="P88" s="76" t="s">
        <v>49</v>
      </c>
      <c r="Q88" s="76" t="s">
        <v>38</v>
      </c>
      <c r="R88" s="76" t="s">
        <v>48</v>
      </c>
      <c r="S88" s="93" t="s">
        <v>1</v>
      </c>
      <c r="U88" s="145">
        <v>2035</v>
      </c>
      <c r="V88" s="146"/>
      <c r="W88" s="146"/>
      <c r="X88" s="146"/>
      <c r="Y88" s="146"/>
      <c r="Z88" s="76" t="s">
        <v>36</v>
      </c>
      <c r="AA88" s="76" t="s">
        <v>49</v>
      </c>
      <c r="AB88" s="76" t="s">
        <v>38</v>
      </c>
      <c r="AC88" s="76" t="s">
        <v>48</v>
      </c>
      <c r="AD88" s="93" t="s">
        <v>1</v>
      </c>
    </row>
    <row r="89" spans="2:30" s="3" customFormat="1" x14ac:dyDescent="0.25">
      <c r="B89" s="60"/>
      <c r="C89" s="147" t="s">
        <v>18</v>
      </c>
      <c r="D89"/>
      <c r="E89"/>
      <c r="F89"/>
      <c r="G89"/>
      <c r="H89" s="8">
        <f>SUM(H90:H91)</f>
        <v>0</v>
      </c>
      <c r="I89" s="8">
        <f>SUM(I90:I91)</f>
        <v>29.07873129</v>
      </c>
      <c r="J89" s="8">
        <f>SUM(J90:J91)</f>
        <v>5.440920491</v>
      </c>
      <c r="K89" s="8">
        <f>SUM(K90:K91)</f>
        <v>1.0140049706794001</v>
      </c>
      <c r="L89" s="96">
        <f t="shared" ref="L89:L98" si="22">SUM(H89:K89)</f>
        <v>35.533656751679402</v>
      </c>
      <c r="N89" s="150" t="s">
        <v>18</v>
      </c>
      <c r="O89" s="29">
        <f>'[2]Bilan 2035 AMS'!$X$46/11.63</f>
        <v>0</v>
      </c>
      <c r="P89" s="28">
        <f>SUM('[2]Bilan 2035 AMS'!$X$41:$X$43)/11.63</f>
        <v>21.382730406719936</v>
      </c>
      <c r="Q89" s="28">
        <f>'[2]Bilan 2035 AMS'!$X$13/11.63</f>
        <v>5.4104030618615928</v>
      </c>
      <c r="R89" s="28">
        <f>('[2]Bilan 2035 AMS'!$X$22+'[2]Bilan 2035 AMS'!$X$30+SUM('[2]Bilan 2035 AMS'!$X$36:$X$40)+SUM('[2]Bilan 2035 AMS'!$X$44:$X$45)+'[2]Bilan 2035 AMS'!$X$47)/11.63</f>
        <v>0.88574894127807591</v>
      </c>
      <c r="S89" s="142">
        <f>SUM(O89:R89)</f>
        <v>27.678882409859607</v>
      </c>
      <c r="U89" s="147" t="s">
        <v>18</v>
      </c>
      <c r="V89"/>
      <c r="W89"/>
      <c r="X89"/>
      <c r="Y89"/>
      <c r="Z89" s="8">
        <v>0</v>
      </c>
      <c r="AA89" s="8">
        <v>29.051365179999998</v>
      </c>
      <c r="AB89" s="8">
        <v>5.434405784</v>
      </c>
      <c r="AC89" s="8">
        <v>1.0129241415729</v>
      </c>
      <c r="AD89" s="96">
        <v>35.498695105572899</v>
      </c>
    </row>
    <row r="90" spans="2:30" s="3" customFormat="1" x14ac:dyDescent="0.25">
      <c r="B90" s="60"/>
      <c r="C90" s="148" t="s">
        <v>19</v>
      </c>
      <c r="D90" t="s">
        <v>394</v>
      </c>
      <c r="E90" t="s">
        <v>395</v>
      </c>
      <c r="F90" t="s">
        <v>396</v>
      </c>
      <c r="G90" t="s">
        <v>397</v>
      </c>
      <c r="H90" s="16">
        <f>VLOOKUP(D90,Résultats!$B$2:$AX$476,'T energie vecteurs'!T5,FALSE)</f>
        <v>0</v>
      </c>
      <c r="I90" s="16">
        <f>VLOOKUP(E90,Résultats!$B$2:$AX$476,'T energie vecteurs'!T5,FALSE)</f>
        <v>13.71405041</v>
      </c>
      <c r="J90" s="16">
        <f>VLOOKUP(F90,Résultats!$B$2:$AX$476,'T energie vecteurs'!T5,FALSE)</f>
        <v>1.748318571</v>
      </c>
      <c r="K90" s="16">
        <f>VLOOKUP(G90,Résultats!$B$2:$AX$476,'T energie vecteurs'!T5,FALSE)</f>
        <v>2.1750679400000001E-5</v>
      </c>
      <c r="L90" s="95">
        <f t="shared" si="22"/>
        <v>15.462390731679401</v>
      </c>
      <c r="N90" s="148" t="s">
        <v>19</v>
      </c>
      <c r="O90" s="143"/>
      <c r="P90" s="16"/>
      <c r="Q90" s="34"/>
      <c r="R90" s="16"/>
      <c r="S90" s="95"/>
      <c r="U90" s="148" t="s">
        <v>19</v>
      </c>
      <c r="V90" t="s">
        <v>394</v>
      </c>
      <c r="W90" t="s">
        <v>395</v>
      </c>
      <c r="X90" t="s">
        <v>396</v>
      </c>
      <c r="Y90" t="s">
        <v>397</v>
      </c>
      <c r="Z90" s="16">
        <v>0</v>
      </c>
      <c r="AA90" s="16">
        <v>13.705832129999999</v>
      </c>
      <c r="AB90" s="38">
        <v>1.7469373989999999</v>
      </c>
      <c r="AC90" s="16">
        <v>2.16905729E-5</v>
      </c>
      <c r="AD90" s="95">
        <v>15.4527912195729</v>
      </c>
    </row>
    <row r="91" spans="2:30" s="3" customFormat="1" x14ac:dyDescent="0.25">
      <c r="B91" s="60"/>
      <c r="C91" s="149" t="s">
        <v>20</v>
      </c>
      <c r="D91" t="s">
        <v>398</v>
      </c>
      <c r="E91" t="s">
        <v>399</v>
      </c>
      <c r="F91" t="s">
        <v>400</v>
      </c>
      <c r="G91" t="s">
        <v>401</v>
      </c>
      <c r="H91" s="16">
        <f>VLOOKUP(D91,Résultats!$B$2:$AX$476,'T energie vecteurs'!T5,FALSE)</f>
        <v>0</v>
      </c>
      <c r="I91" s="16">
        <f>VLOOKUP(E91,Résultats!$B$2:$AX$476,'T energie vecteurs'!T5,FALSE)</f>
        <v>15.36468088</v>
      </c>
      <c r="J91" s="16">
        <f>VLOOKUP(F91,Résultats!$B$2:$AX$476,'T energie vecteurs'!T5,FALSE)</f>
        <v>3.69260192</v>
      </c>
      <c r="K91" s="16">
        <f>VLOOKUP(G91,Résultats!$B$2:$AX$476,'T energie vecteurs'!T5,FALSE)</f>
        <v>1.0139832200000001</v>
      </c>
      <c r="L91" s="95">
        <f t="shared" si="22"/>
        <v>20.071266019999999</v>
      </c>
      <c r="N91" s="149" t="s">
        <v>20</v>
      </c>
      <c r="O91" s="143"/>
      <c r="P91" s="16"/>
      <c r="Q91" s="34"/>
      <c r="R91" s="16"/>
      <c r="S91" s="95"/>
      <c r="U91" s="149" t="s">
        <v>20</v>
      </c>
      <c r="V91" t="s">
        <v>398</v>
      </c>
      <c r="W91" t="s">
        <v>399</v>
      </c>
      <c r="X91" t="s">
        <v>400</v>
      </c>
      <c r="Y91" t="s">
        <v>401</v>
      </c>
      <c r="Z91" s="16">
        <v>0</v>
      </c>
      <c r="AA91" s="16">
        <v>15.34553305</v>
      </c>
      <c r="AB91" s="16">
        <v>3.6874683849999998</v>
      </c>
      <c r="AC91" s="16">
        <v>1.012902451</v>
      </c>
      <c r="AD91" s="95">
        <v>20.045903885999998</v>
      </c>
    </row>
    <row r="92" spans="2:30" s="3" customFormat="1" x14ac:dyDescent="0.25">
      <c r="B92" s="60"/>
      <c r="C92" s="147" t="s">
        <v>21</v>
      </c>
      <c r="D92" t="s">
        <v>402</v>
      </c>
      <c r="E92" t="s">
        <v>403</v>
      </c>
      <c r="F92" t="s">
        <v>404</v>
      </c>
      <c r="G92" t="s">
        <v>405</v>
      </c>
      <c r="H92" s="8">
        <f>VLOOKUP(D92,Résultats!$B$2:$AX$476,'T energie vecteurs'!T5,FALSE)</f>
        <v>0.2149564531</v>
      </c>
      <c r="I92" s="294">
        <f>VLOOKUP(E92,Résultats!$B$2:$AX$476,'T energie vecteurs'!T5,FALSE)</f>
        <v>4.3292823260000004</v>
      </c>
      <c r="J92" s="8">
        <f>VLOOKUP(F92,Résultats!$B$2:$AX$476,'T energie vecteurs'!T5,FALSE)</f>
        <v>14.610778180000001</v>
      </c>
      <c r="K92" s="8">
        <f>VLOOKUP(G92,Résultats!$B$2:$AX$476,'T energie vecteurs'!T5,FALSE)+8</f>
        <v>22.029202439999999</v>
      </c>
      <c r="L92" s="96">
        <f t="shared" si="22"/>
        <v>41.184219399100002</v>
      </c>
      <c r="N92" s="150" t="s">
        <v>21</v>
      </c>
      <c r="O92" s="29">
        <f>'[2]Bilan 2035 AMS'!$V$46/11.63</f>
        <v>0</v>
      </c>
      <c r="P92" s="28">
        <f>SUM('[2]Bilan 2035 AMS'!$V$41:$V$43)/11.63</f>
        <v>0.26244481999880703</v>
      </c>
      <c r="Q92" s="28">
        <f>'[2]Bilan 2035 AMS'!$V$13/11.63</f>
        <v>13.920813823171006</v>
      </c>
      <c r="R92" s="28">
        <f>('[2]Bilan 2035 AMS'!$V$22+'[2]Bilan 2035 AMS'!$V$30+SUM('[2]Bilan 2035 AMS'!$V$36:$V$40)+SUM('[2]Bilan 2035 AMS'!$V$44:$V$45)+'[2]Bilan 2035 AMS'!$V$47)/11.63</f>
        <v>18.428808856007375</v>
      </c>
      <c r="S92" s="142">
        <f t="shared" ref="S92:S98" si="23">SUM(O92:R92)</f>
        <v>32.612067499177186</v>
      </c>
      <c r="U92" s="147" t="s">
        <v>21</v>
      </c>
      <c r="V92" t="s">
        <v>402</v>
      </c>
      <c r="W92" t="s">
        <v>403</v>
      </c>
      <c r="X92" t="s">
        <v>404</v>
      </c>
      <c r="Y92" t="s">
        <v>405</v>
      </c>
      <c r="Z92" s="8">
        <v>0.20430416800000001</v>
      </c>
      <c r="AA92" s="294">
        <v>3.8930258630000001</v>
      </c>
      <c r="AB92" s="8">
        <v>14.55576143</v>
      </c>
      <c r="AC92" s="8">
        <v>21.255265680000001</v>
      </c>
      <c r="AD92" s="96">
        <v>39.908357141000003</v>
      </c>
    </row>
    <row r="93" spans="2:30" s="3" customFormat="1" x14ac:dyDescent="0.25">
      <c r="B93" s="60"/>
      <c r="C93" s="147" t="s">
        <v>22</v>
      </c>
      <c r="D93" t="s">
        <v>406</v>
      </c>
      <c r="E93" t="s">
        <v>407</v>
      </c>
      <c r="F93" t="s">
        <v>408</v>
      </c>
      <c r="G93" t="s">
        <v>409</v>
      </c>
      <c r="H93" s="8">
        <f>VLOOKUP(D93,Résultats!$B$2:$AX$476,'T energie vecteurs'!T5,FALSE)</f>
        <v>0</v>
      </c>
      <c r="I93" s="8">
        <f>VLOOKUP(E93,Résultats!$B$2:$AX$476,'T energie vecteurs'!T5,FALSE)</f>
        <v>1.361217575</v>
      </c>
      <c r="J93" s="8">
        <f>VLOOKUP(F93,Résultats!$B$2:$AX$476,'T energie vecteurs'!T5,FALSE)</f>
        <v>9.1994359160000005</v>
      </c>
      <c r="K93" s="8">
        <f>VLOOKUP(G93,Résultats!$B$2:$AX$476,'T energie vecteurs'!T5,FALSE)</f>
        <v>13.19146065</v>
      </c>
      <c r="L93" s="96">
        <f t="shared" si="22"/>
        <v>23.752114141</v>
      </c>
      <c r="N93" s="150" t="s">
        <v>22</v>
      </c>
      <c r="O93" s="29">
        <f>('[2]Bilan 2035 AMS'!$W$46)/11.63</f>
        <v>0</v>
      </c>
      <c r="P93" s="28">
        <f>SUM('[2]Bilan 2035 AMS'!$W$41:$W$43)/11.63</f>
        <v>0.17752685454813696</v>
      </c>
      <c r="Q93" s="28">
        <f>('[2]Bilan 2035 AMS'!$W$13)/11.63</f>
        <v>10.219258004272318</v>
      </c>
      <c r="R93" s="28">
        <f>('[2]Bilan 2035 AMS'!$W$22+'[2]Bilan 2035 AMS'!$W$30+SUM('[2]Bilan 2035 AMS'!$W$36:$W$40)+SUM('[2]Bilan 2035 AMS'!$W$44:$W$45)+'[2]Bilan 2035 AMS'!$W$47)/11.63</f>
        <v>8.3604329747133743</v>
      </c>
      <c r="S93" s="142">
        <f t="shared" si="23"/>
        <v>18.757217833533829</v>
      </c>
      <c r="U93" s="147" t="s">
        <v>22</v>
      </c>
      <c r="V93" t="s">
        <v>406</v>
      </c>
      <c r="W93" t="s">
        <v>407</v>
      </c>
      <c r="X93" t="s">
        <v>408</v>
      </c>
      <c r="Y93" t="s">
        <v>409</v>
      </c>
      <c r="Z93" s="8">
        <v>0</v>
      </c>
      <c r="AA93" s="8">
        <v>1.357776817</v>
      </c>
      <c r="AB93" s="8">
        <v>9.1796620910000009</v>
      </c>
      <c r="AC93" s="8">
        <v>13.233561740000001</v>
      </c>
      <c r="AD93" s="96">
        <v>23.771000648000001</v>
      </c>
    </row>
    <row r="94" spans="2:30" s="3" customFormat="1" x14ac:dyDescent="0.25">
      <c r="B94" s="60"/>
      <c r="C94" s="147" t="s">
        <v>23</v>
      </c>
      <c r="D94"/>
      <c r="E94"/>
      <c r="F94"/>
      <c r="G94"/>
      <c r="H94" s="8">
        <f>SUM(H95:H97)</f>
        <v>1.9060792530000001</v>
      </c>
      <c r="I94" s="8">
        <f>SUM(I95:I97)</f>
        <v>10.032213655</v>
      </c>
      <c r="J94" s="8">
        <f>SUM(J95:J97)</f>
        <v>18.149670180699999</v>
      </c>
      <c r="K94" s="8">
        <f>SUM(K95:K97)</f>
        <v>8.9860915204000005</v>
      </c>
      <c r="L94" s="96">
        <f t="shared" si="22"/>
        <v>39.074054609100003</v>
      </c>
      <c r="N94" s="150" t="s">
        <v>490</v>
      </c>
      <c r="O94" s="29">
        <f>O95+O96</f>
        <v>1.2895605785735207</v>
      </c>
      <c r="P94" s="28">
        <f t="shared" ref="P94:R94" si="24">P95+P96</f>
        <v>11.337300806411763</v>
      </c>
      <c r="Q94" s="28">
        <f t="shared" si="24"/>
        <v>14.018807628102843</v>
      </c>
      <c r="R94" s="28">
        <f t="shared" si="24"/>
        <v>15.570794990567688</v>
      </c>
      <c r="S94" s="142">
        <f t="shared" si="23"/>
        <v>42.216464003655815</v>
      </c>
      <c r="U94" s="147" t="s">
        <v>23</v>
      </c>
      <c r="V94"/>
      <c r="W94"/>
      <c r="X94"/>
      <c r="Y94"/>
      <c r="Z94" s="8">
        <v>1.9041929896000001</v>
      </c>
      <c r="AA94" s="8">
        <v>10.004720973</v>
      </c>
      <c r="AB94" s="8">
        <v>18.103547841799998</v>
      </c>
      <c r="AC94" s="8">
        <v>8.9768642962999987</v>
      </c>
      <c r="AD94" s="96">
        <v>38.989326100699998</v>
      </c>
    </row>
    <row r="95" spans="2:30" s="3" customFormat="1" x14ac:dyDescent="0.25">
      <c r="B95" s="60"/>
      <c r="C95" s="149" t="s">
        <v>24</v>
      </c>
      <c r="D95" t="s">
        <v>410</v>
      </c>
      <c r="E95" t="s">
        <v>411</v>
      </c>
      <c r="F95" t="s">
        <v>412</v>
      </c>
      <c r="G95" t="s">
        <v>413</v>
      </c>
      <c r="H95" s="16">
        <f>VLOOKUP(D95,Résultats!$B$2:$AX$476,'T energie vecteurs'!T5,FALSE)</f>
        <v>1.0106221550000001</v>
      </c>
      <c r="I95" s="16">
        <f>VLOOKUP(E95,Résultats!$B$2:$AX$476,'T energie vecteurs'!T5,FALSE)</f>
        <v>4.9574239579999997</v>
      </c>
      <c r="J95" s="16">
        <f>VLOOKUP(F95,Résultats!$B$2:$AX$476,'T energie vecteurs'!T5,FALSE)</f>
        <v>17.777776459999998</v>
      </c>
      <c r="K95" s="16">
        <f>VLOOKUP(G95,Résultats!$B$2:$AX$476,'T energie vecteurs'!T5,FALSE)</f>
        <v>6.3881047989999997</v>
      </c>
      <c r="L95" s="95">
        <f t="shared" si="22"/>
        <v>30.133927371999999</v>
      </c>
      <c r="N95" s="149" t="s">
        <v>491</v>
      </c>
      <c r="O95" s="143">
        <f>'[2]Bilan 2035 AMS'!$U$46/11.63</f>
        <v>0.31437903703224818</v>
      </c>
      <c r="P95" s="30">
        <f>SUM('[2]Bilan 2035 AMS'!$U$41:$U$43)/11.63</f>
        <v>0.93558908643124061</v>
      </c>
      <c r="Q95" s="30">
        <f>'[2]Bilan 2035 AMS'!$U$13/11.63</f>
        <v>14.018807628102843</v>
      </c>
      <c r="R95" s="30">
        <f>('[2]Bilan 2035 AMS'!$U$22+'[2]Bilan 2035 AMS'!$U$30+SUM('[2]Bilan 2035 AMS'!$U$36:$U$40)+SUM('[2]Bilan 2035 AMS'!$U$44:$U$45)+'[2]Bilan 2035 AMS'!$U$47)/11.63</f>
        <v>12.828509585335674</v>
      </c>
      <c r="S95" s="95">
        <f t="shared" si="23"/>
        <v>28.097285336902004</v>
      </c>
      <c r="U95" s="149" t="s">
        <v>24</v>
      </c>
      <c r="V95" t="s">
        <v>410</v>
      </c>
      <c r="W95" t="s">
        <v>411</v>
      </c>
      <c r="X95" t="s">
        <v>412</v>
      </c>
      <c r="Y95" t="s">
        <v>413</v>
      </c>
      <c r="Z95" s="16">
        <v>1.011422864</v>
      </c>
      <c r="AA95" s="16">
        <v>4.9297126459999996</v>
      </c>
      <c r="AB95" s="16">
        <v>17.732142809999999</v>
      </c>
      <c r="AC95" s="16">
        <v>6.3744285349999998</v>
      </c>
      <c r="AD95" s="95">
        <v>30.047706854999998</v>
      </c>
    </row>
    <row r="96" spans="2:30" s="3" customFormat="1" x14ac:dyDescent="0.25">
      <c r="B96" s="60"/>
      <c r="C96" s="149" t="s">
        <v>47</v>
      </c>
      <c r="D96" t="s">
        <v>414</v>
      </c>
      <c r="E96" t="s">
        <v>415</v>
      </c>
      <c r="F96" t="s">
        <v>416</v>
      </c>
      <c r="G96" t="s">
        <v>417</v>
      </c>
      <c r="H96" s="16">
        <f>VLOOKUP(D96,Résultats!$B$2:$AX$476,'T energie vecteurs'!T5,FALSE)</f>
        <v>0.89545709799999995</v>
      </c>
      <c r="I96" s="16">
        <f>VLOOKUP(E96,Résultats!$B$2:$AX$476,'T energie vecteurs'!T5,FALSE)</f>
        <v>2.185801498</v>
      </c>
      <c r="J96" s="16">
        <f>VLOOKUP(F96,Résultats!$B$2:$AX$476,'T energie vecteurs'!T5,FALSE)</f>
        <v>0</v>
      </c>
      <c r="K96" s="16">
        <f>VLOOKUP(G96,Résultats!$B$2:$AX$476,'T energie vecteurs'!T5,FALSE)</f>
        <v>2.113039069</v>
      </c>
      <c r="L96" s="95">
        <f t="shared" si="22"/>
        <v>5.1942976650000006</v>
      </c>
      <c r="N96" s="149" t="s">
        <v>47</v>
      </c>
      <c r="O96" s="22">
        <f>'[2]Bilan 2035 AMS'!$E$52/11.63</f>
        <v>0.97518154154127257</v>
      </c>
      <c r="P96" s="16">
        <f>('[2]Bilan 2035 AMS'!$E$54+'[2]Bilan 2035 AMS'!$E$56)/11.63</f>
        <v>10.401711719980522</v>
      </c>
      <c r="Q96" s="16">
        <v>0</v>
      </c>
      <c r="R96" s="16">
        <f>('[2]Bilan 2035 AMS'!$E$53+'[2]Bilan 2035 AMS'!$E$55+'[2]Bilan 2035 AMS'!$E$57)/11.63</f>
        <v>2.7422854052320145</v>
      </c>
      <c r="S96" s="95">
        <f t="shared" si="23"/>
        <v>14.119178666753809</v>
      </c>
      <c r="U96" s="149" t="s">
        <v>47</v>
      </c>
      <c r="V96" t="s">
        <v>414</v>
      </c>
      <c r="W96" t="s">
        <v>415</v>
      </c>
      <c r="X96" t="s">
        <v>416</v>
      </c>
      <c r="Y96" t="s">
        <v>417</v>
      </c>
      <c r="Z96" s="16">
        <v>0.89277012560000002</v>
      </c>
      <c r="AA96" s="16">
        <v>2.1884527309999999</v>
      </c>
      <c r="AB96" s="16">
        <v>0</v>
      </c>
      <c r="AC96" s="16">
        <v>2.1169390109999999</v>
      </c>
      <c r="AD96" s="95">
        <v>5.1981618675999997</v>
      </c>
    </row>
    <row r="97" spans="2:30" s="3" customFormat="1" x14ac:dyDescent="0.25">
      <c r="B97" s="60"/>
      <c r="C97" s="149" t="s">
        <v>25</v>
      </c>
      <c r="D97" t="s">
        <v>418</v>
      </c>
      <c r="E97" t="s">
        <v>419</v>
      </c>
      <c r="F97" t="s">
        <v>420</v>
      </c>
      <c r="G97" t="s">
        <v>421</v>
      </c>
      <c r="H97" s="16">
        <f>VLOOKUP(D97,Résultats!$B$2:$AX$476,'T energie vecteurs'!T5,FALSE)</f>
        <v>0</v>
      </c>
      <c r="I97" s="16">
        <f>VLOOKUP(E97,Résultats!$B$2:$AX$476,'T energie vecteurs'!T5,FALSE)</f>
        <v>2.8889881989999999</v>
      </c>
      <c r="J97" s="16">
        <f>VLOOKUP(F97,Résultats!$B$2:$AX$476,'T energie vecteurs'!T5,FALSE)</f>
        <v>0.37189372069999999</v>
      </c>
      <c r="K97" s="16">
        <f>VLOOKUP(G97,Résultats!$B$2:$AX$476,'T energie vecteurs'!T5,FALSE)</f>
        <v>0.48494765239999998</v>
      </c>
      <c r="L97" s="95">
        <f t="shared" si="22"/>
        <v>3.7458295720999999</v>
      </c>
      <c r="N97" s="150" t="s">
        <v>25</v>
      </c>
      <c r="O97" s="29">
        <f>'[2]Bilan 2035 AMS'!$T$46/11.63</f>
        <v>0</v>
      </c>
      <c r="P97" s="28">
        <f>SUM('[2]Bilan 2035 AMS'!$T$41:$T$43)/11.63</f>
        <v>2.6634240155513398</v>
      </c>
      <c r="Q97" s="28">
        <f>'[2]Bilan 2035 AMS'!$T$13/11.63</f>
        <v>0.59083250678331611</v>
      </c>
      <c r="R97" s="28">
        <f>('[2]Bilan 2035 AMS'!$T$22+'[2]Bilan 2035 AMS'!$T$30+SUM('[2]Bilan 2035 AMS'!$T$36:$T$40)+SUM('[2]Bilan 2035 AMS'!$T$44:$T$45)+'[2]Bilan 2035 AMS'!$T$47)/11.63</f>
        <v>0.57839341838434266</v>
      </c>
      <c r="S97" s="142">
        <f t="shared" si="23"/>
        <v>3.8326499407189987</v>
      </c>
      <c r="U97" s="149" t="s">
        <v>25</v>
      </c>
      <c r="V97" t="s">
        <v>418</v>
      </c>
      <c r="W97" t="s">
        <v>419</v>
      </c>
      <c r="X97" t="s">
        <v>420</v>
      </c>
      <c r="Y97" t="s">
        <v>421</v>
      </c>
      <c r="Z97" s="16">
        <v>0</v>
      </c>
      <c r="AA97" s="16">
        <v>2.886555596</v>
      </c>
      <c r="AB97" s="16">
        <v>0.37140503180000001</v>
      </c>
      <c r="AC97" s="16">
        <v>0.4854967503</v>
      </c>
      <c r="AD97" s="95">
        <v>3.7434573781</v>
      </c>
    </row>
    <row r="98" spans="2:30" s="3" customFormat="1" x14ac:dyDescent="0.25">
      <c r="B98" s="60"/>
      <c r="C98" s="23" t="s">
        <v>26</v>
      </c>
      <c r="D98" s="10"/>
      <c r="E98" s="10"/>
      <c r="F98" s="10"/>
      <c r="G98" s="10"/>
      <c r="H98" s="9">
        <f>SUM(H89,H92:H94)</f>
        <v>2.1210357061000003</v>
      </c>
      <c r="I98" s="9">
        <f>SUM(I89,I92:I94)</f>
        <v>44.801444845999995</v>
      </c>
      <c r="J98" s="9">
        <f>SUM(J89,J92:J94)</f>
        <v>47.400804767700002</v>
      </c>
      <c r="K98" s="9">
        <f>SUM(K89,K92:K94)</f>
        <v>45.220759581079399</v>
      </c>
      <c r="L98" s="98">
        <f t="shared" si="22"/>
        <v>139.54404490087938</v>
      </c>
      <c r="N98" s="151" t="s">
        <v>26</v>
      </c>
      <c r="O98" s="32">
        <f>O89+O92+O93+O94+O97</f>
        <v>1.2895605785735207</v>
      </c>
      <c r="P98" s="31">
        <f>P89+P92+P93+P94+P97</f>
        <v>35.823426903229986</v>
      </c>
      <c r="Q98" s="31">
        <f>Q89+Q92+Q93+Q94+Q97</f>
        <v>44.160115024191072</v>
      </c>
      <c r="R98" s="31">
        <f>R89+R92+R93+R94+R97</f>
        <v>43.824179180950857</v>
      </c>
      <c r="S98" s="144">
        <f t="shared" si="23"/>
        <v>125.09728168694545</v>
      </c>
      <c r="U98" s="23" t="s">
        <v>26</v>
      </c>
      <c r="V98" s="10"/>
      <c r="W98" s="10"/>
      <c r="X98" s="10"/>
      <c r="Y98" s="10"/>
      <c r="Z98" s="9">
        <v>2.1084971576</v>
      </c>
      <c r="AA98" s="9">
        <v>44.306888832999995</v>
      </c>
      <c r="AB98" s="9">
        <v>47.273377146800001</v>
      </c>
      <c r="AC98" s="9">
        <v>44.478615857872903</v>
      </c>
      <c r="AD98" s="98">
        <v>138.16737899527291</v>
      </c>
    </row>
    <row r="99" spans="2:30" s="3" customFormat="1" x14ac:dyDescent="0.25">
      <c r="B99" s="60"/>
      <c r="K99" s="47"/>
      <c r="AC99" s="47"/>
    </row>
    <row r="100" spans="2:30" s="3" customFormat="1" x14ac:dyDescent="0.25">
      <c r="B100" s="60"/>
      <c r="K100" s="47"/>
      <c r="AC100" s="47"/>
    </row>
    <row r="101" spans="2:30" ht="31.5" x14ac:dyDescent="0.35">
      <c r="C101" s="145">
        <v>2040</v>
      </c>
      <c r="D101" s="146"/>
      <c r="E101" s="146"/>
      <c r="F101" s="146"/>
      <c r="G101" s="146"/>
      <c r="H101" s="76" t="s">
        <v>36</v>
      </c>
      <c r="I101" s="76" t="s">
        <v>49</v>
      </c>
      <c r="J101" s="76" t="s">
        <v>38</v>
      </c>
      <c r="K101" s="76" t="s">
        <v>48</v>
      </c>
      <c r="L101" s="93" t="s">
        <v>1</v>
      </c>
      <c r="M101" s="19"/>
      <c r="N101" s="145">
        <v>2040</v>
      </c>
      <c r="O101" s="141" t="s">
        <v>36</v>
      </c>
      <c r="P101" s="76" t="s">
        <v>49</v>
      </c>
      <c r="Q101" s="76" t="s">
        <v>38</v>
      </c>
      <c r="R101" s="76" t="s">
        <v>48</v>
      </c>
      <c r="S101" s="93" t="s">
        <v>1</v>
      </c>
      <c r="T101" s="19"/>
      <c r="U101">
        <v>2040</v>
      </c>
      <c r="Z101" t="s">
        <v>36</v>
      </c>
      <c r="AA101" t="s">
        <v>49</v>
      </c>
      <c r="AB101" t="s">
        <v>38</v>
      </c>
      <c r="AC101" t="s">
        <v>48</v>
      </c>
      <c r="AD101" t="s">
        <v>1</v>
      </c>
    </row>
    <row r="102" spans="2:30" x14ac:dyDescent="0.25">
      <c r="C102" s="147" t="s">
        <v>18</v>
      </c>
      <c r="H102" s="8">
        <f>SUM(H103:H104)</f>
        <v>0</v>
      </c>
      <c r="I102" s="8">
        <f>SUM(I103:I104)</f>
        <v>22.166581163</v>
      </c>
      <c r="J102" s="8">
        <f>SUM(J103:J104)</f>
        <v>8.0228248779999998</v>
      </c>
      <c r="K102" s="8">
        <f>SUM(K103:K104)</f>
        <v>1.4378741296955999</v>
      </c>
      <c r="L102" s="96">
        <f t="shared" ref="L102:L111" si="25">SUM(H102:K102)</f>
        <v>31.627280170695599</v>
      </c>
      <c r="M102" s="75"/>
      <c r="N102" s="150" t="s">
        <v>18</v>
      </c>
      <c r="O102" s="29">
        <f>'[2]Bilan 2040 AMS'!$X$46/11.63</f>
        <v>0</v>
      </c>
      <c r="P102" s="28">
        <f>SUM('[2]Bilan 2040 AMS'!$X$41:$X$43)/11.63</f>
        <v>12.191717043104701</v>
      </c>
      <c r="Q102" s="28">
        <f>'[2]Bilan 2040 AMS'!$X$13/11.63</f>
        <v>8.0404185135153163</v>
      </c>
      <c r="R102" s="28">
        <f>('[2]Bilan 2040 AMS'!$X$22+'[2]Bilan 2040 AMS'!$X$30+SUM('[2]Bilan 2040 AMS'!$X$36:$X$40)+SUM('[2]Bilan 2040 AMS'!$X$44:$X$45)+'[2]Bilan 2040 AMS'!$X$47)/11.63</f>
        <v>1.0858470087569896</v>
      </c>
      <c r="S102" s="142">
        <f>SUM(O102:R102)</f>
        <v>21.317982565377005</v>
      </c>
      <c r="T102" s="75"/>
      <c r="U102" t="s">
        <v>18</v>
      </c>
      <c r="Z102">
        <v>0</v>
      </c>
      <c r="AA102">
        <v>22.173296151000002</v>
      </c>
      <c r="AB102">
        <v>8.025870298000001</v>
      </c>
      <c r="AC102">
        <v>1.4395362096193001</v>
      </c>
      <c r="AD102">
        <v>31.638702658619302</v>
      </c>
    </row>
    <row r="103" spans="2:30" x14ac:dyDescent="0.25">
      <c r="C103" s="148" t="s">
        <v>19</v>
      </c>
      <c r="D103" t="s">
        <v>394</v>
      </c>
      <c r="E103" t="s">
        <v>395</v>
      </c>
      <c r="F103" t="s">
        <v>396</v>
      </c>
      <c r="G103" t="s">
        <v>397</v>
      </c>
      <c r="H103" s="16">
        <f>VLOOKUP(D103,Résultats!$B$2:$AX$476,'T energie vecteurs'!U5,FALSE)</f>
        <v>0</v>
      </c>
      <c r="I103" s="16">
        <f>VLOOKUP(E103,Résultats!$B$2:$AX$476,'T energie vecteurs'!U5,FALSE)</f>
        <v>9.9723820930000002</v>
      </c>
      <c r="J103" s="16">
        <f>VLOOKUP(F103,Résultats!$B$2:$AX$476,'T energie vecteurs'!U5,FALSE)</f>
        <v>2.542516333</v>
      </c>
      <c r="K103" s="16">
        <f>VLOOKUP(G103,Résultats!$B$2:$AX$476,'T energie vecteurs'!U5,FALSE)</f>
        <v>1.5886695600000001E-5</v>
      </c>
      <c r="L103" s="95">
        <f t="shared" si="25"/>
        <v>12.5149143126956</v>
      </c>
      <c r="M103" s="16"/>
      <c r="N103" s="148" t="s">
        <v>19</v>
      </c>
      <c r="O103" s="143"/>
      <c r="P103" s="16"/>
      <c r="Q103" s="34"/>
      <c r="R103" s="16"/>
      <c r="S103" s="95"/>
      <c r="T103" s="16"/>
      <c r="U103" t="s">
        <v>19</v>
      </c>
      <c r="V103" t="s">
        <v>394</v>
      </c>
      <c r="W103" t="s">
        <v>395</v>
      </c>
      <c r="X103" t="s">
        <v>396</v>
      </c>
      <c r="Y103" t="s">
        <v>397</v>
      </c>
      <c r="Z103">
        <v>0</v>
      </c>
      <c r="AA103">
        <v>9.9664253110000001</v>
      </c>
      <c r="AB103">
        <v>2.5419141139999999</v>
      </c>
      <c r="AC103">
        <v>1.58426193E-5</v>
      </c>
      <c r="AD103">
        <v>12.508355267619299</v>
      </c>
    </row>
    <row r="104" spans="2:30" x14ac:dyDescent="0.25">
      <c r="C104" s="149" t="s">
        <v>20</v>
      </c>
      <c r="D104" t="s">
        <v>398</v>
      </c>
      <c r="E104" t="s">
        <v>399</v>
      </c>
      <c r="F104" t="s">
        <v>400</v>
      </c>
      <c r="G104" t="s">
        <v>401</v>
      </c>
      <c r="H104" s="16">
        <f>VLOOKUP(D104,Résultats!$B$2:$AX$476,'T energie vecteurs'!U5,FALSE)</f>
        <v>0</v>
      </c>
      <c r="I104" s="16">
        <f>VLOOKUP(E104,Résultats!$B$2:$AX$476,'T energie vecteurs'!U5,FALSE)</f>
        <v>12.19419907</v>
      </c>
      <c r="J104" s="16">
        <f>VLOOKUP(F104,Résultats!$B$2:$AX$476,'T energie vecteurs'!U5,FALSE)</f>
        <v>5.4803085449999998</v>
      </c>
      <c r="K104" s="16">
        <f>VLOOKUP(G104,Résultats!$B$2:$AX$476,'T energie vecteurs'!U5,FALSE)</f>
        <v>1.437858243</v>
      </c>
      <c r="L104" s="95">
        <f t="shared" si="25"/>
        <v>19.112365858</v>
      </c>
      <c r="M104" s="16"/>
      <c r="N104" s="149" t="s">
        <v>20</v>
      </c>
      <c r="O104" s="143"/>
      <c r="P104" s="16"/>
      <c r="Q104" s="34"/>
      <c r="R104" s="16"/>
      <c r="S104" s="95"/>
      <c r="T104" s="16"/>
      <c r="U104" t="s">
        <v>20</v>
      </c>
      <c r="V104" t="s">
        <v>398</v>
      </c>
      <c r="W104" t="s">
        <v>399</v>
      </c>
      <c r="X104" t="s">
        <v>400</v>
      </c>
      <c r="Y104" t="s">
        <v>401</v>
      </c>
      <c r="Z104">
        <v>0</v>
      </c>
      <c r="AA104">
        <v>12.206870840000001</v>
      </c>
      <c r="AB104">
        <v>5.4839561840000002</v>
      </c>
      <c r="AC104">
        <v>1.4395203670000001</v>
      </c>
      <c r="AD104">
        <v>19.130347391000001</v>
      </c>
    </row>
    <row r="105" spans="2:30" x14ac:dyDescent="0.25">
      <c r="C105" s="147" t="s">
        <v>21</v>
      </c>
      <c r="D105" t="s">
        <v>402</v>
      </c>
      <c r="E105" t="s">
        <v>403</v>
      </c>
      <c r="F105" t="s">
        <v>404</v>
      </c>
      <c r="G105" t="s">
        <v>405</v>
      </c>
      <c r="H105" s="8">
        <f>VLOOKUP(D105,Résultats!$B$2:$AX$476,'T energie vecteurs'!U5,FALSE)</f>
        <v>0.1880616799</v>
      </c>
      <c r="I105" s="294">
        <f>VLOOKUP(E105,Résultats!$B$2:$AX$476,'T energie vecteurs'!U5,FALSE)</f>
        <v>3.998515899</v>
      </c>
      <c r="J105" s="8">
        <f>VLOOKUP(F105,Résultats!$B$2:$AX$476,'T energie vecteurs'!U5,FALSE)</f>
        <v>14.28793937</v>
      </c>
      <c r="K105" s="8">
        <f>VLOOKUP(G105,Résultats!$B$2:$AX$476,'T energie vecteurs'!U5,FALSE)+8</f>
        <v>20.715079080000002</v>
      </c>
      <c r="L105" s="96">
        <f t="shared" si="25"/>
        <v>39.189596028899999</v>
      </c>
      <c r="M105" s="75"/>
      <c r="N105" s="150" t="s">
        <v>21</v>
      </c>
      <c r="O105" s="29">
        <f>'[2]Bilan 2040 AMS'!$V$46/11.63</f>
        <v>0</v>
      </c>
      <c r="P105" s="28">
        <f>SUM('[2]Bilan 2040 AMS'!$V$41:$V$43)/11.63</f>
        <v>6.1040227141625304E-2</v>
      </c>
      <c r="Q105" s="28">
        <f>'[2]Bilan 2040 AMS'!$V$13/11.63</f>
        <v>13.209596020840994</v>
      </c>
      <c r="R105" s="28">
        <f>('[2]Bilan 2040 AMS'!$V$22+'[2]Bilan 2040 AMS'!$V$30+SUM('[2]Bilan 2040 AMS'!$V$36:$V$40)+SUM('[2]Bilan 2040 AMS'!$V$44:$V$45)+'[2]Bilan 2040 AMS'!$V$47)/11.63</f>
        <v>17.347844556605228</v>
      </c>
      <c r="S105" s="142">
        <f t="shared" ref="S105:S111" si="26">SUM(O105:R105)</f>
        <v>30.618480804587847</v>
      </c>
      <c r="T105" s="75"/>
      <c r="U105" t="s">
        <v>21</v>
      </c>
      <c r="V105" t="s">
        <v>402</v>
      </c>
      <c r="W105" t="s">
        <v>403</v>
      </c>
      <c r="X105" t="s">
        <v>404</v>
      </c>
      <c r="Y105" t="s">
        <v>405</v>
      </c>
      <c r="Z105">
        <v>0.18364663959999999</v>
      </c>
      <c r="AA105">
        <v>3.5642226130000001</v>
      </c>
      <c r="AB105">
        <v>14.31692441</v>
      </c>
      <c r="AC105">
        <v>20.128666680000002</v>
      </c>
      <c r="AD105">
        <v>38.193460342600005</v>
      </c>
    </row>
    <row r="106" spans="2:30" x14ac:dyDescent="0.25">
      <c r="C106" s="147" t="s">
        <v>22</v>
      </c>
      <c r="D106" t="s">
        <v>406</v>
      </c>
      <c r="E106" t="s">
        <v>407</v>
      </c>
      <c r="F106" t="s">
        <v>408</v>
      </c>
      <c r="G106" t="s">
        <v>409</v>
      </c>
      <c r="H106" s="8">
        <f>VLOOKUP(D106,Résultats!$B$2:$AX$476,'T energie vecteurs'!U5,FALSE)</f>
        <v>0</v>
      </c>
      <c r="I106" s="8">
        <f>VLOOKUP(E106,Résultats!$B$2:$AX$476,'T energie vecteurs'!U5,FALSE)</f>
        <v>1.3715755709999999</v>
      </c>
      <c r="J106" s="8">
        <f>VLOOKUP(F106,Résultats!$B$2:$AX$476,'T energie vecteurs'!U5,FALSE)</f>
        <v>9.0865073879999905</v>
      </c>
      <c r="K106" s="8">
        <f>VLOOKUP(G106,Résultats!$B$2:$AX$476,'T energie vecteurs'!U5,FALSE)</f>
        <v>11.70730221</v>
      </c>
      <c r="L106" s="96">
        <f t="shared" si="25"/>
        <v>22.16538516899999</v>
      </c>
      <c r="M106" s="75"/>
      <c r="N106" s="150" t="s">
        <v>22</v>
      </c>
      <c r="O106" s="29">
        <f>('[2]Bilan 2040 AMS'!$W$46)/11.63</f>
        <v>0</v>
      </c>
      <c r="P106" s="28">
        <f>SUM('[2]Bilan 2040 AMS'!$W$41:$W$43)/11.63</f>
        <v>6.3880432315261901E-2</v>
      </c>
      <c r="Q106" s="28">
        <f>('[2]Bilan 2040 AMS'!$W$13)/11.63</f>
        <v>10.029414757557689</v>
      </c>
      <c r="R106" s="28">
        <f>('[2]Bilan 2040 AMS'!$W$22+'[2]Bilan 2040 AMS'!$W$30+SUM('[2]Bilan 2040 AMS'!$W$36:$W$40)+SUM('[2]Bilan 2040 AMS'!$W$44:$W$45)+'[2]Bilan 2040 AMS'!$W$47)/11.63</f>
        <v>7.8410614287588816</v>
      </c>
      <c r="S106" s="142">
        <f t="shared" si="26"/>
        <v>17.934356618631831</v>
      </c>
      <c r="T106" s="75"/>
      <c r="U106" t="s">
        <v>22</v>
      </c>
      <c r="V106" t="s">
        <v>406</v>
      </c>
      <c r="W106" t="s">
        <v>407</v>
      </c>
      <c r="X106" t="s">
        <v>408</v>
      </c>
      <c r="Y106" t="s">
        <v>409</v>
      </c>
      <c r="Z106">
        <v>0</v>
      </c>
      <c r="AA106">
        <v>1.368255284</v>
      </c>
      <c r="AB106">
        <v>9.0700102929999904</v>
      </c>
      <c r="AC106">
        <v>11.745979070000001</v>
      </c>
      <c r="AD106">
        <v>22.184244646999993</v>
      </c>
    </row>
    <row r="107" spans="2:30" x14ac:dyDescent="0.25">
      <c r="C107" s="147" t="s">
        <v>23</v>
      </c>
      <c r="H107" s="8">
        <f>SUM(H108:H110)</f>
        <v>2.0091970226</v>
      </c>
      <c r="I107" s="8">
        <f>SUM(I108:I110)</f>
        <v>11.062974412999999</v>
      </c>
      <c r="J107" s="8">
        <f>SUM(J108:J110)</f>
        <v>19.149214300699999</v>
      </c>
      <c r="K107" s="8">
        <f>SUM(K108:K110)</f>
        <v>9.7726710705999995</v>
      </c>
      <c r="L107" s="96">
        <f t="shared" si="25"/>
        <v>41.994056806899998</v>
      </c>
      <c r="M107" s="75"/>
      <c r="N107" s="150" t="s">
        <v>490</v>
      </c>
      <c r="O107" s="29">
        <f>O108+O109</f>
        <v>1.1470880379308943</v>
      </c>
      <c r="P107" s="28">
        <f t="shared" ref="P107:R107" si="27">P108+P109</f>
        <v>10.34609820525753</v>
      </c>
      <c r="Q107" s="28">
        <f t="shared" si="27"/>
        <v>15.232489488749787</v>
      </c>
      <c r="R107" s="28">
        <f t="shared" si="27"/>
        <v>16.48108085677471</v>
      </c>
      <c r="S107" s="142">
        <f t="shared" si="26"/>
        <v>43.206756588712921</v>
      </c>
      <c r="T107" s="75"/>
      <c r="U107" t="s">
        <v>23</v>
      </c>
      <c r="Z107">
        <v>2.0091621229000003</v>
      </c>
      <c r="AA107">
        <v>11.047622528</v>
      </c>
      <c r="AB107">
        <v>19.1305150809</v>
      </c>
      <c r="AC107">
        <v>9.7759855516999981</v>
      </c>
      <c r="AD107">
        <v>41.963285283499992</v>
      </c>
    </row>
    <row r="108" spans="2:30" x14ac:dyDescent="0.25">
      <c r="C108" s="149" t="s">
        <v>24</v>
      </c>
      <c r="D108" t="s">
        <v>410</v>
      </c>
      <c r="E108" t="s">
        <v>411</v>
      </c>
      <c r="F108" t="s">
        <v>412</v>
      </c>
      <c r="G108" t="s">
        <v>413</v>
      </c>
      <c r="H108" s="16">
        <f>VLOOKUP(D108,Résultats!$B$2:$AX$476,'T energie vecteurs'!U5,FALSE)</f>
        <v>1.0879206969999999</v>
      </c>
      <c r="I108" s="16">
        <f>VLOOKUP(E108,Résultats!$B$2:$AX$476,'T energie vecteurs'!U5,FALSE)</f>
        <v>5.5586441510000002</v>
      </c>
      <c r="J108" s="16">
        <f>VLOOKUP(F108,Résultats!$B$2:$AX$476,'T energie vecteurs'!U5,FALSE)</f>
        <v>18.746616029999998</v>
      </c>
      <c r="K108" s="16">
        <f>VLOOKUP(G108,Résultats!$B$2:$AX$476,'T energie vecteurs'!U5,FALSE)</f>
        <v>7.0018999669999999</v>
      </c>
      <c r="L108" s="95">
        <f t="shared" si="25"/>
        <v>32.395080844999995</v>
      </c>
      <c r="M108" s="16"/>
      <c r="N108" s="149" t="s">
        <v>491</v>
      </c>
      <c r="O108" s="143">
        <f>'[2]Bilan 2040 AMS'!$U$46/11.63</f>
        <v>0.23928972873592452</v>
      </c>
      <c r="P108" s="30">
        <f>SUM('[2]Bilan 2040 AMS'!$U$41:$U$43)/11.63</f>
        <v>0.69055770755550139</v>
      </c>
      <c r="Q108" s="30">
        <f>'[2]Bilan 2040 AMS'!$U$13/11.63</f>
        <v>15.232489488749787</v>
      </c>
      <c r="R108" s="30">
        <f>('[2]Bilan 2040 AMS'!$U$22+'[2]Bilan 2040 AMS'!$U$30+SUM('[2]Bilan 2040 AMS'!$U$36:$U$40)+SUM('[2]Bilan 2040 AMS'!$U$44:$U$45)+'[2]Bilan 2040 AMS'!$U$47)/11.63</f>
        <v>12.396061534712597</v>
      </c>
      <c r="S108" s="95">
        <f t="shared" si="26"/>
        <v>28.558398459753811</v>
      </c>
      <c r="T108" s="16"/>
      <c r="U108" t="s">
        <v>24</v>
      </c>
      <c r="V108" t="s">
        <v>410</v>
      </c>
      <c r="W108" t="s">
        <v>411</v>
      </c>
      <c r="X108" t="s">
        <v>412</v>
      </c>
      <c r="Y108" t="s">
        <v>413</v>
      </c>
      <c r="Z108">
        <v>1.089580529</v>
      </c>
      <c r="AA108">
        <v>5.5362016049999996</v>
      </c>
      <c r="AB108">
        <v>18.727916199999999</v>
      </c>
      <c r="AC108">
        <v>6.9970548309999998</v>
      </c>
      <c r="AD108">
        <v>32.350753165</v>
      </c>
    </row>
    <row r="109" spans="2:30" x14ac:dyDescent="0.25">
      <c r="C109" s="149" t="s">
        <v>47</v>
      </c>
      <c r="D109" t="s">
        <v>414</v>
      </c>
      <c r="E109" t="s">
        <v>415</v>
      </c>
      <c r="F109" t="s">
        <v>416</v>
      </c>
      <c r="G109" t="s">
        <v>417</v>
      </c>
      <c r="H109" s="16">
        <f>VLOOKUP(D109,Résultats!$B$2:$AX$476,'T energie vecteurs'!U5,FALSE)</f>
        <v>0.92127632559999995</v>
      </c>
      <c r="I109" s="16">
        <f>VLOOKUP(E109,Résultats!$B$2:$AX$476,'T energie vecteurs'!U5,FALSE)</f>
        <v>2.3447475849999999</v>
      </c>
      <c r="J109" s="16">
        <f>VLOOKUP(F109,Résultats!$B$2:$AX$476,'T energie vecteurs'!U5,FALSE)</f>
        <v>0</v>
      </c>
      <c r="K109" s="16">
        <f>VLOOKUP(G109,Résultats!$B$2:$AX$476,'T energie vecteurs'!U5,FALSE)</f>
        <v>2.2612446469999998</v>
      </c>
      <c r="L109" s="95">
        <f t="shared" si="25"/>
        <v>5.5272685575999994</v>
      </c>
      <c r="M109" s="16"/>
      <c r="N109" s="149" t="s">
        <v>47</v>
      </c>
      <c r="O109" s="22">
        <f>'[2]Bilan 2040 AMS'!$E$52/11.63</f>
        <v>0.90779830919496984</v>
      </c>
      <c r="P109" s="16">
        <f>('[2]Bilan 2040 AMS'!$E$54+'[2]Bilan 2040 AMS'!$E$56)/11.63</f>
        <v>9.6555404977020274</v>
      </c>
      <c r="Q109" s="16">
        <v>0</v>
      </c>
      <c r="R109" s="16">
        <f>('[2]Bilan 2040 AMS'!$E$53+'[2]Bilan 2040 AMS'!$E$55+'[2]Bilan 2040 AMS'!$E$57)/11.63</f>
        <v>4.0850193220621129</v>
      </c>
      <c r="S109" s="95">
        <f t="shared" si="26"/>
        <v>14.64835812895911</v>
      </c>
      <c r="T109" s="16"/>
      <c r="U109" t="s">
        <v>47</v>
      </c>
      <c r="V109" t="s">
        <v>414</v>
      </c>
      <c r="W109" t="s">
        <v>415</v>
      </c>
      <c r="X109" t="s">
        <v>416</v>
      </c>
      <c r="Y109" t="s">
        <v>417</v>
      </c>
      <c r="Z109">
        <v>0.91958159390000005</v>
      </c>
      <c r="AA109">
        <v>2.350646652</v>
      </c>
      <c r="AB109">
        <v>0</v>
      </c>
      <c r="AC109">
        <v>2.2683506979999999</v>
      </c>
      <c r="AD109">
        <v>5.5385789439000002</v>
      </c>
    </row>
    <row r="110" spans="2:30" x14ac:dyDescent="0.25">
      <c r="C110" s="149" t="s">
        <v>25</v>
      </c>
      <c r="D110" t="s">
        <v>418</v>
      </c>
      <c r="E110" t="s">
        <v>419</v>
      </c>
      <c r="F110" t="s">
        <v>420</v>
      </c>
      <c r="G110" t="s">
        <v>421</v>
      </c>
      <c r="H110" s="16">
        <f>VLOOKUP(D110,Résultats!$B$2:$AX$476,'T energie vecteurs'!U5,FALSE)</f>
        <v>0</v>
      </c>
      <c r="I110" s="16">
        <f>VLOOKUP(E110,Résultats!$B$2:$AX$476,'T energie vecteurs'!U5,FALSE)</f>
        <v>3.159582677</v>
      </c>
      <c r="J110" s="16">
        <f>VLOOKUP(F110,Résultats!$B$2:$AX$476,'T energie vecteurs'!U5,FALSE)</f>
        <v>0.40259827069999998</v>
      </c>
      <c r="K110" s="16">
        <f>VLOOKUP(G110,Résultats!$B$2:$AX$476,'T energie vecteurs'!U5,FALSE)</f>
        <v>0.50952645659999996</v>
      </c>
      <c r="L110" s="95">
        <f t="shared" si="25"/>
        <v>4.0717074042999997</v>
      </c>
      <c r="M110" s="16"/>
      <c r="N110" s="150" t="s">
        <v>25</v>
      </c>
      <c r="O110" s="29">
        <f>'[2]Bilan 2040 AMS'!$T$46/11.63</f>
        <v>0</v>
      </c>
      <c r="P110" s="28">
        <f>SUM('[2]Bilan 2040 AMS'!$T$41:$T$43)/11.63</f>
        <v>2.2837204781323637</v>
      </c>
      <c r="Q110" s="28">
        <f>'[2]Bilan 2040 AMS'!$T$13/11.63</f>
        <v>0.59286024248158409</v>
      </c>
      <c r="R110" s="28">
        <f>('[2]Bilan 2040 AMS'!$T$22+'[2]Bilan 2040 AMS'!$T$30+SUM('[2]Bilan 2040 AMS'!$T$36:$T$40)+SUM('[2]Bilan 2040 AMS'!$T$44:$T$45)+'[2]Bilan 2040 AMS'!$T$47)/11.63</f>
        <v>0.65579878825779125</v>
      </c>
      <c r="S110" s="142">
        <f t="shared" si="26"/>
        <v>3.5323795088717391</v>
      </c>
      <c r="T110" s="16"/>
      <c r="U110" t="s">
        <v>25</v>
      </c>
      <c r="V110" t="s">
        <v>418</v>
      </c>
      <c r="W110" t="s">
        <v>419</v>
      </c>
      <c r="X110" t="s">
        <v>420</v>
      </c>
      <c r="Y110" t="s">
        <v>421</v>
      </c>
      <c r="Z110">
        <v>0</v>
      </c>
      <c r="AA110">
        <v>3.1607742710000002</v>
      </c>
      <c r="AB110">
        <v>0.40259888090000001</v>
      </c>
      <c r="AC110">
        <v>0.51058002270000002</v>
      </c>
      <c r="AD110">
        <v>4.0739531745999997</v>
      </c>
    </row>
    <row r="111" spans="2:30" x14ac:dyDescent="0.25">
      <c r="C111" s="23" t="s">
        <v>26</v>
      </c>
      <c r="D111" s="10"/>
      <c r="E111" s="10"/>
      <c r="F111" s="10"/>
      <c r="G111" s="10"/>
      <c r="H111" s="9">
        <f>SUM(H102,H105:H107)</f>
        <v>2.1972587025000001</v>
      </c>
      <c r="I111" s="9">
        <f>SUM(I102,I105:I107)</f>
        <v>38.599647046000001</v>
      </c>
      <c r="J111" s="9">
        <f>SUM(J102,J105:J107)</f>
        <v>50.546485936699987</v>
      </c>
      <c r="K111" s="9">
        <f>SUM(K102,K105:K107)</f>
        <v>43.632926490295603</v>
      </c>
      <c r="L111" s="98">
        <f t="shared" si="25"/>
        <v>134.97631817549558</v>
      </c>
      <c r="M111" s="79"/>
      <c r="N111" s="151" t="s">
        <v>26</v>
      </c>
      <c r="O111" s="32">
        <f>O102+O105+O106+O107+O110</f>
        <v>1.1470880379308943</v>
      </c>
      <c r="P111" s="31">
        <f>P102+P105+P106+P107+P110</f>
        <v>24.946456385951482</v>
      </c>
      <c r="Q111" s="31">
        <f>Q102+Q105+Q106+Q107+Q110</f>
        <v>47.104779023145369</v>
      </c>
      <c r="R111" s="31">
        <f>R102+R105+R106+R107+R110</f>
        <v>43.411632639153602</v>
      </c>
      <c r="S111" s="144">
        <f t="shared" si="26"/>
        <v>116.60995608618134</v>
      </c>
      <c r="T111" s="79"/>
      <c r="U111" t="s">
        <v>26</v>
      </c>
      <c r="Z111">
        <v>2.1928087625000003</v>
      </c>
      <c r="AA111">
        <v>38.153396575999999</v>
      </c>
      <c r="AB111">
        <v>50.543320081899992</v>
      </c>
      <c r="AC111">
        <v>43.090167511319301</v>
      </c>
      <c r="AD111">
        <v>133.97969293171928</v>
      </c>
    </row>
    <row r="112" spans="2:30" s="3" customFormat="1" x14ac:dyDescent="0.25"/>
    <row r="113" spans="3:30" s="3" customFormat="1" x14ac:dyDescent="0.25"/>
    <row r="114" spans="3:30" ht="31.5" x14ac:dyDescent="0.35">
      <c r="C114" s="145">
        <v>2050</v>
      </c>
      <c r="D114" s="146"/>
      <c r="E114" s="146"/>
      <c r="F114" s="146"/>
      <c r="G114" s="146"/>
      <c r="H114" s="76" t="s">
        <v>36</v>
      </c>
      <c r="I114" s="76" t="s">
        <v>49</v>
      </c>
      <c r="J114" s="76" t="s">
        <v>38</v>
      </c>
      <c r="K114" s="76" t="s">
        <v>48</v>
      </c>
      <c r="L114" s="93" t="s">
        <v>1</v>
      </c>
      <c r="M114" s="19"/>
      <c r="N114" s="145">
        <v>2050</v>
      </c>
      <c r="O114" s="141" t="s">
        <v>36</v>
      </c>
      <c r="P114" s="76" t="s">
        <v>49</v>
      </c>
      <c r="Q114" s="76" t="s">
        <v>38</v>
      </c>
      <c r="R114" s="76" t="s">
        <v>48</v>
      </c>
      <c r="S114" s="93" t="s">
        <v>1</v>
      </c>
      <c r="T114" s="19"/>
      <c r="U114" s="145">
        <v>2050</v>
      </c>
      <c r="V114" s="146"/>
      <c r="W114" s="146"/>
      <c r="X114" s="146"/>
      <c r="Y114" s="146"/>
      <c r="Z114" s="76" t="s">
        <v>36</v>
      </c>
      <c r="AA114" s="76" t="s">
        <v>49</v>
      </c>
      <c r="AB114" s="76" t="s">
        <v>38</v>
      </c>
      <c r="AC114" s="76" t="s">
        <v>48</v>
      </c>
      <c r="AD114" s="93" t="s">
        <v>1</v>
      </c>
    </row>
    <row r="115" spans="3:30" x14ac:dyDescent="0.25">
      <c r="C115" s="147" t="s">
        <v>18</v>
      </c>
      <c r="H115" s="8">
        <f>SUM(H116:H117)</f>
        <v>0</v>
      </c>
      <c r="I115" s="8">
        <f>SUM(I116:I117)</f>
        <v>14.382067224</v>
      </c>
      <c r="J115" s="8">
        <f>SUM(J116:J117)</f>
        <v>11.131136109</v>
      </c>
      <c r="K115" s="8">
        <f>SUM(K116:K117)</f>
        <v>2.0489019296934301</v>
      </c>
      <c r="L115" s="96">
        <f t="shared" ref="L115:L124" si="28">SUM(H115:K115)</f>
        <v>27.562105262693429</v>
      </c>
      <c r="M115" s="75"/>
      <c r="N115" s="150" t="s">
        <v>18</v>
      </c>
      <c r="O115" s="29">
        <f>'[2]Bilan 2050 AMS'!$X$46/11.63</f>
        <v>0</v>
      </c>
      <c r="P115" s="28">
        <f>SUM('[2]Bilan 2050 AMS'!$X$41:$X$43)/11.63</f>
        <v>2.2926536581471288</v>
      </c>
      <c r="Q115" s="28">
        <f>'[2]Bilan 2050 AMS'!$X$13/11.63</f>
        <v>10.137971706805169</v>
      </c>
      <c r="R115" s="28">
        <f>('[2]Bilan 2050 AMS'!$X$22+'[2]Bilan 2050 AMS'!$X$30+SUM('[2]Bilan 2050 AMS'!$X$36:$X$40)+SUM('[2]Bilan 2050 AMS'!$X$44:$X$45)+'[2]Bilan 2050 AMS'!$X$47)/11.63</f>
        <v>1.2737279691923438</v>
      </c>
      <c r="S115" s="142">
        <f>SUM(O115:R115)</f>
        <v>13.704353334144642</v>
      </c>
      <c r="T115" s="270"/>
      <c r="U115" s="147" t="s">
        <v>18</v>
      </c>
      <c r="Z115" s="8">
        <v>0</v>
      </c>
      <c r="AA115" s="8">
        <v>14.380311675000002</v>
      </c>
      <c r="AB115" s="8">
        <v>11.127366375000001</v>
      </c>
      <c r="AC115" s="8">
        <v>2.0485641441738198</v>
      </c>
      <c r="AD115" s="96">
        <v>27.556242194173823</v>
      </c>
    </row>
    <row r="116" spans="3:30" x14ac:dyDescent="0.25">
      <c r="C116" s="148" t="s">
        <v>19</v>
      </c>
      <c r="D116" t="s">
        <v>394</v>
      </c>
      <c r="E116" t="s">
        <v>395</v>
      </c>
      <c r="F116" t="s">
        <v>396</v>
      </c>
      <c r="G116" t="s">
        <v>397</v>
      </c>
      <c r="H116" s="16">
        <f>VLOOKUP(D116,Résultats!$B$2:$AX$476,'T energie vecteurs'!W5,FALSE)</f>
        <v>0</v>
      </c>
      <c r="I116" s="16">
        <f>VLOOKUP(E116,Résultats!$B$2:$AX$476,'T energie vecteurs'!W5,FALSE)</f>
        <v>5.0924899139999997</v>
      </c>
      <c r="J116" s="16">
        <f>VLOOKUP(F116,Résultats!$B$2:$AX$476,'T energie vecteurs'!W5,FALSE)</f>
        <v>3.4244822680000002</v>
      </c>
      <c r="K116" s="16">
        <f>VLOOKUP(G116,Résultats!$B$2:$AX$476,'T energie vecteurs'!W5,FALSE)</f>
        <v>8.1146934300000005E-6</v>
      </c>
      <c r="L116" s="95">
        <f>SUM(H116:K116)</f>
        <v>8.5169802966934292</v>
      </c>
      <c r="M116" s="16"/>
      <c r="N116" s="148" t="s">
        <v>19</v>
      </c>
      <c r="O116" s="143"/>
      <c r="P116" s="16"/>
      <c r="Q116" s="34"/>
      <c r="R116" s="16"/>
      <c r="S116" s="95"/>
      <c r="T116" s="270"/>
      <c r="U116" s="148" t="s">
        <v>19</v>
      </c>
      <c r="V116" t="s">
        <v>394</v>
      </c>
      <c r="W116" t="s">
        <v>395</v>
      </c>
      <c r="X116" t="s">
        <v>396</v>
      </c>
      <c r="Y116" t="s">
        <v>397</v>
      </c>
      <c r="Z116" s="16">
        <v>0</v>
      </c>
      <c r="AA116" s="16">
        <v>5.0894480409999998</v>
      </c>
      <c r="AB116" s="16">
        <v>3.423026374</v>
      </c>
      <c r="AC116" s="16">
        <v>8.0921738200000005E-6</v>
      </c>
      <c r="AD116" s="95">
        <v>8.5124825071738197</v>
      </c>
    </row>
    <row r="117" spans="3:30" x14ac:dyDescent="0.25">
      <c r="C117" s="149" t="s">
        <v>20</v>
      </c>
      <c r="D117" t="s">
        <v>398</v>
      </c>
      <c r="E117" t="s">
        <v>399</v>
      </c>
      <c r="F117" t="s">
        <v>400</v>
      </c>
      <c r="G117" t="s">
        <v>401</v>
      </c>
      <c r="H117" s="16">
        <f>VLOOKUP(D117,Résultats!$B$2:$AX$476,'T energie vecteurs'!W5,FALSE)</f>
        <v>0</v>
      </c>
      <c r="I117" s="34">
        <f>VLOOKUP(E117,Résultats!$B$2:$AX$476,'T energie vecteurs'!W5,FALSE)</f>
        <v>9.2895773100000003</v>
      </c>
      <c r="J117" s="16">
        <f>VLOOKUP(F117,Résultats!$B$2:$AX$476,'T energie vecteurs'!W5,FALSE)</f>
        <v>7.7066538409999996</v>
      </c>
      <c r="K117" s="16">
        <f>VLOOKUP(G117,Résultats!$B$2:$AX$476,'T energie vecteurs'!W5,FALSE)</f>
        <v>2.048893815</v>
      </c>
      <c r="L117" s="95">
        <f>SUM(H117:K117)</f>
        <v>19.045124965999999</v>
      </c>
      <c r="M117" s="16"/>
      <c r="N117" s="149" t="s">
        <v>20</v>
      </c>
      <c r="O117" s="143"/>
      <c r="P117" s="16"/>
      <c r="Q117" s="34"/>
      <c r="R117" s="16"/>
      <c r="S117" s="95"/>
      <c r="T117" s="270"/>
      <c r="U117" s="149" t="s">
        <v>20</v>
      </c>
      <c r="V117" t="s">
        <v>398</v>
      </c>
      <c r="W117" t="s">
        <v>399</v>
      </c>
      <c r="X117" t="s">
        <v>400</v>
      </c>
      <c r="Y117" t="s">
        <v>401</v>
      </c>
      <c r="Z117" s="16">
        <v>0</v>
      </c>
      <c r="AA117" s="34">
        <v>9.2908636340000008</v>
      </c>
      <c r="AB117" s="16">
        <v>7.7043400010000003</v>
      </c>
      <c r="AC117" s="16">
        <v>2.0485560519999999</v>
      </c>
      <c r="AD117" s="95">
        <v>19.043759687000001</v>
      </c>
    </row>
    <row r="118" spans="3:30" x14ac:dyDescent="0.25">
      <c r="C118" s="147" t="s">
        <v>21</v>
      </c>
      <c r="D118" t="s">
        <v>402</v>
      </c>
      <c r="E118" t="s">
        <v>403</v>
      </c>
      <c r="F118" t="s">
        <v>404</v>
      </c>
      <c r="G118" t="s">
        <v>405</v>
      </c>
      <c r="H118" s="8">
        <f>VLOOKUP(D118,Résultats!$B$2:$AX$476,'T energie vecteurs'!W5,FALSE)</f>
        <v>0.14593884069999999</v>
      </c>
      <c r="I118" s="8">
        <f>VLOOKUP(E118,Résultats!$B$2:$AX$476,'T energie vecteurs'!W5,FALSE)</f>
        <v>3.2149268439999998</v>
      </c>
      <c r="J118" s="8">
        <f>VLOOKUP(F118,Résultats!$B$2:$AX$476,'T energie vecteurs'!W5,FALSE)</f>
        <v>13.55111668</v>
      </c>
      <c r="K118" s="8">
        <f>VLOOKUP(G118,Résultats!$B$2:$AX$476,'T energie vecteurs'!W5,FALSE)+8</f>
        <v>18.975215739999999</v>
      </c>
      <c r="L118" s="96">
        <f t="shared" si="28"/>
        <v>35.887198104699998</v>
      </c>
      <c r="M118" s="75"/>
      <c r="N118" s="150" t="s">
        <v>21</v>
      </c>
      <c r="O118" s="29">
        <f>'[2]Bilan 2050 AMS'!$V$46/11.63</f>
        <v>0</v>
      </c>
      <c r="P118" s="28">
        <f>SUM('[2]Bilan 2050 AMS'!$V$41:$V$43)/11.63</f>
        <v>3.0621684968348089E-2</v>
      </c>
      <c r="Q118" s="28">
        <f>'[2]Bilan 2050 AMS'!$V$13/11.63</f>
        <v>11.491747360902071</v>
      </c>
      <c r="R118" s="28">
        <f>('[2]Bilan 2050 AMS'!$V$22+'[2]Bilan 2050 AMS'!$V$30+SUM('[2]Bilan 2050 AMS'!$V$36:$V$40)+SUM('[2]Bilan 2050 AMS'!$V$44:$V$45)+'[2]Bilan 2050 AMS'!$V$47)/11.63</f>
        <v>15.333196306176815</v>
      </c>
      <c r="S118" s="142">
        <f t="shared" ref="S118:S124" si="29">SUM(O118:R118)</f>
        <v>26.855565352047236</v>
      </c>
      <c r="T118" s="270"/>
      <c r="U118" s="147" t="s">
        <v>21</v>
      </c>
      <c r="V118" t="s">
        <v>402</v>
      </c>
      <c r="W118" t="s">
        <v>403</v>
      </c>
      <c r="X118" t="s">
        <v>404</v>
      </c>
      <c r="Y118" t="s">
        <v>405</v>
      </c>
      <c r="Z118" s="8">
        <v>0.15315756459999999</v>
      </c>
      <c r="AA118" s="8">
        <v>2.8812912270000002</v>
      </c>
      <c r="AB118" s="8">
        <v>13.777544109999999</v>
      </c>
      <c r="AC118" s="8">
        <v>18.83520163</v>
      </c>
      <c r="AD118" s="96">
        <v>35.6471945316</v>
      </c>
    </row>
    <row r="119" spans="3:30" x14ac:dyDescent="0.25">
      <c r="C119" s="147" t="s">
        <v>22</v>
      </c>
      <c r="D119" t="s">
        <v>406</v>
      </c>
      <c r="E119" t="s">
        <v>407</v>
      </c>
      <c r="F119" t="s">
        <v>408</v>
      </c>
      <c r="G119" t="s">
        <v>409</v>
      </c>
      <c r="H119" s="8">
        <f>VLOOKUP(D119,Résultats!$B$2:$AX$476,'T energie vecteurs'!W5,FALSE)</f>
        <v>0</v>
      </c>
      <c r="I119" s="8">
        <f>VLOOKUP(E119,Résultats!$B$2:$AX$476,'T energie vecteurs'!W5,FALSE)</f>
        <v>1.340173337</v>
      </c>
      <c r="J119" s="8">
        <f>VLOOKUP(F119,Résultats!$B$2:$AX$476,'T energie vecteurs'!W5,FALSE)</f>
        <v>8.5455212310000004</v>
      </c>
      <c r="K119" s="8">
        <f>VLOOKUP(G119,Résultats!$B$2:$AX$476,'T energie vecteurs'!W5,FALSE)</f>
        <v>9.4464759770000004</v>
      </c>
      <c r="L119" s="96">
        <f t="shared" si="28"/>
        <v>19.332170545</v>
      </c>
      <c r="M119" s="75"/>
      <c r="N119" s="150" t="s">
        <v>22</v>
      </c>
      <c r="O119" s="29">
        <f>('[2]Bilan 2050 AMS'!$W$46)/11.63</f>
        <v>0</v>
      </c>
      <c r="P119" s="28">
        <f>SUM('[2]Bilan 2050 AMS'!$W$41:$W$43)/11.63</f>
        <v>5.6625066314646942E-3</v>
      </c>
      <c r="Q119" s="28">
        <f>('[2]Bilan 2050 AMS'!$W$13)/11.63</f>
        <v>9.5724519323725303</v>
      </c>
      <c r="R119" s="28">
        <f>('[2]Bilan 2050 AMS'!$W$22+'[2]Bilan 2050 AMS'!$W$30+SUM('[2]Bilan 2050 AMS'!$W$36:$W$40)+SUM('[2]Bilan 2050 AMS'!$W$44:$W$45)+'[2]Bilan 2050 AMS'!$W$47)/11.63</f>
        <v>6.9289112574602063</v>
      </c>
      <c r="S119" s="142">
        <f t="shared" si="29"/>
        <v>16.507025696464201</v>
      </c>
      <c r="T119" s="270"/>
      <c r="U119" s="147" t="s">
        <v>22</v>
      </c>
      <c r="V119" t="s">
        <v>406</v>
      </c>
      <c r="W119" t="s">
        <v>407</v>
      </c>
      <c r="X119" t="s">
        <v>408</v>
      </c>
      <c r="Y119" t="s">
        <v>409</v>
      </c>
      <c r="Z119" s="8">
        <v>0</v>
      </c>
      <c r="AA119" s="8">
        <v>1.3383219230000001</v>
      </c>
      <c r="AB119" s="8">
        <v>8.5406576239999996</v>
      </c>
      <c r="AC119" s="8">
        <v>9.4641945409999995</v>
      </c>
      <c r="AD119" s="96">
        <v>19.343174087999998</v>
      </c>
    </row>
    <row r="120" spans="3:30" x14ac:dyDescent="0.25">
      <c r="C120" s="147" t="s">
        <v>23</v>
      </c>
      <c r="H120" s="8">
        <f>SUM(H121:H123)</f>
        <v>2.1267348825000001</v>
      </c>
      <c r="I120" s="8">
        <f>SUM(I121:I123)</f>
        <v>13.196855957</v>
      </c>
      <c r="J120" s="8">
        <f>SUM(J121:J123)</f>
        <v>21.2518810145</v>
      </c>
      <c r="K120" s="8">
        <f>SUM(K121:K123)</f>
        <v>11.697202136499998</v>
      </c>
      <c r="L120" s="96">
        <f>SUM(H120:K120)</f>
        <v>48.272673990499996</v>
      </c>
      <c r="M120" s="75"/>
      <c r="N120" s="150" t="s">
        <v>490</v>
      </c>
      <c r="O120" s="29">
        <f>O121+O122</f>
        <v>5.5141288986823259E-2</v>
      </c>
      <c r="P120" s="28">
        <f t="shared" ref="P120:R120" si="30">P121+P122</f>
        <v>8.659475909889423</v>
      </c>
      <c r="Q120" s="28">
        <f t="shared" si="30"/>
        <v>18.376980061860618</v>
      </c>
      <c r="R120" s="28">
        <f t="shared" si="30"/>
        <v>18.495508139104587</v>
      </c>
      <c r="S120" s="142">
        <f t="shared" si="29"/>
        <v>45.587105399841448</v>
      </c>
      <c r="T120" s="270"/>
      <c r="U120" s="147" t="s">
        <v>23</v>
      </c>
      <c r="Z120" s="8">
        <v>2.1246167640000002</v>
      </c>
      <c r="AA120" s="8">
        <v>13.175908846999999</v>
      </c>
      <c r="AB120" s="8">
        <v>21.228988469899999</v>
      </c>
      <c r="AC120" s="8">
        <v>11.695139027199991</v>
      </c>
      <c r="AD120" s="96">
        <v>48.224653108099993</v>
      </c>
    </row>
    <row r="121" spans="3:30" x14ac:dyDescent="0.25">
      <c r="C121" s="149" t="s">
        <v>24</v>
      </c>
      <c r="D121" t="s">
        <v>410</v>
      </c>
      <c r="E121" t="s">
        <v>411</v>
      </c>
      <c r="F121" t="s">
        <v>412</v>
      </c>
      <c r="G121" t="s">
        <v>413</v>
      </c>
      <c r="H121" s="16">
        <f>VLOOKUP(D121,Résultats!$B$2:$AX$476,'T energie vecteurs'!W5,FALSE)</f>
        <v>1.1741277999999999</v>
      </c>
      <c r="I121" s="16">
        <f>VLOOKUP(E121,Résultats!$B$2:$AX$476,'T energie vecteurs'!W5,FALSE)</f>
        <v>6.8114204000000003</v>
      </c>
      <c r="J121" s="16">
        <f>VLOOKUP(F121,Résultats!$B$2:$AX$476,'T energie vecteurs'!W5,FALSE)</f>
        <v>20.77832931</v>
      </c>
      <c r="K121" s="16">
        <f>VLOOKUP(G121,Résultats!$B$2:$AX$476,'T energie vecteurs'!W5,FALSE)</f>
        <v>8.4959645229999996</v>
      </c>
      <c r="L121" s="95">
        <f t="shared" si="28"/>
        <v>37.259842032999998</v>
      </c>
      <c r="M121" s="16"/>
      <c r="N121" s="149" t="s">
        <v>491</v>
      </c>
      <c r="O121" s="143">
        <f>'[2]Bilan 2050 AMS'!$U$46/11.63</f>
        <v>5.5141288986823259E-2</v>
      </c>
      <c r="P121" s="30">
        <f>SUM('[2]Bilan 2050 AMS'!$U$41:$U$43)/11.63</f>
        <v>0.24326850906629924</v>
      </c>
      <c r="Q121" s="30">
        <f>'[2]Bilan 2050 AMS'!$U$13/11.63</f>
        <v>18.376980061860618</v>
      </c>
      <c r="R121" s="30">
        <f>('[2]Bilan 2050 AMS'!$U$22+'[2]Bilan 2050 AMS'!$U$30+SUM('[2]Bilan 2050 AMS'!$U$36:$U$40)+SUM('[2]Bilan 2050 AMS'!$U$44:$U$45)+'[2]Bilan 2050 AMS'!$U$47)/11.63</f>
        <v>11.543053292700122</v>
      </c>
      <c r="S121" s="95">
        <f t="shared" si="29"/>
        <v>30.218443152613862</v>
      </c>
      <c r="T121" s="270"/>
      <c r="U121" s="149" t="s">
        <v>24</v>
      </c>
      <c r="V121" t="s">
        <v>410</v>
      </c>
      <c r="W121" t="s">
        <v>411</v>
      </c>
      <c r="X121" t="s">
        <v>412</v>
      </c>
      <c r="Y121" t="s">
        <v>413</v>
      </c>
      <c r="Z121" s="16">
        <v>1.1744614250000001</v>
      </c>
      <c r="AA121" s="16">
        <v>6.783775941</v>
      </c>
      <c r="AB121" s="16">
        <v>20.755303049999998</v>
      </c>
      <c r="AC121" s="16">
        <v>8.4857812139999904</v>
      </c>
      <c r="AD121" s="95">
        <v>37.199321629999993</v>
      </c>
    </row>
    <row r="122" spans="3:30" x14ac:dyDescent="0.25">
      <c r="C122" s="149" t="s">
        <v>47</v>
      </c>
      <c r="D122" t="s">
        <v>414</v>
      </c>
      <c r="E122" t="s">
        <v>415</v>
      </c>
      <c r="F122" t="s">
        <v>416</v>
      </c>
      <c r="G122" t="s">
        <v>417</v>
      </c>
      <c r="H122" s="16">
        <f>VLOOKUP(D122,Résultats!$B$2:$AX$476,'T energie vecteurs'!W5,FALSE)</f>
        <v>0.95260708250000004</v>
      </c>
      <c r="I122" s="16">
        <f>VLOOKUP(E122,Résultats!$B$2:$AX$476,'T energie vecteurs'!W5,FALSE)</f>
        <v>2.7081219729999999</v>
      </c>
      <c r="J122" s="16">
        <f>VLOOKUP(F122,Résultats!$B$2:$AX$476,'T energie vecteurs'!W5,FALSE)</f>
        <v>0</v>
      </c>
      <c r="K122" s="16">
        <f>VLOOKUP(G122,Résultats!$B$2:$AX$476,'T energie vecteurs'!W5,FALSE)</f>
        <v>2.6084347509999999</v>
      </c>
      <c r="L122" s="95">
        <f t="shared" si="28"/>
        <v>6.2691638064999999</v>
      </c>
      <c r="M122" s="16"/>
      <c r="N122" s="149" t="s">
        <v>47</v>
      </c>
      <c r="O122" s="22">
        <f>'[2]Bilan 2050 AMS'!$E$52/11.63</f>
        <v>0</v>
      </c>
      <c r="P122" s="16">
        <f>('[2]Bilan 2050 AMS'!$E$54+'[2]Bilan 2050 AMS'!$E$56)/11.63</f>
        <v>8.416207400823124</v>
      </c>
      <c r="Q122" s="16">
        <v>0</v>
      </c>
      <c r="R122" s="16">
        <f>('[2]Bilan 2050 AMS'!$E$53+'[2]Bilan 2050 AMS'!$E$55+'[2]Bilan 2050 AMS'!$E$57)/11.63</f>
        <v>6.9524548464044633</v>
      </c>
      <c r="S122" s="95">
        <f t="shared" si="29"/>
        <v>15.368662247227586</v>
      </c>
      <c r="T122" s="270"/>
      <c r="U122" s="149" t="s">
        <v>47</v>
      </c>
      <c r="V122" t="s">
        <v>414</v>
      </c>
      <c r="W122" t="s">
        <v>415</v>
      </c>
      <c r="X122" t="s">
        <v>416</v>
      </c>
      <c r="Y122" t="s">
        <v>417</v>
      </c>
      <c r="Z122" s="16">
        <v>0.95015533900000004</v>
      </c>
      <c r="AA122" s="16">
        <v>2.7148297189999999</v>
      </c>
      <c r="AB122" s="16">
        <v>0</v>
      </c>
      <c r="AC122" s="16">
        <v>2.6162611939999998</v>
      </c>
      <c r="AD122" s="95">
        <v>6.2812462519999999</v>
      </c>
    </row>
    <row r="123" spans="3:30" x14ac:dyDescent="0.25">
      <c r="C123" s="149" t="s">
        <v>25</v>
      </c>
      <c r="D123" t="s">
        <v>418</v>
      </c>
      <c r="E123" t="s">
        <v>419</v>
      </c>
      <c r="F123" t="s">
        <v>420</v>
      </c>
      <c r="G123" t="s">
        <v>421</v>
      </c>
      <c r="H123" s="16">
        <f>VLOOKUP(D123,Résultats!$B$2:$AX$476,'T energie vecteurs'!W5,FALSE)</f>
        <v>0</v>
      </c>
      <c r="I123" s="16">
        <f>VLOOKUP(E123,Résultats!$B$2:$AX$476,'T energie vecteurs'!W5,FALSE)</f>
        <v>3.6773135840000002</v>
      </c>
      <c r="J123" s="16">
        <f>VLOOKUP(F123,Résultats!$B$2:$AX$476,'T energie vecteurs'!W5,FALSE)</f>
        <v>0.4735517045</v>
      </c>
      <c r="K123" s="16">
        <f>VLOOKUP(G123,Résultats!$B$2:$AX$476,'T energie vecteurs'!W5,FALSE)</f>
        <v>0.59280286250000003</v>
      </c>
      <c r="L123" s="95">
        <f t="shared" si="28"/>
        <v>4.7436681510000005</v>
      </c>
      <c r="M123" s="16"/>
      <c r="N123" s="150" t="s">
        <v>25</v>
      </c>
      <c r="O123" s="29">
        <f>'[2]Bilan 2050 AMS'!$T$46/11.63</f>
        <v>0</v>
      </c>
      <c r="P123" s="28">
        <f>SUM('[2]Bilan 2050 AMS'!$T$41:$T$43)/11.63</f>
        <v>1.6205405671470268</v>
      </c>
      <c r="Q123" s="28">
        <f>'[2]Bilan 2050 AMS'!$T$13/11.63</f>
        <v>0.59590433813600663</v>
      </c>
      <c r="R123" s="28">
        <f>('[2]Bilan 2050 AMS'!$T$22+'[2]Bilan 2050 AMS'!$T$30+SUM('[2]Bilan 2050 AMS'!$T$36:$T$40)+SUM('[2]Bilan 2050 AMS'!$T$44:$T$45)+'[2]Bilan 2050 AMS'!$T$47)/11.63</f>
        <v>0.82592305453866399</v>
      </c>
      <c r="S123" s="142">
        <f t="shared" si="29"/>
        <v>3.0423679598216973</v>
      </c>
      <c r="T123" s="270"/>
      <c r="U123" s="149" t="s">
        <v>25</v>
      </c>
      <c r="V123" t="s">
        <v>418</v>
      </c>
      <c r="W123" t="s">
        <v>419</v>
      </c>
      <c r="X123" t="s">
        <v>420</v>
      </c>
      <c r="Y123" t="s">
        <v>421</v>
      </c>
      <c r="Z123" s="16">
        <v>0</v>
      </c>
      <c r="AA123" s="16">
        <v>3.6773031870000001</v>
      </c>
      <c r="AB123" s="16">
        <v>0.47368541990000002</v>
      </c>
      <c r="AC123" s="16">
        <v>0.59309661920000001</v>
      </c>
      <c r="AD123" s="95">
        <v>4.7440852261000002</v>
      </c>
    </row>
    <row r="124" spans="3:30" x14ac:dyDescent="0.25">
      <c r="C124" s="23" t="s">
        <v>26</v>
      </c>
      <c r="D124" s="10"/>
      <c r="E124" s="10"/>
      <c r="F124" s="10"/>
      <c r="G124" s="10"/>
      <c r="H124" s="9">
        <f>SUM(H115,H118:H120)</f>
        <v>2.2726737232000001</v>
      </c>
      <c r="I124" s="9">
        <f>SUM(I115,I118:I120)</f>
        <v>32.134023362000001</v>
      </c>
      <c r="J124" s="9">
        <f>SUM(J115,J118:J120)</f>
        <v>54.479655034499999</v>
      </c>
      <c r="K124" s="9">
        <f>SUM(K115,K118:K120)</f>
        <v>42.167795783193426</v>
      </c>
      <c r="L124" s="98">
        <f t="shared" si="28"/>
        <v>131.05414790289342</v>
      </c>
      <c r="M124" s="79"/>
      <c r="N124" s="151" t="s">
        <v>26</v>
      </c>
      <c r="O124" s="32">
        <f>O115+O118+O119+O120+O123</f>
        <v>5.5141288986823259E-2</v>
      </c>
      <c r="P124" s="31">
        <f>P115+P118+P119+P120+P123</f>
        <v>12.608954326783392</v>
      </c>
      <c r="Q124" s="31">
        <f>Q115+Q118+Q119+Q120+Q123</f>
        <v>50.175055400076403</v>
      </c>
      <c r="R124" s="31">
        <f>R115+R118+R119+R120+R123</f>
        <v>42.857266726472616</v>
      </c>
      <c r="S124" s="144">
        <f t="shared" si="29"/>
        <v>105.69641774231923</v>
      </c>
      <c r="T124" s="79"/>
      <c r="U124" s="23" t="s">
        <v>26</v>
      </c>
      <c r="V124" s="10"/>
      <c r="W124" s="10"/>
      <c r="X124" s="10"/>
      <c r="Y124" s="10"/>
      <c r="Z124" s="9">
        <v>2.2777743286000001</v>
      </c>
      <c r="AA124" s="9">
        <v>31.775833671999997</v>
      </c>
      <c r="AB124" s="9">
        <v>54.674556578899995</v>
      </c>
      <c r="AC124" s="9">
        <v>42.043099342373814</v>
      </c>
      <c r="AD124" s="98">
        <v>130.77126392187381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O125" s="77"/>
      <c r="P125" s="77"/>
      <c r="Q125" s="77"/>
      <c r="R125" s="78"/>
      <c r="S125" s="45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5">
      <c r="C126" s="3"/>
      <c r="D126" s="3"/>
      <c r="E126" s="3"/>
      <c r="F126" s="3">
        <f>0.1/0.028*51.84</f>
        <v>185.14285714285717</v>
      </c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>
        <v>185.14285714285717</v>
      </c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s="3" customFormat="1" x14ac:dyDescent="0.25">
      <c r="C128" s="60" t="s">
        <v>488</v>
      </c>
      <c r="F128" s="3">
        <f>0.1/0.028*51.84</f>
        <v>185.14285714285717</v>
      </c>
      <c r="N128" s="60" t="s">
        <v>489</v>
      </c>
      <c r="U128" s="60" t="s">
        <v>488</v>
      </c>
      <c r="X128" s="3">
        <v>185.14285714285717</v>
      </c>
    </row>
    <row r="129" spans="3:30" s="3" customFormat="1" ht="31.5" x14ac:dyDescent="0.35">
      <c r="C129" s="145">
        <v>2050</v>
      </c>
      <c r="D129" s="146"/>
      <c r="E129" s="146"/>
      <c r="F129" s="146"/>
      <c r="G129" s="146"/>
      <c r="H129" s="76" t="s">
        <v>36</v>
      </c>
      <c r="I129" s="76" t="s">
        <v>49</v>
      </c>
      <c r="J129" s="76" t="s">
        <v>38</v>
      </c>
      <c r="K129" s="76" t="s">
        <v>48</v>
      </c>
      <c r="L129" s="93" t="s">
        <v>1</v>
      </c>
      <c r="N129" s="145">
        <v>2050</v>
      </c>
      <c r="O129" s="141" t="s">
        <v>36</v>
      </c>
      <c r="P129" s="76" t="s">
        <v>49</v>
      </c>
      <c r="Q129" s="76" t="s">
        <v>38</v>
      </c>
      <c r="R129" s="76" t="s">
        <v>48</v>
      </c>
      <c r="S129" s="93" t="s">
        <v>1</v>
      </c>
      <c r="U129" s="145">
        <v>2050</v>
      </c>
      <c r="V129" s="146"/>
      <c r="W129" s="146"/>
      <c r="X129" s="146"/>
      <c r="Y129" s="146"/>
      <c r="Z129" s="76" t="s">
        <v>36</v>
      </c>
      <c r="AA129" s="76" t="s">
        <v>49</v>
      </c>
      <c r="AB129" s="76" t="s">
        <v>38</v>
      </c>
      <c r="AC129" s="76" t="s">
        <v>48</v>
      </c>
      <c r="AD129" s="93" t="s">
        <v>1</v>
      </c>
    </row>
    <row r="130" spans="3:30" s="3" customFormat="1" x14ac:dyDescent="0.25">
      <c r="C130" s="276" t="s">
        <v>18</v>
      </c>
      <c r="D130" s="277"/>
      <c r="E130" s="277"/>
      <c r="F130" s="277"/>
      <c r="G130" s="277"/>
      <c r="H130" s="278" t="e">
        <f>H115-#REF!</f>
        <v>#REF!</v>
      </c>
      <c r="I130" s="278" t="e">
        <f>I115-#REF!</f>
        <v>#REF!</v>
      </c>
      <c r="J130" s="278" t="e">
        <f>J115-#REF!</f>
        <v>#REF!</v>
      </c>
      <c r="K130" s="278" t="e">
        <f>K115-#REF!</f>
        <v>#REF!</v>
      </c>
      <c r="L130" s="279" t="e">
        <f>L115-#REF!</f>
        <v>#REF!</v>
      </c>
      <c r="N130" s="276" t="s">
        <v>18</v>
      </c>
      <c r="O130" s="285">
        <f>H115-O115</f>
        <v>0</v>
      </c>
      <c r="P130" s="286">
        <f t="shared" ref="P130:S139" si="31">I115-P115</f>
        <v>12.089413565852871</v>
      </c>
      <c r="Q130" s="286">
        <f t="shared" si="31"/>
        <v>0.99316440219483049</v>
      </c>
      <c r="R130" s="286">
        <f t="shared" si="31"/>
        <v>0.77517396050108633</v>
      </c>
      <c r="S130" s="287">
        <f t="shared" si="31"/>
        <v>13.857751928548787</v>
      </c>
      <c r="U130" s="276" t="s">
        <v>18</v>
      </c>
      <c r="V130" s="277"/>
      <c r="W130" s="277"/>
      <c r="X130" s="277"/>
      <c r="Y130" s="277"/>
      <c r="Z130" s="278" t="e">
        <v>#REF!</v>
      </c>
      <c r="AA130" s="278" t="e">
        <v>#REF!</v>
      </c>
      <c r="AB130" s="278" t="e">
        <v>#REF!</v>
      </c>
      <c r="AC130" s="278" t="e">
        <v>#REF!</v>
      </c>
      <c r="AD130" s="279" t="e">
        <v>#REF!</v>
      </c>
    </row>
    <row r="131" spans="3:30" s="3" customFormat="1" x14ac:dyDescent="0.25">
      <c r="C131" s="148" t="s">
        <v>19</v>
      </c>
      <c r="D131" t="s">
        <v>394</v>
      </c>
      <c r="E131" t="s">
        <v>395</v>
      </c>
      <c r="F131" t="s">
        <v>396</v>
      </c>
      <c r="G131" t="s">
        <v>397</v>
      </c>
      <c r="H131" s="34" t="e">
        <f>H116-#REF!</f>
        <v>#REF!</v>
      </c>
      <c r="I131" s="34" t="e">
        <f>I116-#REF!</f>
        <v>#REF!</v>
      </c>
      <c r="J131" s="34" t="e">
        <f>J116-#REF!</f>
        <v>#REF!</v>
      </c>
      <c r="K131" s="34" t="e">
        <f>K116-#REF!</f>
        <v>#REF!</v>
      </c>
      <c r="L131" s="280" t="e">
        <f>L116-#REF!</f>
        <v>#REF!</v>
      </c>
      <c r="N131" s="148" t="s">
        <v>19</v>
      </c>
      <c r="O131" s="288">
        <f t="shared" ref="O131:O139" si="32">H116-O116</f>
        <v>0</v>
      </c>
      <c r="P131" s="34">
        <f t="shared" si="31"/>
        <v>5.0924899139999997</v>
      </c>
      <c r="Q131" s="34">
        <f t="shared" si="31"/>
        <v>3.4244822680000002</v>
      </c>
      <c r="R131" s="34">
        <f t="shared" si="31"/>
        <v>8.1146934300000005E-6</v>
      </c>
      <c r="S131" s="280">
        <f t="shared" si="31"/>
        <v>8.5169802966934292</v>
      </c>
      <c r="U131" s="148" t="s">
        <v>19</v>
      </c>
      <c r="V131" t="s">
        <v>394</v>
      </c>
      <c r="W131" t="s">
        <v>395</v>
      </c>
      <c r="X131" t="s">
        <v>396</v>
      </c>
      <c r="Y131" t="s">
        <v>397</v>
      </c>
      <c r="Z131" s="34" t="e">
        <v>#REF!</v>
      </c>
      <c r="AA131" s="34" t="e">
        <v>#REF!</v>
      </c>
      <c r="AB131" s="34" t="e">
        <v>#REF!</v>
      </c>
      <c r="AC131" s="34" t="e">
        <v>#REF!</v>
      </c>
      <c r="AD131" s="280" t="e">
        <v>#REF!</v>
      </c>
    </row>
    <row r="132" spans="3:30" s="3" customFormat="1" x14ac:dyDescent="0.25">
      <c r="C132" s="149" t="s">
        <v>20</v>
      </c>
      <c r="D132" t="s">
        <v>398</v>
      </c>
      <c r="E132" t="s">
        <v>399</v>
      </c>
      <c r="F132" t="s">
        <v>400</v>
      </c>
      <c r="G132" t="s">
        <v>401</v>
      </c>
      <c r="H132" s="34" t="e">
        <f>H117-#REF!</f>
        <v>#REF!</v>
      </c>
      <c r="I132" s="34" t="e">
        <f>I117-#REF!</f>
        <v>#REF!</v>
      </c>
      <c r="J132" s="34" t="e">
        <f>J117-#REF!</f>
        <v>#REF!</v>
      </c>
      <c r="K132" s="34" t="e">
        <f>K117-#REF!</f>
        <v>#REF!</v>
      </c>
      <c r="L132" s="280" t="e">
        <f>L117-#REF!</f>
        <v>#REF!</v>
      </c>
      <c r="N132" s="149" t="s">
        <v>20</v>
      </c>
      <c r="O132" s="288">
        <f t="shared" si="32"/>
        <v>0</v>
      </c>
      <c r="P132" s="34">
        <f t="shared" si="31"/>
        <v>9.2895773100000003</v>
      </c>
      <c r="Q132" s="34">
        <f t="shared" si="31"/>
        <v>7.7066538409999996</v>
      </c>
      <c r="R132" s="34">
        <f t="shared" si="31"/>
        <v>2.048893815</v>
      </c>
      <c r="S132" s="280">
        <f t="shared" si="31"/>
        <v>19.045124965999999</v>
      </c>
      <c r="U132" s="149" t="s">
        <v>20</v>
      </c>
      <c r="V132" t="s">
        <v>398</v>
      </c>
      <c r="W132" t="s">
        <v>399</v>
      </c>
      <c r="X132" t="s">
        <v>400</v>
      </c>
      <c r="Y132" t="s">
        <v>401</v>
      </c>
      <c r="Z132" s="34" t="e">
        <v>#REF!</v>
      </c>
      <c r="AA132" s="34" t="e">
        <v>#REF!</v>
      </c>
      <c r="AB132" s="34" t="e">
        <v>#REF!</v>
      </c>
      <c r="AC132" s="34" t="e">
        <v>#REF!</v>
      </c>
      <c r="AD132" s="280" t="e">
        <v>#REF!</v>
      </c>
    </row>
    <row r="133" spans="3:30" s="3" customFormat="1" x14ac:dyDescent="0.25">
      <c r="C133" s="276" t="s">
        <v>21</v>
      </c>
      <c r="D133" s="277" t="s">
        <v>402</v>
      </c>
      <c r="E133" s="277" t="s">
        <v>403</v>
      </c>
      <c r="F133" s="277" t="s">
        <v>404</v>
      </c>
      <c r="G133" s="277" t="s">
        <v>405</v>
      </c>
      <c r="H133" s="278" t="e">
        <f>H118-#REF!</f>
        <v>#REF!</v>
      </c>
      <c r="I133" s="278" t="e">
        <f>I118-#REF!</f>
        <v>#REF!</v>
      </c>
      <c r="J133" s="278" t="e">
        <f>J118-#REF!</f>
        <v>#REF!</v>
      </c>
      <c r="K133" s="278" t="e">
        <f>K118-#REF!</f>
        <v>#REF!</v>
      </c>
      <c r="L133" s="279" t="e">
        <f>L118-#REF!</f>
        <v>#REF!</v>
      </c>
      <c r="N133" s="276" t="s">
        <v>21</v>
      </c>
      <c r="O133" s="289">
        <f t="shared" si="32"/>
        <v>0.14593884069999999</v>
      </c>
      <c r="P133" s="286">
        <f t="shared" si="31"/>
        <v>3.1843051590316516</v>
      </c>
      <c r="Q133" s="286">
        <f t="shared" si="31"/>
        <v>2.0593693190979288</v>
      </c>
      <c r="R133" s="286">
        <f t="shared" si="31"/>
        <v>3.6420194338231848</v>
      </c>
      <c r="S133" s="287">
        <f t="shared" si="31"/>
        <v>9.0316327526527616</v>
      </c>
      <c r="U133" s="276" t="s">
        <v>21</v>
      </c>
      <c r="V133" s="277" t="s">
        <v>402</v>
      </c>
      <c r="W133" s="277" t="s">
        <v>403</v>
      </c>
      <c r="X133" s="277" t="s">
        <v>404</v>
      </c>
      <c r="Y133" s="277" t="s">
        <v>405</v>
      </c>
      <c r="Z133" s="278" t="e">
        <v>#REF!</v>
      </c>
      <c r="AA133" s="278" t="e">
        <v>#REF!</v>
      </c>
      <c r="AB133" s="278" t="e">
        <v>#REF!</v>
      </c>
      <c r="AC133" s="278" t="e">
        <v>#REF!</v>
      </c>
      <c r="AD133" s="279" t="e">
        <v>#REF!</v>
      </c>
    </row>
    <row r="134" spans="3:30" s="3" customFormat="1" x14ac:dyDescent="0.25">
      <c r="C134" s="276" t="s">
        <v>22</v>
      </c>
      <c r="D134" s="277" t="s">
        <v>406</v>
      </c>
      <c r="E134" s="277" t="s">
        <v>407</v>
      </c>
      <c r="F134" s="277" t="s">
        <v>408</v>
      </c>
      <c r="G134" s="277" t="s">
        <v>409</v>
      </c>
      <c r="H134" s="278" t="e">
        <f>H119-#REF!</f>
        <v>#REF!</v>
      </c>
      <c r="I134" s="278" t="e">
        <f>I119-#REF!</f>
        <v>#REF!</v>
      </c>
      <c r="J134" s="278" t="e">
        <f>J119-#REF!</f>
        <v>#REF!</v>
      </c>
      <c r="K134" s="278" t="e">
        <f>K119-#REF!</f>
        <v>#REF!</v>
      </c>
      <c r="L134" s="279" t="e">
        <f>L119-#REF!</f>
        <v>#REF!</v>
      </c>
      <c r="N134" s="276" t="s">
        <v>22</v>
      </c>
      <c r="O134" s="289">
        <f t="shared" si="32"/>
        <v>0</v>
      </c>
      <c r="P134" s="286">
        <f t="shared" si="31"/>
        <v>1.3345108303685354</v>
      </c>
      <c r="Q134" s="286">
        <f t="shared" si="31"/>
        <v>-1.02693070137253</v>
      </c>
      <c r="R134" s="286">
        <f t="shared" si="31"/>
        <v>2.5175647195397941</v>
      </c>
      <c r="S134" s="287">
        <f t="shared" si="31"/>
        <v>2.8251448485357997</v>
      </c>
      <c r="U134" s="276" t="s">
        <v>22</v>
      </c>
      <c r="V134" s="277" t="s">
        <v>406</v>
      </c>
      <c r="W134" s="277" t="s">
        <v>407</v>
      </c>
      <c r="X134" s="277" t="s">
        <v>408</v>
      </c>
      <c r="Y134" s="277" t="s">
        <v>409</v>
      </c>
      <c r="Z134" s="278" t="e">
        <v>#REF!</v>
      </c>
      <c r="AA134" s="278" t="e">
        <v>#REF!</v>
      </c>
      <c r="AB134" s="278" t="e">
        <v>#REF!</v>
      </c>
      <c r="AC134" s="278" t="e">
        <v>#REF!</v>
      </c>
      <c r="AD134" s="279" t="e">
        <v>#REF!</v>
      </c>
    </row>
    <row r="135" spans="3:30" s="3" customFormat="1" x14ac:dyDescent="0.25">
      <c r="C135" s="276" t="s">
        <v>23</v>
      </c>
      <c r="D135" s="277"/>
      <c r="E135" s="277"/>
      <c r="F135" s="277"/>
      <c r="G135" s="277"/>
      <c r="H135" s="278" t="e">
        <f>H120-#REF!</f>
        <v>#REF!</v>
      </c>
      <c r="I135" s="278" t="e">
        <f>I120-#REF!</f>
        <v>#REF!</v>
      </c>
      <c r="J135" s="278" t="e">
        <f>J120-#REF!</f>
        <v>#REF!</v>
      </c>
      <c r="K135" s="278" t="e">
        <f>K120-#REF!</f>
        <v>#REF!</v>
      </c>
      <c r="L135" s="279" t="e">
        <f>L120-#REF!</f>
        <v>#REF!</v>
      </c>
      <c r="N135" s="276" t="s">
        <v>23</v>
      </c>
      <c r="O135" s="289">
        <f t="shared" si="32"/>
        <v>2.0715935935131768</v>
      </c>
      <c r="P135" s="286">
        <f t="shared" si="31"/>
        <v>4.5373800471105774</v>
      </c>
      <c r="Q135" s="286">
        <f t="shared" si="31"/>
        <v>2.8749009526393827</v>
      </c>
      <c r="R135" s="286">
        <f t="shared" si="31"/>
        <v>-6.7983060026045887</v>
      </c>
      <c r="S135" s="287">
        <f t="shared" si="31"/>
        <v>2.6855685906585478</v>
      </c>
      <c r="U135" s="276" t="s">
        <v>23</v>
      </c>
      <c r="V135" s="277"/>
      <c r="W135" s="277"/>
      <c r="X135" s="277"/>
      <c r="Y135" s="277"/>
      <c r="Z135" s="278" t="e">
        <v>#REF!</v>
      </c>
      <c r="AA135" s="278" t="e">
        <v>#REF!</v>
      </c>
      <c r="AB135" s="278" t="e">
        <v>#REF!</v>
      </c>
      <c r="AC135" s="278" t="e">
        <v>#REF!</v>
      </c>
      <c r="AD135" s="279" t="e">
        <v>#REF!</v>
      </c>
    </row>
    <row r="136" spans="3:30" s="3" customFormat="1" x14ac:dyDescent="0.25">
      <c r="C136" s="149" t="s">
        <v>24</v>
      </c>
      <c r="D136" t="s">
        <v>410</v>
      </c>
      <c r="E136" t="s">
        <v>411</v>
      </c>
      <c r="F136" t="s">
        <v>412</v>
      </c>
      <c r="G136" t="s">
        <v>413</v>
      </c>
      <c r="H136" s="34" t="e">
        <f>H121-#REF!</f>
        <v>#REF!</v>
      </c>
      <c r="I136" s="34" t="e">
        <f>I121-#REF!</f>
        <v>#REF!</v>
      </c>
      <c r="J136" s="34" t="e">
        <f>J121-#REF!</f>
        <v>#REF!</v>
      </c>
      <c r="K136" s="34" t="e">
        <f>K121-#REF!</f>
        <v>#REF!</v>
      </c>
      <c r="L136" s="280" t="e">
        <f>L121-#REF!</f>
        <v>#REF!</v>
      </c>
      <c r="N136" s="149" t="s">
        <v>24</v>
      </c>
      <c r="O136" s="288">
        <f t="shared" si="32"/>
        <v>1.1189865110131767</v>
      </c>
      <c r="P136" s="271">
        <f t="shared" si="31"/>
        <v>6.5681518909337013</v>
      </c>
      <c r="Q136" s="271">
        <f t="shared" si="31"/>
        <v>2.4013492481393826</v>
      </c>
      <c r="R136" s="271">
        <f t="shared" si="31"/>
        <v>-3.0470887697001228</v>
      </c>
      <c r="S136" s="280">
        <f t="shared" si="31"/>
        <v>7.0413988803861365</v>
      </c>
      <c r="U136" s="149" t="s">
        <v>24</v>
      </c>
      <c r="V136" t="s">
        <v>410</v>
      </c>
      <c r="W136" t="s">
        <v>411</v>
      </c>
      <c r="X136" t="s">
        <v>412</v>
      </c>
      <c r="Y136" t="s">
        <v>413</v>
      </c>
      <c r="Z136" s="34" t="e">
        <v>#REF!</v>
      </c>
      <c r="AA136" s="34" t="e">
        <v>#REF!</v>
      </c>
      <c r="AB136" s="34" t="e">
        <v>#REF!</v>
      </c>
      <c r="AC136" s="34" t="e">
        <v>#REF!</v>
      </c>
      <c r="AD136" s="280" t="e">
        <v>#REF!</v>
      </c>
    </row>
    <row r="137" spans="3:30" s="3" customFormat="1" x14ac:dyDescent="0.25">
      <c r="C137" s="149" t="s">
        <v>47</v>
      </c>
      <c r="D137" t="s">
        <v>414</v>
      </c>
      <c r="E137" t="s">
        <v>415</v>
      </c>
      <c r="F137" t="s">
        <v>416</v>
      </c>
      <c r="G137" t="s">
        <v>417</v>
      </c>
      <c r="H137" s="34" t="e">
        <f>H122-#REF!</f>
        <v>#REF!</v>
      </c>
      <c r="I137" s="34" t="e">
        <f>I122-#REF!</f>
        <v>#REF!</v>
      </c>
      <c r="J137" s="34" t="e">
        <f>J122-#REF!</f>
        <v>#REF!</v>
      </c>
      <c r="K137" s="34" t="e">
        <f>K122-#REF!</f>
        <v>#REF!</v>
      </c>
      <c r="L137" s="280" t="e">
        <f>L122-#REF!</f>
        <v>#REF!</v>
      </c>
      <c r="N137" s="149" t="s">
        <v>47</v>
      </c>
      <c r="O137" s="290">
        <f t="shared" si="32"/>
        <v>0.95260708250000004</v>
      </c>
      <c r="P137" s="34">
        <f t="shared" si="31"/>
        <v>-5.7080854278231241</v>
      </c>
      <c r="Q137" s="34">
        <f t="shared" si="31"/>
        <v>0</v>
      </c>
      <c r="R137" s="34">
        <f t="shared" si="31"/>
        <v>-4.3440200954044634</v>
      </c>
      <c r="S137" s="280">
        <f t="shared" si="31"/>
        <v>-9.0994984407275865</v>
      </c>
      <c r="U137" s="149" t="s">
        <v>47</v>
      </c>
      <c r="V137" t="s">
        <v>414</v>
      </c>
      <c r="W137" t="s">
        <v>415</v>
      </c>
      <c r="X137" t="s">
        <v>416</v>
      </c>
      <c r="Y137" t="s">
        <v>417</v>
      </c>
      <c r="Z137" s="34" t="e">
        <v>#REF!</v>
      </c>
      <c r="AA137" s="34" t="e">
        <v>#REF!</v>
      </c>
      <c r="AB137" s="34" t="e">
        <v>#REF!</v>
      </c>
      <c r="AC137" s="34" t="e">
        <v>#REF!</v>
      </c>
      <c r="AD137" s="280" t="e">
        <v>#REF!</v>
      </c>
    </row>
    <row r="138" spans="3:30" s="3" customFormat="1" x14ac:dyDescent="0.25">
      <c r="C138" s="149" t="s">
        <v>25</v>
      </c>
      <c r="D138" t="s">
        <v>418</v>
      </c>
      <c r="E138" t="s">
        <v>419</v>
      </c>
      <c r="F138" t="s">
        <v>420</v>
      </c>
      <c r="G138" t="s">
        <v>421</v>
      </c>
      <c r="H138" s="34" t="e">
        <f>H123-#REF!</f>
        <v>#REF!</v>
      </c>
      <c r="I138" s="34" t="e">
        <f>I123-#REF!</f>
        <v>#REF!</v>
      </c>
      <c r="J138" s="34" t="e">
        <f>J123-#REF!</f>
        <v>#REF!</v>
      </c>
      <c r="K138" s="34" t="e">
        <f>K123-#REF!</f>
        <v>#REF!</v>
      </c>
      <c r="L138" s="280" t="e">
        <f>L123-#REF!</f>
        <v>#REF!</v>
      </c>
      <c r="N138" s="149" t="s">
        <v>25</v>
      </c>
      <c r="O138" s="288">
        <f t="shared" si="32"/>
        <v>0</v>
      </c>
      <c r="P138" s="271">
        <f t="shared" si="31"/>
        <v>2.0567730168529734</v>
      </c>
      <c r="Q138" s="271">
        <f t="shared" si="31"/>
        <v>-0.12235263363600662</v>
      </c>
      <c r="R138" s="271">
        <f t="shared" si="31"/>
        <v>-0.23312019203866396</v>
      </c>
      <c r="S138" s="280">
        <f t="shared" si="31"/>
        <v>1.7013001911783032</v>
      </c>
      <c r="U138" s="149" t="s">
        <v>25</v>
      </c>
      <c r="V138" t="s">
        <v>418</v>
      </c>
      <c r="W138" t="s">
        <v>419</v>
      </c>
      <c r="X138" t="s">
        <v>420</v>
      </c>
      <c r="Y138" t="s">
        <v>421</v>
      </c>
      <c r="Z138" s="34" t="e">
        <v>#REF!</v>
      </c>
      <c r="AA138" s="34" t="e">
        <v>#REF!</v>
      </c>
      <c r="AB138" s="34" t="e">
        <v>#REF!</v>
      </c>
      <c r="AC138" s="34" t="e">
        <v>#REF!</v>
      </c>
      <c r="AD138" s="280" t="e">
        <v>#REF!</v>
      </c>
    </row>
    <row r="139" spans="3:30" s="3" customFormat="1" x14ac:dyDescent="0.25">
      <c r="C139" s="281" t="s">
        <v>26</v>
      </c>
      <c r="D139" s="282"/>
      <c r="E139" s="282"/>
      <c r="F139" s="282"/>
      <c r="G139" s="282"/>
      <c r="H139" s="283" t="e">
        <f>H124-#REF!</f>
        <v>#REF!</v>
      </c>
      <c r="I139" s="283" t="e">
        <f>I124-#REF!</f>
        <v>#REF!</v>
      </c>
      <c r="J139" s="283" t="e">
        <f>J124-#REF!</f>
        <v>#REF!</v>
      </c>
      <c r="K139" s="283" t="e">
        <f>K124-#REF!</f>
        <v>#REF!</v>
      </c>
      <c r="L139" s="284" t="e">
        <f>L124-#REF!</f>
        <v>#REF!</v>
      </c>
      <c r="N139" s="281" t="s">
        <v>26</v>
      </c>
      <c r="O139" s="291">
        <f t="shared" si="32"/>
        <v>2.2175324342131768</v>
      </c>
      <c r="P139" s="292">
        <f t="shared" si="31"/>
        <v>19.52506903521661</v>
      </c>
      <c r="Q139" s="292">
        <f t="shared" si="31"/>
        <v>4.3045996344235959</v>
      </c>
      <c r="R139" s="292">
        <f t="shared" si="31"/>
        <v>-0.6894709432791899</v>
      </c>
      <c r="S139" s="293">
        <f t="shared" si="31"/>
        <v>25.357730160574192</v>
      </c>
      <c r="U139" s="281" t="s">
        <v>26</v>
      </c>
      <c r="V139" s="282"/>
      <c r="W139" s="282"/>
      <c r="X139" s="282"/>
      <c r="Y139" s="282"/>
      <c r="Z139" s="283" t="e">
        <v>#REF!</v>
      </c>
      <c r="AA139" s="283" t="e">
        <v>#REF!</v>
      </c>
      <c r="AB139" s="283" t="e">
        <v>#REF!</v>
      </c>
      <c r="AC139" s="283" t="e">
        <v>#REF!</v>
      </c>
      <c r="AD139" s="284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pans="3:21" s="3" customFormat="1" x14ac:dyDescent="0.25"/>
    <row r="194" spans="3:21" s="3" customFormat="1" x14ac:dyDescent="0.25"/>
    <row r="195" spans="3:21" s="3" customFormat="1" x14ac:dyDescent="0.25"/>
    <row r="196" spans="3:21" s="3" customFormat="1" x14ac:dyDescent="0.25"/>
    <row r="197" spans="3:21" s="3" customFormat="1" x14ac:dyDescent="0.25"/>
    <row r="198" spans="3:21" s="3" customFormat="1" x14ac:dyDescent="0.25"/>
    <row r="199" spans="3:21" s="3" customFormat="1" x14ac:dyDescent="0.25"/>
    <row r="200" spans="3:21" s="3" customFormat="1" x14ac:dyDescent="0.25"/>
    <row r="201" spans="3:21" s="3" customFormat="1" x14ac:dyDescent="0.25"/>
    <row r="202" spans="3:21" s="3" customFormat="1" x14ac:dyDescent="0.25"/>
    <row r="203" spans="3:21" s="3" customFormat="1" x14ac:dyDescent="0.25"/>
    <row r="204" spans="3:21" s="3" customFormat="1" x14ac:dyDescent="0.25">
      <c r="C204" s="3">
        <f>0</f>
        <v>0</v>
      </c>
      <c r="U204" s="3">
        <v>0</v>
      </c>
    </row>
    <row r="205" spans="3:21" s="3" customFormat="1" x14ac:dyDescent="0.25"/>
    <row r="206" spans="3:21" s="3" customFormat="1" x14ac:dyDescent="0.25"/>
    <row r="207" spans="3:21" s="3" customFormat="1" x14ac:dyDescent="0.25"/>
    <row r="208" spans="3:21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5">
    <tabColor rgb="FF0070C0"/>
    <pageSetUpPr fitToPage="1"/>
  </sheetPr>
  <dimension ref="A1:BD67"/>
  <sheetViews>
    <sheetView showGridLines="0" zoomScaleNormal="100" workbookViewId="0">
      <selection activeCell="BA8" sqref="BA8"/>
    </sheetView>
  </sheetViews>
  <sheetFormatPr baseColWidth="10" defaultRowHeight="15" x14ac:dyDescent="0.25"/>
  <cols>
    <col min="1" max="1" width="15.7109375" customWidth="1"/>
    <col min="2" max="2" width="33.85546875" bestFit="1" customWidth="1"/>
    <col min="3" max="16" width="8.85546875" hidden="1" customWidth="1"/>
    <col min="17" max="17" width="14" customWidth="1"/>
    <col min="18" max="26" width="8.85546875" hidden="1" customWidth="1"/>
    <col min="27" max="27" width="14" customWidth="1"/>
    <col min="28" max="46" width="14" hidden="1" customWidth="1"/>
    <col min="47" max="47" width="14" customWidth="1"/>
    <col min="49" max="49" width="13.42578125" customWidth="1"/>
  </cols>
  <sheetData>
    <row r="1" spans="1:56" s="244" customFormat="1" ht="45" customHeight="1" x14ac:dyDescent="0.25">
      <c r="A1" s="239" t="str">
        <f>Résultats!B1</f>
        <v>SNBC3</v>
      </c>
      <c r="B1" s="240" t="s">
        <v>465</v>
      </c>
      <c r="C1" s="241">
        <v>2006</v>
      </c>
      <c r="D1" s="242">
        <v>2007</v>
      </c>
      <c r="E1" s="242">
        <v>2008</v>
      </c>
      <c r="F1" s="242">
        <v>2009</v>
      </c>
      <c r="G1" s="242">
        <v>2010</v>
      </c>
      <c r="H1" s="242">
        <v>2011</v>
      </c>
      <c r="I1" s="242">
        <v>2012</v>
      </c>
      <c r="J1" s="242">
        <v>2013</v>
      </c>
      <c r="K1" s="242">
        <v>2014</v>
      </c>
      <c r="L1" s="242">
        <v>2015</v>
      </c>
      <c r="M1" s="242">
        <v>2016</v>
      </c>
      <c r="N1" s="242">
        <v>2017</v>
      </c>
      <c r="O1" s="242">
        <v>2018</v>
      </c>
      <c r="P1" s="242">
        <v>2019</v>
      </c>
      <c r="Q1" s="242">
        <v>2020</v>
      </c>
      <c r="R1" s="242">
        <v>2021</v>
      </c>
      <c r="S1" s="242">
        <v>2022</v>
      </c>
      <c r="T1" s="242">
        <v>2023</v>
      </c>
      <c r="U1" s="242">
        <v>2024</v>
      </c>
      <c r="V1" s="242">
        <v>2025</v>
      </c>
      <c r="W1" s="242">
        <v>2026</v>
      </c>
      <c r="X1" s="242">
        <v>2027</v>
      </c>
      <c r="Y1" s="242">
        <v>2028</v>
      </c>
      <c r="Z1" s="242">
        <v>2029</v>
      </c>
      <c r="AA1" s="242">
        <v>2030</v>
      </c>
      <c r="AB1" s="242">
        <v>2031</v>
      </c>
      <c r="AC1" s="242">
        <v>2032</v>
      </c>
      <c r="AD1" s="242">
        <v>2033</v>
      </c>
      <c r="AE1" s="242">
        <v>2034</v>
      </c>
      <c r="AF1" s="242">
        <v>2035</v>
      </c>
      <c r="AG1" s="242">
        <v>2036</v>
      </c>
      <c r="AH1" s="242">
        <v>2037</v>
      </c>
      <c r="AI1" s="242">
        <v>2038</v>
      </c>
      <c r="AJ1" s="242">
        <v>2039</v>
      </c>
      <c r="AK1" s="242">
        <v>2040</v>
      </c>
      <c r="AL1" s="242">
        <v>2041</v>
      </c>
      <c r="AM1" s="242">
        <v>2042</v>
      </c>
      <c r="AN1" s="242">
        <v>2043</v>
      </c>
      <c r="AO1" s="242">
        <v>2044</v>
      </c>
      <c r="AP1" s="242">
        <v>2045</v>
      </c>
      <c r="AQ1" s="242">
        <v>2046</v>
      </c>
      <c r="AR1" s="242">
        <v>2047</v>
      </c>
      <c r="AS1" s="242">
        <v>2048</v>
      </c>
      <c r="AT1" s="242">
        <v>2049</v>
      </c>
      <c r="AU1" s="243">
        <v>2050</v>
      </c>
      <c r="AW1" s="266" t="s">
        <v>493</v>
      </c>
      <c r="AX1" s="242">
        <v>2020</v>
      </c>
      <c r="AY1" s="242">
        <v>2030</v>
      </c>
      <c r="AZ1" s="243">
        <v>2050</v>
      </c>
    </row>
    <row r="2" spans="1:56" x14ac:dyDescent="0.25">
      <c r="B2" s="245" t="s">
        <v>1</v>
      </c>
      <c r="C2" s="246">
        <f t="shared" ref="C2:AU2" si="0">C3+C4+C7</f>
        <v>842942.38378000003</v>
      </c>
      <c r="D2" s="247">
        <f t="shared" si="0"/>
        <v>878330.75649000006</v>
      </c>
      <c r="E2" s="247">
        <f t="shared" si="0"/>
        <v>894669.13832999999</v>
      </c>
      <c r="F2" s="247">
        <f t="shared" si="0"/>
        <v>922436.92443000001</v>
      </c>
      <c r="G2" s="247">
        <f t="shared" si="0"/>
        <v>944591.23308999999</v>
      </c>
      <c r="H2" s="247">
        <f t="shared" si="0"/>
        <v>982980.34184000001</v>
      </c>
      <c r="I2" s="247">
        <f t="shared" si="0"/>
        <v>1023513.66701</v>
      </c>
      <c r="J2" s="247">
        <f t="shared" si="0"/>
        <v>1068008.7600499999</v>
      </c>
      <c r="K2" s="247">
        <f t="shared" si="0"/>
        <v>1123501.30638</v>
      </c>
      <c r="L2" s="247">
        <f t="shared" si="0"/>
        <v>1181320.3103799999</v>
      </c>
      <c r="M2" s="247">
        <f t="shared" si="0"/>
        <v>1183511.03361</v>
      </c>
      <c r="N2" s="247">
        <f t="shared" si="0"/>
        <v>1179418.85011</v>
      </c>
      <c r="O2" s="247">
        <f t="shared" si="0"/>
        <v>1174990.7617200001</v>
      </c>
      <c r="P2" s="247">
        <f t="shared" si="0"/>
        <v>1169095.83947</v>
      </c>
      <c r="Q2" s="247">
        <f t="shared" si="0"/>
        <v>1180717.93331</v>
      </c>
      <c r="R2" s="247">
        <f t="shared" si="0"/>
        <v>1186981.0187000001</v>
      </c>
      <c r="S2" s="247">
        <f t="shared" si="0"/>
        <v>1191243.3485699999</v>
      </c>
      <c r="T2" s="247">
        <f t="shared" si="0"/>
        <v>1194151.9945499999</v>
      </c>
      <c r="U2" s="247">
        <f t="shared" si="0"/>
        <v>1180771.0873100001</v>
      </c>
      <c r="V2" s="247">
        <f t="shared" si="0"/>
        <v>1169941.5355499999</v>
      </c>
      <c r="W2" s="247">
        <f t="shared" si="0"/>
        <v>1172763.99003</v>
      </c>
      <c r="X2" s="247">
        <f t="shared" si="0"/>
        <v>1170910.3486200001</v>
      </c>
      <c r="Y2" s="247">
        <f t="shared" si="0"/>
        <v>1167132.2720599999</v>
      </c>
      <c r="Z2" s="247">
        <f t="shared" si="0"/>
        <v>1161965.94597</v>
      </c>
      <c r="AA2" s="247">
        <f t="shared" si="0"/>
        <v>1155764.06333</v>
      </c>
      <c r="AB2" s="247">
        <f t="shared" si="0"/>
        <v>1151781.5495500001</v>
      </c>
      <c r="AC2" s="247">
        <f t="shared" si="0"/>
        <v>1147949.4544200001</v>
      </c>
      <c r="AD2" s="247">
        <f t="shared" si="0"/>
        <v>1144175.17781</v>
      </c>
      <c r="AE2" s="247">
        <f t="shared" si="0"/>
        <v>1140613.88766</v>
      </c>
      <c r="AF2" s="247">
        <f t="shared" si="0"/>
        <v>1137272.21147</v>
      </c>
      <c r="AG2" s="247">
        <f t="shared" si="0"/>
        <v>1133267.9520800002</v>
      </c>
      <c r="AH2" s="247">
        <f t="shared" si="0"/>
        <v>1130407.8438200001</v>
      </c>
      <c r="AI2" s="247">
        <f t="shared" si="0"/>
        <v>1127906.856562</v>
      </c>
      <c r="AJ2" s="247">
        <f t="shared" si="0"/>
        <v>1125878.3806159999</v>
      </c>
      <c r="AK2" s="247">
        <f t="shared" si="0"/>
        <v>1123849.6066040001</v>
      </c>
      <c r="AL2" s="247">
        <f t="shared" si="0"/>
        <v>1121835.7793879998</v>
      </c>
      <c r="AM2" s="247">
        <f t="shared" si="0"/>
        <v>1120025.2894330001</v>
      </c>
      <c r="AN2" s="247">
        <f t="shared" si="0"/>
        <v>1118390.055224</v>
      </c>
      <c r="AO2" s="247">
        <f t="shared" si="0"/>
        <v>1116831.6773300001</v>
      </c>
      <c r="AP2" s="247">
        <f t="shared" si="0"/>
        <v>1113431.188576</v>
      </c>
      <c r="AQ2" s="247">
        <f t="shared" si="0"/>
        <v>1110079.6741780001</v>
      </c>
      <c r="AR2" s="247">
        <f t="shared" si="0"/>
        <v>1107167.5646609999</v>
      </c>
      <c r="AS2" s="247">
        <f t="shared" si="0"/>
        <v>1104728.5999749999</v>
      </c>
      <c r="AT2" s="247">
        <f t="shared" si="0"/>
        <v>1102606.0586559998</v>
      </c>
      <c r="AU2" s="248">
        <f t="shared" si="0"/>
        <v>1100108.4486820002</v>
      </c>
      <c r="AW2" t="s">
        <v>494</v>
      </c>
      <c r="AX2" s="299">
        <f>Q8/Q7</f>
        <v>0.92349153100849601</v>
      </c>
      <c r="AY2" s="299">
        <f>AA8/AA7</f>
        <v>0.90737766706104783</v>
      </c>
      <c r="AZ2" s="299">
        <f>AU8/AU7</f>
        <v>0.8820892557161889</v>
      </c>
    </row>
    <row r="3" spans="1:56" x14ac:dyDescent="0.25">
      <c r="B3" s="249" t="s">
        <v>466</v>
      </c>
      <c r="C3" s="250">
        <f>Résultats!E286</f>
        <v>13442.05508</v>
      </c>
      <c r="D3" s="251">
        <f>Résultats!F286</f>
        <v>13754.563690000001</v>
      </c>
      <c r="E3" s="251">
        <f>Résultats!G286</f>
        <v>14079.346729999999</v>
      </c>
      <c r="F3" s="251">
        <f>Résultats!H286</f>
        <v>13563.96823</v>
      </c>
      <c r="G3" s="251">
        <f>Résultats!I286</f>
        <v>13062.810390000001</v>
      </c>
      <c r="H3" s="251">
        <f>Résultats!J286</f>
        <v>13345.181039999999</v>
      </c>
      <c r="I3" s="251">
        <f>Résultats!K286</f>
        <v>13562.49791</v>
      </c>
      <c r="J3" s="251">
        <f>Résultats!L286</f>
        <v>13434.28405</v>
      </c>
      <c r="K3" s="251">
        <f>Résultats!M286</f>
        <v>13602.15978</v>
      </c>
      <c r="L3" s="251">
        <f>Résultats!N286</f>
        <v>13989.874680000001</v>
      </c>
      <c r="M3" s="251">
        <f>Résultats!O286</f>
        <v>14225.698109999999</v>
      </c>
      <c r="N3" s="251">
        <f>Résultats!P286</f>
        <v>14473.63811</v>
      </c>
      <c r="O3" s="251">
        <f>Résultats!Q286</f>
        <v>14827.76262</v>
      </c>
      <c r="P3" s="251">
        <f>Résultats!R286</f>
        <v>15197.44087</v>
      </c>
      <c r="Q3" s="251">
        <f>Résultats!S286</f>
        <v>14867.335419999999</v>
      </c>
      <c r="R3" s="251">
        <f>Résultats!T286</f>
        <v>14300.68813</v>
      </c>
      <c r="S3" s="251">
        <f>Résultats!U286</f>
        <v>14188.56358</v>
      </c>
      <c r="T3" s="251">
        <f>Résultats!V286</f>
        <v>14026.273870000001</v>
      </c>
      <c r="U3" s="251">
        <f>Résultats!W286</f>
        <v>13869.012000000001</v>
      </c>
      <c r="V3" s="251">
        <f>Résultats!X286</f>
        <v>13635.160040000001</v>
      </c>
      <c r="W3" s="251">
        <f>Résultats!Y286</f>
        <v>13442.14769</v>
      </c>
      <c r="X3" s="251">
        <f>Résultats!Z286</f>
        <v>13208.5128</v>
      </c>
      <c r="Y3" s="251">
        <f>Résultats!AA286</f>
        <v>13020.940189999999</v>
      </c>
      <c r="Z3" s="251">
        <f>Résultats!AB286</f>
        <v>12838.092689999999</v>
      </c>
      <c r="AA3" s="251">
        <f>Résultats!AC286</f>
        <v>12618.518609999999</v>
      </c>
      <c r="AB3" s="251">
        <f>Résultats!AD286</f>
        <v>12182.6762</v>
      </c>
      <c r="AC3" s="251">
        <f>Résultats!AE286</f>
        <v>11791.35867</v>
      </c>
      <c r="AD3" s="251">
        <f>Résultats!AF286</f>
        <v>11414.53995</v>
      </c>
      <c r="AE3" s="251">
        <f>Résultats!AG286</f>
        <v>11050.734329999999</v>
      </c>
      <c r="AF3" s="251">
        <f>Résultats!AH286</f>
        <v>10695.362300000001</v>
      </c>
      <c r="AG3" s="251">
        <f>Résultats!AI286</f>
        <v>10372.837030000001</v>
      </c>
      <c r="AH3" s="251">
        <f>Résultats!AJ286</f>
        <v>10095.72028</v>
      </c>
      <c r="AI3" s="251">
        <f>Résultats!AK286</f>
        <v>9813.2794919999997</v>
      </c>
      <c r="AJ3" s="251">
        <f>Résultats!AL286</f>
        <v>9558.8400160000001</v>
      </c>
      <c r="AK3" s="251">
        <f>Résultats!AM286</f>
        <v>9292.4558340000003</v>
      </c>
      <c r="AL3" s="251">
        <f>Résultats!AN286</f>
        <v>9051.7042980000006</v>
      </c>
      <c r="AM3" s="251">
        <f>Résultats!AO286</f>
        <v>8815.7626230000005</v>
      </c>
      <c r="AN3" s="251">
        <f>Résultats!AP286</f>
        <v>8588.5659539999997</v>
      </c>
      <c r="AO3" s="251">
        <f>Résultats!AQ286</f>
        <v>8363.9371499999997</v>
      </c>
      <c r="AP3" s="251">
        <f>Résultats!AR286</f>
        <v>8142.4538359999997</v>
      </c>
      <c r="AQ3" s="251">
        <f>Résultats!AS286</f>
        <v>7913.6939279999997</v>
      </c>
      <c r="AR3" s="251">
        <f>Résultats!AT286</f>
        <v>7683.8551710000002</v>
      </c>
      <c r="AS3" s="251">
        <f>Résultats!AU286</f>
        <v>7467.1692750000002</v>
      </c>
      <c r="AT3" s="251">
        <f>Résultats!AV286</f>
        <v>7263.121056</v>
      </c>
      <c r="AU3" s="252">
        <f>Résultats!AW286</f>
        <v>7062.3922220000004</v>
      </c>
      <c r="AV3" s="253"/>
      <c r="AW3" t="s">
        <v>495</v>
      </c>
      <c r="AX3" s="299">
        <f>Q5/Q4</f>
        <v>0.64166348635245463</v>
      </c>
      <c r="AY3" s="299">
        <f>AA5/AA4</f>
        <v>0.56668586105687457</v>
      </c>
      <c r="AZ3" s="299">
        <f>AU5/AU4</f>
        <v>0.45887352354406796</v>
      </c>
    </row>
    <row r="4" spans="1:56" x14ac:dyDescent="0.25">
      <c r="B4" s="254" t="s">
        <v>467</v>
      </c>
      <c r="C4" s="255">
        <f>Résultats!E292</f>
        <v>248850.0986</v>
      </c>
      <c r="D4" s="256">
        <f>Résultats!F292</f>
        <v>267154.77559999999</v>
      </c>
      <c r="E4" s="256">
        <f>Résultats!G292</f>
        <v>279166.47369999997</v>
      </c>
      <c r="F4" s="256">
        <f>Résultats!H292</f>
        <v>295387.5919</v>
      </c>
      <c r="G4" s="256">
        <f>Résultats!I292</f>
        <v>309002.01040000003</v>
      </c>
      <c r="H4" s="256">
        <f>Résultats!J292</f>
        <v>330574.43569999997</v>
      </c>
      <c r="I4" s="256">
        <f>Résultats!K292</f>
        <v>355763.75589999999</v>
      </c>
      <c r="J4" s="256">
        <f>Résultats!L292</f>
        <v>381313.24680000002</v>
      </c>
      <c r="K4" s="256">
        <f>Résultats!M292</f>
        <v>410828.033</v>
      </c>
      <c r="L4" s="256">
        <f>Résultats!N292</f>
        <v>442365.18800000002</v>
      </c>
      <c r="M4" s="256">
        <f>Résultats!O292</f>
        <v>441160.01640000002</v>
      </c>
      <c r="N4" s="256">
        <f>Résultats!P292</f>
        <v>436837.995</v>
      </c>
      <c r="O4" s="256">
        <f>Résultats!Q292</f>
        <v>434760.84470000002</v>
      </c>
      <c r="P4" s="256">
        <f>Résultats!R292</f>
        <v>431845.89490000001</v>
      </c>
      <c r="Q4" s="256">
        <f>SUM(Q5:Q6)</f>
        <v>438883.25919999997</v>
      </c>
      <c r="R4" s="256">
        <f t="shared" ref="R4:AU4" si="1">SUM(R5:R6)</f>
        <v>344351.85227000003</v>
      </c>
      <c r="S4" s="256">
        <f t="shared" si="1"/>
        <v>346217.58869</v>
      </c>
      <c r="T4" s="256">
        <f t="shared" si="1"/>
        <v>347194.96678000002</v>
      </c>
      <c r="U4" s="256">
        <f t="shared" si="1"/>
        <v>331122.09671000001</v>
      </c>
      <c r="V4" s="256">
        <f t="shared" si="1"/>
        <v>318749.06150999997</v>
      </c>
      <c r="W4" s="256">
        <f t="shared" si="1"/>
        <v>323855.34943999996</v>
      </c>
      <c r="X4" s="256">
        <f t="shared" si="1"/>
        <v>325388.82942000002</v>
      </c>
      <c r="Y4" s="256">
        <f t="shared" si="1"/>
        <v>325028.06806999998</v>
      </c>
      <c r="Z4" s="256">
        <f t="shared" si="1"/>
        <v>323350.07198000001</v>
      </c>
      <c r="AA4" s="256">
        <f t="shared" si="1"/>
        <v>453654.59590000001</v>
      </c>
      <c r="AB4" s="256">
        <f t="shared" si="1"/>
        <v>320059.26905</v>
      </c>
      <c r="AC4" s="256">
        <f t="shared" si="1"/>
        <v>319021.44315000001</v>
      </c>
      <c r="AD4" s="256">
        <f t="shared" si="1"/>
        <v>318086.83465999999</v>
      </c>
      <c r="AE4" s="256">
        <f t="shared" si="1"/>
        <v>317225.13672999997</v>
      </c>
      <c r="AF4" s="256">
        <f t="shared" si="1"/>
        <v>316459.15516999998</v>
      </c>
      <c r="AG4" s="256">
        <f t="shared" si="1"/>
        <v>314712.77724999998</v>
      </c>
      <c r="AH4" s="256">
        <f t="shared" si="1"/>
        <v>313465.01303999999</v>
      </c>
      <c r="AI4" s="256">
        <f t="shared" si="1"/>
        <v>312582.40667</v>
      </c>
      <c r="AJ4" s="256">
        <f t="shared" si="1"/>
        <v>311814.82780000003</v>
      </c>
      <c r="AK4" s="256">
        <f t="shared" si="1"/>
        <v>311163.41466999997</v>
      </c>
      <c r="AL4" s="256">
        <f t="shared" si="1"/>
        <v>310460.34408999991</v>
      </c>
      <c r="AM4" s="256">
        <f t="shared" si="1"/>
        <v>309812.06211</v>
      </c>
      <c r="AN4" s="256">
        <f t="shared" si="1"/>
        <v>309169.90876999998</v>
      </c>
      <c r="AO4" s="256">
        <f t="shared" si="1"/>
        <v>308541.04227999999</v>
      </c>
      <c r="AP4" s="256">
        <f t="shared" si="1"/>
        <v>306296.14934</v>
      </c>
      <c r="AQ4" s="256">
        <f t="shared" si="1"/>
        <v>304458.49725000001</v>
      </c>
      <c r="AR4" s="256">
        <f t="shared" si="1"/>
        <v>302852.78438999999</v>
      </c>
      <c r="AS4" s="256">
        <f t="shared" si="1"/>
        <v>301349.7548</v>
      </c>
      <c r="AT4" s="256">
        <f t="shared" si="1"/>
        <v>299951.58639999997</v>
      </c>
      <c r="AU4" s="256">
        <f t="shared" si="1"/>
        <v>498622.7977</v>
      </c>
      <c r="AV4" s="253"/>
      <c r="AW4" t="s">
        <v>496</v>
      </c>
      <c r="AX4" s="299">
        <f>Q10/(Q7+Q4)</f>
        <v>0.81739765328825931</v>
      </c>
      <c r="AY4" s="299">
        <f>AA10/(AA7+AA4)</f>
        <v>0.77217493255962333</v>
      </c>
      <c r="AZ4" s="299">
        <f>AU10/(AU7+AU4)</f>
        <v>0.68902784612677581</v>
      </c>
    </row>
    <row r="5" spans="1:56" x14ac:dyDescent="0.25">
      <c r="B5" s="258" t="s">
        <v>468</v>
      </c>
      <c r="C5" s="259">
        <f>Résultats!E287</f>
        <v>163461.30420000001</v>
      </c>
      <c r="D5" s="212">
        <f>Résultats!F287</f>
        <v>174439.08309999999</v>
      </c>
      <c r="E5" s="212">
        <f>Résultats!G287</f>
        <v>181746.10019999999</v>
      </c>
      <c r="F5" s="212">
        <f>Résultats!H287</f>
        <v>189779.32500000001</v>
      </c>
      <c r="G5" s="212">
        <f>Résultats!I287</f>
        <v>197653.1201</v>
      </c>
      <c r="H5" s="212">
        <f>Résultats!J287</f>
        <v>207903.29130000001</v>
      </c>
      <c r="I5" s="212">
        <f>Résultats!K287</f>
        <v>223944.34710000001</v>
      </c>
      <c r="J5" s="212">
        <f>Résultats!L287</f>
        <v>240583.56899999999</v>
      </c>
      <c r="K5" s="212">
        <f>Résultats!M287</f>
        <v>258214.27290000001</v>
      </c>
      <c r="L5" s="212">
        <f>Résultats!N287</f>
        <v>281915.978</v>
      </c>
      <c r="M5" s="212">
        <f>Résultats!O287</f>
        <v>283867.30180000002</v>
      </c>
      <c r="N5" s="212">
        <f>Résultats!P287</f>
        <v>279243.38740000001</v>
      </c>
      <c r="O5" s="212">
        <f>Résultats!Q287</f>
        <v>273929.6581</v>
      </c>
      <c r="P5" s="212">
        <f>Résultats!R287</f>
        <v>273886.65379999997</v>
      </c>
      <c r="Q5" s="212">
        <f>Résultats!S287</f>
        <v>281615.36219999997</v>
      </c>
      <c r="R5" s="212">
        <f>Résultats!T287</f>
        <v>289399.44420000003</v>
      </c>
      <c r="S5" s="212">
        <f>Résultats!U287</f>
        <v>291105.32980000001</v>
      </c>
      <c r="T5" s="212">
        <f>Résultats!V287</f>
        <v>291872.6102</v>
      </c>
      <c r="U5" s="212">
        <f>Résultats!W287</f>
        <v>272549.228</v>
      </c>
      <c r="V5" s="212">
        <f>Résultats!X287</f>
        <v>257466.54269999999</v>
      </c>
      <c r="W5" s="212">
        <f>Résultats!Y287</f>
        <v>262436.01669999998</v>
      </c>
      <c r="X5" s="212">
        <f>Résultats!Z287</f>
        <v>263559.47720000002</v>
      </c>
      <c r="Y5" s="212">
        <f>Résultats!AA287</f>
        <v>262607.72779999999</v>
      </c>
      <c r="Z5" s="212">
        <f>Résultats!AB287</f>
        <v>260226.19769999999</v>
      </c>
      <c r="AA5" s="212">
        <f>Résultats!AC287</f>
        <v>257079.6453</v>
      </c>
      <c r="AB5" s="212">
        <f>Résultats!AD287</f>
        <v>255939.22829999999</v>
      </c>
      <c r="AC5" s="212">
        <f>Résultats!AE287</f>
        <v>254619.5895</v>
      </c>
      <c r="AD5" s="212">
        <f>Résultats!AF287</f>
        <v>253452.0601</v>
      </c>
      <c r="AE5" s="212">
        <f>Résultats!AG287</f>
        <v>252365.76579999999</v>
      </c>
      <c r="AF5" s="212">
        <f>Résultats!AH287</f>
        <v>251387.5252</v>
      </c>
      <c r="AG5" s="212">
        <f>Résultats!AI287</f>
        <v>249248.93309999999</v>
      </c>
      <c r="AH5" s="212">
        <f>Résultats!AJ287</f>
        <v>247610.1612</v>
      </c>
      <c r="AI5" s="212">
        <f>Résultats!AK287</f>
        <v>246398.93049999999</v>
      </c>
      <c r="AJ5" s="212">
        <f>Résultats!AL287</f>
        <v>245292.09340000001</v>
      </c>
      <c r="AK5" s="212">
        <f>Résultats!AM287</f>
        <v>244347.712</v>
      </c>
      <c r="AL5" s="212">
        <f>Résultats!AN287</f>
        <v>243327.66740000001</v>
      </c>
      <c r="AM5" s="212">
        <f>Résultats!AO287</f>
        <v>242358.0306</v>
      </c>
      <c r="AN5" s="212">
        <f>Résultats!AP287</f>
        <v>241382.60329999999</v>
      </c>
      <c r="AO5" s="212">
        <f>Résultats!AQ287</f>
        <v>240428.04519999999</v>
      </c>
      <c r="AP5" s="212">
        <f>Résultats!AR287</f>
        <v>237698.8327</v>
      </c>
      <c r="AQ5" s="212">
        <f>Résultats!AS287</f>
        <v>235514.6415</v>
      </c>
      <c r="AR5" s="212">
        <f>Résultats!AT287</f>
        <v>233565.9713</v>
      </c>
      <c r="AS5" s="212">
        <f>Résultats!AU287</f>
        <v>231689.7409</v>
      </c>
      <c r="AT5" s="212">
        <f>Résultats!AV287</f>
        <v>229924.65659999999</v>
      </c>
      <c r="AU5" s="260">
        <f>Résultats!AW287</f>
        <v>228804.80009999999</v>
      </c>
    </row>
    <row r="6" spans="1:56" x14ac:dyDescent="0.25">
      <c r="B6" s="261" t="s">
        <v>469</v>
      </c>
      <c r="C6" s="262">
        <f>Résultats!E290</f>
        <v>47168.08829</v>
      </c>
      <c r="D6" s="263">
        <f>Résultats!F290</f>
        <v>48247.912629999999</v>
      </c>
      <c r="E6" s="263">
        <f>Résultats!G290</f>
        <v>48129.907059999998</v>
      </c>
      <c r="F6" s="263">
        <f>Résultats!H290</f>
        <v>49209.376349999999</v>
      </c>
      <c r="G6" s="263">
        <f>Résultats!I290</f>
        <v>49828.266790000001</v>
      </c>
      <c r="H6" s="263">
        <f>Résultats!J290</f>
        <v>51247.532769999998</v>
      </c>
      <c r="I6" s="263">
        <f>Résultats!K290</f>
        <v>51656.382160000001</v>
      </c>
      <c r="J6" s="263">
        <f>Résultats!L290</f>
        <v>52615.061419999998</v>
      </c>
      <c r="K6" s="263">
        <f>Résultats!M290</f>
        <v>54463.320220000001</v>
      </c>
      <c r="L6" s="263">
        <f>Résultats!N290</f>
        <v>55590.59042</v>
      </c>
      <c r="M6" s="263">
        <f>Résultats!O290</f>
        <v>55664.756269999998</v>
      </c>
      <c r="N6" s="263">
        <f>Résultats!P290</f>
        <v>56165.837679999997</v>
      </c>
      <c r="O6" s="263">
        <f>Résultats!Q290</f>
        <v>56487.538690000001</v>
      </c>
      <c r="P6" s="263">
        <f>Résultats!R290</f>
        <v>55950.838819999997</v>
      </c>
      <c r="Q6" s="263">
        <f>Résultats!S289</f>
        <v>157267.897</v>
      </c>
      <c r="R6" s="263">
        <f>Résultats!T290</f>
        <v>54952.408069999998</v>
      </c>
      <c r="S6" s="263">
        <f>Résultats!U290</f>
        <v>55112.258889999997</v>
      </c>
      <c r="T6" s="263">
        <f>Résultats!V290</f>
        <v>55322.35658</v>
      </c>
      <c r="U6" s="263">
        <f>Résultats!W290</f>
        <v>58572.868710000002</v>
      </c>
      <c r="V6" s="263">
        <f>Résultats!X290</f>
        <v>61282.518810000001</v>
      </c>
      <c r="W6" s="263">
        <f>Résultats!Y290</f>
        <v>61419.332739999998</v>
      </c>
      <c r="X6" s="263">
        <f>Résultats!Z290</f>
        <v>61829.352220000001</v>
      </c>
      <c r="Y6" s="263">
        <f>Résultats!AA290</f>
        <v>62420.340270000001</v>
      </c>
      <c r="Z6" s="263">
        <f>Résultats!AB290</f>
        <v>63123.874280000004</v>
      </c>
      <c r="AA6" s="263">
        <f>Résultats!AC289</f>
        <v>196574.95060000001</v>
      </c>
      <c r="AB6" s="263">
        <f>Résultats!AD290</f>
        <v>64120.04075</v>
      </c>
      <c r="AC6" s="263">
        <f>Résultats!AE290</f>
        <v>64401.853649999997</v>
      </c>
      <c r="AD6" s="263">
        <f>Résultats!AF290</f>
        <v>64634.774559999998</v>
      </c>
      <c r="AE6" s="263">
        <f>Résultats!AG290</f>
        <v>64859.370929999997</v>
      </c>
      <c r="AF6" s="263">
        <f>Résultats!AH290</f>
        <v>65071.629970000002</v>
      </c>
      <c r="AG6" s="263">
        <f>Résultats!AI290</f>
        <v>65463.844149999997</v>
      </c>
      <c r="AH6" s="263">
        <f>Résultats!AJ290</f>
        <v>65854.851840000003</v>
      </c>
      <c r="AI6" s="263">
        <f>Résultats!AK290</f>
        <v>66183.476169999994</v>
      </c>
      <c r="AJ6" s="263">
        <f>Résultats!AL290</f>
        <v>66522.734400000001</v>
      </c>
      <c r="AK6" s="263">
        <f>Résultats!AM290</f>
        <v>66815.702669999999</v>
      </c>
      <c r="AL6" s="263">
        <f>Résultats!AN290</f>
        <v>67132.676689999906</v>
      </c>
      <c r="AM6" s="263">
        <f>Résultats!AO290</f>
        <v>67454.031510000001</v>
      </c>
      <c r="AN6" s="263">
        <f>Résultats!AP290</f>
        <v>67787.305470000007</v>
      </c>
      <c r="AO6" s="263">
        <f>Résultats!AQ290</f>
        <v>68112.997080000001</v>
      </c>
      <c r="AP6" s="263">
        <f>Résultats!AR290</f>
        <v>68597.316640000005</v>
      </c>
      <c r="AQ6" s="263">
        <f>Résultats!AS290</f>
        <v>68943.855750000002</v>
      </c>
      <c r="AR6" s="263">
        <f>Résultats!AT290</f>
        <v>69286.813089999996</v>
      </c>
      <c r="AS6" s="263">
        <f>Résultats!AU290</f>
        <v>69660.013900000005</v>
      </c>
      <c r="AT6" s="263">
        <f>Résultats!AV290</f>
        <v>70026.929799999998</v>
      </c>
      <c r="AU6" s="264">
        <f>Résultats!AW289</f>
        <v>269817.9976</v>
      </c>
      <c r="AV6" s="253"/>
      <c r="BB6" t="s">
        <v>506</v>
      </c>
    </row>
    <row r="7" spans="1:56" x14ac:dyDescent="0.25">
      <c r="B7" s="258" t="s">
        <v>470</v>
      </c>
      <c r="C7" s="259">
        <f>Résultats!E291</f>
        <v>580650.23010000004</v>
      </c>
      <c r="D7" s="212">
        <f>Résultats!F291</f>
        <v>597421.41720000003</v>
      </c>
      <c r="E7" s="212">
        <f>Résultats!G291</f>
        <v>601423.31790000002</v>
      </c>
      <c r="F7" s="212">
        <f>Résultats!H291</f>
        <v>613485.36430000002</v>
      </c>
      <c r="G7" s="212">
        <f>Résultats!I291</f>
        <v>622526.41229999997</v>
      </c>
      <c r="H7" s="212">
        <f>Résultats!J291</f>
        <v>639060.72510000004</v>
      </c>
      <c r="I7" s="212">
        <f>Résultats!K291</f>
        <v>654187.41319999995</v>
      </c>
      <c r="J7" s="212">
        <f>Résultats!L291</f>
        <v>673261.22919999994</v>
      </c>
      <c r="K7" s="212">
        <f>Résultats!M291</f>
        <v>699071.11360000004</v>
      </c>
      <c r="L7" s="212">
        <f>Résultats!N291</f>
        <v>724965.24769999995</v>
      </c>
      <c r="M7" s="212">
        <f>Résultats!O291</f>
        <v>728125.31909999996</v>
      </c>
      <c r="N7" s="212">
        <f>Résultats!P291</f>
        <v>728107.21699999995</v>
      </c>
      <c r="O7" s="212">
        <f>Résultats!Q291</f>
        <v>725402.1544</v>
      </c>
      <c r="P7" s="212">
        <f>Résultats!R291</f>
        <v>722052.5037</v>
      </c>
      <c r="Q7" s="212">
        <f>SUM(Q8:Q9)</f>
        <v>726967.33869</v>
      </c>
      <c r="R7" s="212">
        <f t="shared" ref="R7:AU7" si="2">SUM(R8:R9)</f>
        <v>828328.47830000008</v>
      </c>
      <c r="S7" s="212">
        <f t="shared" si="2"/>
        <v>830837.19629999995</v>
      </c>
      <c r="T7" s="212">
        <f t="shared" si="2"/>
        <v>832930.75390000001</v>
      </c>
      <c r="U7" s="212">
        <f t="shared" si="2"/>
        <v>835779.97860000003</v>
      </c>
      <c r="V7" s="212">
        <f t="shared" si="2"/>
        <v>837557.31400000001</v>
      </c>
      <c r="W7" s="212">
        <f t="shared" si="2"/>
        <v>835466.49289999995</v>
      </c>
      <c r="X7" s="212">
        <f t="shared" si="2"/>
        <v>832313.00640000007</v>
      </c>
      <c r="Y7" s="212">
        <f t="shared" si="2"/>
        <v>829083.26379999996</v>
      </c>
      <c r="Z7" s="212">
        <f t="shared" si="2"/>
        <v>825777.78130000003</v>
      </c>
      <c r="AA7" s="212">
        <f t="shared" si="2"/>
        <v>689490.94882000005</v>
      </c>
      <c r="AB7" s="212">
        <f t="shared" si="2"/>
        <v>819539.60430000001</v>
      </c>
      <c r="AC7" s="212">
        <f t="shared" si="2"/>
        <v>817136.65260000003</v>
      </c>
      <c r="AD7" s="212">
        <f t="shared" si="2"/>
        <v>814673.80319999997</v>
      </c>
      <c r="AE7" s="212">
        <f t="shared" si="2"/>
        <v>812338.01659999997</v>
      </c>
      <c r="AF7" s="212">
        <f t="shared" si="2"/>
        <v>810117.69400000002</v>
      </c>
      <c r="AG7" s="212">
        <f t="shared" si="2"/>
        <v>808182.3378000001</v>
      </c>
      <c r="AH7" s="212">
        <f t="shared" si="2"/>
        <v>806847.11050000007</v>
      </c>
      <c r="AI7" s="212">
        <f t="shared" si="2"/>
        <v>805511.17039999994</v>
      </c>
      <c r="AJ7" s="212">
        <f t="shared" si="2"/>
        <v>804504.71279999998</v>
      </c>
      <c r="AK7" s="212">
        <f t="shared" si="2"/>
        <v>803393.73609999998</v>
      </c>
      <c r="AL7" s="212">
        <f t="shared" si="2"/>
        <v>802323.73099999991</v>
      </c>
      <c r="AM7" s="212">
        <f t="shared" si="2"/>
        <v>801397.46470000001</v>
      </c>
      <c r="AN7" s="212">
        <f t="shared" si="2"/>
        <v>800631.58050000004</v>
      </c>
      <c r="AO7" s="212">
        <f t="shared" si="2"/>
        <v>799926.69790000003</v>
      </c>
      <c r="AP7" s="212">
        <f t="shared" si="2"/>
        <v>798992.58539999998</v>
      </c>
      <c r="AQ7" s="212">
        <f t="shared" si="2"/>
        <v>797707.48300000001</v>
      </c>
      <c r="AR7" s="212">
        <f t="shared" si="2"/>
        <v>796630.92509999988</v>
      </c>
      <c r="AS7" s="212">
        <f t="shared" si="2"/>
        <v>795911.67589999991</v>
      </c>
      <c r="AT7" s="212">
        <f t="shared" si="2"/>
        <v>795391.35119999992</v>
      </c>
      <c r="AU7" s="212">
        <f t="shared" si="2"/>
        <v>594423.25876000011</v>
      </c>
      <c r="AW7" t="s">
        <v>502</v>
      </c>
      <c r="AX7" s="312">
        <f>Q3/Q2</f>
        <v>1.2591775732855366E-2</v>
      </c>
      <c r="AY7" s="312">
        <f>AA3/AA2</f>
        <v>1.0917901854158179E-2</v>
      </c>
      <c r="AZ7" s="312">
        <f>AU3/AU2</f>
        <v>6.4197236467560953E-3</v>
      </c>
      <c r="BB7" s="312">
        <f>[4]Trafic!$H$27/([4]Trafic!$H$30-[4]Trafic!$H$29)</f>
        <v>9.6732536609177803E-3</v>
      </c>
      <c r="BC7" s="312">
        <f>[4]Trafic!$J$27/([4]Trafic!$J$30-[4]Trafic!$J$29)</f>
        <v>1.4577967949865439E-2</v>
      </c>
      <c r="BD7" s="312">
        <f>[4]Trafic!$N$27/([4]Trafic!$N$30-[4]Trafic!$N$29)</f>
        <v>6.5864876836073186E-3</v>
      </c>
    </row>
    <row r="8" spans="1:56" x14ac:dyDescent="0.25">
      <c r="B8" s="258" t="s">
        <v>471</v>
      </c>
      <c r="C8" s="259">
        <f>Résultats!E288</f>
        <v>533482.14110000001</v>
      </c>
      <c r="D8" s="212">
        <f>Résultats!F288</f>
        <v>549174.40269999998</v>
      </c>
      <c r="E8" s="212">
        <f>Résultats!G288</f>
        <v>553296.50879999995</v>
      </c>
      <c r="F8" s="212">
        <f>Résultats!H288</f>
        <v>564279.29209999996</v>
      </c>
      <c r="G8" s="212">
        <f>Résultats!I288</f>
        <v>572701.62170000002</v>
      </c>
      <c r="H8" s="212">
        <f>Résultats!J288</f>
        <v>587816.85820000002</v>
      </c>
      <c r="I8" s="212">
        <f>Résultats!K288</f>
        <v>602541.55729999999</v>
      </c>
      <c r="J8" s="212">
        <f>Résultats!L288</f>
        <v>620660.0834</v>
      </c>
      <c r="K8" s="212">
        <f>Résultats!M288</f>
        <v>644622.52579999994</v>
      </c>
      <c r="L8" s="212">
        <f>Résultats!N288</f>
        <v>669397.62589999998</v>
      </c>
      <c r="M8" s="212">
        <f>Résultats!O288</f>
        <v>672483.90630000003</v>
      </c>
      <c r="N8" s="212">
        <f>Résultats!P288</f>
        <v>671967.16260000004</v>
      </c>
      <c r="O8" s="212">
        <f>Résultats!Q288</f>
        <v>668943.00890000002</v>
      </c>
      <c r="P8" s="212">
        <f>Résultats!R288</f>
        <v>666130.66339999996</v>
      </c>
      <c r="Q8" s="212">
        <f>Résultats!S288</f>
        <v>671348.18059999996</v>
      </c>
      <c r="R8" s="212">
        <f>Résultats!T288</f>
        <v>672940.00580000004</v>
      </c>
      <c r="S8" s="212">
        <f>Résultats!U288</f>
        <v>675068.7156</v>
      </c>
      <c r="T8" s="212">
        <f>Résultats!V288</f>
        <v>676645.79830000002</v>
      </c>
      <c r="U8" s="212">
        <f>Résultats!W288</f>
        <v>666497.91260000004</v>
      </c>
      <c r="V8" s="212">
        <f>Résultats!X288</f>
        <v>656817.87639999995</v>
      </c>
      <c r="W8" s="212">
        <f>Résultats!Y288</f>
        <v>652711.9902</v>
      </c>
      <c r="X8" s="212">
        <f>Résultats!Z288</f>
        <v>646817.4645</v>
      </c>
      <c r="Y8" s="212">
        <f>Résultats!AA288</f>
        <v>640249.57519999996</v>
      </c>
      <c r="Z8" s="212">
        <f>Résultats!AB288</f>
        <v>633145.88370000001</v>
      </c>
      <c r="AA8" s="212">
        <f>Résultats!AC288</f>
        <v>625628.68859999999</v>
      </c>
      <c r="AB8" s="212">
        <f>Résultats!AD288</f>
        <v>619976.68629999994</v>
      </c>
      <c r="AC8" s="212">
        <f>Résultats!AE288</f>
        <v>614398.80070000002</v>
      </c>
      <c r="AD8" s="212">
        <f>Résultats!AF288</f>
        <v>608753.61439999996</v>
      </c>
      <c r="AE8" s="212">
        <f>Résultats!AG288</f>
        <v>603199.09010000003</v>
      </c>
      <c r="AF8" s="212">
        <f>Résultats!AH288</f>
        <v>597731.57799999998</v>
      </c>
      <c r="AG8" s="212">
        <f>Résultats!AI288</f>
        <v>592282.49710000004</v>
      </c>
      <c r="AH8" s="212">
        <f>Résultats!AJ288</f>
        <v>587312.83770000003</v>
      </c>
      <c r="AI8" s="212">
        <f>Résultats!AK288</f>
        <v>582398.97069999995</v>
      </c>
      <c r="AJ8" s="212">
        <f>Résultats!AL288</f>
        <v>577695.82990000001</v>
      </c>
      <c r="AK8" s="212">
        <f>Résultats!AM288</f>
        <v>572918.89619999996</v>
      </c>
      <c r="AL8" s="212">
        <f>Résultats!AN288</f>
        <v>568170.16969999997</v>
      </c>
      <c r="AM8" s="212">
        <f>Résultats!AO288</f>
        <v>563524.99349999998</v>
      </c>
      <c r="AN8" s="212">
        <f>Résultats!AP288</f>
        <v>558981.25320000004</v>
      </c>
      <c r="AO8" s="212">
        <f>Résultats!AQ288</f>
        <v>554461.53910000005</v>
      </c>
      <c r="AP8" s="212">
        <f>Résultats!AR288</f>
        <v>549476.19090000005</v>
      </c>
      <c r="AQ8" s="212">
        <f>Résultats!AS288</f>
        <v>544248.56709999999</v>
      </c>
      <c r="AR8" s="212">
        <f>Résultats!AT288</f>
        <v>539218.78189999994</v>
      </c>
      <c r="AS8" s="212">
        <f>Résultats!AU288</f>
        <v>534440.43169999996</v>
      </c>
      <c r="AT8" s="212">
        <f>Résultats!AV288</f>
        <v>529773.6298</v>
      </c>
      <c r="AU8" s="260">
        <f>Résultats!AW288</f>
        <v>524334.36990000005</v>
      </c>
      <c r="AW8" t="s">
        <v>503</v>
      </c>
      <c r="AX8" s="312">
        <f>+Q6/Q2</f>
        <v>0.13319683945099273</v>
      </c>
      <c r="AY8" s="312">
        <f>+AA6/AA2</f>
        <v>0.1700822484769306</v>
      </c>
      <c r="AZ8" s="312">
        <f>+AU6/AU2</f>
        <v>0.24526490813088392</v>
      </c>
      <c r="BB8" s="312">
        <f>[4]Trafic!$H$25/[4]Trafic!$H$31</f>
        <v>8.6581998710879085E-2</v>
      </c>
      <c r="BC8" s="312">
        <f>[4]Trafic!$J$25/[4]Trafic!$J$31</f>
        <v>0.14233557304995703</v>
      </c>
      <c r="BD8" s="312">
        <f>[4]Trafic!$N$25/[4]Trafic!$N$31</f>
        <v>0.18954036770730018</v>
      </c>
    </row>
    <row r="9" spans="1:56" x14ac:dyDescent="0.25">
      <c r="B9" s="261" t="s">
        <v>472</v>
      </c>
      <c r="C9" s="262">
        <f>Résultats!E289</f>
        <v>85388.793109999999</v>
      </c>
      <c r="D9" s="263">
        <f>Résultats!F289</f>
        <v>92724.846789999996</v>
      </c>
      <c r="E9" s="263">
        <f>Résultats!G289</f>
        <v>97432.218959999998</v>
      </c>
      <c r="F9" s="263">
        <f>Résultats!H289</f>
        <v>105669.2015</v>
      </c>
      <c r="G9" s="263">
        <f>Résultats!I289</f>
        <v>111418.03200000001</v>
      </c>
      <c r="H9" s="263">
        <f>Résultats!J289</f>
        <v>122829.49310000001</v>
      </c>
      <c r="I9" s="263">
        <f>Résultats!K289</f>
        <v>131990.06200000001</v>
      </c>
      <c r="J9" s="263">
        <f>Résultats!L289</f>
        <v>140914.3278</v>
      </c>
      <c r="K9" s="263">
        <f>Résultats!M289</f>
        <v>152817.8676</v>
      </c>
      <c r="L9" s="263">
        <f>Résultats!N289</f>
        <v>160740.57070000001</v>
      </c>
      <c r="M9" s="263">
        <f>Résultats!O289</f>
        <v>157619.06529999999</v>
      </c>
      <c r="N9" s="263">
        <f>Résultats!P289</f>
        <v>157934.82389999999</v>
      </c>
      <c r="O9" s="263">
        <f>Résultats!Q289</f>
        <v>161250.35759999999</v>
      </c>
      <c r="P9" s="263">
        <f>Résultats!R289</f>
        <v>158391.42739999999</v>
      </c>
      <c r="Q9" s="263">
        <f>Résultats!S290</f>
        <v>55619.158089999997</v>
      </c>
      <c r="R9" s="263">
        <f>Résultats!T289</f>
        <v>155388.4725</v>
      </c>
      <c r="S9" s="263">
        <f>Résultats!U289</f>
        <v>155768.48069999999</v>
      </c>
      <c r="T9" s="263">
        <f>Résultats!V289</f>
        <v>156284.95559999999</v>
      </c>
      <c r="U9" s="263">
        <f>Résultats!W289</f>
        <v>169282.06599999999</v>
      </c>
      <c r="V9" s="263">
        <f>Résultats!X289</f>
        <v>180739.4376</v>
      </c>
      <c r="W9" s="263">
        <f>Résultats!Y289</f>
        <v>182754.50270000001</v>
      </c>
      <c r="X9" s="263">
        <f>Résultats!Z289</f>
        <v>185495.54190000001</v>
      </c>
      <c r="Y9" s="263">
        <f>Résultats!AA289</f>
        <v>188833.68859999999</v>
      </c>
      <c r="Z9" s="263">
        <f>Résultats!AB289</f>
        <v>192631.8976</v>
      </c>
      <c r="AA9" s="263">
        <f>Résultats!AC290</f>
        <v>63862.260219999996</v>
      </c>
      <c r="AB9" s="263">
        <f>Résultats!AD289</f>
        <v>199562.91800000001</v>
      </c>
      <c r="AC9" s="263">
        <f>Résultats!AE289</f>
        <v>202737.85190000001</v>
      </c>
      <c r="AD9" s="263">
        <f>Résultats!AF289</f>
        <v>205920.1888</v>
      </c>
      <c r="AE9" s="263">
        <f>Résultats!AG289</f>
        <v>209138.9265</v>
      </c>
      <c r="AF9" s="263">
        <f>Résultats!AH289</f>
        <v>212386.11600000001</v>
      </c>
      <c r="AG9" s="263">
        <f>Résultats!AI289</f>
        <v>215899.8407</v>
      </c>
      <c r="AH9" s="263">
        <f>Résultats!AJ289</f>
        <v>219534.27280000001</v>
      </c>
      <c r="AI9" s="263">
        <f>Résultats!AK289</f>
        <v>223112.1997</v>
      </c>
      <c r="AJ9" s="263">
        <f>Résultats!AL289</f>
        <v>226808.8829</v>
      </c>
      <c r="AK9" s="263">
        <f>Résultats!AM289</f>
        <v>230474.83989999999</v>
      </c>
      <c r="AL9" s="263">
        <f>Résultats!AN289</f>
        <v>234153.5613</v>
      </c>
      <c r="AM9" s="263">
        <f>Résultats!AO289</f>
        <v>237872.4712</v>
      </c>
      <c r="AN9" s="263">
        <f>Résultats!AP289</f>
        <v>241650.3273</v>
      </c>
      <c r="AO9" s="263">
        <f>Résultats!AQ289</f>
        <v>245465.1588</v>
      </c>
      <c r="AP9" s="263">
        <f>Résultats!AR289</f>
        <v>249516.39449999999</v>
      </c>
      <c r="AQ9" s="263">
        <f>Résultats!AS289</f>
        <v>253458.91589999999</v>
      </c>
      <c r="AR9" s="263">
        <f>Résultats!AT289</f>
        <v>257412.14319999999</v>
      </c>
      <c r="AS9" s="263">
        <f>Résultats!AU289</f>
        <v>261471.24419999999</v>
      </c>
      <c r="AT9" s="263">
        <f>Résultats!AV289</f>
        <v>265617.72139999998</v>
      </c>
      <c r="AU9" s="264">
        <f>Résultats!AW290</f>
        <v>70088.888860000006</v>
      </c>
      <c r="AW9" t="s">
        <v>504</v>
      </c>
      <c r="AX9" s="312">
        <f>Q9/Q2</f>
        <v>4.7106219462660665E-2</v>
      </c>
      <c r="AY9" s="312">
        <f>AA9/AA2</f>
        <v>5.5255447237214969E-2</v>
      </c>
      <c r="AZ9" s="312">
        <f>AU9/AU2</f>
        <v>6.37108904526376E-2</v>
      </c>
      <c r="BB9" s="312">
        <f>[4]Trafic!$H$26/[4]Trafic!$H$31</f>
        <v>5.0587052351781035E-2</v>
      </c>
      <c r="BC9" s="312">
        <f>[4]Trafic!$J$26/[4]Trafic!$J$31</f>
        <v>7.6007847942966056E-2</v>
      </c>
      <c r="BD9" s="312">
        <f>[4]Trafic!$N$26/[4]Trafic!$N$31</f>
        <v>9.8293993125704568E-2</v>
      </c>
    </row>
    <row r="10" spans="1:56" x14ac:dyDescent="0.25">
      <c r="B10" s="249" t="s">
        <v>473</v>
      </c>
      <c r="C10" s="250">
        <f t="shared" ref="C10:AU10" si="3">C5+C8</f>
        <v>696943.44530000002</v>
      </c>
      <c r="D10" s="251">
        <f t="shared" si="3"/>
        <v>723613.48579999991</v>
      </c>
      <c r="E10" s="251">
        <f t="shared" si="3"/>
        <v>735042.60899999994</v>
      </c>
      <c r="F10" s="251">
        <f t="shared" si="3"/>
        <v>754058.61709999992</v>
      </c>
      <c r="G10" s="251">
        <f t="shared" si="3"/>
        <v>770354.74179999996</v>
      </c>
      <c r="H10" s="251">
        <f t="shared" si="3"/>
        <v>795720.14950000006</v>
      </c>
      <c r="I10" s="251">
        <f t="shared" si="3"/>
        <v>826485.9044</v>
      </c>
      <c r="J10" s="251">
        <f t="shared" si="3"/>
        <v>861243.65240000002</v>
      </c>
      <c r="K10" s="251">
        <f t="shared" si="3"/>
        <v>902836.79869999993</v>
      </c>
      <c r="L10" s="251">
        <f t="shared" si="3"/>
        <v>951313.60389999999</v>
      </c>
      <c r="M10" s="251">
        <f t="shared" si="3"/>
        <v>956351.20810000005</v>
      </c>
      <c r="N10" s="251">
        <f t="shared" si="3"/>
        <v>951210.55</v>
      </c>
      <c r="O10" s="251">
        <f t="shared" si="3"/>
        <v>942872.66700000002</v>
      </c>
      <c r="P10" s="251">
        <f t="shared" si="3"/>
        <v>940017.31719999993</v>
      </c>
      <c r="Q10" s="251">
        <f>Q5+Q8</f>
        <v>952963.54279999994</v>
      </c>
      <c r="R10" s="251">
        <f t="shared" si="3"/>
        <v>962339.45000000007</v>
      </c>
      <c r="S10" s="251">
        <f t="shared" si="3"/>
        <v>966174.04539999994</v>
      </c>
      <c r="T10" s="251">
        <f t="shared" si="3"/>
        <v>968518.40850000002</v>
      </c>
      <c r="U10" s="251">
        <f t="shared" si="3"/>
        <v>939047.14060000004</v>
      </c>
      <c r="V10" s="251">
        <f t="shared" si="3"/>
        <v>914284.41909999994</v>
      </c>
      <c r="W10" s="251">
        <f t="shared" si="3"/>
        <v>915148.00689999992</v>
      </c>
      <c r="X10" s="251">
        <f t="shared" si="3"/>
        <v>910376.94170000008</v>
      </c>
      <c r="Y10" s="251">
        <f t="shared" si="3"/>
        <v>902857.30299999996</v>
      </c>
      <c r="Z10" s="251">
        <f t="shared" si="3"/>
        <v>893372.08140000002</v>
      </c>
      <c r="AA10" s="251">
        <f t="shared" si="3"/>
        <v>882708.33389999997</v>
      </c>
      <c r="AB10" s="251">
        <f t="shared" si="3"/>
        <v>875915.9145999999</v>
      </c>
      <c r="AC10" s="251">
        <f t="shared" si="3"/>
        <v>869018.39020000002</v>
      </c>
      <c r="AD10" s="251">
        <f t="shared" si="3"/>
        <v>862205.67449999996</v>
      </c>
      <c r="AE10" s="251">
        <f t="shared" si="3"/>
        <v>855564.85590000008</v>
      </c>
      <c r="AF10" s="251">
        <f t="shared" si="3"/>
        <v>849119.10320000001</v>
      </c>
      <c r="AG10" s="251">
        <f t="shared" si="3"/>
        <v>841531.43020000006</v>
      </c>
      <c r="AH10" s="251">
        <f t="shared" si="3"/>
        <v>834922.99890000001</v>
      </c>
      <c r="AI10" s="251">
        <f t="shared" si="3"/>
        <v>828797.90119999996</v>
      </c>
      <c r="AJ10" s="251">
        <f t="shared" si="3"/>
        <v>822987.92330000002</v>
      </c>
      <c r="AK10" s="251">
        <f t="shared" si="3"/>
        <v>817266.6081999999</v>
      </c>
      <c r="AL10" s="251">
        <f t="shared" si="3"/>
        <v>811497.8371</v>
      </c>
      <c r="AM10" s="251">
        <f t="shared" si="3"/>
        <v>805883.02410000004</v>
      </c>
      <c r="AN10" s="251">
        <f t="shared" si="3"/>
        <v>800363.85649999999</v>
      </c>
      <c r="AO10" s="251">
        <f t="shared" si="3"/>
        <v>794889.58429999999</v>
      </c>
      <c r="AP10" s="251">
        <f t="shared" si="3"/>
        <v>787175.02360000007</v>
      </c>
      <c r="AQ10" s="251">
        <f t="shared" si="3"/>
        <v>779763.20860000001</v>
      </c>
      <c r="AR10" s="251">
        <f t="shared" si="3"/>
        <v>772784.75319999992</v>
      </c>
      <c r="AS10" s="251">
        <f t="shared" si="3"/>
        <v>766130.17259999993</v>
      </c>
      <c r="AT10" s="251">
        <f t="shared" si="3"/>
        <v>759698.28639999998</v>
      </c>
      <c r="AU10" s="252">
        <f t="shared" si="3"/>
        <v>753139.17</v>
      </c>
      <c r="AW10" t="s">
        <v>505</v>
      </c>
      <c r="AX10" s="312">
        <f>1-SUM(AX7:AX9)</f>
        <v>0.80710516535349131</v>
      </c>
      <c r="AY10" s="312">
        <f>1-SUM(AY7:AY9)</f>
        <v>0.76374440243169628</v>
      </c>
      <c r="AZ10" s="312">
        <f t="shared" ref="AZ10" si="4">1-SUM(AZ7:AZ9)</f>
        <v>0.68460447776972244</v>
      </c>
      <c r="BB10" s="312">
        <f>([4]Trafic!$H$23+[4]Trafic!$H$28)/[4]Trafic!$H$30</f>
        <v>0.84698145105670741</v>
      </c>
      <c r="BC10" s="312">
        <f>([4]Trafic!$J$23+[4]Trafic!$J$28)/[4]Trafic!$J$30</f>
        <v>0.75252158630631349</v>
      </c>
      <c r="BD10" s="312">
        <f>([4]Trafic!$N$23+[4]Trafic!$N$28)/[4]Trafic!$N$30</f>
        <v>0.6858880697768327</v>
      </c>
    </row>
    <row r="11" spans="1:56" x14ac:dyDescent="0.25"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  <c r="AA11" s="265"/>
      <c r="AB11" s="265"/>
      <c r="AC11" s="265"/>
      <c r="AD11" s="265"/>
      <c r="AE11" s="265"/>
      <c r="AF11" s="265"/>
      <c r="AG11" s="265"/>
      <c r="AH11" s="265"/>
      <c r="AI11" s="265"/>
      <c r="AJ11" s="265"/>
      <c r="AK11" s="265"/>
      <c r="AL11" s="265"/>
      <c r="AM11" s="265"/>
      <c r="AN11" s="265"/>
      <c r="AO11" s="265"/>
      <c r="AP11" s="265"/>
      <c r="AQ11" s="265"/>
      <c r="AR11" s="265"/>
      <c r="AS11" s="265"/>
      <c r="AT11" s="265"/>
      <c r="AU11" s="265"/>
    </row>
    <row r="12" spans="1:56" s="244" customFormat="1" ht="45" customHeight="1" x14ac:dyDescent="0.25">
      <c r="A12" s="239" t="s">
        <v>474</v>
      </c>
      <c r="B12" s="240" t="s">
        <v>465</v>
      </c>
      <c r="C12" s="242">
        <v>2006</v>
      </c>
      <c r="D12" s="242">
        <v>2007</v>
      </c>
      <c r="E12" s="242">
        <v>2008</v>
      </c>
      <c r="F12" s="242">
        <v>2009</v>
      </c>
      <c r="G12" s="242">
        <v>2010</v>
      </c>
      <c r="H12" s="242">
        <v>2011</v>
      </c>
      <c r="I12" s="242">
        <v>2012</v>
      </c>
      <c r="J12" s="242">
        <v>2013</v>
      </c>
      <c r="K12" s="242">
        <v>2014</v>
      </c>
      <c r="L12" s="242">
        <v>2015</v>
      </c>
      <c r="M12" s="242">
        <v>2016</v>
      </c>
      <c r="N12" s="242">
        <v>2017</v>
      </c>
      <c r="O12" s="242">
        <v>2018</v>
      </c>
      <c r="P12" s="242">
        <v>2019</v>
      </c>
      <c r="Q12" s="242">
        <v>2020</v>
      </c>
      <c r="R12" s="242">
        <v>2021</v>
      </c>
      <c r="S12" s="242">
        <v>2022</v>
      </c>
      <c r="T12" s="242">
        <v>2023</v>
      </c>
      <c r="U12" s="242">
        <v>2024</v>
      </c>
      <c r="V12" s="242">
        <v>2025</v>
      </c>
      <c r="W12" s="242">
        <v>2026</v>
      </c>
      <c r="X12" s="242">
        <v>2027</v>
      </c>
      <c r="Y12" s="242">
        <v>2028</v>
      </c>
      <c r="Z12" s="242">
        <v>2029</v>
      </c>
      <c r="AA12" s="242">
        <v>2030</v>
      </c>
      <c r="AB12" s="242">
        <v>2031</v>
      </c>
      <c r="AC12" s="242">
        <v>2032</v>
      </c>
      <c r="AD12" s="242">
        <v>2033</v>
      </c>
      <c r="AE12" s="242">
        <v>2034</v>
      </c>
      <c r="AF12" s="242">
        <v>2035</v>
      </c>
      <c r="AG12" s="242">
        <v>2036</v>
      </c>
      <c r="AH12" s="242">
        <v>2037</v>
      </c>
      <c r="AI12" s="242">
        <v>2038</v>
      </c>
      <c r="AJ12" s="242">
        <v>2039</v>
      </c>
      <c r="AK12" s="242">
        <v>2040</v>
      </c>
      <c r="AL12" s="242">
        <v>2041</v>
      </c>
      <c r="AM12" s="242">
        <v>2042</v>
      </c>
      <c r="AN12" s="242">
        <v>2043</v>
      </c>
      <c r="AO12" s="242">
        <v>2044</v>
      </c>
      <c r="AP12" s="242">
        <v>2045</v>
      </c>
      <c r="AQ12" s="242">
        <v>2046</v>
      </c>
      <c r="AR12" s="242">
        <v>2047</v>
      </c>
      <c r="AS12" s="242">
        <v>2048</v>
      </c>
      <c r="AT12" s="242">
        <v>2049</v>
      </c>
      <c r="AU12" s="243">
        <v>2050</v>
      </c>
      <c r="AW12" s="266" t="s">
        <v>493</v>
      </c>
      <c r="AX12" s="242">
        <v>2020</v>
      </c>
      <c r="AY12" s="242">
        <v>2030</v>
      </c>
      <c r="AZ12" s="243">
        <v>2050</v>
      </c>
    </row>
    <row r="13" spans="1:56" x14ac:dyDescent="0.25">
      <c r="B13" s="245" t="s">
        <v>1</v>
      </c>
      <c r="C13" s="246">
        <f t="shared" ref="C13:AU13" si="5">C14+C15+C18</f>
        <v>842942.38378000003</v>
      </c>
      <c r="D13" s="247">
        <f t="shared" si="5"/>
        <v>878330.75649000006</v>
      </c>
      <c r="E13" s="247">
        <f t="shared" si="5"/>
        <v>894669.13832999999</v>
      </c>
      <c r="F13" s="247">
        <f t="shared" si="5"/>
        <v>922436.92443000001</v>
      </c>
      <c r="G13" s="247">
        <f t="shared" si="5"/>
        <v>944591.23308999999</v>
      </c>
      <c r="H13" s="247">
        <f t="shared" si="5"/>
        <v>982980.34184000001</v>
      </c>
      <c r="I13" s="247">
        <f t="shared" si="5"/>
        <v>1023513.66701</v>
      </c>
      <c r="J13" s="247">
        <f t="shared" si="5"/>
        <v>1068008.7600499999</v>
      </c>
      <c r="K13" s="247">
        <f t="shared" si="5"/>
        <v>1123501.30638</v>
      </c>
      <c r="L13" s="247">
        <f t="shared" si="5"/>
        <v>1181320.3103799999</v>
      </c>
      <c r="M13" s="247">
        <f t="shared" si="5"/>
        <v>1183511.03361</v>
      </c>
      <c r="N13" s="247">
        <f t="shared" si="5"/>
        <v>1179418.85011</v>
      </c>
      <c r="O13" s="247">
        <f t="shared" si="5"/>
        <v>1174990.7617200001</v>
      </c>
      <c r="P13" s="247">
        <f t="shared" si="5"/>
        <v>1169095.83947</v>
      </c>
      <c r="Q13" s="247">
        <f t="shared" si="5"/>
        <v>1175436.2612300001</v>
      </c>
      <c r="R13" s="247">
        <f t="shared" si="5"/>
        <v>1180982.57054</v>
      </c>
      <c r="S13" s="247">
        <f t="shared" si="5"/>
        <v>1184133.0126100001</v>
      </c>
      <c r="T13" s="247">
        <f t="shared" si="5"/>
        <v>1186312.61595</v>
      </c>
      <c r="U13" s="247">
        <f t="shared" si="5"/>
        <v>1188799.2257900001</v>
      </c>
      <c r="V13" s="247">
        <f t="shared" si="5"/>
        <v>1190617.82776</v>
      </c>
      <c r="W13" s="247">
        <f t="shared" si="5"/>
        <v>1192243.9682200002</v>
      </c>
      <c r="X13" s="247">
        <f t="shared" si="5"/>
        <v>1193895.41692</v>
      </c>
      <c r="Y13" s="247">
        <f t="shared" si="5"/>
        <v>1196459.17857</v>
      </c>
      <c r="Z13" s="247">
        <f t="shared" si="5"/>
        <v>1199525.43401</v>
      </c>
      <c r="AA13" s="247">
        <f t="shared" si="5"/>
        <v>1202783.93936</v>
      </c>
      <c r="AB13" s="247">
        <f t="shared" si="5"/>
        <v>1206337.6988300001</v>
      </c>
      <c r="AC13" s="247">
        <f t="shared" si="5"/>
        <v>1212228.45429</v>
      </c>
      <c r="AD13" s="247">
        <f t="shared" si="5"/>
        <v>1217426.44682</v>
      </c>
      <c r="AE13" s="247">
        <f t="shared" si="5"/>
        <v>1222463.99866</v>
      </c>
      <c r="AF13" s="247">
        <f t="shared" si="5"/>
        <v>1230001.5048499999</v>
      </c>
      <c r="AG13" s="247">
        <f t="shared" si="5"/>
        <v>1234441.7945599998</v>
      </c>
      <c r="AH13" s="247">
        <f t="shared" si="5"/>
        <v>1239742.06516</v>
      </c>
      <c r="AI13" s="247">
        <f t="shared" si="5"/>
        <v>1245406.78834</v>
      </c>
      <c r="AJ13" s="247">
        <f t="shared" si="5"/>
        <v>1251312.5992999999</v>
      </c>
      <c r="AK13" s="247">
        <f t="shared" si="5"/>
        <v>1257323.4545499999</v>
      </c>
      <c r="AL13" s="247">
        <f t="shared" si="5"/>
        <v>1263622.1096899998</v>
      </c>
      <c r="AM13" s="247">
        <f t="shared" si="5"/>
        <v>1269587.80329</v>
      </c>
      <c r="AN13" s="247">
        <f t="shared" si="5"/>
        <v>1275469.94649</v>
      </c>
      <c r="AO13" s="247">
        <f t="shared" si="5"/>
        <v>1281278.42995</v>
      </c>
      <c r="AP13" s="247">
        <f t="shared" si="5"/>
        <v>1287015.4073399999</v>
      </c>
      <c r="AQ13" s="247">
        <f t="shared" si="5"/>
        <v>1292872.6802700001</v>
      </c>
      <c r="AR13" s="247">
        <f t="shared" si="5"/>
        <v>1298610.42368</v>
      </c>
      <c r="AS13" s="247">
        <f t="shared" si="5"/>
        <v>1304267.4397700001</v>
      </c>
      <c r="AT13" s="247">
        <f t="shared" si="5"/>
        <v>1309872.44019</v>
      </c>
      <c r="AU13" s="248">
        <f t="shared" si="5"/>
        <v>1315511.73122</v>
      </c>
      <c r="AW13" t="s">
        <v>494</v>
      </c>
      <c r="AX13" s="299">
        <f>Q19/Q18</f>
        <v>0.92275784450355813</v>
      </c>
      <c r="AY13" s="299">
        <f>AA19/AA18</f>
        <v>0.91181518050982924</v>
      </c>
      <c r="AZ13" s="299">
        <f>AU19/AU18</f>
        <v>0.89700757663037611</v>
      </c>
    </row>
    <row r="14" spans="1:56" x14ac:dyDescent="0.25">
      <c r="B14" s="249" t="s">
        <v>466</v>
      </c>
      <c r="C14" s="250">
        <f>Résultats!E294</f>
        <v>13442.05508</v>
      </c>
      <c r="D14" s="251">
        <f>Résultats!F294</f>
        <v>13754.563690000001</v>
      </c>
      <c r="E14" s="251">
        <f>Résultats!G294</f>
        <v>14079.346729999999</v>
      </c>
      <c r="F14" s="251">
        <f>Résultats!H294</f>
        <v>13563.96823</v>
      </c>
      <c r="G14" s="251">
        <f>Résultats!I294</f>
        <v>13062.810390000001</v>
      </c>
      <c r="H14" s="251">
        <f>Résultats!J294</f>
        <v>13345.181039999999</v>
      </c>
      <c r="I14" s="251">
        <f>Résultats!K294</f>
        <v>13562.49791</v>
      </c>
      <c r="J14" s="251">
        <f>Résultats!L294</f>
        <v>13434.28405</v>
      </c>
      <c r="K14" s="251">
        <f>Résultats!M294</f>
        <v>13602.15978</v>
      </c>
      <c r="L14" s="251">
        <f>Résultats!N294</f>
        <v>13989.874680000001</v>
      </c>
      <c r="M14" s="251">
        <f>Résultats!O294</f>
        <v>14225.698109999999</v>
      </c>
      <c r="N14" s="251">
        <f>Résultats!P294</f>
        <v>14473.63811</v>
      </c>
      <c r="O14" s="251">
        <f>Résultats!Q294</f>
        <v>14827.76262</v>
      </c>
      <c r="P14" s="251">
        <f>Résultats!R294</f>
        <v>15197.44087</v>
      </c>
      <c r="Q14" s="251">
        <f>Résultats!S294</f>
        <v>14859.48163</v>
      </c>
      <c r="R14" s="251">
        <f>Résultats!T294</f>
        <v>14287.54024</v>
      </c>
      <c r="S14" s="251">
        <f>Résultats!U294</f>
        <v>14162.723309999999</v>
      </c>
      <c r="T14" s="251">
        <f>Résultats!V294</f>
        <v>13979.85125</v>
      </c>
      <c r="U14" s="251">
        <f>Résultats!W294</f>
        <v>14173.937690000001</v>
      </c>
      <c r="V14" s="251">
        <f>Résultats!X294</f>
        <v>14299.61766</v>
      </c>
      <c r="W14" s="251">
        <f>Résultats!Y294</f>
        <v>14432.108819999999</v>
      </c>
      <c r="X14" s="251">
        <f>Résultats!Z294</f>
        <v>14528.95052</v>
      </c>
      <c r="Y14" s="251">
        <f>Résultats!AA294</f>
        <v>14706.61737</v>
      </c>
      <c r="Z14" s="251">
        <f>Résultats!AB294</f>
        <v>14915.48071</v>
      </c>
      <c r="AA14" s="251">
        <f>Résultats!AC294</f>
        <v>15130.47256</v>
      </c>
      <c r="AB14" s="251">
        <f>Résultats!AD294</f>
        <v>15364.934929999999</v>
      </c>
      <c r="AC14" s="251">
        <f>Résultats!AE294</f>
        <v>15591.963390000001</v>
      </c>
      <c r="AD14" s="251">
        <f>Résultats!AF294</f>
        <v>15850.637720000001</v>
      </c>
      <c r="AE14" s="251">
        <f>Résultats!AG294</f>
        <v>16137.500459999999</v>
      </c>
      <c r="AF14" s="251">
        <f>Résultats!AH294</f>
        <v>16452.92295</v>
      </c>
      <c r="AG14" s="251">
        <f>Résultats!AI294</f>
        <v>16806.46056</v>
      </c>
      <c r="AH14" s="251">
        <f>Résultats!AJ294</f>
        <v>17198.304359999998</v>
      </c>
      <c r="AI14" s="251">
        <f>Résultats!AK294</f>
        <v>17598.910540000001</v>
      </c>
      <c r="AJ14" s="251">
        <f>Résultats!AL294</f>
        <v>18018.143</v>
      </c>
      <c r="AK14" s="251">
        <f>Résultats!AM294</f>
        <v>18448.766149999999</v>
      </c>
      <c r="AL14" s="251">
        <f>Résultats!AN294</f>
        <v>18887.61249</v>
      </c>
      <c r="AM14" s="251">
        <f>Résultats!AO294</f>
        <v>19323.631089999999</v>
      </c>
      <c r="AN14" s="251">
        <f>Résultats!AP294</f>
        <v>19773.20739</v>
      </c>
      <c r="AO14" s="251">
        <f>Résultats!AQ294</f>
        <v>20228.055349999999</v>
      </c>
      <c r="AP14" s="251">
        <f>Résultats!AR294</f>
        <v>20686.68404</v>
      </c>
      <c r="AQ14" s="251">
        <f>Résultats!AS294</f>
        <v>21146.477869999999</v>
      </c>
      <c r="AR14" s="251">
        <f>Résultats!AT294</f>
        <v>21617.017179999999</v>
      </c>
      <c r="AS14" s="251">
        <f>Résultats!AU294</f>
        <v>22094.574369999998</v>
      </c>
      <c r="AT14" s="251">
        <f>Résultats!AV294</f>
        <v>22578.733090000002</v>
      </c>
      <c r="AU14" s="252">
        <f>Résultats!AW294</f>
        <v>23079.169620000001</v>
      </c>
      <c r="AW14" t="s">
        <v>495</v>
      </c>
      <c r="AX14" s="299">
        <f>Q16/Q15</f>
        <v>0.6360650929191064</v>
      </c>
      <c r="AY14" s="299">
        <f>AA16/AA15</f>
        <v>0.63759902573199478</v>
      </c>
      <c r="AZ14" s="299">
        <f>AU16/AU15</f>
        <v>0.66613680657011376</v>
      </c>
    </row>
    <row r="15" spans="1:56" x14ac:dyDescent="0.25">
      <c r="B15" s="254" t="s">
        <v>467</v>
      </c>
      <c r="C15" s="255">
        <f>Résultats!E300</f>
        <v>248850.0986</v>
      </c>
      <c r="D15" s="256">
        <f>Résultats!F300</f>
        <v>267154.77559999999</v>
      </c>
      <c r="E15" s="256">
        <f>Résultats!G300</f>
        <v>279166.47369999997</v>
      </c>
      <c r="F15" s="256">
        <f>Résultats!H300</f>
        <v>295387.5919</v>
      </c>
      <c r="G15" s="256">
        <f>Résultats!I300</f>
        <v>309002.01040000003</v>
      </c>
      <c r="H15" s="256">
        <f>Résultats!J300</f>
        <v>330574.43569999997</v>
      </c>
      <c r="I15" s="256">
        <f>Résultats!K300</f>
        <v>355763.75589999999</v>
      </c>
      <c r="J15" s="256">
        <f>Résultats!L300</f>
        <v>381313.24680000002</v>
      </c>
      <c r="K15" s="256">
        <f>Résultats!M300</f>
        <v>410828.033</v>
      </c>
      <c r="L15" s="256">
        <f>Résultats!N300</f>
        <v>442365.18800000002</v>
      </c>
      <c r="M15" s="256">
        <f>Résultats!O300</f>
        <v>441160.01640000002</v>
      </c>
      <c r="N15" s="256">
        <f>Résultats!P300</f>
        <v>436837.995</v>
      </c>
      <c r="O15" s="256">
        <f>Résultats!Q300</f>
        <v>434760.84470000002</v>
      </c>
      <c r="P15" s="256">
        <f>Résultats!R300</f>
        <v>431845.89490000001</v>
      </c>
      <c r="Q15" s="256">
        <f>Résultats!S300</f>
        <v>434743.91360000003</v>
      </c>
      <c r="R15" s="256">
        <f>Résultats!T300</f>
        <v>438412.79369999998</v>
      </c>
      <c r="S15" s="256">
        <f>Résultats!U300</f>
        <v>439098.47330000001</v>
      </c>
      <c r="T15" s="256">
        <f>Résultats!V300</f>
        <v>439359.34980000003</v>
      </c>
      <c r="U15" s="256">
        <f>Résultats!W300</f>
        <v>439963.54100000003</v>
      </c>
      <c r="V15" s="256">
        <f>Résultats!X300</f>
        <v>440487.41519999999</v>
      </c>
      <c r="W15" s="256">
        <f>Résultats!Y300</f>
        <v>440884.00290000002</v>
      </c>
      <c r="X15" s="256">
        <f>Résultats!Z300</f>
        <v>441497.39350000001</v>
      </c>
      <c r="Y15" s="256">
        <f>Résultats!AA300</f>
        <v>442336.66279999999</v>
      </c>
      <c r="Z15" s="256">
        <f>Résultats!AB300</f>
        <v>443395.61430000002</v>
      </c>
      <c r="AA15" s="256">
        <f>Résultats!AC300</f>
        <v>444583.62349999999</v>
      </c>
      <c r="AB15" s="256">
        <f>Résultats!AD300</f>
        <v>445898.9632</v>
      </c>
      <c r="AC15" s="256">
        <f>Résultats!AE300</f>
        <v>449074.30619999999</v>
      </c>
      <c r="AD15" s="256">
        <f>Résultats!AF300</f>
        <v>451582.37469999999</v>
      </c>
      <c r="AE15" s="256">
        <f>Résultats!AG300</f>
        <v>453854.56449999998</v>
      </c>
      <c r="AF15" s="256">
        <f>Résultats!AH300</f>
        <v>457903.59950000001</v>
      </c>
      <c r="AG15" s="256">
        <f>Résultats!AI300</f>
        <v>459410.37709999998</v>
      </c>
      <c r="AH15" s="256">
        <f>Résultats!AJ300</f>
        <v>461405.78580000001</v>
      </c>
      <c r="AI15" s="256">
        <f>Résultats!AK300</f>
        <v>463637.17379999999</v>
      </c>
      <c r="AJ15" s="256">
        <f>Résultats!AL300</f>
        <v>465991.32120000001</v>
      </c>
      <c r="AK15" s="256">
        <f>Résultats!AM300</f>
        <v>468413.663</v>
      </c>
      <c r="AL15" s="256">
        <f>Résultats!AN300</f>
        <v>471025.54129999998</v>
      </c>
      <c r="AM15" s="256">
        <f>Résultats!AO300</f>
        <v>473420.97930000001</v>
      </c>
      <c r="AN15" s="256">
        <f>Résultats!AP300</f>
        <v>475720.96380000003</v>
      </c>
      <c r="AO15" s="256">
        <f>Résultats!AQ300</f>
        <v>477968.16899999999</v>
      </c>
      <c r="AP15" s="256">
        <f>Résultats!AR300</f>
        <v>480172.61090000003</v>
      </c>
      <c r="AQ15" s="256">
        <f>Résultats!AS300</f>
        <v>482487.24560000002</v>
      </c>
      <c r="AR15" s="256">
        <f>Résultats!AT300</f>
        <v>484696.61009999999</v>
      </c>
      <c r="AS15" s="256">
        <f>Résultats!AU300</f>
        <v>486847.19500000001</v>
      </c>
      <c r="AT15" s="256">
        <f>Résultats!AV300</f>
        <v>488958.50219999999</v>
      </c>
      <c r="AU15" s="257">
        <f>Résultats!AW300</f>
        <v>491054.40289999999</v>
      </c>
      <c r="AW15" t="s">
        <v>496</v>
      </c>
      <c r="AX15" s="299">
        <f>Q21/(Q18+Q15)</f>
        <v>0.8153647525380836</v>
      </c>
      <c r="AY15" s="299">
        <f>AA21/(AA18+AA15)</f>
        <v>0.80916569973001484</v>
      </c>
      <c r="AZ15" s="299">
        <f>AU21/(AU18+AU15)</f>
        <v>0.80928918303105668</v>
      </c>
    </row>
    <row r="16" spans="1:56" x14ac:dyDescent="0.25">
      <c r="B16" s="258" t="s">
        <v>468</v>
      </c>
      <c r="C16" s="259">
        <f>Résultats!E295</f>
        <v>163461.30420000001</v>
      </c>
      <c r="D16" s="212">
        <f>Résultats!F295</f>
        <v>174439.08309999999</v>
      </c>
      <c r="E16" s="212">
        <f>Résultats!G295</f>
        <v>181746.10019999999</v>
      </c>
      <c r="F16" s="212">
        <f>Résultats!H295</f>
        <v>189779.32500000001</v>
      </c>
      <c r="G16" s="212">
        <f>Résultats!I295</f>
        <v>197653.1201</v>
      </c>
      <c r="H16" s="212">
        <f>Résultats!J295</f>
        <v>207903.29130000001</v>
      </c>
      <c r="I16" s="212">
        <f>Résultats!K295</f>
        <v>223944.34710000001</v>
      </c>
      <c r="J16" s="212">
        <f>Résultats!L295</f>
        <v>240583.56899999999</v>
      </c>
      <c r="K16" s="212">
        <f>Résultats!M295</f>
        <v>258214.27290000001</v>
      </c>
      <c r="L16" s="212">
        <f>Résultats!N295</f>
        <v>281915.978</v>
      </c>
      <c r="M16" s="212">
        <f>Résultats!O295</f>
        <v>283867.30180000002</v>
      </c>
      <c r="N16" s="212">
        <f>Résultats!P295</f>
        <v>279243.38740000001</v>
      </c>
      <c r="O16" s="212">
        <f>Résultats!Q295</f>
        <v>273929.6581</v>
      </c>
      <c r="P16" s="212">
        <f>Résultats!R295</f>
        <v>273886.65379999997</v>
      </c>
      <c r="Q16" s="212">
        <f>Résultats!S295</f>
        <v>276525.4278</v>
      </c>
      <c r="R16" s="212">
        <f>Résultats!T295</f>
        <v>281207.92180000001</v>
      </c>
      <c r="S16" s="212">
        <f>Résultats!U295</f>
        <v>280920.72840000002</v>
      </c>
      <c r="T16" s="212">
        <f>Résultats!V295</f>
        <v>280254.66279999999</v>
      </c>
      <c r="U16" s="212">
        <f>Résultats!W295</f>
        <v>280340.58380000002</v>
      </c>
      <c r="V16" s="212">
        <f>Résultats!X295</f>
        <v>280557.26240000001</v>
      </c>
      <c r="W16" s="212">
        <f>Résultats!Y295</f>
        <v>280675.60320000001</v>
      </c>
      <c r="X16" s="212">
        <f>Résultats!Z295</f>
        <v>281234.15250000003</v>
      </c>
      <c r="Y16" s="212">
        <f>Résultats!AA295</f>
        <v>281789.31479999999</v>
      </c>
      <c r="Z16" s="212">
        <f>Résultats!AB295</f>
        <v>282542.55900000001</v>
      </c>
      <c r="AA16" s="212">
        <f>Résultats!AC295</f>
        <v>283466.08519999997</v>
      </c>
      <c r="AB16" s="212">
        <f>Résultats!AD295</f>
        <v>284508.92550000001</v>
      </c>
      <c r="AC16" s="212">
        <f>Résultats!AE295</f>
        <v>288253.48920000001</v>
      </c>
      <c r="AD16" s="212">
        <f>Résultats!AF295</f>
        <v>290957.70799999998</v>
      </c>
      <c r="AE16" s="212">
        <f>Résultats!AG295</f>
        <v>293262.90710000001</v>
      </c>
      <c r="AF16" s="212">
        <f>Résultats!AH295</f>
        <v>298066.6789</v>
      </c>
      <c r="AG16" s="212">
        <f>Résultats!AI295</f>
        <v>299079.41129999998</v>
      </c>
      <c r="AH16" s="212">
        <f>Résultats!AJ295</f>
        <v>300718.3897</v>
      </c>
      <c r="AI16" s="212">
        <f>Résultats!AK295</f>
        <v>302688.83919999999</v>
      </c>
      <c r="AJ16" s="212">
        <f>Résultats!AL295</f>
        <v>304817.33919999999</v>
      </c>
      <c r="AK16" s="212">
        <f>Résultats!AM295</f>
        <v>307049.67820000002</v>
      </c>
      <c r="AL16" s="212">
        <f>Résultats!AN295</f>
        <v>309536.13069999998</v>
      </c>
      <c r="AM16" s="212">
        <f>Résultats!AO295</f>
        <v>311738.82760000002</v>
      </c>
      <c r="AN16" s="212">
        <f>Résultats!AP295</f>
        <v>313780.85350000003</v>
      </c>
      <c r="AO16" s="212">
        <f>Résultats!AQ295</f>
        <v>315748.52870000002</v>
      </c>
      <c r="AP16" s="212">
        <f>Résultats!AR295</f>
        <v>317665.1177</v>
      </c>
      <c r="AQ16" s="212">
        <f>Résultats!AS295</f>
        <v>319761.16110000003</v>
      </c>
      <c r="AR16" s="212">
        <f>Résultats!AT295</f>
        <v>321694.12780000002</v>
      </c>
      <c r="AS16" s="212">
        <f>Résultats!AU295</f>
        <v>323548.4473</v>
      </c>
      <c r="AT16" s="212">
        <f>Résultats!AV295</f>
        <v>325350.87599999999</v>
      </c>
      <c r="AU16" s="260">
        <f>Résultats!AW295</f>
        <v>327109.4118</v>
      </c>
    </row>
    <row r="17" spans="1:49" x14ac:dyDescent="0.25">
      <c r="B17" s="261" t="s">
        <v>469</v>
      </c>
      <c r="C17" s="262">
        <f>Résultats!E298</f>
        <v>47168.08829</v>
      </c>
      <c r="D17" s="263">
        <f>Résultats!F298</f>
        <v>48247.912629999999</v>
      </c>
      <c r="E17" s="263">
        <f>Résultats!G298</f>
        <v>48129.907059999998</v>
      </c>
      <c r="F17" s="263">
        <f>Résultats!H298</f>
        <v>49209.376349999999</v>
      </c>
      <c r="G17" s="263">
        <f>Résultats!I298</f>
        <v>49828.266790000001</v>
      </c>
      <c r="H17" s="263">
        <f>Résultats!J298</f>
        <v>51247.532769999998</v>
      </c>
      <c r="I17" s="263">
        <f>Résultats!K298</f>
        <v>51656.382160000001</v>
      </c>
      <c r="J17" s="263">
        <f>Résultats!L298</f>
        <v>52615.061419999998</v>
      </c>
      <c r="K17" s="263">
        <f>Résultats!M298</f>
        <v>54463.320220000001</v>
      </c>
      <c r="L17" s="263">
        <f>Résultats!N298</f>
        <v>55590.59042</v>
      </c>
      <c r="M17" s="263">
        <f>Résultats!O298</f>
        <v>55664.756269999998</v>
      </c>
      <c r="N17" s="263">
        <f>Résultats!P298</f>
        <v>56165.837679999997</v>
      </c>
      <c r="O17" s="263">
        <f>Résultats!Q298</f>
        <v>56487.538690000001</v>
      </c>
      <c r="P17" s="263">
        <f>Résultats!R298</f>
        <v>55950.838819999997</v>
      </c>
      <c r="Q17" s="263">
        <f>Résultats!S297</f>
        <v>158656.7341</v>
      </c>
      <c r="R17" s="263">
        <f>Résultats!T298</f>
        <v>55714.918010000001</v>
      </c>
      <c r="S17" s="263">
        <f>Résultats!U298</f>
        <v>56070.950649999999</v>
      </c>
      <c r="T17" s="263">
        <f>Résultats!V298</f>
        <v>56413.212679999997</v>
      </c>
      <c r="U17" s="263">
        <f>Résultats!W298</f>
        <v>56612.654699999999</v>
      </c>
      <c r="V17" s="263">
        <f>Résultats!X298</f>
        <v>56732.52564</v>
      </c>
      <c r="W17" s="263">
        <f>Résultats!Y298</f>
        <v>56851.954270000002</v>
      </c>
      <c r="X17" s="263">
        <f>Résultats!Z298</f>
        <v>56898.450810000002</v>
      </c>
      <c r="Y17" s="263">
        <f>Résultats!AA298</f>
        <v>57020.784359999998</v>
      </c>
      <c r="Z17" s="263">
        <f>Résultats!AB298</f>
        <v>57150.086490000002</v>
      </c>
      <c r="AA17" s="263">
        <f>Résultats!AC297</f>
        <v>161599.9688</v>
      </c>
      <c r="AB17" s="263">
        <f>Résultats!AD298</f>
        <v>57384.790150000001</v>
      </c>
      <c r="AC17" s="263">
        <f>Résultats!AE298</f>
        <v>57235.589970000001</v>
      </c>
      <c r="AD17" s="263">
        <f>Résultats!AF298</f>
        <v>57205.599269999999</v>
      </c>
      <c r="AE17" s="263">
        <f>Résultats!AG298</f>
        <v>57229.37902</v>
      </c>
      <c r="AF17" s="263">
        <f>Résultats!AH298</f>
        <v>57039.279609999998</v>
      </c>
      <c r="AG17" s="263">
        <f>Résultats!AI298</f>
        <v>57231.756450000001</v>
      </c>
      <c r="AH17" s="263">
        <f>Résultats!AJ298</f>
        <v>57389.081030000001</v>
      </c>
      <c r="AI17" s="263">
        <f>Résultats!AK298</f>
        <v>57521.58956</v>
      </c>
      <c r="AJ17" s="263">
        <f>Résultats!AL298</f>
        <v>57647.103170000002</v>
      </c>
      <c r="AK17" s="263">
        <f>Résultats!AM298</f>
        <v>57763.038860000001</v>
      </c>
      <c r="AL17" s="263">
        <f>Résultats!AN298</f>
        <v>57860.417930000003</v>
      </c>
      <c r="AM17" s="263">
        <f>Résultats!AO298</f>
        <v>57978.087270000004</v>
      </c>
      <c r="AN17" s="263">
        <f>Résultats!AP298</f>
        <v>58115.024870000001</v>
      </c>
      <c r="AO17" s="263">
        <f>Résultats!AQ298</f>
        <v>58257.913569999997</v>
      </c>
      <c r="AP17" s="263">
        <f>Résultats!AR298</f>
        <v>58403.055610000003</v>
      </c>
      <c r="AQ17" s="263">
        <f>Résultats!AS298</f>
        <v>58528.100030000001</v>
      </c>
      <c r="AR17" s="263">
        <f>Résultats!AT298</f>
        <v>58669.655619999998</v>
      </c>
      <c r="AS17" s="263">
        <f>Résultats!AU298</f>
        <v>58816.996740000002</v>
      </c>
      <c r="AT17" s="263">
        <f>Résultats!AV298</f>
        <v>58968.192029999998</v>
      </c>
      <c r="AU17" s="264">
        <f>Résultats!AW297</f>
        <v>164546.3314</v>
      </c>
      <c r="AW17" s="253"/>
    </row>
    <row r="18" spans="1:49" x14ac:dyDescent="0.25">
      <c r="B18" s="258" t="s">
        <v>470</v>
      </c>
      <c r="C18" s="259">
        <f>Résultats!E299</f>
        <v>580650.23010000004</v>
      </c>
      <c r="D18" s="212">
        <f>Résultats!F299</f>
        <v>597421.41720000003</v>
      </c>
      <c r="E18" s="212">
        <f>Résultats!G299</f>
        <v>601423.31790000002</v>
      </c>
      <c r="F18" s="212">
        <f>Résultats!H299</f>
        <v>613485.36430000002</v>
      </c>
      <c r="G18" s="212">
        <f>Résultats!I299</f>
        <v>622526.41229999997</v>
      </c>
      <c r="H18" s="212">
        <f>Résultats!J299</f>
        <v>639060.72510000004</v>
      </c>
      <c r="I18" s="212">
        <f>Résultats!K299</f>
        <v>654187.41319999995</v>
      </c>
      <c r="J18" s="212">
        <f>Résultats!L299</f>
        <v>673261.22919999994</v>
      </c>
      <c r="K18" s="212">
        <f>Résultats!M299</f>
        <v>699071.11360000004</v>
      </c>
      <c r="L18" s="212">
        <f>Résultats!N299</f>
        <v>724965.24769999995</v>
      </c>
      <c r="M18" s="212">
        <f>Résultats!O299</f>
        <v>728125.31909999996</v>
      </c>
      <c r="N18" s="212">
        <f>Résultats!P299</f>
        <v>728107.21699999995</v>
      </c>
      <c r="O18" s="212">
        <f>Résultats!Q299</f>
        <v>725402.1544</v>
      </c>
      <c r="P18" s="212">
        <f>Résultats!R299</f>
        <v>722052.5037</v>
      </c>
      <c r="Q18" s="212">
        <f>Résultats!S299</f>
        <v>725832.86600000004</v>
      </c>
      <c r="R18" s="212">
        <f>Résultats!T299</f>
        <v>728282.23659999995</v>
      </c>
      <c r="S18" s="212">
        <f>Résultats!U299</f>
        <v>730871.81599999999</v>
      </c>
      <c r="T18" s="212">
        <f>Résultats!V299</f>
        <v>732973.41489999997</v>
      </c>
      <c r="U18" s="212">
        <f>Résultats!W299</f>
        <v>734661.74710000004</v>
      </c>
      <c r="V18" s="212">
        <f>Résultats!X299</f>
        <v>735830.79489999998</v>
      </c>
      <c r="W18" s="212">
        <f>Résultats!Y299</f>
        <v>736927.85649999999</v>
      </c>
      <c r="X18" s="212">
        <f>Résultats!Z299</f>
        <v>737869.07290000003</v>
      </c>
      <c r="Y18" s="212">
        <f>Résultats!AA299</f>
        <v>739415.89839999995</v>
      </c>
      <c r="Z18" s="212">
        <f>Résultats!AB299</f>
        <v>741214.33900000004</v>
      </c>
      <c r="AA18" s="212">
        <f>Résultats!AC299</f>
        <v>743069.84329999995</v>
      </c>
      <c r="AB18" s="212">
        <f>Résultats!AD299</f>
        <v>745073.80070000002</v>
      </c>
      <c r="AC18" s="212">
        <f>Résultats!AE299</f>
        <v>747562.18469999998</v>
      </c>
      <c r="AD18" s="212">
        <f>Résultats!AF299</f>
        <v>749993.43440000003</v>
      </c>
      <c r="AE18" s="212">
        <f>Résultats!AG299</f>
        <v>752471.93370000005</v>
      </c>
      <c r="AF18" s="212">
        <f>Résultats!AH299</f>
        <v>755644.98239999998</v>
      </c>
      <c r="AG18" s="212">
        <f>Résultats!AI299</f>
        <v>758224.95689999999</v>
      </c>
      <c r="AH18" s="212">
        <f>Résultats!AJ299</f>
        <v>761137.97499999998</v>
      </c>
      <c r="AI18" s="212">
        <f>Résultats!AK299</f>
        <v>764170.70400000003</v>
      </c>
      <c r="AJ18" s="212">
        <f>Résultats!AL299</f>
        <v>767303.13509999996</v>
      </c>
      <c r="AK18" s="212">
        <f>Résultats!AM299</f>
        <v>770461.02540000004</v>
      </c>
      <c r="AL18" s="212">
        <f>Résultats!AN299</f>
        <v>773708.95589999994</v>
      </c>
      <c r="AM18" s="212">
        <f>Résultats!AO299</f>
        <v>776843.19290000002</v>
      </c>
      <c r="AN18" s="212">
        <f>Résultats!AP299</f>
        <v>779975.77529999998</v>
      </c>
      <c r="AO18" s="212">
        <f>Résultats!AQ299</f>
        <v>783082.20559999999</v>
      </c>
      <c r="AP18" s="212">
        <f>Résultats!AR299</f>
        <v>786156.11239999998</v>
      </c>
      <c r="AQ18" s="212">
        <f>Résultats!AS299</f>
        <v>789238.95680000004</v>
      </c>
      <c r="AR18" s="212">
        <f>Résultats!AT299</f>
        <v>792296.79639999999</v>
      </c>
      <c r="AS18" s="212">
        <f>Résultats!AU299</f>
        <v>795325.67039999994</v>
      </c>
      <c r="AT18" s="212">
        <f>Résultats!AV299</f>
        <v>798335.20490000001</v>
      </c>
      <c r="AU18" s="260">
        <f>Résultats!AW299</f>
        <v>801378.15870000003</v>
      </c>
    </row>
    <row r="19" spans="1:49" x14ac:dyDescent="0.25">
      <c r="B19" s="258" t="s">
        <v>471</v>
      </c>
      <c r="C19" s="259">
        <f>Résultats!E296</f>
        <v>533482.14110000001</v>
      </c>
      <c r="D19" s="212">
        <f>Résultats!F296</f>
        <v>549174.40269999998</v>
      </c>
      <c r="E19" s="212">
        <f>Résultats!G296</f>
        <v>553296.50879999995</v>
      </c>
      <c r="F19" s="212">
        <f>Résultats!H296</f>
        <v>564279.29209999996</v>
      </c>
      <c r="G19" s="212">
        <f>Résultats!I296</f>
        <v>572701.62170000002</v>
      </c>
      <c r="H19" s="212">
        <f>Résultats!J296</f>
        <v>587816.85820000002</v>
      </c>
      <c r="I19" s="212">
        <f>Résultats!K296</f>
        <v>602541.55729999999</v>
      </c>
      <c r="J19" s="212">
        <f>Résultats!L296</f>
        <v>620660.0834</v>
      </c>
      <c r="K19" s="212">
        <f>Résultats!M296</f>
        <v>644622.52579999994</v>
      </c>
      <c r="L19" s="212">
        <f>Résultats!N296</f>
        <v>669397.62589999998</v>
      </c>
      <c r="M19" s="212">
        <f>Résultats!O296</f>
        <v>672483.90630000003</v>
      </c>
      <c r="N19" s="212">
        <f>Résultats!P296</f>
        <v>671967.16260000004</v>
      </c>
      <c r="O19" s="212">
        <f>Résultats!Q296</f>
        <v>668943.00890000002</v>
      </c>
      <c r="P19" s="212">
        <f>Résultats!R296</f>
        <v>666130.66339999996</v>
      </c>
      <c r="Q19" s="212">
        <f>Résultats!S296</f>
        <v>669767.97089999996</v>
      </c>
      <c r="R19" s="212">
        <f>Résultats!T296</f>
        <v>670472.82660000003</v>
      </c>
      <c r="S19" s="212">
        <f>Résultats!U296</f>
        <v>672026.804</v>
      </c>
      <c r="T19" s="212">
        <f>Résultats!V296</f>
        <v>673105.03740000003</v>
      </c>
      <c r="U19" s="212">
        <f>Résultats!W296</f>
        <v>673911.76639999996</v>
      </c>
      <c r="V19" s="212">
        <f>Résultats!X296</f>
        <v>674279.75109999999</v>
      </c>
      <c r="W19" s="212">
        <f>Résultats!Y296</f>
        <v>674575.299</v>
      </c>
      <c r="X19" s="212">
        <f>Résultats!Z296</f>
        <v>674787.87450000003</v>
      </c>
      <c r="Y19" s="212">
        <f>Résultats!AA296</f>
        <v>675523.54399999999</v>
      </c>
      <c r="Z19" s="212">
        <f>Résultats!AB296</f>
        <v>676499.13260000001</v>
      </c>
      <c r="AA19" s="212">
        <f>Résultats!AC296</f>
        <v>677542.36329999997</v>
      </c>
      <c r="AB19" s="212">
        <f>Résultats!AD296</f>
        <v>678725.74380000005</v>
      </c>
      <c r="AC19" s="212">
        <f>Résultats!AE296</f>
        <v>680653.49750000006</v>
      </c>
      <c r="AD19" s="212">
        <f>Résultats!AF296</f>
        <v>682400.97849999997</v>
      </c>
      <c r="AE19" s="212">
        <f>Résultats!AG296</f>
        <v>684137.15159999998</v>
      </c>
      <c r="AF19" s="212">
        <f>Résultats!AH296</f>
        <v>686768.12250000006</v>
      </c>
      <c r="AG19" s="212">
        <f>Résultats!AI296</f>
        <v>688426.43279999995</v>
      </c>
      <c r="AH19" s="212">
        <f>Résultats!AJ296</f>
        <v>690443.09470000002</v>
      </c>
      <c r="AI19" s="212">
        <f>Résultats!AK296</f>
        <v>692597.44169999997</v>
      </c>
      <c r="AJ19" s="212">
        <f>Résultats!AL296</f>
        <v>694851.67480000004</v>
      </c>
      <c r="AK19" s="212">
        <f>Résultats!AM296</f>
        <v>697135.35479999997</v>
      </c>
      <c r="AL19" s="212">
        <f>Résultats!AN296</f>
        <v>699520.63020000001</v>
      </c>
      <c r="AM19" s="212">
        <f>Résultats!AO296</f>
        <v>701769.06180000002</v>
      </c>
      <c r="AN19" s="212">
        <f>Résultats!AP296</f>
        <v>703991.51130000001</v>
      </c>
      <c r="AO19" s="212">
        <f>Résultats!AQ296</f>
        <v>706177.42680000002</v>
      </c>
      <c r="AP19" s="212">
        <f>Résultats!AR296</f>
        <v>708324.38119999995</v>
      </c>
      <c r="AQ19" s="212">
        <f>Résultats!AS296</f>
        <v>710495.2426</v>
      </c>
      <c r="AR19" s="212">
        <f>Résultats!AT296</f>
        <v>712620.29310000001</v>
      </c>
      <c r="AS19" s="212">
        <f>Résultats!AU296</f>
        <v>714706.50930000003</v>
      </c>
      <c r="AT19" s="212">
        <f>Résultats!AV296</f>
        <v>716765.27150000003</v>
      </c>
      <c r="AU19" s="260">
        <f>Résultats!AW296</f>
        <v>718842.28009999997</v>
      </c>
    </row>
    <row r="20" spans="1:49" x14ac:dyDescent="0.25">
      <c r="B20" s="261" t="s">
        <v>472</v>
      </c>
      <c r="C20" s="262">
        <f>Résultats!E297</f>
        <v>85388.793109999999</v>
      </c>
      <c r="D20" s="263">
        <f>Résultats!F297</f>
        <v>92724.846789999996</v>
      </c>
      <c r="E20" s="263">
        <f>Résultats!G297</f>
        <v>97432.218959999998</v>
      </c>
      <c r="F20" s="263">
        <f>Résultats!H297</f>
        <v>105669.2015</v>
      </c>
      <c r="G20" s="263">
        <f>Résultats!I297</f>
        <v>111418.03200000001</v>
      </c>
      <c r="H20" s="263">
        <f>Résultats!J297</f>
        <v>122829.49310000001</v>
      </c>
      <c r="I20" s="263">
        <f>Résultats!K297</f>
        <v>131990.06200000001</v>
      </c>
      <c r="J20" s="263">
        <f>Résultats!L297</f>
        <v>140914.3278</v>
      </c>
      <c r="K20" s="263">
        <f>Résultats!M297</f>
        <v>152817.8676</v>
      </c>
      <c r="L20" s="263">
        <f>Résultats!N297</f>
        <v>160740.57070000001</v>
      </c>
      <c r="M20" s="263">
        <f>Résultats!O297</f>
        <v>157619.06529999999</v>
      </c>
      <c r="N20" s="263">
        <f>Résultats!P297</f>
        <v>157934.82389999999</v>
      </c>
      <c r="O20" s="263">
        <f>Résultats!Q297</f>
        <v>161250.35759999999</v>
      </c>
      <c r="P20" s="263">
        <f>Résultats!R297</f>
        <v>158391.42739999999</v>
      </c>
      <c r="Q20" s="263">
        <f>Résultats!S298</f>
        <v>56094.261059999997</v>
      </c>
      <c r="R20" s="263">
        <f>Résultats!T297</f>
        <v>157673.66990000001</v>
      </c>
      <c r="S20" s="263">
        <f>Résultats!U297</f>
        <v>158649.89600000001</v>
      </c>
      <c r="T20" s="263">
        <f>Résultats!V297</f>
        <v>159580.55069999999</v>
      </c>
      <c r="U20" s="263">
        <f>Résultats!W297</f>
        <v>160099.91630000001</v>
      </c>
      <c r="V20" s="263">
        <f>Résultats!X297</f>
        <v>160407.74710000001</v>
      </c>
      <c r="W20" s="263">
        <f>Résultats!Y297</f>
        <v>160686.5123</v>
      </c>
      <c r="X20" s="263">
        <f>Résultats!Z297</f>
        <v>160742.15659999999</v>
      </c>
      <c r="Y20" s="263">
        <f>Résultats!AA297</f>
        <v>161027.17629999999</v>
      </c>
      <c r="Z20" s="263">
        <f>Résultats!AB297</f>
        <v>161334.0625</v>
      </c>
      <c r="AA20" s="263">
        <f>Résultats!AC298</f>
        <v>57265.548020000002</v>
      </c>
      <c r="AB20" s="263">
        <f>Résultats!AD297</f>
        <v>161874.0974</v>
      </c>
      <c r="AC20" s="263">
        <f>Résultats!AE297</f>
        <v>161322.429</v>
      </c>
      <c r="AD20" s="263">
        <f>Résultats!AF297</f>
        <v>161134.80970000001</v>
      </c>
      <c r="AE20" s="263">
        <f>Résultats!AG297</f>
        <v>161107.74969999999</v>
      </c>
      <c r="AF20" s="263">
        <f>Résultats!AH297</f>
        <v>160380.20910000001</v>
      </c>
      <c r="AG20" s="263">
        <f>Résultats!AI297</f>
        <v>160876.04689999999</v>
      </c>
      <c r="AH20" s="263">
        <f>Résultats!AJ297</f>
        <v>161235.3939</v>
      </c>
      <c r="AI20" s="263">
        <f>Résultats!AK297</f>
        <v>161500.24299999999</v>
      </c>
      <c r="AJ20" s="263">
        <f>Résultats!AL297</f>
        <v>161730.34220000001</v>
      </c>
      <c r="AK20" s="263">
        <f>Résultats!AM297</f>
        <v>161925.2072</v>
      </c>
      <c r="AL20" s="263">
        <f>Résultats!AN297</f>
        <v>162056.5655</v>
      </c>
      <c r="AM20" s="263">
        <f>Résultats!AO297</f>
        <v>162254.0336</v>
      </c>
      <c r="AN20" s="263">
        <f>Résultats!AP297</f>
        <v>162516.06529999999</v>
      </c>
      <c r="AO20" s="263">
        <f>Résultats!AQ297</f>
        <v>162799.40919999999</v>
      </c>
      <c r="AP20" s="263">
        <f>Résultats!AR297</f>
        <v>163090.916</v>
      </c>
      <c r="AQ20" s="263">
        <f>Résultats!AS297</f>
        <v>163313.78899999999</v>
      </c>
      <c r="AR20" s="263">
        <f>Résultats!AT297</f>
        <v>163593.88750000001</v>
      </c>
      <c r="AS20" s="263">
        <f>Résultats!AU297</f>
        <v>163893.61240000001</v>
      </c>
      <c r="AT20" s="263">
        <f>Résultats!AV297</f>
        <v>164205.7991</v>
      </c>
      <c r="AU20" s="264">
        <f>Résultats!AW298</f>
        <v>59128.82372</v>
      </c>
    </row>
    <row r="21" spans="1:49" x14ac:dyDescent="0.25">
      <c r="B21" s="249" t="s">
        <v>473</v>
      </c>
      <c r="C21" s="250">
        <f t="shared" ref="C21:AU21" si="6">C16+C19</f>
        <v>696943.44530000002</v>
      </c>
      <c r="D21" s="251">
        <f t="shared" si="6"/>
        <v>723613.48579999991</v>
      </c>
      <c r="E21" s="251">
        <f t="shared" si="6"/>
        <v>735042.60899999994</v>
      </c>
      <c r="F21" s="251">
        <f t="shared" si="6"/>
        <v>754058.61709999992</v>
      </c>
      <c r="G21" s="251">
        <f t="shared" si="6"/>
        <v>770354.74179999996</v>
      </c>
      <c r="H21" s="251">
        <f t="shared" si="6"/>
        <v>795720.14950000006</v>
      </c>
      <c r="I21" s="251">
        <f t="shared" si="6"/>
        <v>826485.9044</v>
      </c>
      <c r="J21" s="251">
        <f t="shared" si="6"/>
        <v>861243.65240000002</v>
      </c>
      <c r="K21" s="251">
        <f t="shared" si="6"/>
        <v>902836.79869999993</v>
      </c>
      <c r="L21" s="251">
        <f t="shared" si="6"/>
        <v>951313.60389999999</v>
      </c>
      <c r="M21" s="251">
        <f t="shared" si="6"/>
        <v>956351.20810000005</v>
      </c>
      <c r="N21" s="251">
        <f t="shared" si="6"/>
        <v>951210.55</v>
      </c>
      <c r="O21" s="251">
        <f t="shared" si="6"/>
        <v>942872.66700000002</v>
      </c>
      <c r="P21" s="251">
        <f t="shared" si="6"/>
        <v>940017.31719999993</v>
      </c>
      <c r="Q21" s="251">
        <f t="shared" si="6"/>
        <v>946293.39870000002</v>
      </c>
      <c r="R21" s="251">
        <f t="shared" si="6"/>
        <v>951680.74840000004</v>
      </c>
      <c r="S21" s="251">
        <f t="shared" si="6"/>
        <v>952947.53240000003</v>
      </c>
      <c r="T21" s="251">
        <f t="shared" si="6"/>
        <v>953359.70020000008</v>
      </c>
      <c r="U21" s="251">
        <f t="shared" si="6"/>
        <v>954252.35019999999</v>
      </c>
      <c r="V21" s="251">
        <f t="shared" si="6"/>
        <v>954837.0135</v>
      </c>
      <c r="W21" s="251">
        <f t="shared" si="6"/>
        <v>955250.90220000001</v>
      </c>
      <c r="X21" s="251">
        <f t="shared" si="6"/>
        <v>956022.027</v>
      </c>
      <c r="Y21" s="251">
        <f t="shared" si="6"/>
        <v>957312.85880000005</v>
      </c>
      <c r="Z21" s="251">
        <f t="shared" si="6"/>
        <v>959041.69160000002</v>
      </c>
      <c r="AA21" s="251">
        <f t="shared" si="6"/>
        <v>961008.44849999994</v>
      </c>
      <c r="AB21" s="251">
        <f t="shared" si="6"/>
        <v>963234.66930000007</v>
      </c>
      <c r="AC21" s="251">
        <f t="shared" si="6"/>
        <v>968906.98670000001</v>
      </c>
      <c r="AD21" s="251">
        <f t="shared" si="6"/>
        <v>973358.68649999995</v>
      </c>
      <c r="AE21" s="251">
        <f t="shared" si="6"/>
        <v>977400.05869999994</v>
      </c>
      <c r="AF21" s="251">
        <f t="shared" si="6"/>
        <v>984834.8014</v>
      </c>
      <c r="AG21" s="251">
        <f t="shared" si="6"/>
        <v>987505.84409999987</v>
      </c>
      <c r="AH21" s="251">
        <f t="shared" si="6"/>
        <v>991161.48439999996</v>
      </c>
      <c r="AI21" s="251">
        <f t="shared" si="6"/>
        <v>995286.2808999999</v>
      </c>
      <c r="AJ21" s="251">
        <f t="shared" si="6"/>
        <v>999669.01399999997</v>
      </c>
      <c r="AK21" s="251">
        <f t="shared" si="6"/>
        <v>1004185.0330000001</v>
      </c>
      <c r="AL21" s="251">
        <f t="shared" si="6"/>
        <v>1009056.7609</v>
      </c>
      <c r="AM21" s="251">
        <f t="shared" si="6"/>
        <v>1013507.8894</v>
      </c>
      <c r="AN21" s="251">
        <f t="shared" si="6"/>
        <v>1017772.3648000001</v>
      </c>
      <c r="AO21" s="251">
        <f t="shared" si="6"/>
        <v>1021925.9555</v>
      </c>
      <c r="AP21" s="251">
        <f t="shared" si="6"/>
        <v>1025989.4989</v>
      </c>
      <c r="AQ21" s="251">
        <f t="shared" si="6"/>
        <v>1030256.4037</v>
      </c>
      <c r="AR21" s="251">
        <f t="shared" si="6"/>
        <v>1034314.4209</v>
      </c>
      <c r="AS21" s="251">
        <f t="shared" si="6"/>
        <v>1038254.9566</v>
      </c>
      <c r="AT21" s="251">
        <f t="shared" si="6"/>
        <v>1042116.1475</v>
      </c>
      <c r="AU21" s="252">
        <f t="shared" si="6"/>
        <v>1045951.6919</v>
      </c>
      <c r="AW21" s="253"/>
    </row>
    <row r="22" spans="1:49" x14ac:dyDescent="0.25"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/>
      <c r="AS22" s="212"/>
      <c r="AT22" s="212"/>
      <c r="AU22" s="212"/>
      <c r="AW22" s="253"/>
    </row>
    <row r="23" spans="1:49" s="244" customFormat="1" ht="45" customHeight="1" x14ac:dyDescent="0.25">
      <c r="A23" s="239" t="str">
        <f>"Ecarts "&amp;Résultats!B1&amp;"  - TEND"</f>
        <v>Ecarts SNBC3  - TEND</v>
      </c>
      <c r="B23" s="266" t="s">
        <v>475</v>
      </c>
      <c r="C23" s="242">
        <v>2006</v>
      </c>
      <c r="D23" s="242">
        <v>2007</v>
      </c>
      <c r="E23" s="242">
        <v>2008</v>
      </c>
      <c r="F23" s="242">
        <v>2009</v>
      </c>
      <c r="G23" s="242">
        <v>2010</v>
      </c>
      <c r="H23" s="242">
        <v>2011</v>
      </c>
      <c r="I23" s="242">
        <v>2012</v>
      </c>
      <c r="J23" s="242">
        <v>2013</v>
      </c>
      <c r="K23" s="242">
        <v>2014</v>
      </c>
      <c r="L23" s="242">
        <v>2015</v>
      </c>
      <c r="M23" s="242">
        <v>2016</v>
      </c>
      <c r="N23" s="242">
        <v>2017</v>
      </c>
      <c r="O23" s="242">
        <v>2018</v>
      </c>
      <c r="P23" s="242">
        <v>2019</v>
      </c>
      <c r="Q23" s="242">
        <v>2020</v>
      </c>
      <c r="R23" s="242">
        <v>2021</v>
      </c>
      <c r="S23" s="242">
        <v>2022</v>
      </c>
      <c r="T23" s="242">
        <v>2023</v>
      </c>
      <c r="U23" s="242">
        <v>2024</v>
      </c>
      <c r="V23" s="242">
        <v>2025</v>
      </c>
      <c r="W23" s="242">
        <v>2026</v>
      </c>
      <c r="X23" s="242">
        <v>2027</v>
      </c>
      <c r="Y23" s="242">
        <v>2028</v>
      </c>
      <c r="Z23" s="242">
        <v>2029</v>
      </c>
      <c r="AA23" s="242">
        <v>2030</v>
      </c>
      <c r="AB23" s="242">
        <v>2031</v>
      </c>
      <c r="AC23" s="242">
        <v>2032</v>
      </c>
      <c r="AD23" s="242">
        <v>2033</v>
      </c>
      <c r="AE23" s="242">
        <v>2034</v>
      </c>
      <c r="AF23" s="242">
        <v>2035</v>
      </c>
      <c r="AG23" s="242">
        <v>2036</v>
      </c>
      <c r="AH23" s="242">
        <v>2037</v>
      </c>
      <c r="AI23" s="242">
        <v>2038</v>
      </c>
      <c r="AJ23" s="242">
        <v>2039</v>
      </c>
      <c r="AK23" s="242">
        <v>2040</v>
      </c>
      <c r="AL23" s="242">
        <v>2041</v>
      </c>
      <c r="AM23" s="242">
        <v>2042</v>
      </c>
      <c r="AN23" s="242">
        <v>2043</v>
      </c>
      <c r="AO23" s="242">
        <v>2044</v>
      </c>
      <c r="AP23" s="242">
        <v>2045</v>
      </c>
      <c r="AQ23" s="242">
        <v>2046</v>
      </c>
      <c r="AR23" s="242">
        <v>2047</v>
      </c>
      <c r="AS23" s="242">
        <v>2048</v>
      </c>
      <c r="AT23" s="242">
        <v>2049</v>
      </c>
      <c r="AU23" s="243">
        <v>2050</v>
      </c>
      <c r="AV23" s="267"/>
    </row>
    <row r="24" spans="1:49" x14ac:dyDescent="0.25">
      <c r="B24" s="245" t="s">
        <v>1</v>
      </c>
      <c r="C24" s="247">
        <f t="shared" ref="C24:AU25" si="7">C2-C13</f>
        <v>0</v>
      </c>
      <c r="D24" s="247">
        <f t="shared" si="7"/>
        <v>0</v>
      </c>
      <c r="E24" s="247">
        <f t="shared" si="7"/>
        <v>0</v>
      </c>
      <c r="F24" s="247">
        <f t="shared" si="7"/>
        <v>0</v>
      </c>
      <c r="G24" s="247">
        <f t="shared" si="7"/>
        <v>0</v>
      </c>
      <c r="H24" s="247">
        <f t="shared" si="7"/>
        <v>0</v>
      </c>
      <c r="I24" s="247">
        <f t="shared" si="7"/>
        <v>0</v>
      </c>
      <c r="J24" s="247">
        <f t="shared" si="7"/>
        <v>0</v>
      </c>
      <c r="K24" s="247">
        <f t="shared" si="7"/>
        <v>0</v>
      </c>
      <c r="L24" s="247">
        <f t="shared" si="7"/>
        <v>0</v>
      </c>
      <c r="M24" s="247">
        <f t="shared" si="7"/>
        <v>0</v>
      </c>
      <c r="N24" s="247">
        <f t="shared" si="7"/>
        <v>0</v>
      </c>
      <c r="O24" s="247">
        <f t="shared" si="7"/>
        <v>0</v>
      </c>
      <c r="P24" s="247">
        <f t="shared" si="7"/>
        <v>0</v>
      </c>
      <c r="Q24" s="247">
        <f t="shared" si="7"/>
        <v>5281.6720799999312</v>
      </c>
      <c r="R24" s="247">
        <f t="shared" si="7"/>
        <v>5998.4481600001454</v>
      </c>
      <c r="S24" s="247">
        <f t="shared" si="7"/>
        <v>7110.3359599998221</v>
      </c>
      <c r="T24" s="247">
        <f t="shared" si="7"/>
        <v>7839.3785999999382</v>
      </c>
      <c r="U24" s="247">
        <f t="shared" si="7"/>
        <v>-8028.1384799999651</v>
      </c>
      <c r="V24" s="247">
        <f t="shared" si="7"/>
        <v>-20676.292210000101</v>
      </c>
      <c r="W24" s="247">
        <f t="shared" si="7"/>
        <v>-19479.978190000169</v>
      </c>
      <c r="X24" s="247">
        <f t="shared" si="7"/>
        <v>-22985.068299999926</v>
      </c>
      <c r="Y24" s="247">
        <f t="shared" si="7"/>
        <v>-29326.906510000117</v>
      </c>
      <c r="Z24" s="247">
        <f t="shared" si="7"/>
        <v>-37559.488039999967</v>
      </c>
      <c r="AA24" s="247">
        <f t="shared" si="7"/>
        <v>-47019.876029999927</v>
      </c>
      <c r="AB24" s="247">
        <f t="shared" si="7"/>
        <v>-54556.149280000012</v>
      </c>
      <c r="AC24" s="247">
        <f t="shared" si="7"/>
        <v>-64278.999869999941</v>
      </c>
      <c r="AD24" s="247">
        <f t="shared" si="7"/>
        <v>-73251.269009999931</v>
      </c>
      <c r="AE24" s="247">
        <f t="shared" si="7"/>
        <v>-81850.111000000034</v>
      </c>
      <c r="AF24" s="247">
        <f t="shared" si="7"/>
        <v>-92729.29337999993</v>
      </c>
      <c r="AG24" s="247">
        <f t="shared" si="7"/>
        <v>-101173.84247999964</v>
      </c>
      <c r="AH24" s="247">
        <f t="shared" si="7"/>
        <v>-109334.22133999993</v>
      </c>
      <c r="AI24" s="247">
        <f t="shared" si="7"/>
        <v>-117499.93177799997</v>
      </c>
      <c r="AJ24" s="247">
        <f t="shared" si="7"/>
        <v>-125434.21868399996</v>
      </c>
      <c r="AK24" s="247">
        <f t="shared" si="7"/>
        <v>-133473.84794599982</v>
      </c>
      <c r="AL24" s="247">
        <f t="shared" si="7"/>
        <v>-141786.33030200005</v>
      </c>
      <c r="AM24" s="247">
        <f t="shared" si="7"/>
        <v>-149562.51385699981</v>
      </c>
      <c r="AN24" s="247">
        <f t="shared" si="7"/>
        <v>-157079.89126599999</v>
      </c>
      <c r="AO24" s="247">
        <f t="shared" si="7"/>
        <v>-164446.75261999993</v>
      </c>
      <c r="AP24" s="247">
        <f t="shared" si="7"/>
        <v>-173584.21876399987</v>
      </c>
      <c r="AQ24" s="247">
        <f t="shared" si="7"/>
        <v>-182793.00609200005</v>
      </c>
      <c r="AR24" s="247">
        <f t="shared" si="7"/>
        <v>-191442.85901900008</v>
      </c>
      <c r="AS24" s="247">
        <f t="shared" si="7"/>
        <v>-199538.83979500015</v>
      </c>
      <c r="AT24" s="247">
        <f t="shared" si="7"/>
        <v>-207266.38153400016</v>
      </c>
      <c r="AU24" s="247">
        <f t="shared" si="7"/>
        <v>-215403.2825379998</v>
      </c>
      <c r="AV24" s="268"/>
    </row>
    <row r="25" spans="1:49" x14ac:dyDescent="0.25">
      <c r="B25" s="249" t="s">
        <v>466</v>
      </c>
      <c r="C25" s="251">
        <f t="shared" si="7"/>
        <v>0</v>
      </c>
      <c r="D25" s="251">
        <f t="shared" si="7"/>
        <v>0</v>
      </c>
      <c r="E25" s="251">
        <f t="shared" si="7"/>
        <v>0</v>
      </c>
      <c r="F25" s="251">
        <f t="shared" si="7"/>
        <v>0</v>
      </c>
      <c r="G25" s="251">
        <f t="shared" si="7"/>
        <v>0</v>
      </c>
      <c r="H25" s="251">
        <f t="shared" si="7"/>
        <v>0</v>
      </c>
      <c r="I25" s="251">
        <f t="shared" si="7"/>
        <v>0</v>
      </c>
      <c r="J25" s="251">
        <f t="shared" si="7"/>
        <v>0</v>
      </c>
      <c r="K25" s="251">
        <f t="shared" si="7"/>
        <v>0</v>
      </c>
      <c r="L25" s="251">
        <f t="shared" si="7"/>
        <v>0</v>
      </c>
      <c r="M25" s="251">
        <f t="shared" si="7"/>
        <v>0</v>
      </c>
      <c r="N25" s="251">
        <f t="shared" si="7"/>
        <v>0</v>
      </c>
      <c r="O25" s="251">
        <f t="shared" si="7"/>
        <v>0</v>
      </c>
      <c r="P25" s="251">
        <f t="shared" si="7"/>
        <v>0</v>
      </c>
      <c r="Q25" s="251">
        <f t="shared" si="7"/>
        <v>7.8537899999992078</v>
      </c>
      <c r="R25" s="251">
        <f t="shared" si="7"/>
        <v>13.147890000000189</v>
      </c>
      <c r="S25" s="251">
        <f t="shared" si="7"/>
        <v>25.840270000000601</v>
      </c>
      <c r="T25" s="251">
        <f t="shared" si="7"/>
        <v>46.422620000001189</v>
      </c>
      <c r="U25" s="251">
        <f t="shared" si="7"/>
        <v>-304.92569000000003</v>
      </c>
      <c r="V25" s="251">
        <f t="shared" si="7"/>
        <v>-664.45761999999922</v>
      </c>
      <c r="W25" s="251">
        <f t="shared" si="7"/>
        <v>-989.96112999999968</v>
      </c>
      <c r="X25" s="251">
        <f t="shared" si="7"/>
        <v>-1320.4377199999999</v>
      </c>
      <c r="Y25" s="251">
        <f t="shared" si="7"/>
        <v>-1685.6771800000006</v>
      </c>
      <c r="Z25" s="251">
        <f t="shared" si="7"/>
        <v>-2077.3880200000003</v>
      </c>
      <c r="AA25" s="251">
        <f t="shared" si="7"/>
        <v>-2511.953950000001</v>
      </c>
      <c r="AB25" s="251">
        <f t="shared" si="7"/>
        <v>-3182.2587299999996</v>
      </c>
      <c r="AC25" s="251">
        <f t="shared" si="7"/>
        <v>-3800.6047200000012</v>
      </c>
      <c r="AD25" s="251">
        <f t="shared" si="7"/>
        <v>-4436.0977700000003</v>
      </c>
      <c r="AE25" s="251">
        <f t="shared" si="7"/>
        <v>-5086.76613</v>
      </c>
      <c r="AF25" s="251">
        <f t="shared" si="7"/>
        <v>-5757.5606499999994</v>
      </c>
      <c r="AG25" s="251">
        <f t="shared" si="7"/>
        <v>-6433.6235299999989</v>
      </c>
      <c r="AH25" s="251">
        <f t="shared" si="7"/>
        <v>-7102.5840799999987</v>
      </c>
      <c r="AI25" s="251">
        <f t="shared" si="7"/>
        <v>-7785.6310480000011</v>
      </c>
      <c r="AJ25" s="251">
        <f t="shared" si="7"/>
        <v>-8459.3029839999999</v>
      </c>
      <c r="AK25" s="251">
        <f t="shared" si="7"/>
        <v>-9156.3103159999991</v>
      </c>
      <c r="AL25" s="251">
        <f t="shared" si="7"/>
        <v>-9835.908191999999</v>
      </c>
      <c r="AM25" s="251">
        <f t="shared" si="7"/>
        <v>-10507.868466999998</v>
      </c>
      <c r="AN25" s="251">
        <f t="shared" si="7"/>
        <v>-11184.641436</v>
      </c>
      <c r="AO25" s="251">
        <f t="shared" si="7"/>
        <v>-11864.118199999999</v>
      </c>
      <c r="AP25" s="251">
        <f t="shared" si="7"/>
        <v>-12544.230204</v>
      </c>
      <c r="AQ25" s="251">
        <f t="shared" si="7"/>
        <v>-13232.783941999998</v>
      </c>
      <c r="AR25" s="251">
        <f t="shared" si="7"/>
        <v>-13933.162009</v>
      </c>
      <c r="AS25" s="251">
        <f t="shared" si="7"/>
        <v>-14627.405094999998</v>
      </c>
      <c r="AT25" s="251">
        <f t="shared" si="7"/>
        <v>-15315.612034000002</v>
      </c>
      <c r="AU25" s="251">
        <f t="shared" si="7"/>
        <v>-16016.777398</v>
      </c>
      <c r="AV25" s="268"/>
    </row>
    <row r="26" spans="1:49" x14ac:dyDescent="0.25">
      <c r="B26" s="254" t="s">
        <v>467</v>
      </c>
      <c r="C26" s="256">
        <f t="shared" ref="C26:E26" si="8">SUM(C27:C28)</f>
        <v>0</v>
      </c>
      <c r="D26" s="256">
        <f t="shared" si="8"/>
        <v>0</v>
      </c>
      <c r="E26" s="256">
        <f t="shared" si="8"/>
        <v>0</v>
      </c>
      <c r="F26" s="256">
        <f>SUM(F27:F28)</f>
        <v>0</v>
      </c>
      <c r="G26" s="256">
        <f t="shared" ref="G26:AU26" si="9">SUM(G27:G28)</f>
        <v>0</v>
      </c>
      <c r="H26" s="256">
        <f t="shared" si="9"/>
        <v>0</v>
      </c>
      <c r="I26" s="256">
        <f t="shared" si="9"/>
        <v>0</v>
      </c>
      <c r="J26" s="256">
        <f t="shared" si="9"/>
        <v>0</v>
      </c>
      <c r="K26" s="256">
        <f t="shared" si="9"/>
        <v>0</v>
      </c>
      <c r="L26" s="256">
        <f t="shared" si="9"/>
        <v>0</v>
      </c>
      <c r="M26" s="256">
        <f t="shared" si="9"/>
        <v>0</v>
      </c>
      <c r="N26" s="256">
        <f t="shared" si="9"/>
        <v>0</v>
      </c>
      <c r="O26" s="256">
        <f t="shared" si="9"/>
        <v>0</v>
      </c>
      <c r="P26" s="256">
        <f t="shared" si="9"/>
        <v>0</v>
      </c>
      <c r="Q26" s="256">
        <f t="shared" si="9"/>
        <v>3701.0972999999649</v>
      </c>
      <c r="R26" s="256">
        <f t="shared" si="9"/>
        <v>7429.0124600000127</v>
      </c>
      <c r="S26" s="256">
        <f t="shared" si="9"/>
        <v>9225.9096399999835</v>
      </c>
      <c r="T26" s="256">
        <f t="shared" si="9"/>
        <v>10527.091300000007</v>
      </c>
      <c r="U26" s="256">
        <f t="shared" si="9"/>
        <v>-5831.141790000016</v>
      </c>
      <c r="V26" s="256">
        <f t="shared" si="9"/>
        <v>-18540.726530000014</v>
      </c>
      <c r="W26" s="256">
        <f t="shared" si="9"/>
        <v>-13672.208030000038</v>
      </c>
      <c r="X26" s="256">
        <f t="shared" si="9"/>
        <v>-12743.773890000004</v>
      </c>
      <c r="Y26" s="256">
        <f t="shared" si="9"/>
        <v>-13782.031089999997</v>
      </c>
      <c r="Z26" s="256">
        <f t="shared" si="9"/>
        <v>-16342.573510000017</v>
      </c>
      <c r="AA26" s="256">
        <f t="shared" si="9"/>
        <v>8588.5419000000402</v>
      </c>
      <c r="AB26" s="256">
        <f t="shared" si="9"/>
        <v>-21834.446600000025</v>
      </c>
      <c r="AC26" s="256">
        <f t="shared" si="9"/>
        <v>-26467.636020000013</v>
      </c>
      <c r="AD26" s="256">
        <f t="shared" si="9"/>
        <v>-30076.472609999983</v>
      </c>
      <c r="AE26" s="256">
        <f t="shared" si="9"/>
        <v>-33267.149390000021</v>
      </c>
      <c r="AF26" s="256">
        <f t="shared" si="9"/>
        <v>-38646.803339999991</v>
      </c>
      <c r="AG26" s="256">
        <f t="shared" si="9"/>
        <v>-41598.390499999987</v>
      </c>
      <c r="AH26" s="256">
        <f t="shared" si="9"/>
        <v>-44642.457689999996</v>
      </c>
      <c r="AI26" s="256">
        <f t="shared" si="9"/>
        <v>-47628.022090000006</v>
      </c>
      <c r="AJ26" s="256">
        <f t="shared" si="9"/>
        <v>-50649.614569999976</v>
      </c>
      <c r="AK26" s="256">
        <f t="shared" si="9"/>
        <v>-53649.302390000026</v>
      </c>
      <c r="AL26" s="256">
        <f t="shared" si="9"/>
        <v>-56936.204540000072</v>
      </c>
      <c r="AM26" s="256">
        <f t="shared" si="9"/>
        <v>-59904.852760000023</v>
      </c>
      <c r="AN26" s="256">
        <f t="shared" si="9"/>
        <v>-62725.969600000033</v>
      </c>
      <c r="AO26" s="256">
        <f t="shared" si="9"/>
        <v>-65465.399990000027</v>
      </c>
      <c r="AP26" s="256">
        <f t="shared" si="9"/>
        <v>-69772.023970000009</v>
      </c>
      <c r="AQ26" s="256">
        <f t="shared" si="9"/>
        <v>-73830.763880000028</v>
      </c>
      <c r="AR26" s="256">
        <f t="shared" si="9"/>
        <v>-77510.999030000006</v>
      </c>
      <c r="AS26" s="256">
        <f t="shared" si="9"/>
        <v>-81015.689239999992</v>
      </c>
      <c r="AT26" s="256">
        <f t="shared" si="9"/>
        <v>-84367.481629999995</v>
      </c>
      <c r="AU26" s="256">
        <f t="shared" si="9"/>
        <v>6967.0544999999984</v>
      </c>
      <c r="AV26" s="268"/>
    </row>
    <row r="27" spans="1:49" x14ac:dyDescent="0.25">
      <c r="B27" s="258" t="s">
        <v>468</v>
      </c>
      <c r="C27" s="212">
        <f t="shared" ref="C27:AU28" si="10">C5-C16</f>
        <v>0</v>
      </c>
      <c r="D27" s="212">
        <f t="shared" si="10"/>
        <v>0</v>
      </c>
      <c r="E27" s="212">
        <f t="shared" si="10"/>
        <v>0</v>
      </c>
      <c r="F27" s="212">
        <f t="shared" si="10"/>
        <v>0</v>
      </c>
      <c r="G27" s="212">
        <f t="shared" si="10"/>
        <v>0</v>
      </c>
      <c r="H27" s="212">
        <f t="shared" si="10"/>
        <v>0</v>
      </c>
      <c r="I27" s="212">
        <f t="shared" si="10"/>
        <v>0</v>
      </c>
      <c r="J27" s="212">
        <f t="shared" si="10"/>
        <v>0</v>
      </c>
      <c r="K27" s="212">
        <f t="shared" si="10"/>
        <v>0</v>
      </c>
      <c r="L27" s="212">
        <f t="shared" si="10"/>
        <v>0</v>
      </c>
      <c r="M27" s="212">
        <f t="shared" si="10"/>
        <v>0</v>
      </c>
      <c r="N27" s="212">
        <f t="shared" si="10"/>
        <v>0</v>
      </c>
      <c r="O27" s="212">
        <f t="shared" si="10"/>
        <v>0</v>
      </c>
      <c r="P27" s="212">
        <f t="shared" si="10"/>
        <v>0</v>
      </c>
      <c r="Q27" s="212">
        <f t="shared" si="10"/>
        <v>5089.9343999999692</v>
      </c>
      <c r="R27" s="212">
        <f t="shared" si="10"/>
        <v>8191.5224000000162</v>
      </c>
      <c r="S27" s="212">
        <f t="shared" si="10"/>
        <v>10184.601399999985</v>
      </c>
      <c r="T27" s="212">
        <f t="shared" si="10"/>
        <v>11617.947400000005</v>
      </c>
      <c r="U27" s="212">
        <f t="shared" si="10"/>
        <v>-7791.3558000000194</v>
      </c>
      <c r="V27" s="212">
        <f t="shared" si="10"/>
        <v>-23090.719700000016</v>
      </c>
      <c r="W27" s="212">
        <f t="shared" si="10"/>
        <v>-18239.586500000034</v>
      </c>
      <c r="X27" s="212">
        <f t="shared" si="10"/>
        <v>-17674.675300000003</v>
      </c>
      <c r="Y27" s="212">
        <f t="shared" si="10"/>
        <v>-19181.587</v>
      </c>
      <c r="Z27" s="212">
        <f t="shared" si="10"/>
        <v>-22316.361300000019</v>
      </c>
      <c r="AA27" s="212">
        <f t="shared" si="10"/>
        <v>-26386.439899999968</v>
      </c>
      <c r="AB27" s="212">
        <f t="shared" si="10"/>
        <v>-28569.697200000024</v>
      </c>
      <c r="AC27" s="212">
        <f t="shared" si="10"/>
        <v>-33633.899700000009</v>
      </c>
      <c r="AD27" s="212">
        <f t="shared" si="10"/>
        <v>-37505.647899999982</v>
      </c>
      <c r="AE27" s="212">
        <f t="shared" si="10"/>
        <v>-40897.141300000018</v>
      </c>
      <c r="AF27" s="212">
        <f t="shared" si="10"/>
        <v>-46679.153699999995</v>
      </c>
      <c r="AG27" s="212">
        <f t="shared" si="10"/>
        <v>-49830.478199999983</v>
      </c>
      <c r="AH27" s="212">
        <f t="shared" si="10"/>
        <v>-53108.228499999997</v>
      </c>
      <c r="AI27" s="212">
        <f t="shared" si="10"/>
        <v>-56289.9087</v>
      </c>
      <c r="AJ27" s="212">
        <f t="shared" si="10"/>
        <v>-59525.245799999975</v>
      </c>
      <c r="AK27" s="212">
        <f t="shared" si="10"/>
        <v>-62701.966200000024</v>
      </c>
      <c r="AL27" s="212">
        <f t="shared" si="10"/>
        <v>-66208.463299999974</v>
      </c>
      <c r="AM27" s="212">
        <f t="shared" si="10"/>
        <v>-69380.79700000002</v>
      </c>
      <c r="AN27" s="212">
        <f t="shared" si="10"/>
        <v>-72398.250200000039</v>
      </c>
      <c r="AO27" s="212">
        <f t="shared" si="10"/>
        <v>-75320.483500000031</v>
      </c>
      <c r="AP27" s="212">
        <f t="shared" si="10"/>
        <v>-79966.285000000003</v>
      </c>
      <c r="AQ27" s="212">
        <f t="shared" si="10"/>
        <v>-84246.519600000029</v>
      </c>
      <c r="AR27" s="212">
        <f t="shared" si="10"/>
        <v>-88128.156500000012</v>
      </c>
      <c r="AS27" s="212">
        <f t="shared" si="10"/>
        <v>-91858.706399999995</v>
      </c>
      <c r="AT27" s="212">
        <f t="shared" si="10"/>
        <v>-95426.219400000002</v>
      </c>
      <c r="AU27" s="212">
        <f t="shared" si="10"/>
        <v>-98304.611700000009</v>
      </c>
      <c r="AV27" s="268"/>
    </row>
    <row r="28" spans="1:49" x14ac:dyDescent="0.25">
      <c r="B28" s="261" t="s">
        <v>469</v>
      </c>
      <c r="C28" s="263">
        <f t="shared" si="10"/>
        <v>0</v>
      </c>
      <c r="D28" s="263">
        <f t="shared" si="10"/>
        <v>0</v>
      </c>
      <c r="E28" s="263">
        <f t="shared" si="10"/>
        <v>0</v>
      </c>
      <c r="F28" s="263">
        <f t="shared" si="10"/>
        <v>0</v>
      </c>
      <c r="G28" s="263">
        <f t="shared" si="10"/>
        <v>0</v>
      </c>
      <c r="H28" s="263">
        <f t="shared" si="10"/>
        <v>0</v>
      </c>
      <c r="I28" s="263">
        <f t="shared" si="10"/>
        <v>0</v>
      </c>
      <c r="J28" s="263">
        <f t="shared" si="10"/>
        <v>0</v>
      </c>
      <c r="K28" s="263">
        <f t="shared" si="10"/>
        <v>0</v>
      </c>
      <c r="L28" s="263">
        <f t="shared" si="10"/>
        <v>0</v>
      </c>
      <c r="M28" s="263">
        <f t="shared" si="10"/>
        <v>0</v>
      </c>
      <c r="N28" s="263">
        <f t="shared" si="10"/>
        <v>0</v>
      </c>
      <c r="O28" s="263">
        <f t="shared" si="10"/>
        <v>0</v>
      </c>
      <c r="P28" s="263">
        <f t="shared" si="10"/>
        <v>0</v>
      </c>
      <c r="Q28" s="263">
        <f t="shared" si="10"/>
        <v>-1388.8371000000043</v>
      </c>
      <c r="R28" s="263">
        <f t="shared" si="10"/>
        <v>-762.50994000000355</v>
      </c>
      <c r="S28" s="263">
        <f t="shared" si="10"/>
        <v>-958.69176000000152</v>
      </c>
      <c r="T28" s="263">
        <f t="shared" si="10"/>
        <v>-1090.8560999999972</v>
      </c>
      <c r="U28" s="263">
        <f t="shared" si="10"/>
        <v>1960.2140100000033</v>
      </c>
      <c r="V28" s="263">
        <f t="shared" si="10"/>
        <v>4549.9931700000016</v>
      </c>
      <c r="W28" s="263">
        <f t="shared" si="10"/>
        <v>4567.378469999996</v>
      </c>
      <c r="X28" s="263">
        <f t="shared" si="10"/>
        <v>4930.9014099999986</v>
      </c>
      <c r="Y28" s="263">
        <f t="shared" si="10"/>
        <v>5399.5559100000028</v>
      </c>
      <c r="Z28" s="263">
        <f t="shared" si="10"/>
        <v>5973.7877900000021</v>
      </c>
      <c r="AA28" s="263">
        <f t="shared" si="10"/>
        <v>34974.981800000009</v>
      </c>
      <c r="AB28" s="263">
        <f t="shared" si="10"/>
        <v>6735.2505999999994</v>
      </c>
      <c r="AC28" s="263">
        <f t="shared" si="10"/>
        <v>7166.2636799999964</v>
      </c>
      <c r="AD28" s="263">
        <f t="shared" si="10"/>
        <v>7429.1752899999992</v>
      </c>
      <c r="AE28" s="263">
        <f t="shared" si="10"/>
        <v>7629.991909999997</v>
      </c>
      <c r="AF28" s="263">
        <f t="shared" si="10"/>
        <v>8032.350360000004</v>
      </c>
      <c r="AG28" s="263">
        <f t="shared" si="10"/>
        <v>8232.0876999999964</v>
      </c>
      <c r="AH28" s="263">
        <f t="shared" si="10"/>
        <v>8465.7708100000018</v>
      </c>
      <c r="AI28" s="263">
        <f t="shared" si="10"/>
        <v>8661.8866099999941</v>
      </c>
      <c r="AJ28" s="263">
        <f t="shared" si="10"/>
        <v>8875.6312299999991</v>
      </c>
      <c r="AK28" s="263">
        <f t="shared" si="10"/>
        <v>9052.6638099999982</v>
      </c>
      <c r="AL28" s="263">
        <f t="shared" si="10"/>
        <v>9272.2587599999024</v>
      </c>
      <c r="AM28" s="263">
        <f t="shared" si="10"/>
        <v>9475.9442399999971</v>
      </c>
      <c r="AN28" s="263">
        <f t="shared" si="10"/>
        <v>9672.2806000000055</v>
      </c>
      <c r="AO28" s="263">
        <f t="shared" si="10"/>
        <v>9855.083510000004</v>
      </c>
      <c r="AP28" s="263">
        <f t="shared" si="10"/>
        <v>10194.261030000001</v>
      </c>
      <c r="AQ28" s="263">
        <f t="shared" si="10"/>
        <v>10415.755720000001</v>
      </c>
      <c r="AR28" s="263">
        <f t="shared" si="10"/>
        <v>10617.157469999998</v>
      </c>
      <c r="AS28" s="263">
        <f t="shared" si="10"/>
        <v>10843.017160000003</v>
      </c>
      <c r="AT28" s="263">
        <f t="shared" si="10"/>
        <v>11058.73777</v>
      </c>
      <c r="AU28" s="263">
        <f t="shared" si="10"/>
        <v>105271.66620000001</v>
      </c>
      <c r="AV28" s="268"/>
    </row>
    <row r="29" spans="1:49" x14ac:dyDescent="0.25">
      <c r="B29" s="258" t="s">
        <v>470</v>
      </c>
      <c r="C29" s="212">
        <f t="shared" ref="C29:E29" si="11">SUM(C30:C31)</f>
        <v>0</v>
      </c>
      <c r="D29" s="212">
        <f t="shared" si="11"/>
        <v>0</v>
      </c>
      <c r="E29" s="212">
        <f t="shared" si="11"/>
        <v>0</v>
      </c>
      <c r="F29" s="212">
        <f>SUM(F30:F31)</f>
        <v>0</v>
      </c>
      <c r="G29" s="212">
        <f t="shared" ref="G29:AU29" si="12">SUM(G30:G31)</f>
        <v>0</v>
      </c>
      <c r="H29" s="212">
        <f t="shared" si="12"/>
        <v>0</v>
      </c>
      <c r="I29" s="212">
        <f t="shared" si="12"/>
        <v>0</v>
      </c>
      <c r="J29" s="212">
        <f t="shared" si="12"/>
        <v>0</v>
      </c>
      <c r="K29" s="212">
        <f t="shared" si="12"/>
        <v>0</v>
      </c>
      <c r="L29" s="212">
        <f t="shared" si="12"/>
        <v>0</v>
      </c>
      <c r="M29" s="212">
        <f t="shared" si="12"/>
        <v>0</v>
      </c>
      <c r="N29" s="212">
        <f t="shared" si="12"/>
        <v>0</v>
      </c>
      <c r="O29" s="212">
        <f t="shared" si="12"/>
        <v>0</v>
      </c>
      <c r="P29" s="212">
        <f t="shared" si="12"/>
        <v>0</v>
      </c>
      <c r="Q29" s="212">
        <f t="shared" si="12"/>
        <v>1105.1067300000068</v>
      </c>
      <c r="R29" s="212">
        <f t="shared" si="12"/>
        <v>181.98180000000866</v>
      </c>
      <c r="S29" s="212">
        <f t="shared" si="12"/>
        <v>160.49629999996978</v>
      </c>
      <c r="T29" s="212">
        <f t="shared" si="12"/>
        <v>245.16579999998794</v>
      </c>
      <c r="U29" s="212">
        <f t="shared" si="12"/>
        <v>1768.2959000000556</v>
      </c>
      <c r="V29" s="212">
        <f t="shared" si="12"/>
        <v>2869.815799999953</v>
      </c>
      <c r="W29" s="212">
        <f t="shared" si="12"/>
        <v>204.6816000000108</v>
      </c>
      <c r="X29" s="212">
        <f t="shared" si="12"/>
        <v>-3217.024700000009</v>
      </c>
      <c r="Y29" s="212">
        <f t="shared" si="12"/>
        <v>-7467.4565000000293</v>
      </c>
      <c r="Z29" s="212">
        <f t="shared" si="12"/>
        <v>-12055.413800000009</v>
      </c>
      <c r="AA29" s="212">
        <f t="shared" si="12"/>
        <v>-45316.96249999998</v>
      </c>
      <c r="AB29" s="212">
        <f t="shared" si="12"/>
        <v>-21060.236900000105</v>
      </c>
      <c r="AC29" s="212">
        <f t="shared" si="12"/>
        <v>-24839.273900000029</v>
      </c>
      <c r="AD29" s="212">
        <f t="shared" si="12"/>
        <v>-28861.985000000015</v>
      </c>
      <c r="AE29" s="212">
        <f t="shared" si="12"/>
        <v>-32906.884699999937</v>
      </c>
      <c r="AF29" s="212">
        <f t="shared" si="12"/>
        <v>-37030.637600000075</v>
      </c>
      <c r="AG29" s="212">
        <f t="shared" si="12"/>
        <v>-41120.1418999999</v>
      </c>
      <c r="AH29" s="212">
        <f t="shared" si="12"/>
        <v>-44831.378099999973</v>
      </c>
      <c r="AI29" s="212">
        <f t="shared" si="12"/>
        <v>-48586.51430000001</v>
      </c>
      <c r="AJ29" s="212">
        <f t="shared" si="12"/>
        <v>-52077.304200000042</v>
      </c>
      <c r="AK29" s="212">
        <f t="shared" si="12"/>
        <v>-55666.825900000025</v>
      </c>
      <c r="AL29" s="212">
        <f t="shared" si="12"/>
        <v>-59253.46470000004</v>
      </c>
      <c r="AM29" s="212">
        <f t="shared" si="12"/>
        <v>-62625.630700000038</v>
      </c>
      <c r="AN29" s="212">
        <f t="shared" si="12"/>
        <v>-65875.99609999996</v>
      </c>
      <c r="AO29" s="212">
        <f t="shared" si="12"/>
        <v>-69050.138099999953</v>
      </c>
      <c r="AP29" s="212">
        <f t="shared" si="12"/>
        <v>-72422.711799999903</v>
      </c>
      <c r="AQ29" s="212">
        <f t="shared" si="12"/>
        <v>-76101.548600000009</v>
      </c>
      <c r="AR29" s="212">
        <f t="shared" si="12"/>
        <v>-79583.255500000087</v>
      </c>
      <c r="AS29" s="212">
        <f t="shared" si="12"/>
        <v>-82688.445800000103</v>
      </c>
      <c r="AT29" s="212">
        <f t="shared" si="12"/>
        <v>-85579.71940000006</v>
      </c>
      <c r="AU29" s="212">
        <f t="shared" si="12"/>
        <v>-183547.84505999991</v>
      </c>
      <c r="AV29" s="268"/>
    </row>
    <row r="30" spans="1:49" x14ac:dyDescent="0.25">
      <c r="B30" s="258" t="s">
        <v>471</v>
      </c>
      <c r="C30" s="212">
        <f t="shared" ref="C30:AU31" si="13">C8-C19</f>
        <v>0</v>
      </c>
      <c r="D30" s="212">
        <f t="shared" si="13"/>
        <v>0</v>
      </c>
      <c r="E30" s="212">
        <f t="shared" si="13"/>
        <v>0</v>
      </c>
      <c r="F30" s="212">
        <f t="shared" si="13"/>
        <v>0</v>
      </c>
      <c r="G30" s="212">
        <f t="shared" si="13"/>
        <v>0</v>
      </c>
      <c r="H30" s="212">
        <f t="shared" si="13"/>
        <v>0</v>
      </c>
      <c r="I30" s="212">
        <f t="shared" si="13"/>
        <v>0</v>
      </c>
      <c r="J30" s="212">
        <f t="shared" si="13"/>
        <v>0</v>
      </c>
      <c r="K30" s="212">
        <f t="shared" si="13"/>
        <v>0</v>
      </c>
      <c r="L30" s="212">
        <f t="shared" si="13"/>
        <v>0</v>
      </c>
      <c r="M30" s="212">
        <f t="shared" si="13"/>
        <v>0</v>
      </c>
      <c r="N30" s="212">
        <f t="shared" si="13"/>
        <v>0</v>
      </c>
      <c r="O30" s="212">
        <f t="shared" si="13"/>
        <v>0</v>
      </c>
      <c r="P30" s="212">
        <f t="shared" si="13"/>
        <v>0</v>
      </c>
      <c r="Q30" s="212">
        <f t="shared" si="13"/>
        <v>1580.2097000000067</v>
      </c>
      <c r="R30" s="212">
        <f t="shared" si="13"/>
        <v>2467.1792000000132</v>
      </c>
      <c r="S30" s="212">
        <f t="shared" si="13"/>
        <v>3041.9115999999922</v>
      </c>
      <c r="T30" s="212">
        <f t="shared" si="13"/>
        <v>3540.7608999999939</v>
      </c>
      <c r="U30" s="212">
        <f t="shared" si="13"/>
        <v>-7413.8537999999244</v>
      </c>
      <c r="V30" s="212">
        <f t="shared" si="13"/>
        <v>-17461.874700000044</v>
      </c>
      <c r="W30" s="212">
        <f t="shared" si="13"/>
        <v>-21863.308799999999</v>
      </c>
      <c r="X30" s="212">
        <f t="shared" si="13"/>
        <v>-27970.410000000033</v>
      </c>
      <c r="Y30" s="212">
        <f t="shared" si="13"/>
        <v>-35273.968800000031</v>
      </c>
      <c r="Z30" s="212">
        <f t="shared" si="13"/>
        <v>-43353.248900000006</v>
      </c>
      <c r="AA30" s="212">
        <f t="shared" si="13"/>
        <v>-51913.674699999974</v>
      </c>
      <c r="AB30" s="212">
        <f t="shared" si="13"/>
        <v>-58749.057500000112</v>
      </c>
      <c r="AC30" s="212">
        <f t="shared" si="13"/>
        <v>-66254.696800000034</v>
      </c>
      <c r="AD30" s="212">
        <f t="shared" si="13"/>
        <v>-73647.364100000006</v>
      </c>
      <c r="AE30" s="212">
        <f t="shared" si="13"/>
        <v>-80938.061499999953</v>
      </c>
      <c r="AF30" s="212">
        <f t="shared" si="13"/>
        <v>-89036.544500000076</v>
      </c>
      <c r="AG30" s="212">
        <f t="shared" si="13"/>
        <v>-96143.935699999915</v>
      </c>
      <c r="AH30" s="212">
        <f t="shared" si="13"/>
        <v>-103130.25699999998</v>
      </c>
      <c r="AI30" s="212">
        <f t="shared" si="13"/>
        <v>-110198.47100000002</v>
      </c>
      <c r="AJ30" s="212">
        <f t="shared" si="13"/>
        <v>-117155.84490000003</v>
      </c>
      <c r="AK30" s="212">
        <f t="shared" si="13"/>
        <v>-124216.45860000001</v>
      </c>
      <c r="AL30" s="212">
        <f t="shared" si="13"/>
        <v>-131350.46050000004</v>
      </c>
      <c r="AM30" s="212">
        <f t="shared" si="13"/>
        <v>-138244.06830000004</v>
      </c>
      <c r="AN30" s="212">
        <f t="shared" si="13"/>
        <v>-145010.25809999998</v>
      </c>
      <c r="AO30" s="212">
        <f t="shared" si="13"/>
        <v>-151715.88769999996</v>
      </c>
      <c r="AP30" s="212">
        <f t="shared" si="13"/>
        <v>-158848.1902999999</v>
      </c>
      <c r="AQ30" s="212">
        <f t="shared" si="13"/>
        <v>-166246.67550000001</v>
      </c>
      <c r="AR30" s="212">
        <f t="shared" si="13"/>
        <v>-173401.51120000007</v>
      </c>
      <c r="AS30" s="212">
        <f t="shared" si="13"/>
        <v>-180266.07760000008</v>
      </c>
      <c r="AT30" s="212">
        <f t="shared" si="13"/>
        <v>-186991.64170000004</v>
      </c>
      <c r="AU30" s="212">
        <f t="shared" si="13"/>
        <v>-194507.91019999993</v>
      </c>
      <c r="AV30" s="268"/>
    </row>
    <row r="31" spans="1:49" x14ac:dyDescent="0.25">
      <c r="B31" s="261" t="s">
        <v>472</v>
      </c>
      <c r="C31" s="263">
        <f t="shared" si="13"/>
        <v>0</v>
      </c>
      <c r="D31" s="263">
        <f t="shared" si="13"/>
        <v>0</v>
      </c>
      <c r="E31" s="263">
        <f t="shared" si="13"/>
        <v>0</v>
      </c>
      <c r="F31" s="263">
        <f t="shared" si="13"/>
        <v>0</v>
      </c>
      <c r="G31" s="263">
        <f t="shared" si="13"/>
        <v>0</v>
      </c>
      <c r="H31" s="263">
        <f t="shared" si="13"/>
        <v>0</v>
      </c>
      <c r="I31" s="263">
        <f t="shared" si="13"/>
        <v>0</v>
      </c>
      <c r="J31" s="263">
        <f t="shared" si="13"/>
        <v>0</v>
      </c>
      <c r="K31" s="263">
        <f t="shared" si="13"/>
        <v>0</v>
      </c>
      <c r="L31" s="263">
        <f t="shared" si="13"/>
        <v>0</v>
      </c>
      <c r="M31" s="263">
        <f t="shared" si="13"/>
        <v>0</v>
      </c>
      <c r="N31" s="263">
        <f t="shared" si="13"/>
        <v>0</v>
      </c>
      <c r="O31" s="263">
        <f t="shared" si="13"/>
        <v>0</v>
      </c>
      <c r="P31" s="263">
        <f t="shared" si="13"/>
        <v>0</v>
      </c>
      <c r="Q31" s="263">
        <f t="shared" si="13"/>
        <v>-475.10296999999991</v>
      </c>
      <c r="R31" s="263">
        <f t="shared" si="13"/>
        <v>-2285.1974000000046</v>
      </c>
      <c r="S31" s="263">
        <f t="shared" si="13"/>
        <v>-2881.4153000000224</v>
      </c>
      <c r="T31" s="263">
        <f t="shared" si="13"/>
        <v>-3295.5951000000059</v>
      </c>
      <c r="U31" s="263">
        <f t="shared" si="13"/>
        <v>9182.1496999999799</v>
      </c>
      <c r="V31" s="263">
        <f t="shared" si="13"/>
        <v>20331.690499999997</v>
      </c>
      <c r="W31" s="263">
        <f t="shared" si="13"/>
        <v>22067.99040000001</v>
      </c>
      <c r="X31" s="263">
        <f t="shared" si="13"/>
        <v>24753.385300000024</v>
      </c>
      <c r="Y31" s="263">
        <f t="shared" si="13"/>
        <v>27806.512300000002</v>
      </c>
      <c r="Z31" s="263">
        <f t="shared" si="13"/>
        <v>31297.835099999997</v>
      </c>
      <c r="AA31" s="263">
        <f t="shared" si="13"/>
        <v>6596.7121999999945</v>
      </c>
      <c r="AB31" s="263">
        <f t="shared" si="13"/>
        <v>37688.820600000006</v>
      </c>
      <c r="AC31" s="263">
        <f t="shared" si="13"/>
        <v>41415.422900000005</v>
      </c>
      <c r="AD31" s="263">
        <f t="shared" si="13"/>
        <v>44785.379099999991</v>
      </c>
      <c r="AE31" s="263">
        <f t="shared" si="13"/>
        <v>48031.176800000016</v>
      </c>
      <c r="AF31" s="263">
        <f t="shared" si="13"/>
        <v>52005.906900000002</v>
      </c>
      <c r="AG31" s="263">
        <f t="shared" si="13"/>
        <v>55023.793800000014</v>
      </c>
      <c r="AH31" s="263">
        <f t="shared" si="13"/>
        <v>58298.878900000011</v>
      </c>
      <c r="AI31" s="263">
        <f t="shared" si="13"/>
        <v>61611.95670000001</v>
      </c>
      <c r="AJ31" s="263">
        <f t="shared" si="13"/>
        <v>65078.540699999983</v>
      </c>
      <c r="AK31" s="263">
        <f t="shared" si="13"/>
        <v>68549.632699999987</v>
      </c>
      <c r="AL31" s="263">
        <f t="shared" si="13"/>
        <v>72096.995800000004</v>
      </c>
      <c r="AM31" s="263">
        <f t="shared" si="13"/>
        <v>75618.437600000005</v>
      </c>
      <c r="AN31" s="263">
        <f t="shared" si="13"/>
        <v>79134.262000000017</v>
      </c>
      <c r="AO31" s="263">
        <f t="shared" si="13"/>
        <v>82665.74960000001</v>
      </c>
      <c r="AP31" s="263">
        <f t="shared" si="13"/>
        <v>86425.478499999997</v>
      </c>
      <c r="AQ31" s="263">
        <f t="shared" si="13"/>
        <v>90145.126900000003</v>
      </c>
      <c r="AR31" s="263">
        <f t="shared" si="13"/>
        <v>93818.25569999998</v>
      </c>
      <c r="AS31" s="263">
        <f t="shared" si="13"/>
        <v>97577.631799999974</v>
      </c>
      <c r="AT31" s="263">
        <f t="shared" si="13"/>
        <v>101411.92229999998</v>
      </c>
      <c r="AU31" s="263">
        <f t="shared" si="13"/>
        <v>10960.065140000006</v>
      </c>
      <c r="AV31" s="268"/>
    </row>
    <row r="32" spans="1:49" x14ac:dyDescent="0.25">
      <c r="B32" s="249" t="s">
        <v>473</v>
      </c>
      <c r="C32" s="251">
        <f t="shared" ref="C32:E32" si="14">SUM(C27,C30)</f>
        <v>0</v>
      </c>
      <c r="D32" s="251">
        <f t="shared" si="14"/>
        <v>0</v>
      </c>
      <c r="E32" s="251">
        <f t="shared" si="14"/>
        <v>0</v>
      </c>
      <c r="F32" s="251">
        <f>SUM(F27,F30)</f>
        <v>0</v>
      </c>
      <c r="G32" s="251">
        <f t="shared" ref="G32:AU32" si="15">SUM(G27,G30)</f>
        <v>0</v>
      </c>
      <c r="H32" s="251">
        <f t="shared" si="15"/>
        <v>0</v>
      </c>
      <c r="I32" s="251">
        <f t="shared" si="15"/>
        <v>0</v>
      </c>
      <c r="J32" s="251">
        <f t="shared" si="15"/>
        <v>0</v>
      </c>
      <c r="K32" s="251">
        <f t="shared" si="15"/>
        <v>0</v>
      </c>
      <c r="L32" s="251">
        <f t="shared" si="15"/>
        <v>0</v>
      </c>
      <c r="M32" s="251">
        <f t="shared" si="15"/>
        <v>0</v>
      </c>
      <c r="N32" s="251">
        <f t="shared" si="15"/>
        <v>0</v>
      </c>
      <c r="O32" s="251">
        <f t="shared" si="15"/>
        <v>0</v>
      </c>
      <c r="P32" s="251">
        <f t="shared" si="15"/>
        <v>0</v>
      </c>
      <c r="Q32" s="251">
        <f t="shared" si="15"/>
        <v>6670.1440999999759</v>
      </c>
      <c r="R32" s="251">
        <f t="shared" si="15"/>
        <v>10658.701600000029</v>
      </c>
      <c r="S32" s="251">
        <f t="shared" si="15"/>
        <v>13226.512999999977</v>
      </c>
      <c r="T32" s="251">
        <f t="shared" si="15"/>
        <v>15158.708299999998</v>
      </c>
      <c r="U32" s="251">
        <f t="shared" si="15"/>
        <v>-15205.209599999944</v>
      </c>
      <c r="V32" s="251">
        <f t="shared" si="15"/>
        <v>-40552.59440000006</v>
      </c>
      <c r="W32" s="251">
        <f t="shared" si="15"/>
        <v>-40102.895300000033</v>
      </c>
      <c r="X32" s="251">
        <f t="shared" si="15"/>
        <v>-45645.085300000035</v>
      </c>
      <c r="Y32" s="251">
        <f t="shared" si="15"/>
        <v>-54455.555800000031</v>
      </c>
      <c r="Z32" s="251">
        <f t="shared" si="15"/>
        <v>-65669.610200000025</v>
      </c>
      <c r="AA32" s="251">
        <f t="shared" si="15"/>
        <v>-78300.114599999943</v>
      </c>
      <c r="AB32" s="251">
        <f t="shared" si="15"/>
        <v>-87318.754700000136</v>
      </c>
      <c r="AC32" s="251">
        <f t="shared" si="15"/>
        <v>-99888.596500000043</v>
      </c>
      <c r="AD32" s="251">
        <f t="shared" si="15"/>
        <v>-111153.01199999999</v>
      </c>
      <c r="AE32" s="251">
        <f t="shared" si="15"/>
        <v>-121835.20279999997</v>
      </c>
      <c r="AF32" s="251">
        <f t="shared" si="15"/>
        <v>-135715.69820000007</v>
      </c>
      <c r="AG32" s="251">
        <f t="shared" si="15"/>
        <v>-145974.4138999999</v>
      </c>
      <c r="AH32" s="251">
        <f t="shared" si="15"/>
        <v>-156238.48549999998</v>
      </c>
      <c r="AI32" s="251">
        <f t="shared" si="15"/>
        <v>-166488.37970000002</v>
      </c>
      <c r="AJ32" s="251">
        <f t="shared" si="15"/>
        <v>-176681.0907</v>
      </c>
      <c r="AK32" s="251">
        <f t="shared" si="15"/>
        <v>-186918.42480000004</v>
      </c>
      <c r="AL32" s="251">
        <f t="shared" si="15"/>
        <v>-197558.92380000002</v>
      </c>
      <c r="AM32" s="251">
        <f t="shared" si="15"/>
        <v>-207624.86530000006</v>
      </c>
      <c r="AN32" s="251">
        <f t="shared" si="15"/>
        <v>-217408.50830000002</v>
      </c>
      <c r="AO32" s="251">
        <f t="shared" si="15"/>
        <v>-227036.37119999999</v>
      </c>
      <c r="AP32" s="251">
        <f t="shared" si="15"/>
        <v>-238814.4752999999</v>
      </c>
      <c r="AQ32" s="251">
        <f t="shared" si="15"/>
        <v>-250493.19510000004</v>
      </c>
      <c r="AR32" s="251">
        <f t="shared" si="15"/>
        <v>-261529.66770000008</v>
      </c>
      <c r="AS32" s="251">
        <f t="shared" si="15"/>
        <v>-272124.7840000001</v>
      </c>
      <c r="AT32" s="251">
        <f t="shared" si="15"/>
        <v>-282417.86110000004</v>
      </c>
      <c r="AU32" s="251">
        <f t="shared" si="15"/>
        <v>-292812.52189999993</v>
      </c>
      <c r="AV32" s="268"/>
    </row>
    <row r="36" spans="1:50" s="244" customFormat="1" ht="45" customHeight="1" x14ac:dyDescent="0.25">
      <c r="A36" s="239" t="str">
        <f>[5]Résultats!B1</f>
        <v>SNBC3</v>
      </c>
      <c r="B36" s="240" t="s">
        <v>497</v>
      </c>
      <c r="C36" s="241">
        <v>2006</v>
      </c>
      <c r="D36" s="242">
        <v>2007</v>
      </c>
      <c r="E36" s="242">
        <v>2008</v>
      </c>
      <c r="F36" s="242">
        <v>2009</v>
      </c>
      <c r="G36" s="242">
        <v>2010</v>
      </c>
      <c r="H36" s="242">
        <v>2011</v>
      </c>
      <c r="I36" s="242">
        <v>2012</v>
      </c>
      <c r="J36" s="242">
        <v>2013</v>
      </c>
      <c r="K36" s="242">
        <v>2014</v>
      </c>
      <c r="L36" s="242">
        <v>2015</v>
      </c>
      <c r="M36" s="242">
        <v>2016</v>
      </c>
      <c r="N36" s="242">
        <v>2017</v>
      </c>
      <c r="O36" s="242">
        <v>2018</v>
      </c>
      <c r="P36" s="242">
        <v>2019</v>
      </c>
      <c r="Q36" s="242">
        <v>2020</v>
      </c>
      <c r="R36" s="242">
        <v>2021</v>
      </c>
      <c r="S36" s="242">
        <v>2022</v>
      </c>
      <c r="T36" s="242">
        <v>2023</v>
      </c>
      <c r="U36" s="242">
        <v>2024</v>
      </c>
      <c r="V36" s="242">
        <v>2025</v>
      </c>
      <c r="W36" s="242">
        <v>2026</v>
      </c>
      <c r="X36" s="242">
        <v>2027</v>
      </c>
      <c r="Y36" s="242">
        <v>2028</v>
      </c>
      <c r="Z36" s="242">
        <v>2029</v>
      </c>
      <c r="AA36" s="242">
        <v>2030</v>
      </c>
      <c r="AB36" s="242">
        <v>2031</v>
      </c>
      <c r="AC36" s="242">
        <v>2032</v>
      </c>
      <c r="AD36" s="242">
        <v>2033</v>
      </c>
      <c r="AE36" s="242">
        <v>2034</v>
      </c>
      <c r="AF36" s="242">
        <v>2035</v>
      </c>
      <c r="AG36" s="242">
        <v>2036</v>
      </c>
      <c r="AH36" s="242">
        <v>2037</v>
      </c>
      <c r="AI36" s="242">
        <v>2038</v>
      </c>
      <c r="AJ36" s="242">
        <v>2039</v>
      </c>
      <c r="AK36" s="242">
        <v>2040</v>
      </c>
      <c r="AL36" s="242">
        <v>2041</v>
      </c>
      <c r="AM36" s="242">
        <v>2042</v>
      </c>
      <c r="AN36" s="242">
        <v>2043</v>
      </c>
      <c r="AO36" s="242">
        <v>2044</v>
      </c>
      <c r="AP36" s="242">
        <v>2045</v>
      </c>
      <c r="AQ36" s="242">
        <v>2046</v>
      </c>
      <c r="AR36" s="242">
        <v>2047</v>
      </c>
      <c r="AS36" s="242">
        <v>2048</v>
      </c>
      <c r="AT36" s="242">
        <v>2049</v>
      </c>
      <c r="AU36" s="243">
        <v>2050</v>
      </c>
      <c r="AW36" s="242" t="s">
        <v>498</v>
      </c>
      <c r="AX36" s="242" t="s">
        <v>499</v>
      </c>
    </row>
    <row r="37" spans="1:50" x14ac:dyDescent="0.25">
      <c r="B37" s="245" t="s">
        <v>500</v>
      </c>
      <c r="C37" s="246">
        <f t="shared" ref="C37:AU37" si="16">C38+C39+C42</f>
        <v>1</v>
      </c>
      <c r="D37" s="247">
        <f t="shared" si="16"/>
        <v>1</v>
      </c>
      <c r="E37" s="247">
        <f t="shared" si="16"/>
        <v>1</v>
      </c>
      <c r="F37" s="247">
        <f t="shared" si="16"/>
        <v>1</v>
      </c>
      <c r="G37" s="247">
        <f t="shared" si="16"/>
        <v>1</v>
      </c>
      <c r="H37" s="247">
        <f t="shared" si="16"/>
        <v>1</v>
      </c>
      <c r="I37" s="247">
        <f t="shared" si="16"/>
        <v>1</v>
      </c>
      <c r="J37" s="247">
        <f t="shared" si="16"/>
        <v>0.99999999999999989</v>
      </c>
      <c r="K37" s="247">
        <f t="shared" si="16"/>
        <v>1.0000000000000002</v>
      </c>
      <c r="L37" s="247">
        <f t="shared" si="16"/>
        <v>1</v>
      </c>
      <c r="M37" s="247">
        <f t="shared" si="16"/>
        <v>1</v>
      </c>
      <c r="N37" s="247">
        <f t="shared" si="16"/>
        <v>1</v>
      </c>
      <c r="O37" s="247">
        <f t="shared" si="16"/>
        <v>0.99999999999999989</v>
      </c>
      <c r="P37" s="247">
        <f t="shared" si="16"/>
        <v>1</v>
      </c>
      <c r="Q37" s="247">
        <f t="shared" si="16"/>
        <v>0.99999999999999989</v>
      </c>
      <c r="R37" s="247">
        <f t="shared" si="16"/>
        <v>0.99999999999999978</v>
      </c>
      <c r="S37" s="247">
        <f t="shared" si="16"/>
        <v>1</v>
      </c>
      <c r="T37" s="247">
        <f t="shared" si="16"/>
        <v>1</v>
      </c>
      <c r="U37" s="247">
        <f t="shared" si="16"/>
        <v>1</v>
      </c>
      <c r="V37" s="247">
        <f t="shared" si="16"/>
        <v>1</v>
      </c>
      <c r="W37" s="247">
        <f t="shared" si="16"/>
        <v>1</v>
      </c>
      <c r="X37" s="247">
        <f t="shared" si="16"/>
        <v>0.99999999999999989</v>
      </c>
      <c r="Y37" s="247">
        <f t="shared" si="16"/>
        <v>1</v>
      </c>
      <c r="Z37" s="247">
        <f t="shared" si="16"/>
        <v>1</v>
      </c>
      <c r="AA37" s="247">
        <f t="shared" si="16"/>
        <v>1</v>
      </c>
      <c r="AB37" s="247">
        <f t="shared" si="16"/>
        <v>1</v>
      </c>
      <c r="AC37" s="247">
        <f t="shared" si="16"/>
        <v>1</v>
      </c>
      <c r="AD37" s="247">
        <f t="shared" si="16"/>
        <v>0.99999999999999989</v>
      </c>
      <c r="AE37" s="247">
        <f t="shared" si="16"/>
        <v>0.99999999999999989</v>
      </c>
      <c r="AF37" s="247">
        <f t="shared" si="16"/>
        <v>1</v>
      </c>
      <c r="AG37" s="247">
        <f t="shared" si="16"/>
        <v>1</v>
      </c>
      <c r="AH37" s="247">
        <f t="shared" si="16"/>
        <v>1</v>
      </c>
      <c r="AI37" s="247">
        <f t="shared" si="16"/>
        <v>0.99999999999999978</v>
      </c>
      <c r="AJ37" s="247">
        <f t="shared" si="16"/>
        <v>1</v>
      </c>
      <c r="AK37" s="247">
        <f t="shared" si="16"/>
        <v>0.99999999999999978</v>
      </c>
      <c r="AL37" s="247">
        <f t="shared" si="16"/>
        <v>1.0000000000000002</v>
      </c>
      <c r="AM37" s="247">
        <f t="shared" si="16"/>
        <v>0.99999999999999989</v>
      </c>
      <c r="AN37" s="247">
        <f t="shared" si="16"/>
        <v>1</v>
      </c>
      <c r="AO37" s="247">
        <f t="shared" si="16"/>
        <v>0.99999999999999978</v>
      </c>
      <c r="AP37" s="247">
        <f t="shared" si="16"/>
        <v>1</v>
      </c>
      <c r="AQ37" s="247">
        <f t="shared" si="16"/>
        <v>1</v>
      </c>
      <c r="AR37" s="247">
        <f t="shared" si="16"/>
        <v>0.99999999999999978</v>
      </c>
      <c r="AS37" s="247">
        <f t="shared" si="16"/>
        <v>1</v>
      </c>
      <c r="AT37" s="247">
        <f t="shared" si="16"/>
        <v>1</v>
      </c>
      <c r="AU37" s="248">
        <f t="shared" si="16"/>
        <v>1</v>
      </c>
    </row>
    <row r="38" spans="1:50" x14ac:dyDescent="0.25">
      <c r="B38" s="249" t="s">
        <v>466</v>
      </c>
      <c r="C38" s="300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51"/>
      <c r="AT38" s="251"/>
      <c r="AU38" s="252"/>
      <c r="AV38" s="253"/>
      <c r="AW38" s="253"/>
    </row>
    <row r="39" spans="1:50" x14ac:dyDescent="0.25">
      <c r="B39" s="254" t="s">
        <v>467</v>
      </c>
      <c r="C39" s="301">
        <f>C4/(C$2-C$3)</f>
        <v>0.29999999998794452</v>
      </c>
      <c r="D39" s="301">
        <f t="shared" ref="D39:AU45" si="17">D4/(D$2-D$3)</f>
        <v>0.30900084668627942</v>
      </c>
      <c r="E39" s="301">
        <f t="shared" si="17"/>
        <v>0.31702215533610095</v>
      </c>
      <c r="F39" s="301">
        <f t="shared" si="17"/>
        <v>0.32500427027229001</v>
      </c>
      <c r="G39" s="301">
        <f t="shared" si="17"/>
        <v>0.33171506404965012</v>
      </c>
      <c r="H39" s="301">
        <f t="shared" si="17"/>
        <v>0.34092661762312609</v>
      </c>
      <c r="I39" s="301">
        <f t="shared" si="17"/>
        <v>0.35225837326079096</v>
      </c>
      <c r="J39" s="301">
        <f t="shared" si="17"/>
        <v>0.36158019701588151</v>
      </c>
      <c r="K39" s="301">
        <f t="shared" si="17"/>
        <v>0.37014897638087801</v>
      </c>
      <c r="L39" s="301">
        <f t="shared" si="17"/>
        <v>0.37895455688579888</v>
      </c>
      <c r="M39" s="301">
        <f t="shared" si="17"/>
        <v>0.3772903011832906</v>
      </c>
      <c r="N39" s="301">
        <f t="shared" si="17"/>
        <v>0.37498587100935693</v>
      </c>
      <c r="O39" s="301">
        <f t="shared" si="17"/>
        <v>0.37474117433262999</v>
      </c>
      <c r="P39" s="301">
        <f t="shared" si="17"/>
        <v>0.37424949668354623</v>
      </c>
      <c r="Q39" s="301">
        <f t="shared" si="17"/>
        <v>0.3764489721018347</v>
      </c>
      <c r="R39" s="301">
        <f t="shared" si="17"/>
        <v>0.29364511648508868</v>
      </c>
      <c r="S39" s="301">
        <f t="shared" si="17"/>
        <v>0.2941388906489526</v>
      </c>
      <c r="T39" s="301">
        <f t="shared" si="17"/>
        <v>0.29420167758054022</v>
      </c>
      <c r="U39" s="301">
        <f t="shared" si="17"/>
        <v>0.28376168293473458</v>
      </c>
      <c r="V39" s="301">
        <f t="shared" si="17"/>
        <v>0.27566142353008533</v>
      </c>
      <c r="W39" s="301">
        <f t="shared" si="17"/>
        <v>0.27934895868633286</v>
      </c>
      <c r="X39" s="301">
        <f t="shared" si="17"/>
        <v>0.28106444971604205</v>
      </c>
      <c r="Y39" s="301">
        <f t="shared" si="17"/>
        <v>0.28162626870958707</v>
      </c>
      <c r="Z39" s="301">
        <f t="shared" si="17"/>
        <v>0.28138737657176216</v>
      </c>
      <c r="AA39" s="301">
        <f t="shared" si="17"/>
        <v>0.39684762626714981</v>
      </c>
      <c r="AB39" s="301">
        <f t="shared" si="17"/>
        <v>0.28085256710472511</v>
      </c>
      <c r="AC39" s="301">
        <f t="shared" si="17"/>
        <v>0.28078965800917671</v>
      </c>
      <c r="AD39" s="301">
        <f t="shared" si="17"/>
        <v>0.28080675124881316</v>
      </c>
      <c r="AE39" s="301">
        <f t="shared" si="17"/>
        <v>0.2808387789516742</v>
      </c>
      <c r="AF39" s="301">
        <f t="shared" si="17"/>
        <v>0.28090330047448581</v>
      </c>
      <c r="AG39" s="301">
        <f t="shared" si="17"/>
        <v>0.2802690768104254</v>
      </c>
      <c r="AH39" s="301">
        <f t="shared" si="17"/>
        <v>0.27980150036179441</v>
      </c>
      <c r="AI39" s="301">
        <f t="shared" si="17"/>
        <v>0.279567303739578</v>
      </c>
      <c r="AJ39" s="301">
        <f t="shared" si="17"/>
        <v>0.2793239896458371</v>
      </c>
      <c r="AK39" s="301">
        <f t="shared" si="17"/>
        <v>0.27918121063153234</v>
      </c>
      <c r="AL39" s="301">
        <f t="shared" si="17"/>
        <v>0.27899423710290833</v>
      </c>
      <c r="AM39" s="301">
        <f t="shared" si="17"/>
        <v>0.27880616088613963</v>
      </c>
      <c r="AN39" s="301">
        <f t="shared" si="17"/>
        <v>0.27858127039761343</v>
      </c>
      <c r="AO39" s="301">
        <f t="shared" si="17"/>
        <v>0.2783491400750166</v>
      </c>
      <c r="AP39" s="301">
        <f t="shared" si="17"/>
        <v>0.27711867470724821</v>
      </c>
      <c r="AQ39" s="301">
        <f t="shared" si="17"/>
        <v>0.2762365221805711</v>
      </c>
      <c r="AR39" s="301">
        <f t="shared" si="17"/>
        <v>0.27544999691762551</v>
      </c>
      <c r="AS39" s="301">
        <f t="shared" si="17"/>
        <v>0.27463806379100864</v>
      </c>
      <c r="AT39" s="301">
        <f t="shared" si="17"/>
        <v>0.27384262599731762</v>
      </c>
      <c r="AU39" s="302">
        <f t="shared" si="17"/>
        <v>0.45617729898305254</v>
      </c>
      <c r="AV39" s="253"/>
      <c r="AW39" s="303">
        <f t="shared" ref="AW39:AW44" si="18">AA39-P39</f>
        <v>2.2598129583603577E-2</v>
      </c>
      <c r="AX39" s="303">
        <f t="shared" ref="AX39:AX44" si="19">AU39-P39</f>
        <v>8.1927802299506303E-2</v>
      </c>
    </row>
    <row r="40" spans="1:50" x14ac:dyDescent="0.25">
      <c r="B40" s="258" t="s">
        <v>468</v>
      </c>
      <c r="C40" s="304">
        <f>C5/(C$2-C$3)</f>
        <v>0.1970599631421219</v>
      </c>
      <c r="D40" s="304">
        <f t="shared" si="17"/>
        <v>0.20176253354266543</v>
      </c>
      <c r="E40" s="304">
        <f t="shared" si="17"/>
        <v>0.20639133218859357</v>
      </c>
      <c r="F40" s="304">
        <f t="shared" si="17"/>
        <v>0.20880731867462293</v>
      </c>
      <c r="G40" s="304">
        <f t="shared" si="17"/>
        <v>0.21218152370177809</v>
      </c>
      <c r="H40" s="304">
        <f t="shared" si="17"/>
        <v>0.21441393598853084</v>
      </c>
      <c r="I40" s="304">
        <f t="shared" si="17"/>
        <v>0.22173779678829825</v>
      </c>
      <c r="J40" s="304">
        <f t="shared" si="17"/>
        <v>0.22813331298566342</v>
      </c>
      <c r="K40" s="304">
        <f t="shared" si="17"/>
        <v>0.23264660910047413</v>
      </c>
      <c r="L40" s="304">
        <f t="shared" si="17"/>
        <v>0.24150486389995185</v>
      </c>
      <c r="M40" s="304">
        <f t="shared" si="17"/>
        <v>0.24276991524794506</v>
      </c>
      <c r="N40" s="304">
        <f t="shared" si="17"/>
        <v>0.23970516769676203</v>
      </c>
      <c r="O40" s="304">
        <f t="shared" si="17"/>
        <v>0.23611307920740598</v>
      </c>
      <c r="P40" s="304">
        <f t="shared" si="17"/>
        <v>0.23735768602530408</v>
      </c>
      <c r="Q40" s="304">
        <f t="shared" si="17"/>
        <v>0.24155355987266119</v>
      </c>
      <c r="R40" s="304">
        <f t="shared" si="17"/>
        <v>0.24678459820276236</v>
      </c>
      <c r="S40" s="304">
        <f t="shared" si="17"/>
        <v>0.247316720948102</v>
      </c>
      <c r="T40" s="304">
        <f t="shared" si="17"/>
        <v>0.24732331910520527</v>
      </c>
      <c r="U40" s="304">
        <f t="shared" si="17"/>
        <v>0.23356649522419815</v>
      </c>
      <c r="V40" s="304">
        <f t="shared" si="17"/>
        <v>0.22266291023989376</v>
      </c>
      <c r="W40" s="304">
        <f t="shared" si="17"/>
        <v>0.22637028572695009</v>
      </c>
      <c r="X40" s="304">
        <f t="shared" si="17"/>
        <v>0.22765747539246223</v>
      </c>
      <c r="Y40" s="304">
        <f t="shared" si="17"/>
        <v>0.22754107038746271</v>
      </c>
      <c r="Z40" s="304">
        <f t="shared" si="17"/>
        <v>0.22645539132762846</v>
      </c>
      <c r="AA40" s="304">
        <f t="shared" si="17"/>
        <v>0.22488793879957655</v>
      </c>
      <c r="AB40" s="304">
        <f t="shared" si="17"/>
        <v>0.22458711945514051</v>
      </c>
      <c r="AC40" s="304">
        <f t="shared" si="17"/>
        <v>0.22410577405772095</v>
      </c>
      <c r="AD40" s="304">
        <f t="shared" si="17"/>
        <v>0.22374723452504411</v>
      </c>
      <c r="AE40" s="304">
        <f t="shared" si="17"/>
        <v>0.22341890761575836</v>
      </c>
      <c r="AF40" s="304">
        <f t="shared" si="17"/>
        <v>0.22314281123849519</v>
      </c>
      <c r="AG40" s="304">
        <f t="shared" si="17"/>
        <v>0.22196991487392967</v>
      </c>
      <c r="AH40" s="304">
        <f t="shared" si="17"/>
        <v>0.22101890713955058</v>
      </c>
      <c r="AI40" s="304">
        <f t="shared" si="17"/>
        <v>0.22037415789982109</v>
      </c>
      <c r="AJ40" s="304">
        <f t="shared" si="17"/>
        <v>0.21973286722918089</v>
      </c>
      <c r="AK40" s="304">
        <f t="shared" si="17"/>
        <v>0.21923300373712604</v>
      </c>
      <c r="AL40" s="304">
        <f t="shared" si="17"/>
        <v>0.21866566286035335</v>
      </c>
      <c r="AM40" s="304">
        <f t="shared" si="17"/>
        <v>0.21810290926477946</v>
      </c>
      <c r="AN40" s="304">
        <f t="shared" si="17"/>
        <v>0.2175007022731385</v>
      </c>
      <c r="AO40" s="304">
        <f t="shared" si="17"/>
        <v>0.21690125610778507</v>
      </c>
      <c r="AP40" s="304">
        <f t="shared" si="17"/>
        <v>0.21505587203502488</v>
      </c>
      <c r="AQ40" s="304">
        <f t="shared" si="17"/>
        <v>0.21368346122113036</v>
      </c>
      <c r="AR40" s="304">
        <f t="shared" si="17"/>
        <v>0.21243240739632288</v>
      </c>
      <c r="AS40" s="304">
        <f t="shared" si="17"/>
        <v>0.21115272479065733</v>
      </c>
      <c r="AT40" s="304">
        <f t="shared" si="17"/>
        <v>0.2099111143253333</v>
      </c>
      <c r="AU40" s="305">
        <f t="shared" si="17"/>
        <v>0.20932768454516909</v>
      </c>
      <c r="AW40" s="303">
        <f t="shared" si="18"/>
        <v>-1.2469747225727523E-2</v>
      </c>
      <c r="AX40" s="303">
        <f t="shared" si="19"/>
        <v>-2.8030001480134986E-2</v>
      </c>
    </row>
    <row r="41" spans="1:50" x14ac:dyDescent="0.25">
      <c r="B41" s="261" t="s">
        <v>469</v>
      </c>
      <c r="C41" s="306">
        <f t="shared" ref="C41:R45" si="20">C6/(C$2-C$3)</f>
        <v>5.6863254489509636E-2</v>
      </c>
      <c r="D41" s="306">
        <f t="shared" si="20"/>
        <v>5.5805275500063471E-2</v>
      </c>
      <c r="E41" s="306">
        <f t="shared" si="20"/>
        <v>5.4656444486540876E-2</v>
      </c>
      <c r="F41" s="306">
        <f t="shared" si="20"/>
        <v>5.4143294741373443E-2</v>
      </c>
      <c r="G41" s="306">
        <f t="shared" si="20"/>
        <v>5.3490871105762561E-2</v>
      </c>
      <c r="H41" s="306">
        <f t="shared" si="20"/>
        <v>5.2852387002672314E-2</v>
      </c>
      <c r="I41" s="306">
        <f t="shared" si="20"/>
        <v>5.1147405677081072E-2</v>
      </c>
      <c r="J41" s="306">
        <f t="shared" si="20"/>
        <v>4.9892219674772399E-2</v>
      </c>
      <c r="K41" s="306">
        <f t="shared" si="20"/>
        <v>4.9070512745991154E-2</v>
      </c>
      <c r="L41" s="306">
        <f t="shared" si="20"/>
        <v>4.7621983219057085E-2</v>
      </c>
      <c r="M41" s="306">
        <f t="shared" si="20"/>
        <v>4.7605793539005688E-2</v>
      </c>
      <c r="N41" s="306">
        <f t="shared" si="20"/>
        <v>4.8213286857991734E-2</v>
      </c>
      <c r="O41" s="306">
        <f t="shared" si="20"/>
        <v>4.8689312393017513E-2</v>
      </c>
      <c r="P41" s="306">
        <f t="shared" si="20"/>
        <v>4.8488531475460873E-2</v>
      </c>
      <c r="Q41" s="306">
        <f t="shared" si="20"/>
        <v>0.13489541222917353</v>
      </c>
      <c r="R41" s="306">
        <f t="shared" si="20"/>
        <v>4.6860518282326347E-2</v>
      </c>
      <c r="S41" s="306">
        <f t="shared" si="17"/>
        <v>4.682216970085061E-2</v>
      </c>
      <c r="T41" s="306">
        <f t="shared" si="17"/>
        <v>4.6878358475334912E-2</v>
      </c>
      <c r="U41" s="306">
        <f t="shared" si="17"/>
        <v>5.0195187710536458E-2</v>
      </c>
      <c r="V41" s="306">
        <f t="shared" si="17"/>
        <v>5.299851329019159E-2</v>
      </c>
      <c r="W41" s="306">
        <f t="shared" si="17"/>
        <v>5.2978672959382793E-2</v>
      </c>
      <c r="X41" s="306">
        <f t="shared" si="17"/>
        <v>5.3406974323579846E-2</v>
      </c>
      <c r="Y41" s="306">
        <f t="shared" si="17"/>
        <v>5.4085198322124335E-2</v>
      </c>
      <c r="Z41" s="306">
        <f t="shared" si="17"/>
        <v>5.4931985244133709E-2</v>
      </c>
      <c r="AA41" s="306">
        <f t="shared" si="17"/>
        <v>0.17195968746757326</v>
      </c>
      <c r="AB41" s="306">
        <f t="shared" si="17"/>
        <v>5.6265447649584584E-2</v>
      </c>
      <c r="AC41" s="306">
        <f t="shared" si="17"/>
        <v>5.6683883951455787E-2</v>
      </c>
      <c r="AD41" s="306">
        <f t="shared" si="17"/>
        <v>5.705951672376907E-2</v>
      </c>
      <c r="AE41" s="306">
        <f t="shared" si="17"/>
        <v>5.7419871335915855E-2</v>
      </c>
      <c r="AF41" s="306">
        <f t="shared" si="17"/>
        <v>5.7760489235990607E-2</v>
      </c>
      <c r="AG41" s="306">
        <f t="shared" si="17"/>
        <v>5.8299161936495765E-2</v>
      </c>
      <c r="AH41" s="306">
        <f t="shared" si="17"/>
        <v>5.8782593222243835E-2</v>
      </c>
      <c r="AI41" s="306">
        <f t="shared" si="17"/>
        <v>5.9193145839756905E-2</v>
      </c>
      <c r="AJ41" s="306">
        <f t="shared" si="17"/>
        <v>5.9591122416656192E-2</v>
      </c>
      <c r="AK41" s="306">
        <f t="shared" si="17"/>
        <v>5.9948206894406331E-2</v>
      </c>
      <c r="AL41" s="306">
        <f t="shared" si="17"/>
        <v>6.0328574242554965E-2</v>
      </c>
      <c r="AM41" s="306">
        <f t="shared" si="17"/>
        <v>6.0703251621360158E-2</v>
      </c>
      <c r="AN41" s="306">
        <f t="shared" si="17"/>
        <v>6.1080568124474967E-2</v>
      </c>
      <c r="AO41" s="306">
        <f t="shared" si="17"/>
        <v>6.1447883967231533E-2</v>
      </c>
      <c r="AP41" s="306">
        <f t="shared" si="17"/>
        <v>6.2062802672223319E-2</v>
      </c>
      <c r="AQ41" s="306">
        <f t="shared" si="17"/>
        <v>6.2553060959440729E-2</v>
      </c>
      <c r="AR41" s="306">
        <f t="shared" si="17"/>
        <v>6.3017589521302653E-2</v>
      </c>
      <c r="AS41" s="306">
        <f t="shared" si="17"/>
        <v>6.3485339000351332E-2</v>
      </c>
      <c r="AT41" s="306">
        <f t="shared" si="17"/>
        <v>6.393151167198434E-2</v>
      </c>
      <c r="AU41" s="307">
        <f t="shared" si="17"/>
        <v>0.24684961443788345</v>
      </c>
      <c r="AV41" s="253"/>
      <c r="AW41" s="303">
        <f t="shared" si="18"/>
        <v>0.12347115599211239</v>
      </c>
      <c r="AX41" s="303">
        <f t="shared" si="19"/>
        <v>0.19836108296242258</v>
      </c>
    </row>
    <row r="42" spans="1:50" x14ac:dyDescent="0.25">
      <c r="B42" s="258" t="s">
        <v>470</v>
      </c>
      <c r="C42" s="304">
        <f t="shared" si="20"/>
        <v>0.70000000001205542</v>
      </c>
      <c r="D42" s="304">
        <f t="shared" si="17"/>
        <v>0.69099915331372053</v>
      </c>
      <c r="E42" s="304">
        <f t="shared" si="17"/>
        <v>0.68297784466389899</v>
      </c>
      <c r="F42" s="304">
        <f t="shared" si="17"/>
        <v>0.67499572972771005</v>
      </c>
      <c r="G42" s="304">
        <f t="shared" si="17"/>
        <v>0.66828493595034988</v>
      </c>
      <c r="H42" s="304">
        <f t="shared" si="17"/>
        <v>0.65907338237687396</v>
      </c>
      <c r="I42" s="304">
        <f t="shared" si="17"/>
        <v>0.64774162673920899</v>
      </c>
      <c r="J42" s="304">
        <f t="shared" si="17"/>
        <v>0.63841980298411838</v>
      </c>
      <c r="K42" s="304">
        <f t="shared" si="17"/>
        <v>0.62985102361912215</v>
      </c>
      <c r="L42" s="304">
        <f t="shared" si="17"/>
        <v>0.62104544311420107</v>
      </c>
      <c r="M42" s="304">
        <f t="shared" si="17"/>
        <v>0.62270969881670934</v>
      </c>
      <c r="N42" s="304">
        <f t="shared" si="17"/>
        <v>0.62501412899064301</v>
      </c>
      <c r="O42" s="304">
        <f t="shared" si="17"/>
        <v>0.6252588256673699</v>
      </c>
      <c r="P42" s="304">
        <f t="shared" si="17"/>
        <v>0.62575050331645377</v>
      </c>
      <c r="Q42" s="304">
        <f t="shared" si="17"/>
        <v>0.62355102789816519</v>
      </c>
      <c r="R42" s="304">
        <f t="shared" si="17"/>
        <v>0.70635488351491116</v>
      </c>
      <c r="S42" s="304">
        <f t="shared" si="17"/>
        <v>0.70586110935104751</v>
      </c>
      <c r="T42" s="304">
        <f t="shared" si="17"/>
        <v>0.70579832241945983</v>
      </c>
      <c r="U42" s="304">
        <f t="shared" si="17"/>
        <v>0.71623831706526542</v>
      </c>
      <c r="V42" s="304">
        <f t="shared" si="17"/>
        <v>0.72433857646991473</v>
      </c>
      <c r="W42" s="304">
        <f t="shared" si="17"/>
        <v>0.72065104131366708</v>
      </c>
      <c r="X42" s="304">
        <f t="shared" si="17"/>
        <v>0.71893555028395784</v>
      </c>
      <c r="Y42" s="304">
        <f t="shared" si="17"/>
        <v>0.71837373129041304</v>
      </c>
      <c r="Z42" s="304">
        <f t="shared" si="17"/>
        <v>0.71861262342823795</v>
      </c>
      <c r="AA42" s="304">
        <f t="shared" si="17"/>
        <v>0.60315237373285013</v>
      </c>
      <c r="AB42" s="304">
        <f t="shared" si="17"/>
        <v>0.71914743289527494</v>
      </c>
      <c r="AC42" s="304">
        <f t="shared" si="17"/>
        <v>0.71921034199082323</v>
      </c>
      <c r="AD42" s="304">
        <f t="shared" si="17"/>
        <v>0.71919324875118673</v>
      </c>
      <c r="AE42" s="304">
        <f t="shared" si="17"/>
        <v>0.71916122104832569</v>
      </c>
      <c r="AF42" s="304">
        <f t="shared" si="17"/>
        <v>0.71909669952551414</v>
      </c>
      <c r="AG42" s="304">
        <f t="shared" si="17"/>
        <v>0.71973092318957455</v>
      </c>
      <c r="AH42" s="304">
        <f t="shared" si="17"/>
        <v>0.72019849963820559</v>
      </c>
      <c r="AI42" s="304">
        <f t="shared" si="17"/>
        <v>0.72043269626042183</v>
      </c>
      <c r="AJ42" s="304">
        <f t="shared" si="17"/>
        <v>0.72067601035416295</v>
      </c>
      <c r="AK42" s="304">
        <f t="shared" si="17"/>
        <v>0.72081878936846744</v>
      </c>
      <c r="AL42" s="304">
        <f t="shared" si="17"/>
        <v>0.72100576289709184</v>
      </c>
      <c r="AM42" s="304">
        <f t="shared" si="17"/>
        <v>0.72119383911386026</v>
      </c>
      <c r="AN42" s="304">
        <f t="shared" si="17"/>
        <v>0.72141872960238651</v>
      </c>
      <c r="AO42" s="304">
        <f t="shared" si="17"/>
        <v>0.72165085992498323</v>
      </c>
      <c r="AP42" s="304">
        <f t="shared" si="17"/>
        <v>0.72288132529275184</v>
      </c>
      <c r="AQ42" s="304">
        <f t="shared" si="17"/>
        <v>0.72376347781942896</v>
      </c>
      <c r="AR42" s="304">
        <f t="shared" si="17"/>
        <v>0.72455000308237427</v>
      </c>
      <c r="AS42" s="304">
        <f t="shared" si="17"/>
        <v>0.72536193620899136</v>
      </c>
      <c r="AT42" s="304">
        <f t="shared" si="17"/>
        <v>0.72615737400268243</v>
      </c>
      <c r="AU42" s="305">
        <f t="shared" si="17"/>
        <v>0.54382270101694741</v>
      </c>
      <c r="AW42" s="303">
        <f t="shared" si="18"/>
        <v>-2.2598129583603632E-2</v>
      </c>
      <c r="AX42" s="303">
        <f t="shared" si="19"/>
        <v>-8.1927802299506358E-2</v>
      </c>
    </row>
    <row r="43" spans="1:50" x14ac:dyDescent="0.25">
      <c r="B43" s="258" t="s">
        <v>471</v>
      </c>
      <c r="C43" s="304">
        <f t="shared" si="20"/>
        <v>0.64313674466660875</v>
      </c>
      <c r="D43" s="304">
        <f t="shared" si="17"/>
        <v>0.63519491662320027</v>
      </c>
      <c r="E43" s="304">
        <f t="shared" si="17"/>
        <v>0.62832491822858871</v>
      </c>
      <c r="F43" s="304">
        <f t="shared" si="17"/>
        <v>0.62085607042292579</v>
      </c>
      <c r="G43" s="304">
        <f t="shared" si="17"/>
        <v>0.61479779655036826</v>
      </c>
      <c r="H43" s="304">
        <f t="shared" si="17"/>
        <v>0.60622477604362057</v>
      </c>
      <c r="I43" s="304">
        <f t="shared" si="17"/>
        <v>0.59660464360563514</v>
      </c>
      <c r="J43" s="304">
        <f t="shared" si="17"/>
        <v>0.58854077879275357</v>
      </c>
      <c r="K43" s="304">
        <f t="shared" si="17"/>
        <v>0.58079378452961139</v>
      </c>
      <c r="L43" s="304">
        <f t="shared" si="17"/>
        <v>0.57344313608904562</v>
      </c>
      <c r="M43" s="304">
        <f t="shared" si="17"/>
        <v>0.57512386915588753</v>
      </c>
      <c r="N43" s="304">
        <f t="shared" si="17"/>
        <v>0.57682297474432642</v>
      </c>
      <c r="O43" s="304">
        <f t="shared" si="17"/>
        <v>0.57659398672336093</v>
      </c>
      <c r="P43" s="304">
        <f t="shared" si="17"/>
        <v>0.57728710275376227</v>
      </c>
      <c r="Q43" s="304">
        <f t="shared" si="17"/>
        <v>0.57584409341559795</v>
      </c>
      <c r="R43" s="304">
        <f t="shared" si="17"/>
        <v>0.57384778123881952</v>
      </c>
      <c r="S43" s="304">
        <f t="shared" si="17"/>
        <v>0.57352361522045492</v>
      </c>
      <c r="T43" s="304">
        <f t="shared" si="17"/>
        <v>0.5733675543569291</v>
      </c>
      <c r="U43" s="304">
        <f t="shared" si="17"/>
        <v>0.57116867533459292</v>
      </c>
      <c r="V43" s="304">
        <f t="shared" si="17"/>
        <v>0.56803100831326314</v>
      </c>
      <c r="W43" s="304">
        <f t="shared" si="17"/>
        <v>0.56301189744044866</v>
      </c>
      <c r="X43" s="304">
        <f t="shared" si="17"/>
        <v>0.55870816171061799</v>
      </c>
      <c r="Y43" s="304">
        <f t="shared" si="17"/>
        <v>0.55475547074181075</v>
      </c>
      <c r="Z43" s="304">
        <f t="shared" si="17"/>
        <v>0.55097949448600281</v>
      </c>
      <c r="AA43" s="304">
        <f t="shared" si="17"/>
        <v>0.54728699376004675</v>
      </c>
      <c r="AB43" s="304">
        <f t="shared" si="17"/>
        <v>0.54403062410679415</v>
      </c>
      <c r="AC43" s="304">
        <f t="shared" si="17"/>
        <v>0.54076875656501255</v>
      </c>
      <c r="AD43" s="304">
        <f t="shared" si="17"/>
        <v>0.53740710442591921</v>
      </c>
      <c r="AE43" s="304">
        <f t="shared" si="17"/>
        <v>0.53401094779140368</v>
      </c>
      <c r="AF43" s="304">
        <f t="shared" si="17"/>
        <v>0.53057328351845312</v>
      </c>
      <c r="AG43" s="304">
        <f t="shared" si="17"/>
        <v>0.52746021348006933</v>
      </c>
      <c r="AH43" s="304">
        <f t="shared" si="17"/>
        <v>0.52424036601888147</v>
      </c>
      <c r="AI43" s="304">
        <f t="shared" si="17"/>
        <v>0.52088571354304258</v>
      </c>
      <c r="AJ43" s="304">
        <f t="shared" si="17"/>
        <v>0.51750041891186438</v>
      </c>
      <c r="AK43" s="304">
        <f t="shared" si="17"/>
        <v>0.51403276700902656</v>
      </c>
      <c r="AL43" s="304">
        <f t="shared" si="17"/>
        <v>0.51058438237808856</v>
      </c>
      <c r="AM43" s="304">
        <f t="shared" si="17"/>
        <v>0.50712757576668444</v>
      </c>
      <c r="AN43" s="304">
        <f t="shared" si="17"/>
        <v>0.50367679139418353</v>
      </c>
      <c r="AO43" s="304">
        <f t="shared" si="17"/>
        <v>0.50020539074052173</v>
      </c>
      <c r="AP43" s="304">
        <f t="shared" si="17"/>
        <v>0.49713362095313024</v>
      </c>
      <c r="AQ43" s="304">
        <f t="shared" si="17"/>
        <v>0.49379909818714435</v>
      </c>
      <c r="AR43" s="304">
        <f t="shared" si="17"/>
        <v>0.49042907798071766</v>
      </c>
      <c r="AS43" s="304">
        <f t="shared" si="17"/>
        <v>0.48706754538802366</v>
      </c>
      <c r="AT43" s="304">
        <f t="shared" si="17"/>
        <v>0.48366005897731373</v>
      </c>
      <c r="AU43" s="305">
        <f t="shared" si="17"/>
        <v>0.47970016158160672</v>
      </c>
      <c r="AW43" s="303">
        <f t="shared" si="18"/>
        <v>-3.0000108993715524E-2</v>
      </c>
      <c r="AX43" s="303">
        <f t="shared" si="19"/>
        <v>-9.758694117215555E-2</v>
      </c>
    </row>
    <row r="44" spans="1:50" x14ac:dyDescent="0.25">
      <c r="B44" s="261" t="s">
        <v>472</v>
      </c>
      <c r="C44" s="306">
        <f t="shared" si="20"/>
        <v>0.10294003529066954</v>
      </c>
      <c r="D44" s="306">
        <f t="shared" si="17"/>
        <v>0.10724890132551888</v>
      </c>
      <c r="E44" s="306">
        <f t="shared" si="17"/>
        <v>0.11064427488191654</v>
      </c>
      <c r="F44" s="306">
        <f t="shared" si="17"/>
        <v>0.11626399573137612</v>
      </c>
      <c r="G44" s="306">
        <f t="shared" si="17"/>
        <v>0.11960776427740019</v>
      </c>
      <c r="H44" s="306">
        <f t="shared" si="17"/>
        <v>0.12667598914076014</v>
      </c>
      <c r="I44" s="306">
        <f t="shared" si="17"/>
        <v>0.13068954820619755</v>
      </c>
      <c r="J44" s="306">
        <f t="shared" si="17"/>
        <v>0.13362197834949308</v>
      </c>
      <c r="K44" s="306">
        <f t="shared" si="17"/>
        <v>0.13768626461974795</v>
      </c>
      <c r="L44" s="306">
        <f t="shared" si="17"/>
        <v>0.13769928872248627</v>
      </c>
      <c r="M44" s="306">
        <f t="shared" si="17"/>
        <v>0.13479948864029859</v>
      </c>
      <c r="N44" s="306">
        <f t="shared" si="17"/>
        <v>0.13557274820577569</v>
      </c>
      <c r="O44" s="306">
        <f t="shared" si="17"/>
        <v>0.13898939866647222</v>
      </c>
      <c r="P44" s="306">
        <f t="shared" si="17"/>
        <v>0.13726635515932156</v>
      </c>
      <c r="Q44" s="306">
        <f t="shared" si="17"/>
        <v>4.7706934482567173E-2</v>
      </c>
      <c r="R44" s="306">
        <f t="shared" si="17"/>
        <v>0.13250710227609167</v>
      </c>
      <c r="S44" s="306">
        <f t="shared" si="17"/>
        <v>0.13233749413059256</v>
      </c>
      <c r="T44" s="306">
        <f t="shared" si="17"/>
        <v>0.13243076806253071</v>
      </c>
      <c r="U44" s="306">
        <f t="shared" si="17"/>
        <v>0.14506964173067255</v>
      </c>
      <c r="V44" s="306">
        <f t="shared" si="17"/>
        <v>0.15630756815665153</v>
      </c>
      <c r="W44" s="306">
        <f t="shared" si="17"/>
        <v>0.15763914387321851</v>
      </c>
      <c r="X44" s="306">
        <f t="shared" si="17"/>
        <v>0.16022738857333982</v>
      </c>
      <c r="Y44" s="306">
        <f t="shared" si="17"/>
        <v>0.16361826054860223</v>
      </c>
      <c r="Z44" s="306">
        <f t="shared" si="17"/>
        <v>0.16763312894223506</v>
      </c>
      <c r="AA44" s="306">
        <f t="shared" si="17"/>
        <v>5.5865379972803282E-2</v>
      </c>
      <c r="AB44" s="306">
        <f t="shared" si="17"/>
        <v>0.17511680878848071</v>
      </c>
      <c r="AC44" s="306">
        <f t="shared" si="17"/>
        <v>0.17844158542581065</v>
      </c>
      <c r="AD44" s="306">
        <f t="shared" si="17"/>
        <v>0.18178614432526746</v>
      </c>
      <c r="AE44" s="306">
        <f t="shared" si="17"/>
        <v>0.18515027325692199</v>
      </c>
      <c r="AF44" s="306">
        <f t="shared" si="17"/>
        <v>0.18852341600706107</v>
      </c>
      <c r="AG44" s="306">
        <f t="shared" si="17"/>
        <v>0.19227070970950519</v>
      </c>
      <c r="AH44" s="306">
        <f t="shared" si="17"/>
        <v>0.19595813361932404</v>
      </c>
      <c r="AI44" s="306">
        <f t="shared" si="17"/>
        <v>0.1995469827173792</v>
      </c>
      <c r="AJ44" s="306">
        <f t="shared" si="17"/>
        <v>0.20317559144229855</v>
      </c>
      <c r="AK44" s="306">
        <f t="shared" si="17"/>
        <v>0.20678602235944088</v>
      </c>
      <c r="AL44" s="306">
        <f t="shared" si="17"/>
        <v>0.21042138051900333</v>
      </c>
      <c r="AM44" s="306">
        <f t="shared" si="17"/>
        <v>0.21406626334717571</v>
      </c>
      <c r="AN44" s="306">
        <f t="shared" si="17"/>
        <v>0.21774193820820301</v>
      </c>
      <c r="AO44" s="306">
        <f t="shared" si="17"/>
        <v>0.22144546918446159</v>
      </c>
      <c r="AP44" s="306">
        <f t="shared" si="17"/>
        <v>0.22574770433962163</v>
      </c>
      <c r="AQ44" s="306">
        <f t="shared" si="17"/>
        <v>0.2299643796322845</v>
      </c>
      <c r="AR44" s="306">
        <f t="shared" si="17"/>
        <v>0.23412092510165672</v>
      </c>
      <c r="AS44" s="306">
        <f t="shared" si="17"/>
        <v>0.23829439082096773</v>
      </c>
      <c r="AT44" s="306">
        <f t="shared" si="17"/>
        <v>0.24249731502536875</v>
      </c>
      <c r="AU44" s="307">
        <f t="shared" si="17"/>
        <v>6.4122539435340714E-2</v>
      </c>
      <c r="AW44" s="303">
        <f t="shared" si="18"/>
        <v>-8.1400975186518287E-2</v>
      </c>
      <c r="AX44" s="303">
        <f t="shared" si="19"/>
        <v>-7.3143815723980848E-2</v>
      </c>
    </row>
    <row r="45" spans="1:50" x14ac:dyDescent="0.25">
      <c r="B45" s="249" t="s">
        <v>473</v>
      </c>
      <c r="C45" s="308">
        <f t="shared" si="20"/>
        <v>0.84019670780873068</v>
      </c>
      <c r="D45" s="308">
        <f t="shared" si="17"/>
        <v>0.83695745016586565</v>
      </c>
      <c r="E45" s="308">
        <f t="shared" si="17"/>
        <v>0.83471625041718223</v>
      </c>
      <c r="F45" s="308">
        <f t="shared" si="17"/>
        <v>0.82966338909754866</v>
      </c>
      <c r="G45" s="308">
        <f t="shared" si="17"/>
        <v>0.82697932025214627</v>
      </c>
      <c r="H45" s="308">
        <f t="shared" si="17"/>
        <v>0.82063871203215144</v>
      </c>
      <c r="I45" s="308">
        <f t="shared" si="17"/>
        <v>0.81834244039393333</v>
      </c>
      <c r="J45" s="308">
        <f t="shared" ref="J45:AU45" si="21">J10/(J$2-J$3)</f>
        <v>0.81667409177841699</v>
      </c>
      <c r="K45" s="308">
        <f t="shared" si="21"/>
        <v>0.81344039363008558</v>
      </c>
      <c r="L45" s="308">
        <f t="shared" si="21"/>
        <v>0.81494799998899747</v>
      </c>
      <c r="M45" s="308">
        <f t="shared" si="21"/>
        <v>0.81789378440383254</v>
      </c>
      <c r="N45" s="308">
        <f t="shared" si="21"/>
        <v>0.81652814244108851</v>
      </c>
      <c r="O45" s="308">
        <f t="shared" si="21"/>
        <v>0.8127070659307668</v>
      </c>
      <c r="P45" s="308">
        <f t="shared" si="21"/>
        <v>0.81464478877906643</v>
      </c>
      <c r="Q45" s="308">
        <f t="shared" si="21"/>
        <v>0.8173976532882592</v>
      </c>
      <c r="R45" s="308">
        <f t="shared" si="21"/>
        <v>0.82063237944158185</v>
      </c>
      <c r="S45" s="308">
        <f t="shared" si="21"/>
        <v>0.82084033616855689</v>
      </c>
      <c r="T45" s="308">
        <f t="shared" si="21"/>
        <v>0.82069087346213432</v>
      </c>
      <c r="U45" s="308">
        <f t="shared" si="21"/>
        <v>0.80473517055879107</v>
      </c>
      <c r="V45" s="308">
        <f t="shared" si="21"/>
        <v>0.79069391855315685</v>
      </c>
      <c r="W45" s="308">
        <f t="shared" si="21"/>
        <v>0.78938218316739861</v>
      </c>
      <c r="X45" s="308">
        <f t="shared" si="21"/>
        <v>0.78636563710308027</v>
      </c>
      <c r="Y45" s="308">
        <f t="shared" si="21"/>
        <v>0.78229654112927349</v>
      </c>
      <c r="Z45" s="308">
        <f t="shared" si="21"/>
        <v>0.77743488581363129</v>
      </c>
      <c r="AA45" s="308">
        <f t="shared" si="21"/>
        <v>0.77217493255962333</v>
      </c>
      <c r="AB45" s="308">
        <f t="shared" si="21"/>
        <v>0.76861774356193457</v>
      </c>
      <c r="AC45" s="308">
        <f t="shared" si="21"/>
        <v>0.76487453062273347</v>
      </c>
      <c r="AD45" s="308">
        <f t="shared" si="21"/>
        <v>0.76115433895096329</v>
      </c>
      <c r="AE45" s="308">
        <f t="shared" si="21"/>
        <v>0.75742985540716212</v>
      </c>
      <c r="AF45" s="308">
        <f t="shared" si="21"/>
        <v>0.75371609475694834</v>
      </c>
      <c r="AG45" s="308">
        <f t="shared" si="21"/>
        <v>0.74943012835399903</v>
      </c>
      <c r="AH45" s="308">
        <f t="shared" si="21"/>
        <v>0.7452592731584321</v>
      </c>
      <c r="AI45" s="308">
        <f t="shared" si="21"/>
        <v>0.74125987144286376</v>
      </c>
      <c r="AJ45" s="308">
        <f t="shared" si="21"/>
        <v>0.73723328614104533</v>
      </c>
      <c r="AK45" s="308">
        <f t="shared" si="21"/>
        <v>0.73326577074615251</v>
      </c>
      <c r="AL45" s="308">
        <f t="shared" si="21"/>
        <v>0.72925004523844184</v>
      </c>
      <c r="AM45" s="308">
        <f t="shared" si="21"/>
        <v>0.72523048503146403</v>
      </c>
      <c r="AN45" s="308">
        <f t="shared" si="21"/>
        <v>0.72117749366732198</v>
      </c>
      <c r="AO45" s="308">
        <f t="shared" si="21"/>
        <v>0.71710664684830672</v>
      </c>
      <c r="AP45" s="308">
        <f t="shared" si="21"/>
        <v>0.71218949298815515</v>
      </c>
      <c r="AQ45" s="308">
        <f t="shared" si="21"/>
        <v>0.70748255940827476</v>
      </c>
      <c r="AR45" s="308">
        <f t="shared" si="21"/>
        <v>0.70286148537704052</v>
      </c>
      <c r="AS45" s="308">
        <f t="shared" si="21"/>
        <v>0.69822027017868094</v>
      </c>
      <c r="AT45" s="308">
        <f t="shared" si="21"/>
        <v>0.69357117330264706</v>
      </c>
      <c r="AU45" s="309">
        <f t="shared" si="21"/>
        <v>0.68902784612677581</v>
      </c>
      <c r="AW45" s="310">
        <f>AA45-P45</f>
        <v>-4.2469856219443103E-2</v>
      </c>
      <c r="AX45" s="310">
        <f>AU45-P45</f>
        <v>-0.12561694265229062</v>
      </c>
    </row>
    <row r="46" spans="1:50" x14ac:dyDescent="0.25">
      <c r="C46" s="265"/>
      <c r="D46" s="265"/>
      <c r="E46" s="265"/>
      <c r="F46" s="265"/>
      <c r="G46" s="265"/>
      <c r="H46" s="265"/>
      <c r="I46" s="265"/>
      <c r="J46" s="265"/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  <c r="AA46" s="265"/>
      <c r="AB46" s="265"/>
      <c r="AC46" s="265"/>
      <c r="AD46" s="265"/>
      <c r="AE46" s="265"/>
      <c r="AF46" s="265"/>
      <c r="AG46" s="265"/>
      <c r="AH46" s="265"/>
      <c r="AI46" s="265"/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5"/>
      <c r="AU46" s="265"/>
    </row>
    <row r="47" spans="1:50" s="244" customFormat="1" ht="45" customHeight="1" x14ac:dyDescent="0.25">
      <c r="A47" s="239" t="s">
        <v>474</v>
      </c>
      <c r="B47" s="240" t="s">
        <v>497</v>
      </c>
      <c r="C47" s="242">
        <v>2006</v>
      </c>
      <c r="D47" s="242">
        <v>2007</v>
      </c>
      <c r="E47" s="242">
        <v>2008</v>
      </c>
      <c r="F47" s="242">
        <v>2009</v>
      </c>
      <c r="G47" s="242">
        <v>2010</v>
      </c>
      <c r="H47" s="242">
        <v>2011</v>
      </c>
      <c r="I47" s="242">
        <v>2012</v>
      </c>
      <c r="J47" s="242">
        <v>2013</v>
      </c>
      <c r="K47" s="242">
        <v>2014</v>
      </c>
      <c r="L47" s="242">
        <v>2015</v>
      </c>
      <c r="M47" s="242">
        <v>2016</v>
      </c>
      <c r="N47" s="242">
        <v>2017</v>
      </c>
      <c r="O47" s="242">
        <v>2018</v>
      </c>
      <c r="P47" s="242">
        <v>2019</v>
      </c>
      <c r="Q47" s="242">
        <v>2020</v>
      </c>
      <c r="R47" s="242">
        <v>2021</v>
      </c>
      <c r="S47" s="242">
        <v>2022</v>
      </c>
      <c r="T47" s="242">
        <v>2023</v>
      </c>
      <c r="U47" s="242">
        <v>2024</v>
      </c>
      <c r="V47" s="242">
        <v>2025</v>
      </c>
      <c r="W47" s="242">
        <v>2026</v>
      </c>
      <c r="X47" s="242">
        <v>2027</v>
      </c>
      <c r="Y47" s="242">
        <v>2028</v>
      </c>
      <c r="Z47" s="242">
        <v>2029</v>
      </c>
      <c r="AA47" s="242">
        <v>2030</v>
      </c>
      <c r="AB47" s="242">
        <v>2031</v>
      </c>
      <c r="AC47" s="242">
        <v>2032</v>
      </c>
      <c r="AD47" s="242">
        <v>2033</v>
      </c>
      <c r="AE47" s="242">
        <v>2034</v>
      </c>
      <c r="AF47" s="242">
        <v>2035</v>
      </c>
      <c r="AG47" s="242">
        <v>2036</v>
      </c>
      <c r="AH47" s="242">
        <v>2037</v>
      </c>
      <c r="AI47" s="242">
        <v>2038</v>
      </c>
      <c r="AJ47" s="242">
        <v>2039</v>
      </c>
      <c r="AK47" s="242">
        <v>2040</v>
      </c>
      <c r="AL47" s="242">
        <v>2041</v>
      </c>
      <c r="AM47" s="242">
        <v>2042</v>
      </c>
      <c r="AN47" s="242">
        <v>2043</v>
      </c>
      <c r="AO47" s="242">
        <v>2044</v>
      </c>
      <c r="AP47" s="242">
        <v>2045</v>
      </c>
      <c r="AQ47" s="242">
        <v>2046</v>
      </c>
      <c r="AR47" s="242">
        <v>2047</v>
      </c>
      <c r="AS47" s="242">
        <v>2048</v>
      </c>
      <c r="AT47" s="242">
        <v>2049</v>
      </c>
      <c r="AU47" s="243">
        <v>2050</v>
      </c>
      <c r="AW47" s="242" t="s">
        <v>498</v>
      </c>
      <c r="AX47" s="242" t="s">
        <v>499</v>
      </c>
    </row>
    <row r="48" spans="1:50" x14ac:dyDescent="0.25">
      <c r="B48" s="245" t="s">
        <v>1</v>
      </c>
      <c r="C48" s="246">
        <f t="shared" ref="C48:AU48" si="22">C49+C50+C53</f>
        <v>1</v>
      </c>
      <c r="D48" s="247">
        <f t="shared" si="22"/>
        <v>1</v>
      </c>
      <c r="E48" s="247">
        <f t="shared" si="22"/>
        <v>1</v>
      </c>
      <c r="F48" s="247">
        <f t="shared" si="22"/>
        <v>1</v>
      </c>
      <c r="G48" s="247">
        <f t="shared" si="22"/>
        <v>1</v>
      </c>
      <c r="H48" s="247">
        <f t="shared" si="22"/>
        <v>1</v>
      </c>
      <c r="I48" s="247">
        <f t="shared" si="22"/>
        <v>1</v>
      </c>
      <c r="J48" s="247">
        <f t="shared" si="22"/>
        <v>0.99999999999999989</v>
      </c>
      <c r="K48" s="247">
        <f t="shared" si="22"/>
        <v>1.0000000000000002</v>
      </c>
      <c r="L48" s="247">
        <f t="shared" si="22"/>
        <v>1</v>
      </c>
      <c r="M48" s="247">
        <f t="shared" si="22"/>
        <v>1</v>
      </c>
      <c r="N48" s="247">
        <f t="shared" si="22"/>
        <v>1</v>
      </c>
      <c r="O48" s="247">
        <f t="shared" si="22"/>
        <v>0.99999999999999989</v>
      </c>
      <c r="P48" s="247">
        <f t="shared" si="22"/>
        <v>1</v>
      </c>
      <c r="Q48" s="247">
        <f t="shared" si="22"/>
        <v>0.99547642013518312</v>
      </c>
      <c r="R48" s="247">
        <f t="shared" si="22"/>
        <v>0.99489605128186043</v>
      </c>
      <c r="S48" s="247">
        <f t="shared" si="22"/>
        <v>0.9939811674185921</v>
      </c>
      <c r="T48" s="247">
        <f t="shared" si="22"/>
        <v>0.99339650357293319</v>
      </c>
      <c r="U48" s="247">
        <f t="shared" si="22"/>
        <v>1.0066185611915621</v>
      </c>
      <c r="V48" s="247">
        <f t="shared" si="22"/>
        <v>1.0173066887927291</v>
      </c>
      <c r="W48" s="247">
        <f t="shared" si="22"/>
        <v>1.015948993958985</v>
      </c>
      <c r="X48" s="247">
        <f t="shared" si="22"/>
        <v>1.0187134803709237</v>
      </c>
      <c r="Y48" s="247">
        <f t="shared" si="22"/>
        <v>1.0239502278217936</v>
      </c>
      <c r="Z48" s="247">
        <f t="shared" si="22"/>
        <v>1.0308774170939485</v>
      </c>
      <c r="AA48" s="247">
        <f t="shared" si="22"/>
        <v>1.0389346066085587</v>
      </c>
      <c r="AB48" s="247">
        <f t="shared" si="22"/>
        <v>1.0450806786066571</v>
      </c>
      <c r="AC48" s="247">
        <f t="shared" si="22"/>
        <v>1.0532306158590341</v>
      </c>
      <c r="AD48" s="247">
        <f t="shared" si="22"/>
        <v>1.0607499668862124</v>
      </c>
      <c r="AE48" s="247">
        <f t="shared" si="22"/>
        <v>1.0679584356516041</v>
      </c>
      <c r="AF48" s="247">
        <f t="shared" si="22"/>
        <v>1.0771999999769886</v>
      </c>
      <c r="AG48" s="247">
        <f t="shared" si="22"/>
        <v>1.0843713875679131</v>
      </c>
      <c r="AH48" s="247">
        <f t="shared" si="22"/>
        <v>1.0912528170604501</v>
      </c>
      <c r="AI48" s="247">
        <f t="shared" si="22"/>
        <v>1.098126223940495</v>
      </c>
      <c r="AJ48" s="247">
        <f t="shared" si="22"/>
        <v>1.1047862296105004</v>
      </c>
      <c r="AK48" s="247">
        <f t="shared" si="22"/>
        <v>1.1115398501944149</v>
      </c>
      <c r="AL48" s="247">
        <f t="shared" si="22"/>
        <v>1.1185768425912532</v>
      </c>
      <c r="AM48" s="247">
        <f t="shared" si="22"/>
        <v>1.1251380968530664</v>
      </c>
      <c r="AN48" s="247">
        <f t="shared" si="22"/>
        <v>1.1314606722378489</v>
      </c>
      <c r="AO48" s="247">
        <f t="shared" si="22"/>
        <v>1.1376518493855512</v>
      </c>
      <c r="AP48" s="247">
        <f t="shared" si="22"/>
        <v>1.1456994751673479</v>
      </c>
      <c r="AQ48" s="247">
        <f t="shared" si="22"/>
        <v>1.1538427289431845</v>
      </c>
      <c r="AR48" s="247">
        <f t="shared" si="22"/>
        <v>1.1614482283619632</v>
      </c>
      <c r="AS48" s="247">
        <f t="shared" si="22"/>
        <v>1.168520855218647</v>
      </c>
      <c r="AT48" s="247">
        <f t="shared" si="22"/>
        <v>1.1752426230278004</v>
      </c>
      <c r="AU48" s="248">
        <f t="shared" si="22"/>
        <v>1.1824136356941299</v>
      </c>
    </row>
    <row r="49" spans="1:50" x14ac:dyDescent="0.25">
      <c r="B49" s="249" t="s">
        <v>466</v>
      </c>
      <c r="C49" s="300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1"/>
      <c r="AU49" s="252"/>
      <c r="AW49" s="253"/>
    </row>
    <row r="50" spans="1:50" x14ac:dyDescent="0.25">
      <c r="B50" s="254" t="s">
        <v>467</v>
      </c>
      <c r="C50" s="301">
        <f>C15/(C$2-C$3)</f>
        <v>0.29999999998794452</v>
      </c>
      <c r="D50" s="301">
        <f t="shared" ref="D50:AU51" si="23">D15/(D$2-D$3)</f>
        <v>0.30900084668627942</v>
      </c>
      <c r="E50" s="301">
        <f t="shared" si="23"/>
        <v>0.31702215533610095</v>
      </c>
      <c r="F50" s="301">
        <f t="shared" si="23"/>
        <v>0.32500427027229001</v>
      </c>
      <c r="G50" s="301">
        <f t="shared" si="23"/>
        <v>0.33171506404965012</v>
      </c>
      <c r="H50" s="301">
        <f t="shared" si="23"/>
        <v>0.34092661762312609</v>
      </c>
      <c r="I50" s="301">
        <f t="shared" si="23"/>
        <v>0.35225837326079096</v>
      </c>
      <c r="J50" s="301">
        <f t="shared" si="23"/>
        <v>0.36158019701588151</v>
      </c>
      <c r="K50" s="301">
        <f t="shared" si="23"/>
        <v>0.37014897638087801</v>
      </c>
      <c r="L50" s="301">
        <f t="shared" si="23"/>
        <v>0.37895455688579888</v>
      </c>
      <c r="M50" s="301">
        <f t="shared" si="23"/>
        <v>0.3772903011832906</v>
      </c>
      <c r="N50" s="301">
        <f t="shared" si="23"/>
        <v>0.37498587100935693</v>
      </c>
      <c r="O50" s="301">
        <f t="shared" si="23"/>
        <v>0.37474117433262999</v>
      </c>
      <c r="P50" s="301">
        <f t="shared" si="23"/>
        <v>0.37424949668354623</v>
      </c>
      <c r="Q50" s="301">
        <f t="shared" si="23"/>
        <v>0.37289847806126769</v>
      </c>
      <c r="R50" s="301">
        <f t="shared" si="23"/>
        <v>0.37385533147546046</v>
      </c>
      <c r="S50" s="301">
        <f t="shared" si="23"/>
        <v>0.373048458660937</v>
      </c>
      <c r="T50" s="301">
        <f t="shared" si="23"/>
        <v>0.37229876622537883</v>
      </c>
      <c r="U50" s="301">
        <f t="shared" si="23"/>
        <v>0.37703552878086966</v>
      </c>
      <c r="V50" s="301">
        <f t="shared" si="23"/>
        <v>0.38094351508329166</v>
      </c>
      <c r="W50" s="301">
        <f t="shared" si="23"/>
        <v>0.38029474370129207</v>
      </c>
      <c r="X50" s="301">
        <f t="shared" si="23"/>
        <v>0.38135673611270332</v>
      </c>
      <c r="Y50" s="301">
        <f t="shared" si="23"/>
        <v>0.38327035753412497</v>
      </c>
      <c r="Z50" s="301">
        <f t="shared" si="23"/>
        <v>0.38585403098045079</v>
      </c>
      <c r="AA50" s="301">
        <f t="shared" si="23"/>
        <v>0.38891252785216901</v>
      </c>
      <c r="AB50" s="301">
        <f t="shared" si="23"/>
        <v>0.39127711831551892</v>
      </c>
      <c r="AC50" s="301">
        <f t="shared" si="23"/>
        <v>0.39525688183699231</v>
      </c>
      <c r="AD50" s="301">
        <f t="shared" si="23"/>
        <v>0.3986564854099493</v>
      </c>
      <c r="AE50" s="301">
        <f t="shared" si="23"/>
        <v>0.40179653803509563</v>
      </c>
      <c r="AF50" s="301">
        <f t="shared" si="23"/>
        <v>0.40645571568185362</v>
      </c>
      <c r="AG50" s="301">
        <f t="shared" si="23"/>
        <v>0.40913026599064278</v>
      </c>
      <c r="AH50" s="301">
        <f t="shared" si="23"/>
        <v>0.41185467523285785</v>
      </c>
      <c r="AI50" s="301">
        <f t="shared" si="23"/>
        <v>0.41466759429472438</v>
      </c>
      <c r="AJ50" s="301">
        <f t="shared" si="23"/>
        <v>0.41743542440324816</v>
      </c>
      <c r="AK50" s="301">
        <f t="shared" si="23"/>
        <v>0.42026885985738183</v>
      </c>
      <c r="AL50" s="301">
        <f t="shared" si="23"/>
        <v>0.42328565967472565</v>
      </c>
      <c r="AM50" s="301">
        <f t="shared" si="23"/>
        <v>0.42604114514665042</v>
      </c>
      <c r="AN50" s="301">
        <f t="shared" si="23"/>
        <v>0.42865410472004101</v>
      </c>
      <c r="AO50" s="301">
        <f t="shared" si="23"/>
        <v>0.43119718479347391</v>
      </c>
      <c r="AP50" s="301">
        <f t="shared" si="23"/>
        <v>0.43443183288478221</v>
      </c>
      <c r="AQ50" s="301">
        <f t="shared" si="23"/>
        <v>0.43776278187298007</v>
      </c>
      <c r="AR50" s="301">
        <f t="shared" si="23"/>
        <v>0.44084019246163136</v>
      </c>
      <c r="AS50" s="301">
        <f t="shared" si="23"/>
        <v>0.44369298088734876</v>
      </c>
      <c r="AT50" s="301">
        <f t="shared" si="23"/>
        <v>0.44639763987647046</v>
      </c>
      <c r="AU50" s="302">
        <f t="shared" si="23"/>
        <v>0.44925316732796799</v>
      </c>
      <c r="AW50" s="303">
        <f t="shared" ref="AW50:AW55" si="24">AA50-P50</f>
        <v>1.4663031168622775E-2</v>
      </c>
      <c r="AX50" s="303">
        <f t="shared" ref="AX50:AX55" si="25">AU50-P50</f>
        <v>7.500367064442176E-2</v>
      </c>
    </row>
    <row r="51" spans="1:50" x14ac:dyDescent="0.25">
      <c r="B51" s="258" t="s">
        <v>468</v>
      </c>
      <c r="C51" s="304">
        <f>C16/(C$2-C$3)</f>
        <v>0.1970599631421219</v>
      </c>
      <c r="D51" s="304">
        <f t="shared" si="23"/>
        <v>0.20176253354266543</v>
      </c>
      <c r="E51" s="304">
        <f t="shared" si="23"/>
        <v>0.20639133218859357</v>
      </c>
      <c r="F51" s="304">
        <f t="shared" si="23"/>
        <v>0.20880731867462293</v>
      </c>
      <c r="G51" s="304">
        <f t="shared" si="23"/>
        <v>0.21218152370177809</v>
      </c>
      <c r="H51" s="304">
        <f t="shared" si="23"/>
        <v>0.21441393598853084</v>
      </c>
      <c r="I51" s="304">
        <f t="shared" si="23"/>
        <v>0.22173779678829825</v>
      </c>
      <c r="J51" s="304">
        <f t="shared" si="23"/>
        <v>0.22813331298566342</v>
      </c>
      <c r="K51" s="304">
        <f t="shared" si="23"/>
        <v>0.23264660910047413</v>
      </c>
      <c r="L51" s="304">
        <f t="shared" si="23"/>
        <v>0.24150486389995185</v>
      </c>
      <c r="M51" s="304">
        <f t="shared" si="23"/>
        <v>0.24276991524794506</v>
      </c>
      <c r="N51" s="304">
        <f t="shared" si="23"/>
        <v>0.23970516769676203</v>
      </c>
      <c r="O51" s="304">
        <f t="shared" si="23"/>
        <v>0.23611307920740598</v>
      </c>
      <c r="P51" s="304">
        <f t="shared" si="23"/>
        <v>0.23735768602530408</v>
      </c>
      <c r="Q51" s="304">
        <f t="shared" si="23"/>
        <v>0.23718770509743362</v>
      </c>
      <c r="R51" s="304">
        <f t="shared" si="23"/>
        <v>0.2397992994930804</v>
      </c>
      <c r="S51" s="304">
        <f t="shared" si="23"/>
        <v>0.23866410636305829</v>
      </c>
      <c r="T51" s="304">
        <f t="shared" si="23"/>
        <v>0.23747864984970796</v>
      </c>
      <c r="U51" s="304">
        <f t="shared" si="23"/>
        <v>0.24024345292686583</v>
      </c>
      <c r="V51" s="304">
        <f t="shared" si="23"/>
        <v>0.24263228876192744</v>
      </c>
      <c r="W51" s="304">
        <f t="shared" si="23"/>
        <v>0.24210326498591486</v>
      </c>
      <c r="X51" s="304">
        <f t="shared" si="23"/>
        <v>0.24292451112924243</v>
      </c>
      <c r="Y51" s="304">
        <f t="shared" si="23"/>
        <v>0.24416129277876372</v>
      </c>
      <c r="Z51" s="304">
        <f t="shared" si="23"/>
        <v>0.24587565099351469</v>
      </c>
      <c r="AA51" s="304">
        <f t="shared" si="23"/>
        <v>0.24797024885351027</v>
      </c>
      <c r="AB51" s="304">
        <f t="shared" si="23"/>
        <v>0.24965707860314815</v>
      </c>
      <c r="AC51" s="304">
        <f t="shared" si="23"/>
        <v>0.2537089602919374</v>
      </c>
      <c r="AD51" s="304">
        <f t="shared" si="23"/>
        <v>0.25685718436480481</v>
      </c>
      <c r="AE51" s="304">
        <f t="shared" si="23"/>
        <v>0.25962506499565652</v>
      </c>
      <c r="AF51" s="304">
        <f t="shared" si="23"/>
        <v>0.26457731589247474</v>
      </c>
      <c r="AG51" s="304">
        <f t="shared" si="23"/>
        <v>0.2663467026363211</v>
      </c>
      <c r="AH51" s="304">
        <f t="shared" si="23"/>
        <v>0.26842375743447272</v>
      </c>
      <c r="AI51" s="304">
        <f t="shared" si="23"/>
        <v>0.27071869958613459</v>
      </c>
      <c r="AJ51" s="304">
        <f t="shared" si="23"/>
        <v>0.27305563336835137</v>
      </c>
      <c r="AK51" s="304">
        <f t="shared" si="23"/>
        <v>0.27549029494617883</v>
      </c>
      <c r="AL51" s="304">
        <f t="shared" si="23"/>
        <v>0.27816369557136711</v>
      </c>
      <c r="AM51" s="304">
        <f t="shared" si="23"/>
        <v>0.28054009624532544</v>
      </c>
      <c r="AN51" s="304">
        <f t="shared" si="23"/>
        <v>0.28273601768762929</v>
      </c>
      <c r="AO51" s="304">
        <f t="shared" si="23"/>
        <v>0.28485134682289148</v>
      </c>
      <c r="AP51" s="304">
        <f t="shared" si="23"/>
        <v>0.28740464614861494</v>
      </c>
      <c r="AQ51" s="304">
        <f t="shared" si="23"/>
        <v>0.29012069582066924</v>
      </c>
      <c r="AR51" s="304">
        <f t="shared" si="23"/>
        <v>0.29258653404625623</v>
      </c>
      <c r="AS51" s="304">
        <f t="shared" si="23"/>
        <v>0.29486906059715567</v>
      </c>
      <c r="AT51" s="304">
        <f t="shared" si="23"/>
        <v>0.29703106199130164</v>
      </c>
      <c r="AU51" s="305">
        <f t="shared" si="23"/>
        <v>0.29926407022536156</v>
      </c>
      <c r="AW51" s="303">
        <f t="shared" si="24"/>
        <v>1.061256282820619E-2</v>
      </c>
      <c r="AX51" s="303">
        <f t="shared" si="25"/>
        <v>6.1906384200057479E-2</v>
      </c>
    </row>
    <row r="52" spans="1:50" x14ac:dyDescent="0.25">
      <c r="B52" s="261" t="s">
        <v>469</v>
      </c>
      <c r="C52" s="306">
        <f t="shared" ref="C52:AU56" si="26">C17/(C$2-C$3)</f>
        <v>5.6863254489509636E-2</v>
      </c>
      <c r="D52" s="306">
        <f t="shared" si="26"/>
        <v>5.5805275500063471E-2</v>
      </c>
      <c r="E52" s="306">
        <f t="shared" si="26"/>
        <v>5.4656444486540876E-2</v>
      </c>
      <c r="F52" s="306">
        <f t="shared" si="26"/>
        <v>5.4143294741373443E-2</v>
      </c>
      <c r="G52" s="306">
        <f t="shared" si="26"/>
        <v>5.3490871105762561E-2</v>
      </c>
      <c r="H52" s="306">
        <f t="shared" si="26"/>
        <v>5.2852387002672314E-2</v>
      </c>
      <c r="I52" s="306">
        <f t="shared" si="26"/>
        <v>5.1147405677081072E-2</v>
      </c>
      <c r="J52" s="306">
        <f t="shared" si="26"/>
        <v>4.9892219674772399E-2</v>
      </c>
      <c r="K52" s="306">
        <f t="shared" si="26"/>
        <v>4.9070512745991154E-2</v>
      </c>
      <c r="L52" s="306">
        <f t="shared" si="26"/>
        <v>4.7621983219057085E-2</v>
      </c>
      <c r="M52" s="306">
        <f t="shared" si="26"/>
        <v>4.7605793539005688E-2</v>
      </c>
      <c r="N52" s="306">
        <f t="shared" si="26"/>
        <v>4.8213286857991734E-2</v>
      </c>
      <c r="O52" s="306">
        <f t="shared" si="26"/>
        <v>4.8689312393017513E-2</v>
      </c>
      <c r="P52" s="306">
        <f t="shared" si="26"/>
        <v>4.8488531475460873E-2</v>
      </c>
      <c r="Q52" s="306">
        <f t="shared" si="26"/>
        <v>0.13608667730422996</v>
      </c>
      <c r="R52" s="306">
        <f t="shared" si="26"/>
        <v>4.7510746584210943E-2</v>
      </c>
      <c r="S52" s="306">
        <f t="shared" si="26"/>
        <v>4.7636653251000867E-2</v>
      </c>
      <c r="T52" s="306">
        <f t="shared" si="26"/>
        <v>4.7802714313771713E-2</v>
      </c>
      <c r="U52" s="306">
        <f t="shared" si="26"/>
        <v>4.8515343230459369E-2</v>
      </c>
      <c r="V52" s="306">
        <f t="shared" si="26"/>
        <v>4.9063575918603386E-2</v>
      </c>
      <c r="W52" s="306">
        <f t="shared" si="26"/>
        <v>4.9038974505344265E-2</v>
      </c>
      <c r="X52" s="306">
        <f t="shared" si="26"/>
        <v>4.9147758990723919E-2</v>
      </c>
      <c r="Y52" s="306">
        <f t="shared" si="26"/>
        <v>4.9406658426626442E-2</v>
      </c>
      <c r="Z52" s="306">
        <f t="shared" si="26"/>
        <v>4.973344465272015E-2</v>
      </c>
      <c r="AA52" s="306">
        <f t="shared" si="26"/>
        <v>0.14136429918867591</v>
      </c>
      <c r="AB52" s="306">
        <f t="shared" si="26"/>
        <v>5.0355253494863417E-2</v>
      </c>
      <c r="AC52" s="306">
        <f t="shared" si="26"/>
        <v>5.0376431047844332E-2</v>
      </c>
      <c r="AD52" s="306">
        <f t="shared" si="26"/>
        <v>5.0501047933720788E-2</v>
      </c>
      <c r="AE52" s="306">
        <f t="shared" si="26"/>
        <v>5.0665054761467175E-2</v>
      </c>
      <c r="AF52" s="306">
        <f t="shared" si="26"/>
        <v>5.0630615791566642E-2</v>
      </c>
      <c r="AG52" s="306">
        <f t="shared" si="26"/>
        <v>5.0968034042477413E-2</v>
      </c>
      <c r="AH52" s="306">
        <f t="shared" si="26"/>
        <v>5.122597517615006E-2</v>
      </c>
      <c r="AI52" s="306">
        <f t="shared" si="26"/>
        <v>5.1446131826226177E-2</v>
      </c>
      <c r="AJ52" s="306">
        <f t="shared" si="26"/>
        <v>5.1640324363591998E-2</v>
      </c>
      <c r="AK52" s="306">
        <f t="shared" si="26"/>
        <v>5.1825999967874209E-2</v>
      </c>
      <c r="AL52" s="306">
        <f t="shared" si="26"/>
        <v>5.1996087313992495E-2</v>
      </c>
      <c r="AM52" s="306">
        <f t="shared" si="26"/>
        <v>5.2175657129614736E-2</v>
      </c>
      <c r="AN52" s="306">
        <f t="shared" si="26"/>
        <v>5.2365243182568286E-2</v>
      </c>
      <c r="AO52" s="306">
        <f t="shared" si="26"/>
        <v>5.2557157469047946E-2</v>
      </c>
      <c r="AP52" s="306">
        <f t="shared" si="26"/>
        <v>5.2839637077942633E-2</v>
      </c>
      <c r="AQ52" s="306">
        <f t="shared" si="26"/>
        <v>5.3102800375606128E-2</v>
      </c>
      <c r="AR52" s="306">
        <f t="shared" si="26"/>
        <v>5.3361095861269428E-2</v>
      </c>
      <c r="AS52" s="306">
        <f t="shared" si="26"/>
        <v>5.3603448635278828E-2</v>
      </c>
      <c r="AT52" s="306">
        <f t="shared" si="26"/>
        <v>5.3835369732884657E-2</v>
      </c>
      <c r="AU52" s="307">
        <f t="shared" si="26"/>
        <v>0.15053924802849472</v>
      </c>
      <c r="AW52" s="303">
        <f t="shared" si="24"/>
        <v>9.2875767713215041E-2</v>
      </c>
      <c r="AX52" s="303">
        <f t="shared" si="25"/>
        <v>0.10205071655303385</v>
      </c>
    </row>
    <row r="53" spans="1:50" x14ac:dyDescent="0.25">
      <c r="B53" s="258" t="s">
        <v>470</v>
      </c>
      <c r="C53" s="304">
        <f t="shared" si="26"/>
        <v>0.70000000001205542</v>
      </c>
      <c r="D53" s="304">
        <f t="shared" si="26"/>
        <v>0.69099915331372053</v>
      </c>
      <c r="E53" s="304">
        <f t="shared" si="26"/>
        <v>0.68297784466389899</v>
      </c>
      <c r="F53" s="304">
        <f t="shared" si="26"/>
        <v>0.67499572972771005</v>
      </c>
      <c r="G53" s="304">
        <f t="shared" si="26"/>
        <v>0.66828493595034988</v>
      </c>
      <c r="H53" s="304">
        <f t="shared" si="26"/>
        <v>0.65907338237687396</v>
      </c>
      <c r="I53" s="304">
        <f t="shared" si="26"/>
        <v>0.64774162673920899</v>
      </c>
      <c r="J53" s="304">
        <f t="shared" si="26"/>
        <v>0.63841980298411838</v>
      </c>
      <c r="K53" s="304">
        <f t="shared" si="26"/>
        <v>0.62985102361912215</v>
      </c>
      <c r="L53" s="304">
        <f t="shared" si="26"/>
        <v>0.62104544311420107</v>
      </c>
      <c r="M53" s="304">
        <f t="shared" si="26"/>
        <v>0.62270969881670934</v>
      </c>
      <c r="N53" s="304">
        <f t="shared" si="26"/>
        <v>0.62501412899064301</v>
      </c>
      <c r="O53" s="304">
        <f t="shared" si="26"/>
        <v>0.6252588256673699</v>
      </c>
      <c r="P53" s="304">
        <f t="shared" si="26"/>
        <v>0.62575050331645377</v>
      </c>
      <c r="Q53" s="304">
        <f t="shared" si="26"/>
        <v>0.62257794207391537</v>
      </c>
      <c r="R53" s="304">
        <f t="shared" si="26"/>
        <v>0.62104071980639997</v>
      </c>
      <c r="S53" s="304">
        <f t="shared" si="26"/>
        <v>0.62093270875765516</v>
      </c>
      <c r="T53" s="304">
        <f t="shared" si="26"/>
        <v>0.62109773734755436</v>
      </c>
      <c r="U53" s="304">
        <f t="shared" si="26"/>
        <v>0.62958303241069247</v>
      </c>
      <c r="V53" s="304">
        <f t="shared" si="26"/>
        <v>0.6363631737094374</v>
      </c>
      <c r="W53" s="304">
        <f t="shared" si="26"/>
        <v>0.63565425025769295</v>
      </c>
      <c r="X53" s="304">
        <f t="shared" si="26"/>
        <v>0.63735674425822031</v>
      </c>
      <c r="Y53" s="304">
        <f t="shared" si="26"/>
        <v>0.6406798702876686</v>
      </c>
      <c r="Z53" s="304">
        <f t="shared" si="26"/>
        <v>0.64502338611349763</v>
      </c>
      <c r="AA53" s="304">
        <f t="shared" si="26"/>
        <v>0.65002207875638973</v>
      </c>
      <c r="AB53" s="304">
        <f t="shared" si="26"/>
        <v>0.65380356029113829</v>
      </c>
      <c r="AC53" s="304">
        <f t="shared" si="26"/>
        <v>0.65797373402204173</v>
      </c>
      <c r="AD53" s="304">
        <f t="shared" si="26"/>
        <v>0.66209348147626312</v>
      </c>
      <c r="AE53" s="304">
        <f t="shared" si="26"/>
        <v>0.66616189761650857</v>
      </c>
      <c r="AF53" s="304">
        <f t="shared" si="26"/>
        <v>0.670744284295135</v>
      </c>
      <c r="AG53" s="304">
        <f t="shared" si="26"/>
        <v>0.67524112157727023</v>
      </c>
      <c r="AH53" s="304">
        <f t="shared" si="26"/>
        <v>0.67939814182759217</v>
      </c>
      <c r="AI53" s="304">
        <f t="shared" si="26"/>
        <v>0.68345862964577053</v>
      </c>
      <c r="AJ53" s="304">
        <f t="shared" si="26"/>
        <v>0.68735080520725234</v>
      </c>
      <c r="AK53" s="304">
        <f t="shared" si="26"/>
        <v>0.69127099033703321</v>
      </c>
      <c r="AL53" s="304">
        <f t="shared" si="26"/>
        <v>0.69529118291652758</v>
      </c>
      <c r="AM53" s="304">
        <f t="shared" si="26"/>
        <v>0.69909695170641595</v>
      </c>
      <c r="AN53" s="304">
        <f t="shared" si="26"/>
        <v>0.7028065675178079</v>
      </c>
      <c r="AO53" s="304">
        <f t="shared" si="26"/>
        <v>0.7064546645920774</v>
      </c>
      <c r="AP53" s="304">
        <f t="shared" si="26"/>
        <v>0.71126764228256567</v>
      </c>
      <c r="AQ53" s="304">
        <f t="shared" si="26"/>
        <v>0.7160799470702045</v>
      </c>
      <c r="AR53" s="304">
        <f t="shared" si="26"/>
        <v>0.72060803590033184</v>
      </c>
      <c r="AS53" s="304">
        <f t="shared" si="26"/>
        <v>0.72482787433129814</v>
      </c>
      <c r="AT53" s="304">
        <f t="shared" si="26"/>
        <v>0.72884498315132984</v>
      </c>
      <c r="AU53" s="305">
        <f t="shared" si="26"/>
        <v>0.733160468366162</v>
      </c>
      <c r="AW53" s="303">
        <f t="shared" si="24"/>
        <v>2.4271575439935966E-2</v>
      </c>
      <c r="AX53" s="303">
        <f t="shared" si="25"/>
        <v>0.10740996504970823</v>
      </c>
    </row>
    <row r="54" spans="1:50" x14ac:dyDescent="0.25">
      <c r="B54" s="258" t="s">
        <v>471</v>
      </c>
      <c r="C54" s="304">
        <f t="shared" si="26"/>
        <v>0.64313674466660875</v>
      </c>
      <c r="D54" s="304">
        <f t="shared" si="26"/>
        <v>0.63519491662320027</v>
      </c>
      <c r="E54" s="304">
        <f t="shared" si="26"/>
        <v>0.62832491822858871</v>
      </c>
      <c r="F54" s="304">
        <f t="shared" si="26"/>
        <v>0.62085607042292579</v>
      </c>
      <c r="G54" s="304">
        <f t="shared" si="26"/>
        <v>0.61479779655036826</v>
      </c>
      <c r="H54" s="304">
        <f t="shared" si="26"/>
        <v>0.60622477604362057</v>
      </c>
      <c r="I54" s="304">
        <f t="shared" si="26"/>
        <v>0.59660464360563514</v>
      </c>
      <c r="J54" s="304">
        <f t="shared" si="26"/>
        <v>0.58854077879275357</v>
      </c>
      <c r="K54" s="304">
        <f t="shared" si="26"/>
        <v>0.58079378452961139</v>
      </c>
      <c r="L54" s="304">
        <f t="shared" si="26"/>
        <v>0.57344313608904562</v>
      </c>
      <c r="M54" s="304">
        <f t="shared" si="26"/>
        <v>0.57512386915588753</v>
      </c>
      <c r="N54" s="304">
        <f t="shared" si="26"/>
        <v>0.57682297474432642</v>
      </c>
      <c r="O54" s="304">
        <f t="shared" si="26"/>
        <v>0.57659398672336093</v>
      </c>
      <c r="P54" s="304">
        <f t="shared" si="26"/>
        <v>0.57728710275376227</v>
      </c>
      <c r="Q54" s="304">
        <f t="shared" si="26"/>
        <v>0.5744886798635872</v>
      </c>
      <c r="R54" s="304">
        <f t="shared" si="26"/>
        <v>0.5717439008072267</v>
      </c>
      <c r="S54" s="304">
        <f t="shared" si="26"/>
        <v>0.57093927365981478</v>
      </c>
      <c r="T54" s="304">
        <f t="shared" si="26"/>
        <v>0.57036722918991234</v>
      </c>
      <c r="U54" s="304">
        <f t="shared" si="26"/>
        <v>0.5775221251714443</v>
      </c>
      <c r="V54" s="304">
        <f t="shared" si="26"/>
        <v>0.58313243391277025</v>
      </c>
      <c r="W54" s="304">
        <f t="shared" si="26"/>
        <v>0.58187060259161749</v>
      </c>
      <c r="X54" s="304">
        <f t="shared" si="26"/>
        <v>0.58286844990795739</v>
      </c>
      <c r="Y54" s="304">
        <f t="shared" si="26"/>
        <v>0.58531921951191068</v>
      </c>
      <c r="Z54" s="304">
        <f t="shared" si="26"/>
        <v>0.58870658357905303</v>
      </c>
      <c r="AA54" s="304">
        <f t="shared" si="26"/>
        <v>0.59269999907663196</v>
      </c>
      <c r="AB54" s="304">
        <f t="shared" si="26"/>
        <v>0.59558302458197143</v>
      </c>
      <c r="AC54" s="304">
        <f t="shared" si="26"/>
        <v>0.59908343746007231</v>
      </c>
      <c r="AD54" s="304">
        <f t="shared" si="26"/>
        <v>0.60242292651445317</v>
      </c>
      <c r="AE54" s="304">
        <f t="shared" si="26"/>
        <v>0.60566525172420382</v>
      </c>
      <c r="AF54" s="304">
        <f t="shared" si="26"/>
        <v>0.60960610277583205</v>
      </c>
      <c r="AG54" s="304">
        <f t="shared" si="26"/>
        <v>0.61308168819431175</v>
      </c>
      <c r="AH54" s="304">
        <f t="shared" si="26"/>
        <v>0.61629529859796095</v>
      </c>
      <c r="AI54" s="304">
        <f t="shared" si="26"/>
        <v>0.61944496945861516</v>
      </c>
      <c r="AJ54" s="304">
        <f t="shared" si="26"/>
        <v>0.62244872505459403</v>
      </c>
      <c r="AK54" s="304">
        <f t="shared" si="26"/>
        <v>0.62548192734520502</v>
      </c>
      <c r="AL54" s="304">
        <f t="shared" si="26"/>
        <v>0.62862207130653291</v>
      </c>
      <c r="AM54" s="304">
        <f t="shared" si="26"/>
        <v>0.63153621784957192</v>
      </c>
      <c r="AN54" s="304">
        <f t="shared" si="26"/>
        <v>0.63434003117356441</v>
      </c>
      <c r="AO54" s="304">
        <f t="shared" si="26"/>
        <v>0.63707530783469291</v>
      </c>
      <c r="AP54" s="304">
        <f t="shared" si="26"/>
        <v>0.64085008644064478</v>
      </c>
      <c r="AQ54" s="304">
        <f t="shared" si="26"/>
        <v>0.64463543180568972</v>
      </c>
      <c r="AR54" s="304">
        <f t="shared" si="26"/>
        <v>0.6481408382399334</v>
      </c>
      <c r="AS54" s="304">
        <f t="shared" si="26"/>
        <v>0.65135480871140405</v>
      </c>
      <c r="AT54" s="304">
        <f t="shared" si="26"/>
        <v>0.65437521610400906</v>
      </c>
      <c r="AU54" s="305">
        <f t="shared" si="26"/>
        <v>0.65765049501032247</v>
      </c>
      <c r="AW54" s="303">
        <f t="shared" si="24"/>
        <v>1.5412896322869685E-2</v>
      </c>
      <c r="AX54" s="303">
        <f t="shared" si="25"/>
        <v>8.0363392256560195E-2</v>
      </c>
    </row>
    <row r="55" spans="1:50" x14ac:dyDescent="0.25">
      <c r="B55" s="261" t="s">
        <v>472</v>
      </c>
      <c r="C55" s="306">
        <f t="shared" si="26"/>
        <v>0.10294003529066954</v>
      </c>
      <c r="D55" s="306">
        <f t="shared" si="26"/>
        <v>0.10724890132551888</v>
      </c>
      <c r="E55" s="306">
        <f t="shared" si="26"/>
        <v>0.11064427488191654</v>
      </c>
      <c r="F55" s="306">
        <f t="shared" si="26"/>
        <v>0.11626399573137612</v>
      </c>
      <c r="G55" s="306">
        <f t="shared" si="26"/>
        <v>0.11960776427740019</v>
      </c>
      <c r="H55" s="306">
        <f t="shared" si="26"/>
        <v>0.12667598914076014</v>
      </c>
      <c r="I55" s="306">
        <f t="shared" si="26"/>
        <v>0.13068954820619755</v>
      </c>
      <c r="J55" s="306">
        <f t="shared" si="26"/>
        <v>0.13362197834949308</v>
      </c>
      <c r="K55" s="306">
        <f t="shared" si="26"/>
        <v>0.13768626461974795</v>
      </c>
      <c r="L55" s="306">
        <f t="shared" si="26"/>
        <v>0.13769928872248627</v>
      </c>
      <c r="M55" s="306">
        <f t="shared" si="26"/>
        <v>0.13479948864029859</v>
      </c>
      <c r="N55" s="306">
        <f t="shared" si="26"/>
        <v>0.13557274820577569</v>
      </c>
      <c r="O55" s="306">
        <f t="shared" si="26"/>
        <v>0.13898939866647222</v>
      </c>
      <c r="P55" s="306">
        <f t="shared" si="26"/>
        <v>0.13726635515932156</v>
      </c>
      <c r="Q55" s="306">
        <f t="shared" si="26"/>
        <v>4.8114450652186037E-2</v>
      </c>
      <c r="R55" s="306">
        <f t="shared" si="26"/>
        <v>0.13445579821685946</v>
      </c>
      <c r="S55" s="306">
        <f t="shared" si="26"/>
        <v>0.13478548154523487</v>
      </c>
      <c r="T55" s="306">
        <f t="shared" si="26"/>
        <v>0.13522334773624636</v>
      </c>
      <c r="U55" s="306">
        <f t="shared" si="26"/>
        <v>0.13720081546471477</v>
      </c>
      <c r="V55" s="306">
        <f t="shared" si="26"/>
        <v>0.13872426071269445</v>
      </c>
      <c r="W55" s="306">
        <f t="shared" si="26"/>
        <v>0.13860388585077196</v>
      </c>
      <c r="X55" s="306">
        <f t="shared" si="26"/>
        <v>0.13884590282794734</v>
      </c>
      <c r="Y55" s="306">
        <f t="shared" si="26"/>
        <v>0.13952482039933581</v>
      </c>
      <c r="Z55" s="306">
        <f t="shared" si="26"/>
        <v>0.14039696456708273</v>
      </c>
      <c r="AA55" s="306">
        <f t="shared" si="26"/>
        <v>5.0094713035011229E-2</v>
      </c>
      <c r="AB55" s="306">
        <f t="shared" si="26"/>
        <v>0.14204480294381996</v>
      </c>
      <c r="AC55" s="306">
        <f t="shared" si="26"/>
        <v>0.14198941996140768</v>
      </c>
      <c r="AD55" s="306">
        <f t="shared" si="26"/>
        <v>0.14224965479416221</v>
      </c>
      <c r="AE55" s="306">
        <f t="shared" si="26"/>
        <v>0.14262836852020847</v>
      </c>
      <c r="AF55" s="306">
        <f t="shared" si="26"/>
        <v>0.14236064696177569</v>
      </c>
      <c r="AG55" s="306">
        <f t="shared" si="26"/>
        <v>0.14326898812168803</v>
      </c>
      <c r="AH55" s="306">
        <f t="shared" si="26"/>
        <v>0.14392006523193104</v>
      </c>
      <c r="AI55" s="306">
        <f t="shared" si="26"/>
        <v>0.1444425102800577</v>
      </c>
      <c r="AJ55" s="306">
        <f t="shared" si="26"/>
        <v>0.1448781789782817</v>
      </c>
      <c r="AK55" s="306">
        <f t="shared" si="26"/>
        <v>0.14528210337902614</v>
      </c>
      <c r="AL55" s="306">
        <f t="shared" si="26"/>
        <v>0.14563163611673108</v>
      </c>
      <c r="AM55" s="306">
        <f t="shared" si="26"/>
        <v>0.14601569702681549</v>
      </c>
      <c r="AN55" s="306">
        <f t="shared" si="26"/>
        <v>0.14643705822281697</v>
      </c>
      <c r="AO55" s="306">
        <f t="shared" si="26"/>
        <v>0.14686887430171272</v>
      </c>
      <c r="AP55" s="306">
        <f t="shared" si="26"/>
        <v>0.14755503324510433</v>
      </c>
      <c r="AQ55" s="306">
        <f t="shared" si="26"/>
        <v>0.14817531290791261</v>
      </c>
      <c r="AR55" s="306">
        <f t="shared" si="26"/>
        <v>0.14879155196931812</v>
      </c>
      <c r="AS55" s="306">
        <f t="shared" si="26"/>
        <v>0.14936605608696532</v>
      </c>
      <c r="AT55" s="306">
        <f t="shared" si="26"/>
        <v>0.14991268347408207</v>
      </c>
      <c r="AU55" s="307">
        <f t="shared" si="26"/>
        <v>5.4095454963259196E-2</v>
      </c>
      <c r="AW55" s="303">
        <f t="shared" si="24"/>
        <v>-8.7171642124310333E-2</v>
      </c>
      <c r="AX55" s="303">
        <f t="shared" si="25"/>
        <v>-8.3170900196062367E-2</v>
      </c>
    </row>
    <row r="56" spans="1:50" x14ac:dyDescent="0.25">
      <c r="B56" s="249" t="s">
        <v>473</v>
      </c>
      <c r="C56" s="308">
        <f t="shared" si="26"/>
        <v>0.84019670780873068</v>
      </c>
      <c r="D56" s="308">
        <f t="shared" si="26"/>
        <v>0.83695745016586565</v>
      </c>
      <c r="E56" s="308">
        <f t="shared" si="26"/>
        <v>0.83471625041718223</v>
      </c>
      <c r="F56" s="308">
        <f t="shared" si="26"/>
        <v>0.82966338909754866</v>
      </c>
      <c r="G56" s="308">
        <f t="shared" si="26"/>
        <v>0.82697932025214627</v>
      </c>
      <c r="H56" s="308">
        <f t="shared" si="26"/>
        <v>0.82063871203215144</v>
      </c>
      <c r="I56" s="308">
        <f t="shared" si="26"/>
        <v>0.81834244039393333</v>
      </c>
      <c r="J56" s="308">
        <f t="shared" si="26"/>
        <v>0.81667409177841699</v>
      </c>
      <c r="K56" s="308">
        <f t="shared" si="26"/>
        <v>0.81344039363008558</v>
      </c>
      <c r="L56" s="308">
        <f t="shared" si="26"/>
        <v>0.81494799998899747</v>
      </c>
      <c r="M56" s="308">
        <f t="shared" si="26"/>
        <v>0.81789378440383254</v>
      </c>
      <c r="N56" s="308">
        <f t="shared" si="26"/>
        <v>0.81652814244108851</v>
      </c>
      <c r="O56" s="308">
        <f t="shared" si="26"/>
        <v>0.8127070659307668</v>
      </c>
      <c r="P56" s="308">
        <f t="shared" si="26"/>
        <v>0.81464478877906643</v>
      </c>
      <c r="Q56" s="308">
        <f t="shared" si="26"/>
        <v>0.81167638496102079</v>
      </c>
      <c r="R56" s="308">
        <f t="shared" si="26"/>
        <v>0.81154320030030713</v>
      </c>
      <c r="S56" s="308">
        <f t="shared" si="26"/>
        <v>0.80960338002287313</v>
      </c>
      <c r="T56" s="308">
        <f t="shared" si="26"/>
        <v>0.80784587903962035</v>
      </c>
      <c r="U56" s="308">
        <f t="shared" si="26"/>
        <v>0.81776557809831019</v>
      </c>
      <c r="V56" s="308">
        <f t="shared" si="26"/>
        <v>0.82576472267469769</v>
      </c>
      <c r="W56" s="308">
        <f t="shared" si="26"/>
        <v>0.82397386757753233</v>
      </c>
      <c r="X56" s="308">
        <f t="shared" si="26"/>
        <v>0.82579296103719979</v>
      </c>
      <c r="Y56" s="308">
        <f t="shared" si="26"/>
        <v>0.82948051229067443</v>
      </c>
      <c r="Z56" s="308">
        <f t="shared" si="26"/>
        <v>0.83458223457256764</v>
      </c>
      <c r="AA56" s="308">
        <f t="shared" si="26"/>
        <v>0.84067024793014222</v>
      </c>
      <c r="AB56" s="308">
        <f t="shared" si="26"/>
        <v>0.84524010318511966</v>
      </c>
      <c r="AC56" s="308">
        <f t="shared" si="26"/>
        <v>0.85279239775200966</v>
      </c>
      <c r="AD56" s="308">
        <f t="shared" si="26"/>
        <v>0.85928011087925804</v>
      </c>
      <c r="AE56" s="308">
        <f t="shared" si="26"/>
        <v>0.86529031671986034</v>
      </c>
      <c r="AF56" s="308">
        <f t="shared" si="26"/>
        <v>0.87418341866830673</v>
      </c>
      <c r="AG56" s="308">
        <f t="shared" si="26"/>
        <v>0.87942839083063273</v>
      </c>
      <c r="AH56" s="308">
        <f t="shared" si="26"/>
        <v>0.88471905603243362</v>
      </c>
      <c r="AI56" s="308">
        <f t="shared" si="26"/>
        <v>0.89016366904474964</v>
      </c>
      <c r="AJ56" s="308">
        <f t="shared" si="26"/>
        <v>0.89550435842294529</v>
      </c>
      <c r="AK56" s="308">
        <f t="shared" si="26"/>
        <v>0.90097222229138385</v>
      </c>
      <c r="AL56" s="308">
        <f t="shared" si="26"/>
        <v>0.90678576687789991</v>
      </c>
      <c r="AM56" s="308">
        <f t="shared" si="26"/>
        <v>0.91207631409489731</v>
      </c>
      <c r="AN56" s="308">
        <f t="shared" si="26"/>
        <v>0.91707604886119376</v>
      </c>
      <c r="AO56" s="308">
        <f t="shared" si="26"/>
        <v>0.92192665465758439</v>
      </c>
      <c r="AP56" s="308">
        <f t="shared" si="26"/>
        <v>0.92825473258925983</v>
      </c>
      <c r="AQ56" s="308">
        <f t="shared" si="26"/>
        <v>0.93475612762635896</v>
      </c>
      <c r="AR56" s="308">
        <f t="shared" si="26"/>
        <v>0.94072737228618963</v>
      </c>
      <c r="AS56" s="308">
        <f t="shared" si="26"/>
        <v>0.94622386930855973</v>
      </c>
      <c r="AT56" s="308">
        <f t="shared" si="26"/>
        <v>0.95140627809531064</v>
      </c>
      <c r="AU56" s="309">
        <f t="shared" si="26"/>
        <v>0.95691456523568408</v>
      </c>
      <c r="AW56" s="310">
        <f>AA56-P56</f>
        <v>2.6025459151075792E-2</v>
      </c>
      <c r="AX56" s="310">
        <f>AU56-P56</f>
        <v>0.14226977645661765</v>
      </c>
    </row>
    <row r="57" spans="1:50" x14ac:dyDescent="0.25"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W57" s="253"/>
    </row>
    <row r="58" spans="1:50" s="244" customFormat="1" ht="45" customHeight="1" x14ac:dyDescent="0.25">
      <c r="A58" s="239" t="str">
        <f>"Ecarts "&amp;[5]Résultats!B1&amp;"  - TEND"</f>
        <v>Ecarts SNBC3  - TEND</v>
      </c>
      <c r="B58" s="266" t="s">
        <v>501</v>
      </c>
      <c r="C58" s="242">
        <v>2006</v>
      </c>
      <c r="D58" s="242">
        <v>2007</v>
      </c>
      <c r="E58" s="242">
        <v>2008</v>
      </c>
      <c r="F58" s="242">
        <v>2009</v>
      </c>
      <c r="G58" s="242">
        <v>2010</v>
      </c>
      <c r="H58" s="242">
        <v>2011</v>
      </c>
      <c r="I58" s="242">
        <v>2012</v>
      </c>
      <c r="J58" s="242">
        <v>2013</v>
      </c>
      <c r="K58" s="242">
        <v>2014</v>
      </c>
      <c r="L58" s="242">
        <v>2015</v>
      </c>
      <c r="M58" s="242">
        <v>2016</v>
      </c>
      <c r="N58" s="242">
        <v>2017</v>
      </c>
      <c r="O58" s="242">
        <v>2018</v>
      </c>
      <c r="P58" s="242">
        <v>2019</v>
      </c>
      <c r="Q58" s="242">
        <v>2020</v>
      </c>
      <c r="R58" s="242">
        <v>2021</v>
      </c>
      <c r="S58" s="242">
        <v>2022</v>
      </c>
      <c r="T58" s="242">
        <v>2023</v>
      </c>
      <c r="U58" s="242">
        <v>2024</v>
      </c>
      <c r="V58" s="242">
        <v>2025</v>
      </c>
      <c r="W58" s="242">
        <v>2026</v>
      </c>
      <c r="X58" s="242">
        <v>2027</v>
      </c>
      <c r="Y58" s="242">
        <v>2028</v>
      </c>
      <c r="Z58" s="242">
        <v>2029</v>
      </c>
      <c r="AA58" s="242">
        <v>2030</v>
      </c>
      <c r="AB58" s="242">
        <v>2031</v>
      </c>
      <c r="AC58" s="242">
        <v>2032</v>
      </c>
      <c r="AD58" s="242">
        <v>2033</v>
      </c>
      <c r="AE58" s="242">
        <v>2034</v>
      </c>
      <c r="AF58" s="242">
        <v>2035</v>
      </c>
      <c r="AG58" s="242">
        <v>2036</v>
      </c>
      <c r="AH58" s="242">
        <v>2037</v>
      </c>
      <c r="AI58" s="242">
        <v>2038</v>
      </c>
      <c r="AJ58" s="242">
        <v>2039</v>
      </c>
      <c r="AK58" s="242">
        <v>2040</v>
      </c>
      <c r="AL58" s="242">
        <v>2041</v>
      </c>
      <c r="AM58" s="242">
        <v>2042</v>
      </c>
      <c r="AN58" s="242">
        <v>2043</v>
      </c>
      <c r="AO58" s="242">
        <v>2044</v>
      </c>
      <c r="AP58" s="242">
        <v>2045</v>
      </c>
      <c r="AQ58" s="242">
        <v>2046</v>
      </c>
      <c r="AR58" s="242">
        <v>2047</v>
      </c>
      <c r="AS58" s="242">
        <v>2048</v>
      </c>
      <c r="AT58" s="242">
        <v>2049</v>
      </c>
      <c r="AU58" s="243">
        <v>2050</v>
      </c>
      <c r="AV58" s="267"/>
    </row>
    <row r="59" spans="1:50" x14ac:dyDescent="0.25">
      <c r="B59" s="245" t="s">
        <v>1</v>
      </c>
      <c r="C59" s="311"/>
      <c r="D59" s="311"/>
      <c r="E59" s="311"/>
      <c r="F59" s="311"/>
      <c r="G59" s="311"/>
      <c r="H59" s="311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  <c r="AK59" s="311"/>
      <c r="AL59" s="311"/>
      <c r="AM59" s="311"/>
      <c r="AN59" s="311"/>
      <c r="AO59" s="311"/>
      <c r="AP59" s="311"/>
      <c r="AQ59" s="311"/>
      <c r="AR59" s="311"/>
      <c r="AS59" s="311"/>
      <c r="AT59" s="311"/>
      <c r="AU59" s="311"/>
      <c r="AV59" s="268"/>
    </row>
    <row r="60" spans="1:50" x14ac:dyDescent="0.25">
      <c r="B60" s="249" t="s">
        <v>466</v>
      </c>
      <c r="C60" s="308"/>
      <c r="D60" s="308"/>
      <c r="E60" s="308"/>
      <c r="F60" s="308"/>
      <c r="G60" s="308"/>
      <c r="H60" s="308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8"/>
      <c r="AC60" s="308"/>
      <c r="AD60" s="308"/>
      <c r="AE60" s="308"/>
      <c r="AF60" s="308"/>
      <c r="AG60" s="308"/>
      <c r="AH60" s="308"/>
      <c r="AI60" s="308"/>
      <c r="AJ60" s="308"/>
      <c r="AK60" s="308"/>
      <c r="AL60" s="308"/>
      <c r="AM60" s="308"/>
      <c r="AN60" s="308"/>
      <c r="AO60" s="308"/>
      <c r="AP60" s="308"/>
      <c r="AQ60" s="308"/>
      <c r="AR60" s="308"/>
      <c r="AS60" s="308"/>
      <c r="AT60" s="308"/>
      <c r="AU60" s="308"/>
      <c r="AV60" s="268"/>
    </row>
    <row r="61" spans="1:50" x14ac:dyDescent="0.25">
      <c r="B61" s="254" t="s">
        <v>467</v>
      </c>
      <c r="C61" s="301">
        <f t="shared" ref="C61:AU66" si="27">C39-C50</f>
        <v>0</v>
      </c>
      <c r="D61" s="301">
        <f t="shared" si="27"/>
        <v>0</v>
      </c>
      <c r="E61" s="301">
        <f t="shared" si="27"/>
        <v>0</v>
      </c>
      <c r="F61" s="301">
        <f t="shared" si="27"/>
        <v>0</v>
      </c>
      <c r="G61" s="301">
        <f t="shared" si="27"/>
        <v>0</v>
      </c>
      <c r="H61" s="301">
        <f t="shared" si="27"/>
        <v>0</v>
      </c>
      <c r="I61" s="301">
        <f t="shared" si="27"/>
        <v>0</v>
      </c>
      <c r="J61" s="301">
        <f t="shared" si="27"/>
        <v>0</v>
      </c>
      <c r="K61" s="301">
        <f t="shared" si="27"/>
        <v>0</v>
      </c>
      <c r="L61" s="301">
        <f t="shared" si="27"/>
        <v>0</v>
      </c>
      <c r="M61" s="301">
        <f t="shared" si="27"/>
        <v>0</v>
      </c>
      <c r="N61" s="301">
        <f t="shared" si="27"/>
        <v>0</v>
      </c>
      <c r="O61" s="301">
        <f t="shared" si="27"/>
        <v>0</v>
      </c>
      <c r="P61" s="301">
        <f t="shared" si="27"/>
        <v>0</v>
      </c>
      <c r="Q61" s="301">
        <f t="shared" si="27"/>
        <v>3.5504940405670093E-3</v>
      </c>
      <c r="R61" s="301">
        <f t="shared" si="27"/>
        <v>-8.0210214990371786E-2</v>
      </c>
      <c r="S61" s="301">
        <f t="shared" si="27"/>
        <v>-7.8909568011984399E-2</v>
      </c>
      <c r="T61" s="301">
        <f t="shared" si="27"/>
        <v>-7.8097088644838608E-2</v>
      </c>
      <c r="U61" s="301">
        <f t="shared" si="27"/>
        <v>-9.3273845846135073E-2</v>
      </c>
      <c r="V61" s="301">
        <f t="shared" si="27"/>
        <v>-0.10528209155320634</v>
      </c>
      <c r="W61" s="301">
        <f t="shared" si="27"/>
        <v>-0.10094578501495921</v>
      </c>
      <c r="X61" s="301">
        <f t="shared" si="27"/>
        <v>-0.10029228639666127</v>
      </c>
      <c r="Y61" s="301">
        <f t="shared" si="27"/>
        <v>-0.1016440888245379</v>
      </c>
      <c r="Z61" s="301">
        <f t="shared" si="27"/>
        <v>-0.10446665440868863</v>
      </c>
      <c r="AA61" s="301">
        <f t="shared" si="27"/>
        <v>7.9350984149808013E-3</v>
      </c>
      <c r="AB61" s="301">
        <f t="shared" si="27"/>
        <v>-0.11042455121079381</v>
      </c>
      <c r="AC61" s="301">
        <f t="shared" si="27"/>
        <v>-0.1144672238278156</v>
      </c>
      <c r="AD61" s="301">
        <f t="shared" si="27"/>
        <v>-0.11784973416113614</v>
      </c>
      <c r="AE61" s="301">
        <f t="shared" si="27"/>
        <v>-0.12095775908342143</v>
      </c>
      <c r="AF61" s="301">
        <f t="shared" si="27"/>
        <v>-0.12555241520736782</v>
      </c>
      <c r="AG61" s="301">
        <f t="shared" si="27"/>
        <v>-0.12886118918021738</v>
      </c>
      <c r="AH61" s="301">
        <f t="shared" si="27"/>
        <v>-0.13205317487106344</v>
      </c>
      <c r="AI61" s="301">
        <f t="shared" si="27"/>
        <v>-0.13510029055514639</v>
      </c>
      <c r="AJ61" s="301">
        <f t="shared" si="27"/>
        <v>-0.13811143475741106</v>
      </c>
      <c r="AK61" s="301">
        <f t="shared" si="27"/>
        <v>-0.14108764922584949</v>
      </c>
      <c r="AL61" s="301">
        <f t="shared" si="27"/>
        <v>-0.14429142257181732</v>
      </c>
      <c r="AM61" s="301">
        <f t="shared" si="27"/>
        <v>-0.14723498426051079</v>
      </c>
      <c r="AN61" s="301">
        <f t="shared" si="27"/>
        <v>-0.15007283432242757</v>
      </c>
      <c r="AO61" s="301">
        <f t="shared" si="27"/>
        <v>-0.15284804471845731</v>
      </c>
      <c r="AP61" s="301">
        <f t="shared" si="27"/>
        <v>-0.157313158177534</v>
      </c>
      <c r="AQ61" s="301">
        <f t="shared" si="27"/>
        <v>-0.16152625969240897</v>
      </c>
      <c r="AR61" s="301">
        <f t="shared" si="27"/>
        <v>-0.16539019554400586</v>
      </c>
      <c r="AS61" s="301">
        <f t="shared" si="27"/>
        <v>-0.16905491709634013</v>
      </c>
      <c r="AT61" s="301">
        <f t="shared" si="27"/>
        <v>-0.17255501387915284</v>
      </c>
      <c r="AU61" s="302">
        <f t="shared" si="27"/>
        <v>6.9241316550845422E-3</v>
      </c>
      <c r="AV61" s="268"/>
    </row>
    <row r="62" spans="1:50" x14ac:dyDescent="0.25">
      <c r="B62" s="258" t="s">
        <v>468</v>
      </c>
      <c r="C62" s="304">
        <f t="shared" si="27"/>
        <v>0</v>
      </c>
      <c r="D62" s="304">
        <f t="shared" si="27"/>
        <v>0</v>
      </c>
      <c r="E62" s="304">
        <f t="shared" si="27"/>
        <v>0</v>
      </c>
      <c r="F62" s="304">
        <f t="shared" si="27"/>
        <v>0</v>
      </c>
      <c r="G62" s="304">
        <f t="shared" si="27"/>
        <v>0</v>
      </c>
      <c r="H62" s="304">
        <f t="shared" si="27"/>
        <v>0</v>
      </c>
      <c r="I62" s="304">
        <f t="shared" si="27"/>
        <v>0</v>
      </c>
      <c r="J62" s="304">
        <f t="shared" si="27"/>
        <v>0</v>
      </c>
      <c r="K62" s="304">
        <f t="shared" si="27"/>
        <v>0</v>
      </c>
      <c r="L62" s="304">
        <f t="shared" si="27"/>
        <v>0</v>
      </c>
      <c r="M62" s="304">
        <f t="shared" si="27"/>
        <v>0</v>
      </c>
      <c r="N62" s="304">
        <f t="shared" si="27"/>
        <v>0</v>
      </c>
      <c r="O62" s="304">
        <f t="shared" si="27"/>
        <v>0</v>
      </c>
      <c r="P62" s="304">
        <f t="shared" si="27"/>
        <v>0</v>
      </c>
      <c r="Q62" s="304">
        <f t="shared" si="27"/>
        <v>4.3658547752275789E-3</v>
      </c>
      <c r="R62" s="304">
        <f t="shared" si="27"/>
        <v>6.985298709681953E-3</v>
      </c>
      <c r="S62" s="304">
        <f t="shared" si="27"/>
        <v>8.6526145850437108E-3</v>
      </c>
      <c r="T62" s="304">
        <f t="shared" si="27"/>
        <v>9.8446692554973181E-3</v>
      </c>
      <c r="U62" s="304">
        <f t="shared" si="27"/>
        <v>-6.6769577026676852E-3</v>
      </c>
      <c r="V62" s="304">
        <f t="shared" si="27"/>
        <v>-1.9969378522033676E-2</v>
      </c>
      <c r="W62" s="304">
        <f t="shared" si="27"/>
        <v>-1.5732979258964774E-2</v>
      </c>
      <c r="X62" s="304">
        <f t="shared" si="27"/>
        <v>-1.5267035736780205E-2</v>
      </c>
      <c r="Y62" s="304">
        <f t="shared" si="27"/>
        <v>-1.6620222391301009E-2</v>
      </c>
      <c r="Z62" s="304">
        <f t="shared" si="27"/>
        <v>-1.942025966588623E-2</v>
      </c>
      <c r="AA62" s="304">
        <f t="shared" si="27"/>
        <v>-2.3082310053933713E-2</v>
      </c>
      <c r="AB62" s="304">
        <f t="shared" si="27"/>
        <v>-2.5069959148007637E-2</v>
      </c>
      <c r="AC62" s="304">
        <f t="shared" si="27"/>
        <v>-2.9603186234216455E-2</v>
      </c>
      <c r="AD62" s="304">
        <f t="shared" si="27"/>
        <v>-3.3109949839760705E-2</v>
      </c>
      <c r="AE62" s="304">
        <f t="shared" si="27"/>
        <v>-3.6206157379898157E-2</v>
      </c>
      <c r="AF62" s="304">
        <f t="shared" si="27"/>
        <v>-4.1434504653979548E-2</v>
      </c>
      <c r="AG62" s="304">
        <f t="shared" si="27"/>
        <v>-4.4376787762391429E-2</v>
      </c>
      <c r="AH62" s="304">
        <f t="shared" si="27"/>
        <v>-4.7404850294922141E-2</v>
      </c>
      <c r="AI62" s="304">
        <f t="shared" si="27"/>
        <v>-5.0344541686313499E-2</v>
      </c>
      <c r="AJ62" s="304">
        <f t="shared" si="27"/>
        <v>-5.3322766139170474E-2</v>
      </c>
      <c r="AK62" s="304">
        <f t="shared" si="27"/>
        <v>-5.625729120905279E-2</v>
      </c>
      <c r="AL62" s="304">
        <f t="shared" si="27"/>
        <v>-5.9498032711013754E-2</v>
      </c>
      <c r="AM62" s="304">
        <f t="shared" si="27"/>
        <v>-6.2437186980545983E-2</v>
      </c>
      <c r="AN62" s="304">
        <f t="shared" si="27"/>
        <v>-6.5235315414490791E-2</v>
      </c>
      <c r="AO62" s="304">
        <f t="shared" si="27"/>
        <v>-6.7950090715106409E-2</v>
      </c>
      <c r="AP62" s="304">
        <f t="shared" si="27"/>
        <v>-7.2348774113590059E-2</v>
      </c>
      <c r="AQ62" s="304">
        <f t="shared" si="27"/>
        <v>-7.6437234599538884E-2</v>
      </c>
      <c r="AR62" s="304">
        <f t="shared" si="27"/>
        <v>-8.0154126649933349E-2</v>
      </c>
      <c r="AS62" s="304">
        <f t="shared" si="27"/>
        <v>-8.3716335806498343E-2</v>
      </c>
      <c r="AT62" s="304">
        <f t="shared" si="27"/>
        <v>-8.7119947665968339E-2</v>
      </c>
      <c r="AU62" s="305">
        <f t="shared" si="27"/>
        <v>-8.9936385680192465E-2</v>
      </c>
      <c r="AV62" s="268"/>
    </row>
    <row r="63" spans="1:50" x14ac:dyDescent="0.25">
      <c r="B63" s="261" t="s">
        <v>469</v>
      </c>
      <c r="C63" s="306">
        <f t="shared" si="27"/>
        <v>0</v>
      </c>
      <c r="D63" s="306">
        <f t="shared" si="27"/>
        <v>0</v>
      </c>
      <c r="E63" s="306">
        <f t="shared" si="27"/>
        <v>0</v>
      </c>
      <c r="F63" s="306">
        <f t="shared" si="27"/>
        <v>0</v>
      </c>
      <c r="G63" s="306">
        <f t="shared" si="27"/>
        <v>0</v>
      </c>
      <c r="H63" s="306">
        <f t="shared" si="27"/>
        <v>0</v>
      </c>
      <c r="I63" s="306">
        <f t="shared" si="27"/>
        <v>0</v>
      </c>
      <c r="J63" s="306">
        <f t="shared" si="27"/>
        <v>0</v>
      </c>
      <c r="K63" s="306">
        <f t="shared" si="27"/>
        <v>0</v>
      </c>
      <c r="L63" s="306">
        <f t="shared" si="27"/>
        <v>0</v>
      </c>
      <c r="M63" s="306">
        <f t="shared" si="27"/>
        <v>0</v>
      </c>
      <c r="N63" s="306">
        <f t="shared" si="27"/>
        <v>0</v>
      </c>
      <c r="O63" s="306">
        <f t="shared" si="27"/>
        <v>0</v>
      </c>
      <c r="P63" s="306">
        <f t="shared" si="27"/>
        <v>0</v>
      </c>
      <c r="Q63" s="306">
        <f t="shared" si="27"/>
        <v>-1.1912650750564302E-3</v>
      </c>
      <c r="R63" s="306">
        <f t="shared" si="27"/>
        <v>-6.502283018845964E-4</v>
      </c>
      <c r="S63" s="306">
        <f t="shared" si="27"/>
        <v>-8.1448355015025647E-4</v>
      </c>
      <c r="T63" s="306">
        <f t="shared" si="27"/>
        <v>-9.2435583843680086E-4</v>
      </c>
      <c r="U63" s="306">
        <f t="shared" si="27"/>
        <v>1.679844480077089E-3</v>
      </c>
      <c r="V63" s="306">
        <f t="shared" si="27"/>
        <v>3.9349373715882041E-3</v>
      </c>
      <c r="W63" s="306">
        <f t="shared" si="27"/>
        <v>3.9396984540385274E-3</v>
      </c>
      <c r="X63" s="306">
        <f t="shared" si="27"/>
        <v>4.2592153328559271E-3</v>
      </c>
      <c r="Y63" s="306">
        <f t="shared" si="27"/>
        <v>4.6785398954978935E-3</v>
      </c>
      <c r="Z63" s="306">
        <f t="shared" si="27"/>
        <v>5.1985405914135585E-3</v>
      </c>
      <c r="AA63" s="306">
        <f t="shared" si="27"/>
        <v>3.0595388278897351E-2</v>
      </c>
      <c r="AB63" s="306">
        <f t="shared" si="27"/>
        <v>5.910194154721167E-3</v>
      </c>
      <c r="AC63" s="306">
        <f t="shared" si="27"/>
        <v>6.3074529036114546E-3</v>
      </c>
      <c r="AD63" s="306">
        <f t="shared" si="27"/>
        <v>6.5584687900482816E-3</v>
      </c>
      <c r="AE63" s="306">
        <f t="shared" si="27"/>
        <v>6.7548165744486799E-3</v>
      </c>
      <c r="AF63" s="306">
        <f t="shared" si="27"/>
        <v>7.1298734444239648E-3</v>
      </c>
      <c r="AG63" s="306">
        <f t="shared" si="27"/>
        <v>7.3311278940183522E-3</v>
      </c>
      <c r="AH63" s="306">
        <f t="shared" si="27"/>
        <v>7.5566180460937757E-3</v>
      </c>
      <c r="AI63" s="306">
        <f t="shared" si="27"/>
        <v>7.7470140135307286E-3</v>
      </c>
      <c r="AJ63" s="306">
        <f t="shared" si="27"/>
        <v>7.9507980530641939E-3</v>
      </c>
      <c r="AK63" s="306">
        <f t="shared" si="27"/>
        <v>8.1222069265321217E-3</v>
      </c>
      <c r="AL63" s="306">
        <f t="shared" si="27"/>
        <v>8.33248692856247E-3</v>
      </c>
      <c r="AM63" s="306">
        <f t="shared" si="27"/>
        <v>8.5275944917454216E-3</v>
      </c>
      <c r="AN63" s="306">
        <f t="shared" si="27"/>
        <v>8.7153249419066811E-3</v>
      </c>
      <c r="AO63" s="306">
        <f t="shared" si="27"/>
        <v>8.8907264981835862E-3</v>
      </c>
      <c r="AP63" s="306">
        <f t="shared" si="27"/>
        <v>9.2231655942806856E-3</v>
      </c>
      <c r="AQ63" s="306">
        <f t="shared" si="27"/>
        <v>9.4502605838346007E-3</v>
      </c>
      <c r="AR63" s="306">
        <f t="shared" si="27"/>
        <v>9.6564936600332246E-3</v>
      </c>
      <c r="AS63" s="306">
        <f t="shared" si="27"/>
        <v>9.8818903650725043E-3</v>
      </c>
      <c r="AT63" s="306">
        <f t="shared" si="27"/>
        <v>1.0096141939099683E-2</v>
      </c>
      <c r="AU63" s="307">
        <f t="shared" si="27"/>
        <v>9.6310366409388726E-2</v>
      </c>
      <c r="AV63" s="268"/>
    </row>
    <row r="64" spans="1:50" x14ac:dyDescent="0.25">
      <c r="B64" s="258" t="s">
        <v>470</v>
      </c>
      <c r="C64" s="304">
        <f t="shared" si="27"/>
        <v>0</v>
      </c>
      <c r="D64" s="304">
        <f t="shared" si="27"/>
        <v>0</v>
      </c>
      <c r="E64" s="304">
        <f t="shared" si="27"/>
        <v>0</v>
      </c>
      <c r="F64" s="304">
        <f t="shared" si="27"/>
        <v>0</v>
      </c>
      <c r="G64" s="304">
        <f t="shared" si="27"/>
        <v>0</v>
      </c>
      <c r="H64" s="304">
        <f t="shared" si="27"/>
        <v>0</v>
      </c>
      <c r="I64" s="304">
        <f t="shared" si="27"/>
        <v>0</v>
      </c>
      <c r="J64" s="304">
        <f t="shared" si="27"/>
        <v>0</v>
      </c>
      <c r="K64" s="304">
        <f t="shared" si="27"/>
        <v>0</v>
      </c>
      <c r="L64" s="304">
        <f t="shared" si="27"/>
        <v>0</v>
      </c>
      <c r="M64" s="304">
        <f t="shared" si="27"/>
        <v>0</v>
      </c>
      <c r="N64" s="304">
        <f t="shared" si="27"/>
        <v>0</v>
      </c>
      <c r="O64" s="304">
        <f t="shared" si="27"/>
        <v>0</v>
      </c>
      <c r="P64" s="304">
        <f t="shared" si="27"/>
        <v>0</v>
      </c>
      <c r="Q64" s="304">
        <f t="shared" si="27"/>
        <v>9.7308582424981971E-4</v>
      </c>
      <c r="R64" s="304">
        <f t="shared" si="27"/>
        <v>8.5314163708511193E-2</v>
      </c>
      <c r="S64" s="304">
        <f t="shared" si="27"/>
        <v>8.492840059339235E-2</v>
      </c>
      <c r="T64" s="304">
        <f t="shared" si="27"/>
        <v>8.4700585071905476E-2</v>
      </c>
      <c r="U64" s="304">
        <f t="shared" si="27"/>
        <v>8.665528465457295E-2</v>
      </c>
      <c r="V64" s="304">
        <f t="shared" si="27"/>
        <v>8.7975402760477328E-2</v>
      </c>
      <c r="W64" s="304">
        <f t="shared" si="27"/>
        <v>8.499679105597413E-2</v>
      </c>
      <c r="X64" s="304">
        <f t="shared" si="27"/>
        <v>8.1578806025737527E-2</v>
      </c>
      <c r="Y64" s="304">
        <f t="shared" si="27"/>
        <v>7.7693861002744447E-2</v>
      </c>
      <c r="Z64" s="304">
        <f t="shared" si="27"/>
        <v>7.3589237314740319E-2</v>
      </c>
      <c r="AA64" s="304">
        <f t="shared" si="27"/>
        <v>-4.6869705023539598E-2</v>
      </c>
      <c r="AB64" s="304">
        <f t="shared" si="27"/>
        <v>6.5343872604136655E-2</v>
      </c>
      <c r="AC64" s="304">
        <f t="shared" si="27"/>
        <v>6.1236607968781498E-2</v>
      </c>
      <c r="AD64" s="304">
        <f t="shared" si="27"/>
        <v>5.7099767274923607E-2</v>
      </c>
      <c r="AE64" s="304">
        <f t="shared" si="27"/>
        <v>5.2999323431817125E-2</v>
      </c>
      <c r="AF64" s="304">
        <f t="shared" si="27"/>
        <v>4.8352415230379142E-2</v>
      </c>
      <c r="AG64" s="304">
        <f t="shared" si="27"/>
        <v>4.4489801612304314E-2</v>
      </c>
      <c r="AH64" s="304">
        <f t="shared" si="27"/>
        <v>4.0800357810613419E-2</v>
      </c>
      <c r="AI64" s="304">
        <f t="shared" si="27"/>
        <v>3.6974066614651302E-2</v>
      </c>
      <c r="AJ64" s="304">
        <f t="shared" si="27"/>
        <v>3.3325205146910619E-2</v>
      </c>
      <c r="AK64" s="304">
        <f t="shared" si="27"/>
        <v>2.954779903143423E-2</v>
      </c>
      <c r="AL64" s="304">
        <f t="shared" si="27"/>
        <v>2.5714579980564256E-2</v>
      </c>
      <c r="AM64" s="304">
        <f t="shared" si="27"/>
        <v>2.209688740744431E-2</v>
      </c>
      <c r="AN64" s="304">
        <f t="shared" si="27"/>
        <v>1.861216208457861E-2</v>
      </c>
      <c r="AO64" s="304">
        <f t="shared" si="27"/>
        <v>1.5196195332905837E-2</v>
      </c>
      <c r="AP64" s="304">
        <f t="shared" si="27"/>
        <v>1.1613683010186171E-2</v>
      </c>
      <c r="AQ64" s="304">
        <f t="shared" si="27"/>
        <v>7.6835307492244542E-3</v>
      </c>
      <c r="AR64" s="304">
        <f t="shared" si="27"/>
        <v>3.9419671820424274E-3</v>
      </c>
      <c r="AS64" s="304">
        <f t="shared" si="27"/>
        <v>5.3406187769322599E-4</v>
      </c>
      <c r="AT64" s="304">
        <f t="shared" si="27"/>
        <v>-2.6876091486474074E-3</v>
      </c>
      <c r="AU64" s="305">
        <f t="shared" si="27"/>
        <v>-0.18933776734921459</v>
      </c>
      <c r="AV64" s="268"/>
    </row>
    <row r="65" spans="2:48" x14ac:dyDescent="0.25">
      <c r="B65" s="258" t="s">
        <v>471</v>
      </c>
      <c r="C65" s="304">
        <f t="shared" si="27"/>
        <v>0</v>
      </c>
      <c r="D65" s="304">
        <f t="shared" si="27"/>
        <v>0</v>
      </c>
      <c r="E65" s="304">
        <f t="shared" si="27"/>
        <v>0</v>
      </c>
      <c r="F65" s="304">
        <f t="shared" si="27"/>
        <v>0</v>
      </c>
      <c r="G65" s="304">
        <f t="shared" si="27"/>
        <v>0</v>
      </c>
      <c r="H65" s="304">
        <f t="shared" si="27"/>
        <v>0</v>
      </c>
      <c r="I65" s="304">
        <f t="shared" si="27"/>
        <v>0</v>
      </c>
      <c r="J65" s="304">
        <f t="shared" si="27"/>
        <v>0</v>
      </c>
      <c r="K65" s="304">
        <f t="shared" si="27"/>
        <v>0</v>
      </c>
      <c r="L65" s="304">
        <f t="shared" si="27"/>
        <v>0</v>
      </c>
      <c r="M65" s="304">
        <f t="shared" si="27"/>
        <v>0</v>
      </c>
      <c r="N65" s="304">
        <f t="shared" si="27"/>
        <v>0</v>
      </c>
      <c r="O65" s="304">
        <f t="shared" si="27"/>
        <v>0</v>
      </c>
      <c r="P65" s="304">
        <f t="shared" si="27"/>
        <v>0</v>
      </c>
      <c r="Q65" s="304">
        <f t="shared" si="27"/>
        <v>1.3554135520107424E-3</v>
      </c>
      <c r="R65" s="304">
        <f t="shared" si="27"/>
        <v>2.1038804315928195E-3</v>
      </c>
      <c r="S65" s="304">
        <f t="shared" si="27"/>
        <v>2.5843415606401354E-3</v>
      </c>
      <c r="T65" s="304">
        <f t="shared" si="27"/>
        <v>3.0003251670167597E-3</v>
      </c>
      <c r="U65" s="304">
        <f t="shared" si="27"/>
        <v>-6.353449836851377E-3</v>
      </c>
      <c r="V65" s="304">
        <f t="shared" si="27"/>
        <v>-1.5101425599507112E-2</v>
      </c>
      <c r="W65" s="304">
        <f t="shared" si="27"/>
        <v>-1.8858705151168831E-2</v>
      </c>
      <c r="X65" s="304">
        <f t="shared" si="27"/>
        <v>-2.4160288197339397E-2</v>
      </c>
      <c r="Y65" s="304">
        <f t="shared" si="27"/>
        <v>-3.056374877009993E-2</v>
      </c>
      <c r="Z65" s="304">
        <f t="shared" si="27"/>
        <v>-3.7727089093050226E-2</v>
      </c>
      <c r="AA65" s="304">
        <f t="shared" si="27"/>
        <v>-4.5413005316585209E-2</v>
      </c>
      <c r="AB65" s="304">
        <f t="shared" si="27"/>
        <v>-5.1552400475177285E-2</v>
      </c>
      <c r="AC65" s="304">
        <f t="shared" si="27"/>
        <v>-5.8314680895059756E-2</v>
      </c>
      <c r="AD65" s="304">
        <f t="shared" si="27"/>
        <v>-6.5015822088533959E-2</v>
      </c>
      <c r="AE65" s="304">
        <f t="shared" si="27"/>
        <v>-7.1654303932800145E-2</v>
      </c>
      <c r="AF65" s="304">
        <f t="shared" si="27"/>
        <v>-7.9032819257378928E-2</v>
      </c>
      <c r="AG65" s="304">
        <f t="shared" si="27"/>
        <v>-8.5621474714242418E-2</v>
      </c>
      <c r="AH65" s="304">
        <f t="shared" si="27"/>
        <v>-9.2054932579079485E-2</v>
      </c>
      <c r="AI65" s="304">
        <f t="shared" si="27"/>
        <v>-9.8559255915572574E-2</v>
      </c>
      <c r="AJ65" s="304">
        <f t="shared" si="27"/>
        <v>-0.10494830614272965</v>
      </c>
      <c r="AK65" s="304">
        <f t="shared" si="27"/>
        <v>-0.11144916033617847</v>
      </c>
      <c r="AL65" s="304">
        <f t="shared" si="27"/>
        <v>-0.11803768892844435</v>
      </c>
      <c r="AM65" s="304">
        <f t="shared" si="27"/>
        <v>-0.12440864208288749</v>
      </c>
      <c r="AN65" s="304">
        <f t="shared" si="27"/>
        <v>-0.13066323977938088</v>
      </c>
      <c r="AO65" s="304">
        <f t="shared" si="27"/>
        <v>-0.13686991709417118</v>
      </c>
      <c r="AP65" s="304">
        <f t="shared" si="27"/>
        <v>-0.14371646548751454</v>
      </c>
      <c r="AQ65" s="304">
        <f t="shared" si="27"/>
        <v>-0.15083633361854537</v>
      </c>
      <c r="AR65" s="304">
        <f t="shared" si="27"/>
        <v>-0.15771176025921574</v>
      </c>
      <c r="AS65" s="304">
        <f t="shared" si="27"/>
        <v>-0.16428726332338039</v>
      </c>
      <c r="AT65" s="304">
        <f t="shared" si="27"/>
        <v>-0.17071515712669533</v>
      </c>
      <c r="AU65" s="305">
        <f t="shared" si="27"/>
        <v>-0.17795033342871575</v>
      </c>
      <c r="AV65" s="268"/>
    </row>
    <row r="66" spans="2:48" x14ac:dyDescent="0.25">
      <c r="B66" s="261" t="s">
        <v>472</v>
      </c>
      <c r="C66" s="306">
        <f t="shared" si="27"/>
        <v>0</v>
      </c>
      <c r="D66" s="306">
        <f t="shared" si="27"/>
        <v>0</v>
      </c>
      <c r="E66" s="306">
        <f t="shared" si="27"/>
        <v>0</v>
      </c>
      <c r="F66" s="306">
        <f t="shared" si="27"/>
        <v>0</v>
      </c>
      <c r="G66" s="306">
        <f t="shared" si="27"/>
        <v>0</v>
      </c>
      <c r="H66" s="306">
        <f t="shared" si="27"/>
        <v>0</v>
      </c>
      <c r="I66" s="306">
        <f t="shared" si="27"/>
        <v>0</v>
      </c>
      <c r="J66" s="306">
        <f t="shared" si="27"/>
        <v>0</v>
      </c>
      <c r="K66" s="306">
        <f t="shared" si="27"/>
        <v>0</v>
      </c>
      <c r="L66" s="306">
        <f t="shared" si="27"/>
        <v>0</v>
      </c>
      <c r="M66" s="306">
        <f t="shared" si="27"/>
        <v>0</v>
      </c>
      <c r="N66" s="306">
        <f t="shared" si="27"/>
        <v>0</v>
      </c>
      <c r="O66" s="306">
        <f t="shared" si="27"/>
        <v>0</v>
      </c>
      <c r="P66" s="306">
        <f t="shared" si="27"/>
        <v>0</v>
      </c>
      <c r="Q66" s="306">
        <f t="shared" si="27"/>
        <v>-4.0751616961886422E-4</v>
      </c>
      <c r="R66" s="306">
        <f t="shared" si="27"/>
        <v>-1.9486959407677973E-3</v>
      </c>
      <c r="S66" s="306">
        <f t="shared" si="27"/>
        <v>-2.4479874146423053E-3</v>
      </c>
      <c r="T66" s="306">
        <f t="shared" si="27"/>
        <v>-2.7925796737156561E-3</v>
      </c>
      <c r="U66" s="306">
        <f t="shared" si="27"/>
        <v>7.868826265957779E-3</v>
      </c>
      <c r="V66" s="306">
        <f t="shared" si="27"/>
        <v>1.7583307443957086E-2</v>
      </c>
      <c r="W66" s="306">
        <f t="shared" si="27"/>
        <v>1.9035258022446544E-2</v>
      </c>
      <c r="X66" s="306">
        <f t="shared" si="27"/>
        <v>2.1381485745392476E-2</v>
      </c>
      <c r="Y66" s="306">
        <f t="shared" si="27"/>
        <v>2.4093440149266426E-2</v>
      </c>
      <c r="Z66" s="306">
        <f t="shared" si="27"/>
        <v>2.7236164375152333E-2</v>
      </c>
      <c r="AA66" s="306">
        <f t="shared" si="27"/>
        <v>5.770666937792053E-3</v>
      </c>
      <c r="AB66" s="306">
        <f t="shared" si="27"/>
        <v>3.3072005844660746E-2</v>
      </c>
      <c r="AC66" s="306">
        <f t="shared" si="27"/>
        <v>3.6452165464402969E-2</v>
      </c>
      <c r="AD66" s="306">
        <f t="shared" si="27"/>
        <v>3.9536489531105251E-2</v>
      </c>
      <c r="AE66" s="306">
        <f t="shared" si="27"/>
        <v>4.2521904736713523E-2</v>
      </c>
      <c r="AF66" s="306">
        <f t="shared" si="27"/>
        <v>4.6162769045285379E-2</v>
      </c>
      <c r="AG66" s="306">
        <f t="shared" ref="AG66:AU66" si="28">AG44-AG55</f>
        <v>4.9001721587817154E-2</v>
      </c>
      <c r="AH66" s="306">
        <f t="shared" si="28"/>
        <v>5.2038068387392999E-2</v>
      </c>
      <c r="AI66" s="306">
        <f t="shared" si="28"/>
        <v>5.51044724373215E-2</v>
      </c>
      <c r="AJ66" s="306">
        <f t="shared" si="28"/>
        <v>5.8297412464016846E-2</v>
      </c>
      <c r="AK66" s="306">
        <f t="shared" si="28"/>
        <v>6.150391898041474E-2</v>
      </c>
      <c r="AL66" s="306">
        <f t="shared" si="28"/>
        <v>6.4789744402272254E-2</v>
      </c>
      <c r="AM66" s="306">
        <f t="shared" si="28"/>
        <v>6.8050566320360217E-2</v>
      </c>
      <c r="AN66" s="306">
        <f t="shared" si="28"/>
        <v>7.1304879985386038E-2</v>
      </c>
      <c r="AO66" s="306">
        <f t="shared" si="28"/>
        <v>7.457659488274887E-2</v>
      </c>
      <c r="AP66" s="306">
        <f t="shared" si="28"/>
        <v>7.8192671094517302E-2</v>
      </c>
      <c r="AQ66" s="306">
        <f t="shared" si="28"/>
        <v>8.1789066724371889E-2</v>
      </c>
      <c r="AR66" s="306">
        <f t="shared" si="28"/>
        <v>8.5329373132338598E-2</v>
      </c>
      <c r="AS66" s="306">
        <f t="shared" si="28"/>
        <v>8.8928334734002412E-2</v>
      </c>
      <c r="AT66" s="306">
        <f t="shared" si="28"/>
        <v>9.2584631551286684E-2</v>
      </c>
      <c r="AU66" s="307">
        <f t="shared" si="28"/>
        <v>1.0027084472081518E-2</v>
      </c>
      <c r="AV66" s="268"/>
    </row>
    <row r="67" spans="2:48" x14ac:dyDescent="0.25">
      <c r="B67" s="249" t="s">
        <v>473</v>
      </c>
      <c r="C67" s="308">
        <f t="shared" ref="C67:AU67" si="29">C45-C56</f>
        <v>0</v>
      </c>
      <c r="D67" s="308">
        <f t="shared" si="29"/>
        <v>0</v>
      </c>
      <c r="E67" s="308">
        <f t="shared" si="29"/>
        <v>0</v>
      </c>
      <c r="F67" s="308">
        <f t="shared" si="29"/>
        <v>0</v>
      </c>
      <c r="G67" s="308">
        <f t="shared" si="29"/>
        <v>0</v>
      </c>
      <c r="H67" s="308">
        <f t="shared" si="29"/>
        <v>0</v>
      </c>
      <c r="I67" s="308">
        <f t="shared" si="29"/>
        <v>0</v>
      </c>
      <c r="J67" s="308">
        <f t="shared" si="29"/>
        <v>0</v>
      </c>
      <c r="K67" s="308">
        <f t="shared" si="29"/>
        <v>0</v>
      </c>
      <c r="L67" s="308">
        <f t="shared" si="29"/>
        <v>0</v>
      </c>
      <c r="M67" s="308">
        <f t="shared" si="29"/>
        <v>0</v>
      </c>
      <c r="N67" s="308">
        <f t="shared" si="29"/>
        <v>0</v>
      </c>
      <c r="O67" s="308">
        <f t="shared" si="29"/>
        <v>0</v>
      </c>
      <c r="P67" s="308">
        <f t="shared" si="29"/>
        <v>0</v>
      </c>
      <c r="Q67" s="308">
        <f t="shared" si="29"/>
        <v>5.7212683272384046E-3</v>
      </c>
      <c r="R67" s="308">
        <f t="shared" si="29"/>
        <v>9.0891791412747169E-3</v>
      </c>
      <c r="S67" s="308">
        <f t="shared" si="29"/>
        <v>1.1236956145683763E-2</v>
      </c>
      <c r="T67" s="308">
        <f t="shared" si="29"/>
        <v>1.2844994422513967E-2</v>
      </c>
      <c r="U67" s="308">
        <f t="shared" si="29"/>
        <v>-1.3030407539519118E-2</v>
      </c>
      <c r="V67" s="308">
        <f t="shared" si="29"/>
        <v>-3.5070804121540844E-2</v>
      </c>
      <c r="W67" s="308">
        <f t="shared" si="29"/>
        <v>-3.4591684410133716E-2</v>
      </c>
      <c r="X67" s="308">
        <f t="shared" si="29"/>
        <v>-3.9427323934119518E-2</v>
      </c>
      <c r="Y67" s="308">
        <f t="shared" si="29"/>
        <v>-4.7183971161400939E-2</v>
      </c>
      <c r="Z67" s="308">
        <f t="shared" si="29"/>
        <v>-5.7147348758936345E-2</v>
      </c>
      <c r="AA67" s="308">
        <f t="shared" si="29"/>
        <v>-6.8495315370518894E-2</v>
      </c>
      <c r="AB67" s="308">
        <f t="shared" si="29"/>
        <v>-7.6622359623185088E-2</v>
      </c>
      <c r="AC67" s="308">
        <f t="shared" si="29"/>
        <v>-8.7917867129276184E-2</v>
      </c>
      <c r="AD67" s="308">
        <f t="shared" si="29"/>
        <v>-9.8125771928294747E-2</v>
      </c>
      <c r="AE67" s="308">
        <f t="shared" si="29"/>
        <v>-0.10786046131269822</v>
      </c>
      <c r="AF67" s="308">
        <f t="shared" si="29"/>
        <v>-0.12046732391135839</v>
      </c>
      <c r="AG67" s="308">
        <f t="shared" si="29"/>
        <v>-0.12999826247663371</v>
      </c>
      <c r="AH67" s="308">
        <f t="shared" si="29"/>
        <v>-0.13945978287400151</v>
      </c>
      <c r="AI67" s="308">
        <f t="shared" si="29"/>
        <v>-0.14890379760188588</v>
      </c>
      <c r="AJ67" s="308">
        <f t="shared" si="29"/>
        <v>-0.15827107228189996</v>
      </c>
      <c r="AK67" s="308">
        <f t="shared" si="29"/>
        <v>-0.16770645154523134</v>
      </c>
      <c r="AL67" s="308">
        <f t="shared" si="29"/>
        <v>-0.17753572163945808</v>
      </c>
      <c r="AM67" s="308">
        <f t="shared" si="29"/>
        <v>-0.18684582906343328</v>
      </c>
      <c r="AN67" s="308">
        <f t="shared" si="29"/>
        <v>-0.19589855519387178</v>
      </c>
      <c r="AO67" s="308">
        <f t="shared" si="29"/>
        <v>-0.20482000780927767</v>
      </c>
      <c r="AP67" s="308">
        <f t="shared" si="29"/>
        <v>-0.21606523960110469</v>
      </c>
      <c r="AQ67" s="308">
        <f t="shared" si="29"/>
        <v>-0.2272735682180842</v>
      </c>
      <c r="AR67" s="308">
        <f t="shared" si="29"/>
        <v>-0.23786588690914912</v>
      </c>
      <c r="AS67" s="308">
        <f t="shared" si="29"/>
        <v>-0.24800359912987879</v>
      </c>
      <c r="AT67" s="308">
        <f t="shared" si="29"/>
        <v>-0.25783510479266358</v>
      </c>
      <c r="AU67" s="309">
        <f t="shared" si="29"/>
        <v>-0.26788671910890827</v>
      </c>
      <c r="AV67" s="268"/>
    </row>
  </sheetData>
  <pageMargins left="0.7" right="0.7" top="0.75" bottom="0.75" header="0.3" footer="0.3"/>
  <pageSetup paperSize="9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CU300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:AW300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7" max="49" width="11.7109375" customWidth="1"/>
    <col min="50" max="50" width="21.85546875" customWidth="1"/>
    <col min="51" max="52" width="11.7109375" customWidth="1"/>
  </cols>
  <sheetData>
    <row r="1" spans="1:49" ht="51.75" thickBot="1" x14ac:dyDescent="0.3">
      <c r="A1" s="234" t="s">
        <v>484</v>
      </c>
      <c r="B1" s="269" t="s">
        <v>492</v>
      </c>
      <c r="C1" s="235">
        <v>2</v>
      </c>
      <c r="D1" s="235">
        <f>C1+1</f>
        <v>3</v>
      </c>
      <c r="E1" s="235">
        <f t="shared" ref="E1:AW1" si="0">D1+1</f>
        <v>4</v>
      </c>
      <c r="F1" s="235">
        <f t="shared" si="0"/>
        <v>5</v>
      </c>
      <c r="G1" s="235">
        <f t="shared" si="0"/>
        <v>6</v>
      </c>
      <c r="H1" s="235">
        <f t="shared" si="0"/>
        <v>7</v>
      </c>
      <c r="I1" s="235">
        <f t="shared" si="0"/>
        <v>8</v>
      </c>
      <c r="J1" s="235">
        <f t="shared" si="0"/>
        <v>9</v>
      </c>
      <c r="K1" s="235">
        <f t="shared" si="0"/>
        <v>10</v>
      </c>
      <c r="L1" s="235">
        <f t="shared" si="0"/>
        <v>11</v>
      </c>
      <c r="M1" s="235">
        <f t="shared" si="0"/>
        <v>12</v>
      </c>
      <c r="N1" s="235">
        <f t="shared" si="0"/>
        <v>13</v>
      </c>
      <c r="O1" s="235">
        <f t="shared" si="0"/>
        <v>14</v>
      </c>
      <c r="P1" s="235">
        <f t="shared" si="0"/>
        <v>15</v>
      </c>
      <c r="Q1" s="235">
        <f t="shared" si="0"/>
        <v>16</v>
      </c>
      <c r="R1" s="235">
        <f t="shared" si="0"/>
        <v>17</v>
      </c>
      <c r="S1" s="235">
        <f t="shared" si="0"/>
        <v>18</v>
      </c>
      <c r="T1" s="235">
        <f t="shared" si="0"/>
        <v>19</v>
      </c>
      <c r="U1" s="235">
        <f t="shared" si="0"/>
        <v>20</v>
      </c>
      <c r="V1" s="235">
        <f t="shared" si="0"/>
        <v>21</v>
      </c>
      <c r="W1" s="235">
        <f t="shared" si="0"/>
        <v>22</v>
      </c>
      <c r="X1" s="235">
        <f t="shared" si="0"/>
        <v>23</v>
      </c>
      <c r="Y1" s="235">
        <f t="shared" si="0"/>
        <v>24</v>
      </c>
      <c r="Z1" s="235">
        <f t="shared" si="0"/>
        <v>25</v>
      </c>
      <c r="AA1" s="235">
        <f t="shared" si="0"/>
        <v>26</v>
      </c>
      <c r="AB1" s="235">
        <f t="shared" si="0"/>
        <v>27</v>
      </c>
      <c r="AC1" s="235">
        <f t="shared" si="0"/>
        <v>28</v>
      </c>
      <c r="AD1" s="235">
        <f t="shared" si="0"/>
        <v>29</v>
      </c>
      <c r="AE1" s="235">
        <f t="shared" si="0"/>
        <v>30</v>
      </c>
      <c r="AF1" s="235">
        <f t="shared" si="0"/>
        <v>31</v>
      </c>
      <c r="AG1" s="235">
        <f t="shared" si="0"/>
        <v>32</v>
      </c>
      <c r="AH1" s="235">
        <f t="shared" si="0"/>
        <v>33</v>
      </c>
      <c r="AI1" s="235">
        <f t="shared" si="0"/>
        <v>34</v>
      </c>
      <c r="AJ1" s="235">
        <f t="shared" si="0"/>
        <v>35</v>
      </c>
      <c r="AK1" s="235">
        <f t="shared" si="0"/>
        <v>36</v>
      </c>
      <c r="AL1" s="235">
        <f t="shared" si="0"/>
        <v>37</v>
      </c>
      <c r="AM1" s="235">
        <f t="shared" si="0"/>
        <v>38</v>
      </c>
      <c r="AN1" s="235">
        <f t="shared" si="0"/>
        <v>39</v>
      </c>
      <c r="AO1" s="235">
        <f t="shared" si="0"/>
        <v>40</v>
      </c>
      <c r="AP1" s="235">
        <f t="shared" si="0"/>
        <v>41</v>
      </c>
      <c r="AQ1" s="235">
        <f t="shared" si="0"/>
        <v>42</v>
      </c>
      <c r="AR1" s="235">
        <f t="shared" si="0"/>
        <v>43</v>
      </c>
      <c r="AS1" s="235">
        <f t="shared" si="0"/>
        <v>44</v>
      </c>
      <c r="AT1" s="235">
        <f t="shared" si="0"/>
        <v>45</v>
      </c>
      <c r="AU1" s="235">
        <f t="shared" si="0"/>
        <v>46</v>
      </c>
      <c r="AV1" s="235">
        <f t="shared" si="0"/>
        <v>47</v>
      </c>
      <c r="AW1" s="235">
        <f t="shared" si="0"/>
        <v>48</v>
      </c>
    </row>
    <row r="2" spans="1:49" x14ac:dyDescent="0.25">
      <c r="B2" s="193"/>
      <c r="C2" s="16">
        <v>2004</v>
      </c>
      <c r="D2" s="16">
        <v>2005</v>
      </c>
      <c r="E2" s="16">
        <v>2006</v>
      </c>
      <c r="F2" s="2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3" t="s">
        <v>103</v>
      </c>
      <c r="C3">
        <v>78.155731330970795</v>
      </c>
      <c r="D3" s="39">
        <v>79.410546877677106</v>
      </c>
      <c r="E3" s="39">
        <v>80.669792340000001</v>
      </c>
      <c r="F3" s="39">
        <v>81.254818139999998</v>
      </c>
      <c r="G3">
        <v>78.36426324</v>
      </c>
      <c r="H3">
        <v>76.334022739999995</v>
      </c>
      <c r="I3">
        <v>75.115141289999997</v>
      </c>
      <c r="J3">
        <v>73.642627309999995</v>
      </c>
      <c r="K3">
        <v>71.834770059999997</v>
      </c>
      <c r="L3">
        <v>70.558902590000002</v>
      </c>
      <c r="M3">
        <v>70.603576140000001</v>
      </c>
      <c r="N3">
        <v>71.305305000000004</v>
      </c>
      <c r="O3">
        <v>69.801166050000006</v>
      </c>
      <c r="P3">
        <v>68.202496719999999</v>
      </c>
      <c r="Q3">
        <v>65.94218171</v>
      </c>
      <c r="R3">
        <v>64.726067509999893</v>
      </c>
      <c r="S3">
        <v>63.117414570000001</v>
      </c>
      <c r="T3">
        <v>62.736062609999998</v>
      </c>
      <c r="U3">
        <v>61.940047589999999</v>
      </c>
      <c r="V3">
        <v>60.907456140000001</v>
      </c>
      <c r="W3">
        <v>58.884795369999999</v>
      </c>
      <c r="X3">
        <v>56.707176670000003</v>
      </c>
      <c r="Y3">
        <v>54.61933123</v>
      </c>
      <c r="Z3">
        <v>52.644437549999999</v>
      </c>
      <c r="AA3">
        <v>50.733097219999998</v>
      </c>
      <c r="AB3">
        <v>48.732947629999998</v>
      </c>
      <c r="AC3">
        <v>46.740563330000001</v>
      </c>
      <c r="AD3">
        <v>44.725220110000002</v>
      </c>
      <c r="AE3">
        <v>42.777953289999999</v>
      </c>
      <c r="AF3">
        <v>40.86790886</v>
      </c>
      <c r="AG3">
        <v>39.025201639999999</v>
      </c>
      <c r="AH3">
        <v>37.23885456</v>
      </c>
      <c r="AI3">
        <v>35.439535999999997</v>
      </c>
      <c r="AJ3">
        <v>33.718664910000001</v>
      </c>
      <c r="AK3">
        <v>32.029670680000002</v>
      </c>
      <c r="AL3">
        <v>30.4856373</v>
      </c>
      <c r="AM3">
        <v>28.963415659999999</v>
      </c>
      <c r="AN3">
        <v>27.653363110000001</v>
      </c>
      <c r="AO3">
        <v>26.348408169999999</v>
      </c>
      <c r="AP3">
        <v>25.084164520000002</v>
      </c>
      <c r="AQ3">
        <v>23.87406554</v>
      </c>
      <c r="AR3">
        <v>22.671679019999999</v>
      </c>
      <c r="AS3">
        <v>21.803155310000001</v>
      </c>
      <c r="AT3">
        <v>20.97396913</v>
      </c>
      <c r="AU3">
        <v>20.187347240000001</v>
      </c>
      <c r="AV3">
        <v>19.43279738</v>
      </c>
      <c r="AW3">
        <v>18.715222990000001</v>
      </c>
    </row>
    <row r="4" spans="1:49" x14ac:dyDescent="0.25">
      <c r="B4" s="13" t="s">
        <v>104</v>
      </c>
      <c r="C4">
        <v>77.477678819662401</v>
      </c>
      <c r="D4" s="39">
        <v>78.721608013977402</v>
      </c>
      <c r="E4" s="39">
        <v>80.002338629999997</v>
      </c>
      <c r="F4" s="39">
        <v>80.251729330000003</v>
      </c>
      <c r="G4">
        <v>77.079140899999999</v>
      </c>
      <c r="H4">
        <v>74.773979420000003</v>
      </c>
      <c r="I4">
        <v>73.277959289999998</v>
      </c>
      <c r="J4">
        <v>71.546548139999999</v>
      </c>
      <c r="K4">
        <v>69.503656160000006</v>
      </c>
      <c r="L4">
        <v>67.988944020000005</v>
      </c>
      <c r="M4">
        <v>67.752716239999998</v>
      </c>
      <c r="N4">
        <v>68.14521834</v>
      </c>
      <c r="O4">
        <v>66.657962459999894</v>
      </c>
      <c r="P4">
        <v>65.079554770000001</v>
      </c>
      <c r="Q4">
        <v>62.869441799999997</v>
      </c>
      <c r="R4">
        <v>61.654132109999999</v>
      </c>
      <c r="S4">
        <v>60.063525060000003</v>
      </c>
      <c r="T4">
        <v>59.540592240000002</v>
      </c>
      <c r="U4">
        <v>58.632248689999997</v>
      </c>
      <c r="V4">
        <v>57.50927686</v>
      </c>
      <c r="W4">
        <v>55.234188469999999</v>
      </c>
      <c r="X4">
        <v>52.816798839999997</v>
      </c>
      <c r="Y4">
        <v>50.713988559999997</v>
      </c>
      <c r="Z4">
        <v>48.714027389999998</v>
      </c>
      <c r="AA4">
        <v>46.76996681</v>
      </c>
      <c r="AB4">
        <v>44.744121900000003</v>
      </c>
      <c r="AC4">
        <v>42.722091110000001</v>
      </c>
      <c r="AD4">
        <v>40.076219590000001</v>
      </c>
      <c r="AE4">
        <v>37.482665140000002</v>
      </c>
      <c r="AF4">
        <v>34.909370539999998</v>
      </c>
      <c r="AG4">
        <v>32.387740469999997</v>
      </c>
      <c r="AH4">
        <v>29.889920709999998</v>
      </c>
      <c r="AI4">
        <v>27.269289910000001</v>
      </c>
      <c r="AJ4">
        <v>24.67082959</v>
      </c>
      <c r="AK4">
        <v>22.044405449999999</v>
      </c>
      <c r="AL4">
        <v>19.490457150000001</v>
      </c>
      <c r="AM4">
        <v>16.85386836</v>
      </c>
      <c r="AN4">
        <v>15.306376419999999</v>
      </c>
      <c r="AO4">
        <v>13.7275299</v>
      </c>
      <c r="AP4">
        <v>12.125998709999999</v>
      </c>
      <c r="AQ4">
        <v>10.49154635</v>
      </c>
      <c r="AR4">
        <v>8.7819697970000004</v>
      </c>
      <c r="AS4">
        <v>8.2663827039999997</v>
      </c>
      <c r="AT4">
        <v>7.7596227799999999</v>
      </c>
      <c r="AU4">
        <v>7.2605741879999997</v>
      </c>
      <c r="AV4">
        <v>6.7625974380000002</v>
      </c>
      <c r="AW4">
        <v>6.263922623</v>
      </c>
    </row>
    <row r="5" spans="1:49" x14ac:dyDescent="0.25">
      <c r="B5" s="13" t="s">
        <v>105</v>
      </c>
      <c r="C5">
        <v>0.67805251130835598</v>
      </c>
      <c r="D5" s="39">
        <v>0.68893886369971102</v>
      </c>
      <c r="E5">
        <v>0.66745370510000002</v>
      </c>
      <c r="F5">
        <v>1.003088811</v>
      </c>
      <c r="G5">
        <v>1.285122348</v>
      </c>
      <c r="H5">
        <v>1.560043318</v>
      </c>
      <c r="I5">
        <v>1.837181999</v>
      </c>
      <c r="J5">
        <v>2.0960791670000001</v>
      </c>
      <c r="K5">
        <v>2.3311138950000001</v>
      </c>
      <c r="L5">
        <v>2.569958567</v>
      </c>
      <c r="M5">
        <v>2.8508598979999999</v>
      </c>
      <c r="N5">
        <v>3.1600866609999998</v>
      </c>
      <c r="O5">
        <v>3.143203593</v>
      </c>
      <c r="P5">
        <v>3.1229419520000001</v>
      </c>
      <c r="Q5">
        <v>3.072739909</v>
      </c>
      <c r="R5">
        <v>3.0719354060000001</v>
      </c>
      <c r="S5">
        <v>3.0538895080000001</v>
      </c>
      <c r="T5">
        <v>3.195470373</v>
      </c>
      <c r="U5">
        <v>3.3077988989999998</v>
      </c>
      <c r="V5">
        <v>3.3981792820000001</v>
      </c>
      <c r="W5">
        <v>3.6506068950000001</v>
      </c>
      <c r="X5">
        <v>3.8903778280000001</v>
      </c>
      <c r="Y5">
        <v>3.9053426689999999</v>
      </c>
      <c r="Z5">
        <v>3.9304101610000002</v>
      </c>
      <c r="AA5">
        <v>3.9631304030000001</v>
      </c>
      <c r="AB5">
        <v>3.988825726</v>
      </c>
      <c r="AC5">
        <v>4.0184722199999996</v>
      </c>
      <c r="AD5">
        <v>4.6490005139999999</v>
      </c>
      <c r="AE5">
        <v>5.2952881510000003</v>
      </c>
      <c r="AF5">
        <v>5.9585383270000003</v>
      </c>
      <c r="AG5">
        <v>6.6374611679999997</v>
      </c>
      <c r="AH5">
        <v>7.3489338550000003</v>
      </c>
      <c r="AI5">
        <v>8.1702460909999903</v>
      </c>
      <c r="AJ5">
        <v>9.0478353200000008</v>
      </c>
      <c r="AK5">
        <v>9.9852652370000001</v>
      </c>
      <c r="AL5">
        <v>10.995180149999999</v>
      </c>
      <c r="AM5">
        <v>12.109547299999999</v>
      </c>
      <c r="AN5">
        <v>12.34698669</v>
      </c>
      <c r="AO5">
        <v>12.62087827</v>
      </c>
      <c r="AP5">
        <v>12.958165810000001</v>
      </c>
      <c r="AQ5">
        <v>13.382519179999999</v>
      </c>
      <c r="AR5">
        <v>13.889709229999999</v>
      </c>
      <c r="AS5">
        <v>13.536772600000001</v>
      </c>
      <c r="AT5">
        <v>13.21434635</v>
      </c>
      <c r="AU5">
        <v>12.92677305</v>
      </c>
      <c r="AV5">
        <v>12.67019994</v>
      </c>
      <c r="AW5">
        <v>12.45130037</v>
      </c>
    </row>
    <row r="6" spans="1:49" x14ac:dyDescent="0.25">
      <c r="B6" s="13" t="s">
        <v>106</v>
      </c>
      <c r="C6">
        <v>28.634797354551999</v>
      </c>
      <c r="D6" s="39">
        <v>29.094538288267</v>
      </c>
      <c r="E6" s="39">
        <v>29.720911040000001</v>
      </c>
      <c r="F6" s="39">
        <v>30.533577789999999</v>
      </c>
      <c r="G6" s="39">
        <v>31.220624770000001</v>
      </c>
      <c r="H6" s="39">
        <v>29.042763520000001</v>
      </c>
      <c r="I6" s="39">
        <v>30.144574710000001</v>
      </c>
      <c r="J6" s="39">
        <v>31.17870091</v>
      </c>
      <c r="K6" s="39">
        <v>31.526340579999999</v>
      </c>
      <c r="L6" s="39">
        <v>31.37441317</v>
      </c>
      <c r="M6">
        <v>31.209564069999999</v>
      </c>
      <c r="N6">
        <v>30.624969549999999</v>
      </c>
      <c r="O6">
        <v>28.916579840000001</v>
      </c>
      <c r="P6">
        <v>28.420801829999998</v>
      </c>
      <c r="Q6">
        <v>28.36906127</v>
      </c>
      <c r="R6">
        <v>27.4255742</v>
      </c>
      <c r="S6">
        <v>26.479426539999999</v>
      </c>
      <c r="T6">
        <v>26.429850470000002</v>
      </c>
      <c r="U6">
        <v>26.347436550000001</v>
      </c>
      <c r="V6">
        <v>26.020234169999998</v>
      </c>
      <c r="W6">
        <v>26.980828580000001</v>
      </c>
      <c r="X6">
        <v>27.437548</v>
      </c>
      <c r="Y6">
        <v>27.114082010000001</v>
      </c>
      <c r="Z6">
        <v>26.747897949999999</v>
      </c>
      <c r="AA6">
        <v>26.376345600000001</v>
      </c>
      <c r="AB6">
        <v>26.18251398</v>
      </c>
      <c r="AC6">
        <v>26.027384810000001</v>
      </c>
      <c r="AD6">
        <v>25.274334289999999</v>
      </c>
      <c r="AE6">
        <v>24.531093890000001</v>
      </c>
      <c r="AF6">
        <v>23.802073920000002</v>
      </c>
      <c r="AG6">
        <v>22.995994790000001</v>
      </c>
      <c r="AH6">
        <v>22.199072869999998</v>
      </c>
      <c r="AI6">
        <v>21.921262729999999</v>
      </c>
      <c r="AJ6">
        <v>21.632864569999999</v>
      </c>
      <c r="AK6">
        <v>21.342233350000001</v>
      </c>
      <c r="AL6">
        <v>21.16467901</v>
      </c>
      <c r="AM6">
        <v>20.960391659999999</v>
      </c>
      <c r="AN6">
        <v>20.17306335</v>
      </c>
      <c r="AO6">
        <v>19.38847823</v>
      </c>
      <c r="AP6">
        <v>18.609741889999999</v>
      </c>
      <c r="AQ6">
        <v>17.840795709999998</v>
      </c>
      <c r="AR6">
        <v>17.074587619999999</v>
      </c>
      <c r="AS6">
        <v>16.347051520000001</v>
      </c>
      <c r="AT6">
        <v>15.633923129999999</v>
      </c>
      <c r="AU6">
        <v>14.926018429999999</v>
      </c>
      <c r="AV6">
        <v>14.22123976</v>
      </c>
      <c r="AW6">
        <v>13.520793960000001</v>
      </c>
    </row>
    <row r="7" spans="1:49" x14ac:dyDescent="0.25">
      <c r="B7" s="13" t="s">
        <v>107</v>
      </c>
      <c r="C7">
        <v>0.36749349586970598</v>
      </c>
      <c r="D7">
        <v>0.37339372281503302</v>
      </c>
      <c r="E7">
        <v>0.38143247060000002</v>
      </c>
      <c r="F7">
        <v>0.37127062669999999</v>
      </c>
      <c r="G7">
        <v>0.35967631230000002</v>
      </c>
      <c r="H7">
        <v>0.31700458079999999</v>
      </c>
      <c r="I7">
        <v>0.31174113510000001</v>
      </c>
      <c r="J7">
        <v>0.30549233590000002</v>
      </c>
      <c r="K7">
        <v>0.29266663780000002</v>
      </c>
      <c r="L7">
        <v>0.27595141099999998</v>
      </c>
      <c r="M7">
        <v>0.26007706899999999</v>
      </c>
      <c r="N7">
        <v>0.2417950341</v>
      </c>
      <c r="O7">
        <v>0.2101470392</v>
      </c>
      <c r="P7">
        <v>0.1872813203</v>
      </c>
      <c r="Q7">
        <v>0.1661261154</v>
      </c>
      <c r="R7">
        <v>0.13874728150000001</v>
      </c>
      <c r="S7">
        <v>0.1109630446</v>
      </c>
      <c r="T7">
        <v>0.14724723279999999</v>
      </c>
      <c r="U7">
        <v>0.18434846060000001</v>
      </c>
      <c r="V7">
        <v>0.2203784053</v>
      </c>
      <c r="W7">
        <v>0.15649731019999999</v>
      </c>
      <c r="X7">
        <v>9.33829979E-2</v>
      </c>
      <c r="Y7">
        <v>7.1114016000000002E-2</v>
      </c>
      <c r="Z7">
        <v>4.9240795699999999E-2</v>
      </c>
      <c r="AA7">
        <v>2.79042384E-2</v>
      </c>
      <c r="AB7">
        <v>2.4884559300000001E-2</v>
      </c>
      <c r="AC7">
        <v>2.1933144299999999E-2</v>
      </c>
      <c r="AD7">
        <v>2.1455207699999999E-2</v>
      </c>
      <c r="AE7">
        <v>2.0982460800000002E-2</v>
      </c>
      <c r="AF7">
        <v>2.0518705299999999E-2</v>
      </c>
      <c r="AG7">
        <v>1.9970805599999999E-2</v>
      </c>
      <c r="AH7">
        <v>1.9425904500000001E-2</v>
      </c>
      <c r="AI7">
        <v>1.5643095799999999E-2</v>
      </c>
      <c r="AJ7">
        <v>1.1914651700000001E-2</v>
      </c>
      <c r="AK7">
        <v>8.2497838400000002E-3</v>
      </c>
      <c r="AL7">
        <v>8.8378473399999997E-3</v>
      </c>
      <c r="AM7">
        <v>9.4077341400000004E-3</v>
      </c>
      <c r="AN7">
        <v>9.0393633299999995E-3</v>
      </c>
      <c r="AO7">
        <v>8.6724820400000003E-3</v>
      </c>
      <c r="AP7" s="39">
        <v>8.3084954499999999E-3</v>
      </c>
      <c r="AQ7" s="39">
        <v>7.9491725400000005E-3</v>
      </c>
      <c r="AR7" s="39">
        <v>7.5913812200000003E-3</v>
      </c>
      <c r="AS7" s="39">
        <v>7.5426867900000001E-3</v>
      </c>
      <c r="AT7" s="39">
        <v>7.4970749000000001E-3</v>
      </c>
      <c r="AU7" s="39">
        <v>7.4503395399999998E-3</v>
      </c>
      <c r="AV7" s="39">
        <v>7.4012452899999996E-3</v>
      </c>
      <c r="AW7" s="39">
        <v>7.35013301E-3</v>
      </c>
    </row>
    <row r="8" spans="1:49" x14ac:dyDescent="0.25">
      <c r="B8" t="s">
        <v>108</v>
      </c>
      <c r="C8">
        <v>1.4676116307532601</v>
      </c>
      <c r="D8" s="39">
        <v>1.4911746101974399</v>
      </c>
      <c r="E8" s="39">
        <v>1.523277926</v>
      </c>
      <c r="F8" s="39">
        <v>1.567205446</v>
      </c>
      <c r="G8" s="39">
        <v>1.604800427</v>
      </c>
      <c r="H8" s="39">
        <v>1.49502545</v>
      </c>
      <c r="I8" s="39">
        <v>1.553999997</v>
      </c>
      <c r="J8" s="39">
        <v>1.609648591</v>
      </c>
      <c r="K8" s="39">
        <v>1.6299633010000001</v>
      </c>
      <c r="L8" s="39">
        <v>1.624467699</v>
      </c>
      <c r="M8">
        <v>1.6182826450000001</v>
      </c>
      <c r="N8">
        <v>1.59027981</v>
      </c>
      <c r="O8">
        <v>1.681685119</v>
      </c>
      <c r="P8">
        <v>1.8439111720000001</v>
      </c>
      <c r="Q8">
        <v>2.0470020149999999</v>
      </c>
      <c r="R8">
        <v>2.1956828970000002</v>
      </c>
      <c r="S8">
        <v>2.3480382880000001</v>
      </c>
      <c r="T8">
        <v>2.2655698790000001</v>
      </c>
      <c r="U8">
        <v>2.1781471940000001</v>
      </c>
      <c r="V8">
        <v>2.0691154389999999</v>
      </c>
      <c r="W8">
        <v>2.2760951220000001</v>
      </c>
      <c r="X8">
        <v>2.433877748</v>
      </c>
      <c r="Y8">
        <v>2.3441560140000002</v>
      </c>
      <c r="Z8">
        <v>2.252205086</v>
      </c>
      <c r="AA8">
        <v>2.1613778510000001</v>
      </c>
      <c r="AB8">
        <v>2.0881366469999998</v>
      </c>
      <c r="AC8">
        <v>2.018623608</v>
      </c>
      <c r="AD8">
        <v>1.891633095</v>
      </c>
      <c r="AE8">
        <v>1.7667506690000001</v>
      </c>
      <c r="AF8">
        <v>1.6442810839999999</v>
      </c>
      <c r="AG8">
        <v>1.5243220660000001</v>
      </c>
      <c r="AH8">
        <v>1.40713629</v>
      </c>
      <c r="AI8">
        <v>1.1430653340000001</v>
      </c>
      <c r="AJ8">
        <v>0.88275363389999995</v>
      </c>
      <c r="AK8">
        <v>0.62686311949999995</v>
      </c>
      <c r="AL8">
        <v>0.38982729900000002</v>
      </c>
      <c r="AM8">
        <v>0.15477498379999999</v>
      </c>
      <c r="AN8">
        <v>0.16453720020000001</v>
      </c>
      <c r="AO8">
        <v>0.17405133170000001</v>
      </c>
      <c r="AP8">
        <v>0.18332855310000001</v>
      </c>
      <c r="AQ8">
        <v>0.1923980304</v>
      </c>
      <c r="AR8">
        <v>0.20117328009999999</v>
      </c>
      <c r="AS8">
        <v>0.20783634109999999</v>
      </c>
      <c r="AT8">
        <v>0.2144848979</v>
      </c>
      <c r="AU8">
        <v>0.22100393669999999</v>
      </c>
      <c r="AV8">
        <v>0.22735195359999999</v>
      </c>
      <c r="AW8">
        <v>0.23353231660000001</v>
      </c>
    </row>
    <row r="9" spans="1:49" x14ac:dyDescent="0.25">
      <c r="B9" t="s">
        <v>109</v>
      </c>
      <c r="C9">
        <v>1.4643633957556199</v>
      </c>
      <c r="D9">
        <v>1.4878742237362399</v>
      </c>
      <c r="E9">
        <v>1.519906486</v>
      </c>
      <c r="F9">
        <v>1.4378354609999999</v>
      </c>
      <c r="G9">
        <v>1.353785405</v>
      </c>
      <c r="H9">
        <v>1.1596392870000001</v>
      </c>
      <c r="I9">
        <v>1.108334588</v>
      </c>
      <c r="J9">
        <v>1.05559296</v>
      </c>
      <c r="K9">
        <v>0.98285347150000002</v>
      </c>
      <c r="L9">
        <v>0.90067388039999996</v>
      </c>
      <c r="M9">
        <v>0.82500466289999996</v>
      </c>
      <c r="N9">
        <v>0.74545444719999998</v>
      </c>
      <c r="O9">
        <v>0.6250426469</v>
      </c>
      <c r="P9">
        <v>0.53071079399999999</v>
      </c>
      <c r="Q9">
        <v>0.43939432750000001</v>
      </c>
      <c r="R9">
        <v>0.32991805019999998</v>
      </c>
      <c r="S9">
        <v>0.21870842560000001</v>
      </c>
      <c r="T9">
        <v>0.210901167</v>
      </c>
      <c r="U9">
        <v>0.20262915249999999</v>
      </c>
      <c r="V9">
        <v>0.19234451420000001</v>
      </c>
      <c r="W9">
        <v>0.12298353419999999</v>
      </c>
      <c r="X9">
        <v>5.5242931100000003E-2</v>
      </c>
      <c r="Y9">
        <v>4.24912806E-2</v>
      </c>
      <c r="Z9">
        <v>2.9962961600000001E-2</v>
      </c>
      <c r="AA9">
        <v>1.77410528E-2</v>
      </c>
      <c r="AB9">
        <v>1.76296448E-2</v>
      </c>
      <c r="AC9">
        <v>1.75440844E-2</v>
      </c>
      <c r="AD9">
        <v>1.44778804E-2</v>
      </c>
      <c r="AE9">
        <v>1.1468548E-2</v>
      </c>
      <c r="AF9">
        <v>8.51766843E-3</v>
      </c>
      <c r="AG9">
        <v>8.3798630399999994E-3</v>
      </c>
      <c r="AH9">
        <v>8.2403170699999907E-3</v>
      </c>
      <c r="AI9">
        <v>8.1714176999999905E-3</v>
      </c>
      <c r="AJ9">
        <v>8.0979728200000003E-3</v>
      </c>
      <c r="AK9">
        <v>8.0230654500000002E-3</v>
      </c>
      <c r="AL9">
        <v>7.9857785800000001E-3</v>
      </c>
      <c r="AM9">
        <v>7.9380902800000007E-3</v>
      </c>
      <c r="AN9">
        <v>7.8732515499999999E-3</v>
      </c>
      <c r="AO9">
        <v>7.8054318100000001E-3</v>
      </c>
      <c r="AP9">
        <v>7.7356310800000003E-3</v>
      </c>
      <c r="AQ9">
        <v>7.66534296E-3</v>
      </c>
      <c r="AR9">
        <v>7.5913812200000003E-3</v>
      </c>
      <c r="AS9">
        <v>7.5426867900000001E-3</v>
      </c>
      <c r="AT9">
        <v>7.4970749000000001E-3</v>
      </c>
      <c r="AU9">
        <v>7.4503395399999998E-3</v>
      </c>
      <c r="AV9">
        <v>7.4012452899999996E-3</v>
      </c>
      <c r="AW9">
        <v>7.35013301E-3</v>
      </c>
    </row>
    <row r="10" spans="1:49" x14ac:dyDescent="0.25">
      <c r="B10" t="s">
        <v>110</v>
      </c>
      <c r="C10">
        <v>0.29584764130791702</v>
      </c>
      <c r="D10" s="39">
        <v>0.300597570883747</v>
      </c>
      <c r="E10" s="39">
        <v>0.30706909919999997</v>
      </c>
      <c r="F10">
        <v>0.65491530330000003</v>
      </c>
      <c r="G10">
        <v>0.99017095740000005</v>
      </c>
      <c r="H10">
        <v>1.1926627409999999</v>
      </c>
      <c r="I10">
        <v>1.4892628409999999</v>
      </c>
      <c r="J10">
        <v>1.7644930649999999</v>
      </c>
      <c r="K10">
        <v>1.9685748679999999</v>
      </c>
      <c r="L10">
        <v>2.0924375749999999</v>
      </c>
      <c r="M10">
        <v>2.1532465639999998</v>
      </c>
      <c r="N10">
        <v>2.1092605500000001</v>
      </c>
      <c r="O10">
        <v>2.2468781280000001</v>
      </c>
      <c r="P10">
        <v>2.4791427330000002</v>
      </c>
      <c r="Q10">
        <v>2.767227798</v>
      </c>
      <c r="R10">
        <v>2.9824093829999998</v>
      </c>
      <c r="S10">
        <v>3.2028114150000002</v>
      </c>
      <c r="T10">
        <v>3.3982865709999999</v>
      </c>
      <c r="U10">
        <v>3.5950604350000002</v>
      </c>
      <c r="V10">
        <v>3.7619748419999999</v>
      </c>
      <c r="W10">
        <v>3.9910438240000001</v>
      </c>
      <c r="X10">
        <v>4.1409585849999999</v>
      </c>
      <c r="Y10">
        <v>4.3816404039999997</v>
      </c>
      <c r="Z10">
        <v>4.6084741469999999</v>
      </c>
      <c r="AA10">
        <v>4.8269082640000001</v>
      </c>
      <c r="AB10">
        <v>5.0632190640000001</v>
      </c>
      <c r="AC10">
        <v>5.3039744339999997</v>
      </c>
      <c r="AD10">
        <v>5.9090571020000002</v>
      </c>
      <c r="AE10">
        <v>6.5012387650000001</v>
      </c>
      <c r="AF10">
        <v>7.0818307069999999</v>
      </c>
      <c r="AG10">
        <v>7.5694632129999997</v>
      </c>
      <c r="AH10">
        <v>8.0355919880000002</v>
      </c>
      <c r="AI10">
        <v>8.5653436840000001</v>
      </c>
      <c r="AJ10">
        <v>9.0799322080000007</v>
      </c>
      <c r="AK10">
        <v>9.582043444</v>
      </c>
      <c r="AL10">
        <v>10.094158200000001</v>
      </c>
      <c r="AM10">
        <v>10.587202189999999</v>
      </c>
      <c r="AN10">
        <v>11.1427573</v>
      </c>
      <c r="AO10">
        <v>11.683275719999999</v>
      </c>
      <c r="AP10">
        <v>12.20960657</v>
      </c>
      <c r="AQ10">
        <v>12.723744460000001</v>
      </c>
      <c r="AR10">
        <v>13.220021490000001</v>
      </c>
      <c r="AS10">
        <v>13.742321410000001</v>
      </c>
      <c r="AT10">
        <v>14.262646950000001</v>
      </c>
      <c r="AU10">
        <v>14.77340229</v>
      </c>
      <c r="AV10">
        <v>15.271766980000001</v>
      </c>
      <c r="AW10">
        <v>15.757902189999999</v>
      </c>
    </row>
    <row r="11" spans="1:49" x14ac:dyDescent="0.25">
      <c r="B11" t="s">
        <v>111</v>
      </c>
      <c r="C11">
        <v>6.65657192942814E-2</v>
      </c>
      <c r="D11" s="39">
        <v>6.7634453448843099E-2</v>
      </c>
      <c r="E11" s="39">
        <v>6.9090547299999999E-2</v>
      </c>
      <c r="F11" s="39">
        <v>9.44315498E-2</v>
      </c>
      <c r="G11" s="39">
        <v>0.1284588166</v>
      </c>
      <c r="H11" s="39">
        <v>0.15898024860000001</v>
      </c>
      <c r="I11">
        <v>0.21953173009999999</v>
      </c>
      <c r="J11">
        <v>0.3020849303</v>
      </c>
      <c r="K11">
        <v>0.40637549699999997</v>
      </c>
      <c r="L11">
        <v>0.53803740349999996</v>
      </c>
      <c r="M11">
        <v>0.71204503929999996</v>
      </c>
      <c r="N11">
        <v>0.92956194089999999</v>
      </c>
      <c r="O11">
        <v>0.99021071370000002</v>
      </c>
      <c r="P11">
        <v>1.0925709159999999</v>
      </c>
      <c r="Q11">
        <v>1.2195314820000001</v>
      </c>
      <c r="R11">
        <v>1.3143631099999999</v>
      </c>
      <c r="S11">
        <v>1.4114954150000001</v>
      </c>
      <c r="T11">
        <v>1.4770588659999999</v>
      </c>
      <c r="U11">
        <v>1.5426561910000001</v>
      </c>
      <c r="V11">
        <v>1.5951199570000001</v>
      </c>
      <c r="W11">
        <v>1.827259923</v>
      </c>
      <c r="X11">
        <v>2.0163995520000002</v>
      </c>
      <c r="Y11">
        <v>2.3615584950000001</v>
      </c>
      <c r="Z11">
        <v>2.6941465330000001</v>
      </c>
      <c r="AA11">
        <v>3.0166683120000002</v>
      </c>
      <c r="AB11">
        <v>3.3422023140000001</v>
      </c>
      <c r="AC11">
        <v>3.6687877759999998</v>
      </c>
      <c r="AD11">
        <v>4.0083687770000003</v>
      </c>
      <c r="AE11">
        <v>4.3405770659999998</v>
      </c>
      <c r="AF11">
        <v>4.6662767230000002</v>
      </c>
      <c r="AG11">
        <v>4.9316339779999998</v>
      </c>
      <c r="AH11">
        <v>5.1846855930000002</v>
      </c>
      <c r="AI11">
        <v>5.3989419029999999</v>
      </c>
      <c r="AJ11">
        <v>5.6057075049999998</v>
      </c>
      <c r="AK11">
        <v>5.8067838539999999</v>
      </c>
      <c r="AL11">
        <v>6.0216362999999999</v>
      </c>
      <c r="AM11">
        <v>6.2260722260000003</v>
      </c>
      <c r="AN11">
        <v>6.4709767749999996</v>
      </c>
      <c r="AO11">
        <v>6.7084479249999998</v>
      </c>
      <c r="AP11">
        <v>6.9390467640000004</v>
      </c>
      <c r="AQ11">
        <v>7.1639459519999997</v>
      </c>
      <c r="AR11">
        <v>7.3799930580000002</v>
      </c>
      <c r="AS11">
        <v>7.5479038420000002</v>
      </c>
      <c r="AT11">
        <v>7.7162080260000003</v>
      </c>
      <c r="AU11">
        <v>7.880720546</v>
      </c>
      <c r="AV11">
        <v>8.0400031779999903</v>
      </c>
      <c r="AW11">
        <v>8.1942339719999904</v>
      </c>
    </row>
    <row r="12" spans="1:49" x14ac:dyDescent="0.25">
      <c r="B12" t="s">
        <v>112</v>
      </c>
      <c r="C12">
        <v>3.32767453113023</v>
      </c>
      <c r="D12" s="39">
        <v>3.3811014220943498</v>
      </c>
      <c r="E12">
        <v>3.4538927410000002</v>
      </c>
      <c r="F12" s="39">
        <v>3.4233685569999999</v>
      </c>
      <c r="G12" s="39">
        <v>3.377122263</v>
      </c>
      <c r="H12" s="39">
        <v>3.030905288</v>
      </c>
      <c r="I12">
        <v>3.0350987119999999</v>
      </c>
      <c r="J12">
        <v>3.0286626929999998</v>
      </c>
      <c r="K12">
        <v>2.9545795500000001</v>
      </c>
      <c r="L12">
        <v>2.8367885730000002</v>
      </c>
      <c r="M12" s="39">
        <v>2.7225025340000002</v>
      </c>
      <c r="N12">
        <v>2.5774217450000001</v>
      </c>
      <c r="O12">
        <v>2.745584252</v>
      </c>
      <c r="P12">
        <v>3.0294011759999999</v>
      </c>
      <c r="Q12">
        <v>3.3814281990000001</v>
      </c>
      <c r="R12">
        <v>3.6443704399999999</v>
      </c>
      <c r="S12">
        <v>3.9136918340000002</v>
      </c>
      <c r="T12">
        <v>4.1330012839999997</v>
      </c>
      <c r="U12">
        <v>4.3533861969999998</v>
      </c>
      <c r="V12">
        <v>4.5373085660000001</v>
      </c>
      <c r="W12">
        <v>4.5139008690000004</v>
      </c>
      <c r="X12">
        <v>4.4159751600000003</v>
      </c>
      <c r="Y12">
        <v>4.3732481180000002</v>
      </c>
      <c r="Z12">
        <v>4.3234071439999999</v>
      </c>
      <c r="AA12">
        <v>4.2724574740000003</v>
      </c>
      <c r="AB12">
        <v>4.248048206</v>
      </c>
      <c r="AC12">
        <v>4.2298401590000001</v>
      </c>
      <c r="AD12">
        <v>4.234993545</v>
      </c>
      <c r="AE12">
        <v>4.2392360279999997</v>
      </c>
      <c r="AF12">
        <v>4.2433537110000001</v>
      </c>
      <c r="AG12">
        <v>4.1972691260000001</v>
      </c>
      <c r="AH12">
        <v>4.1495658019999997</v>
      </c>
      <c r="AI12">
        <v>4.0842793469999998</v>
      </c>
      <c r="AJ12">
        <v>4.0172538270000002</v>
      </c>
      <c r="AK12">
        <v>3.9500581640000001</v>
      </c>
      <c r="AL12">
        <v>3.9074794349999999</v>
      </c>
      <c r="AM12">
        <v>3.8600689629999998</v>
      </c>
      <c r="AN12">
        <v>3.849346352</v>
      </c>
      <c r="AO12">
        <v>3.836815708</v>
      </c>
      <c r="AP12">
        <v>3.8229476010000001</v>
      </c>
      <c r="AQ12">
        <v>3.808468414</v>
      </c>
      <c r="AR12">
        <v>3.7917828089999999</v>
      </c>
      <c r="AS12">
        <v>3.7585678329999999</v>
      </c>
      <c r="AT12">
        <v>3.7270000900000002</v>
      </c>
      <c r="AU12">
        <v>3.6949827179999999</v>
      </c>
      <c r="AV12">
        <v>3.6619084430000002</v>
      </c>
      <c r="AW12">
        <v>3.627953851</v>
      </c>
    </row>
    <row r="13" spans="1:49" x14ac:dyDescent="0.25">
      <c r="B13" t="s">
        <v>113</v>
      </c>
      <c r="C13">
        <v>0.21556468620722</v>
      </c>
      <c r="D13" s="39">
        <v>0.21902564697065</v>
      </c>
      <c r="E13" s="39">
        <v>0.22374102330000001</v>
      </c>
      <c r="F13" s="39">
        <v>0.25765678019999999</v>
      </c>
      <c r="G13" s="39">
        <v>0.29531523079999999</v>
      </c>
      <c r="H13" s="39">
        <v>0.30793749469999998</v>
      </c>
      <c r="I13" s="39">
        <v>0.35827307539999997</v>
      </c>
      <c r="J13" s="39">
        <v>0.4153779165</v>
      </c>
      <c r="K13" s="39">
        <v>0.4708031151</v>
      </c>
      <c r="L13" s="39">
        <v>0.52519641559999997</v>
      </c>
      <c r="M13">
        <v>0.58561773640000003</v>
      </c>
      <c r="N13">
        <v>0.64414340059999997</v>
      </c>
      <c r="O13">
        <v>0.59122854290000004</v>
      </c>
      <c r="P13">
        <v>0.56307850589999997</v>
      </c>
      <c r="Q13">
        <v>0.5425891545</v>
      </c>
      <c r="R13">
        <v>0.5041074888</v>
      </c>
      <c r="S13">
        <v>0.46521039720000001</v>
      </c>
      <c r="T13">
        <v>0.4940228733</v>
      </c>
      <c r="U13">
        <v>0.52303496419999995</v>
      </c>
      <c r="V13">
        <v>0.54770942700000003</v>
      </c>
      <c r="W13">
        <v>0.64294206080000005</v>
      </c>
      <c r="X13">
        <v>0.72232466520000005</v>
      </c>
      <c r="Y13">
        <v>0.69927053630000002</v>
      </c>
      <c r="Z13">
        <v>0.67546347539999996</v>
      </c>
      <c r="AA13">
        <v>0.65189622410000003</v>
      </c>
      <c r="AB13">
        <v>0.63261015480000005</v>
      </c>
      <c r="AC13">
        <v>0.61442132279999995</v>
      </c>
      <c r="AD13">
        <v>0.63601020060000002</v>
      </c>
      <c r="AE13">
        <v>0.65705739299999999</v>
      </c>
      <c r="AF13">
        <v>0.6776884219</v>
      </c>
      <c r="AG13">
        <v>0.69180872500000001</v>
      </c>
      <c r="AH13">
        <v>0.70495510370000003</v>
      </c>
      <c r="AI13">
        <v>0.73662402810000005</v>
      </c>
      <c r="AJ13">
        <v>0.76722884930000002</v>
      </c>
      <c r="AK13">
        <v>0.79701314710000004</v>
      </c>
      <c r="AL13">
        <v>0.82880271029999997</v>
      </c>
      <c r="AM13">
        <v>0.85913508059999999</v>
      </c>
      <c r="AN13">
        <v>0.86007299179999996</v>
      </c>
      <c r="AO13">
        <v>0.86055121599999995</v>
      </c>
      <c r="AP13">
        <v>0.86067197890000002</v>
      </c>
      <c r="AQ13">
        <v>0.8605969644</v>
      </c>
      <c r="AR13">
        <v>0.85996375430000005</v>
      </c>
      <c r="AS13">
        <v>0.86212613319999998</v>
      </c>
      <c r="AT13">
        <v>0.86454483930000003</v>
      </c>
      <c r="AU13">
        <v>0.8667399791</v>
      </c>
      <c r="AV13">
        <v>0.86856314010000002</v>
      </c>
      <c r="AW13">
        <v>0.87004746619999995</v>
      </c>
    </row>
    <row r="14" spans="1:49" x14ac:dyDescent="0.25">
      <c r="B14" t="s">
        <v>114</v>
      </c>
      <c r="C14">
        <v>35.839918454870201</v>
      </c>
      <c r="D14" s="39">
        <v>36.415339938413297</v>
      </c>
      <c r="E14">
        <v>37.199321339999997</v>
      </c>
      <c r="F14">
        <v>38.340261509999998</v>
      </c>
      <c r="G14">
        <v>39.329954180000001</v>
      </c>
      <c r="H14">
        <v>36.70491861</v>
      </c>
      <c r="I14">
        <v>38.220816790000001</v>
      </c>
      <c r="J14">
        <v>39.660053400000002</v>
      </c>
      <c r="K14">
        <v>40.232157020000002</v>
      </c>
      <c r="L14">
        <v>40.167966130000003</v>
      </c>
      <c r="M14">
        <v>40.086340319999998</v>
      </c>
      <c r="N14">
        <v>39.462886480000002</v>
      </c>
      <c r="O14">
        <v>38.007356280000003</v>
      </c>
      <c r="P14">
        <v>38.146898440000001</v>
      </c>
      <c r="Q14">
        <v>38.932360359999997</v>
      </c>
      <c r="R14">
        <v>38.535172850000002</v>
      </c>
      <c r="S14">
        <v>38.150345360000003</v>
      </c>
      <c r="T14">
        <v>38.555938339999997</v>
      </c>
      <c r="U14">
        <v>38.926699149999997</v>
      </c>
      <c r="V14">
        <v>38.944185320000003</v>
      </c>
      <c r="W14">
        <v>40.511551220000001</v>
      </c>
      <c r="X14">
        <v>41.315709640000001</v>
      </c>
      <c r="Y14">
        <v>41.387560880000002</v>
      </c>
      <c r="Z14">
        <v>41.380798089999999</v>
      </c>
      <c r="AA14">
        <v>41.351299009999998</v>
      </c>
      <c r="AB14">
        <v>41.599244570000003</v>
      </c>
      <c r="AC14">
        <v>41.902509340000002</v>
      </c>
      <c r="AD14">
        <v>41.990330100000001</v>
      </c>
      <c r="AE14">
        <v>42.068404819999998</v>
      </c>
      <c r="AF14">
        <v>42.144540939999999</v>
      </c>
      <c r="AG14">
        <v>41.938842559999998</v>
      </c>
      <c r="AH14">
        <v>41.708673869999998</v>
      </c>
      <c r="AI14">
        <v>41.873331540000002</v>
      </c>
      <c r="AJ14">
        <v>42.005753220000003</v>
      </c>
      <c r="AK14">
        <v>42.121267930000002</v>
      </c>
      <c r="AL14">
        <v>42.423406579999998</v>
      </c>
      <c r="AM14">
        <v>42.664990930000002</v>
      </c>
      <c r="AN14">
        <v>42.67766658</v>
      </c>
      <c r="AO14">
        <v>42.668098049999998</v>
      </c>
      <c r="AP14">
        <v>42.641387479999999</v>
      </c>
      <c r="AQ14">
        <v>42.605564039999997</v>
      </c>
      <c r="AR14">
        <v>42.542704780000001</v>
      </c>
      <c r="AS14">
        <v>42.48089246</v>
      </c>
      <c r="AT14">
        <v>42.43380209</v>
      </c>
      <c r="AU14">
        <v>42.377768590000002</v>
      </c>
      <c r="AV14">
        <v>42.305635950000003</v>
      </c>
      <c r="AW14">
        <v>42.219164030000002</v>
      </c>
    </row>
    <row r="15" spans="1:49" x14ac:dyDescent="0.25">
      <c r="B15" t="s">
        <v>115</v>
      </c>
      <c r="C15">
        <v>36.006525643363197</v>
      </c>
      <c r="D15" s="39">
        <v>36.584622059208101</v>
      </c>
      <c r="E15" s="39">
        <v>37.372055510000003</v>
      </c>
      <c r="F15" s="39">
        <v>38.574213890000003</v>
      </c>
      <c r="G15" s="39">
        <v>38.464733430000003</v>
      </c>
      <c r="H15" s="39">
        <v>37.75117367</v>
      </c>
      <c r="I15" s="39">
        <v>39.528211249999998</v>
      </c>
      <c r="J15" s="39">
        <v>40.38777631</v>
      </c>
      <c r="K15" s="39">
        <v>39.780428229999998</v>
      </c>
      <c r="L15" s="39">
        <v>39.962806069999999</v>
      </c>
      <c r="M15">
        <v>41.150582</v>
      </c>
      <c r="N15">
        <v>43.15074852</v>
      </c>
      <c r="O15">
        <v>44.473458000000001</v>
      </c>
      <c r="P15" s="39">
        <v>44.802552540000001</v>
      </c>
      <c r="Q15">
        <v>43.039959170000003</v>
      </c>
      <c r="R15">
        <v>41.930906919999998</v>
      </c>
      <c r="S15">
        <v>41.296630380000003</v>
      </c>
      <c r="T15">
        <v>41.147333410000002</v>
      </c>
      <c r="U15">
        <v>41.026941720000003</v>
      </c>
      <c r="V15">
        <v>41.655988809999997</v>
      </c>
      <c r="W15">
        <v>41.068486540000002</v>
      </c>
      <c r="X15">
        <v>40.355230830000004</v>
      </c>
      <c r="Y15">
        <v>39.730585130000001</v>
      </c>
      <c r="Z15">
        <v>39.280709969999997</v>
      </c>
      <c r="AA15">
        <v>38.80563806</v>
      </c>
      <c r="AB15">
        <v>37.752693149999999</v>
      </c>
      <c r="AC15">
        <v>36.69288864</v>
      </c>
      <c r="AD15">
        <v>36.34648026</v>
      </c>
      <c r="AE15">
        <v>36.040391159999999</v>
      </c>
      <c r="AF15">
        <v>35.787342840000001</v>
      </c>
      <c r="AG15">
        <v>35.43838873</v>
      </c>
      <c r="AH15">
        <v>35.10772051</v>
      </c>
      <c r="AI15">
        <v>34.916220359999997</v>
      </c>
      <c r="AJ15">
        <v>34.777145879999999</v>
      </c>
      <c r="AK15">
        <v>34.657118650000001</v>
      </c>
      <c r="AL15">
        <v>34.00575551</v>
      </c>
      <c r="AM15">
        <v>33.371681840000001</v>
      </c>
      <c r="AN15">
        <v>33.366691580000001</v>
      </c>
      <c r="AO15">
        <v>33.376220959999998</v>
      </c>
      <c r="AP15">
        <v>33.41903069</v>
      </c>
      <c r="AQ15">
        <v>33.514920089999997</v>
      </c>
      <c r="AR15">
        <v>33.650450059999997</v>
      </c>
      <c r="AS15">
        <v>33.215307989999999</v>
      </c>
      <c r="AT15">
        <v>32.788386930000001</v>
      </c>
      <c r="AU15">
        <v>32.370818120000003</v>
      </c>
      <c r="AV15">
        <v>31.957454760000001</v>
      </c>
      <c r="AW15">
        <v>31.559361030000002</v>
      </c>
    </row>
    <row r="16" spans="1:49" x14ac:dyDescent="0.25">
      <c r="B16" t="s">
        <v>116</v>
      </c>
      <c r="C16">
        <v>33.108335480742298</v>
      </c>
      <c r="D16">
        <v>33.639900516080203</v>
      </c>
      <c r="E16">
        <v>34.363952900000001</v>
      </c>
      <c r="F16">
        <v>34.4062549</v>
      </c>
      <c r="G16">
        <v>33.280300070000003</v>
      </c>
      <c r="H16">
        <v>31.68393786</v>
      </c>
      <c r="I16">
        <v>32.181037750000002</v>
      </c>
      <c r="J16">
        <v>31.895323650000002</v>
      </c>
      <c r="K16">
        <v>30.47408772</v>
      </c>
      <c r="L16">
        <v>29.696237190000002</v>
      </c>
      <c r="M16">
        <v>29.662354300000001</v>
      </c>
      <c r="N16">
        <v>30.171865149999999</v>
      </c>
      <c r="O16">
        <v>30.9646358</v>
      </c>
      <c r="P16">
        <v>31.060936219999999</v>
      </c>
      <c r="Q16">
        <v>29.71158097</v>
      </c>
      <c r="R16">
        <v>28.822103909999999</v>
      </c>
      <c r="S16">
        <v>28.264343660000002</v>
      </c>
      <c r="T16">
        <v>27.02340615</v>
      </c>
      <c r="U16">
        <v>25.781749520000002</v>
      </c>
      <c r="V16">
        <v>24.721190159999999</v>
      </c>
      <c r="W16">
        <v>24.270557660000001</v>
      </c>
      <c r="X16">
        <v>23.427722249999999</v>
      </c>
      <c r="Y16">
        <v>22.132374710000001</v>
      </c>
      <c r="Z16">
        <v>20.970821910000002</v>
      </c>
      <c r="AA16">
        <v>19.824932839999999</v>
      </c>
      <c r="AB16">
        <v>18.458066899999999</v>
      </c>
      <c r="AC16">
        <v>17.136846460000001</v>
      </c>
      <c r="AD16">
        <v>15.280918890000001</v>
      </c>
      <c r="AE16">
        <v>13.505539219999999</v>
      </c>
      <c r="AF16">
        <v>11.808552779999999</v>
      </c>
      <c r="AG16">
        <v>10.834045720000001</v>
      </c>
      <c r="AH16">
        <v>9.897821832</v>
      </c>
      <c r="AI16">
        <v>8.9885164599999996</v>
      </c>
      <c r="AJ16">
        <v>8.1196950569999995</v>
      </c>
      <c r="AK16">
        <v>7.2786781080000003</v>
      </c>
      <c r="AL16">
        <v>8.3971900329999904</v>
      </c>
      <c r="AM16">
        <v>9.439362891</v>
      </c>
      <c r="AN16">
        <v>8.1190560380000001</v>
      </c>
      <c r="AO16">
        <v>6.8257405259999997</v>
      </c>
      <c r="AP16">
        <v>5.5604449750000002</v>
      </c>
      <c r="AQ16">
        <v>4.3211552290000004</v>
      </c>
      <c r="AR16">
        <v>3.0987866789999998</v>
      </c>
      <c r="AS16">
        <v>3.5848213260000001</v>
      </c>
      <c r="AT16">
        <v>4.0479061270000001</v>
      </c>
      <c r="AU16">
        <v>4.4890962959999996</v>
      </c>
      <c r="AV16">
        <v>4.9083261130000002</v>
      </c>
      <c r="AW16">
        <v>5.308521034</v>
      </c>
    </row>
    <row r="17" spans="2:49" x14ac:dyDescent="0.25">
      <c r="B17" t="s">
        <v>117</v>
      </c>
      <c r="C17">
        <v>1.54983431156195</v>
      </c>
      <c r="D17">
        <v>1.57471740274219</v>
      </c>
      <c r="E17">
        <v>1.608611019</v>
      </c>
      <c r="F17" s="39">
        <v>2.6455200080000001</v>
      </c>
      <c r="G17" s="39">
        <v>3.5548443289999998</v>
      </c>
      <c r="H17" s="39">
        <v>4.316672069</v>
      </c>
      <c r="I17">
        <v>5.3004875499999997</v>
      </c>
      <c r="J17">
        <v>6.1110816320000003</v>
      </c>
      <c r="K17">
        <v>6.585056593</v>
      </c>
      <c r="L17">
        <v>7.0403932869999997</v>
      </c>
      <c r="M17">
        <v>7.5082597849999999</v>
      </c>
      <c r="N17">
        <v>7.913858877</v>
      </c>
      <c r="O17">
        <v>8.2509017199999999</v>
      </c>
      <c r="P17">
        <v>8.4069415410000001</v>
      </c>
      <c r="Q17">
        <v>8.1672845120000002</v>
      </c>
      <c r="R17">
        <v>8.0454068119999995</v>
      </c>
      <c r="S17">
        <v>8.0107860520000003</v>
      </c>
      <c r="T17">
        <v>8.194134343</v>
      </c>
      <c r="U17">
        <v>8.3869122090000001</v>
      </c>
      <c r="V17">
        <v>8.9504428859999994</v>
      </c>
      <c r="W17">
        <v>8.5064116080000005</v>
      </c>
      <c r="X17">
        <v>8.317653859</v>
      </c>
      <c r="Y17">
        <v>8.2342934400000001</v>
      </c>
      <c r="Z17">
        <v>8.1854243990000004</v>
      </c>
      <c r="AA17">
        <v>8.1329748380000009</v>
      </c>
      <c r="AB17">
        <v>7.9868415659999998</v>
      </c>
      <c r="AC17">
        <v>7.8434935729999999</v>
      </c>
      <c r="AD17">
        <v>8.3399305469999998</v>
      </c>
      <c r="AE17">
        <v>8.8248267679999994</v>
      </c>
      <c r="AF17">
        <v>9.3027860570000005</v>
      </c>
      <c r="AG17">
        <v>9.3241688729999996</v>
      </c>
      <c r="AH17">
        <v>9.3475523260000006</v>
      </c>
      <c r="AI17">
        <v>9.4123707190000001</v>
      </c>
      <c r="AJ17">
        <v>9.4856999119999994</v>
      </c>
      <c r="AK17">
        <v>9.5606765950000003</v>
      </c>
      <c r="AL17">
        <v>8.2337822260000006</v>
      </c>
      <c r="AM17">
        <v>6.9875657469999997</v>
      </c>
      <c r="AN17">
        <v>7.6056622300000001</v>
      </c>
      <c r="AO17">
        <v>8.2145418439999904</v>
      </c>
      <c r="AP17">
        <v>8.818717457</v>
      </c>
      <c r="AQ17">
        <v>9.4241496310000006</v>
      </c>
      <c r="AR17">
        <v>10.03111539</v>
      </c>
      <c r="AS17">
        <v>9.3177598540000002</v>
      </c>
      <c r="AT17">
        <v>8.6347130429999996</v>
      </c>
      <c r="AU17">
        <v>7.9810146399999997</v>
      </c>
      <c r="AV17">
        <v>7.354933323</v>
      </c>
      <c r="AW17">
        <v>6.7566959359999998</v>
      </c>
    </row>
    <row r="18" spans="2:49" x14ac:dyDescent="0.25">
      <c r="B18" t="s">
        <v>118</v>
      </c>
      <c r="C18">
        <v>0.19372928894524399</v>
      </c>
      <c r="D18">
        <v>0.196839675342774</v>
      </c>
      <c r="E18">
        <v>0.20107637740000001</v>
      </c>
      <c r="F18">
        <v>0.19520890190000001</v>
      </c>
      <c r="G18">
        <v>0.18308540619999999</v>
      </c>
      <c r="H18">
        <v>0.1690090366</v>
      </c>
      <c r="I18">
        <v>0.16644666450000001</v>
      </c>
      <c r="J18">
        <v>0.1599581394</v>
      </c>
      <c r="K18">
        <v>0.14818843879999999</v>
      </c>
      <c r="L18">
        <v>0.14001975420000001</v>
      </c>
      <c r="M18">
        <v>0.1356118949</v>
      </c>
      <c r="N18">
        <v>0.13375148210000001</v>
      </c>
      <c r="O18">
        <v>0.2070252148</v>
      </c>
      <c r="P18">
        <v>0.2781171039</v>
      </c>
      <c r="Q18">
        <v>0.33387848790000002</v>
      </c>
      <c r="R18">
        <v>0.39014215829999999</v>
      </c>
      <c r="S18">
        <v>0.44801143830000001</v>
      </c>
      <c r="T18">
        <v>0.6952335181</v>
      </c>
      <c r="U18">
        <v>0.94724941159999998</v>
      </c>
      <c r="V18">
        <v>1.2378676179999999</v>
      </c>
      <c r="W18">
        <v>1.3226306350000001</v>
      </c>
      <c r="X18">
        <v>1.4089508630000001</v>
      </c>
      <c r="Y18">
        <v>1.8157551569999999</v>
      </c>
      <c r="Z18">
        <v>2.2137814680000001</v>
      </c>
      <c r="AA18">
        <v>2.5954569200000002</v>
      </c>
      <c r="AB18">
        <v>2.8602228360000002</v>
      </c>
      <c r="AC18">
        <v>3.1006403699999998</v>
      </c>
      <c r="AD18">
        <v>3.6516426690000001</v>
      </c>
      <c r="AE18">
        <v>4.1845789160000004</v>
      </c>
      <c r="AF18">
        <v>4.7037479769999999</v>
      </c>
      <c r="AG18">
        <v>5.0833765389999996</v>
      </c>
      <c r="AH18">
        <v>5.4486137799999996</v>
      </c>
      <c r="AI18">
        <v>5.9197234249999999</v>
      </c>
      <c r="AJ18">
        <v>6.3851629799999996</v>
      </c>
      <c r="AK18">
        <v>6.8406664629999998</v>
      </c>
      <c r="AL18">
        <v>6.939482194</v>
      </c>
      <c r="AM18">
        <v>7.0260872479999996</v>
      </c>
      <c r="AN18">
        <v>7.3938480459999996</v>
      </c>
      <c r="AO18">
        <v>7.7591969909999996</v>
      </c>
      <c r="AP18">
        <v>8.1281550249999999</v>
      </c>
      <c r="AQ18">
        <v>8.5081012919999903</v>
      </c>
      <c r="AR18">
        <v>8.8973083979999998</v>
      </c>
      <c r="AS18" s="39">
        <v>9.0634805580000002</v>
      </c>
      <c r="AT18">
        <v>9.2183861339999904</v>
      </c>
      <c r="AU18">
        <v>9.3629520779999904</v>
      </c>
      <c r="AV18">
        <v>9.4959097329999995</v>
      </c>
      <c r="AW18">
        <v>9.6216748360000004</v>
      </c>
    </row>
    <row r="19" spans="2:49" x14ac:dyDescent="0.25">
      <c r="B19" t="s">
        <v>119</v>
      </c>
      <c r="C19">
        <v>0.57343869527792402</v>
      </c>
      <c r="D19" s="39">
        <v>0.58264543901461296</v>
      </c>
      <c r="E19" s="39">
        <v>0.59518607720000005</v>
      </c>
      <c r="F19">
        <v>0.58959396880000003</v>
      </c>
      <c r="G19">
        <v>0.56424646229999997</v>
      </c>
      <c r="H19">
        <v>0.53147977909999999</v>
      </c>
      <c r="I19">
        <v>0.53408898260000004</v>
      </c>
      <c r="J19">
        <v>0.52372893610000004</v>
      </c>
      <c r="K19">
        <v>0.49508099020000002</v>
      </c>
      <c r="L19">
        <v>0.47732363830000002</v>
      </c>
      <c r="M19">
        <v>0.4717187276</v>
      </c>
      <c r="N19">
        <v>0.47472886609999998</v>
      </c>
      <c r="O19">
        <v>0.7171828374</v>
      </c>
      <c r="P19">
        <v>0.95166398750000003</v>
      </c>
      <c r="Q19">
        <v>1.13398544</v>
      </c>
      <c r="R19">
        <v>1.3184777089999999</v>
      </c>
      <c r="S19">
        <v>1.5086347</v>
      </c>
      <c r="T19">
        <v>1.566156125</v>
      </c>
      <c r="U19">
        <v>1.6258673400000001</v>
      </c>
      <c r="V19">
        <v>1.723550543</v>
      </c>
      <c r="W19">
        <v>1.449717578</v>
      </c>
      <c r="X19">
        <v>1.2359508100000001</v>
      </c>
      <c r="Y19">
        <v>1.254188912</v>
      </c>
      <c r="Z19">
        <v>1.2764843720000001</v>
      </c>
      <c r="AA19">
        <v>1.296805108</v>
      </c>
      <c r="AB19">
        <v>1.286186338</v>
      </c>
      <c r="AC19">
        <v>1.2740120079999999</v>
      </c>
      <c r="AD19">
        <v>1.311500785</v>
      </c>
      <c r="AE19">
        <v>1.348598476</v>
      </c>
      <c r="AF19">
        <v>1.3859660380000001</v>
      </c>
      <c r="AG19">
        <v>1.37094648</v>
      </c>
      <c r="AH19">
        <v>1.3567524369999999</v>
      </c>
      <c r="AI19">
        <v>1.362336797</v>
      </c>
      <c r="AJ19">
        <v>1.369496992</v>
      </c>
      <c r="AK19">
        <v>1.3770409130000001</v>
      </c>
      <c r="AL19">
        <v>1.228283748</v>
      </c>
      <c r="AM19">
        <v>1.0879880019999999</v>
      </c>
      <c r="AN19">
        <v>1.1429459049999999</v>
      </c>
      <c r="AO19">
        <v>1.197376029</v>
      </c>
      <c r="AP19">
        <v>1.252026737</v>
      </c>
      <c r="AQ19">
        <v>1.3078097639999999</v>
      </c>
      <c r="AR19">
        <v>1.3645258199999999</v>
      </c>
      <c r="AS19">
        <v>1.2806896940000001</v>
      </c>
      <c r="AT19">
        <v>1.2001862700000001</v>
      </c>
      <c r="AU19">
        <v>1.122939168</v>
      </c>
      <c r="AV19">
        <v>1.0486910650000001</v>
      </c>
      <c r="AW19">
        <v>0.97764049669999997</v>
      </c>
    </row>
    <row r="20" spans="2:49" x14ac:dyDescent="0.25">
      <c r="B20" t="s">
        <v>120</v>
      </c>
      <c r="C20">
        <v>0.19372928894524399</v>
      </c>
      <c r="D20" s="39">
        <v>0.196839675342774</v>
      </c>
      <c r="E20">
        <v>0.20107637740000001</v>
      </c>
      <c r="F20" s="39">
        <v>0.20706507900000001</v>
      </c>
      <c r="G20">
        <v>0.2060004724</v>
      </c>
      <c r="H20" s="39">
        <v>0.20171196420000001</v>
      </c>
      <c r="I20" s="39">
        <v>0.21071918270000001</v>
      </c>
      <c r="J20" s="39">
        <v>0.214804099</v>
      </c>
      <c r="K20" s="39">
        <v>0.21108520140000001</v>
      </c>
      <c r="L20" s="39">
        <v>0.2115631476</v>
      </c>
      <c r="M20">
        <v>0.2173480445</v>
      </c>
      <c r="N20">
        <v>0.2273860409</v>
      </c>
      <c r="O20">
        <v>0.27200973449999999</v>
      </c>
      <c r="P20">
        <v>0.31188631100000003</v>
      </c>
      <c r="Q20">
        <v>0.33592485</v>
      </c>
      <c r="R20">
        <v>0.36257800740000001</v>
      </c>
      <c r="S20">
        <v>0.39180595969999998</v>
      </c>
      <c r="T20">
        <v>0.46455778450000002</v>
      </c>
      <c r="U20">
        <v>0.53891920209999999</v>
      </c>
      <c r="V20">
        <v>0.64729335389999998</v>
      </c>
      <c r="W20">
        <v>0.60855085870000003</v>
      </c>
      <c r="X20">
        <v>0.60101518659999997</v>
      </c>
      <c r="Y20">
        <v>0.63814542110000005</v>
      </c>
      <c r="Z20">
        <v>0.67627090020000002</v>
      </c>
      <c r="AA20">
        <v>0.71266047970000002</v>
      </c>
      <c r="AB20">
        <v>0.74076787899999996</v>
      </c>
      <c r="AC20">
        <v>0.76629647609999996</v>
      </c>
      <c r="AD20">
        <v>0.8914599553</v>
      </c>
      <c r="AE20">
        <v>1.012659309</v>
      </c>
      <c r="AF20">
        <v>1.1307698509999999</v>
      </c>
      <c r="AG20">
        <v>1.1907080379999999</v>
      </c>
      <c r="AH20">
        <v>1.248589132</v>
      </c>
      <c r="AI20">
        <v>1.2745406459999999</v>
      </c>
      <c r="AJ20">
        <v>1.3012744949999999</v>
      </c>
      <c r="AK20">
        <v>1.32780725</v>
      </c>
      <c r="AL20">
        <v>1.1714144040000001</v>
      </c>
      <c r="AM20">
        <v>1.0241316499999999</v>
      </c>
      <c r="AN20">
        <v>1.1172463859999999</v>
      </c>
      <c r="AO20">
        <v>1.209123167</v>
      </c>
      <c r="AP20">
        <v>1.3005789249999999</v>
      </c>
      <c r="AQ20">
        <v>1.3926839360000001</v>
      </c>
      <c r="AR20">
        <v>1.4854257019999999</v>
      </c>
      <c r="AS20">
        <v>1.4015168440000001</v>
      </c>
      <c r="AT20">
        <v>1.3209423689999999</v>
      </c>
      <c r="AU20">
        <v>1.2436265399999999</v>
      </c>
      <c r="AV20">
        <v>1.169301151</v>
      </c>
      <c r="AW20">
        <v>1.0981857690000001</v>
      </c>
    </row>
    <row r="21" spans="2:49" x14ac:dyDescent="0.25">
      <c r="B21" t="s">
        <v>121</v>
      </c>
      <c r="C21">
        <v>0.38745857789048899</v>
      </c>
      <c r="D21" s="39">
        <v>0.39367935068554899</v>
      </c>
      <c r="E21" s="39">
        <v>0.40215275490000002</v>
      </c>
      <c r="F21" s="39">
        <v>0.53057103689999996</v>
      </c>
      <c r="G21" s="39">
        <v>0.67625668800000005</v>
      </c>
      <c r="H21">
        <v>0.8483629547</v>
      </c>
      <c r="I21">
        <v>1.135431115</v>
      </c>
      <c r="J21">
        <v>1.4828798480000001</v>
      </c>
      <c r="K21" s="39">
        <v>1.8669292790000001</v>
      </c>
      <c r="L21" s="39">
        <v>2.3972690590000001</v>
      </c>
      <c r="M21">
        <v>3.1552892520000002</v>
      </c>
      <c r="N21">
        <v>4.2291581069999999</v>
      </c>
      <c r="O21">
        <v>4.0617026999999997</v>
      </c>
      <c r="P21">
        <v>3.793007383</v>
      </c>
      <c r="Q21">
        <v>3.3573049099999999</v>
      </c>
      <c r="R21">
        <v>2.9921983230000002</v>
      </c>
      <c r="S21">
        <v>2.6730485650000002</v>
      </c>
      <c r="T21">
        <v>3.203845491</v>
      </c>
      <c r="U21">
        <v>3.7462440340000001</v>
      </c>
      <c r="V21">
        <v>4.3756442560000002</v>
      </c>
      <c r="W21">
        <v>4.9106181979999999</v>
      </c>
      <c r="X21">
        <v>5.3639378559999997</v>
      </c>
      <c r="Y21">
        <v>5.6558274930000003</v>
      </c>
      <c r="Z21">
        <v>5.9579269210000003</v>
      </c>
      <c r="AA21">
        <v>6.2428078820000001</v>
      </c>
      <c r="AB21">
        <v>6.420607628</v>
      </c>
      <c r="AC21">
        <v>6.5715997550000003</v>
      </c>
      <c r="AD21">
        <v>6.8710274150000004</v>
      </c>
      <c r="AE21">
        <v>7.1641884740000004</v>
      </c>
      <c r="AF21">
        <v>7.4555201359999996</v>
      </c>
      <c r="AG21">
        <v>7.6351430750000002</v>
      </c>
      <c r="AH21">
        <v>7.8083910049999998</v>
      </c>
      <c r="AI21">
        <v>7.9587323149999998</v>
      </c>
      <c r="AJ21">
        <v>8.1158164450000001</v>
      </c>
      <c r="AK21">
        <v>8.2722493180000001</v>
      </c>
      <c r="AL21">
        <v>8.0356029000000007</v>
      </c>
      <c r="AM21">
        <v>7.8065463060000004</v>
      </c>
      <c r="AN21">
        <v>7.9879329720000003</v>
      </c>
      <c r="AO21">
        <v>8.1702423989999904</v>
      </c>
      <c r="AP21">
        <v>8.3591075739999905</v>
      </c>
      <c r="AQ21">
        <v>8.5610202359999903</v>
      </c>
      <c r="AR21">
        <v>8.7732880679999994</v>
      </c>
      <c r="AS21">
        <v>8.5670397149999999</v>
      </c>
      <c r="AT21">
        <v>8.3662529909999996</v>
      </c>
      <c r="AU21">
        <v>8.1711894019999995</v>
      </c>
      <c r="AV21">
        <v>7.9802933720000002</v>
      </c>
      <c r="AW21">
        <v>7.796642962</v>
      </c>
    </row>
    <row r="22" spans="2:49" x14ac:dyDescent="0.25">
      <c r="B22" t="s">
        <v>122</v>
      </c>
      <c r="C22">
        <v>5.5705789795526002</v>
      </c>
      <c r="D22" s="39">
        <v>5.6600164269241402</v>
      </c>
      <c r="E22">
        <v>5.7508898210000003</v>
      </c>
      <c r="F22">
        <v>5.8034722270000003</v>
      </c>
      <c r="G22">
        <v>4.8438677510000003</v>
      </c>
      <c r="H22">
        <v>4.2427113519999997</v>
      </c>
      <c r="I22">
        <v>4.1148371170000004</v>
      </c>
      <c r="J22">
        <v>3.9370874159999998</v>
      </c>
      <c r="K22">
        <v>3.8068544389999999</v>
      </c>
      <c r="L22">
        <v>4.054717031</v>
      </c>
      <c r="M22">
        <v>4.1576991300000001</v>
      </c>
      <c r="N22">
        <v>4.2281147880000001</v>
      </c>
      <c r="O22">
        <v>3.3216754709999998</v>
      </c>
      <c r="P22">
        <v>2.8043171739999999</v>
      </c>
      <c r="Q22">
        <v>2.474274055</v>
      </c>
      <c r="R22">
        <v>2.2606160329999998</v>
      </c>
      <c r="S22">
        <v>2.0763035849999998</v>
      </c>
      <c r="T22">
        <v>2.062396621</v>
      </c>
      <c r="U22">
        <v>2.0278059179999999</v>
      </c>
      <c r="V22">
        <v>1.727388994</v>
      </c>
      <c r="W22">
        <v>1.3447071610000001</v>
      </c>
      <c r="X22">
        <v>0.9865863829</v>
      </c>
      <c r="Y22">
        <v>0.73849129869999997</v>
      </c>
      <c r="Z22">
        <v>0.572250021</v>
      </c>
      <c r="AA22">
        <v>0.45591781640000001</v>
      </c>
      <c r="AB22">
        <v>0.37179510700000001</v>
      </c>
      <c r="AC22">
        <v>0.31033247130000002</v>
      </c>
      <c r="AD22">
        <v>0.27496740800000002</v>
      </c>
      <c r="AE22">
        <v>0.2492993047</v>
      </c>
      <c r="AF22">
        <v>0.22868770299999999</v>
      </c>
      <c r="AG22">
        <v>0.21166868620000001</v>
      </c>
      <c r="AH22">
        <v>0.19739560340000001</v>
      </c>
      <c r="AI22">
        <v>0.18578034630000001</v>
      </c>
      <c r="AJ22">
        <v>0.17585686850000001</v>
      </c>
      <c r="AK22">
        <v>0.16728038680000001</v>
      </c>
      <c r="AL22">
        <v>0.15980970929999999</v>
      </c>
      <c r="AM22">
        <v>0.1530616169</v>
      </c>
      <c r="AN22">
        <v>0.1464628288</v>
      </c>
      <c r="AO22">
        <v>0.140222808</v>
      </c>
      <c r="AP22">
        <v>0.13439058770000001</v>
      </c>
      <c r="AQ22">
        <v>0.1290097902</v>
      </c>
      <c r="AR22">
        <v>0.1237916148</v>
      </c>
      <c r="AS22">
        <v>0.11932364080000001</v>
      </c>
      <c r="AT22">
        <v>0.1153212423</v>
      </c>
      <c r="AU22">
        <v>0.1116194011</v>
      </c>
      <c r="AV22">
        <v>0.10809989809999999</v>
      </c>
      <c r="AW22">
        <v>0.1048105744</v>
      </c>
    </row>
    <row r="23" spans="2:49" x14ac:dyDescent="0.25">
      <c r="B23" t="s">
        <v>123</v>
      </c>
      <c r="C23">
        <v>155.572754408756</v>
      </c>
      <c r="D23" s="39">
        <v>158.07052530222199</v>
      </c>
      <c r="E23" s="39">
        <v>160.99205900000001</v>
      </c>
      <c r="F23" s="39">
        <v>163.97276579999999</v>
      </c>
      <c r="G23">
        <v>161.00281860000001</v>
      </c>
      <c r="H23">
        <v>155.0328264</v>
      </c>
      <c r="I23">
        <v>156.9790064</v>
      </c>
      <c r="J23">
        <v>157.6275444</v>
      </c>
      <c r="K23">
        <v>155.6542097</v>
      </c>
      <c r="L23">
        <v>154.74439179999999</v>
      </c>
      <c r="M23">
        <v>155.9981976</v>
      </c>
      <c r="N23">
        <v>158.14705480000001</v>
      </c>
      <c r="O23">
        <v>155.60365580000001</v>
      </c>
      <c r="P23">
        <v>153.95626490000001</v>
      </c>
      <c r="Q23">
        <v>150.38877529999999</v>
      </c>
      <c r="R23">
        <v>147.45276329999999</v>
      </c>
      <c r="S23">
        <v>144.6406939</v>
      </c>
      <c r="T23">
        <v>144.50173100000001</v>
      </c>
      <c r="U23">
        <v>143.9214944</v>
      </c>
      <c r="V23">
        <v>143.2350193</v>
      </c>
      <c r="W23">
        <v>141.80954030000001</v>
      </c>
      <c r="X23">
        <v>139.36470349999999</v>
      </c>
      <c r="Y23">
        <v>136.47596849999999</v>
      </c>
      <c r="Z23">
        <v>133.8781956</v>
      </c>
      <c r="AA23">
        <v>131.34595210000001</v>
      </c>
      <c r="AB23">
        <v>128.4566805</v>
      </c>
      <c r="AC23">
        <v>125.6462938</v>
      </c>
      <c r="AD23">
        <v>123.3369979</v>
      </c>
      <c r="AE23">
        <v>121.1360486</v>
      </c>
      <c r="AF23">
        <v>119.02848040000001</v>
      </c>
      <c r="AG23">
        <v>116.6141016</v>
      </c>
      <c r="AH23">
        <v>114.2526445</v>
      </c>
      <c r="AI23">
        <v>112.41486829999999</v>
      </c>
      <c r="AJ23">
        <v>110.6774209</v>
      </c>
      <c r="AK23">
        <v>108.9753376</v>
      </c>
      <c r="AL23">
        <v>107.0746091</v>
      </c>
      <c r="AM23">
        <v>105.15315</v>
      </c>
      <c r="AN23">
        <v>103.84418410000001</v>
      </c>
      <c r="AO23">
        <v>102.53295</v>
      </c>
      <c r="AP23">
        <v>101.2789733</v>
      </c>
      <c r="AQ23">
        <v>100.1235595</v>
      </c>
      <c r="AR23">
        <v>98.988625470000002</v>
      </c>
      <c r="AS23">
        <v>97.618679400000005</v>
      </c>
      <c r="AT23">
        <v>96.311479390000002</v>
      </c>
      <c r="AU23">
        <v>95.047553350000001</v>
      </c>
      <c r="AV23">
        <v>93.803987980000002</v>
      </c>
      <c r="AW23">
        <v>92.598558620000006</v>
      </c>
    </row>
    <row r="24" spans="2:49" x14ac:dyDescent="0.25">
      <c r="B24" t="s">
        <v>124</v>
      </c>
      <c r="C24">
        <v>2.7703288319169999</v>
      </c>
      <c r="D24">
        <v>2.8148073574016701</v>
      </c>
      <c r="E24">
        <v>2.86</v>
      </c>
      <c r="F24">
        <v>2.958833329</v>
      </c>
      <c r="G24">
        <v>2.8517114559999999</v>
      </c>
      <c r="H24">
        <v>2.9727430379999999</v>
      </c>
      <c r="I24">
        <v>3.0840164579999998</v>
      </c>
      <c r="J24">
        <v>2.956541112</v>
      </c>
      <c r="K24">
        <v>2.8758236730000002</v>
      </c>
      <c r="L24">
        <v>2.8034977539999999</v>
      </c>
      <c r="M24">
        <v>2.9917524289999999</v>
      </c>
      <c r="N24">
        <v>3.158486452</v>
      </c>
      <c r="O24">
        <v>3.2380404629999999</v>
      </c>
      <c r="P24">
        <v>3.2644854369999998</v>
      </c>
      <c r="Q24">
        <v>3.0661142479999999</v>
      </c>
      <c r="R24">
        <v>3.0597778519999999</v>
      </c>
      <c r="S24">
        <v>3.081906842</v>
      </c>
      <c r="T24">
        <v>3.1170916160000002</v>
      </c>
      <c r="U24">
        <v>3.1426760890000001</v>
      </c>
      <c r="V24">
        <v>3.2075200509999999</v>
      </c>
      <c r="W24">
        <v>3.2387381249999998</v>
      </c>
      <c r="X24">
        <v>3.2426720859999998</v>
      </c>
      <c r="Y24">
        <v>3.2827495779999998</v>
      </c>
      <c r="Z24">
        <v>3.3339666619999999</v>
      </c>
      <c r="AA24">
        <v>3.3891801159999999</v>
      </c>
      <c r="AB24">
        <v>3.4385556949999998</v>
      </c>
      <c r="AC24">
        <v>3.4815300360000001</v>
      </c>
      <c r="AD24">
        <v>3.5295868459999999</v>
      </c>
      <c r="AE24">
        <v>3.5833031219999998</v>
      </c>
      <c r="AF24">
        <v>3.6370195010000002</v>
      </c>
      <c r="AG24">
        <v>3.6896087350000002</v>
      </c>
      <c r="AH24">
        <v>3.7458295719999999</v>
      </c>
      <c r="AI24">
        <v>3.8088322469999998</v>
      </c>
      <c r="AJ24">
        <v>3.8782708509999999</v>
      </c>
      <c r="AK24">
        <v>3.9460105350000001</v>
      </c>
      <c r="AL24">
        <v>4.010247348</v>
      </c>
      <c r="AM24">
        <v>4.0717074039999996</v>
      </c>
      <c r="AN24">
        <v>4.1451567840000001</v>
      </c>
      <c r="AO24">
        <v>4.2195615139999996</v>
      </c>
      <c r="AP24">
        <v>4.2923951960000002</v>
      </c>
      <c r="AQ24">
        <v>4.365790563</v>
      </c>
      <c r="AR24">
        <v>4.4381944960000004</v>
      </c>
      <c r="AS24">
        <v>4.497146259</v>
      </c>
      <c r="AT24">
        <v>4.5550995050000003</v>
      </c>
      <c r="AU24">
        <v>4.6164055150000003</v>
      </c>
      <c r="AV24">
        <v>4.6794604120000001</v>
      </c>
      <c r="AW24">
        <v>4.7436681509999996</v>
      </c>
    </row>
    <row r="25" spans="2:49" x14ac:dyDescent="0.25">
      <c r="B25" t="s">
        <v>125</v>
      </c>
      <c r="C25">
        <v>46.663857241186399</v>
      </c>
      <c r="D25">
        <v>47.413060563046002</v>
      </c>
      <c r="E25">
        <v>48.17429259</v>
      </c>
      <c r="F25">
        <v>49.074088269999997</v>
      </c>
      <c r="G25">
        <v>46.526413470000001</v>
      </c>
      <c r="H25">
        <v>42.407869830000003</v>
      </c>
      <c r="I25">
        <v>42.366807360000003</v>
      </c>
      <c r="J25">
        <v>42.843838679999998</v>
      </c>
      <c r="K25">
        <v>40.834794889999998</v>
      </c>
      <c r="L25">
        <v>40.412542379999998</v>
      </c>
      <c r="M25">
        <v>40.896554389999999</v>
      </c>
      <c r="N25">
        <v>41.706660679999999</v>
      </c>
      <c r="O25">
        <v>39.403715560000002</v>
      </c>
      <c r="P25">
        <v>37.676024079999998</v>
      </c>
      <c r="Q25">
        <v>35.514546459999998</v>
      </c>
      <c r="R25">
        <v>33.947912330000001</v>
      </c>
      <c r="S25">
        <v>32.676484000000002</v>
      </c>
      <c r="T25">
        <v>33.05447977</v>
      </c>
      <c r="U25">
        <v>33.02662033</v>
      </c>
      <c r="V25">
        <v>33.567398279999999</v>
      </c>
      <c r="W25">
        <v>31.969190699999999</v>
      </c>
      <c r="X25">
        <v>30.266571429999999</v>
      </c>
      <c r="Y25">
        <v>29.173717419999999</v>
      </c>
      <c r="Z25">
        <v>28.660734919999999</v>
      </c>
      <c r="AA25">
        <v>28.443750049999998</v>
      </c>
      <c r="AB25">
        <v>28.433641219999998</v>
      </c>
      <c r="AC25">
        <v>28.64309239</v>
      </c>
      <c r="AD25">
        <v>28.804505389999999</v>
      </c>
      <c r="AE25">
        <v>29.099753679999999</v>
      </c>
      <c r="AF25">
        <v>29.427778</v>
      </c>
      <c r="AG25">
        <v>29.75905229</v>
      </c>
      <c r="AH25">
        <v>30.133927369999999</v>
      </c>
      <c r="AI25">
        <v>30.583523939999999</v>
      </c>
      <c r="AJ25">
        <v>31.042073049999999</v>
      </c>
      <c r="AK25">
        <v>31.505914480000001</v>
      </c>
      <c r="AL25">
        <v>31.957325090000001</v>
      </c>
      <c r="AM25">
        <v>32.395080839999999</v>
      </c>
      <c r="AN25">
        <v>32.908459129999997</v>
      </c>
      <c r="AO25">
        <v>33.416627249999998</v>
      </c>
      <c r="AP25">
        <v>33.925551970000001</v>
      </c>
      <c r="AQ25">
        <v>34.452215539999997</v>
      </c>
      <c r="AR25">
        <v>34.971868530000002</v>
      </c>
      <c r="AS25">
        <v>35.401448639999998</v>
      </c>
      <c r="AT25">
        <v>35.850215779999999</v>
      </c>
      <c r="AU25">
        <v>36.313113970000003</v>
      </c>
      <c r="AV25">
        <v>36.779441759999997</v>
      </c>
      <c r="AW25">
        <v>37.259842030000002</v>
      </c>
    </row>
    <row r="26" spans="2:49" x14ac:dyDescent="0.25">
      <c r="B26" t="s">
        <v>126</v>
      </c>
      <c r="C26">
        <v>39.525714811669303</v>
      </c>
      <c r="D26">
        <v>40.160312947925298</v>
      </c>
      <c r="E26">
        <v>40.805099759999997</v>
      </c>
      <c r="F26">
        <v>40.773373120000002</v>
      </c>
      <c r="G26">
        <v>40.472970009999997</v>
      </c>
      <c r="H26">
        <v>40.461378029999999</v>
      </c>
      <c r="I26">
        <v>40.591200389999997</v>
      </c>
      <c r="J26">
        <v>40.502776660000002</v>
      </c>
      <c r="K26">
        <v>40.181684279999999</v>
      </c>
      <c r="L26">
        <v>39.989299699999997</v>
      </c>
      <c r="M26">
        <v>39.961853339999998</v>
      </c>
      <c r="N26">
        <v>40.15170646</v>
      </c>
      <c r="O26">
        <v>40.575988250000002</v>
      </c>
      <c r="P26">
        <v>40.750817429999998</v>
      </c>
      <c r="Q26">
        <v>40.449838</v>
      </c>
      <c r="R26">
        <v>40.118526760000002</v>
      </c>
      <c r="S26">
        <v>39.754300059999998</v>
      </c>
      <c r="T26">
        <v>39.228407349999998</v>
      </c>
      <c r="U26">
        <v>39.01304631</v>
      </c>
      <c r="V26">
        <v>38.924470620000001</v>
      </c>
      <c r="W26">
        <v>38.72937177</v>
      </c>
      <c r="X26">
        <v>38.364000760000003</v>
      </c>
      <c r="Y26">
        <v>37.913582050000002</v>
      </c>
      <c r="Z26">
        <v>37.407437620000003</v>
      </c>
      <c r="AA26">
        <v>36.89041349</v>
      </c>
      <c r="AB26">
        <v>36.237770519999998</v>
      </c>
      <c r="AC26">
        <v>35.593562059999996</v>
      </c>
      <c r="AD26">
        <v>35.07057365</v>
      </c>
      <c r="AE26">
        <v>34.563945879999999</v>
      </c>
      <c r="AF26">
        <v>34.098185770000001</v>
      </c>
      <c r="AG26">
        <v>33.630252089999999</v>
      </c>
      <c r="AH26">
        <v>33.184219400000003</v>
      </c>
      <c r="AI26">
        <v>32.794744919999999</v>
      </c>
      <c r="AJ26">
        <v>32.444173810000002</v>
      </c>
      <c r="AK26">
        <v>32.119022520000001</v>
      </c>
      <c r="AL26">
        <v>31.651625800000001</v>
      </c>
      <c r="AM26">
        <v>31.18959602</v>
      </c>
      <c r="AN26">
        <v>30.890424670000002</v>
      </c>
      <c r="AO26">
        <v>30.585590119999999</v>
      </c>
      <c r="AP26">
        <v>30.299968880000002</v>
      </c>
      <c r="AQ26">
        <v>30.041716109999999</v>
      </c>
      <c r="AR26">
        <v>29.80792649</v>
      </c>
      <c r="AS26">
        <v>29.43594925</v>
      </c>
      <c r="AT26">
        <v>29.068179860000001</v>
      </c>
      <c r="AU26">
        <v>28.687144249999999</v>
      </c>
      <c r="AV26">
        <v>28.289704319999998</v>
      </c>
      <c r="AW26">
        <v>27.887198099999999</v>
      </c>
    </row>
    <row r="27" spans="2:49" x14ac:dyDescent="0.25">
      <c r="B27" t="s">
        <v>127</v>
      </c>
      <c r="C27">
        <v>21.072806770403201</v>
      </c>
      <c r="D27">
        <v>21.411137499294501</v>
      </c>
      <c r="E27">
        <v>21.754900240000001</v>
      </c>
      <c r="F27">
        <v>23.110857800000002</v>
      </c>
      <c r="G27">
        <v>23.88689295</v>
      </c>
      <c r="H27">
        <v>23.44958286</v>
      </c>
      <c r="I27">
        <v>24.611652339999999</v>
      </c>
      <c r="J27">
        <v>25.454132560000001</v>
      </c>
      <c r="K27">
        <v>25.801546139999999</v>
      </c>
      <c r="L27">
        <v>26.258376720000001</v>
      </c>
      <c r="M27">
        <v>27.12203418</v>
      </c>
      <c r="N27">
        <v>28.369469410000001</v>
      </c>
      <c r="O27">
        <v>28.006799109999999</v>
      </c>
      <c r="P27">
        <v>27.605897720000002</v>
      </c>
      <c r="Q27">
        <v>26.85746353</v>
      </c>
      <c r="R27">
        <v>25.888021349999999</v>
      </c>
      <c r="S27">
        <v>25.081895880000001</v>
      </c>
      <c r="T27">
        <v>25.092560899999999</v>
      </c>
      <c r="U27">
        <v>25.067528419999999</v>
      </c>
      <c r="V27">
        <v>25.161086180000002</v>
      </c>
      <c r="W27">
        <v>26.566282229999999</v>
      </c>
      <c r="X27">
        <v>27.245911079999999</v>
      </c>
      <c r="Y27">
        <v>27.299455009999999</v>
      </c>
      <c r="Z27">
        <v>27.078154189999999</v>
      </c>
      <c r="AA27">
        <v>26.649657040000001</v>
      </c>
      <c r="AB27">
        <v>25.938596010000001</v>
      </c>
      <c r="AC27">
        <v>25.12202989</v>
      </c>
      <c r="AD27">
        <v>24.891718529999999</v>
      </c>
      <c r="AE27">
        <v>24.62124949</v>
      </c>
      <c r="AF27">
        <v>24.34853807</v>
      </c>
      <c r="AG27">
        <v>24.046942739999999</v>
      </c>
      <c r="AH27">
        <v>23.75211414</v>
      </c>
      <c r="AI27">
        <v>23.481760569999999</v>
      </c>
      <c r="AJ27">
        <v>23.211870489999999</v>
      </c>
      <c r="AK27">
        <v>22.941635399999999</v>
      </c>
      <c r="AL27">
        <v>22.55695055</v>
      </c>
      <c r="AM27">
        <v>22.16538517</v>
      </c>
      <c r="AN27">
        <v>21.90825504</v>
      </c>
      <c r="AO27">
        <v>21.66614547</v>
      </c>
      <c r="AP27">
        <v>21.430454390000001</v>
      </c>
      <c r="AQ27">
        <v>21.203101490000002</v>
      </c>
      <c r="AR27">
        <v>20.98388649</v>
      </c>
      <c r="AS27">
        <v>20.653803329999999</v>
      </c>
      <c r="AT27">
        <v>20.318408460000001</v>
      </c>
      <c r="AU27">
        <v>19.985403179999999</v>
      </c>
      <c r="AV27">
        <v>19.656524220000001</v>
      </c>
      <c r="AW27">
        <v>19.332170550000001</v>
      </c>
    </row>
    <row r="28" spans="2:49" x14ac:dyDescent="0.25">
      <c r="B28" t="s">
        <v>128</v>
      </c>
      <c r="C28">
        <v>23.690458989791001</v>
      </c>
      <c r="D28">
        <v>24.070816971768199</v>
      </c>
      <c r="E28">
        <v>24.457281720000001</v>
      </c>
      <c r="F28">
        <v>24.574364289999998</v>
      </c>
      <c r="G28">
        <v>24.637368330000001</v>
      </c>
      <c r="H28">
        <v>24.82408264</v>
      </c>
      <c r="I28">
        <v>24.96225445</v>
      </c>
      <c r="J28">
        <v>25.045613929999998</v>
      </c>
      <c r="K28">
        <v>24.918412230000001</v>
      </c>
      <c r="L28">
        <v>24.723398379999999</v>
      </c>
      <c r="M28">
        <v>24.53779849</v>
      </c>
      <c r="N28">
        <v>24.284612589999998</v>
      </c>
      <c r="O28">
        <v>24.100531589999999</v>
      </c>
      <c r="P28">
        <v>24.109209509999999</v>
      </c>
      <c r="Q28">
        <v>24.123245969999999</v>
      </c>
      <c r="R28">
        <v>24.134945850000001</v>
      </c>
      <c r="S28">
        <v>23.934531159999999</v>
      </c>
      <c r="T28">
        <v>23.6062485</v>
      </c>
      <c r="U28">
        <v>23.14422897</v>
      </c>
      <c r="V28">
        <v>22.637024289999999</v>
      </c>
      <c r="W28">
        <v>22.358612059999999</v>
      </c>
      <c r="X28">
        <v>22.144748100000001</v>
      </c>
      <c r="Y28">
        <v>21.725967399999998</v>
      </c>
      <c r="Z28">
        <v>21.191853819999999</v>
      </c>
      <c r="AA28">
        <v>20.57743086</v>
      </c>
      <c r="AB28">
        <v>19.89478823</v>
      </c>
      <c r="AC28">
        <v>19.16103961</v>
      </c>
      <c r="AD28">
        <v>18.403239549999999</v>
      </c>
      <c r="AE28">
        <v>17.639806480000001</v>
      </c>
      <c r="AF28">
        <v>16.887685019999999</v>
      </c>
      <c r="AG28">
        <v>16.159542420000001</v>
      </c>
      <c r="AH28">
        <v>15.462390729999999</v>
      </c>
      <c r="AI28">
        <v>14.8020882</v>
      </c>
      <c r="AJ28">
        <v>14.1804636</v>
      </c>
      <c r="AK28">
        <v>13.59344469</v>
      </c>
      <c r="AL28">
        <v>13.03930516</v>
      </c>
      <c r="AM28">
        <v>12.51491431</v>
      </c>
      <c r="AN28">
        <v>12.02090905</v>
      </c>
      <c r="AO28">
        <v>11.555818410000001</v>
      </c>
      <c r="AP28">
        <v>11.11760641</v>
      </c>
      <c r="AQ28">
        <v>10.704233220000001</v>
      </c>
      <c r="AR28">
        <v>10.278547939999999</v>
      </c>
      <c r="AS28">
        <v>9.8800339239999904</v>
      </c>
      <c r="AT28">
        <v>9.5069784110000004</v>
      </c>
      <c r="AU28">
        <v>9.1573560010000001</v>
      </c>
      <c r="AV28">
        <v>8.8289488689999995</v>
      </c>
      <c r="AW28">
        <v>8.5169802969999999</v>
      </c>
    </row>
    <row r="29" spans="2:49" x14ac:dyDescent="0.25">
      <c r="B29" t="s">
        <v>129</v>
      </c>
      <c r="C29">
        <v>22.212930412666701</v>
      </c>
      <c r="D29">
        <v>22.569566195417998</v>
      </c>
      <c r="E29">
        <v>22.940484690000002</v>
      </c>
      <c r="F29">
        <v>23.481248969999999</v>
      </c>
      <c r="G29">
        <v>22.627462390000002</v>
      </c>
      <c r="H29">
        <v>20.917169980000001</v>
      </c>
      <c r="I29">
        <v>21.363075460000001</v>
      </c>
      <c r="J29">
        <v>20.824641499999998</v>
      </c>
      <c r="K29">
        <v>21.041948529999999</v>
      </c>
      <c r="L29">
        <v>20.557276900000002</v>
      </c>
      <c r="M29">
        <v>20.488204759999999</v>
      </c>
      <c r="N29">
        <v>20.476119199999999</v>
      </c>
      <c r="O29">
        <v>20.27858084</v>
      </c>
      <c r="P29">
        <v>20.549830700000001</v>
      </c>
      <c r="Q29">
        <v>20.377567089999999</v>
      </c>
      <c r="R29">
        <v>20.30357918</v>
      </c>
      <c r="S29">
        <v>20.111575940000002</v>
      </c>
      <c r="T29">
        <v>20.402942849999999</v>
      </c>
      <c r="U29">
        <v>20.52739425</v>
      </c>
      <c r="V29">
        <v>20.865643420000001</v>
      </c>
      <c r="W29">
        <v>21.124749349999998</v>
      </c>
      <c r="X29">
        <v>21.231748110000002</v>
      </c>
      <c r="Y29">
        <v>21.133786369999999</v>
      </c>
      <c r="Z29">
        <v>21.13621041</v>
      </c>
      <c r="AA29">
        <v>21.17034159</v>
      </c>
      <c r="AB29">
        <v>21.112436120000002</v>
      </c>
      <c r="AC29">
        <v>21.055444640000001</v>
      </c>
      <c r="AD29">
        <v>20.857199820000002</v>
      </c>
      <c r="AE29">
        <v>20.653390099999999</v>
      </c>
      <c r="AF29">
        <v>20.451989300000001</v>
      </c>
      <c r="AG29">
        <v>20.25087229</v>
      </c>
      <c r="AH29">
        <v>20.071266019999999</v>
      </c>
      <c r="AI29">
        <v>19.891500629999999</v>
      </c>
      <c r="AJ29">
        <v>19.713845589999998</v>
      </c>
      <c r="AK29">
        <v>19.50235808</v>
      </c>
      <c r="AL29">
        <v>19.327176560000002</v>
      </c>
      <c r="AM29">
        <v>19.112365860000001</v>
      </c>
      <c r="AN29">
        <v>19.086845719999999</v>
      </c>
      <c r="AO29">
        <v>19.015545060000001</v>
      </c>
      <c r="AP29">
        <v>18.9413014</v>
      </c>
      <c r="AQ29">
        <v>18.878506080000001</v>
      </c>
      <c r="AR29">
        <v>18.812322980000001</v>
      </c>
      <c r="AS29">
        <v>18.84410999</v>
      </c>
      <c r="AT29">
        <v>18.890136519999999</v>
      </c>
      <c r="AU29">
        <v>18.942847459999999</v>
      </c>
      <c r="AV29">
        <v>18.994067579999999</v>
      </c>
      <c r="AW29">
        <v>19.04512497</v>
      </c>
    </row>
    <row r="30" spans="2:49" x14ac:dyDescent="0.25">
      <c r="B30" t="s">
        <v>130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37179.48702</v>
      </c>
      <c r="T30">
        <v>37014.663189999999</v>
      </c>
      <c r="U30">
        <v>36688.159140000003</v>
      </c>
      <c r="V30">
        <v>36318.789250000002</v>
      </c>
      <c r="W30">
        <v>36457.487150000001</v>
      </c>
      <c r="X30">
        <v>36763.716890000003</v>
      </c>
      <c r="Y30">
        <v>36639.481160000003</v>
      </c>
      <c r="Z30">
        <v>36315.633170000001</v>
      </c>
      <c r="AA30">
        <v>35898.810440000001</v>
      </c>
      <c r="AB30">
        <v>35416.42828</v>
      </c>
      <c r="AC30">
        <v>34895.548940000001</v>
      </c>
      <c r="AD30">
        <v>34355.081859999998</v>
      </c>
      <c r="AE30">
        <v>33819.292099999999</v>
      </c>
      <c r="AF30">
        <v>33292.62343</v>
      </c>
      <c r="AG30">
        <v>32779.233679999998</v>
      </c>
      <c r="AH30">
        <v>32279.545880000001</v>
      </c>
      <c r="AI30">
        <v>31835.165280000001</v>
      </c>
      <c r="AJ30">
        <v>31429.478179999998</v>
      </c>
      <c r="AK30">
        <v>31042.617269999999</v>
      </c>
      <c r="AL30">
        <v>30670.763180000002</v>
      </c>
      <c r="AM30">
        <v>30304.074820000002</v>
      </c>
      <c r="AN30">
        <v>29948.167249999999</v>
      </c>
      <c r="AO30">
        <v>29600.77953</v>
      </c>
      <c r="AP30">
        <v>29260.05156</v>
      </c>
      <c r="AQ30">
        <v>28923.65005</v>
      </c>
      <c r="AR30">
        <v>28519.4025</v>
      </c>
      <c r="AS30">
        <v>28143.878560000001</v>
      </c>
      <c r="AT30">
        <v>27785.605250000001</v>
      </c>
      <c r="AU30">
        <v>27441.713029999999</v>
      </c>
      <c r="AV30">
        <v>27107.77678</v>
      </c>
      <c r="AW30">
        <v>26765.189910000001</v>
      </c>
    </row>
    <row r="31" spans="2:49" x14ac:dyDescent="0.25">
      <c r="B31" t="s">
        <v>131</v>
      </c>
      <c r="C31">
        <v>17.998489648965599</v>
      </c>
      <c r="D31">
        <v>18.287461222056098</v>
      </c>
      <c r="E31">
        <v>18.581072330000001</v>
      </c>
      <c r="F31">
        <v>17.5591121</v>
      </c>
      <c r="G31">
        <v>43.502864989999999</v>
      </c>
      <c r="H31">
        <v>73.306103480000004</v>
      </c>
      <c r="I31">
        <v>103.362825</v>
      </c>
      <c r="J31">
        <v>142.77560170000001</v>
      </c>
      <c r="K31">
        <v>178.5453239</v>
      </c>
      <c r="L31">
        <v>209.26937100000001</v>
      </c>
      <c r="M31">
        <v>238.1471564</v>
      </c>
      <c r="N31">
        <v>253.21861870000001</v>
      </c>
      <c r="O31">
        <v>264.01785719999998</v>
      </c>
      <c r="P31">
        <v>269.32559889999999</v>
      </c>
      <c r="Q31">
        <v>293.22813259999998</v>
      </c>
      <c r="R31">
        <v>321.1672413</v>
      </c>
      <c r="S31">
        <v>364.23375520000002</v>
      </c>
      <c r="T31">
        <v>397.2215607</v>
      </c>
      <c r="U31">
        <v>450.7568273</v>
      </c>
      <c r="V31">
        <v>513.29410210000003</v>
      </c>
      <c r="W31">
        <v>596.52421879999997</v>
      </c>
      <c r="X31">
        <v>686.65427569999997</v>
      </c>
      <c r="Y31">
        <v>752.33625689999997</v>
      </c>
      <c r="Z31">
        <v>798.92948139999999</v>
      </c>
      <c r="AA31">
        <v>826.75731959999996</v>
      </c>
      <c r="AB31">
        <v>836.98138979999999</v>
      </c>
      <c r="AC31">
        <v>830.9205753</v>
      </c>
      <c r="AD31">
        <v>810.71718239999996</v>
      </c>
      <c r="AE31">
        <v>780.37828850000005</v>
      </c>
      <c r="AF31">
        <v>743.90149599999995</v>
      </c>
      <c r="AG31">
        <v>704.60072290000005</v>
      </c>
      <c r="AH31">
        <v>664.71329519999995</v>
      </c>
      <c r="AI31">
        <v>625.59908089999999</v>
      </c>
      <c r="AJ31">
        <v>587.905216</v>
      </c>
      <c r="AK31">
        <v>551.94473630000005</v>
      </c>
      <c r="AL31">
        <v>517.83953120000001</v>
      </c>
      <c r="AM31">
        <v>485.60191409999999</v>
      </c>
      <c r="AN31">
        <v>455.3170763</v>
      </c>
      <c r="AO31">
        <v>426.89312150000001</v>
      </c>
      <c r="AP31">
        <v>400.22933030000002</v>
      </c>
      <c r="AQ31">
        <v>375.22366879999998</v>
      </c>
      <c r="AR31">
        <v>350.21359319999999</v>
      </c>
      <c r="AS31">
        <v>326.86850989999999</v>
      </c>
      <c r="AT31">
        <v>305.078551</v>
      </c>
      <c r="AU31">
        <v>284.74063260000003</v>
      </c>
      <c r="AV31">
        <v>265.75825589999999</v>
      </c>
      <c r="AW31">
        <v>248.04120610000001</v>
      </c>
    </row>
    <row r="32" spans="2:49" x14ac:dyDescent="0.25">
      <c r="B32" t="s">
        <v>132</v>
      </c>
      <c r="C32">
        <v>1571.8931047778699</v>
      </c>
      <c r="D32">
        <v>1597.13035701831</v>
      </c>
      <c r="E32">
        <v>1622.772802</v>
      </c>
      <c r="F32">
        <v>1970.028311</v>
      </c>
      <c r="G32">
        <v>2306.3057610000001</v>
      </c>
      <c r="H32">
        <v>2674.5363390000002</v>
      </c>
      <c r="I32">
        <v>3008.8928380000002</v>
      </c>
      <c r="J32">
        <v>3315.7436349999998</v>
      </c>
      <c r="K32">
        <v>3539.4149560000001</v>
      </c>
      <c r="L32">
        <v>3727.6336679999999</v>
      </c>
      <c r="M32">
        <v>3906.4477430000002</v>
      </c>
      <c r="N32">
        <v>4051.0023719999999</v>
      </c>
      <c r="O32">
        <v>4204.100504</v>
      </c>
      <c r="P32">
        <v>4379.3481270000002</v>
      </c>
      <c r="Q32">
        <v>4559.7215660000002</v>
      </c>
      <c r="R32">
        <v>4735.5102100000004</v>
      </c>
      <c r="S32">
        <v>4853.6520989999999</v>
      </c>
      <c r="T32">
        <v>4914.4823159999996</v>
      </c>
      <c r="U32">
        <v>4957.4400290000003</v>
      </c>
      <c r="V32">
        <v>4988.4421970000003</v>
      </c>
      <c r="W32">
        <v>5092.7190559999999</v>
      </c>
      <c r="X32">
        <v>5208.0005289999999</v>
      </c>
      <c r="Y32">
        <v>5230.4548610000002</v>
      </c>
      <c r="Z32">
        <v>5191.3397949999999</v>
      </c>
      <c r="AA32">
        <v>5099.0842300000004</v>
      </c>
      <c r="AB32">
        <v>4958.1567750000004</v>
      </c>
      <c r="AC32">
        <v>4776.3283750000001</v>
      </c>
      <c r="AD32">
        <v>4564.0351870000004</v>
      </c>
      <c r="AE32">
        <v>4333.7084009999999</v>
      </c>
      <c r="AF32">
        <v>4096.3511920000001</v>
      </c>
      <c r="AG32">
        <v>3860.4418470000001</v>
      </c>
      <c r="AH32">
        <v>3631.2931410000001</v>
      </c>
      <c r="AI32">
        <v>3411.8313549999998</v>
      </c>
      <c r="AJ32">
        <v>3203.1628620000001</v>
      </c>
      <c r="AK32">
        <v>3005.5990499999998</v>
      </c>
      <c r="AL32">
        <v>2819.0211089999998</v>
      </c>
      <c r="AM32">
        <v>2643.0782009999998</v>
      </c>
      <c r="AN32">
        <v>2478.0081620000001</v>
      </c>
      <c r="AO32">
        <v>2323.1934160000001</v>
      </c>
      <c r="AP32">
        <v>2178.023972</v>
      </c>
      <c r="AQ32">
        <v>2041.9124039999999</v>
      </c>
      <c r="AR32">
        <v>1905.792616</v>
      </c>
      <c r="AS32">
        <v>1778.7436359999999</v>
      </c>
      <c r="AT32">
        <v>1660.1626490000001</v>
      </c>
      <c r="AU32">
        <v>1549.486095</v>
      </c>
      <c r="AV32">
        <v>1446.187496</v>
      </c>
      <c r="AW32">
        <v>1349.775228</v>
      </c>
    </row>
    <row r="33" spans="2:49" x14ac:dyDescent="0.25">
      <c r="B33" t="s">
        <v>133</v>
      </c>
      <c r="C33">
        <v>3720.5673609549599</v>
      </c>
      <c r="D33">
        <v>3780.3022733867101</v>
      </c>
      <c r="E33">
        <v>3840.9962489999998</v>
      </c>
      <c r="F33">
        <v>4321.8932400000003</v>
      </c>
      <c r="G33">
        <v>4767.7171509999998</v>
      </c>
      <c r="H33">
        <v>5257.8572679999997</v>
      </c>
      <c r="I33">
        <v>5701.6790929999997</v>
      </c>
      <c r="J33">
        <v>6103.6134490000004</v>
      </c>
      <c r="K33">
        <v>6382.9784470000004</v>
      </c>
      <c r="L33">
        <v>6611.4781780000003</v>
      </c>
      <c r="M33">
        <v>6827.1979689999998</v>
      </c>
      <c r="N33">
        <v>7001.1598130000002</v>
      </c>
      <c r="O33">
        <v>7191.3290349999997</v>
      </c>
      <c r="P33">
        <v>7428.9765390000002</v>
      </c>
      <c r="Q33">
        <v>7666.7847519999996</v>
      </c>
      <c r="R33">
        <v>7896.815415</v>
      </c>
      <c r="S33">
        <v>8026.5061459999997</v>
      </c>
      <c r="T33">
        <v>8077.752665</v>
      </c>
      <c r="U33">
        <v>8084.1441430000004</v>
      </c>
      <c r="V33">
        <v>8065.8029839999999</v>
      </c>
      <c r="W33">
        <v>8154.0844020000004</v>
      </c>
      <c r="X33">
        <v>8258.5467100000005</v>
      </c>
      <c r="Y33">
        <v>8231.23963799999</v>
      </c>
      <c r="Z33">
        <v>8118.8324169999996</v>
      </c>
      <c r="AA33">
        <v>7934.586362</v>
      </c>
      <c r="AB33">
        <v>7685.2592379999996</v>
      </c>
      <c r="AC33">
        <v>7382.0347629999997</v>
      </c>
      <c r="AD33">
        <v>7039.7529080000004</v>
      </c>
      <c r="AE33">
        <v>6675.7136209999999</v>
      </c>
      <c r="AF33">
        <v>6304.9828340000004</v>
      </c>
      <c r="AG33">
        <v>5939.0419579999998</v>
      </c>
      <c r="AH33">
        <v>5584.9822979999999</v>
      </c>
      <c r="AI33">
        <v>5246.6182070000004</v>
      </c>
      <c r="AJ33">
        <v>4925.2926799999996</v>
      </c>
      <c r="AK33">
        <v>4621.2805399999997</v>
      </c>
      <c r="AL33">
        <v>4334.2856039999997</v>
      </c>
      <c r="AM33">
        <v>4063.708404</v>
      </c>
      <c r="AN33">
        <v>3809.8827200000001</v>
      </c>
      <c r="AO33">
        <v>3571.8421199999998</v>
      </c>
      <c r="AP33">
        <v>3348.6399889999998</v>
      </c>
      <c r="AQ33">
        <v>3139.3686980000002</v>
      </c>
      <c r="AR33">
        <v>2930.0868890000002</v>
      </c>
      <c r="AS33">
        <v>2734.7524629999998</v>
      </c>
      <c r="AT33">
        <v>2552.4379570000001</v>
      </c>
      <c r="AU33">
        <v>2382.2765760000002</v>
      </c>
      <c r="AV33">
        <v>2223.4587029999998</v>
      </c>
      <c r="AW33">
        <v>2075.2283990000001</v>
      </c>
    </row>
    <row r="34" spans="2:49" x14ac:dyDescent="0.25">
      <c r="B34" t="s">
        <v>134</v>
      </c>
      <c r="C34">
        <v>5208.7853750706299</v>
      </c>
      <c r="D34">
        <v>5292.4141090967596</v>
      </c>
      <c r="E34">
        <v>5377.3855290000001</v>
      </c>
      <c r="F34">
        <v>5765.3064139999997</v>
      </c>
      <c r="G34">
        <v>6121.3516529999997</v>
      </c>
      <c r="H34">
        <v>6523.4182259999998</v>
      </c>
      <c r="I34">
        <v>6884.4582179999998</v>
      </c>
      <c r="J34">
        <v>7206.7330309999998</v>
      </c>
      <c r="K34">
        <v>7412.4929400000001</v>
      </c>
      <c r="L34">
        <v>7572.1016929999996</v>
      </c>
      <c r="M34">
        <v>7722.3499229999998</v>
      </c>
      <c r="N34">
        <v>7827.0178880000003</v>
      </c>
      <c r="O34">
        <v>7951.6650509999999</v>
      </c>
      <c r="P34">
        <v>8133.0158650000003</v>
      </c>
      <c r="Q34">
        <v>8310.1081250000007</v>
      </c>
      <c r="R34">
        <v>8483.54817799999</v>
      </c>
      <c r="S34">
        <v>8551.9061789999996</v>
      </c>
      <c r="T34">
        <v>8559.5095430000001</v>
      </c>
      <c r="U34">
        <v>8513.9813140000006</v>
      </c>
      <c r="V34">
        <v>8441.4655199999997</v>
      </c>
      <c r="W34">
        <v>8471.5053210000005</v>
      </c>
      <c r="X34">
        <v>8518.2115059999996</v>
      </c>
      <c r="Y34">
        <v>8442.6791130000001</v>
      </c>
      <c r="Z34">
        <v>8289.6860359999901</v>
      </c>
      <c r="AA34">
        <v>8072.2249970000003</v>
      </c>
      <c r="AB34">
        <v>7796.7321959999999</v>
      </c>
      <c r="AC34">
        <v>7473.7427729999999</v>
      </c>
      <c r="AD34">
        <v>7117.1643169999998</v>
      </c>
      <c r="AE34">
        <v>6742.9865390000004</v>
      </c>
      <c r="AF34">
        <v>6365.004868</v>
      </c>
      <c r="AG34">
        <v>5993.6569730000001</v>
      </c>
      <c r="AH34">
        <v>5635.3209230000002</v>
      </c>
      <c r="AI34">
        <v>5293.3620940000001</v>
      </c>
      <c r="AJ34">
        <v>4968.8879980000002</v>
      </c>
      <c r="AK34">
        <v>4662.0373760000002</v>
      </c>
      <c r="AL34">
        <v>4372.435477</v>
      </c>
      <c r="AM34">
        <v>4099.4380119999996</v>
      </c>
      <c r="AN34">
        <v>3843.3609900000001</v>
      </c>
      <c r="AO34">
        <v>3603.2187629999999</v>
      </c>
      <c r="AP34">
        <v>3378.0509219999999</v>
      </c>
      <c r="AQ34">
        <v>3166.9390910000002</v>
      </c>
      <c r="AR34">
        <v>2955.8179650000002</v>
      </c>
      <c r="AS34">
        <v>2758.7674769999999</v>
      </c>
      <c r="AT34">
        <v>2574.8516380000001</v>
      </c>
      <c r="AU34">
        <v>2403.195843</v>
      </c>
      <c r="AV34">
        <v>2242.9832689999998</v>
      </c>
      <c r="AW34">
        <v>2093.4512840000002</v>
      </c>
    </row>
    <row r="35" spans="2:49" x14ac:dyDescent="0.25">
      <c r="B35" t="s">
        <v>135</v>
      </c>
      <c r="C35">
        <v>13521.9613593495</v>
      </c>
      <c r="D35">
        <v>13739.0608227762</v>
      </c>
      <c r="E35" s="39">
        <v>13959.64589</v>
      </c>
      <c r="F35" s="39">
        <v>13633.749180000001</v>
      </c>
      <c r="G35" s="39">
        <v>13309.758540000001</v>
      </c>
      <c r="H35" s="39">
        <v>13039.976129999999</v>
      </c>
      <c r="I35">
        <v>12773.806979999999</v>
      </c>
      <c r="J35">
        <v>12507.68094</v>
      </c>
      <c r="K35" s="39">
        <v>12194.37357</v>
      </c>
      <c r="L35" s="39">
        <v>11881.53369</v>
      </c>
      <c r="M35" s="39">
        <v>11584.66236</v>
      </c>
      <c r="N35" s="39">
        <v>11272.30457</v>
      </c>
      <c r="O35" s="39">
        <v>10994.13149</v>
      </c>
      <c r="P35">
        <v>10798.58899</v>
      </c>
      <c r="Q35">
        <v>10609.23065</v>
      </c>
      <c r="R35">
        <v>10425.628259999999</v>
      </c>
      <c r="S35">
        <v>10176.894480000001</v>
      </c>
      <c r="T35">
        <v>9919.8436799999999</v>
      </c>
      <c r="U35">
        <v>9596.5538230000002</v>
      </c>
      <c r="V35">
        <v>9252.9163250000001</v>
      </c>
      <c r="W35">
        <v>8979.4171540000007</v>
      </c>
      <c r="X35">
        <v>8729.1551639999998</v>
      </c>
      <c r="Y35">
        <v>8428.3825629999901</v>
      </c>
      <c r="Z35">
        <v>8101.396041</v>
      </c>
      <c r="AA35">
        <v>7755.258726</v>
      </c>
      <c r="AB35">
        <v>7392.9957860000004</v>
      </c>
      <c r="AC35">
        <v>7019.5998760000002</v>
      </c>
      <c r="AD35">
        <v>6641.7217389999996</v>
      </c>
      <c r="AE35">
        <v>6266.8257720000001</v>
      </c>
      <c r="AF35">
        <v>5901.1288599999998</v>
      </c>
      <c r="AG35">
        <v>5549.1450210000003</v>
      </c>
      <c r="AH35">
        <v>5213.3965369999996</v>
      </c>
      <c r="AI35">
        <v>4894.9562759999999</v>
      </c>
      <c r="AJ35">
        <v>4593.8349070000004</v>
      </c>
      <c r="AK35">
        <v>4309.6063960000001</v>
      </c>
      <c r="AL35">
        <v>4041.626659</v>
      </c>
      <c r="AM35">
        <v>3789.1488169999998</v>
      </c>
      <c r="AN35">
        <v>3552.3875539999999</v>
      </c>
      <c r="AO35">
        <v>3330.3929029999999</v>
      </c>
      <c r="AP35">
        <v>3122.2577719999999</v>
      </c>
      <c r="AQ35">
        <v>2927.1236880000001</v>
      </c>
      <c r="AR35">
        <v>2731.9855269999998</v>
      </c>
      <c r="AS35">
        <v>2549.8548460000002</v>
      </c>
      <c r="AT35">
        <v>2379.86535</v>
      </c>
      <c r="AU35">
        <v>2221.2080649999998</v>
      </c>
      <c r="AV35">
        <v>2073.1277260000002</v>
      </c>
      <c r="AW35">
        <v>1934.919306</v>
      </c>
    </row>
    <row r="36" spans="2:49" x14ac:dyDescent="0.25">
      <c r="B36" t="s">
        <v>136</v>
      </c>
      <c r="C36">
        <v>4769.5635809194901</v>
      </c>
      <c r="D36" s="39">
        <v>4846.1404669702097</v>
      </c>
      <c r="E36">
        <v>4923.9468200000001</v>
      </c>
      <c r="F36">
        <v>4802.9454470000001</v>
      </c>
      <c r="G36">
        <v>4673.7261070000004</v>
      </c>
      <c r="H36">
        <v>4557.985506</v>
      </c>
      <c r="I36">
        <v>4445.7864570000002</v>
      </c>
      <c r="J36">
        <v>4332.5160699999997</v>
      </c>
      <c r="K36">
        <v>4206.5664589999997</v>
      </c>
      <c r="L36">
        <v>4079.670916</v>
      </c>
      <c r="M36">
        <v>3958.4473549999998</v>
      </c>
      <c r="N36">
        <v>3830.9856650000002</v>
      </c>
      <c r="O36">
        <v>3715.1293820000001</v>
      </c>
      <c r="P36">
        <v>3635.900431</v>
      </c>
      <c r="Q36">
        <v>3556.1364250000001</v>
      </c>
      <c r="R36">
        <v>3475.936197</v>
      </c>
      <c r="S36">
        <v>3369.6602659999999</v>
      </c>
      <c r="T36">
        <v>3243.2115469999999</v>
      </c>
      <c r="U36">
        <v>3092.0943130000001</v>
      </c>
      <c r="V36">
        <v>2934.9280060000001</v>
      </c>
      <c r="W36">
        <v>2792.163121</v>
      </c>
      <c r="X36">
        <v>2657.3117000000002</v>
      </c>
      <c r="Y36">
        <v>2521.3920760000001</v>
      </c>
      <c r="Z36">
        <v>2387.879066</v>
      </c>
      <c r="AA36">
        <v>2257.8205370000001</v>
      </c>
      <c r="AB36">
        <v>2131.4725899999999</v>
      </c>
      <c r="AC36">
        <v>2009.2365870000001</v>
      </c>
      <c r="AD36">
        <v>1891.645066</v>
      </c>
      <c r="AE36">
        <v>1779.1891419999999</v>
      </c>
      <c r="AF36">
        <v>1672.17184</v>
      </c>
      <c r="AG36">
        <v>1570.723518</v>
      </c>
      <c r="AH36">
        <v>1474.8034749999999</v>
      </c>
      <c r="AI36">
        <v>1384.2596040000001</v>
      </c>
      <c r="AJ36">
        <v>1298.8687970000001</v>
      </c>
      <c r="AK36">
        <v>1218.387111</v>
      </c>
      <c r="AL36">
        <v>1142.566264</v>
      </c>
      <c r="AM36">
        <v>1071.1615650000001</v>
      </c>
      <c r="AN36">
        <v>1004.216601</v>
      </c>
      <c r="AO36">
        <v>941.45428379999998</v>
      </c>
      <c r="AP36">
        <v>882.61395540000001</v>
      </c>
      <c r="AQ36">
        <v>827.45084410000004</v>
      </c>
      <c r="AR36">
        <v>772.28756060000001</v>
      </c>
      <c r="AS36">
        <v>720.80177330000004</v>
      </c>
      <c r="AT36">
        <v>672.74834520000002</v>
      </c>
      <c r="AU36">
        <v>627.89846650000004</v>
      </c>
      <c r="AV36">
        <v>586.03857389999996</v>
      </c>
      <c r="AW36">
        <v>546.96933799999999</v>
      </c>
    </row>
    <row r="37" spans="2:49" x14ac:dyDescent="0.25">
      <c r="B37" t="s">
        <v>137</v>
      </c>
      <c r="C37">
        <v>2185.3248924602099</v>
      </c>
      <c r="D37">
        <v>2220.4109904720199</v>
      </c>
      <c r="E37">
        <v>2256.0604069999999</v>
      </c>
      <c r="F37">
        <v>2171.0794089999999</v>
      </c>
      <c r="G37">
        <v>2081.2151309999999</v>
      </c>
      <c r="H37">
        <v>1995.9981339999999</v>
      </c>
      <c r="I37">
        <v>1914.5289190000001</v>
      </c>
      <c r="J37">
        <v>1833.2901300000001</v>
      </c>
      <c r="K37">
        <v>1752.1489750000001</v>
      </c>
      <c r="L37">
        <v>1670.756965</v>
      </c>
      <c r="M37">
        <v>1593.3773180000001</v>
      </c>
      <c r="N37">
        <v>1522.2718970000001</v>
      </c>
      <c r="O37">
        <v>1455.4856870000001</v>
      </c>
      <c r="P37">
        <v>1405.6084530000001</v>
      </c>
      <c r="Q37">
        <v>1354.134458</v>
      </c>
      <c r="R37">
        <v>1301.1569420000001</v>
      </c>
      <c r="S37">
        <v>1243.597804</v>
      </c>
      <c r="T37">
        <v>1182.7916749999999</v>
      </c>
      <c r="U37">
        <v>1117.0810260000001</v>
      </c>
      <c r="V37">
        <v>1051.3703780000001</v>
      </c>
      <c r="W37">
        <v>989.52506119999998</v>
      </c>
      <c r="X37">
        <v>931.31770470000004</v>
      </c>
      <c r="Y37">
        <v>876.31862760000001</v>
      </c>
      <c r="Z37">
        <v>824.36297779999995</v>
      </c>
      <c r="AA37">
        <v>775.29375289999996</v>
      </c>
      <c r="AB37">
        <v>728.96145690000003</v>
      </c>
      <c r="AC37">
        <v>685.2237695</v>
      </c>
      <c r="AD37">
        <v>643.94522919999997</v>
      </c>
      <c r="AE37">
        <v>604.99692900000002</v>
      </c>
      <c r="AF37">
        <v>568.25622480000004</v>
      </c>
      <c r="AG37">
        <v>533.60645499999998</v>
      </c>
      <c r="AH37">
        <v>500.93667210000001</v>
      </c>
      <c r="AI37">
        <v>470.14138480000003</v>
      </c>
      <c r="AJ37">
        <v>441.1203117</v>
      </c>
      <c r="AK37">
        <v>413.77814360000002</v>
      </c>
      <c r="AL37">
        <v>388.02431730000001</v>
      </c>
      <c r="AM37">
        <v>363.7727974</v>
      </c>
      <c r="AN37">
        <v>341.03699760000001</v>
      </c>
      <c r="AO37">
        <v>319.72218520000001</v>
      </c>
      <c r="AP37">
        <v>299.7395487</v>
      </c>
      <c r="AQ37">
        <v>281.00582689999999</v>
      </c>
      <c r="AR37">
        <v>262.27210509999998</v>
      </c>
      <c r="AS37">
        <v>244.78729809999999</v>
      </c>
      <c r="AT37">
        <v>228.4681449</v>
      </c>
      <c r="AU37">
        <v>213.2369352</v>
      </c>
      <c r="AV37">
        <v>199.0211395</v>
      </c>
      <c r="AW37">
        <v>185.75306359999999</v>
      </c>
    </row>
    <row r="38" spans="2:49" x14ac:dyDescent="0.25">
      <c r="B38" t="s">
        <v>138</v>
      </c>
      <c r="C38">
        <v>6.9573204344700098E-3</v>
      </c>
      <c r="D38" s="39">
        <v>7.06902246445449E-3</v>
      </c>
      <c r="E38">
        <v>7.1825179100000001E-3</v>
      </c>
      <c r="F38">
        <v>1.7781418E-2</v>
      </c>
      <c r="G38">
        <v>4.22897099E-2</v>
      </c>
      <c r="H38">
        <v>0.11117788100000001</v>
      </c>
      <c r="I38">
        <v>0.2109226048</v>
      </c>
      <c r="J38">
        <v>0.34766221660000002</v>
      </c>
      <c r="K38">
        <v>0.49891636449999999</v>
      </c>
      <c r="L38">
        <v>0.69943993299999996</v>
      </c>
      <c r="M38">
        <v>1.0169706329999999</v>
      </c>
      <c r="N38">
        <v>1.4272714230000001</v>
      </c>
      <c r="O38">
        <v>2.0196550110000002</v>
      </c>
      <c r="P38">
        <v>2.2977161669999999</v>
      </c>
      <c r="Q38">
        <v>2.811473865</v>
      </c>
      <c r="R38">
        <v>3.7365101740000002</v>
      </c>
      <c r="S38">
        <v>5.1080373000000003</v>
      </c>
      <c r="T38">
        <v>6.9928213770000003</v>
      </c>
      <c r="U38">
        <v>11.426493990000001</v>
      </c>
      <c r="V38">
        <v>18.501822929999999</v>
      </c>
      <c r="W38">
        <v>29.409855220000001</v>
      </c>
      <c r="X38">
        <v>43.840009449999997</v>
      </c>
      <c r="Y38">
        <v>59.694403960000002</v>
      </c>
      <c r="Z38">
        <v>79.528929360000006</v>
      </c>
      <c r="AA38">
        <v>106.07300290000001</v>
      </c>
      <c r="AB38">
        <v>140.16189349999999</v>
      </c>
      <c r="AC38">
        <v>182.09771499999999</v>
      </c>
      <c r="AD38">
        <v>231.28071629999999</v>
      </c>
      <c r="AE38">
        <v>286.61957210000003</v>
      </c>
      <c r="AF38">
        <v>346.30701069999998</v>
      </c>
      <c r="AG38">
        <v>408.76608850000002</v>
      </c>
      <c r="AH38">
        <v>472.76820629999997</v>
      </c>
      <c r="AI38">
        <v>539.81790279999996</v>
      </c>
      <c r="AJ38">
        <v>608.85689009999999</v>
      </c>
      <c r="AK38">
        <v>678.70647980000001</v>
      </c>
      <c r="AL38">
        <v>749.00701370000002</v>
      </c>
      <c r="AM38">
        <v>819.09850349999999</v>
      </c>
      <c r="AN38">
        <v>888.22388890000002</v>
      </c>
      <c r="AO38">
        <v>956.23116900000002</v>
      </c>
      <c r="AP38">
        <v>1023.068696</v>
      </c>
      <c r="AQ38">
        <v>1088.583079</v>
      </c>
      <c r="AR38">
        <v>1164.868747</v>
      </c>
      <c r="AS38">
        <v>1240.743823</v>
      </c>
      <c r="AT38">
        <v>1315.497689</v>
      </c>
      <c r="AU38">
        <v>1389.009037</v>
      </c>
      <c r="AV38">
        <v>1460.9773110000001</v>
      </c>
      <c r="AW38">
        <v>1529.650198</v>
      </c>
    </row>
    <row r="39" spans="2:49" x14ac:dyDescent="0.25">
      <c r="B39" t="s">
        <v>139</v>
      </c>
      <c r="C39">
        <v>1.59483191497851E-2</v>
      </c>
      <c r="D39">
        <v>1.6204374572364899E-2</v>
      </c>
      <c r="E39">
        <v>1.6464540999999999E-2</v>
      </c>
      <c r="F39">
        <v>4.0034418699999998E-2</v>
      </c>
      <c r="G39">
        <v>8.2734749199999999E-2</v>
      </c>
      <c r="H39">
        <v>0.17095464899999999</v>
      </c>
      <c r="I39">
        <v>0.29468073249999999</v>
      </c>
      <c r="J39">
        <v>0.46250476029999998</v>
      </c>
      <c r="K39">
        <v>0.6524179698</v>
      </c>
      <c r="L39">
        <v>0.89845044029999999</v>
      </c>
      <c r="M39">
        <v>1.2589876040000001</v>
      </c>
      <c r="N39">
        <v>1.7110724850000001</v>
      </c>
      <c r="O39">
        <v>2.3511532559999999</v>
      </c>
      <c r="P39">
        <v>2.867340424</v>
      </c>
      <c r="Q39">
        <v>3.6476639390000001</v>
      </c>
      <c r="R39">
        <v>4.8304240719999996</v>
      </c>
      <c r="S39">
        <v>6.3369703250000002</v>
      </c>
      <c r="T39">
        <v>8.2246144950000009</v>
      </c>
      <c r="U39">
        <v>11.92192563</v>
      </c>
      <c r="V39">
        <v>17.493606360000001</v>
      </c>
      <c r="W39">
        <v>26.13522021</v>
      </c>
      <c r="X39">
        <v>37.440999509999997</v>
      </c>
      <c r="Y39">
        <v>49.533813299999998</v>
      </c>
      <c r="Z39">
        <v>64.430806369999999</v>
      </c>
      <c r="AA39">
        <v>84.179705830000003</v>
      </c>
      <c r="AB39">
        <v>109.2976913</v>
      </c>
      <c r="AC39">
        <v>139.87808870000001</v>
      </c>
      <c r="AD39">
        <v>175.32912569999999</v>
      </c>
      <c r="AE39">
        <v>214.7402596</v>
      </c>
      <c r="AF39">
        <v>256.6856904</v>
      </c>
      <c r="AG39">
        <v>299.96148579999999</v>
      </c>
      <c r="AH39">
        <v>343.65063609999999</v>
      </c>
      <c r="AI39">
        <v>388.80988869999999</v>
      </c>
      <c r="AJ39">
        <v>434.63288310000002</v>
      </c>
      <c r="AK39">
        <v>480.24720159999998</v>
      </c>
      <c r="AL39">
        <v>525.39920749999999</v>
      </c>
      <c r="AM39">
        <v>569.62448889999996</v>
      </c>
      <c r="AN39">
        <v>612.56805320000001</v>
      </c>
      <c r="AO39">
        <v>654.14578689999996</v>
      </c>
      <c r="AP39">
        <v>694.32721289999995</v>
      </c>
      <c r="AQ39">
        <v>733.02714979999996</v>
      </c>
      <c r="AR39">
        <v>775.19207730000005</v>
      </c>
      <c r="AS39">
        <v>816.50010659999998</v>
      </c>
      <c r="AT39">
        <v>856.47320790000003</v>
      </c>
      <c r="AU39">
        <v>895.04063599999995</v>
      </c>
      <c r="AV39">
        <v>932.02506319999998</v>
      </c>
      <c r="AW39">
        <v>966.36879169999997</v>
      </c>
    </row>
    <row r="40" spans="2:49" x14ac:dyDescent="0.25">
      <c r="B40" t="s">
        <v>140</v>
      </c>
      <c r="C40">
        <v>6.5291776385026298E-2</v>
      </c>
      <c r="D40" s="39">
        <v>6.63400569741113E-2</v>
      </c>
      <c r="E40">
        <v>6.7405168000000001E-2</v>
      </c>
      <c r="F40">
        <v>0.1627454472</v>
      </c>
      <c r="G40">
        <v>0.3161889745</v>
      </c>
      <c r="H40">
        <v>0.56755350299999996</v>
      </c>
      <c r="I40">
        <v>0.90896817819999998</v>
      </c>
      <c r="J40">
        <v>1.366967228</v>
      </c>
      <c r="K40">
        <v>1.897628595</v>
      </c>
      <c r="L40">
        <v>2.5688806689999999</v>
      </c>
      <c r="M40">
        <v>3.4689836629999999</v>
      </c>
      <c r="N40">
        <v>4.555161623</v>
      </c>
      <c r="O40">
        <v>6.0531832540000003</v>
      </c>
      <c r="P40">
        <v>7.9725615339999996</v>
      </c>
      <c r="Q40">
        <v>10.53783205</v>
      </c>
      <c r="R40">
        <v>13.902799630000001</v>
      </c>
      <c r="S40">
        <v>17.506863389999999</v>
      </c>
      <c r="T40">
        <v>21.44730689</v>
      </c>
      <c r="U40">
        <v>26.74079966</v>
      </c>
      <c r="V40">
        <v>33.579530300000002</v>
      </c>
      <c r="W40">
        <v>44.423810609999997</v>
      </c>
      <c r="X40">
        <v>58.202538449999999</v>
      </c>
      <c r="Y40">
        <v>71.834029389999998</v>
      </c>
      <c r="Z40">
        <v>87.890803270000006</v>
      </c>
      <c r="AA40">
        <v>108.6218619</v>
      </c>
      <c r="AB40">
        <v>134.26236280000001</v>
      </c>
      <c r="AC40">
        <v>164.5299344</v>
      </c>
      <c r="AD40">
        <v>198.39691339999999</v>
      </c>
      <c r="AE40">
        <v>234.6623568</v>
      </c>
      <c r="AF40">
        <v>271.65364080000001</v>
      </c>
      <c r="AG40">
        <v>308.09321670000003</v>
      </c>
      <c r="AH40">
        <v>343.0914952</v>
      </c>
      <c r="AI40">
        <v>377.66175370000002</v>
      </c>
      <c r="AJ40">
        <v>410.9993096</v>
      </c>
      <c r="AK40">
        <v>442.30325349999998</v>
      </c>
      <c r="AL40">
        <v>471.43234000000001</v>
      </c>
      <c r="AM40">
        <v>498.06180030000002</v>
      </c>
      <c r="AN40">
        <v>522.34507910000002</v>
      </c>
      <c r="AO40">
        <v>544.31434639999998</v>
      </c>
      <c r="AP40">
        <v>564.0104106</v>
      </c>
      <c r="AQ40">
        <v>581.45864110000002</v>
      </c>
      <c r="AR40">
        <v>594.42684929999996</v>
      </c>
      <c r="AS40">
        <v>605.90531410000006</v>
      </c>
      <c r="AT40">
        <v>615.58472749999999</v>
      </c>
      <c r="AU40">
        <v>623.47655950000001</v>
      </c>
      <c r="AV40">
        <v>629.53581599999995</v>
      </c>
      <c r="AW40">
        <v>633.23476730000004</v>
      </c>
    </row>
    <row r="41" spans="2:49" x14ac:dyDescent="0.25">
      <c r="B41" t="s">
        <v>141</v>
      </c>
      <c r="C41">
        <v>1.5338215665531501</v>
      </c>
      <c r="D41">
        <v>1.55844756793281</v>
      </c>
      <c r="E41">
        <v>1.5834689479999999</v>
      </c>
      <c r="F41">
        <v>3.8199570779999998</v>
      </c>
      <c r="G41">
        <v>7.3653588819999998</v>
      </c>
      <c r="H41">
        <v>12.972279159999999</v>
      </c>
      <c r="I41">
        <v>20.546286729999998</v>
      </c>
      <c r="J41">
        <v>30.6871917</v>
      </c>
      <c r="K41">
        <v>42.485395609999998</v>
      </c>
      <c r="L41">
        <v>57.347740760000001</v>
      </c>
      <c r="M41">
        <v>76.956115449999999</v>
      </c>
      <c r="N41">
        <v>100.4431309</v>
      </c>
      <c r="O41">
        <v>132.6677545</v>
      </c>
      <c r="P41">
        <v>177.20365709999999</v>
      </c>
      <c r="Q41">
        <v>235.72696930000001</v>
      </c>
      <c r="R41">
        <v>310.76781620000003</v>
      </c>
      <c r="S41">
        <v>388.62630539999998</v>
      </c>
      <c r="T41">
        <v>471.34010480000001</v>
      </c>
      <c r="U41">
        <v>572.14295630000004</v>
      </c>
      <c r="V41">
        <v>696.74366329999998</v>
      </c>
      <c r="W41">
        <v>896.2120109</v>
      </c>
      <c r="X41">
        <v>1147.909864</v>
      </c>
      <c r="Y41">
        <v>1391.674784</v>
      </c>
      <c r="Z41">
        <v>1675.763811</v>
      </c>
      <c r="AA41">
        <v>2040.7366959999999</v>
      </c>
      <c r="AB41">
        <v>2489.7303630000001</v>
      </c>
      <c r="AC41">
        <v>3016.6214110000001</v>
      </c>
      <c r="AD41">
        <v>3602.2602710000001</v>
      </c>
      <c r="AE41">
        <v>4225.2439969999996</v>
      </c>
      <c r="AF41">
        <v>4856.289863</v>
      </c>
      <c r="AG41">
        <v>5473.7448420000001</v>
      </c>
      <c r="AH41">
        <v>6063.1094780000003</v>
      </c>
      <c r="AI41">
        <v>6642.9184930000001</v>
      </c>
      <c r="AJ41">
        <v>7200.2049850000003</v>
      </c>
      <c r="AK41">
        <v>7722.3130099999998</v>
      </c>
      <c r="AL41">
        <v>8208.0104119999996</v>
      </c>
      <c r="AM41">
        <v>8652.9215650000006</v>
      </c>
      <c r="AN41">
        <v>9060.3764859999901</v>
      </c>
      <c r="AO41">
        <v>9431.6029450000005</v>
      </c>
      <c r="AP41">
        <v>9767.9644580000004</v>
      </c>
      <c r="AQ41">
        <v>10070.456889999999</v>
      </c>
      <c r="AR41">
        <v>10321.8179</v>
      </c>
      <c r="AS41">
        <v>10554.90645</v>
      </c>
      <c r="AT41">
        <v>10765.03959</v>
      </c>
      <c r="AU41">
        <v>10952.72539</v>
      </c>
      <c r="AV41">
        <v>11117.39212</v>
      </c>
      <c r="AW41">
        <v>11249.7763</v>
      </c>
    </row>
    <row r="42" spans="2:49" x14ac:dyDescent="0.25">
      <c r="B42" t="s">
        <v>142</v>
      </c>
      <c r="C42">
        <v>0.60453762790594801</v>
      </c>
      <c r="D42" s="39">
        <v>0.61424367506521405</v>
      </c>
      <c r="E42">
        <v>0.62410555599999995</v>
      </c>
      <c r="F42">
        <v>1.5053461850000001</v>
      </c>
      <c r="G42">
        <v>2.8981816409999999</v>
      </c>
      <c r="H42">
        <v>5.0846120350000001</v>
      </c>
      <c r="I42">
        <v>8.0344889389999903</v>
      </c>
      <c r="J42">
        <v>11.98237514</v>
      </c>
      <c r="K42">
        <v>16.579695269999998</v>
      </c>
      <c r="L42" s="39">
        <v>22.365585880000001</v>
      </c>
      <c r="M42" s="39">
        <v>29.970380250000002</v>
      </c>
      <c r="N42" s="39">
        <v>39.063187390000003</v>
      </c>
      <c r="O42" s="39">
        <v>51.522704990000001</v>
      </c>
      <c r="P42" s="39">
        <v>69.035104250000003</v>
      </c>
      <c r="Q42" s="39">
        <v>91.967459489999996</v>
      </c>
      <c r="R42">
        <v>121.2281248</v>
      </c>
      <c r="S42">
        <v>151.36425489999999</v>
      </c>
      <c r="T42">
        <v>183.1474638</v>
      </c>
      <c r="U42">
        <v>220.7217469</v>
      </c>
      <c r="V42">
        <v>266.30744320000002</v>
      </c>
      <c r="W42">
        <v>339.51151529999999</v>
      </c>
      <c r="X42">
        <v>431.52927410000001</v>
      </c>
      <c r="Y42">
        <v>519.64777649999996</v>
      </c>
      <c r="Z42">
        <v>621.62984119999999</v>
      </c>
      <c r="AA42">
        <v>752.0972759</v>
      </c>
      <c r="AB42">
        <v>911.85995379999997</v>
      </c>
      <c r="AC42">
        <v>1098.3480139999999</v>
      </c>
      <c r="AD42">
        <v>1304.3167410000001</v>
      </c>
      <c r="AE42">
        <v>1521.89058</v>
      </c>
      <c r="AF42">
        <v>1740.4566629999999</v>
      </c>
      <c r="AG42">
        <v>1952.3004390000001</v>
      </c>
      <c r="AH42">
        <v>2152.3551640000001</v>
      </c>
      <c r="AI42">
        <v>2347.1949490000002</v>
      </c>
      <c r="AJ42">
        <v>2532.278554</v>
      </c>
      <c r="AK42">
        <v>2703.252403</v>
      </c>
      <c r="AL42">
        <v>2859.8476759999999</v>
      </c>
      <c r="AM42">
        <v>3000.7106349999999</v>
      </c>
      <c r="AN42">
        <v>3127.5190389999998</v>
      </c>
      <c r="AO42">
        <v>3240.8530150000001</v>
      </c>
      <c r="AP42">
        <v>3341.300362</v>
      </c>
      <c r="AQ42">
        <v>3429.3492590000001</v>
      </c>
      <c r="AR42">
        <v>3493.6988839999999</v>
      </c>
      <c r="AS42">
        <v>3551.4636190000001</v>
      </c>
      <c r="AT42">
        <v>3601.184655</v>
      </c>
      <c r="AU42">
        <v>3643.1418469999999</v>
      </c>
      <c r="AV42">
        <v>3677.2718709999999</v>
      </c>
      <c r="AW42">
        <v>3700.7724090000002</v>
      </c>
    </row>
    <row r="43" spans="2:49" x14ac:dyDescent="0.25">
      <c r="B43" t="s">
        <v>143</v>
      </c>
      <c r="C43">
        <v>8.2417488223721705E-3</v>
      </c>
      <c r="D43">
        <v>8.3740727655845504E-3</v>
      </c>
      <c r="E43">
        <v>8.5085212099999998E-3</v>
      </c>
      <c r="F43">
        <v>2.01742107E-2</v>
      </c>
      <c r="G43">
        <v>3.2728259099999997E-2</v>
      </c>
      <c r="H43">
        <v>4.0084425600000001E-2</v>
      </c>
      <c r="I43">
        <v>5.0501779300000001E-2</v>
      </c>
      <c r="J43">
        <v>6.4890152399999998E-2</v>
      </c>
      <c r="K43">
        <v>8.1860594499999995E-2</v>
      </c>
      <c r="L43">
        <v>0.10355291680000001</v>
      </c>
      <c r="M43">
        <v>0.1325270684</v>
      </c>
      <c r="N43">
        <v>0.16745906669999999</v>
      </c>
      <c r="O43">
        <v>0.2157476217</v>
      </c>
      <c r="P43">
        <v>0.36676314609999999</v>
      </c>
      <c r="Q43">
        <v>0.46276381389999999</v>
      </c>
      <c r="R43">
        <v>0.57186428180000004</v>
      </c>
      <c r="S43">
        <v>0.68552758719999995</v>
      </c>
      <c r="T43">
        <v>0.80685523439999995</v>
      </c>
      <c r="U43">
        <v>0.95570976429999999</v>
      </c>
      <c r="V43">
        <v>1.1411666199999999</v>
      </c>
      <c r="W43">
        <v>1.441284625</v>
      </c>
      <c r="X43">
        <v>1.821648489</v>
      </c>
      <c r="Y43">
        <v>2.1905744810000001</v>
      </c>
      <c r="Z43">
        <v>2.6218257600000001</v>
      </c>
      <c r="AA43">
        <v>3.177539447</v>
      </c>
      <c r="AB43">
        <v>3.8627137710000001</v>
      </c>
      <c r="AC43">
        <v>4.668207346</v>
      </c>
      <c r="AD43">
        <v>5.5649430600000001</v>
      </c>
      <c r="AE43">
        <v>6.5203036900000004</v>
      </c>
      <c r="AF43">
        <v>7.4895627779999998</v>
      </c>
      <c r="AG43">
        <v>8.4395920859999904</v>
      </c>
      <c r="AH43">
        <v>9.3481735910000001</v>
      </c>
      <c r="AI43">
        <v>10.24383864</v>
      </c>
      <c r="AJ43">
        <v>11.10674693</v>
      </c>
      <c r="AK43">
        <v>11.91748619</v>
      </c>
      <c r="AL43">
        <v>12.67413168</v>
      </c>
      <c r="AM43">
        <v>13.36991222</v>
      </c>
      <c r="AN43">
        <v>14.00951238</v>
      </c>
      <c r="AO43">
        <v>14.594740910000001</v>
      </c>
      <c r="AP43">
        <v>15.12765469</v>
      </c>
      <c r="AQ43">
        <v>15.609704260000001</v>
      </c>
      <c r="AR43">
        <v>16.022091629999998</v>
      </c>
      <c r="AS43">
        <v>16.40754196</v>
      </c>
      <c r="AT43">
        <v>16.758741629999999</v>
      </c>
      <c r="AU43">
        <v>17.076399129999999</v>
      </c>
      <c r="AV43">
        <v>17.359514529999998</v>
      </c>
      <c r="AW43">
        <v>17.593370279999998</v>
      </c>
    </row>
    <row r="44" spans="2:49" x14ac:dyDescent="0.25">
      <c r="B44" t="s">
        <v>144</v>
      </c>
      <c r="C44">
        <v>0.101255771246286</v>
      </c>
      <c r="D44" s="39">
        <v>0.10288146540575301</v>
      </c>
      <c r="E44">
        <v>0.1045332606</v>
      </c>
      <c r="F44">
        <v>0.25185499719999999</v>
      </c>
      <c r="G44">
        <v>0.48001735429999998</v>
      </c>
      <c r="H44">
        <v>0.82057135390000002</v>
      </c>
      <c r="I44">
        <v>1.2762631310000001</v>
      </c>
      <c r="J44">
        <v>1.884353433</v>
      </c>
      <c r="K44">
        <v>2.596916357</v>
      </c>
      <c r="L44">
        <v>3.4880869689999998</v>
      </c>
      <c r="M44">
        <v>4.6300728510000004</v>
      </c>
      <c r="N44">
        <v>5.9792467580000004</v>
      </c>
      <c r="O44">
        <v>7.8122478080000004</v>
      </c>
      <c r="P44">
        <v>10.69722788</v>
      </c>
      <c r="Q44">
        <v>14.38788351</v>
      </c>
      <c r="R44">
        <v>18.943871250000001</v>
      </c>
      <c r="S44">
        <v>23.408340389999999</v>
      </c>
      <c r="T44">
        <v>27.89103669</v>
      </c>
      <c r="U44">
        <v>32.198028999999998</v>
      </c>
      <c r="V44">
        <v>36.802506630000003</v>
      </c>
      <c r="W44">
        <v>44.4151211</v>
      </c>
      <c r="X44">
        <v>53.774963169999999</v>
      </c>
      <c r="Y44">
        <v>62.102642869999997</v>
      </c>
      <c r="Z44">
        <v>71.341338649999997</v>
      </c>
      <c r="AA44">
        <v>82.898437720000004</v>
      </c>
      <c r="AB44">
        <v>96.693867760000003</v>
      </c>
      <c r="AC44">
        <v>112.31885389999999</v>
      </c>
      <c r="AD44">
        <v>128.9515245</v>
      </c>
      <c r="AE44">
        <v>145.8163357</v>
      </c>
      <c r="AF44">
        <v>161.94368180000001</v>
      </c>
      <c r="AG44">
        <v>176.71152409999999</v>
      </c>
      <c r="AH44">
        <v>189.7763818</v>
      </c>
      <c r="AI44">
        <v>201.75045119999999</v>
      </c>
      <c r="AJ44">
        <v>212.32603739999999</v>
      </c>
      <c r="AK44">
        <v>221.24408650000001</v>
      </c>
      <c r="AL44">
        <v>228.5934427</v>
      </c>
      <c r="AM44">
        <v>234.37820780000001</v>
      </c>
      <c r="AN44">
        <v>238.91508540000001</v>
      </c>
      <c r="AO44">
        <v>242.32073500000001</v>
      </c>
      <c r="AP44">
        <v>244.69727470000001</v>
      </c>
      <c r="AQ44">
        <v>246.14111539999999</v>
      </c>
      <c r="AR44">
        <v>244.9196986</v>
      </c>
      <c r="AS44">
        <v>243.3757023</v>
      </c>
      <c r="AT44">
        <v>241.4540011</v>
      </c>
      <c r="AU44">
        <v>239.2005489</v>
      </c>
      <c r="AV44">
        <v>236.63992329999999</v>
      </c>
      <c r="AW44">
        <v>233.65624940000001</v>
      </c>
    </row>
    <row r="45" spans="2:49" x14ac:dyDescent="0.25">
      <c r="B45" t="s">
        <v>145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146</v>
      </c>
      <c r="C46">
        <v>30996.0941631817</v>
      </c>
      <c r="D46">
        <v>31493.7464809423</v>
      </c>
      <c r="E46">
        <v>31999.388770000001</v>
      </c>
      <c r="F46">
        <v>32682.561109999999</v>
      </c>
      <c r="G46">
        <v>33303.577210000003</v>
      </c>
      <c r="H46">
        <v>34123.077709999998</v>
      </c>
      <c r="I46">
        <v>34832.515330000002</v>
      </c>
      <c r="J46">
        <v>35442.352850000003</v>
      </c>
      <c r="K46">
        <v>35666.520680000001</v>
      </c>
      <c r="L46">
        <v>35752.444479999998</v>
      </c>
      <c r="M46">
        <v>35830.629829999998</v>
      </c>
      <c r="N46">
        <v>35757.96082</v>
      </c>
      <c r="O46">
        <v>35775.858999999997</v>
      </c>
      <c r="P46">
        <v>36050.764009999999</v>
      </c>
      <c r="Q46">
        <v>36349.344109999998</v>
      </c>
      <c r="R46">
        <v>36639.762439999999</v>
      </c>
      <c r="S46">
        <v>36586.450720000001</v>
      </c>
      <c r="T46">
        <v>36294.812989999999</v>
      </c>
      <c r="U46">
        <v>35812.051469999999</v>
      </c>
      <c r="V46">
        <v>35248.219510000003</v>
      </c>
      <c r="W46">
        <v>35075.938329999997</v>
      </c>
      <c r="X46">
        <v>34989.197590000003</v>
      </c>
      <c r="Y46">
        <v>34482.803140000004</v>
      </c>
      <c r="Z46">
        <v>33712.425810000001</v>
      </c>
      <c r="AA46">
        <v>32721.02592</v>
      </c>
      <c r="AB46">
        <v>31530.559430000001</v>
      </c>
      <c r="AC46">
        <v>30177.086719999999</v>
      </c>
      <c r="AD46">
        <v>28708.981629999998</v>
      </c>
      <c r="AE46">
        <v>27183.79869</v>
      </c>
      <c r="AF46">
        <v>25651.797310000002</v>
      </c>
      <c r="AG46">
        <v>24151.216489999999</v>
      </c>
      <c r="AH46">
        <v>22705.446339999999</v>
      </c>
      <c r="AI46">
        <v>21326.768</v>
      </c>
      <c r="AJ46">
        <v>20019.072769999999</v>
      </c>
      <c r="AK46">
        <v>18782.63335</v>
      </c>
      <c r="AL46">
        <v>17615.79896</v>
      </c>
      <c r="AM46" s="39">
        <v>16515.90971</v>
      </c>
      <c r="AN46" s="39">
        <v>15484.2101</v>
      </c>
      <c r="AO46" s="39">
        <v>14516.71679</v>
      </c>
      <c r="AP46" s="39">
        <v>13609.555490000001</v>
      </c>
      <c r="AQ46" s="39">
        <v>12759.024219999999</v>
      </c>
      <c r="AR46" s="39">
        <v>11908.456260000001</v>
      </c>
      <c r="AS46" s="39">
        <v>11114.575999999999</v>
      </c>
      <c r="AT46" s="39">
        <v>10373.612639999999</v>
      </c>
      <c r="AU46" s="39">
        <v>9682.0426129999996</v>
      </c>
      <c r="AV46" s="39">
        <v>9036.5751629999995</v>
      </c>
      <c r="AW46" s="39">
        <v>8434.1378249999998</v>
      </c>
    </row>
    <row r="47" spans="2:49" x14ac:dyDescent="0.25">
      <c r="B47" t="s">
        <v>147</v>
      </c>
      <c r="C47">
        <v>2.3360541304970401</v>
      </c>
      <c r="D47">
        <v>2.3735602351802898</v>
      </c>
      <c r="E47">
        <v>2.411668513</v>
      </c>
      <c r="F47" s="39">
        <v>5.817893754</v>
      </c>
      <c r="G47" s="39">
        <v>11.217499569999999</v>
      </c>
      <c r="H47">
        <v>19.767233010000002</v>
      </c>
      <c r="I47">
        <v>31.322112090000001</v>
      </c>
      <c r="J47">
        <v>46.795944630000001</v>
      </c>
      <c r="K47">
        <v>64.792830769999995</v>
      </c>
      <c r="L47">
        <v>87.471737579999996</v>
      </c>
      <c r="M47">
        <v>117.4340375</v>
      </c>
      <c r="N47">
        <v>153.3465296</v>
      </c>
      <c r="O47">
        <v>202.64244640000001</v>
      </c>
      <c r="P47" s="39">
        <v>270.44037040000001</v>
      </c>
      <c r="Q47" s="39">
        <v>359.54204600000003</v>
      </c>
      <c r="R47" s="39">
        <v>473.98141040000002</v>
      </c>
      <c r="S47" s="39">
        <v>593.0362993</v>
      </c>
      <c r="T47" s="39">
        <v>719.85020329999998</v>
      </c>
      <c r="U47" s="39">
        <v>876.10766130000002</v>
      </c>
      <c r="V47" s="39">
        <v>1070.569739</v>
      </c>
      <c r="W47" s="39">
        <v>1381.548818</v>
      </c>
      <c r="X47" s="39">
        <v>1774.5192970000001</v>
      </c>
      <c r="Y47" s="39">
        <v>2156.6780250000002</v>
      </c>
      <c r="Z47" s="39">
        <v>2603.207355</v>
      </c>
      <c r="AA47" s="39">
        <v>3177.7845200000002</v>
      </c>
      <c r="AB47" s="39">
        <v>3885.8688459999998</v>
      </c>
      <c r="AC47" s="39">
        <v>4718.4622239999999</v>
      </c>
      <c r="AD47" s="39">
        <v>5646.1002339999995</v>
      </c>
      <c r="AE47" s="39">
        <v>6635.4934050000002</v>
      </c>
      <c r="AF47" s="39">
        <v>7640.8261119999997</v>
      </c>
      <c r="AG47" s="39">
        <v>8628.0171879999998</v>
      </c>
      <c r="AH47" s="39">
        <v>9574.0995349999994</v>
      </c>
      <c r="AI47">
        <v>10508.397279999999</v>
      </c>
      <c r="AJ47">
        <v>11410.405409999999</v>
      </c>
      <c r="AK47">
        <v>12259.983920000001</v>
      </c>
      <c r="AL47">
        <v>13054.96422</v>
      </c>
      <c r="AM47">
        <v>13788.16511</v>
      </c>
      <c r="AN47">
        <v>14463.95714</v>
      </c>
      <c r="AO47">
        <v>15084.062739999999</v>
      </c>
      <c r="AP47">
        <v>15650.496069999999</v>
      </c>
      <c r="AQ47">
        <v>16164.625830000001</v>
      </c>
      <c r="AR47">
        <v>16610.946240000001</v>
      </c>
      <c r="AS47">
        <v>17029.30256</v>
      </c>
      <c r="AT47">
        <v>17411.992620000001</v>
      </c>
      <c r="AU47">
        <v>17759.670419999999</v>
      </c>
      <c r="AV47">
        <v>18071.20162</v>
      </c>
      <c r="AW47">
        <v>18331.052080000001</v>
      </c>
    </row>
    <row r="48" spans="2:49" x14ac:dyDescent="0.25">
      <c r="B48" t="s">
        <v>148</v>
      </c>
      <c r="C48">
        <v>2.1906436884240502E-2</v>
      </c>
      <c r="D48">
        <v>2.2258151814254699E-2</v>
      </c>
      <c r="E48">
        <v>2.2615513600000001E-2</v>
      </c>
      <c r="F48" s="39">
        <v>2.1808167E-2</v>
      </c>
      <c r="G48" s="39">
        <v>5.1455480499999998E-2</v>
      </c>
      <c r="H48">
        <v>8.5495161799999997E-2</v>
      </c>
      <c r="I48">
        <v>0.11978735209999999</v>
      </c>
      <c r="J48">
        <v>0.16462242990000001</v>
      </c>
      <c r="K48" s="39">
        <v>0.20525843569999999</v>
      </c>
      <c r="L48" s="39">
        <v>0.24015842700000001</v>
      </c>
      <c r="M48" s="39">
        <v>0.2729631226</v>
      </c>
      <c r="N48" s="39">
        <v>0.29013528989999998</v>
      </c>
      <c r="O48" s="39">
        <v>0.30248927780000001</v>
      </c>
      <c r="P48" s="39">
        <v>0.30866116780000002</v>
      </c>
      <c r="Q48" s="39">
        <v>0.3358464249</v>
      </c>
      <c r="R48" s="39">
        <v>0.36758758590000001</v>
      </c>
      <c r="S48" s="39">
        <v>0.4163619167</v>
      </c>
      <c r="T48" s="39">
        <v>0.45369209500000002</v>
      </c>
      <c r="U48" s="39">
        <v>0.51421875120000005</v>
      </c>
      <c r="V48" s="39">
        <v>0.5849038459</v>
      </c>
      <c r="W48" s="39">
        <v>0.67904081579999997</v>
      </c>
      <c r="X48" s="39">
        <v>0.78098428529999997</v>
      </c>
      <c r="Y48" s="39">
        <v>0.85521369520000001</v>
      </c>
      <c r="Z48" s="39">
        <v>0.90781521730000003</v>
      </c>
      <c r="AA48" s="39">
        <v>0.93916262169999998</v>
      </c>
      <c r="AB48" s="39">
        <v>0.95057276359999998</v>
      </c>
      <c r="AC48" s="39">
        <v>0.94354347750000001</v>
      </c>
      <c r="AD48" s="39">
        <v>0.92050555909999998</v>
      </c>
      <c r="AE48" s="39">
        <v>0.88599860259999996</v>
      </c>
      <c r="AF48" s="39">
        <v>0.84455006889999995</v>
      </c>
      <c r="AG48" s="39">
        <v>0.79991247320000003</v>
      </c>
      <c r="AH48" s="39">
        <v>0.75461884079999997</v>
      </c>
      <c r="AI48" s="39">
        <v>0.71020846530000004</v>
      </c>
      <c r="AJ48" s="39">
        <v>0.6674135819</v>
      </c>
      <c r="AK48" s="39">
        <v>0.62658816760000002</v>
      </c>
      <c r="AL48" s="39">
        <v>0.58786981279999995</v>
      </c>
      <c r="AM48" s="39">
        <v>0.55127207840000003</v>
      </c>
      <c r="AN48">
        <v>0.51689145079999999</v>
      </c>
      <c r="AO48">
        <v>0.48462348849999998</v>
      </c>
      <c r="AP48">
        <v>0.45435378970000001</v>
      </c>
      <c r="AQ48">
        <v>0.42596648990000002</v>
      </c>
      <c r="AR48">
        <v>0.39757419490000001</v>
      </c>
      <c r="AS48">
        <v>0.37107206510000001</v>
      </c>
      <c r="AT48">
        <v>0.34633536990000002</v>
      </c>
      <c r="AU48">
        <v>0.3232470825</v>
      </c>
      <c r="AV48">
        <v>0.30169765269999999</v>
      </c>
      <c r="AW48">
        <v>0.28158466510000002</v>
      </c>
    </row>
    <row r="49" spans="2:99" x14ac:dyDescent="0.25">
      <c r="B49" t="s">
        <v>149</v>
      </c>
      <c r="C49">
        <v>2298.5980133353301</v>
      </c>
      <c r="D49">
        <v>2335.5027479420201</v>
      </c>
      <c r="E49">
        <v>2373</v>
      </c>
      <c r="F49" s="39">
        <v>2446.6775899999998</v>
      </c>
      <c r="G49" s="39">
        <v>2424.2765530000001</v>
      </c>
      <c r="H49">
        <v>2660.3639440000002</v>
      </c>
      <c r="I49">
        <v>2598.8489709999999</v>
      </c>
      <c r="J49">
        <v>2542.822412</v>
      </c>
      <c r="K49" s="39">
        <v>2194.0678939999998</v>
      </c>
      <c r="L49" s="39">
        <v>2073.8249529999998</v>
      </c>
      <c r="M49" s="39">
        <v>2079.3430400000002</v>
      </c>
      <c r="N49" s="39">
        <v>1940.3869999999999</v>
      </c>
      <c r="O49" s="39">
        <v>2042.316</v>
      </c>
      <c r="P49" s="39">
        <v>2141.6280000000002</v>
      </c>
      <c r="Q49" s="39">
        <v>2203.7420000000002</v>
      </c>
      <c r="R49" s="39">
        <v>2240.3020000000001</v>
      </c>
      <c r="S49" s="39">
        <v>1921.430366</v>
      </c>
      <c r="T49" s="39">
        <v>1694.150517</v>
      </c>
      <c r="U49" s="39">
        <v>1729.8661139999999</v>
      </c>
      <c r="V49" s="39">
        <v>1788.7571230000001</v>
      </c>
      <c r="W49" s="39">
        <v>2275.0972959999999</v>
      </c>
      <c r="X49" s="39">
        <v>2450.7878019999998</v>
      </c>
      <c r="Y49" s="39">
        <v>2046.8499179999999</v>
      </c>
      <c r="Z49" s="39">
        <v>1848.453262</v>
      </c>
      <c r="AA49" s="39">
        <v>1744.822107</v>
      </c>
      <c r="AB49" s="39">
        <v>1662.96507</v>
      </c>
      <c r="AC49" s="39">
        <v>1604.1063630000001</v>
      </c>
      <c r="AD49" s="39">
        <v>1561.674424</v>
      </c>
      <c r="AE49" s="39">
        <v>1542.138571</v>
      </c>
      <c r="AF49" s="39">
        <v>1527.134493</v>
      </c>
      <c r="AG49" s="39">
        <v>1516.648269</v>
      </c>
      <c r="AH49" s="39">
        <v>1507.2040509999999</v>
      </c>
      <c r="AI49" s="39">
        <v>1540.0177160000001</v>
      </c>
      <c r="AJ49" s="39">
        <v>1559.446557</v>
      </c>
      <c r="AK49" s="39">
        <v>1561.247247</v>
      </c>
      <c r="AL49" s="39">
        <v>1560.25902</v>
      </c>
      <c r="AM49" s="39">
        <v>1550.234338</v>
      </c>
      <c r="AN49">
        <v>1538.097098</v>
      </c>
      <c r="AO49">
        <v>1524.3727389999999</v>
      </c>
      <c r="AP49">
        <v>1509.320747</v>
      </c>
      <c r="AQ49">
        <v>1492.351719</v>
      </c>
      <c r="AR49">
        <v>1523.9957830000001</v>
      </c>
      <c r="AS49">
        <v>1525.769562</v>
      </c>
      <c r="AT49">
        <v>1517.985259</v>
      </c>
      <c r="AU49">
        <v>1508.481462</v>
      </c>
      <c r="AV49">
        <v>1495.5112859999999</v>
      </c>
      <c r="AW49">
        <v>1464.598246</v>
      </c>
    </row>
    <row r="50" spans="2:99" x14ac:dyDescent="0.25">
      <c r="B50" t="s">
        <v>150</v>
      </c>
      <c r="C50">
        <v>2297.4487143286601</v>
      </c>
      <c r="D50">
        <v>2334.33499656805</v>
      </c>
      <c r="E50">
        <v>2370.8218320000001</v>
      </c>
      <c r="F50" s="39">
        <v>2443.138723</v>
      </c>
      <c r="G50" s="39">
        <v>2418.556963</v>
      </c>
      <c r="H50">
        <v>2651.1972479999999</v>
      </c>
      <c r="I50">
        <v>2586.2068939999999</v>
      </c>
      <c r="J50">
        <v>2525.6258630000002</v>
      </c>
      <c r="K50" s="39">
        <v>2173.4972309999998</v>
      </c>
      <c r="L50" s="39">
        <v>2047.582441</v>
      </c>
      <c r="M50" s="39">
        <v>2044.5697950000001</v>
      </c>
      <c r="N50" s="39">
        <v>1898.0156360000001</v>
      </c>
      <c r="O50" s="39">
        <v>1984.586024</v>
      </c>
      <c r="P50" s="39">
        <v>2063.6979540000002</v>
      </c>
      <c r="Q50" s="39">
        <v>2101.1183059999998</v>
      </c>
      <c r="R50" s="39">
        <v>2107.8855330000001</v>
      </c>
      <c r="S50" s="39">
        <v>1778.676406</v>
      </c>
      <c r="T50" s="39">
        <v>1537.684798</v>
      </c>
      <c r="U50" s="39">
        <v>1533.6169789999999</v>
      </c>
      <c r="V50" s="39">
        <v>1542.7592999999999</v>
      </c>
      <c r="W50" s="39">
        <v>1901.1435280000001</v>
      </c>
      <c r="X50" s="39">
        <v>1976.549745</v>
      </c>
      <c r="Y50" s="39">
        <v>1559.896743</v>
      </c>
      <c r="Z50" s="39">
        <v>1274.057646</v>
      </c>
      <c r="AA50" s="39">
        <v>1015.2921239999999</v>
      </c>
      <c r="AB50" s="39">
        <v>764.97330239999997</v>
      </c>
      <c r="AC50" s="39">
        <v>538.36085379999997</v>
      </c>
      <c r="AD50" s="39">
        <v>349.7917018</v>
      </c>
      <c r="AE50" s="39">
        <v>211.2474029</v>
      </c>
      <c r="AF50" s="39">
        <v>118.83659919999999</v>
      </c>
      <c r="AG50" s="39">
        <v>63.553162700000001</v>
      </c>
      <c r="AH50" s="39">
        <v>32.875753580000001</v>
      </c>
      <c r="AI50" s="39">
        <v>17.148281539999999</v>
      </c>
      <c r="AJ50" s="39">
        <v>8.7719302520000006</v>
      </c>
      <c r="AK50" s="39">
        <v>4.4121983330000001</v>
      </c>
      <c r="AL50" s="39">
        <v>2.2091787510000001</v>
      </c>
      <c r="AM50" s="39">
        <v>1.0981842550000001</v>
      </c>
      <c r="AN50" s="39">
        <v>0.54474719959999995</v>
      </c>
      <c r="AO50" s="39">
        <v>0.26982334460000001</v>
      </c>
      <c r="AP50" s="39">
        <v>0.1334957302</v>
      </c>
      <c r="AQ50" s="39">
        <v>6.5949829400000007E-2</v>
      </c>
      <c r="AR50" s="39">
        <v>3.3649221700000002E-2</v>
      </c>
      <c r="AS50" s="39">
        <v>1.6831234699999999E-2</v>
      </c>
      <c r="AT50" s="39">
        <v>8.3660547999999998E-3</v>
      </c>
      <c r="AU50" s="39">
        <v>4.1534984300000003E-3</v>
      </c>
      <c r="AV50">
        <v>2.05721723E-3</v>
      </c>
      <c r="AW50" s="39">
        <v>1.0065183300000001E-3</v>
      </c>
    </row>
    <row r="51" spans="2:99" x14ac:dyDescent="0.25">
      <c r="B51" t="s">
        <v>151</v>
      </c>
      <c r="C51">
        <v>1.1492990066676601</v>
      </c>
      <c r="D51">
        <v>1.1677513739710099</v>
      </c>
      <c r="E51">
        <v>1.1860039179999999</v>
      </c>
      <c r="F51" s="39">
        <v>-1.24980674E-6</v>
      </c>
      <c r="G51" s="39">
        <v>26.909504049999999</v>
      </c>
      <c r="H51">
        <v>32.195896070000003</v>
      </c>
      <c r="I51">
        <v>34.08855724</v>
      </c>
      <c r="J51">
        <v>45.097732049999998</v>
      </c>
      <c r="K51" s="39">
        <v>43.622380329999999</v>
      </c>
      <c r="L51" s="39">
        <v>40.544039910000002</v>
      </c>
      <c r="M51" s="39">
        <v>40.38760078</v>
      </c>
      <c r="N51" s="39">
        <v>28.169555920000001</v>
      </c>
      <c r="O51" s="39">
        <v>24.72626254</v>
      </c>
      <c r="P51" s="39">
        <v>18.508634480000001</v>
      </c>
      <c r="Q51" s="39">
        <v>37.368813729999999</v>
      </c>
      <c r="R51" s="39">
        <v>42.600515260000002</v>
      </c>
      <c r="S51" s="39">
        <v>59.124876</v>
      </c>
      <c r="T51" s="39">
        <v>51.199493230000002</v>
      </c>
      <c r="U51" s="39">
        <v>75.603131090000005</v>
      </c>
      <c r="V51" s="39">
        <v>89.052382269999995</v>
      </c>
      <c r="W51" s="39">
        <v>113.42388750000001</v>
      </c>
      <c r="X51" s="39">
        <v>125.2197168</v>
      </c>
      <c r="Y51" s="39">
        <v>106.23243050000001</v>
      </c>
      <c r="Z51" s="39">
        <v>91.198140960000003</v>
      </c>
      <c r="AA51" s="39">
        <v>75.38316442</v>
      </c>
      <c r="AB51" s="39">
        <v>59.631878110000002</v>
      </c>
      <c r="AC51" s="39">
        <v>44.15806894</v>
      </c>
      <c r="AD51" s="39">
        <v>29.852063430000001</v>
      </c>
      <c r="AE51" s="39">
        <v>18.696419599999999</v>
      </c>
      <c r="AF51" s="39">
        <v>10.9146015</v>
      </c>
      <c r="AG51" s="39">
        <v>6.059074216</v>
      </c>
      <c r="AH51" s="39">
        <v>3.2513920949999999</v>
      </c>
      <c r="AI51" s="39">
        <v>1.7493079549999999</v>
      </c>
      <c r="AJ51" s="39">
        <v>0.92336227110000002</v>
      </c>
      <c r="AK51" s="39">
        <v>0.47992628180000002</v>
      </c>
      <c r="AL51" s="39">
        <v>0.2482017114</v>
      </c>
      <c r="AM51" s="39">
        <v>0.12735356349999999</v>
      </c>
      <c r="AN51" s="39">
        <v>6.5281891800000005E-2</v>
      </c>
      <c r="AO51" s="39">
        <v>3.3362452399999999E-2</v>
      </c>
      <c r="AP51" s="39">
        <v>1.7028883299999999E-2</v>
      </c>
      <c r="AQ51" s="39">
        <v>8.6716306099999998E-3</v>
      </c>
      <c r="AR51" s="39">
        <v>4.8356184899999996E-3</v>
      </c>
      <c r="AS51" s="39">
        <v>2.4896034800000002E-3</v>
      </c>
      <c r="AT51" s="39">
        <v>1.27508132E-3</v>
      </c>
      <c r="AU51" s="39">
        <v>6.5170538400000002E-4</v>
      </c>
      <c r="AV51">
        <v>3.3210908400000002E-4</v>
      </c>
      <c r="AW51" s="39">
        <v>1.67243046E-4</v>
      </c>
    </row>
    <row r="52" spans="2:99" x14ac:dyDescent="0.25">
      <c r="B52" t="s">
        <v>152</v>
      </c>
      <c r="C52">
        <v>413.74764240035898</v>
      </c>
      <c r="D52">
        <v>420.39049462956399</v>
      </c>
      <c r="E52">
        <v>426.9614105</v>
      </c>
      <c r="F52" s="39">
        <v>436.50801389999998</v>
      </c>
      <c r="G52" s="39">
        <v>444.62900680000001</v>
      </c>
      <c r="H52">
        <v>495.07739529999998</v>
      </c>
      <c r="I52">
        <v>481.45599720000001</v>
      </c>
      <c r="J52">
        <v>472.33990319999998</v>
      </c>
      <c r="K52" s="39">
        <v>406.03722119999998</v>
      </c>
      <c r="L52" s="39">
        <v>382.88653420000003</v>
      </c>
      <c r="M52" s="39">
        <v>383.83392689999999</v>
      </c>
      <c r="N52" s="39">
        <v>359.40925470000002</v>
      </c>
      <c r="O52" s="39">
        <v>375.90326279999999</v>
      </c>
      <c r="P52" s="39">
        <v>385.45264759999998</v>
      </c>
      <c r="Q52" s="39">
        <v>399.3408455</v>
      </c>
      <c r="R52" s="39">
        <v>403.77472219999999</v>
      </c>
      <c r="S52" s="39">
        <v>354.91739969999998</v>
      </c>
      <c r="T52" s="39">
        <v>303.5128216</v>
      </c>
      <c r="U52" s="39">
        <v>315.98450880000001</v>
      </c>
      <c r="V52" s="39">
        <v>322.61628760000002</v>
      </c>
      <c r="W52" s="39">
        <v>397.71463499999999</v>
      </c>
      <c r="X52" s="39">
        <v>414.85318239999998</v>
      </c>
      <c r="Y52" s="39">
        <v>330.013418</v>
      </c>
      <c r="Z52" s="39">
        <v>270.99095360000001</v>
      </c>
      <c r="AA52" s="39">
        <v>216.7527565</v>
      </c>
      <c r="AB52" s="39">
        <v>163.7986942</v>
      </c>
      <c r="AC52" s="39">
        <v>115.6610065</v>
      </c>
      <c r="AD52" s="39">
        <v>75.437437160000002</v>
      </c>
      <c r="AE52" s="39">
        <v>45.723728719999997</v>
      </c>
      <c r="AF52" s="39">
        <v>25.8234633</v>
      </c>
      <c r="AG52" s="39">
        <v>13.86816636</v>
      </c>
      <c r="AH52" s="39">
        <v>7.2048766090000003</v>
      </c>
      <c r="AI52" s="39">
        <v>3.7734485100000001</v>
      </c>
      <c r="AJ52" s="39">
        <v>1.9383801469999999</v>
      </c>
      <c r="AK52" s="39">
        <v>0.9793414319</v>
      </c>
      <c r="AL52" s="39">
        <v>0.49253867060000001</v>
      </c>
      <c r="AM52" s="39">
        <v>0.24591187019999999</v>
      </c>
      <c r="AN52" s="39">
        <v>0.1223481689</v>
      </c>
      <c r="AO52" s="39">
        <v>6.0764652500000002E-2</v>
      </c>
      <c r="AP52" s="39">
        <v>3.01440795E-2</v>
      </c>
      <c r="AQ52" s="39">
        <v>1.4929883E-2</v>
      </c>
      <c r="AR52" s="39">
        <v>7.70583181E-3</v>
      </c>
      <c r="AS52" s="39">
        <v>3.8607911100000001E-3</v>
      </c>
      <c r="AT52" s="39">
        <v>1.9222707E-3</v>
      </c>
      <c r="AU52" s="39">
        <v>9.5574510400000005E-4</v>
      </c>
      <c r="AV52">
        <v>4.7398250000000002E-4</v>
      </c>
      <c r="AW52" s="39">
        <v>2.32181823E-4</v>
      </c>
    </row>
    <row r="53" spans="2:99" x14ac:dyDescent="0.25">
      <c r="B53" t="s">
        <v>153</v>
      </c>
      <c r="C53">
        <v>652.80183578723302</v>
      </c>
      <c r="D53">
        <v>663.28278041553403</v>
      </c>
      <c r="E53">
        <v>673.65022550000003</v>
      </c>
      <c r="F53" s="39">
        <v>692.15178470000001</v>
      </c>
      <c r="G53" s="39">
        <v>683.52803870000002</v>
      </c>
      <c r="H53">
        <v>752.36456080000005</v>
      </c>
      <c r="I53">
        <v>733.00397480000004</v>
      </c>
      <c r="J53">
        <v>715.52670590000002</v>
      </c>
      <c r="K53" s="39">
        <v>615.06373770000005</v>
      </c>
      <c r="L53" s="39">
        <v>579.56354569999996</v>
      </c>
      <c r="M53" s="39">
        <v>579.35109130000001</v>
      </c>
      <c r="N53" s="39">
        <v>549.45773199999996</v>
      </c>
      <c r="O53" s="39">
        <v>575.23301149999998</v>
      </c>
      <c r="P53" s="39">
        <v>597.21395589999997</v>
      </c>
      <c r="Q53" s="39">
        <v>609.25703969999995</v>
      </c>
      <c r="R53" s="39">
        <v>613.36990089999995</v>
      </c>
      <c r="S53" s="39">
        <v>524.53150159999996</v>
      </c>
      <c r="T53" s="39">
        <v>452.57182619999998</v>
      </c>
      <c r="U53" s="39">
        <v>455.15551449999998</v>
      </c>
      <c r="V53" s="39">
        <v>457.19673230000001</v>
      </c>
      <c r="W53" s="39">
        <v>562.74041720000002</v>
      </c>
      <c r="X53" s="39">
        <v>584.11433109999996</v>
      </c>
      <c r="Y53" s="39">
        <v>460.40238010000002</v>
      </c>
      <c r="Z53" s="39">
        <v>375.6109391</v>
      </c>
      <c r="AA53" s="39">
        <v>299.0177789</v>
      </c>
      <c r="AB53" s="39">
        <v>224.85134400000001</v>
      </c>
      <c r="AC53" s="39">
        <v>157.89107910000001</v>
      </c>
      <c r="AD53" s="39">
        <v>102.4190352</v>
      </c>
      <c r="AE53" s="39">
        <v>61.752218849999998</v>
      </c>
      <c r="AF53" s="39">
        <v>34.676922679999997</v>
      </c>
      <c r="AG53" s="39">
        <v>18.509297310000001</v>
      </c>
      <c r="AH53" s="39">
        <v>9.5551533000000006</v>
      </c>
      <c r="AI53" s="39">
        <v>4.9749850249999996</v>
      </c>
      <c r="AJ53" s="39">
        <v>2.539794042</v>
      </c>
      <c r="AK53" s="39">
        <v>1.274596157</v>
      </c>
      <c r="AL53" s="39">
        <v>0.63663349940000002</v>
      </c>
      <c r="AM53" s="39">
        <v>0.3156500391</v>
      </c>
      <c r="AN53" s="39">
        <v>0.1560913531</v>
      </c>
      <c r="AO53" s="39">
        <v>7.7069849100000004E-2</v>
      </c>
      <c r="AP53" s="39">
        <v>3.80019812E-2</v>
      </c>
      <c r="AQ53" s="39">
        <v>1.87081911E-2</v>
      </c>
      <c r="AR53" s="39">
        <v>9.4371857500000003E-3</v>
      </c>
      <c r="AS53" s="39">
        <v>4.7000810899999997E-3</v>
      </c>
      <c r="AT53" s="39">
        <v>2.3251416199999999E-3</v>
      </c>
      <c r="AU53" s="39">
        <v>1.14874812E-3</v>
      </c>
      <c r="AV53">
        <v>5.66106958E-4</v>
      </c>
      <c r="AW53" s="39">
        <v>2.7548269000000002E-4</v>
      </c>
    </row>
    <row r="54" spans="2:99" x14ac:dyDescent="0.25">
      <c r="B54" t="s">
        <v>154</v>
      </c>
      <c r="C54">
        <v>643.60744373389196</v>
      </c>
      <c r="D54">
        <v>653.94076942376603</v>
      </c>
      <c r="E54">
        <v>664.16219420000004</v>
      </c>
      <c r="F54" s="39">
        <v>683.67708879999998</v>
      </c>
      <c r="G54" s="39">
        <v>673.13709180000001</v>
      </c>
      <c r="H54">
        <v>738.74091429999999</v>
      </c>
      <c r="I54">
        <v>719.82799399999999</v>
      </c>
      <c r="J54">
        <v>700.92001470000002</v>
      </c>
      <c r="K54" s="39">
        <v>602.13022599999999</v>
      </c>
      <c r="L54" s="39">
        <v>567.29586510000001</v>
      </c>
      <c r="M54" s="39">
        <v>566.71382229999995</v>
      </c>
      <c r="N54" s="39">
        <v>529.39721129999998</v>
      </c>
      <c r="O54" s="39">
        <v>555.13314649999995</v>
      </c>
      <c r="P54" s="39">
        <v>578.93406689999995</v>
      </c>
      <c r="Q54" s="39">
        <v>583.74305289999995</v>
      </c>
      <c r="R54" s="39">
        <v>588.94545930000004</v>
      </c>
      <c r="S54" s="39">
        <v>492.5354102</v>
      </c>
      <c r="T54" s="39">
        <v>435.19867290000002</v>
      </c>
      <c r="U54" s="39">
        <v>430.00007859999999</v>
      </c>
      <c r="V54" s="39">
        <v>428.30663609999999</v>
      </c>
      <c r="W54" s="39">
        <v>526.59659699999997</v>
      </c>
      <c r="X54" s="39">
        <v>545.03002660000004</v>
      </c>
      <c r="Y54" s="39">
        <v>427.51159439999998</v>
      </c>
      <c r="Z54" s="39">
        <v>347.56102019999997</v>
      </c>
      <c r="AA54" s="39">
        <v>275.97265399999998</v>
      </c>
      <c r="AB54" s="39">
        <v>206.91108259999999</v>
      </c>
      <c r="AC54" s="39">
        <v>144.8145088</v>
      </c>
      <c r="AD54" s="39">
        <v>93.647012439999997</v>
      </c>
      <c r="AE54" s="39">
        <v>56.295870479999998</v>
      </c>
      <c r="AF54" s="39">
        <v>31.511438510000001</v>
      </c>
      <c r="AG54" s="39">
        <v>16.762157500000001</v>
      </c>
      <c r="AH54" s="39">
        <v>8.6225406660000008</v>
      </c>
      <c r="AI54" s="39">
        <v>4.4748340930000001</v>
      </c>
      <c r="AJ54" s="39">
        <v>2.276650794</v>
      </c>
      <c r="AK54" s="39">
        <v>1.1383031990000001</v>
      </c>
      <c r="AL54" s="39">
        <v>0.56640250759999999</v>
      </c>
      <c r="AM54" s="39">
        <v>0.27975231490000002</v>
      </c>
      <c r="AN54" s="39">
        <v>0.1378540825</v>
      </c>
      <c r="AO54" s="39">
        <v>6.7834460400000005E-2</v>
      </c>
      <c r="AP54" s="39">
        <v>3.3331581899999997E-2</v>
      </c>
      <c r="AQ54" s="39">
        <v>1.6351968599999999E-2</v>
      </c>
      <c r="AR54" s="39">
        <v>8.1461998099999905E-3</v>
      </c>
      <c r="AS54" s="39">
        <v>4.0432625200000002E-3</v>
      </c>
      <c r="AT54" s="39">
        <v>1.9929276399999999E-3</v>
      </c>
      <c r="AU54" s="39">
        <v>9.8110427499999999E-4</v>
      </c>
      <c r="AV54">
        <v>4.8178367199999998E-4</v>
      </c>
      <c r="AW54" s="39">
        <v>2.3359353700000001E-4</v>
      </c>
    </row>
    <row r="55" spans="2:99" x14ac:dyDescent="0.25">
      <c r="B55" t="s">
        <v>155</v>
      </c>
      <c r="C55">
        <v>413.74764240035898</v>
      </c>
      <c r="D55">
        <v>420.39049462956399</v>
      </c>
      <c r="E55">
        <v>426.9614105</v>
      </c>
      <c r="F55" s="39">
        <v>441.88381090000001</v>
      </c>
      <c r="G55" s="39">
        <v>425.86557299999998</v>
      </c>
      <c r="H55">
        <v>462.25431040000001</v>
      </c>
      <c r="I55">
        <v>451.02953559999997</v>
      </c>
      <c r="J55">
        <v>436.4333378</v>
      </c>
      <c r="K55" s="39">
        <v>374.61508950000001</v>
      </c>
      <c r="L55" s="39">
        <v>357.85066089999998</v>
      </c>
      <c r="M55" s="39">
        <v>356.61302810000001</v>
      </c>
      <c r="N55" s="39">
        <v>324.79863649999999</v>
      </c>
      <c r="O55" s="39">
        <v>341.80366770000001</v>
      </c>
      <c r="P55" s="39">
        <v>354.16408059999998</v>
      </c>
      <c r="Q55" s="39">
        <v>350.57110949999998</v>
      </c>
      <c r="R55" s="39">
        <v>346.85913590000001</v>
      </c>
      <c r="S55" s="39">
        <v>272.54763209999999</v>
      </c>
      <c r="T55" s="39">
        <v>251.79392899999999</v>
      </c>
      <c r="U55" s="39">
        <v>227.812569</v>
      </c>
      <c r="V55" s="39">
        <v>220.86566830000001</v>
      </c>
      <c r="W55" s="39">
        <v>270.7900242</v>
      </c>
      <c r="X55" s="39">
        <v>277.93901949999997</v>
      </c>
      <c r="Y55" s="39">
        <v>214.72868819999999</v>
      </c>
      <c r="Z55" s="39">
        <v>172.71995369999999</v>
      </c>
      <c r="AA55" s="39">
        <v>136.0886399</v>
      </c>
      <c r="AB55" s="39">
        <v>101.1987369</v>
      </c>
      <c r="AC55" s="39">
        <v>70.183837260000004</v>
      </c>
      <c r="AD55" s="39">
        <v>44.989325989999998</v>
      </c>
      <c r="AE55" s="39">
        <v>26.821073429999998</v>
      </c>
      <c r="AF55" s="39">
        <v>14.879551810000001</v>
      </c>
      <c r="AG55" s="39">
        <v>7.8410912750000001</v>
      </c>
      <c r="AH55" s="39">
        <v>3.995088333</v>
      </c>
      <c r="AI55" s="39">
        <v>2.0554285989999999</v>
      </c>
      <c r="AJ55" s="39">
        <v>1.0364259039999999</v>
      </c>
      <c r="AK55" s="39">
        <v>0.5133216491</v>
      </c>
      <c r="AL55" s="39">
        <v>0.2530264867</v>
      </c>
      <c r="AM55" s="39">
        <v>0.1238235203</v>
      </c>
      <c r="AN55" s="39">
        <v>6.0538113900000003E-2</v>
      </c>
      <c r="AO55" s="39">
        <v>2.9571545000000001E-2</v>
      </c>
      <c r="AP55" s="39">
        <v>1.4424883100000001E-2</v>
      </c>
      <c r="AQ55" s="39">
        <v>7.0272620999999999E-3</v>
      </c>
      <c r="AR55" s="39">
        <v>3.4182333899999999E-3</v>
      </c>
      <c r="AS55" s="39">
        <v>1.68740953E-3</v>
      </c>
      <c r="AT55" s="39">
        <v>8.2719292200000003E-4</v>
      </c>
      <c r="AU55" s="39">
        <v>4.0520146E-4</v>
      </c>
      <c r="AV55">
        <v>1.9807652500000001E-4</v>
      </c>
      <c r="AW55" s="39">
        <v>9.5624601000000002E-5</v>
      </c>
    </row>
    <row r="56" spans="2:99" x14ac:dyDescent="0.25">
      <c r="B56" t="s">
        <v>156</v>
      </c>
      <c r="C56">
        <v>137.915880800119</v>
      </c>
      <c r="D56">
        <v>140.13016487652101</v>
      </c>
      <c r="E56">
        <v>142.32047019999999</v>
      </c>
      <c r="F56" s="39">
        <v>149.8157023</v>
      </c>
      <c r="G56" s="39">
        <v>134.94265949999999</v>
      </c>
      <c r="H56">
        <v>141.3143355</v>
      </c>
      <c r="I56">
        <v>138.49015309999999</v>
      </c>
      <c r="J56">
        <v>131.24786800000001</v>
      </c>
      <c r="K56" s="39">
        <v>112.3387735</v>
      </c>
      <c r="L56" s="39">
        <v>104.4656116</v>
      </c>
      <c r="M56" s="39">
        <v>103.1583392</v>
      </c>
      <c r="N56" s="39">
        <v>90.252914840000003</v>
      </c>
      <c r="O56" s="39">
        <v>94.847928190000005</v>
      </c>
      <c r="P56" s="39">
        <v>106.5275182</v>
      </c>
      <c r="Q56" s="39">
        <v>102.0310163</v>
      </c>
      <c r="R56" s="39">
        <v>97.606592649999996</v>
      </c>
      <c r="S56" s="39">
        <v>67.520879129999997</v>
      </c>
      <c r="T56" s="39">
        <v>42.034293890000001</v>
      </c>
      <c r="U56" s="39">
        <v>29.061185590000001</v>
      </c>
      <c r="V56" s="39">
        <v>24.721593670000001</v>
      </c>
      <c r="W56" s="39">
        <v>29.877939009999999</v>
      </c>
      <c r="X56" s="39">
        <v>29.393468559999999</v>
      </c>
      <c r="Y56" s="39">
        <v>21.008232209999999</v>
      </c>
      <c r="Z56" s="39">
        <v>15.97663852</v>
      </c>
      <c r="AA56" s="39">
        <v>12.077130049999999</v>
      </c>
      <c r="AB56" s="39">
        <v>8.5815666030000006</v>
      </c>
      <c r="AC56" s="39">
        <v>5.6523532190000001</v>
      </c>
      <c r="AD56" s="39">
        <v>3.4468274540000001</v>
      </c>
      <c r="AE56" s="39">
        <v>1.9580917879999999</v>
      </c>
      <c r="AF56" s="39">
        <v>1.030621359</v>
      </c>
      <c r="AG56" s="39">
        <v>0.51337603060000003</v>
      </c>
      <c r="AH56" s="39">
        <v>0.24670257209999999</v>
      </c>
      <c r="AI56" s="39">
        <v>0.1202773573</v>
      </c>
      <c r="AJ56" s="39">
        <v>5.7317094399999997E-2</v>
      </c>
      <c r="AK56" s="39">
        <v>2.6709614600000001E-2</v>
      </c>
      <c r="AL56" s="39">
        <v>1.2375875600000001E-2</v>
      </c>
      <c r="AM56" s="39">
        <v>5.69294686E-3</v>
      </c>
      <c r="AN56" s="39">
        <v>2.6335894799999998E-3</v>
      </c>
      <c r="AO56" s="39">
        <v>1.22038528E-3</v>
      </c>
      <c r="AP56" s="39">
        <v>5.6432120600000005E-4</v>
      </c>
      <c r="AQ56" s="39">
        <v>2.6089405100000003E-4</v>
      </c>
      <c r="AR56" s="39">
        <v>1.06152399E-4</v>
      </c>
      <c r="AS56" s="39">
        <v>5.0087006899999998E-5</v>
      </c>
      <c r="AT56" s="39">
        <v>2.3440599600000001E-5</v>
      </c>
      <c r="AU56" s="39">
        <v>1.09940872E-5</v>
      </c>
      <c r="AV56" s="39">
        <v>5.1584903999999997E-6</v>
      </c>
      <c r="AW56" s="39">
        <v>2.3926311299999998E-6</v>
      </c>
    </row>
    <row r="57" spans="2:99" x14ac:dyDescent="0.25">
      <c r="B57" t="s">
        <v>157</v>
      </c>
      <c r="C57">
        <v>34.478970200029899</v>
      </c>
      <c r="D57">
        <v>35.032541219130302</v>
      </c>
      <c r="E57">
        <v>35.580117540000003</v>
      </c>
      <c r="F57" s="39">
        <v>39.102324160000002</v>
      </c>
      <c r="G57" s="39">
        <v>29.54508959</v>
      </c>
      <c r="H57">
        <v>29.249835560000001</v>
      </c>
      <c r="I57">
        <v>28.310682029999999</v>
      </c>
      <c r="J57">
        <v>24.060301169999999</v>
      </c>
      <c r="K57" s="39">
        <v>19.68980286</v>
      </c>
      <c r="L57" s="39">
        <v>14.976183349999999</v>
      </c>
      <c r="M57" s="39">
        <v>14.511986390000001</v>
      </c>
      <c r="N57" s="39">
        <v>16.53033065</v>
      </c>
      <c r="O57" s="39">
        <v>16.938744849999999</v>
      </c>
      <c r="P57" s="39">
        <v>22.897049939999999</v>
      </c>
      <c r="Q57" s="39">
        <v>18.806428319999998</v>
      </c>
      <c r="R57" s="39">
        <v>14.72920702</v>
      </c>
      <c r="S57" s="39">
        <v>7.4987083309999996</v>
      </c>
      <c r="T57" s="39">
        <v>1.373761265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39">
        <v>0</v>
      </c>
      <c r="AB57" s="39">
        <v>0</v>
      </c>
      <c r="AC57" s="39">
        <v>0</v>
      </c>
      <c r="AD57" s="39">
        <v>0</v>
      </c>
      <c r="AE57" s="39">
        <v>0</v>
      </c>
      <c r="AF57" s="39">
        <v>0</v>
      </c>
      <c r="AG57" s="39">
        <v>0</v>
      </c>
      <c r="AH57" s="39">
        <v>0</v>
      </c>
      <c r="AI57" s="39">
        <v>0</v>
      </c>
      <c r="AJ57" s="39">
        <v>0</v>
      </c>
      <c r="AK57" s="39">
        <v>0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>
        <v>0</v>
      </c>
      <c r="AS57">
        <v>0</v>
      </c>
      <c r="AT57">
        <v>0</v>
      </c>
      <c r="AU57">
        <v>0</v>
      </c>
      <c r="AV57" s="39">
        <v>0</v>
      </c>
      <c r="AW57" s="39">
        <v>0</v>
      </c>
      <c r="CT57" s="39"/>
      <c r="CU57" s="39"/>
    </row>
    <row r="58" spans="2:99" x14ac:dyDescent="0.25">
      <c r="B58" t="s">
        <v>158</v>
      </c>
      <c r="C58">
        <v>1.1492990066676601</v>
      </c>
      <c r="D58">
        <v>1.1677513739710099</v>
      </c>
      <c r="E58">
        <v>2.1781676650000001</v>
      </c>
      <c r="F58" s="39">
        <v>3.5388670100000001</v>
      </c>
      <c r="G58" s="39">
        <v>5.7195899719999996</v>
      </c>
      <c r="H58">
        <v>9.1666959079999994</v>
      </c>
      <c r="I58">
        <v>12.642076899999999</v>
      </c>
      <c r="J58">
        <v>17.196548700000001</v>
      </c>
      <c r="K58" s="39">
        <v>20.57066309</v>
      </c>
      <c r="L58" s="39">
        <v>26.2425125</v>
      </c>
      <c r="M58" s="39">
        <v>34.773245520000003</v>
      </c>
      <c r="N58" s="39">
        <v>42.371364139999997</v>
      </c>
      <c r="O58" s="39">
        <v>57.729975930000002</v>
      </c>
      <c r="P58" s="39">
        <v>77.930046369999999</v>
      </c>
      <c r="Q58" s="39">
        <v>102.623694</v>
      </c>
      <c r="R58" s="39">
        <v>132.4164667</v>
      </c>
      <c r="S58" s="39">
        <v>142.75395940000001</v>
      </c>
      <c r="T58" s="39">
        <v>156.46571890000001</v>
      </c>
      <c r="U58" s="39">
        <v>196.24913520000001</v>
      </c>
      <c r="V58" s="39">
        <v>245.99782279999999</v>
      </c>
      <c r="W58" s="39">
        <v>373.95376809999999</v>
      </c>
      <c r="X58" s="39">
        <v>474.23805700000003</v>
      </c>
      <c r="Y58" s="39">
        <v>486.95317419999998</v>
      </c>
      <c r="Z58" s="39">
        <v>574.39561639999999</v>
      </c>
      <c r="AA58" s="39">
        <v>729.52998339999999</v>
      </c>
      <c r="AB58" s="39">
        <v>897.9917676</v>
      </c>
      <c r="AC58" s="39">
        <v>1065.7455090000001</v>
      </c>
      <c r="AD58" s="39">
        <v>1211.8827220000001</v>
      </c>
      <c r="AE58" s="39">
        <v>1330.8911680000001</v>
      </c>
      <c r="AF58" s="39">
        <v>1408.297894</v>
      </c>
      <c r="AG58" s="39">
        <v>1453.0951070000001</v>
      </c>
      <c r="AH58" s="39">
        <v>1474.3282979999999</v>
      </c>
      <c r="AI58" s="39">
        <v>1522.8694350000001</v>
      </c>
      <c r="AJ58" s="39">
        <v>1550.6746270000001</v>
      </c>
      <c r="AK58" s="39">
        <v>1556.835049</v>
      </c>
      <c r="AL58" s="39">
        <v>1558.049841</v>
      </c>
      <c r="AM58" s="39">
        <v>1549.136154</v>
      </c>
      <c r="AN58">
        <v>1537.552351</v>
      </c>
      <c r="AO58">
        <v>1524.1029149999999</v>
      </c>
      <c r="AP58">
        <v>1509.1872519999999</v>
      </c>
      <c r="AQ58">
        <v>1492.2857690000001</v>
      </c>
      <c r="AR58">
        <v>1523.962133</v>
      </c>
      <c r="AS58">
        <v>1525.752731</v>
      </c>
      <c r="AT58">
        <v>1517.976893</v>
      </c>
      <c r="AU58">
        <v>1508.477308</v>
      </c>
      <c r="AV58">
        <v>1495.509229</v>
      </c>
      <c r="AW58">
        <v>1464.5972389999999</v>
      </c>
    </row>
    <row r="59" spans="2:99" x14ac:dyDescent="0.25">
      <c r="B59" t="s">
        <v>159</v>
      </c>
      <c r="C59">
        <v>3.4228836395600501E-3</v>
      </c>
      <c r="D59">
        <v>3.4778391435562701E-3</v>
      </c>
      <c r="E59">
        <v>6.4870972799999996E-3</v>
      </c>
      <c r="F59" s="39">
        <v>1.0993938599999999E-2</v>
      </c>
      <c r="G59" s="39">
        <v>2.5486269900000001E-2</v>
      </c>
      <c r="H59">
        <v>7.1214105099999994E-2</v>
      </c>
      <c r="I59">
        <v>0.1058595073</v>
      </c>
      <c r="J59">
        <v>0.14834035509999999</v>
      </c>
      <c r="K59" s="39">
        <v>0.17037556979999999</v>
      </c>
      <c r="L59" s="39">
        <v>0.2279639685</v>
      </c>
      <c r="M59" s="39">
        <v>0.35599989599999998</v>
      </c>
      <c r="N59" s="39">
        <v>0.4662341746</v>
      </c>
      <c r="O59" s="39">
        <v>0.67088351710000005</v>
      </c>
      <c r="P59" s="39">
        <v>0.37904390650000003</v>
      </c>
      <c r="Q59" s="39">
        <v>0.62864350560000004</v>
      </c>
      <c r="R59" s="39">
        <v>1.0656100019999999</v>
      </c>
      <c r="S59" s="39">
        <v>1.5583526350000001</v>
      </c>
      <c r="T59" s="39">
        <v>2.140185942</v>
      </c>
      <c r="U59" s="39">
        <v>4.8221626850000003</v>
      </c>
      <c r="V59" s="39">
        <v>7.7474756539999996</v>
      </c>
      <c r="W59" s="39">
        <v>11.99637482</v>
      </c>
      <c r="X59" s="39">
        <v>16.160145709999998</v>
      </c>
      <c r="Y59" s="39">
        <v>18.443371450000001</v>
      </c>
      <c r="Z59" s="39">
        <v>23.373719300000001</v>
      </c>
      <c r="AA59" s="39">
        <v>31.277938410000001</v>
      </c>
      <c r="AB59" s="39">
        <v>40.427914629999997</v>
      </c>
      <c r="AC59" s="39">
        <v>50.345535099999999</v>
      </c>
      <c r="AD59" s="39">
        <v>60.152743180000002</v>
      </c>
      <c r="AE59" s="39">
        <v>69.327608769999998</v>
      </c>
      <c r="AF59" s="39">
        <v>77.093485540000003</v>
      </c>
      <c r="AG59" s="39">
        <v>83.575358969999996</v>
      </c>
      <c r="AH59" s="39">
        <v>89.028613000000007</v>
      </c>
      <c r="AI59" s="39">
        <v>96.113315740000004</v>
      </c>
      <c r="AJ59" s="39">
        <v>102.36108</v>
      </c>
      <c r="AK59" s="39">
        <v>107.5886531</v>
      </c>
      <c r="AL59" s="39">
        <v>112.5436758</v>
      </c>
      <c r="AM59" s="39">
        <v>116.9044282</v>
      </c>
      <c r="AN59">
        <v>120.3190419</v>
      </c>
      <c r="AO59">
        <v>123.5212732</v>
      </c>
      <c r="AP59">
        <v>126.601975</v>
      </c>
      <c r="AQ59">
        <v>129.45617659999999</v>
      </c>
      <c r="AR59">
        <v>148.8578727</v>
      </c>
      <c r="AS59">
        <v>153.53299250000001</v>
      </c>
      <c r="AT59">
        <v>157.47012129999999</v>
      </c>
      <c r="AU59">
        <v>161.21119340000001</v>
      </c>
      <c r="AV59">
        <v>164.56887649999999</v>
      </c>
      <c r="AW59">
        <v>166.07137460000001</v>
      </c>
    </row>
    <row r="60" spans="2:99" x14ac:dyDescent="0.25">
      <c r="B60" t="s">
        <v>160</v>
      </c>
      <c r="C60">
        <v>7.8463024968376607E-3</v>
      </c>
      <c r="D60">
        <v>7.9722774213828399E-3</v>
      </c>
      <c r="E60">
        <v>1.4870423000000001E-2</v>
      </c>
      <c r="F60" s="39">
        <v>2.4475427399999999E-2</v>
      </c>
      <c r="G60" s="39">
        <v>4.4902223499999998E-2</v>
      </c>
      <c r="H60">
        <v>9.2770310999999994E-2</v>
      </c>
      <c r="I60">
        <v>0.13312858929999999</v>
      </c>
      <c r="J60">
        <v>0.18403146810000001</v>
      </c>
      <c r="K60" s="39">
        <v>0.2153509713</v>
      </c>
      <c r="L60" s="39">
        <v>0.28191545880000002</v>
      </c>
      <c r="M60" s="39">
        <v>0.40995193819999998</v>
      </c>
      <c r="N60" s="39">
        <v>0.52132919870000005</v>
      </c>
      <c r="O60" s="39">
        <v>0.73418975809999998</v>
      </c>
      <c r="P60" s="39">
        <v>0.63374483049999997</v>
      </c>
      <c r="Q60" s="39">
        <v>0.92369053619999997</v>
      </c>
      <c r="R60" s="39">
        <v>1.36514333</v>
      </c>
      <c r="S60" s="39">
        <v>1.7480674570000001</v>
      </c>
      <c r="T60" s="39">
        <v>2.204492686</v>
      </c>
      <c r="U60" s="39">
        <v>4.1542341580000004</v>
      </c>
      <c r="V60" s="39">
        <v>6.2729704760000002</v>
      </c>
      <c r="W60" s="39">
        <v>9.6706495229999998</v>
      </c>
      <c r="X60" s="39">
        <v>12.84314519</v>
      </c>
      <c r="Y60" s="39">
        <v>14.303896440000001</v>
      </c>
      <c r="Z60" s="39">
        <v>17.83378042</v>
      </c>
      <c r="AA60" s="39">
        <v>23.58406651</v>
      </c>
      <c r="AB60" s="39">
        <v>30.148645129999998</v>
      </c>
      <c r="AC60" s="39">
        <v>37.138258899999997</v>
      </c>
      <c r="AD60" s="39">
        <v>43.877427879999999</v>
      </c>
      <c r="AE60" s="39">
        <v>50.015718130000003</v>
      </c>
      <c r="AF60" s="39">
        <v>54.986337249999998</v>
      </c>
      <c r="AG60" s="39">
        <v>58.927361859999998</v>
      </c>
      <c r="AH60" s="39">
        <v>62.054139229999997</v>
      </c>
      <c r="AI60" s="39">
        <v>66.285316330000001</v>
      </c>
      <c r="AJ60" s="39">
        <v>69.823604840000002</v>
      </c>
      <c r="AK60" s="39">
        <v>72.554373170000005</v>
      </c>
      <c r="AL60" s="39">
        <v>75.042910570000004</v>
      </c>
      <c r="AM60" s="39">
        <v>77.062731909999997</v>
      </c>
      <c r="AN60">
        <v>78.545094800000001</v>
      </c>
      <c r="AO60">
        <v>79.863237080000005</v>
      </c>
      <c r="AP60">
        <v>81.065537699999894</v>
      </c>
      <c r="AQ60">
        <v>82.095387680000002</v>
      </c>
      <c r="AR60">
        <v>91.033404110000006</v>
      </c>
      <c r="AS60">
        <v>92.987501170000002</v>
      </c>
      <c r="AT60">
        <v>94.406441779999994</v>
      </c>
      <c r="AU60">
        <v>95.665641919999999</v>
      </c>
      <c r="AV60">
        <v>96.653802929999998</v>
      </c>
      <c r="AW60">
        <v>96.478732739999998</v>
      </c>
    </row>
    <row r="61" spans="2:99" x14ac:dyDescent="0.25">
      <c r="B61" t="s">
        <v>161</v>
      </c>
      <c r="C61">
        <v>3.2122446463563603E-2</v>
      </c>
      <c r="D61">
        <v>3.2638182731835802E-2</v>
      </c>
      <c r="E61">
        <v>6.0878913E-2</v>
      </c>
      <c r="F61" s="39">
        <v>9.9047563399999997E-2</v>
      </c>
      <c r="G61" s="39">
        <v>0.1623945269</v>
      </c>
      <c r="H61">
        <v>0.26875492210000002</v>
      </c>
      <c r="I61">
        <v>0.3726301179</v>
      </c>
      <c r="J61">
        <v>0.50799229980000005</v>
      </c>
      <c r="K61" s="39">
        <v>0.60584456389999997</v>
      </c>
      <c r="L61" s="39">
        <v>0.77562164700000003</v>
      </c>
      <c r="M61" s="39">
        <v>1.0413914310000001</v>
      </c>
      <c r="N61" s="39">
        <v>1.2769720609999999</v>
      </c>
      <c r="O61" s="39">
        <v>1.74855552</v>
      </c>
      <c r="P61" s="39">
        <v>2.2220374430000001</v>
      </c>
      <c r="Q61" s="39">
        <v>2.9638985880000002</v>
      </c>
      <c r="R61" s="39">
        <v>3.8918591899999999</v>
      </c>
      <c r="S61" s="39">
        <v>4.2992037359999999</v>
      </c>
      <c r="T61" s="39">
        <v>4.8157866709999997</v>
      </c>
      <c r="U61" s="39">
        <v>6.4850098249999997</v>
      </c>
      <c r="V61" s="39">
        <v>8.4117188459999994</v>
      </c>
      <c r="W61" s="39">
        <v>12.819546799999999</v>
      </c>
      <c r="X61" s="39">
        <v>16.391893159999999</v>
      </c>
      <c r="Y61" s="39">
        <v>17.06864873</v>
      </c>
      <c r="Z61" s="39">
        <v>20.31570842</v>
      </c>
      <c r="AA61" s="39">
        <v>25.962654050000001</v>
      </c>
      <c r="AB61" s="39">
        <v>32.131847229999998</v>
      </c>
      <c r="AC61" s="39">
        <v>38.323313380000002</v>
      </c>
      <c r="AD61" s="39">
        <v>43.778420869999998</v>
      </c>
      <c r="AE61" s="39">
        <v>48.265256729999997</v>
      </c>
      <c r="AF61" s="39">
        <v>51.242034390000001</v>
      </c>
      <c r="AG61" s="39">
        <v>53.003822290000002</v>
      </c>
      <c r="AH61" s="39">
        <v>53.861128469999997</v>
      </c>
      <c r="AI61" s="39">
        <v>55.661948809999998</v>
      </c>
      <c r="AJ61" s="39">
        <v>56.650009769999997</v>
      </c>
      <c r="AK61" s="39">
        <v>56.779107799999998</v>
      </c>
      <c r="AL61" s="39">
        <v>56.658334600000003</v>
      </c>
      <c r="AM61" s="39">
        <v>56.093981540000001</v>
      </c>
      <c r="AN61">
        <v>55.412141349999999</v>
      </c>
      <c r="AO61">
        <v>54.615834710000001</v>
      </c>
      <c r="AP61">
        <v>53.715710880000003</v>
      </c>
      <c r="AQ61">
        <v>52.698881159999999</v>
      </c>
      <c r="AR61">
        <v>51.732117600000002</v>
      </c>
      <c r="AS61">
        <v>51.106921389999997</v>
      </c>
      <c r="AT61">
        <v>50.073101080000001</v>
      </c>
      <c r="AU61" s="39">
        <v>48.930813780000001</v>
      </c>
      <c r="AV61">
        <v>47.624360520000003</v>
      </c>
      <c r="AW61">
        <v>45.668005669999999</v>
      </c>
    </row>
    <row r="62" spans="2:99" x14ac:dyDescent="0.25">
      <c r="B62" t="s">
        <v>162</v>
      </c>
      <c r="C62">
        <v>0.75461419315223899</v>
      </c>
      <c r="D62">
        <v>0.76672976811017601</v>
      </c>
      <c r="E62">
        <v>1.430155447</v>
      </c>
      <c r="F62" s="39">
        <v>2.3235789219999998</v>
      </c>
      <c r="G62" s="39">
        <v>3.7554994439999998</v>
      </c>
      <c r="H62">
        <v>6.0120150179999996</v>
      </c>
      <c r="I62">
        <v>8.2874829210000005</v>
      </c>
      <c r="J62">
        <v>11.27095074</v>
      </c>
      <c r="K62" s="39">
        <v>13.48599945</v>
      </c>
      <c r="L62" s="39">
        <v>17.199041909999998</v>
      </c>
      <c r="M62" s="39">
        <v>22.762500429999999</v>
      </c>
      <c r="N62" s="39">
        <v>27.719601749999999</v>
      </c>
      <c r="O62" s="39">
        <v>37.748995800000003</v>
      </c>
      <c r="P62" s="39">
        <v>51.169290310000001</v>
      </c>
      <c r="Q62" s="39">
        <v>67.383495089999997</v>
      </c>
      <c r="R62" s="39">
        <v>86.827195329999995</v>
      </c>
      <c r="S62" s="39">
        <v>93.396880049999893</v>
      </c>
      <c r="T62" s="39">
        <v>102.14511469999999</v>
      </c>
      <c r="U62" s="39">
        <v>126.9884129</v>
      </c>
      <c r="V62" s="39">
        <v>158.25617500000001</v>
      </c>
      <c r="W62" s="39">
        <v>240.45326900000001</v>
      </c>
      <c r="X62" s="39">
        <v>304.41620699999999</v>
      </c>
      <c r="Y62" s="39">
        <v>311.5548728</v>
      </c>
      <c r="Z62" s="39">
        <v>366.59938890000001</v>
      </c>
      <c r="AA62" s="39">
        <v>464.72073139999998</v>
      </c>
      <c r="AB62" s="39">
        <v>570.95004340000003</v>
      </c>
      <c r="AC62" s="39">
        <v>676.27486950000002</v>
      </c>
      <c r="AD62" s="39">
        <v>767.36304089999999</v>
      </c>
      <c r="AE62" s="39">
        <v>840.86237200000005</v>
      </c>
      <c r="AF62" s="39">
        <v>887.63963049999995</v>
      </c>
      <c r="AG62" s="39">
        <v>913.57021450000002</v>
      </c>
      <c r="AH62" s="39">
        <v>924.49187159999997</v>
      </c>
      <c r="AI62" s="39">
        <v>952.54115490000004</v>
      </c>
      <c r="AJ62" s="39">
        <v>967.34318889999997</v>
      </c>
      <c r="AK62" s="39">
        <v>968.40172310000003</v>
      </c>
      <c r="AL62" s="39">
        <v>966.33929009999997</v>
      </c>
      <c r="AM62" s="39">
        <v>957.91180399999996</v>
      </c>
      <c r="AN62">
        <v>948.26251860000002</v>
      </c>
      <c r="AO62">
        <v>937.4999894</v>
      </c>
      <c r="AP62">
        <v>925.83669729999997</v>
      </c>
      <c r="AQ62">
        <v>912.99020589999998</v>
      </c>
      <c r="AR62">
        <v>922.72480440000004</v>
      </c>
      <c r="AS62">
        <v>921.20974880000006</v>
      </c>
      <c r="AT62">
        <v>913.7935698</v>
      </c>
      <c r="AU62">
        <v>905.35510160000001</v>
      </c>
      <c r="AV62">
        <v>894.84842209999999</v>
      </c>
      <c r="AW62">
        <v>873.54365310000003</v>
      </c>
    </row>
    <row r="63" spans="2:99" x14ac:dyDescent="0.25">
      <c r="B63" t="s">
        <v>163</v>
      </c>
      <c r="C63">
        <v>0.29742225840361802</v>
      </c>
      <c r="D63">
        <v>0.302197468966243</v>
      </c>
      <c r="E63">
        <v>0.56367885309999999</v>
      </c>
      <c r="F63" s="39">
        <v>0.91556643449999997</v>
      </c>
      <c r="G63" s="39">
        <v>1.4756294969999999</v>
      </c>
      <c r="H63">
        <v>2.3458303840000001</v>
      </c>
      <c r="I63">
        <v>3.2295305660000002</v>
      </c>
      <c r="J63">
        <v>4.389783091</v>
      </c>
      <c r="K63" s="39">
        <v>5.2563507679999999</v>
      </c>
      <c r="L63" s="39">
        <v>6.697773851</v>
      </c>
      <c r="M63" s="39">
        <v>8.8349015919999996</v>
      </c>
      <c r="N63" s="39">
        <v>10.74117805</v>
      </c>
      <c r="O63" s="39">
        <v>14.60799291</v>
      </c>
      <c r="P63" s="39">
        <v>20.088534509999999</v>
      </c>
      <c r="Q63" s="39">
        <v>26.384110459999999</v>
      </c>
      <c r="R63" s="39">
        <v>33.859038300000002</v>
      </c>
      <c r="S63" s="39">
        <v>36.197536339999999</v>
      </c>
      <c r="T63" s="39">
        <v>39.351421600000002</v>
      </c>
      <c r="U63" s="39">
        <v>47.749142249999998</v>
      </c>
      <c r="V63" s="39">
        <v>58.56932844</v>
      </c>
      <c r="W63" s="39">
        <v>88.869215850000003</v>
      </c>
      <c r="X63" s="39">
        <v>111.98902440000001</v>
      </c>
      <c r="Y63" s="39">
        <v>113.60251460000001</v>
      </c>
      <c r="Z63" s="39">
        <v>132.79122140000001</v>
      </c>
      <c r="AA63" s="39">
        <v>167.469211</v>
      </c>
      <c r="AB63" s="39">
        <v>204.70873019999999</v>
      </c>
      <c r="AC63" s="39">
        <v>241.19965719999999</v>
      </c>
      <c r="AD63" s="39">
        <v>272.13426989999999</v>
      </c>
      <c r="AE63" s="39">
        <v>296.46396449999997</v>
      </c>
      <c r="AF63" s="39">
        <v>310.98858799999999</v>
      </c>
      <c r="AG63" s="39">
        <v>317.96918210000001</v>
      </c>
      <c r="AH63" s="39">
        <v>319.58332360000003</v>
      </c>
      <c r="AI63" s="39">
        <v>327.1567005</v>
      </c>
      <c r="AJ63" s="39">
        <v>329.97218179999999</v>
      </c>
      <c r="AK63" s="39">
        <v>327.93326389999999</v>
      </c>
      <c r="AL63" s="39">
        <v>324.84749699999998</v>
      </c>
      <c r="AM63" s="39">
        <v>319.60343890000001</v>
      </c>
      <c r="AN63">
        <v>314.3528192</v>
      </c>
      <c r="AO63">
        <v>308.80391559999998</v>
      </c>
      <c r="AP63">
        <v>303.00065999999998</v>
      </c>
      <c r="AQ63">
        <v>296.88016950000002</v>
      </c>
      <c r="AR63">
        <v>292.97290909999998</v>
      </c>
      <c r="AS63">
        <v>290.67799380000002</v>
      </c>
      <c r="AT63">
        <v>286.48527769999998</v>
      </c>
      <c r="AU63">
        <v>282.03616920000002</v>
      </c>
      <c r="AV63">
        <v>277.00614710000002</v>
      </c>
      <c r="AW63">
        <v>268.65199569999999</v>
      </c>
    </row>
    <row r="64" spans="2:99" x14ac:dyDescent="0.25">
      <c r="B64" t="s">
        <v>164</v>
      </c>
      <c r="C64">
        <v>4.0548006191711396E-3</v>
      </c>
      <c r="D64">
        <v>4.1199017546743504E-3</v>
      </c>
      <c r="E64">
        <v>7.6847152399999999E-3</v>
      </c>
      <c r="F64" s="39">
        <v>1.21336581E-2</v>
      </c>
      <c r="G64" s="39">
        <v>1.366363E-2</v>
      </c>
      <c r="H64">
        <v>9.1562207499999906E-3</v>
      </c>
      <c r="I64" s="39">
        <v>1.26219972E-2</v>
      </c>
      <c r="J64" s="39">
        <v>1.7165970900000001E-2</v>
      </c>
      <c r="K64" s="39">
        <v>2.0539400499999999E-2</v>
      </c>
      <c r="L64" s="39">
        <v>2.6194655000000001E-2</v>
      </c>
      <c r="M64" s="39">
        <v>3.4669562000000001E-2</v>
      </c>
      <c r="N64" s="39">
        <v>4.2220987100000003E-2</v>
      </c>
      <c r="O64" s="39">
        <v>5.7498803699999997E-2</v>
      </c>
      <c r="P64" s="39">
        <v>0.16180290550000001</v>
      </c>
      <c r="Q64" s="39">
        <v>0.1143388251</v>
      </c>
      <c r="R64" s="39">
        <v>0.13223865870000001</v>
      </c>
      <c r="S64" s="39">
        <v>0.1422565194</v>
      </c>
      <c r="T64" s="39">
        <v>0.1556040266</v>
      </c>
      <c r="U64" s="39">
        <v>0.1936798206</v>
      </c>
      <c r="V64" s="39">
        <v>0.24167507699999999</v>
      </c>
      <c r="W64" s="39">
        <v>0.36724545349999999</v>
      </c>
      <c r="X64" s="39">
        <v>0.46514531260000003</v>
      </c>
      <c r="Y64" s="39">
        <v>0.47650365859999999</v>
      </c>
      <c r="Z64" s="39">
        <v>0.56112723610000004</v>
      </c>
      <c r="AA64" s="39">
        <v>0.7117747445</v>
      </c>
      <c r="AB64" s="39">
        <v>0.875067119</v>
      </c>
      <c r="AC64" s="39">
        <v>1.0372564019999999</v>
      </c>
      <c r="AD64" s="39">
        <v>1.177953024</v>
      </c>
      <c r="AE64" s="39">
        <v>1.291949928</v>
      </c>
      <c r="AF64" s="39">
        <v>1.3652289479999999</v>
      </c>
      <c r="AG64" s="39">
        <v>1.4067099649999999</v>
      </c>
      <c r="AH64" s="39">
        <v>1.4252912250000001</v>
      </c>
      <c r="AI64" s="39">
        <v>1.4703478539999999</v>
      </c>
      <c r="AJ64" s="39">
        <v>1.4952440069999999</v>
      </c>
      <c r="AK64" s="39">
        <v>1.499173989</v>
      </c>
      <c r="AL64" s="39">
        <v>1.498397735</v>
      </c>
      <c r="AM64" s="39">
        <v>1.487913772</v>
      </c>
      <c r="AN64">
        <v>1.4752196769999999</v>
      </c>
      <c r="AO64">
        <v>1.460823057</v>
      </c>
      <c r="AP64">
        <v>1.445085084</v>
      </c>
      <c r="AQ64">
        <v>1.4275279910000001</v>
      </c>
      <c r="AR64">
        <v>1.4530343219999999</v>
      </c>
      <c r="AS64">
        <v>1.4535897630000001</v>
      </c>
      <c r="AT64">
        <v>1.445035804</v>
      </c>
      <c r="AU64">
        <v>1.434906942</v>
      </c>
      <c r="AV64">
        <v>1.421542013</v>
      </c>
      <c r="AW64" s="39">
        <v>1.3911567119999999</v>
      </c>
      <c r="BV64" s="39"/>
    </row>
    <row r="65" spans="2:49" x14ac:dyDescent="0.25">
      <c r="B65" t="s">
        <v>165</v>
      </c>
      <c r="C65">
        <v>4.9816121892674002E-2</v>
      </c>
      <c r="D65">
        <v>5.0615935843142099E-2</v>
      </c>
      <c r="E65">
        <v>9.4412215800000004E-2</v>
      </c>
      <c r="F65" s="39">
        <v>0.1530710659</v>
      </c>
      <c r="G65" s="39">
        <v>0.24201438189999999</v>
      </c>
      <c r="H65">
        <v>0.36695495410000001</v>
      </c>
      <c r="I65">
        <v>0.50082320199999997</v>
      </c>
      <c r="J65">
        <v>0.67828477340000004</v>
      </c>
      <c r="K65" s="39">
        <v>0.81620236349999997</v>
      </c>
      <c r="L65" s="39">
        <v>1.034001011</v>
      </c>
      <c r="M65" s="39">
        <v>1.333830665</v>
      </c>
      <c r="N65" s="39">
        <v>1.603827914</v>
      </c>
      <c r="O65" s="39">
        <v>2.1618596220000001</v>
      </c>
      <c r="P65" s="39">
        <v>3.2755924589999998</v>
      </c>
      <c r="Q65" s="39">
        <v>4.2255170289999997</v>
      </c>
      <c r="R65" s="39">
        <v>5.2753819130000004</v>
      </c>
      <c r="S65" s="39">
        <v>5.4116627050000004</v>
      </c>
      <c r="T65" s="39">
        <v>5.6531133179999999</v>
      </c>
      <c r="U65" s="39">
        <v>5.8564943490000001</v>
      </c>
      <c r="V65" s="39">
        <v>6.4984793310000004</v>
      </c>
      <c r="W65" s="39">
        <v>9.7774678050000006</v>
      </c>
      <c r="X65" s="39">
        <v>11.972496250000001</v>
      </c>
      <c r="Y65" s="39">
        <v>11.503366509999999</v>
      </c>
      <c r="Z65" s="39">
        <v>12.92067065</v>
      </c>
      <c r="AA65" s="39">
        <v>15.803607319999999</v>
      </c>
      <c r="AB65" s="39">
        <v>18.74951995</v>
      </c>
      <c r="AC65" s="39">
        <v>21.42661816</v>
      </c>
      <c r="AD65" s="39">
        <v>23.398866640000001</v>
      </c>
      <c r="AE65" s="39">
        <v>24.664298599999999</v>
      </c>
      <c r="AF65" s="39">
        <v>24.982589099999998</v>
      </c>
      <c r="AG65" s="39">
        <v>24.64245704</v>
      </c>
      <c r="AH65" s="39">
        <v>23.883930620000001</v>
      </c>
      <c r="AI65" s="39">
        <v>23.640650260000001</v>
      </c>
      <c r="AJ65" s="39">
        <v>23.029317720000002</v>
      </c>
      <c r="AK65" s="39">
        <v>22.078753930000001</v>
      </c>
      <c r="AL65" s="39">
        <v>21.119735039999998</v>
      </c>
      <c r="AM65" s="39">
        <v>20.071855320000001</v>
      </c>
      <c r="AN65">
        <v>19.185515500000001</v>
      </c>
      <c r="AO65">
        <v>18.337842479999999</v>
      </c>
      <c r="AP65">
        <v>17.521585600000002</v>
      </c>
      <c r="AQ65">
        <v>16.73742039</v>
      </c>
      <c r="AR65">
        <v>15.187990940000001</v>
      </c>
      <c r="AS65">
        <v>14.78398355</v>
      </c>
      <c r="AT65">
        <v>14.30334564</v>
      </c>
      <c r="AU65">
        <v>13.84348125</v>
      </c>
      <c r="AV65">
        <v>13.386077630000001</v>
      </c>
      <c r="AW65">
        <v>12.79232094</v>
      </c>
    </row>
    <row r="66" spans="2:49" x14ac:dyDescent="0.25">
      <c r="B66" t="s">
        <v>166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167</v>
      </c>
      <c r="C67">
        <v>5.2121797950038999</v>
      </c>
      <c r="D67">
        <v>5.29586302754001</v>
      </c>
      <c r="E67">
        <v>5.3808898210000002</v>
      </c>
      <c r="F67">
        <v>5.4355630220000002</v>
      </c>
      <c r="G67">
        <v>4.4788997540000004</v>
      </c>
      <c r="H67">
        <v>3.8810669280000001</v>
      </c>
      <c r="I67">
        <v>3.754381188</v>
      </c>
      <c r="J67">
        <v>3.5779098280000001</v>
      </c>
      <c r="K67">
        <v>3.4502893179999998</v>
      </c>
      <c r="L67">
        <v>3.702302601</v>
      </c>
      <c r="M67">
        <v>3.809359841</v>
      </c>
      <c r="N67">
        <v>3.8823980690000002</v>
      </c>
      <c r="O67">
        <v>2.9755280750000002</v>
      </c>
      <c r="P67">
        <v>2.4565733540000001</v>
      </c>
      <c r="Q67">
        <v>2.1260679589999998</v>
      </c>
      <c r="R67">
        <v>1.916126741</v>
      </c>
      <c r="S67">
        <v>1.737014348</v>
      </c>
      <c r="T67">
        <v>1.7302288669999999</v>
      </c>
      <c r="U67">
        <v>1.7030083359999999</v>
      </c>
      <c r="V67">
        <v>1.697779564</v>
      </c>
      <c r="W67">
        <v>1.5596007839999999</v>
      </c>
      <c r="X67">
        <v>1.376325636</v>
      </c>
      <c r="Y67">
        <v>1.2476613990000001</v>
      </c>
      <c r="Z67">
        <v>1.156172089</v>
      </c>
      <c r="AA67">
        <v>1.082807753</v>
      </c>
      <c r="AB67">
        <v>1.020304911</v>
      </c>
      <c r="AC67">
        <v>0.96846139590000002</v>
      </c>
      <c r="AD67">
        <v>0.96555410539999997</v>
      </c>
      <c r="AE67">
        <v>0.97435469200000002</v>
      </c>
      <c r="AF67">
        <v>0.98567401649999997</v>
      </c>
      <c r="AG67">
        <v>0.99829880589999997</v>
      </c>
      <c r="AH67">
        <v>1.0106221550000001</v>
      </c>
      <c r="AI67">
        <v>1.0245815979999999</v>
      </c>
      <c r="AJ67">
        <v>1.0397396489999999</v>
      </c>
      <c r="AK67">
        <v>1.0553728</v>
      </c>
      <c r="AL67">
        <v>1.0715670470000001</v>
      </c>
      <c r="AM67">
        <v>1.0879206969999999</v>
      </c>
      <c r="AN67">
        <v>1.0995534179999999</v>
      </c>
      <c r="AO67">
        <v>1.109052629</v>
      </c>
      <c r="AP67">
        <v>1.117193219</v>
      </c>
      <c r="AQ67">
        <v>1.1244484640000001</v>
      </c>
      <c r="AR67">
        <v>1.1295867669999999</v>
      </c>
      <c r="AS67">
        <v>1.138109644</v>
      </c>
      <c r="AT67">
        <v>1.147303038</v>
      </c>
      <c r="AU67">
        <v>1.156630072</v>
      </c>
      <c r="AV67">
        <v>1.16543613</v>
      </c>
      <c r="AW67">
        <v>1.1741277999999999</v>
      </c>
    </row>
    <row r="68" spans="2:49" x14ac:dyDescent="0.25">
      <c r="B68" t="s">
        <v>168</v>
      </c>
      <c r="C68">
        <v>0.35839918454870201</v>
      </c>
      <c r="D68">
        <v>0.36415339938413299</v>
      </c>
      <c r="E68">
        <v>0.37</v>
      </c>
      <c r="F68">
        <v>0.36790920529999999</v>
      </c>
      <c r="G68">
        <v>0.36496799689999998</v>
      </c>
      <c r="H68">
        <v>0.3616444244</v>
      </c>
      <c r="I68">
        <v>0.36045592949999999</v>
      </c>
      <c r="J68">
        <v>0.35917758789999998</v>
      </c>
      <c r="K68">
        <v>0.3565651218</v>
      </c>
      <c r="L68">
        <v>0.35241443059999999</v>
      </c>
      <c r="M68">
        <v>0.34833928930000002</v>
      </c>
      <c r="N68">
        <v>0.34571671929999997</v>
      </c>
      <c r="O68">
        <v>0.34614739690000002</v>
      </c>
      <c r="P68">
        <v>0.34774382009999999</v>
      </c>
      <c r="Q68">
        <v>0.3482060957</v>
      </c>
      <c r="R68">
        <v>0.34448929230000003</v>
      </c>
      <c r="S68">
        <v>0.33928923659999999</v>
      </c>
      <c r="T68">
        <v>0.33216775399999998</v>
      </c>
      <c r="U68">
        <v>0.32479758279999998</v>
      </c>
      <c r="V68">
        <v>0.3173758304</v>
      </c>
      <c r="W68">
        <v>0.3098662774</v>
      </c>
      <c r="X68">
        <v>0.30079694909999999</v>
      </c>
      <c r="Y68">
        <v>0.29079638390000001</v>
      </c>
      <c r="Z68">
        <v>0.28083771330000001</v>
      </c>
      <c r="AA68">
        <v>0.27140522449999999</v>
      </c>
      <c r="AB68">
        <v>0.26264246009999997</v>
      </c>
      <c r="AC68">
        <v>0.25397414499999998</v>
      </c>
      <c r="AD68">
        <v>0.24512984409999999</v>
      </c>
      <c r="AE68">
        <v>0.23669726660000001</v>
      </c>
      <c r="AF68">
        <v>0.22888531349999999</v>
      </c>
      <c r="AG68">
        <v>0.22165224250000001</v>
      </c>
      <c r="AH68">
        <v>0.2149564531</v>
      </c>
      <c r="AI68">
        <v>0.20879105000000001</v>
      </c>
      <c r="AJ68">
        <v>0.2031179112</v>
      </c>
      <c r="AK68" s="39">
        <v>0.19791184470000001</v>
      </c>
      <c r="AL68" s="39">
        <v>0.19303987789999999</v>
      </c>
      <c r="AM68" s="39">
        <v>0.1880616799</v>
      </c>
      <c r="AN68" s="39">
        <v>0.18306076360000001</v>
      </c>
      <c r="AO68" s="39">
        <v>0.1782751799</v>
      </c>
      <c r="AP68" s="39">
        <v>0.17376749350000001</v>
      </c>
      <c r="AQ68" s="39">
        <v>0.1695569207</v>
      </c>
      <c r="AR68" s="39">
        <v>0.16564375340000001</v>
      </c>
      <c r="AS68" s="39">
        <v>0.1619316019</v>
      </c>
      <c r="AT68" s="39">
        <v>0.1581437148</v>
      </c>
      <c r="AU68" s="39">
        <v>0.1542085403</v>
      </c>
      <c r="AV68">
        <v>0.15012411219999999</v>
      </c>
      <c r="AW68">
        <v>0.14593884069999999</v>
      </c>
    </row>
    <row r="69" spans="2:49" x14ac:dyDescent="0.25">
      <c r="B69" t="s">
        <v>169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170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171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</row>
    <row r="72" spans="2:49" x14ac:dyDescent="0.25">
      <c r="B72" t="s">
        <v>172</v>
      </c>
      <c r="C72">
        <v>2.1503951072922098</v>
      </c>
      <c r="D72">
        <v>2.1849203963048001</v>
      </c>
      <c r="E72">
        <v>2.2200000000000002</v>
      </c>
      <c r="F72">
        <v>2.292240719</v>
      </c>
      <c r="G72">
        <v>2.190341563</v>
      </c>
      <c r="H72">
        <v>2.3151638650000002</v>
      </c>
      <c r="I72">
        <v>2.3855854550000002</v>
      </c>
      <c r="J72">
        <v>2.2584889389999998</v>
      </c>
      <c r="K72">
        <v>2.175731807</v>
      </c>
      <c r="L72">
        <v>2.1223996829999998</v>
      </c>
      <c r="M72">
        <v>2.2775162830000002</v>
      </c>
      <c r="N72">
        <v>2.4416976039999998</v>
      </c>
      <c r="O72">
        <v>2.5329531300000001</v>
      </c>
      <c r="P72">
        <v>2.5481580849999999</v>
      </c>
      <c r="Q72">
        <v>2.3711577570000002</v>
      </c>
      <c r="R72">
        <v>2.374996264</v>
      </c>
      <c r="S72">
        <v>2.3925211110000002</v>
      </c>
      <c r="T72">
        <v>2.4165851370000002</v>
      </c>
      <c r="U72">
        <v>2.4312357489999998</v>
      </c>
      <c r="V72">
        <v>2.4701704750000002</v>
      </c>
      <c r="W72">
        <v>2.4882064279999998</v>
      </c>
      <c r="X72">
        <v>2.488529905</v>
      </c>
      <c r="Y72">
        <v>2.5265807059999998</v>
      </c>
      <c r="Z72">
        <v>2.5695142870000001</v>
      </c>
      <c r="AA72">
        <v>2.614546426</v>
      </c>
      <c r="AB72">
        <v>2.6540242269999998</v>
      </c>
      <c r="AC72">
        <v>2.687645195</v>
      </c>
      <c r="AD72">
        <v>2.7230381530000001</v>
      </c>
      <c r="AE72">
        <v>2.7633007260000002</v>
      </c>
      <c r="AF72">
        <v>2.8038048679999998</v>
      </c>
      <c r="AG72">
        <v>2.8454480069999999</v>
      </c>
      <c r="AH72">
        <v>2.8889881989999999</v>
      </c>
      <c r="AI72">
        <v>2.9375891689999998</v>
      </c>
      <c r="AJ72">
        <v>2.9923303969999999</v>
      </c>
      <c r="AK72">
        <v>3.046047331</v>
      </c>
      <c r="AL72">
        <v>3.1032947160000002</v>
      </c>
      <c r="AM72">
        <v>3.159582677</v>
      </c>
      <c r="AN72">
        <v>3.2142555690000001</v>
      </c>
      <c r="AO72">
        <v>3.2688648069999999</v>
      </c>
      <c r="AP72">
        <v>3.3224529340000002</v>
      </c>
      <c r="AQ72">
        <v>3.376575474</v>
      </c>
      <c r="AR72">
        <v>3.4299860930000001</v>
      </c>
      <c r="AS72">
        <v>3.4783298380000001</v>
      </c>
      <c r="AT72">
        <v>3.525205133</v>
      </c>
      <c r="AU72">
        <v>3.5747284700000002</v>
      </c>
      <c r="AV72">
        <v>3.6255958540000002</v>
      </c>
      <c r="AW72">
        <v>3.6773135840000002</v>
      </c>
    </row>
    <row r="73" spans="2:49" x14ac:dyDescent="0.25">
      <c r="B73" t="s">
        <v>173</v>
      </c>
      <c r="C73">
        <v>17.283948650263198</v>
      </c>
      <c r="D73">
        <v>17.561448036494799</v>
      </c>
      <c r="E73">
        <v>17.843402770000001</v>
      </c>
      <c r="F73">
        <v>18.09784024</v>
      </c>
      <c r="G73">
        <v>16.92628693</v>
      </c>
      <c r="H73">
        <v>15.963463259999999</v>
      </c>
      <c r="I73">
        <v>14.84549911</v>
      </c>
      <c r="J73">
        <v>14.73725432</v>
      </c>
      <c r="K73">
        <v>13.58454431</v>
      </c>
      <c r="L73">
        <v>13.29448762</v>
      </c>
      <c r="M73">
        <v>13.5559285</v>
      </c>
      <c r="N73">
        <v>14.15527215</v>
      </c>
      <c r="O73">
        <v>13.19683931</v>
      </c>
      <c r="P73">
        <v>11.886710430000001</v>
      </c>
      <c r="Q73">
        <v>10.5244327</v>
      </c>
      <c r="R73">
        <v>9.6433424419999998</v>
      </c>
      <c r="S73">
        <v>8.8579192649999996</v>
      </c>
      <c r="T73">
        <v>8.7422146949999995</v>
      </c>
      <c r="U73">
        <v>8.5243015460000002</v>
      </c>
      <c r="V73">
        <v>8.3810761510000003</v>
      </c>
      <c r="W73">
        <v>7.5775208210000002</v>
      </c>
      <c r="X73">
        <v>6.5809054119999999</v>
      </c>
      <c r="Y73">
        <v>5.9593342429999998</v>
      </c>
      <c r="Z73">
        <v>5.4992147769999997</v>
      </c>
      <c r="AA73">
        <v>5.1397962530000001</v>
      </c>
      <c r="AB73">
        <v>4.8500614999999998</v>
      </c>
      <c r="AC73">
        <v>4.6308549010000002</v>
      </c>
      <c r="AD73">
        <v>4.6308002779999997</v>
      </c>
      <c r="AE73">
        <v>4.6963603200000001</v>
      </c>
      <c r="AF73">
        <v>4.7771619599999999</v>
      </c>
      <c r="AG73">
        <v>4.866218999</v>
      </c>
      <c r="AH73">
        <v>4.9574239579999997</v>
      </c>
      <c r="AI73">
        <v>5.0602833929999997</v>
      </c>
      <c r="AJ73">
        <v>5.1737358909999998</v>
      </c>
      <c r="AK73">
        <v>5.2938417419999997</v>
      </c>
      <c r="AL73">
        <v>5.4216481280000002</v>
      </c>
      <c r="AM73">
        <v>5.5586441510000002</v>
      </c>
      <c r="AN73">
        <v>5.6819363359999997</v>
      </c>
      <c r="AO73">
        <v>5.7994676519999997</v>
      </c>
      <c r="AP73">
        <v>5.9200183959999997</v>
      </c>
      <c r="AQ73">
        <v>6.0494673240000001</v>
      </c>
      <c r="AR73">
        <v>6.1830738099999998</v>
      </c>
      <c r="AS73">
        <v>6.2993722879999998</v>
      </c>
      <c r="AT73">
        <v>6.4195398859999999</v>
      </c>
      <c r="AU73">
        <v>6.5454356000000002</v>
      </c>
      <c r="AV73">
        <v>6.6746222230000001</v>
      </c>
      <c r="AW73">
        <v>6.8114204000000003</v>
      </c>
    </row>
    <row r="74" spans="2:49" x14ac:dyDescent="0.25">
      <c r="B74" t="s">
        <v>174</v>
      </c>
      <c r="C74">
        <v>9.6518912203120095</v>
      </c>
      <c r="D74">
        <v>9.8068554558467902</v>
      </c>
      <c r="E74">
        <v>9.9643076920000002</v>
      </c>
      <c r="F74">
        <v>9.5372750249999996</v>
      </c>
      <c r="G74">
        <v>8.8641375809999996</v>
      </c>
      <c r="H74">
        <v>9.0643896850000001</v>
      </c>
      <c r="I74">
        <v>8.4415993870000001</v>
      </c>
      <c r="J74">
        <v>7.8707367389999998</v>
      </c>
      <c r="K74">
        <v>7.4631331300000001</v>
      </c>
      <c r="L74">
        <v>7.2872793900000001</v>
      </c>
      <c r="M74">
        <v>7.1546329369999997</v>
      </c>
      <c r="N74">
        <v>7.2334679939999997</v>
      </c>
      <c r="O74">
        <v>7.2330683819999999</v>
      </c>
      <c r="P74">
        <v>7.0074952939999999</v>
      </c>
      <c r="Q74">
        <v>6.7347234289999998</v>
      </c>
      <c r="R74">
        <v>6.7109784579999996</v>
      </c>
      <c r="S74">
        <v>6.5116750760000004</v>
      </c>
      <c r="T74">
        <v>6.3689420319999996</v>
      </c>
      <c r="U74">
        <v>6.2118723920000001</v>
      </c>
      <c r="V74">
        <v>6.0049824650000003</v>
      </c>
      <c r="W74">
        <v>5.8509205519999998</v>
      </c>
      <c r="X74">
        <v>5.7001281749999997</v>
      </c>
      <c r="Y74">
        <v>5.6038382650000003</v>
      </c>
      <c r="Z74">
        <v>5.4496252949999997</v>
      </c>
      <c r="AA74">
        <v>5.3001480909999996</v>
      </c>
      <c r="AB74">
        <v>5.1471454940000001</v>
      </c>
      <c r="AC74">
        <v>4.996366095</v>
      </c>
      <c r="AD74">
        <v>4.835735691</v>
      </c>
      <c r="AE74">
        <v>4.6876944539999998</v>
      </c>
      <c r="AF74">
        <v>4.5515519419999997</v>
      </c>
      <c r="AG74">
        <v>4.4405284680000001</v>
      </c>
      <c r="AH74">
        <v>4.3292823260000004</v>
      </c>
      <c r="AI74">
        <v>4.2281581880000001</v>
      </c>
      <c r="AJ74">
        <v>4.1437717970000003</v>
      </c>
      <c r="AK74">
        <v>4.067286588</v>
      </c>
      <c r="AL74">
        <v>4.0344482570000002</v>
      </c>
      <c r="AM74">
        <v>3.998515899</v>
      </c>
      <c r="AN74">
        <v>3.8926626309999999</v>
      </c>
      <c r="AO74">
        <v>3.7938234830000002</v>
      </c>
      <c r="AP74">
        <v>3.6993408990000001</v>
      </c>
      <c r="AQ74">
        <v>3.6085056170000001</v>
      </c>
      <c r="AR74">
        <v>3.5217827069999998</v>
      </c>
      <c r="AS74">
        <v>3.4697666960000002</v>
      </c>
      <c r="AT74">
        <v>3.4100233879999999</v>
      </c>
      <c r="AU74">
        <v>3.3478825560000001</v>
      </c>
      <c r="AV74">
        <v>3.282411609</v>
      </c>
      <c r="AW74">
        <v>3.2149268439999998</v>
      </c>
    </row>
    <row r="75" spans="2:49" x14ac:dyDescent="0.25">
      <c r="B75" t="s">
        <v>175</v>
      </c>
      <c r="C75">
        <v>4.6065844460580001</v>
      </c>
      <c r="D75">
        <v>4.68054464938142</v>
      </c>
      <c r="E75">
        <v>4.7556923080000004</v>
      </c>
      <c r="F75">
        <v>4.8599218820000001</v>
      </c>
      <c r="G75">
        <v>4.6765801380000003</v>
      </c>
      <c r="H75">
        <v>4.6140016429999999</v>
      </c>
      <c r="I75">
        <v>4.5418400759999997</v>
      </c>
      <c r="J75">
        <v>4.3428204890000002</v>
      </c>
      <c r="K75">
        <v>4.1276277739999996</v>
      </c>
      <c r="L75">
        <v>4.0498091540000001</v>
      </c>
      <c r="M75">
        <v>4.0634710580000002</v>
      </c>
      <c r="N75">
        <v>4.1772880060000004</v>
      </c>
      <c r="O75">
        <v>3.9145020050000001</v>
      </c>
      <c r="P75">
        <v>3.6373930749999999</v>
      </c>
      <c r="Q75">
        <v>3.4013234020000001</v>
      </c>
      <c r="R75">
        <v>3.215619142</v>
      </c>
      <c r="S75">
        <v>3.0098717559999999</v>
      </c>
      <c r="T75">
        <v>3.0052145889999999</v>
      </c>
      <c r="U75">
        <v>3.0090733420000002</v>
      </c>
      <c r="V75">
        <v>2.9954080859999999</v>
      </c>
      <c r="W75">
        <v>2.5175909459999999</v>
      </c>
      <c r="X75">
        <v>2.171853246</v>
      </c>
      <c r="Y75">
        <v>1.935624397</v>
      </c>
      <c r="Z75">
        <v>1.745237575</v>
      </c>
      <c r="AA75">
        <v>1.5892095209999999</v>
      </c>
      <c r="AB75">
        <v>1.4778520239999999</v>
      </c>
      <c r="AC75">
        <v>1.384373278</v>
      </c>
      <c r="AD75">
        <v>1.3721120979999999</v>
      </c>
      <c r="AE75">
        <v>1.3670637130000001</v>
      </c>
      <c r="AF75">
        <v>1.3625408059999999</v>
      </c>
      <c r="AG75">
        <v>1.362524378</v>
      </c>
      <c r="AH75">
        <v>1.361217575</v>
      </c>
      <c r="AI75">
        <v>1.356103066</v>
      </c>
      <c r="AJ75">
        <v>1.3511218030000001</v>
      </c>
      <c r="AK75">
        <v>1.3461728150000001</v>
      </c>
      <c r="AL75">
        <v>1.358244419</v>
      </c>
      <c r="AM75">
        <v>1.3715755709999999</v>
      </c>
      <c r="AN75">
        <v>1.3647281389999999</v>
      </c>
      <c r="AO75">
        <v>1.3555748110000001</v>
      </c>
      <c r="AP75">
        <v>1.3454502189999999</v>
      </c>
      <c r="AQ75">
        <v>1.334081455</v>
      </c>
      <c r="AR75">
        <v>1.321491929</v>
      </c>
      <c r="AS75">
        <v>1.3253191929999999</v>
      </c>
      <c r="AT75">
        <v>1.329831548</v>
      </c>
      <c r="AU75">
        <v>1.333951471</v>
      </c>
      <c r="AV75">
        <v>1.3374128380000001</v>
      </c>
      <c r="AW75">
        <v>1.340173337</v>
      </c>
    </row>
    <row r="76" spans="2:49" x14ac:dyDescent="0.25">
      <c r="B76" t="s">
        <v>176</v>
      </c>
      <c r="C76">
        <v>23.690015269078899</v>
      </c>
      <c r="D76">
        <v>24.070366126976499</v>
      </c>
      <c r="E76">
        <v>24.45682364</v>
      </c>
      <c r="F76">
        <v>24.573224889999999</v>
      </c>
      <c r="G76">
        <v>24.635213969999999</v>
      </c>
      <c r="H76">
        <v>24.820292850000001</v>
      </c>
      <c r="I76">
        <v>24.95626008</v>
      </c>
      <c r="J76">
        <v>25.036734769999999</v>
      </c>
      <c r="K76">
        <v>24.906171189999998</v>
      </c>
      <c r="L76">
        <v>24.706892450000002</v>
      </c>
      <c r="M76">
        <v>24.515609399999999</v>
      </c>
      <c r="N76">
        <v>24.25559183</v>
      </c>
      <c r="O76">
        <v>24.062081320000001</v>
      </c>
      <c r="P76">
        <v>24.05845077</v>
      </c>
      <c r="Q76">
        <v>24.056623770000002</v>
      </c>
      <c r="R76">
        <v>24.048154889999999</v>
      </c>
      <c r="S76">
        <v>23.824519200000001</v>
      </c>
      <c r="T76">
        <v>23.47098699</v>
      </c>
      <c r="U76">
        <v>22.977506429999998</v>
      </c>
      <c r="V76">
        <v>22.430729660000001</v>
      </c>
      <c r="W76">
        <v>22.100716070000001</v>
      </c>
      <c r="X76">
        <v>21.82418594</v>
      </c>
      <c r="Y76">
        <v>21.337330649999998</v>
      </c>
      <c r="Z76">
        <v>20.723912439999999</v>
      </c>
      <c r="AA76">
        <v>20.007623209999998</v>
      </c>
      <c r="AB76">
        <v>19.199746919999999</v>
      </c>
      <c r="AC76">
        <v>18.319180580000001</v>
      </c>
      <c r="AD76">
        <v>17.391139970000001</v>
      </c>
      <c r="AE76">
        <v>16.444787850000001</v>
      </c>
      <c r="AF76">
        <v>15.505202629999999</v>
      </c>
      <c r="AG76">
        <v>14.59120626</v>
      </c>
      <c r="AH76">
        <v>13.71405041</v>
      </c>
      <c r="AI76">
        <v>12.87937735</v>
      </c>
      <c r="AJ76">
        <v>12.08863298</v>
      </c>
      <c r="AK76">
        <v>11.34147909</v>
      </c>
      <c r="AL76">
        <v>10.63664475</v>
      </c>
      <c r="AM76">
        <v>9.9723820930000002</v>
      </c>
      <c r="AN76">
        <v>9.3493685909999904</v>
      </c>
      <c r="AO76">
        <v>8.7651613739999998</v>
      </c>
      <c r="AP76">
        <v>8.2174019460000007</v>
      </c>
      <c r="AQ76">
        <v>7.7038453640000002</v>
      </c>
      <c r="AR76">
        <v>7.1902712500000003</v>
      </c>
      <c r="AS76">
        <v>6.7109275820000001</v>
      </c>
      <c r="AT76">
        <v>6.2635362399999996</v>
      </c>
      <c r="AU76">
        <v>5.8459690469999996</v>
      </c>
      <c r="AV76">
        <v>5.4562387079999999</v>
      </c>
      <c r="AW76">
        <v>5.0924899139999997</v>
      </c>
    </row>
    <row r="77" spans="2:49" x14ac:dyDescent="0.25">
      <c r="B77" t="s">
        <v>177</v>
      </c>
      <c r="C77">
        <v>20.7498358478441</v>
      </c>
      <c r="D77">
        <v>21.0829811741058</v>
      </c>
      <c r="E77">
        <v>21.429565929999999</v>
      </c>
      <c r="F77">
        <v>21.894315379999998</v>
      </c>
      <c r="G77">
        <v>21.071703060000001</v>
      </c>
      <c r="H77">
        <v>19.556711440000001</v>
      </c>
      <c r="I77">
        <v>19.944357180000001</v>
      </c>
      <c r="J77">
        <v>19.39659206</v>
      </c>
      <c r="K77">
        <v>19.577561840000001</v>
      </c>
      <c r="L77">
        <v>19.098034290000001</v>
      </c>
      <c r="M77">
        <v>19.036417950000001</v>
      </c>
      <c r="N77">
        <v>19.041987420000002</v>
      </c>
      <c r="O77">
        <v>18.86172191</v>
      </c>
      <c r="P77">
        <v>19.06428906</v>
      </c>
      <c r="Q77">
        <v>18.85392066</v>
      </c>
      <c r="R77">
        <v>18.732976310000002</v>
      </c>
      <c r="S77">
        <v>18.520908160000001</v>
      </c>
      <c r="T77">
        <v>18.732119170000001</v>
      </c>
      <c r="U77">
        <v>18.786058130000001</v>
      </c>
      <c r="V77">
        <v>19.049450929999999</v>
      </c>
      <c r="W77">
        <v>19.197261130000001</v>
      </c>
      <c r="X77">
        <v>19.21080405</v>
      </c>
      <c r="Y77">
        <v>18.946294810000001</v>
      </c>
      <c r="Z77">
        <v>18.765600070000001</v>
      </c>
      <c r="AA77">
        <v>18.607776430000001</v>
      </c>
      <c r="AB77">
        <v>18.344771789999999</v>
      </c>
      <c r="AC77">
        <v>18.074669270000001</v>
      </c>
      <c r="AD77">
        <v>17.53570603</v>
      </c>
      <c r="AE77">
        <v>16.990136849999999</v>
      </c>
      <c r="AF77">
        <v>16.44414566</v>
      </c>
      <c r="AG77">
        <v>15.897754920000001</v>
      </c>
      <c r="AH77">
        <v>15.36468088</v>
      </c>
      <c r="AI77">
        <v>14.748013690000001</v>
      </c>
      <c r="AJ77">
        <v>14.12747508</v>
      </c>
      <c r="AK77">
        <v>13.47614096</v>
      </c>
      <c r="AL77">
        <v>12.85096122</v>
      </c>
      <c r="AM77">
        <v>12.19419907</v>
      </c>
      <c r="AN77">
        <v>11.810716640000001</v>
      </c>
      <c r="AO77">
        <v>11.38741899</v>
      </c>
      <c r="AP77">
        <v>10.955980719999999</v>
      </c>
      <c r="AQ77">
        <v>10.525415130000001</v>
      </c>
      <c r="AR77">
        <v>10.08663932</v>
      </c>
      <c r="AS77">
        <v>9.9235427610000002</v>
      </c>
      <c r="AT77">
        <v>9.7663803179999995</v>
      </c>
      <c r="AU77">
        <v>9.6101367549999903</v>
      </c>
      <c r="AV77">
        <v>9.4505989059999997</v>
      </c>
      <c r="AW77">
        <v>9.2895773100000003</v>
      </c>
    </row>
    <row r="78" spans="2:49" x14ac:dyDescent="0.25">
      <c r="B78" t="s">
        <v>178</v>
      </c>
      <c r="C78">
        <v>0.28090746897060398</v>
      </c>
      <c r="D78">
        <v>0.28541752924702302</v>
      </c>
      <c r="E78">
        <v>0.28999999999999998</v>
      </c>
      <c r="F78">
        <v>0.30082260690000001</v>
      </c>
      <c r="G78">
        <v>0.3030127601</v>
      </c>
      <c r="H78">
        <v>0.29511836250000001</v>
      </c>
      <c r="I78">
        <v>0.31095922510000001</v>
      </c>
      <c r="J78">
        <v>0.3140385631</v>
      </c>
      <c r="K78">
        <v>0.32117407850000002</v>
      </c>
      <c r="L78">
        <v>0.31273599439999999</v>
      </c>
      <c r="M78">
        <v>0.32435656709999999</v>
      </c>
      <c r="N78">
        <v>0.31740688319999999</v>
      </c>
      <c r="O78">
        <v>0.30474943399999999</v>
      </c>
      <c r="P78">
        <v>0.31058133189999998</v>
      </c>
      <c r="Q78">
        <v>0.31204584279999997</v>
      </c>
      <c r="R78">
        <v>0.3107112621</v>
      </c>
      <c r="S78">
        <v>0.31415744540000001</v>
      </c>
      <c r="T78">
        <v>0.31980573829999998</v>
      </c>
      <c r="U78">
        <v>0.3245470708</v>
      </c>
      <c r="V78">
        <v>0.3335097346</v>
      </c>
      <c r="W78">
        <v>0.33774804809999998</v>
      </c>
      <c r="X78">
        <v>0.33757597029999997</v>
      </c>
      <c r="Y78">
        <v>0.33624684230000002</v>
      </c>
      <c r="Z78">
        <v>0.3383544302</v>
      </c>
      <c r="AA78">
        <v>0.34179772730000002</v>
      </c>
      <c r="AB78">
        <v>0.34548568099999999</v>
      </c>
      <c r="AC78">
        <v>0.34892735759999999</v>
      </c>
      <c r="AD78">
        <v>0.3530332632</v>
      </c>
      <c r="AE78">
        <v>0.3576034937</v>
      </c>
      <c r="AF78">
        <v>0.36214166180000001</v>
      </c>
      <c r="AG78">
        <v>0.36632738920000002</v>
      </c>
      <c r="AH78">
        <v>0.37189372069999999</v>
      </c>
      <c r="AI78">
        <v>0.37850029860000001</v>
      </c>
      <c r="AJ78">
        <v>0.38484176930000003</v>
      </c>
      <c r="AK78">
        <v>0.39084470570000002</v>
      </c>
      <c r="AL78">
        <v>0.3971527956</v>
      </c>
      <c r="AM78">
        <v>0.40259827069999998</v>
      </c>
      <c r="AN78">
        <v>0.40946249880000002</v>
      </c>
      <c r="AO78">
        <v>0.4167875956</v>
      </c>
      <c r="AP78">
        <v>0.42401802820000001</v>
      </c>
      <c r="AQ78">
        <v>0.43124651390000002</v>
      </c>
      <c r="AR78">
        <v>0.43841467719999999</v>
      </c>
      <c r="AS78">
        <v>0.44504293830000002</v>
      </c>
      <c r="AT78">
        <v>0.45195751080000002</v>
      </c>
      <c r="AU78">
        <v>0.45905892549999999</v>
      </c>
      <c r="AV78">
        <v>0.46629523639999998</v>
      </c>
      <c r="AW78">
        <v>0.4735517045</v>
      </c>
    </row>
    <row r="79" spans="2:49" x14ac:dyDescent="0.25">
      <c r="B79" t="s">
        <v>179</v>
      </c>
      <c r="C79">
        <v>11.323476938849501</v>
      </c>
      <c r="D79">
        <v>11.5052790237851</v>
      </c>
      <c r="E79">
        <v>11.69</v>
      </c>
      <c r="F79">
        <v>11.89964983</v>
      </c>
      <c r="G79">
        <v>11.88596738</v>
      </c>
      <c r="H79">
        <v>10.38888773</v>
      </c>
      <c r="I79">
        <v>11.017609759999999</v>
      </c>
      <c r="J79">
        <v>11.49401933</v>
      </c>
      <c r="K79">
        <v>11.3468769</v>
      </c>
      <c r="L79">
        <v>11.15877167</v>
      </c>
      <c r="M79">
        <v>11.083662139999999</v>
      </c>
      <c r="N79">
        <v>10.886840510000001</v>
      </c>
      <c r="O79">
        <v>10.11679854</v>
      </c>
      <c r="P79">
        <v>9.8680282760000004</v>
      </c>
      <c r="Q79">
        <v>9.693567732</v>
      </c>
      <c r="R79">
        <v>9.2975424879999995</v>
      </c>
      <c r="S79">
        <v>8.9510479800000002</v>
      </c>
      <c r="T79">
        <v>9.1770966559999998</v>
      </c>
      <c r="U79">
        <v>9.3351355740000006</v>
      </c>
      <c r="V79">
        <v>9.6123615069999904</v>
      </c>
      <c r="W79">
        <v>11.23665267</v>
      </c>
      <c r="X79">
        <v>12.664394740000001</v>
      </c>
      <c r="Y79">
        <v>13.65790411</v>
      </c>
      <c r="Z79">
        <v>14.573235800000001</v>
      </c>
      <c r="AA79">
        <v>15.4228267</v>
      </c>
      <c r="AB79">
        <v>16.24520119</v>
      </c>
      <c r="AC79">
        <v>17.08075886</v>
      </c>
      <c r="AD79">
        <v>17.249180500000001</v>
      </c>
      <c r="AE79">
        <v>17.37896237</v>
      </c>
      <c r="AF79">
        <v>17.50281412</v>
      </c>
      <c r="AG79">
        <v>17.619540870000002</v>
      </c>
      <c r="AH79">
        <v>17.777776459999998</v>
      </c>
      <c r="AI79">
        <v>17.984599379999999</v>
      </c>
      <c r="AJ79">
        <v>18.179345619999999</v>
      </c>
      <c r="AK79">
        <v>18.369104879999998</v>
      </c>
      <c r="AL79">
        <v>18.56848308</v>
      </c>
      <c r="AM79">
        <v>18.746616029999998</v>
      </c>
      <c r="AN79">
        <v>18.961326190000001</v>
      </c>
      <c r="AO79">
        <v>19.1764966</v>
      </c>
      <c r="AP79">
        <v>19.388617549999999</v>
      </c>
      <c r="AQ79">
        <v>19.603867489999999</v>
      </c>
      <c r="AR79">
        <v>19.811464640000001</v>
      </c>
      <c r="AS79">
        <v>19.991241980000002</v>
      </c>
      <c r="AT79">
        <v>20.184219800000001</v>
      </c>
      <c r="AU79">
        <v>20.381329399999998</v>
      </c>
      <c r="AV79">
        <v>20.57872789</v>
      </c>
      <c r="AW79">
        <v>20.77832931</v>
      </c>
    </row>
    <row r="80" spans="2:49" x14ac:dyDescent="0.25">
      <c r="B80" t="s">
        <v>180</v>
      </c>
      <c r="C80">
        <v>12.401465507675301</v>
      </c>
      <c r="D80">
        <v>12.6005750477687</v>
      </c>
      <c r="E80">
        <v>12.802881360000001</v>
      </c>
      <c r="F80">
        <v>12.96875694</v>
      </c>
      <c r="G80">
        <v>13.377376959999999</v>
      </c>
      <c r="H80">
        <v>13.114920830000001</v>
      </c>
      <c r="I80">
        <v>13.40422032</v>
      </c>
      <c r="J80">
        <v>13.7838698</v>
      </c>
      <c r="K80">
        <v>14.12988311</v>
      </c>
      <c r="L80">
        <v>14.1964778</v>
      </c>
      <c r="M80">
        <v>14.161207729999999</v>
      </c>
      <c r="N80">
        <v>13.967789249999999</v>
      </c>
      <c r="O80">
        <v>13.90563231</v>
      </c>
      <c r="P80">
        <v>14.159224030000001</v>
      </c>
      <c r="Q80">
        <v>14.62002354</v>
      </c>
      <c r="R80">
        <v>14.68767594</v>
      </c>
      <c r="S80">
        <v>14.79004134</v>
      </c>
      <c r="T80">
        <v>14.814490040000001</v>
      </c>
      <c r="U80">
        <v>14.938632999999999</v>
      </c>
      <c r="V80">
        <v>15.03671061</v>
      </c>
      <c r="W80">
        <v>15.132213569999999</v>
      </c>
      <c r="X80">
        <v>15.16462325</v>
      </c>
      <c r="Y80">
        <v>15.09394013</v>
      </c>
      <c r="Z80">
        <v>15.037452740000001</v>
      </c>
      <c r="AA80">
        <v>14.97680551</v>
      </c>
      <c r="AB80">
        <v>15.00240533</v>
      </c>
      <c r="AC80">
        <v>15.005518950000001</v>
      </c>
      <c r="AD80">
        <v>14.92548442</v>
      </c>
      <c r="AE80">
        <v>14.841179410000001</v>
      </c>
      <c r="AF80">
        <v>14.754541</v>
      </c>
      <c r="AG80">
        <v>14.676360349999999</v>
      </c>
      <c r="AH80">
        <v>14.610778180000001</v>
      </c>
      <c r="AI80">
        <v>14.53379002</v>
      </c>
      <c r="AJ80">
        <v>14.44645998</v>
      </c>
      <c r="AK80">
        <v>14.361165639999999</v>
      </c>
      <c r="AL80">
        <v>14.33641106</v>
      </c>
      <c r="AM80">
        <v>14.28793937</v>
      </c>
      <c r="AN80">
        <v>14.186064999999999</v>
      </c>
      <c r="AO80">
        <v>14.09002021</v>
      </c>
      <c r="AP80">
        <v>13.99318955</v>
      </c>
      <c r="AQ80">
        <v>13.895530389999999</v>
      </c>
      <c r="AR80">
        <v>13.79749608</v>
      </c>
      <c r="AS80">
        <v>13.761163590000001</v>
      </c>
      <c r="AT80">
        <v>13.717449970000001</v>
      </c>
      <c r="AU80">
        <v>13.666608780000001</v>
      </c>
      <c r="AV80">
        <v>13.60983616</v>
      </c>
      <c r="AW80">
        <v>13.55111668</v>
      </c>
    </row>
    <row r="81" spans="2:99" x14ac:dyDescent="0.25">
      <c r="B81" t="s">
        <v>181</v>
      </c>
      <c r="C81">
        <v>10.826676236859401</v>
      </c>
      <c r="D81">
        <v>11.000502025829901</v>
      </c>
      <c r="E81">
        <v>11.17711864</v>
      </c>
      <c r="F81">
        <v>11.884305210000001</v>
      </c>
      <c r="G81">
        <v>12.49882775</v>
      </c>
      <c r="H81">
        <v>11.784889420000001</v>
      </c>
      <c r="I81">
        <v>12.31064187</v>
      </c>
      <c r="J81">
        <v>12.872909379999999</v>
      </c>
      <c r="K81">
        <v>13.219149789999999</v>
      </c>
      <c r="L81">
        <v>13.281759170000001</v>
      </c>
      <c r="M81">
        <v>13.29292815</v>
      </c>
      <c r="N81">
        <v>13.0718031</v>
      </c>
      <c r="O81">
        <v>12.457276419999999</v>
      </c>
      <c r="P81">
        <v>12.510942630000001</v>
      </c>
      <c r="Q81">
        <v>12.96005248</v>
      </c>
      <c r="R81">
        <v>12.83434795</v>
      </c>
      <c r="S81">
        <v>12.662424270000001</v>
      </c>
      <c r="T81">
        <v>12.76598137</v>
      </c>
      <c r="U81">
        <v>12.796435499999999</v>
      </c>
      <c r="V81">
        <v>12.77557262</v>
      </c>
      <c r="W81">
        <v>12.85809482</v>
      </c>
      <c r="X81">
        <v>12.423402790000001</v>
      </c>
      <c r="Y81">
        <v>11.775325280000001</v>
      </c>
      <c r="Z81">
        <v>11.08531399</v>
      </c>
      <c r="AA81">
        <v>10.41220689</v>
      </c>
      <c r="AB81">
        <v>9.9172016729999903</v>
      </c>
      <c r="AC81">
        <v>9.4613566989999995</v>
      </c>
      <c r="AD81">
        <v>9.3871490000000009</v>
      </c>
      <c r="AE81">
        <v>9.3301449660000007</v>
      </c>
      <c r="AF81">
        <v>9.2702253240000001</v>
      </c>
      <c r="AG81">
        <v>9.2344317230000001</v>
      </c>
      <c r="AH81">
        <v>9.1994359160000005</v>
      </c>
      <c r="AI81">
        <v>9.1406136559999904</v>
      </c>
      <c r="AJ81">
        <v>9.0736204869999995</v>
      </c>
      <c r="AK81">
        <v>9.0046660690000007</v>
      </c>
      <c r="AL81">
        <v>9.0446958609999903</v>
      </c>
      <c r="AM81">
        <v>9.0865073879999905</v>
      </c>
      <c r="AN81">
        <v>9.0079319669999904</v>
      </c>
      <c r="AO81">
        <v>8.9165212609999998</v>
      </c>
      <c r="AP81">
        <v>8.8189851010000009</v>
      </c>
      <c r="AQ81">
        <v>8.7133485610000001</v>
      </c>
      <c r="AR81">
        <v>8.6005645380000004</v>
      </c>
      <c r="AS81">
        <v>8.5897602420000005</v>
      </c>
      <c r="AT81">
        <v>8.5853832360000002</v>
      </c>
      <c r="AU81">
        <v>8.5770885949999904</v>
      </c>
      <c r="AV81">
        <v>8.5640618100000001</v>
      </c>
      <c r="AW81">
        <v>8.5455212310000004</v>
      </c>
    </row>
    <row r="82" spans="2:99" x14ac:dyDescent="0.25">
      <c r="B82" t="s">
        <v>182</v>
      </c>
      <c r="C82" s="39">
        <v>4.42659733299524E-4</v>
      </c>
      <c r="D82" s="39">
        <v>4.4976677849999601E-4</v>
      </c>
      <c r="E82" s="39">
        <v>4.5698792999999998E-4</v>
      </c>
      <c r="F82" s="39">
        <v>1.13822046E-3</v>
      </c>
      <c r="G82" s="39">
        <v>2.1522788700000001E-3</v>
      </c>
      <c r="H82">
        <v>3.7866640600000001E-3</v>
      </c>
      <c r="I82">
        <v>5.9902052500000001E-3</v>
      </c>
      <c r="J82" s="39">
        <v>8.8736768800000004E-3</v>
      </c>
      <c r="K82" s="39">
        <v>1.2234378400000001E-2</v>
      </c>
      <c r="L82" s="39">
        <v>1.64982566E-2</v>
      </c>
      <c r="M82" s="39">
        <v>2.21804536E-2</v>
      </c>
      <c r="N82" s="39">
        <v>2.90116217E-2</v>
      </c>
      <c r="O82" s="39">
        <v>3.84407446E-2</v>
      </c>
      <c r="P82" s="39">
        <v>5.0748991299999997E-2</v>
      </c>
      <c r="Q82" s="39">
        <v>6.6611657099999999E-2</v>
      </c>
      <c r="R82" s="39">
        <v>8.6779489099999996E-2</v>
      </c>
      <c r="S82" s="39">
        <v>0.1099991292</v>
      </c>
      <c r="T82" s="39">
        <v>0.13524763349999999</v>
      </c>
      <c r="U82" s="39">
        <v>0.16670699350000001</v>
      </c>
      <c r="V82" s="39">
        <v>0.20627713959999999</v>
      </c>
      <c r="W82" s="39">
        <v>0.2578758806</v>
      </c>
      <c r="X82" s="39">
        <v>0.3205392286</v>
      </c>
      <c r="Y82" s="39">
        <v>0.38861177629999999</v>
      </c>
      <c r="Z82" s="39">
        <v>0.46791497869999998</v>
      </c>
      <c r="AA82" s="39">
        <v>0.56978041430000004</v>
      </c>
      <c r="AB82" s="39">
        <v>0.69501380049999995</v>
      </c>
      <c r="AC82" s="39">
        <v>0.84183176510000002</v>
      </c>
      <c r="AD82" s="39">
        <v>1.0120730069999999</v>
      </c>
      <c r="AE82" s="39">
        <v>1.1949930740000001</v>
      </c>
      <c r="AF82" s="39">
        <v>1.382458033</v>
      </c>
      <c r="AG82" s="39">
        <v>1.5683130940000001</v>
      </c>
      <c r="AH82" s="39">
        <v>1.748318571</v>
      </c>
      <c r="AI82" s="39">
        <v>1.922690384</v>
      </c>
      <c r="AJ82" s="39">
        <v>2.091811388</v>
      </c>
      <c r="AK82" s="39">
        <v>2.251947549</v>
      </c>
      <c r="AL82" s="39">
        <v>2.402643469</v>
      </c>
      <c r="AM82" s="39">
        <v>2.542516333</v>
      </c>
      <c r="AN82" s="39">
        <v>2.671525559</v>
      </c>
      <c r="AO82" s="39">
        <v>2.7906430740000001</v>
      </c>
      <c r="AP82" s="39">
        <v>2.9001913699999999</v>
      </c>
      <c r="AQ82" s="39">
        <v>3.00037558</v>
      </c>
      <c r="AR82" s="39">
        <v>3.0882652369999999</v>
      </c>
      <c r="AS82" s="39">
        <v>3.1690956479999999</v>
      </c>
      <c r="AT82" s="39">
        <v>3.2434321910000001</v>
      </c>
      <c r="AU82" s="39">
        <v>3.3113776380000002</v>
      </c>
      <c r="AV82" s="39">
        <v>3.3727014660000001</v>
      </c>
      <c r="AW82" s="39">
        <v>3.4244822680000002</v>
      </c>
    </row>
    <row r="83" spans="2:99" x14ac:dyDescent="0.25">
      <c r="B83" t="s">
        <v>183</v>
      </c>
      <c r="C83">
        <v>1.1996237928359601</v>
      </c>
      <c r="D83">
        <v>1.2188841408592499</v>
      </c>
      <c r="E83">
        <v>1.238864347</v>
      </c>
      <c r="F83">
        <v>1.2855887029999999</v>
      </c>
      <c r="G83">
        <v>1.2626170489999999</v>
      </c>
      <c r="H83">
        <v>1.1173156049999999</v>
      </c>
      <c r="I83">
        <v>1.1713954120000001</v>
      </c>
      <c r="J83">
        <v>1.186342649</v>
      </c>
      <c r="K83">
        <v>1.202838761</v>
      </c>
      <c r="L83">
        <v>1.20172324</v>
      </c>
      <c r="M83">
        <v>1.202005284</v>
      </c>
      <c r="N83">
        <v>1.1900351090000001</v>
      </c>
      <c r="O83">
        <v>1.184458842</v>
      </c>
      <c r="P83">
        <v>1.2473731850000001</v>
      </c>
      <c r="Q83">
        <v>1.280059112</v>
      </c>
      <c r="R83">
        <v>1.318115726</v>
      </c>
      <c r="S83">
        <v>1.322675195</v>
      </c>
      <c r="T83">
        <v>1.3433169060000001</v>
      </c>
      <c r="U83">
        <v>1.3652410129999999</v>
      </c>
      <c r="V83">
        <v>1.3957492440000001</v>
      </c>
      <c r="W83">
        <v>1.4941896779999999</v>
      </c>
      <c r="X83">
        <v>1.5763554479999999</v>
      </c>
      <c r="Y83">
        <v>1.6991837009999999</v>
      </c>
      <c r="Z83">
        <v>1.8352614650000001</v>
      </c>
      <c r="AA83">
        <v>1.978404939</v>
      </c>
      <c r="AB83">
        <v>2.1412376420000001</v>
      </c>
      <c r="AC83">
        <v>2.3098914810000002</v>
      </c>
      <c r="AD83">
        <v>2.5842071660000001</v>
      </c>
      <c r="AE83">
        <v>2.8577784089999998</v>
      </c>
      <c r="AF83">
        <v>3.1327054909999998</v>
      </c>
      <c r="AG83">
        <v>3.4092763210000001</v>
      </c>
      <c r="AH83">
        <v>3.69260192</v>
      </c>
      <c r="AI83">
        <v>4.043138914</v>
      </c>
      <c r="AJ83">
        <v>4.3975467630000002</v>
      </c>
      <c r="AK83">
        <v>4.7492850420000003</v>
      </c>
      <c r="AL83">
        <v>5.1176403180000003</v>
      </c>
      <c r="AM83">
        <v>5.4803085449999998</v>
      </c>
      <c r="AN83">
        <v>5.7607654950000002</v>
      </c>
      <c r="AO83">
        <v>6.0349592080000001</v>
      </c>
      <c r="AP83">
        <v>6.3116401270000004</v>
      </c>
      <c r="AQ83">
        <v>6.5943786400000004</v>
      </c>
      <c r="AR83">
        <v>6.8776160659999999</v>
      </c>
      <c r="AS83">
        <v>7.0335793999999998</v>
      </c>
      <c r="AT83">
        <v>7.1982256329999998</v>
      </c>
      <c r="AU83">
        <v>7.367046405</v>
      </c>
      <c r="AV83">
        <v>7.5366294639999998</v>
      </c>
      <c r="AW83">
        <v>7.7066538409999996</v>
      </c>
    </row>
    <row r="84" spans="2:99" x14ac:dyDescent="0.25">
      <c r="B84" t="s">
        <v>184</v>
      </c>
      <c r="C84">
        <v>0.33902625565417799</v>
      </c>
      <c r="D84">
        <v>0.34446943184985501</v>
      </c>
      <c r="E84">
        <v>0.35</v>
      </c>
      <c r="F84">
        <v>0.36577000300000001</v>
      </c>
      <c r="G84">
        <v>0.35835713279999998</v>
      </c>
      <c r="H84">
        <v>0.3624608111</v>
      </c>
      <c r="I84">
        <v>0.38747177799999999</v>
      </c>
      <c r="J84">
        <v>0.38401361020000002</v>
      </c>
      <c r="K84">
        <v>0.37891778799999998</v>
      </c>
      <c r="L84">
        <v>0.36836207609999999</v>
      </c>
      <c r="M84">
        <v>0.38987957870000001</v>
      </c>
      <c r="N84">
        <v>0.3993819649</v>
      </c>
      <c r="O84">
        <v>0.40033789980000001</v>
      </c>
      <c r="P84">
        <v>0.40574602009999999</v>
      </c>
      <c r="Q84">
        <v>0.38291064870000002</v>
      </c>
      <c r="R84">
        <v>0.37407032540000001</v>
      </c>
      <c r="S84">
        <v>0.37522828559999999</v>
      </c>
      <c r="T84">
        <v>0.38070074050000002</v>
      </c>
      <c r="U84">
        <v>0.38689326950000003</v>
      </c>
      <c r="V84">
        <v>0.40383984140000001</v>
      </c>
      <c r="W84">
        <v>0.41278364950000002</v>
      </c>
      <c r="X84">
        <v>0.41656621109999997</v>
      </c>
      <c r="Y84">
        <v>0.41992202979999999</v>
      </c>
      <c r="Z84">
        <v>0.4260979446</v>
      </c>
      <c r="AA84">
        <v>0.43283596210000003</v>
      </c>
      <c r="AB84">
        <v>0.43904578690000001</v>
      </c>
      <c r="AC84">
        <v>0.44495748340000002</v>
      </c>
      <c r="AD84">
        <v>0.45351542960000002</v>
      </c>
      <c r="AE84">
        <v>0.46239890259999999</v>
      </c>
      <c r="AF84">
        <v>0.4710729709</v>
      </c>
      <c r="AG84">
        <v>0.47783333909999998</v>
      </c>
      <c r="AH84">
        <v>0.48494765239999998</v>
      </c>
      <c r="AI84">
        <v>0.49274277950000001</v>
      </c>
      <c r="AJ84">
        <v>0.50109868410000002</v>
      </c>
      <c r="AK84">
        <v>0.50911849799999997</v>
      </c>
      <c r="AL84">
        <v>0.50979983640000004</v>
      </c>
      <c r="AM84">
        <v>0.50952645659999996</v>
      </c>
      <c r="AN84">
        <v>0.52143871639999995</v>
      </c>
      <c r="AO84">
        <v>0.53390911169999999</v>
      </c>
      <c r="AP84">
        <v>0.54592423450000005</v>
      </c>
      <c r="AQ84">
        <v>0.55796857519999998</v>
      </c>
      <c r="AR84">
        <v>0.56979372569999998</v>
      </c>
      <c r="AS84">
        <v>0.57377348260000005</v>
      </c>
      <c r="AT84">
        <v>0.57793686099999997</v>
      </c>
      <c r="AU84">
        <v>0.58261812010000003</v>
      </c>
      <c r="AV84">
        <v>0.58756932100000003</v>
      </c>
      <c r="AW84">
        <v>0.59280286250000003</v>
      </c>
    </row>
    <row r="85" spans="2:99" x14ac:dyDescent="0.25">
      <c r="B85" t="s">
        <v>185</v>
      </c>
      <c r="C85">
        <v>12.8442518570697</v>
      </c>
      <c r="D85">
        <v>13.0504704752259</v>
      </c>
      <c r="E85">
        <v>13.26</v>
      </c>
      <c r="F85">
        <v>13.64103517</v>
      </c>
      <c r="G85">
        <v>13.2352594</v>
      </c>
      <c r="H85">
        <v>12.174451919999999</v>
      </c>
      <c r="I85">
        <v>12.7493173</v>
      </c>
      <c r="J85">
        <v>13.0346552</v>
      </c>
      <c r="K85">
        <v>12.45308436</v>
      </c>
      <c r="L85">
        <v>12.25698049</v>
      </c>
      <c r="M85">
        <v>12.447603900000001</v>
      </c>
      <c r="N85">
        <v>12.782149950000001</v>
      </c>
      <c r="O85">
        <v>13.11454964</v>
      </c>
      <c r="P85" s="39">
        <v>13.46471202</v>
      </c>
      <c r="Q85" s="39">
        <v>13.17047807</v>
      </c>
      <c r="R85" s="39">
        <v>13.090900660000001</v>
      </c>
      <c r="S85" s="39">
        <v>13.13050241</v>
      </c>
      <c r="T85" s="39">
        <v>13.40493955</v>
      </c>
      <c r="U85" s="39">
        <v>13.46417488</v>
      </c>
      <c r="V85" s="39">
        <v>13.87618106</v>
      </c>
      <c r="W85" s="39">
        <v>11.595416419999999</v>
      </c>
      <c r="X85" s="39">
        <v>9.6449456389999995</v>
      </c>
      <c r="Y85" s="39">
        <v>8.3088176619999903</v>
      </c>
      <c r="Z85" s="39">
        <v>7.4321122559999999</v>
      </c>
      <c r="AA85" s="39">
        <v>6.7983193420000001</v>
      </c>
      <c r="AB85" s="39">
        <v>6.3180736199999998</v>
      </c>
      <c r="AC85" s="39">
        <v>5.9630172290000001</v>
      </c>
      <c r="AD85" s="39">
        <v>5.9589705119999996</v>
      </c>
      <c r="AE85" s="39">
        <v>6.0500762970000004</v>
      </c>
      <c r="AF85">
        <v>6.1621279099999997</v>
      </c>
      <c r="AG85">
        <v>6.2749936149999996</v>
      </c>
      <c r="AH85">
        <v>6.3881047989999997</v>
      </c>
      <c r="AI85">
        <v>6.5140595689999996</v>
      </c>
      <c r="AJ85">
        <v>6.6492518890000003</v>
      </c>
      <c r="AK85">
        <v>6.7875950630000004</v>
      </c>
      <c r="AL85">
        <v>6.895626837</v>
      </c>
      <c r="AM85">
        <v>7.0018999669999999</v>
      </c>
      <c r="AN85">
        <v>7.1656431779999998</v>
      </c>
      <c r="AO85">
        <v>7.331610371</v>
      </c>
      <c r="AP85">
        <v>7.4997228009999999</v>
      </c>
      <c r="AQ85">
        <v>7.6744322680000003</v>
      </c>
      <c r="AR85">
        <v>7.8477433120000004</v>
      </c>
      <c r="AS85">
        <v>7.9727247339999998</v>
      </c>
      <c r="AT85">
        <v>8.0991530590000007</v>
      </c>
      <c r="AU85">
        <v>8.2297188979999998</v>
      </c>
      <c r="AV85">
        <v>8.3606555189999998</v>
      </c>
      <c r="AW85">
        <v>8.4959645229999996</v>
      </c>
    </row>
    <row r="86" spans="2:99" x14ac:dyDescent="0.25">
      <c r="B86" t="s">
        <v>186</v>
      </c>
      <c r="C86">
        <v>17.113958899133198</v>
      </c>
      <c r="D86">
        <v>17.388729044925601</v>
      </c>
      <c r="E86">
        <v>17.667910710000001</v>
      </c>
      <c r="F86">
        <v>17.89943195</v>
      </c>
      <c r="G86">
        <v>17.866487469999999</v>
      </c>
      <c r="H86">
        <v>17.92042309</v>
      </c>
      <c r="I86">
        <v>18.38492475</v>
      </c>
      <c r="J86">
        <v>18.488992530000001</v>
      </c>
      <c r="K86" s="39">
        <v>18.232102919999999</v>
      </c>
      <c r="L86" s="39">
        <v>18.153128070000001</v>
      </c>
      <c r="M86" s="39">
        <v>18.29767339</v>
      </c>
      <c r="N86" s="39">
        <v>18.604732500000001</v>
      </c>
      <c r="O86" s="39">
        <v>19.091140159999998</v>
      </c>
      <c r="P86" s="39">
        <v>19.236354290000001</v>
      </c>
      <c r="Q86" s="39">
        <v>18.746884940000001</v>
      </c>
      <c r="R86" s="39">
        <v>18.375383070000002</v>
      </c>
      <c r="S86" s="39">
        <v>18.113294410000002</v>
      </c>
      <c r="T86" s="39">
        <v>17.712807519999998</v>
      </c>
      <c r="U86" s="39">
        <v>17.537743339999999</v>
      </c>
      <c r="V86" s="39">
        <v>17.56540171</v>
      </c>
      <c r="W86" s="39">
        <v>17.43637137</v>
      </c>
      <c r="X86" s="39">
        <v>17.19845239</v>
      </c>
      <c r="Y86" s="39">
        <v>16.925007269999998</v>
      </c>
      <c r="Z86">
        <v>16.63952188</v>
      </c>
      <c r="AA86">
        <v>16.34205467</v>
      </c>
      <c r="AB86">
        <v>15.825577239999999</v>
      </c>
      <c r="AC86">
        <v>15.337702869999999</v>
      </c>
      <c r="AD86">
        <v>15.064223699999999</v>
      </c>
      <c r="AE86">
        <v>14.798374750000001</v>
      </c>
      <c r="AF86">
        <v>14.563207520000001</v>
      </c>
      <c r="AG86">
        <v>14.29171103</v>
      </c>
      <c r="AH86">
        <v>14.029202440000001</v>
      </c>
      <c r="AI86">
        <v>13.824005659999999</v>
      </c>
      <c r="AJ86">
        <v>13.65082413</v>
      </c>
      <c r="AK86">
        <v>13.49265844</v>
      </c>
      <c r="AL86">
        <v>13.0877266</v>
      </c>
      <c r="AM86">
        <v>12.715079080000001</v>
      </c>
      <c r="AN86">
        <v>12.628636269999999</v>
      </c>
      <c r="AO86">
        <v>12.52347125</v>
      </c>
      <c r="AP86">
        <v>12.433670940000001</v>
      </c>
      <c r="AQ86">
        <v>12.36812319</v>
      </c>
      <c r="AR86">
        <v>12.32300395</v>
      </c>
      <c r="AS86">
        <v>12.04308735</v>
      </c>
      <c r="AT86" s="39">
        <v>11.78256279</v>
      </c>
      <c r="AU86" s="39">
        <v>11.518444369999999</v>
      </c>
      <c r="AV86">
        <v>11.24733243</v>
      </c>
      <c r="AW86">
        <v>10.975215739999999</v>
      </c>
    </row>
    <row r="87" spans="2:99" x14ac:dyDescent="0.25">
      <c r="B87" t="s">
        <v>187</v>
      </c>
      <c r="C87">
        <v>5.6395460874857797</v>
      </c>
      <c r="D87">
        <v>5.7300908240832298</v>
      </c>
      <c r="E87">
        <v>5.8220892859999998</v>
      </c>
      <c r="F87">
        <v>6.3666307079999997</v>
      </c>
      <c r="G87">
        <v>6.7114850559999999</v>
      </c>
      <c r="H87">
        <v>7.0506917910000002</v>
      </c>
      <c r="I87">
        <v>7.7591703880000003</v>
      </c>
      <c r="J87">
        <v>8.2384026959999996</v>
      </c>
      <c r="K87">
        <v>8.4547685789999996</v>
      </c>
      <c r="L87">
        <v>8.9268083950000001</v>
      </c>
      <c r="M87">
        <v>9.7656349749999904</v>
      </c>
      <c r="N87">
        <v>11.1203783</v>
      </c>
      <c r="O87">
        <v>11.635020689999999</v>
      </c>
      <c r="P87">
        <v>11.45756201</v>
      </c>
      <c r="Q87">
        <v>10.49608765</v>
      </c>
      <c r="R87">
        <v>9.8380542599999998</v>
      </c>
      <c r="S87">
        <v>9.4095998529999996</v>
      </c>
      <c r="T87">
        <v>9.3213649449999902</v>
      </c>
      <c r="U87">
        <v>9.2620195750000001</v>
      </c>
      <c r="V87">
        <v>9.3901054659999996</v>
      </c>
      <c r="W87">
        <v>11.19059646</v>
      </c>
      <c r="X87">
        <v>12.650655049999999</v>
      </c>
      <c r="Y87">
        <v>13.588505339999999</v>
      </c>
      <c r="Z87">
        <v>14.24760262</v>
      </c>
      <c r="AA87">
        <v>14.64824063</v>
      </c>
      <c r="AB87">
        <v>14.543542309999999</v>
      </c>
      <c r="AC87">
        <v>14.276299910000001</v>
      </c>
      <c r="AD87">
        <v>14.13245744</v>
      </c>
      <c r="AE87">
        <v>13.924040809999999</v>
      </c>
      <c r="AF87">
        <v>13.71577194</v>
      </c>
      <c r="AG87">
        <v>13.449986640000001</v>
      </c>
      <c r="AH87">
        <v>13.19146065</v>
      </c>
      <c r="AI87">
        <v>12.98504385</v>
      </c>
      <c r="AJ87">
        <v>12.7871282</v>
      </c>
      <c r="AK87">
        <v>12.59079652</v>
      </c>
      <c r="AL87">
        <v>12.154010270000001</v>
      </c>
      <c r="AM87">
        <v>11.70730221</v>
      </c>
      <c r="AN87">
        <v>11.53559493</v>
      </c>
      <c r="AO87">
        <v>11.3940494</v>
      </c>
      <c r="AP87">
        <v>11.26601907</v>
      </c>
      <c r="AQ87">
        <v>11.15567147</v>
      </c>
      <c r="AR87">
        <v>11.06183002</v>
      </c>
      <c r="AS87">
        <v>10.7387239</v>
      </c>
      <c r="AT87">
        <v>10.40319367</v>
      </c>
      <c r="AU87">
        <v>10.07436311</v>
      </c>
      <c r="AV87">
        <v>9.7550495749999904</v>
      </c>
      <c r="AW87">
        <v>9.4464759770000004</v>
      </c>
    </row>
    <row r="88" spans="2:99" x14ac:dyDescent="0.25">
      <c r="B88" t="s">
        <v>188</v>
      </c>
      <c r="C88" s="39">
        <v>1.0609788529198101E-6</v>
      </c>
      <c r="D88" s="39">
        <v>1.0780132115867701E-6</v>
      </c>
      <c r="E88" s="39">
        <v>1.0953210600000001E-6</v>
      </c>
      <c r="F88" s="39">
        <v>1.1749067599999999E-6</v>
      </c>
      <c r="G88" s="39">
        <v>2.08615593E-6</v>
      </c>
      <c r="H88" s="39">
        <v>3.1271765000000002E-6</v>
      </c>
      <c r="I88" s="39">
        <v>4.1651968999999997E-6</v>
      </c>
      <c r="J88" s="39">
        <v>5.4841813600000001E-6</v>
      </c>
      <c r="K88" s="39">
        <v>6.6636881800000002E-6</v>
      </c>
      <c r="L88" s="39">
        <v>7.6755640199999892E-6</v>
      </c>
      <c r="M88" s="39">
        <v>8.6272449599999998E-6</v>
      </c>
      <c r="N88" s="39">
        <v>9.1403429799999907E-6</v>
      </c>
      <c r="O88" s="39">
        <v>9.5238587700000006E-6</v>
      </c>
      <c r="P88" s="39">
        <v>9.7443875499999892E-6</v>
      </c>
      <c r="Q88" s="39">
        <v>1.0542474899999999E-5</v>
      </c>
      <c r="R88" s="39">
        <v>1.1464113999999999E-5</v>
      </c>
      <c r="S88" s="39">
        <v>1.28358119E-5</v>
      </c>
      <c r="T88" s="39">
        <v>1.38769938E-5</v>
      </c>
      <c r="U88" s="39">
        <v>1.5548845100000001E-5</v>
      </c>
      <c r="V88" s="39">
        <v>1.7495676099999998E-5</v>
      </c>
      <c r="W88" s="39">
        <v>2.0106876700000001E-5</v>
      </c>
      <c r="X88" s="39">
        <v>2.2935307E-5</v>
      </c>
      <c r="Y88" s="39">
        <v>2.4976797500000001E-5</v>
      </c>
      <c r="Z88" s="39">
        <v>2.6407349600000001E-5</v>
      </c>
      <c r="AA88" s="39">
        <v>2.7239678799999999E-5</v>
      </c>
      <c r="AB88" s="39">
        <v>2.75111941E-5</v>
      </c>
      <c r="AC88" s="39">
        <v>2.7265233200000001E-5</v>
      </c>
      <c r="AD88" s="39">
        <v>2.65714904E-5</v>
      </c>
      <c r="AE88" s="39">
        <v>2.5558054799999999E-5</v>
      </c>
      <c r="AF88" s="39">
        <v>2.4352264599999998E-5</v>
      </c>
      <c r="AG88" s="39">
        <v>2.3059474099999999E-5</v>
      </c>
      <c r="AH88" s="39">
        <v>2.1750679400000001E-5</v>
      </c>
      <c r="AI88" s="39">
        <v>2.04689357E-5</v>
      </c>
      <c r="AJ88" s="39">
        <v>1.92346404E-5</v>
      </c>
      <c r="AK88" s="39">
        <v>1.8057588600000002E-5</v>
      </c>
      <c r="AL88" s="39">
        <v>1.6941517300000002E-5</v>
      </c>
      <c r="AM88" s="39">
        <v>1.5886695600000001E-5</v>
      </c>
      <c r="AN88" s="39">
        <v>1.4895838299999999E-5</v>
      </c>
      <c r="AO88" s="39">
        <v>1.3965901100000001E-5</v>
      </c>
      <c r="AP88" s="39">
        <v>1.3093569399999999E-5</v>
      </c>
      <c r="AQ88" s="39">
        <v>1.2275494699999999E-5</v>
      </c>
      <c r="AR88" s="39">
        <v>1.1457280599999999E-5</v>
      </c>
      <c r="AS88" s="39">
        <v>1.0693540199999999E-5</v>
      </c>
      <c r="AT88" s="39">
        <v>9.98067765E-6</v>
      </c>
      <c r="AU88" s="39">
        <v>9.3153196299999998E-6</v>
      </c>
      <c r="AV88" s="39">
        <v>8.6943087599999995E-6</v>
      </c>
      <c r="AW88" s="39">
        <v>8.1146934300000005E-6</v>
      </c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</row>
    <row r="89" spans="2:99" x14ac:dyDescent="0.25">
      <c r="B89" t="s">
        <v>189</v>
      </c>
      <c r="C89" s="39">
        <v>0.26347077198670499</v>
      </c>
      <c r="D89" s="39">
        <v>0.26770088045298701</v>
      </c>
      <c r="E89" s="39">
        <v>0.27205441330000002</v>
      </c>
      <c r="F89" s="39">
        <v>0.30134488149999999</v>
      </c>
      <c r="G89" s="39">
        <v>0.2931422857</v>
      </c>
      <c r="H89" s="39">
        <v>0.243142935</v>
      </c>
      <c r="I89" s="39">
        <v>0.24732286249999999</v>
      </c>
      <c r="J89" s="39">
        <v>0.2417067873</v>
      </c>
      <c r="K89" s="39">
        <v>0.26154792259999998</v>
      </c>
      <c r="L89" s="39">
        <v>0.25751936759999999</v>
      </c>
      <c r="M89" s="39">
        <v>0.24978152870000001</v>
      </c>
      <c r="N89" s="39">
        <v>0.24409667330000001</v>
      </c>
      <c r="O89" s="39">
        <v>0.2324000822</v>
      </c>
      <c r="P89" s="39">
        <v>0.2381684553</v>
      </c>
      <c r="Q89" s="39">
        <v>0.2435873204</v>
      </c>
      <c r="R89" s="39">
        <v>0.2524871414</v>
      </c>
      <c r="S89" s="39">
        <v>0.26799258180000002</v>
      </c>
      <c r="T89" s="39">
        <v>0.32750677659999999</v>
      </c>
      <c r="U89" s="39">
        <v>0.37609510489999998</v>
      </c>
      <c r="V89" s="39">
        <v>0.42044324119999998</v>
      </c>
      <c r="W89" s="39">
        <v>0.43329853689999998</v>
      </c>
      <c r="X89" s="39">
        <v>0.44458860410000001</v>
      </c>
      <c r="Y89" s="39">
        <v>0.48830786079999999</v>
      </c>
      <c r="Z89" s="39">
        <v>0.53534886859999997</v>
      </c>
      <c r="AA89" s="39">
        <v>0.58416022109999999</v>
      </c>
      <c r="AB89" s="39">
        <v>0.62642668329999995</v>
      </c>
      <c r="AC89" s="39">
        <v>0.67088388509999997</v>
      </c>
      <c r="AD89" s="39">
        <v>0.73728661920000005</v>
      </c>
      <c r="AE89" s="39">
        <v>0.80547484219999999</v>
      </c>
      <c r="AF89" s="39">
        <v>0.87513814909999998</v>
      </c>
      <c r="AG89" s="39">
        <v>0.94384104329999996</v>
      </c>
      <c r="AH89" s="39">
        <v>1.0139832200000001</v>
      </c>
      <c r="AI89" s="39">
        <v>1.1003480349999999</v>
      </c>
      <c r="AJ89" s="39">
        <v>1.188823747</v>
      </c>
      <c r="AK89" s="39">
        <v>1.2769320740000001</v>
      </c>
      <c r="AL89" s="39">
        <v>1.358575023</v>
      </c>
      <c r="AM89" s="39">
        <v>1.437858243</v>
      </c>
      <c r="AN89" s="39">
        <v>1.5153635830000001</v>
      </c>
      <c r="AO89" s="39">
        <v>1.5931668619999999</v>
      </c>
      <c r="AP89" s="39">
        <v>1.67368055</v>
      </c>
      <c r="AQ89" s="39">
        <v>1.7587123099999999</v>
      </c>
      <c r="AR89" s="39">
        <v>1.8480675929999999</v>
      </c>
      <c r="AS89" s="39">
        <v>1.886987827</v>
      </c>
      <c r="AT89" s="39">
        <v>1.925530569</v>
      </c>
      <c r="AU89" s="39">
        <v>1.9656643039999999</v>
      </c>
      <c r="AV89">
        <v>2.0068392130000001</v>
      </c>
      <c r="AW89">
        <v>2.048893815</v>
      </c>
    </row>
    <row r="90" spans="2:99" x14ac:dyDescent="0.25">
      <c r="B90" t="s">
        <v>190</v>
      </c>
      <c r="C90">
        <v>2318131524.4374599</v>
      </c>
      <c r="D90">
        <v>2355349875.8831902</v>
      </c>
      <c r="E90">
        <v>2393165780</v>
      </c>
      <c r="F90">
        <v>2417743066</v>
      </c>
      <c r="G90">
        <v>2442572755</v>
      </c>
      <c r="H90">
        <v>2467657440</v>
      </c>
      <c r="I90">
        <v>2492999739</v>
      </c>
      <c r="J90">
        <v>2518602297</v>
      </c>
      <c r="K90">
        <v>2544467789</v>
      </c>
      <c r="L90">
        <v>2570598913</v>
      </c>
      <c r="M9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2893294392</v>
      </c>
      <c r="X90">
        <v>2920683496</v>
      </c>
      <c r="Y90">
        <v>2946016305</v>
      </c>
      <c r="Z90">
        <v>2969192311</v>
      </c>
      <c r="AA90">
        <v>2990333273</v>
      </c>
      <c r="AB90">
        <v>3009261245</v>
      </c>
      <c r="AC90">
        <v>3025888722</v>
      </c>
      <c r="AD90">
        <v>3041817748</v>
      </c>
      <c r="AE90">
        <v>3056903629</v>
      </c>
      <c r="AF90">
        <v>3071089561</v>
      </c>
      <c r="AG90">
        <v>3084363564</v>
      </c>
      <c r="AH90">
        <v>3096983722</v>
      </c>
      <c r="AI90">
        <v>3108626593</v>
      </c>
      <c r="AJ90">
        <v>3119146419</v>
      </c>
      <c r="AK90">
        <v>3128804146</v>
      </c>
      <c r="AL90">
        <v>3137546654</v>
      </c>
      <c r="AM90">
        <v>3145275685</v>
      </c>
      <c r="AN90">
        <v>3152779717</v>
      </c>
      <c r="AO90">
        <v>3159874851</v>
      </c>
      <c r="AP90">
        <v>3166558568</v>
      </c>
      <c r="AQ90">
        <v>3173103141</v>
      </c>
      <c r="AR90">
        <v>3179324132</v>
      </c>
      <c r="AS90">
        <v>3185265549</v>
      </c>
      <c r="AT90">
        <v>3191063906</v>
      </c>
      <c r="AU90">
        <v>3196626001</v>
      </c>
      <c r="AV90">
        <v>3201950414</v>
      </c>
      <c r="AW90">
        <v>3207035723</v>
      </c>
    </row>
    <row r="91" spans="2:99" x14ac:dyDescent="0.25">
      <c r="B91" t="s">
        <v>191</v>
      </c>
      <c r="C91">
        <v>640398.31806251395</v>
      </c>
      <c r="D91">
        <v>650680.12020171306</v>
      </c>
      <c r="E91">
        <v>661127</v>
      </c>
      <c r="F91">
        <v>1570695.689</v>
      </c>
      <c r="G91">
        <v>2873115.656</v>
      </c>
      <c r="H91">
        <v>4198104.9280000003</v>
      </c>
      <c r="I91">
        <v>5322697.4009999996</v>
      </c>
      <c r="J91">
        <v>6453008.0240000002</v>
      </c>
      <c r="K91">
        <v>7700498.6380000003</v>
      </c>
      <c r="L91">
        <v>9105911.9820000008</v>
      </c>
      <c r="M91">
        <v>10653992.07</v>
      </c>
      <c r="N91">
        <v>12281020.18</v>
      </c>
      <c r="O91">
        <v>13746915.1</v>
      </c>
      <c r="P91">
        <v>15522057.939999999</v>
      </c>
      <c r="Q91">
        <v>17875445.68</v>
      </c>
      <c r="R91">
        <v>21583434.899999999</v>
      </c>
      <c r="S91">
        <v>26206909.239999998</v>
      </c>
      <c r="T91">
        <v>31919520.420000002</v>
      </c>
      <c r="U91">
        <v>38387718.490000002</v>
      </c>
      <c r="V91">
        <v>45366787.770000003</v>
      </c>
      <c r="W91">
        <v>53147431.5</v>
      </c>
      <c r="X91">
        <v>63216470.549999997</v>
      </c>
      <c r="Y91">
        <v>76012462.049999997</v>
      </c>
      <c r="Z91">
        <v>90907750.920000002</v>
      </c>
      <c r="AA91">
        <v>107386259.8</v>
      </c>
      <c r="AB91">
        <v>124970507.09999999</v>
      </c>
      <c r="AC91">
        <v>143594681.80000001</v>
      </c>
      <c r="AD91">
        <v>163750567.09999999</v>
      </c>
      <c r="AE91">
        <v>185047498.19999999</v>
      </c>
      <c r="AF91">
        <v>207127448.5</v>
      </c>
      <c r="AG91">
        <v>230035468.09999999</v>
      </c>
      <c r="AH91">
        <v>253704466.5</v>
      </c>
      <c r="AI91">
        <v>277808510.19999999</v>
      </c>
      <c r="AJ91">
        <v>302330865.5</v>
      </c>
      <c r="AK91">
        <v>327331303.69999999</v>
      </c>
      <c r="AL91">
        <v>352831256.19999999</v>
      </c>
      <c r="AM91">
        <v>379499288.39999998</v>
      </c>
      <c r="AN91">
        <v>407285498.10000002</v>
      </c>
      <c r="AO91">
        <v>435657465</v>
      </c>
      <c r="AP91">
        <v>464420535.60000002</v>
      </c>
      <c r="AQ91">
        <v>493507810.30000001</v>
      </c>
      <c r="AR91">
        <v>522812458.69999999</v>
      </c>
      <c r="AS91">
        <v>552409385.70000005</v>
      </c>
      <c r="AT91">
        <v>582673611.20000005</v>
      </c>
      <c r="AU91">
        <v>613655165.29999995</v>
      </c>
      <c r="AV91">
        <v>645395286</v>
      </c>
      <c r="AW91">
        <v>677892315.60000002</v>
      </c>
    </row>
    <row r="92" spans="2:99" x14ac:dyDescent="0.25">
      <c r="B92" t="s">
        <v>192</v>
      </c>
      <c r="C92">
        <v>41062689.603059798</v>
      </c>
      <c r="D92">
        <v>41721964.366740197</v>
      </c>
      <c r="E92">
        <v>42391824</v>
      </c>
      <c r="F92">
        <v>46675187.380000003</v>
      </c>
      <c r="G92">
        <v>51852903</v>
      </c>
      <c r="H92">
        <v>57105090.280000001</v>
      </c>
      <c r="I92">
        <v>61438669.100000001</v>
      </c>
      <c r="J92">
        <v>65905159.450000003</v>
      </c>
      <c r="K92">
        <v>70879847.420000002</v>
      </c>
      <c r="L92" s="273">
        <v>76909945.150000006</v>
      </c>
      <c r="M92">
        <v>83440128.719999999</v>
      </c>
      <c r="N92">
        <v>89967966.540000007</v>
      </c>
      <c r="O92">
        <v>95086621.840000004</v>
      </c>
      <c r="P92">
        <v>101255214.59999999</v>
      </c>
      <c r="Q92">
        <v>109252701.8</v>
      </c>
      <c r="R92">
        <v>122754386.59999999</v>
      </c>
      <c r="S92">
        <v>138390050.09999999</v>
      </c>
      <c r="T92">
        <v>157681680.40000001</v>
      </c>
      <c r="U92">
        <v>177484527</v>
      </c>
      <c r="V92">
        <v>198068345.30000001</v>
      </c>
      <c r="W92">
        <v>219769329.59999999</v>
      </c>
      <c r="X92">
        <v>246202082.59999999</v>
      </c>
      <c r="Y92">
        <v>276304875</v>
      </c>
      <c r="Z92">
        <v>308395932</v>
      </c>
      <c r="AA92">
        <v>340829313.30000001</v>
      </c>
      <c r="AB92">
        <v>372311452.89999998</v>
      </c>
      <c r="AC92">
        <v>402980957.89999998</v>
      </c>
      <c r="AD92">
        <v>433464297.19999999</v>
      </c>
      <c r="AE92">
        <v>462831342.5</v>
      </c>
      <c r="AF92">
        <v>490782430</v>
      </c>
      <c r="AG92">
        <v>517417766.60000002</v>
      </c>
      <c r="AH92">
        <v>542688165.29999995</v>
      </c>
      <c r="AI92">
        <v>566404534.60000002</v>
      </c>
      <c r="AJ92">
        <v>588639343.20000005</v>
      </c>
      <c r="AK92">
        <v>609490239.60000002</v>
      </c>
      <c r="AL92">
        <v>629087559</v>
      </c>
      <c r="AM92">
        <v>648008774.70000005</v>
      </c>
      <c r="AN92">
        <v>666158699.70000005</v>
      </c>
      <c r="AO92">
        <v>683235684.89999998</v>
      </c>
      <c r="AP92">
        <v>699161365.5</v>
      </c>
      <c r="AQ92">
        <v>713991787</v>
      </c>
      <c r="AR92">
        <v>727716266</v>
      </c>
      <c r="AS92">
        <v>740454726.39999998</v>
      </c>
      <c r="AT92">
        <v>752495153.79999995</v>
      </c>
      <c r="AU92">
        <v>763881541.10000002</v>
      </c>
      <c r="AV92">
        <v>774636020.60000002</v>
      </c>
      <c r="AW92">
        <v>784753130.79999995</v>
      </c>
    </row>
    <row r="93" spans="2:99" x14ac:dyDescent="0.25">
      <c r="B93" t="s">
        <v>193</v>
      </c>
      <c r="C93">
        <v>291506404.18067801</v>
      </c>
      <c r="D93">
        <v>296186633.79021603</v>
      </c>
      <c r="E93">
        <v>300942006</v>
      </c>
      <c r="F93">
        <v>325989961.60000002</v>
      </c>
      <c r="G93">
        <v>352084282.69999999</v>
      </c>
      <c r="H93">
        <v>378165535</v>
      </c>
      <c r="I93">
        <v>398508244.89999998</v>
      </c>
      <c r="J93">
        <v>418161329</v>
      </c>
      <c r="K93">
        <v>439605844.10000002</v>
      </c>
      <c r="L93">
        <v>463289674.5</v>
      </c>
      <c r="M93">
        <v>486295724.80000001</v>
      </c>
      <c r="N93">
        <v>506208653.5</v>
      </c>
      <c r="O93">
        <v>521190493.5</v>
      </c>
      <c r="P93">
        <v>533918566.89999998</v>
      </c>
      <c r="Q93">
        <v>548554139</v>
      </c>
      <c r="R93">
        <v>569962988.5</v>
      </c>
      <c r="S93">
        <v>593083780.29999995</v>
      </c>
      <c r="T93">
        <v>618800343.29999995</v>
      </c>
      <c r="U93">
        <v>643887675.10000002</v>
      </c>
      <c r="V93">
        <v>669030140.89999998</v>
      </c>
      <c r="W93">
        <v>693271044</v>
      </c>
      <c r="X93">
        <v>718644500.79999995</v>
      </c>
      <c r="Y93">
        <v>743440895.79999995</v>
      </c>
      <c r="Z93">
        <v>765809004.29999995</v>
      </c>
      <c r="AA93">
        <v>784936397.79999995</v>
      </c>
      <c r="AB93">
        <v>800598287.60000002</v>
      </c>
      <c r="AC93">
        <v>813833776.29999995</v>
      </c>
      <c r="AD93">
        <v>825602040.70000005</v>
      </c>
      <c r="AE93">
        <v>835116764.39999998</v>
      </c>
      <c r="AF93">
        <v>842286085.29999995</v>
      </c>
      <c r="AG93">
        <v>847263048.10000002</v>
      </c>
      <c r="AH93">
        <v>850284027.79999995</v>
      </c>
      <c r="AI93">
        <v>851457975.39999998</v>
      </c>
      <c r="AJ93">
        <v>850887991.39999998</v>
      </c>
      <c r="AK93">
        <v>848745109.20000005</v>
      </c>
      <c r="AL93">
        <v>845241077.39999998</v>
      </c>
      <c r="AM93">
        <v>840724444.10000002</v>
      </c>
      <c r="AN93">
        <v>835417950.10000002</v>
      </c>
      <c r="AO93">
        <v>829284447.89999998</v>
      </c>
      <c r="AP93">
        <v>822390459.39999998</v>
      </c>
      <c r="AQ93">
        <v>814885739.20000005</v>
      </c>
      <c r="AR93">
        <v>806772899.20000005</v>
      </c>
      <c r="AS93">
        <v>798181183</v>
      </c>
      <c r="AT93">
        <v>789375700.20000005</v>
      </c>
      <c r="AU93">
        <v>780396774.5</v>
      </c>
      <c r="AV93">
        <v>771234567.10000002</v>
      </c>
      <c r="AW93">
        <v>761856915.5</v>
      </c>
    </row>
    <row r="94" spans="2:99" x14ac:dyDescent="0.25">
      <c r="B94" t="s">
        <v>194</v>
      </c>
      <c r="C94">
        <v>640671991.67983496</v>
      </c>
      <c r="D94">
        <v>650958187.73748195</v>
      </c>
      <c r="E94">
        <v>661409532</v>
      </c>
      <c r="F94">
        <v>687654837.10000002</v>
      </c>
      <c r="G94">
        <v>713532820.89999998</v>
      </c>
      <c r="H94">
        <v>739315723.89999998</v>
      </c>
      <c r="I94">
        <v>762734330.20000005</v>
      </c>
      <c r="J94">
        <v>786229123</v>
      </c>
      <c r="K94">
        <v>811239684.89999998</v>
      </c>
      <c r="L94">
        <v>837175973.20000005</v>
      </c>
      <c r="M94">
        <v>861943251.70000005</v>
      </c>
      <c r="N94">
        <v>883954354.89999998</v>
      </c>
      <c r="O94">
        <v>905015713</v>
      </c>
      <c r="P94">
        <v>922669857.89999998</v>
      </c>
      <c r="Q94">
        <v>939570313.70000005</v>
      </c>
      <c r="R94">
        <v>954214492.89999998</v>
      </c>
      <c r="S94">
        <v>967737555.20000005</v>
      </c>
      <c r="T94">
        <v>978321526.60000002</v>
      </c>
      <c r="U94">
        <v>987905171.5</v>
      </c>
      <c r="V94">
        <v>997456936.79999995</v>
      </c>
      <c r="W94">
        <v>1004236597</v>
      </c>
      <c r="X94">
        <v>1004509973</v>
      </c>
      <c r="Y94">
        <v>998747365.89999998</v>
      </c>
      <c r="Z94">
        <v>988036919.20000005</v>
      </c>
      <c r="AA94">
        <v>974126707.39999998</v>
      </c>
      <c r="AB94">
        <v>958505187</v>
      </c>
      <c r="AC94">
        <v>941678004.10000002</v>
      </c>
      <c r="AD94">
        <v>924102107.20000005</v>
      </c>
      <c r="AE94">
        <v>906189712</v>
      </c>
      <c r="AF94">
        <v>888106582.29999995</v>
      </c>
      <c r="AG94">
        <v>869720439.60000002</v>
      </c>
      <c r="AH94">
        <v>851340085.29999995</v>
      </c>
      <c r="AI94">
        <v>833097458.20000005</v>
      </c>
      <c r="AJ94">
        <v>814836141.60000002</v>
      </c>
      <c r="AK94">
        <v>796613593</v>
      </c>
      <c r="AL94">
        <v>778393129.89999998</v>
      </c>
      <c r="AM94">
        <v>759660527.79999995</v>
      </c>
      <c r="AN94">
        <v>740977352.20000005</v>
      </c>
      <c r="AO94">
        <v>722470747.20000005</v>
      </c>
      <c r="AP94">
        <v>704221419.29999995</v>
      </c>
      <c r="AQ94">
        <v>686341532.60000002</v>
      </c>
      <c r="AR94">
        <v>668766704.5</v>
      </c>
      <c r="AS94">
        <v>651473648.70000005</v>
      </c>
      <c r="AT94">
        <v>634389174</v>
      </c>
      <c r="AU94">
        <v>617469296.5</v>
      </c>
      <c r="AV94">
        <v>600664259.79999995</v>
      </c>
      <c r="AW94">
        <v>584569229</v>
      </c>
    </row>
    <row r="95" spans="2:99" x14ac:dyDescent="0.25">
      <c r="B95" t="s">
        <v>195</v>
      </c>
      <c r="C95">
        <v>762047427.55376601</v>
      </c>
      <c r="D95">
        <v>774282345.494367</v>
      </c>
      <c r="E95">
        <v>786713699</v>
      </c>
      <c r="F95">
        <v>765151720.10000002</v>
      </c>
      <c r="G95">
        <v>742848404.10000002</v>
      </c>
      <c r="H95">
        <v>721013825.5</v>
      </c>
      <c r="I95">
        <v>704493791.79999995</v>
      </c>
      <c r="J95">
        <v>688605379.20000005</v>
      </c>
      <c r="K95">
        <v>671106976.79999995</v>
      </c>
      <c r="L95">
        <v>651745399</v>
      </c>
      <c r="M95">
        <v>633284211.29999995</v>
      </c>
      <c r="N95">
        <v>617987009</v>
      </c>
      <c r="O95">
        <v>608496979.39999998</v>
      </c>
      <c r="P95">
        <v>601344786.70000005</v>
      </c>
      <c r="Q95">
        <v>592570777.39999998</v>
      </c>
      <c r="R95">
        <v>577386690.70000005</v>
      </c>
      <c r="S95">
        <v>560460677.10000002</v>
      </c>
      <c r="T95">
        <v>541087654.60000002</v>
      </c>
      <c r="U95">
        <v>521981536.69999999</v>
      </c>
      <c r="V95">
        <v>503358252.5</v>
      </c>
      <c r="W95">
        <v>485133574.80000001</v>
      </c>
      <c r="X95">
        <v>465023657.80000001</v>
      </c>
      <c r="Y95">
        <v>444033855.89999998</v>
      </c>
      <c r="Z95">
        <v>423703636.39999998</v>
      </c>
      <c r="AA95">
        <v>404765350.80000001</v>
      </c>
      <c r="AB95">
        <v>387435816.30000001</v>
      </c>
      <c r="AC95">
        <v>370921220</v>
      </c>
      <c r="AD95">
        <v>354737150.60000002</v>
      </c>
      <c r="AE95">
        <v>339595437.5</v>
      </c>
      <c r="AF95">
        <v>325723033.19999999</v>
      </c>
      <c r="AG95">
        <v>313003552</v>
      </c>
      <c r="AH95">
        <v>301344810.10000002</v>
      </c>
      <c r="AI95">
        <v>290719125.89999998</v>
      </c>
      <c r="AJ95">
        <v>281032347.60000002</v>
      </c>
      <c r="AK95">
        <v>272202936.10000002</v>
      </c>
      <c r="AL95">
        <v>264047186.59999999</v>
      </c>
      <c r="AM95">
        <v>256014575.30000001</v>
      </c>
      <c r="AN95">
        <v>248168520.40000001</v>
      </c>
      <c r="AO95">
        <v>240746377.40000001</v>
      </c>
      <c r="AP95">
        <v>233791414</v>
      </c>
      <c r="AQ95">
        <v>227303380.59999999</v>
      </c>
      <c r="AR95">
        <v>221271931.19999999</v>
      </c>
      <c r="AS95">
        <v>215579632.19999999</v>
      </c>
      <c r="AT95">
        <v>209912485.30000001</v>
      </c>
      <c r="AU95">
        <v>204191122.59999999</v>
      </c>
      <c r="AV95">
        <v>198410761.09999999</v>
      </c>
      <c r="AW95">
        <v>192599948.80000001</v>
      </c>
    </row>
    <row r="96" spans="2:99" x14ac:dyDescent="0.25">
      <c r="B96" t="s">
        <v>196</v>
      </c>
      <c r="C96">
        <v>399231640.45290101</v>
      </c>
      <c r="D96">
        <v>405641433.57550502</v>
      </c>
      <c r="E96">
        <v>412154138</v>
      </c>
      <c r="F96">
        <v>397810191.5</v>
      </c>
      <c r="G96">
        <v>383408628.10000002</v>
      </c>
      <c r="H96">
        <v>369492117.69999999</v>
      </c>
      <c r="I96">
        <v>358775875.69999999</v>
      </c>
      <c r="J96">
        <v>348504845.80000001</v>
      </c>
      <c r="K96">
        <v>337377244.30000001</v>
      </c>
      <c r="L96">
        <v>325402099.39999998</v>
      </c>
      <c r="M96">
        <v>314251454.89999998</v>
      </c>
      <c r="N96">
        <v>305196594.69999999</v>
      </c>
      <c r="O96">
        <v>299519536.30000001</v>
      </c>
      <c r="P96">
        <v>295425133</v>
      </c>
      <c r="Q96">
        <v>290688668.80000001</v>
      </c>
      <c r="R96">
        <v>282984711.30000001</v>
      </c>
      <c r="S96">
        <v>274616891.60000002</v>
      </c>
      <c r="T96">
        <v>265312456.59999999</v>
      </c>
      <c r="U96">
        <v>256230092.59999999</v>
      </c>
      <c r="V96">
        <v>247485132.90000001</v>
      </c>
      <c r="W96">
        <v>239037612.90000001</v>
      </c>
      <c r="X96">
        <v>229914887.40000001</v>
      </c>
      <c r="Y96">
        <v>220560384.40000001</v>
      </c>
      <c r="Z96">
        <v>211685226.69999999</v>
      </c>
      <c r="AA96">
        <v>203558189.19999999</v>
      </c>
      <c r="AB96">
        <v>196207766.90000001</v>
      </c>
      <c r="AC96">
        <v>189203486.09999999</v>
      </c>
      <c r="AD96">
        <v>182305303.19999999</v>
      </c>
      <c r="AE96">
        <v>175847176.19999999</v>
      </c>
      <c r="AF96">
        <v>169947358.5</v>
      </c>
      <c r="AG96">
        <v>164560594.30000001</v>
      </c>
      <c r="AH96">
        <v>159645168.80000001</v>
      </c>
      <c r="AI96">
        <v>155183592.90000001</v>
      </c>
      <c r="AJ96">
        <v>151138260.09999999</v>
      </c>
      <c r="AK96">
        <v>147478045.80000001</v>
      </c>
      <c r="AL96">
        <v>144116280.69999999</v>
      </c>
      <c r="AM96">
        <v>140787264.09999999</v>
      </c>
      <c r="AN96">
        <v>137510047.09999999</v>
      </c>
      <c r="AO96">
        <v>134383891.5</v>
      </c>
      <c r="AP96">
        <v>131426722.7</v>
      </c>
      <c r="AQ96">
        <v>128641935.59999999</v>
      </c>
      <c r="AR96">
        <v>126031123.8</v>
      </c>
      <c r="AS96">
        <v>123539030.8</v>
      </c>
      <c r="AT96">
        <v>121004518</v>
      </c>
      <c r="AU96">
        <v>118385364.7</v>
      </c>
      <c r="AV96">
        <v>115680849.09999999</v>
      </c>
      <c r="AW96">
        <v>112908064.40000001</v>
      </c>
    </row>
    <row r="97" spans="2:49" x14ac:dyDescent="0.25">
      <c r="B97" t="s">
        <v>197</v>
      </c>
      <c r="C97">
        <v>182970972.649156</v>
      </c>
      <c r="D97">
        <v>185908630.79867601</v>
      </c>
      <c r="E97">
        <v>188893454</v>
      </c>
      <c r="F97">
        <v>192890472.5</v>
      </c>
      <c r="G97">
        <v>195972600.59999999</v>
      </c>
      <c r="H97">
        <v>198367042.5</v>
      </c>
      <c r="I97">
        <v>201726129.59999999</v>
      </c>
      <c r="J97">
        <v>204743452.80000001</v>
      </c>
      <c r="K97">
        <v>206557692.40000001</v>
      </c>
      <c r="L97">
        <v>206969909.5</v>
      </c>
      <c r="M97">
        <v>207129634.5</v>
      </c>
      <c r="N97">
        <v>208073401.19999999</v>
      </c>
      <c r="O97">
        <v>210932186.90000001</v>
      </c>
      <c r="P97">
        <v>214522650.30000001</v>
      </c>
      <c r="Q97">
        <v>217170466.30000001</v>
      </c>
      <c r="R97">
        <v>216580420.40000001</v>
      </c>
      <c r="S97">
        <v>214655876.19999999</v>
      </c>
      <c r="T97">
        <v>211106389.40000001</v>
      </c>
      <c r="U97">
        <v>207180855.5</v>
      </c>
      <c r="V97">
        <v>203017593.30000001</v>
      </c>
      <c r="W97">
        <v>198698802</v>
      </c>
      <c r="X97">
        <v>193171923.80000001</v>
      </c>
      <c r="Y97">
        <v>186916466.40000001</v>
      </c>
      <c r="Z97">
        <v>180653841.80000001</v>
      </c>
      <c r="AA97">
        <v>174731054.59999999</v>
      </c>
      <c r="AB97">
        <v>169232227.59999999</v>
      </c>
      <c r="AC97">
        <v>163676595.30000001</v>
      </c>
      <c r="AD97">
        <v>157856281.69999999</v>
      </c>
      <c r="AE97">
        <v>152275698.19999999</v>
      </c>
      <c r="AF97">
        <v>147116623.69999999</v>
      </c>
      <c r="AG97">
        <v>142362695.59999999</v>
      </c>
      <c r="AH97">
        <v>137976998.69999999</v>
      </c>
      <c r="AI97">
        <v>133955395.40000001</v>
      </c>
      <c r="AJ97">
        <v>130281469.7</v>
      </c>
      <c r="AK97">
        <v>126942918.3</v>
      </c>
      <c r="AL97">
        <v>123830164.3</v>
      </c>
      <c r="AM97">
        <v>120580810.5</v>
      </c>
      <c r="AN97">
        <v>117261649.40000001</v>
      </c>
      <c r="AO97">
        <v>114096236.90000001</v>
      </c>
      <c r="AP97">
        <v>111146652</v>
      </c>
      <c r="AQ97">
        <v>108430956</v>
      </c>
      <c r="AR97">
        <v>105952748.40000001</v>
      </c>
      <c r="AS97">
        <v>103627942.7</v>
      </c>
      <c r="AT97">
        <v>101213263.40000001</v>
      </c>
      <c r="AU97">
        <v>98646736.450000003</v>
      </c>
      <c r="AV97">
        <v>95928670</v>
      </c>
      <c r="AW97">
        <v>93087655.730000004</v>
      </c>
    </row>
    <row r="98" spans="2:49" x14ac:dyDescent="0.25">
      <c r="B98" t="s">
        <v>198</v>
      </c>
      <c r="C98">
        <v>61.608374519870097</v>
      </c>
      <c r="D98">
        <v>61.608374519870097</v>
      </c>
      <c r="E98">
        <v>62.774391799999997</v>
      </c>
      <c r="F98">
        <v>63.160198610000002</v>
      </c>
      <c r="G98">
        <v>64.272362759999893</v>
      </c>
      <c r="H98">
        <v>64.84697079</v>
      </c>
      <c r="I98">
        <v>67.616485040000001</v>
      </c>
      <c r="J98">
        <v>68.470859300000001</v>
      </c>
      <c r="K98">
        <v>69.394337620000002</v>
      </c>
      <c r="L98">
        <v>69.674804769999994</v>
      </c>
      <c r="M98">
        <v>74.883643379999995</v>
      </c>
      <c r="N98">
        <v>80.172697080000006</v>
      </c>
      <c r="O98">
        <v>87.319941999999998</v>
      </c>
      <c r="P98">
        <v>94.979911209999997</v>
      </c>
      <c r="Q98">
        <v>107.27024849999999</v>
      </c>
      <c r="R98">
        <v>107.5468058</v>
      </c>
      <c r="S98">
        <v>107.33580480000001</v>
      </c>
      <c r="T98">
        <v>107.3294468</v>
      </c>
      <c r="U98">
        <v>107.8549891</v>
      </c>
      <c r="V98">
        <v>108.9634317</v>
      </c>
      <c r="W98">
        <v>109.51350890000001</v>
      </c>
      <c r="X98">
        <v>111.0081543</v>
      </c>
      <c r="Y98">
        <v>110.13739510000001</v>
      </c>
      <c r="Z98">
        <v>109.3080264</v>
      </c>
      <c r="AA98">
        <v>108.5960359</v>
      </c>
      <c r="AB98">
        <v>126.28195270000001</v>
      </c>
      <c r="AC98">
        <v>145.3164854</v>
      </c>
      <c r="AD98">
        <v>152.48515509999999</v>
      </c>
      <c r="AE98">
        <v>159.6348394</v>
      </c>
      <c r="AF98">
        <v>166.82232339999999</v>
      </c>
      <c r="AG98">
        <v>173.2988148</v>
      </c>
      <c r="AH98">
        <v>179.71927830000001</v>
      </c>
      <c r="AI98">
        <v>181.01555479999999</v>
      </c>
      <c r="AJ98">
        <v>182.34966600000001</v>
      </c>
      <c r="AK98">
        <v>183.7522189</v>
      </c>
      <c r="AL98">
        <v>181.36540719999999</v>
      </c>
      <c r="AM98">
        <v>178.73257810000001</v>
      </c>
      <c r="AN98">
        <v>187.9056478</v>
      </c>
      <c r="AO98">
        <v>197.43660030000001</v>
      </c>
      <c r="AP98">
        <v>207.48812480000001</v>
      </c>
      <c r="AQ98">
        <v>218.2700365</v>
      </c>
      <c r="AR98">
        <v>230.42951830000001</v>
      </c>
      <c r="AS98">
        <v>234.7709471</v>
      </c>
      <c r="AT98">
        <v>239.17611539999999</v>
      </c>
      <c r="AU98">
        <v>243.48550299999999</v>
      </c>
      <c r="AV98">
        <v>247.69727180000001</v>
      </c>
      <c r="AW98">
        <v>251.7558334</v>
      </c>
    </row>
    <row r="99" spans="2:49" x14ac:dyDescent="0.25">
      <c r="B99" t="s">
        <v>507</v>
      </c>
      <c r="C99">
        <v>61.608374519870097</v>
      </c>
      <c r="D99">
        <v>61.608374519870097</v>
      </c>
      <c r="E99">
        <v>62.774391799999997</v>
      </c>
      <c r="F99">
        <v>63.160198610000002</v>
      </c>
      <c r="G99">
        <v>64.272362759999893</v>
      </c>
      <c r="H99">
        <v>64.84697079</v>
      </c>
      <c r="I99">
        <v>67.616485040000001</v>
      </c>
      <c r="J99">
        <v>68.470859300000001</v>
      </c>
      <c r="K99">
        <v>69.394337620000002</v>
      </c>
      <c r="L99">
        <v>69.674804769999994</v>
      </c>
      <c r="M99">
        <v>74.883643379999995</v>
      </c>
      <c r="N99">
        <v>80.172697080000006</v>
      </c>
      <c r="O99">
        <v>87.319941999999998</v>
      </c>
      <c r="P99">
        <v>94.979911209999997</v>
      </c>
      <c r="Q99">
        <v>107.27024849999999</v>
      </c>
      <c r="R99">
        <v>107.5468058</v>
      </c>
      <c r="S99">
        <v>107.3493163</v>
      </c>
      <c r="T99">
        <v>107.3591524</v>
      </c>
      <c r="U99">
        <v>107.8994003</v>
      </c>
      <c r="V99">
        <v>108.73655309999999</v>
      </c>
      <c r="W99">
        <v>109.0443064</v>
      </c>
      <c r="X99">
        <v>110.12053539999999</v>
      </c>
      <c r="Y99">
        <v>108.45303970000001</v>
      </c>
      <c r="Z99">
        <v>106.7218359</v>
      </c>
      <c r="AA99">
        <v>105.0264463</v>
      </c>
      <c r="AB99">
        <v>103.3889437</v>
      </c>
      <c r="AC99">
        <v>101.7911488</v>
      </c>
      <c r="AD99">
        <v>100.42963589999999</v>
      </c>
      <c r="AE99">
        <v>99.093549039999999</v>
      </c>
      <c r="AF99">
        <v>97.795652700000005</v>
      </c>
      <c r="AG99">
        <v>96.525352229999996</v>
      </c>
      <c r="AH99">
        <v>95.284753539999997</v>
      </c>
      <c r="AI99">
        <v>94.040257220000001</v>
      </c>
      <c r="AJ99">
        <v>92.827599210000002</v>
      </c>
      <c r="AK99">
        <v>91.650538089999998</v>
      </c>
      <c r="AL99">
        <v>90.511966749999999</v>
      </c>
      <c r="AM99">
        <v>89.40803013</v>
      </c>
      <c r="AN99">
        <v>89.809552049999894</v>
      </c>
      <c r="AO99">
        <v>90.364749099999997</v>
      </c>
      <c r="AP99">
        <v>91.087374249999996</v>
      </c>
      <c r="AQ99">
        <v>91.987157319999994</v>
      </c>
      <c r="AR99">
        <v>93.108752929999994</v>
      </c>
      <c r="AS99">
        <v>93.390981850000003</v>
      </c>
      <c r="AT99">
        <v>93.807688189999894</v>
      </c>
      <c r="AU99">
        <v>94.332437589999998</v>
      </c>
      <c r="AV99">
        <v>94.962569770000002</v>
      </c>
      <c r="AW99">
        <v>95.710861280000003</v>
      </c>
    </row>
    <row r="100" spans="2:49" x14ac:dyDescent="0.25">
      <c r="B100" t="s">
        <v>199</v>
      </c>
      <c r="C100">
        <v>0.96116878123798499</v>
      </c>
      <c r="D100">
        <v>0.98039215686274495</v>
      </c>
      <c r="E100">
        <v>0.98083842099999996</v>
      </c>
      <c r="F100">
        <v>0.97936963740000005</v>
      </c>
      <c r="G100">
        <v>0.98295983679999999</v>
      </c>
      <c r="H100">
        <v>0.99750402739999999</v>
      </c>
      <c r="I100">
        <v>0.99402027039999996</v>
      </c>
      <c r="J100">
        <v>0.98785810220000003</v>
      </c>
      <c r="K100">
        <v>0.98356079100000005</v>
      </c>
      <c r="L100">
        <v>0.98743289219999997</v>
      </c>
      <c r="M100">
        <v>0.99452267480000001</v>
      </c>
      <c r="N100">
        <v>1.0033612620000001</v>
      </c>
      <c r="O100">
        <v>1.009204929</v>
      </c>
      <c r="P100">
        <v>1.0139236410000001</v>
      </c>
      <c r="Q100">
        <v>1.0249968330000001</v>
      </c>
      <c r="R100">
        <v>1.047119753</v>
      </c>
      <c r="S100">
        <v>1.067168873</v>
      </c>
      <c r="T100">
        <v>1.0877484550000001</v>
      </c>
      <c r="U100">
        <v>1.1079122530000001</v>
      </c>
      <c r="V100">
        <v>1.128429591</v>
      </c>
      <c r="W100">
        <v>1.149215232</v>
      </c>
      <c r="X100">
        <v>1.17128966</v>
      </c>
      <c r="Y100">
        <v>1.1967587340000001</v>
      </c>
      <c r="Z100">
        <v>1.222413416</v>
      </c>
      <c r="AA100">
        <v>1.248381374</v>
      </c>
      <c r="AB100">
        <v>1.2760272189999999</v>
      </c>
      <c r="AC100">
        <v>1.3043877960000001</v>
      </c>
      <c r="AD100">
        <v>1.332642434</v>
      </c>
      <c r="AE100">
        <v>1.361026705</v>
      </c>
      <c r="AF100">
        <v>1.3899225070000001</v>
      </c>
      <c r="AG100">
        <v>1.4194340240000001</v>
      </c>
      <c r="AH100">
        <v>1.449381386</v>
      </c>
      <c r="AI100">
        <v>1.4796427910000001</v>
      </c>
      <c r="AJ100">
        <v>1.510512656</v>
      </c>
      <c r="AK100">
        <v>1.542386727</v>
      </c>
      <c r="AL100">
        <v>1.5747864250000001</v>
      </c>
      <c r="AM100">
        <v>1.608257013</v>
      </c>
      <c r="AN100">
        <v>1.642083215</v>
      </c>
      <c r="AO100">
        <v>1.676799607</v>
      </c>
      <c r="AP100">
        <v>1.712273143</v>
      </c>
      <c r="AQ100">
        <v>1.74841567</v>
      </c>
      <c r="AR100">
        <v>1.785095732</v>
      </c>
      <c r="AS100">
        <v>1.822740349</v>
      </c>
      <c r="AT100">
        <v>1.8611923020000001</v>
      </c>
      <c r="AU100">
        <v>1.9003369370000001</v>
      </c>
      <c r="AV100">
        <v>1.9401147919999999</v>
      </c>
      <c r="AW100">
        <v>1.9808336479999999</v>
      </c>
    </row>
    <row r="101" spans="2:49" x14ac:dyDescent="0.25">
      <c r="B101" t="s">
        <v>508</v>
      </c>
      <c r="C101">
        <v>0.96116878123798499</v>
      </c>
      <c r="D101">
        <v>0.98039215686274495</v>
      </c>
      <c r="E101">
        <v>0.98083842099999996</v>
      </c>
      <c r="F101">
        <v>0.97936963740000005</v>
      </c>
      <c r="G101">
        <v>0.98295983679999999</v>
      </c>
      <c r="H101">
        <v>0.99750402739999999</v>
      </c>
      <c r="I101">
        <v>0.99402027039999996</v>
      </c>
      <c r="J101">
        <v>0.98785810220000003</v>
      </c>
      <c r="K101">
        <v>0.98356079100000005</v>
      </c>
      <c r="L101">
        <v>0.98743289219999997</v>
      </c>
      <c r="M101">
        <v>0.99452267480000001</v>
      </c>
      <c r="N101">
        <v>1.0033612620000001</v>
      </c>
      <c r="O101">
        <v>1.009204929</v>
      </c>
      <c r="P101">
        <v>1.0139236410000001</v>
      </c>
      <c r="Q101">
        <v>1.0249968330000001</v>
      </c>
      <c r="R101">
        <v>1.047119753</v>
      </c>
      <c r="S101">
        <v>1.0670305449999999</v>
      </c>
      <c r="T101">
        <v>1.0874936390000001</v>
      </c>
      <c r="U101">
        <v>1.1075242190000001</v>
      </c>
      <c r="V101">
        <v>1.127997836</v>
      </c>
      <c r="W101">
        <v>1.1487612700000001</v>
      </c>
      <c r="X101">
        <v>1.169687379</v>
      </c>
      <c r="Y101">
        <v>1.1926421439999999</v>
      </c>
      <c r="Z101">
        <v>1.216198092</v>
      </c>
      <c r="AA101">
        <v>1.240168948</v>
      </c>
      <c r="AB101">
        <v>1.2645600880000001</v>
      </c>
      <c r="AC101">
        <v>1.2893728120000001</v>
      </c>
      <c r="AD101">
        <v>1.3146180649999999</v>
      </c>
      <c r="AE101">
        <v>1.3404826460000001</v>
      </c>
      <c r="AF101">
        <v>1.36685302</v>
      </c>
      <c r="AG101">
        <v>1.393745993</v>
      </c>
      <c r="AH101">
        <v>1.4212941720000001</v>
      </c>
      <c r="AI101">
        <v>1.4493249530000001</v>
      </c>
      <c r="AJ101">
        <v>1.477943899</v>
      </c>
      <c r="AK101">
        <v>1.507231303</v>
      </c>
      <c r="AL101">
        <v>1.537143691</v>
      </c>
      <c r="AM101">
        <v>1.567657619</v>
      </c>
      <c r="AN101">
        <v>1.598428424</v>
      </c>
      <c r="AO101">
        <v>1.629767325</v>
      </c>
      <c r="AP101">
        <v>1.661663654</v>
      </c>
      <c r="AQ101">
        <v>1.6941566809999999</v>
      </c>
      <c r="AR101">
        <v>1.727229108</v>
      </c>
      <c r="AS101">
        <v>1.760823407</v>
      </c>
      <c r="AT101">
        <v>1.795060058</v>
      </c>
      <c r="AU101">
        <v>1.8299319380000001</v>
      </c>
      <c r="AV101">
        <v>1.8654695910000001</v>
      </c>
      <c r="AW101">
        <v>1.9019379919999999</v>
      </c>
    </row>
    <row r="102" spans="2:49" x14ac:dyDescent="0.25">
      <c r="B102" t="s">
        <v>509</v>
      </c>
      <c r="C102">
        <v>0</v>
      </c>
      <c r="D102" s="39">
        <v>0</v>
      </c>
      <c r="E102" s="39">
        <v>0</v>
      </c>
      <c r="F102" s="39">
        <v>0</v>
      </c>
      <c r="G102" s="39">
        <v>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39">
        <v>1.35227414319594E-3</v>
      </c>
      <c r="T102" s="39">
        <v>3.44783056055009E-2</v>
      </c>
      <c r="U102" s="39">
        <v>9.5121759723992796E-2</v>
      </c>
      <c r="V102" s="39">
        <v>0.24314776724534401</v>
      </c>
      <c r="W102">
        <v>0.58636350014926697</v>
      </c>
      <c r="X102">
        <v>0.80581691908814201</v>
      </c>
      <c r="Y102">
        <v>1.1433514393938999</v>
      </c>
      <c r="Z102">
        <v>1.37464515643084</v>
      </c>
      <c r="AA102">
        <v>1.5437423199795799</v>
      </c>
      <c r="AB102">
        <v>1.5237087414900801</v>
      </c>
      <c r="AC102">
        <v>1.4305564617239599</v>
      </c>
      <c r="AD102">
        <v>1.7029292699220999</v>
      </c>
      <c r="AE102">
        <v>1.8498755880782001</v>
      </c>
      <c r="AF102">
        <v>1.8986204901384001</v>
      </c>
      <c r="AG102" s="39">
        <v>1.7775730502821401</v>
      </c>
      <c r="AH102" s="39">
        <v>1.6462380018916301</v>
      </c>
      <c r="AI102">
        <v>1.6404525451034899</v>
      </c>
      <c r="AJ102">
        <v>1.62253655975737</v>
      </c>
      <c r="AK102">
        <v>1.5521548781321599</v>
      </c>
      <c r="AL102" s="39">
        <v>1.49685917846311</v>
      </c>
      <c r="AM102">
        <v>1.39214925815431</v>
      </c>
      <c r="AN102">
        <v>1.58087727720488</v>
      </c>
      <c r="AO102">
        <v>1.6457309488402101</v>
      </c>
      <c r="AP102">
        <v>1.69725593270793</v>
      </c>
      <c r="AQ102">
        <v>1.7416575508316601</v>
      </c>
      <c r="AR102">
        <v>1.75247975325785</v>
      </c>
      <c r="AS102">
        <v>1.6087699529785999</v>
      </c>
      <c r="AT102">
        <v>1.54283615386579</v>
      </c>
      <c r="AU102">
        <v>1.5146443524987201</v>
      </c>
      <c r="AV102">
        <v>1.48883989082282</v>
      </c>
      <c r="AW102">
        <v>1.4148572135222099</v>
      </c>
    </row>
    <row r="103" spans="2:49" x14ac:dyDescent="0.25">
      <c r="B103" t="s">
        <v>510</v>
      </c>
      <c r="C103" s="39">
        <v>0</v>
      </c>
      <c r="D103" s="39">
        <v>0</v>
      </c>
      <c r="E103" s="39">
        <v>0</v>
      </c>
      <c r="F103" s="39">
        <v>0</v>
      </c>
      <c r="G103" s="39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-0.128074635098685</v>
      </c>
      <c r="T103" s="39">
        <v>-0.15041458800709701</v>
      </c>
      <c r="U103" s="39">
        <v>-8.0352197670652201E-2</v>
      </c>
      <c r="V103" s="39">
        <v>5.02991831787147E-2</v>
      </c>
      <c r="W103" s="39">
        <v>0.824302788774256</v>
      </c>
      <c r="X103">
        <v>1.33865496223211</v>
      </c>
      <c r="Y103">
        <v>1.5339992370229301</v>
      </c>
      <c r="Z103">
        <v>1.80006330702313</v>
      </c>
      <c r="AA103">
        <v>2.0393171854764498</v>
      </c>
      <c r="AB103">
        <v>1.99342685057575</v>
      </c>
      <c r="AC103">
        <v>1.7660871954944699</v>
      </c>
      <c r="AD103">
        <v>1.8262295020375201</v>
      </c>
      <c r="AE103">
        <v>2.1223651387859599</v>
      </c>
      <c r="AF103">
        <v>2.1961977896245601</v>
      </c>
      <c r="AG103">
        <v>2.1177479086294801</v>
      </c>
      <c r="AH103">
        <v>2.0177269880434698</v>
      </c>
      <c r="AI103">
        <v>1.81286320673292</v>
      </c>
      <c r="AJ103">
        <v>1.70985568698987</v>
      </c>
      <c r="AK103">
        <v>1.5341651847959199</v>
      </c>
      <c r="AL103">
        <v>1.4207350767709099</v>
      </c>
      <c r="AM103">
        <v>1.26335432695345</v>
      </c>
      <c r="AN103">
        <v>1.3671851269553701</v>
      </c>
      <c r="AO103">
        <v>1.4669910345567101</v>
      </c>
      <c r="AP103">
        <v>1.5160020259284901</v>
      </c>
      <c r="AQ103">
        <v>1.5406417920565001</v>
      </c>
      <c r="AR103">
        <v>1.61014995184334</v>
      </c>
      <c r="AS103">
        <v>1.5738628554271099</v>
      </c>
      <c r="AT103">
        <v>1.4806345571841899</v>
      </c>
      <c r="AU103">
        <v>1.44291759957373</v>
      </c>
      <c r="AV103">
        <v>1.4375296262822701</v>
      </c>
      <c r="AW103">
        <v>1.3199315475606901</v>
      </c>
    </row>
    <row r="104" spans="2:49" x14ac:dyDescent="0.25">
      <c r="B104" t="s">
        <v>511</v>
      </c>
      <c r="C104">
        <v>0</v>
      </c>
      <c r="D104" s="39">
        <v>0</v>
      </c>
      <c r="E104" s="39">
        <v>0</v>
      </c>
      <c r="F104" s="39">
        <v>0</v>
      </c>
      <c r="G104" s="39">
        <v>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39">
        <v>-6.8139518973331301E-2</v>
      </c>
      <c r="T104">
        <v>6.5095351413035907E-2</v>
      </c>
      <c r="U104">
        <v>0.18880136301353501</v>
      </c>
      <c r="V104">
        <v>1.01598858614637</v>
      </c>
      <c r="W104">
        <v>1.5935533799277199</v>
      </c>
      <c r="X104">
        <v>1.2257257037184299</v>
      </c>
      <c r="Y104">
        <v>2.1209826605964599</v>
      </c>
      <c r="Z104">
        <v>2.5264985415890302</v>
      </c>
      <c r="AA104">
        <v>2.8181023969252301</v>
      </c>
      <c r="AB104">
        <v>2.5200484996205299</v>
      </c>
      <c r="AC104">
        <v>2.4208040267514401</v>
      </c>
      <c r="AD104">
        <v>4.9082134258601604</v>
      </c>
      <c r="AE104">
        <v>5.2649349514604902</v>
      </c>
      <c r="AF104">
        <v>5.3657804543075303</v>
      </c>
      <c r="AG104">
        <v>5.0558282577986002</v>
      </c>
      <c r="AH104">
        <v>5.0853722101909398</v>
      </c>
      <c r="AI104">
        <v>5.8915321516511403</v>
      </c>
      <c r="AJ104">
        <v>6.0602534537380102</v>
      </c>
      <c r="AK104">
        <v>6.0441525693726303</v>
      </c>
      <c r="AL104">
        <v>5.92228298704726</v>
      </c>
      <c r="AM104" s="39">
        <v>5.5909408033305104</v>
      </c>
      <c r="AN104">
        <v>7.2313965652942498</v>
      </c>
      <c r="AO104">
        <v>7.4064298856022202</v>
      </c>
      <c r="AP104">
        <v>7.6260316148049698</v>
      </c>
      <c r="AQ104">
        <v>7.8544236158178702</v>
      </c>
      <c r="AR104">
        <v>7.58405386679663</v>
      </c>
      <c r="AS104">
        <v>6.285102535789</v>
      </c>
      <c r="AT104">
        <v>6.2316175529685696</v>
      </c>
      <c r="AU104">
        <v>6.3769672278959799</v>
      </c>
      <c r="AV104">
        <v>6.3836793175120903</v>
      </c>
      <c r="AW104" s="39">
        <v>6.35144230691711</v>
      </c>
    </row>
    <row r="105" spans="2:49" x14ac:dyDescent="0.25">
      <c r="B105" t="s">
        <v>512</v>
      </c>
      <c r="C105" s="39">
        <v>0</v>
      </c>
      <c r="D105" s="39">
        <v>0</v>
      </c>
      <c r="E105" s="39">
        <v>0</v>
      </c>
      <c r="F105" s="39">
        <v>0</v>
      </c>
      <c r="G105" s="39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1.32553451412942E-3</v>
      </c>
      <c r="T105" s="39">
        <v>-1.7919094304597E-3</v>
      </c>
      <c r="U105" s="39">
        <v>-7.1709279039655601E-3</v>
      </c>
      <c r="V105" s="39">
        <v>-1.3533235066398501E-2</v>
      </c>
      <c r="W105" s="39">
        <v>-3.1379576179324499E-2</v>
      </c>
      <c r="X105" s="39">
        <v>-5.3069668856264803E-2</v>
      </c>
      <c r="Y105">
        <v>-0.10379158766147201</v>
      </c>
      <c r="Z105">
        <v>-0.17564375607921301</v>
      </c>
      <c r="AA105">
        <v>-0.25829797603648103</v>
      </c>
      <c r="AB105">
        <v>-0.351767547702242</v>
      </c>
      <c r="AC105">
        <v>-0.46270104589642902</v>
      </c>
      <c r="AD105" s="39">
        <v>-0.52842357442921495</v>
      </c>
      <c r="AE105" s="39">
        <v>-0.59390578809343997</v>
      </c>
      <c r="AF105" s="39">
        <v>-0.66245524018253499</v>
      </c>
      <c r="AG105" s="39">
        <v>-0.97793314632973405</v>
      </c>
      <c r="AH105">
        <v>-1.2867827062642101</v>
      </c>
      <c r="AI105" s="39">
        <v>-1.37098101187432</v>
      </c>
      <c r="AJ105" s="39">
        <v>-1.4509442399381201</v>
      </c>
      <c r="AK105" s="39">
        <v>-1.5402573387454499</v>
      </c>
      <c r="AL105" s="39">
        <v>-1.6158157462023399</v>
      </c>
      <c r="AM105" s="39">
        <v>-1.7016709985077001</v>
      </c>
      <c r="AN105" s="39">
        <v>-1.78396808871863</v>
      </c>
      <c r="AO105">
        <v>-1.87673622323363</v>
      </c>
      <c r="AP105">
        <v>-1.9732081516844899</v>
      </c>
      <c r="AQ105">
        <v>-2.0686369161784</v>
      </c>
      <c r="AR105">
        <v>-2.1633956146728299</v>
      </c>
      <c r="AS105">
        <v>-2.2683450163852399</v>
      </c>
      <c r="AT105">
        <v>-2.3727919440086702</v>
      </c>
      <c r="AU105">
        <v>-2.47556791926463</v>
      </c>
      <c r="AV105">
        <v>-2.5749536146979102</v>
      </c>
      <c r="AW105">
        <v>-2.6706039755034201</v>
      </c>
    </row>
    <row r="106" spans="2:49" x14ac:dyDescent="0.25">
      <c r="B106" t="s">
        <v>513</v>
      </c>
      <c r="C106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-0.27294465611443702</v>
      </c>
      <c r="T106" s="39">
        <v>-0.35305441181912001</v>
      </c>
      <c r="U106">
        <v>-0.360975474673497</v>
      </c>
      <c r="V106" s="39">
        <v>-0.1731409737315</v>
      </c>
      <c r="W106" s="39">
        <v>0.41460782223234899</v>
      </c>
      <c r="X106">
        <v>0.42596876171190301</v>
      </c>
      <c r="Y106">
        <v>8.8328307498675096E-2</v>
      </c>
      <c r="Z106">
        <v>-4.1832841492428503E-2</v>
      </c>
      <c r="AA106">
        <v>-8.8800276225986505E-2</v>
      </c>
      <c r="AB106">
        <v>-0.35517625786011198</v>
      </c>
      <c r="AC106">
        <v>-0.63008943986568799</v>
      </c>
      <c r="AD106">
        <v>-0.206112335655495</v>
      </c>
      <c r="AE106">
        <v>-4.0415917577152301E-2</v>
      </c>
      <c r="AF106">
        <v>-8.8078043687078694E-2</v>
      </c>
      <c r="AG106">
        <v>-0.32481525335606998</v>
      </c>
      <c r="AH106">
        <v>-0.39353813185241099</v>
      </c>
      <c r="AI106">
        <v>-0.415403127441138</v>
      </c>
      <c r="AJ106">
        <v>-0.54099118854050698</v>
      </c>
      <c r="AK106">
        <v>-0.73222108230447303</v>
      </c>
      <c r="AL106">
        <v>-0.90012196793388599</v>
      </c>
      <c r="AM106">
        <v>-1.1062801480759299</v>
      </c>
      <c r="AN106">
        <v>-0.80116242786687497</v>
      </c>
      <c r="AO106">
        <v>-0.84409032176169196</v>
      </c>
      <c r="AP106">
        <v>-0.91832627275529799</v>
      </c>
      <c r="AQ106">
        <v>-1.0080461690731699</v>
      </c>
      <c r="AR106">
        <v>-1.16338384849572</v>
      </c>
      <c r="AS106">
        <v>-1.5348556403043301</v>
      </c>
      <c r="AT106">
        <v>-1.63395077184603</v>
      </c>
      <c r="AU106">
        <v>-1.6534129413980601</v>
      </c>
      <c r="AV106">
        <v>-1.6892455177444401</v>
      </c>
      <c r="AW106">
        <v>-1.78118617350873</v>
      </c>
    </row>
    <row r="107" spans="2:49" x14ac:dyDescent="0.25">
      <c r="B107" t="s">
        <v>514</v>
      </c>
      <c r="C107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0.10501929599924199</v>
      </c>
      <c r="T107" s="39">
        <v>0.13813687416513301</v>
      </c>
      <c r="U107">
        <v>0.145897637848762</v>
      </c>
      <c r="V107" s="39">
        <v>8.1922683018321299E-2</v>
      </c>
      <c r="W107" s="39">
        <v>-0.121784876242631</v>
      </c>
      <c r="X107">
        <v>-9.5764980584884293E-2</v>
      </c>
      <c r="Y107">
        <v>6.3535163843330494E-2</v>
      </c>
      <c r="Z107" s="39">
        <v>0.123327693664337</v>
      </c>
      <c r="AA107">
        <v>0.13692100678320801</v>
      </c>
      <c r="AB107">
        <v>0.25250675760102997</v>
      </c>
      <c r="AC107">
        <v>0.36064983978770199</v>
      </c>
      <c r="AD107">
        <v>0.21092584494434499</v>
      </c>
      <c r="AE107">
        <v>0.140749409619912</v>
      </c>
      <c r="AF107">
        <v>0.14173643254769699</v>
      </c>
      <c r="AG107">
        <v>0.120073435188843</v>
      </c>
      <c r="AH107" s="39">
        <v>3.0480422399504999E-2</v>
      </c>
      <c r="AI107" s="39">
        <v>-2.6735432501874502E-3</v>
      </c>
      <c r="AJ107">
        <v>2.1225042397841898E-3</v>
      </c>
      <c r="AK107" s="39">
        <v>2.74967585376838E-2</v>
      </c>
      <c r="AL107">
        <v>4.3935058509380398E-2</v>
      </c>
      <c r="AM107">
        <v>7.6911341765595997E-2</v>
      </c>
      <c r="AN107">
        <v>-5.6503976155106099E-2</v>
      </c>
      <c r="AO107">
        <v>-6.6394172552300401E-2</v>
      </c>
      <c r="AP107">
        <v>-6.9524330713826396E-2</v>
      </c>
      <c r="AQ107">
        <v>-6.94201945723803E-2</v>
      </c>
      <c r="AR107">
        <v>-4.9077221320170603E-2</v>
      </c>
      <c r="AS107">
        <v>5.92517310406784E-2</v>
      </c>
      <c r="AT107">
        <v>7.1021615133331994E-2</v>
      </c>
      <c r="AU107">
        <v>5.4403228293244101E-2</v>
      </c>
      <c r="AV107">
        <v>4.3742925497858999E-2</v>
      </c>
      <c r="AW107">
        <v>5.3148846406464403E-2</v>
      </c>
    </row>
    <row r="108" spans="2:49" x14ac:dyDescent="0.25">
      <c r="B108" t="s">
        <v>515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-3.86787000000027E-3</v>
      </c>
      <c r="T108" s="39">
        <v>-1.8654980000000401E-2</v>
      </c>
      <c r="U108" s="39">
        <v>-4.4848779999999401E-2</v>
      </c>
      <c r="V108" s="39">
        <v>-9.0826489999999704E-2</v>
      </c>
      <c r="W108" s="39">
        <v>-0.17383147999999801</v>
      </c>
      <c r="X108">
        <v>-0.25107279999999998</v>
      </c>
      <c r="Y108">
        <v>-0.32473995999999899</v>
      </c>
      <c r="Z108">
        <v>-0.45398940999999898</v>
      </c>
      <c r="AA108">
        <v>-0.56928597999999897</v>
      </c>
      <c r="AB108">
        <v>-0.59229019000000005</v>
      </c>
      <c r="AC108">
        <v>-0.53593249999999903</v>
      </c>
      <c r="AD108" s="39">
        <v>-0.54458849999999903</v>
      </c>
      <c r="AE108">
        <v>-0.64100020999999996</v>
      </c>
      <c r="AF108">
        <v>-0.70137804000000004</v>
      </c>
      <c r="AG108">
        <v>-0.69694285999999905</v>
      </c>
      <c r="AH108">
        <v>-0.66379750999999898</v>
      </c>
      <c r="AI108">
        <v>-0.65169756000000001</v>
      </c>
      <c r="AJ108">
        <v>-0.66372392000000002</v>
      </c>
      <c r="AK108" s="39">
        <v>-0.67095274999999999</v>
      </c>
      <c r="AL108">
        <v>-0.64288621000000001</v>
      </c>
      <c r="AM108" s="39">
        <v>-0.62472262000000101</v>
      </c>
      <c r="AN108" s="39">
        <v>-0.64218595000000001</v>
      </c>
      <c r="AO108">
        <v>-0.72008491999999902</v>
      </c>
      <c r="AP108">
        <v>-0.76363303999999999</v>
      </c>
      <c r="AQ108">
        <v>-0.78560018999999903</v>
      </c>
      <c r="AR108">
        <v>-0.80545192999999904</v>
      </c>
      <c r="AS108" s="39">
        <v>-0.78376586999999998</v>
      </c>
      <c r="AT108" s="39">
        <v>-0.73033049000000005</v>
      </c>
      <c r="AU108">
        <v>-0.702179</v>
      </c>
      <c r="AV108">
        <v>-0.69471624999999904</v>
      </c>
      <c r="AW108">
        <v>-0.68213979999999996</v>
      </c>
    </row>
    <row r="109" spans="2:49" x14ac:dyDescent="0.25">
      <c r="B109" t="s">
        <v>516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6.3273424000698198E-3</v>
      </c>
      <c r="T109" s="39">
        <v>3.05245336900128E-2</v>
      </c>
      <c r="U109" s="39">
        <v>7.3404705225699196E-2</v>
      </c>
      <c r="V109" s="39">
        <v>0.14871229540584999</v>
      </c>
      <c r="W109" s="39">
        <v>0.28479388358451102</v>
      </c>
      <c r="X109">
        <v>0.41156924239546999</v>
      </c>
      <c r="Y109">
        <v>0.53259712213367105</v>
      </c>
      <c r="Z109">
        <v>0.74515369167118495</v>
      </c>
      <c r="AA109">
        <v>0.93500509361907902</v>
      </c>
      <c r="AB109">
        <v>0.972975858141511</v>
      </c>
      <c r="AC109">
        <v>0.88023893262294495</v>
      </c>
      <c r="AD109">
        <v>0.89450020196193403</v>
      </c>
      <c r="AE109">
        <v>1.0532358966039901</v>
      </c>
      <c r="AF109">
        <v>1.1526344859873201</v>
      </c>
      <c r="AG109">
        <v>1.14516125695669</v>
      </c>
      <c r="AH109">
        <v>1.09039256891676</v>
      </c>
      <c r="AI109">
        <v>1.0703131081980899</v>
      </c>
      <c r="AJ109">
        <v>1.0899709013790999</v>
      </c>
      <c r="AK109">
        <v>1.10178454856297</v>
      </c>
      <c r="AL109">
        <v>1.05551696906853</v>
      </c>
      <c r="AM109">
        <v>1.0255717294370399</v>
      </c>
      <c r="AN109">
        <v>1.0543655801990901</v>
      </c>
      <c r="AO109">
        <v>1.18284161387607</v>
      </c>
      <c r="AP109">
        <v>1.2547933119211101</v>
      </c>
      <c r="AQ109">
        <v>1.29115396927037</v>
      </c>
      <c r="AR109">
        <v>1.32401469708134</v>
      </c>
      <c r="AS109">
        <v>1.2883664505458801</v>
      </c>
      <c r="AT109">
        <v>1.20035040421886</v>
      </c>
      <c r="AU109">
        <v>1.1540048177817399</v>
      </c>
      <c r="AV109">
        <v>1.14174317674962</v>
      </c>
      <c r="AW109">
        <v>1.12093805783291</v>
      </c>
    </row>
    <row r="110" spans="2:49" x14ac:dyDescent="0.25">
      <c r="B110" t="s">
        <v>517</v>
      </c>
      <c r="C110" s="39">
        <v>0</v>
      </c>
      <c r="D110" s="39">
        <v>0</v>
      </c>
      <c r="E110" s="39">
        <v>0</v>
      </c>
      <c r="F110" s="39">
        <v>0</v>
      </c>
      <c r="G110" s="39">
        <v>0</v>
      </c>
      <c r="H110" s="39">
        <v>0</v>
      </c>
      <c r="I110" s="39">
        <v>0</v>
      </c>
      <c r="J110" s="39">
        <v>0</v>
      </c>
      <c r="K110" s="39">
        <v>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3.1238303430436401E-3</v>
      </c>
      <c r="T110" s="39">
        <v>2.6516729937586799E-2</v>
      </c>
      <c r="U110" s="39">
        <v>6.4000798965979599E-2</v>
      </c>
      <c r="V110" s="39">
        <v>0.150287794471237</v>
      </c>
      <c r="W110">
        <v>0.27246141899355197</v>
      </c>
      <c r="X110">
        <v>0.32092867828306099</v>
      </c>
      <c r="Y110">
        <v>0.51322237961604</v>
      </c>
      <c r="Z110">
        <v>0.77884821458729103</v>
      </c>
      <c r="AA110">
        <v>1.0502040903835399</v>
      </c>
      <c r="AB110">
        <v>1.2398407087069501</v>
      </c>
      <c r="AC110">
        <v>1.39464975359882</v>
      </c>
      <c r="AD110">
        <v>1.61283166695858</v>
      </c>
      <c r="AE110">
        <v>1.7267048395033</v>
      </c>
      <c r="AF110">
        <v>1.8457010335205</v>
      </c>
      <c r="AG110">
        <v>1.9518249288923399</v>
      </c>
      <c r="AH110">
        <v>2.0377619901882298</v>
      </c>
      <c r="AI110">
        <v>2.1045745698717799</v>
      </c>
      <c r="AJ110">
        <v>2.1396921169551901</v>
      </c>
      <c r="AK110">
        <v>2.1513771574437301</v>
      </c>
      <c r="AL110">
        <v>2.20054701798575</v>
      </c>
      <c r="AM110">
        <v>2.1815820052828601</v>
      </c>
      <c r="AN110" s="39">
        <v>2.2767353001183999</v>
      </c>
      <c r="AO110">
        <v>2.2874242843183099</v>
      </c>
      <c r="AP110">
        <v>2.36741340603565</v>
      </c>
      <c r="AQ110">
        <v>2.47762926775285</v>
      </c>
      <c r="AR110">
        <v>2.57591581243235</v>
      </c>
      <c r="AS110">
        <v>2.60257360032583</v>
      </c>
      <c r="AT110">
        <v>2.6447875688160698</v>
      </c>
      <c r="AU110">
        <v>2.6494660752915902</v>
      </c>
      <c r="AV110">
        <v>2.6350909867453902</v>
      </c>
      <c r="AW110">
        <v>2.6038718908337901</v>
      </c>
    </row>
    <row r="111" spans="2:49" x14ac:dyDescent="0.25">
      <c r="B111" t="s">
        <v>518</v>
      </c>
      <c r="C111" s="39">
        <v>0</v>
      </c>
      <c r="D111" s="39">
        <v>0</v>
      </c>
      <c r="E111" s="39">
        <v>0</v>
      </c>
      <c r="F111" s="39">
        <v>0</v>
      </c>
      <c r="G111" s="39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1.021774E-4</v>
      </c>
      <c r="T111" s="39">
        <v>2.2435799999998001E-5</v>
      </c>
      <c r="U111" s="39">
        <v>-1.0359599999999E-5</v>
      </c>
      <c r="V111" s="39">
        <v>-1.63726799999999E-4</v>
      </c>
      <c r="W111" s="39">
        <v>-3.6247550000000002E-4</v>
      </c>
      <c r="X111" s="39">
        <v>7.9733460000000098E-4</v>
      </c>
      <c r="Y111" s="39">
        <v>2.1130896000000001E-3</v>
      </c>
      <c r="Z111" s="39">
        <v>1.4447219E-3</v>
      </c>
      <c r="AA111" s="39">
        <v>1.28666629999999E-3</v>
      </c>
      <c r="AB111" s="39">
        <v>2.2989078E-3</v>
      </c>
      <c r="AC111" s="39">
        <v>2.4755154999999999E-3</v>
      </c>
      <c r="AD111" s="39">
        <v>1.87144539999999E-3</v>
      </c>
      <c r="AE111" s="39">
        <v>1.4092084999999901E-3</v>
      </c>
      <c r="AF111" s="39">
        <v>1.4017206E-3</v>
      </c>
      <c r="AG111" s="39">
        <v>1.51589619999999E-3</v>
      </c>
      <c r="AH111" s="39">
        <v>1.2957265999999901E-3</v>
      </c>
      <c r="AI111" s="39">
        <v>1.1114199000000001E-3</v>
      </c>
      <c r="AJ111" s="39">
        <v>1.0740497999999999E-3</v>
      </c>
      <c r="AK111" s="39">
        <v>1.28124269999999E-3</v>
      </c>
      <c r="AL111" s="39">
        <v>1.26813339999999E-3</v>
      </c>
      <c r="AM111" s="39">
        <v>1.5047814999999999E-3</v>
      </c>
      <c r="AN111" s="39">
        <v>1.2333209000000001E-3</v>
      </c>
      <c r="AO111" s="39">
        <v>1.3600722999999901E-3</v>
      </c>
      <c r="AP111" s="39">
        <v>1.4623201000000001E-3</v>
      </c>
      <c r="AQ111" s="39">
        <v>1.4269132999999901E-3</v>
      </c>
      <c r="AR111" s="39">
        <v>1.3114003999999901E-3</v>
      </c>
      <c r="AS111" s="39">
        <v>1.4650613E-3</v>
      </c>
      <c r="AT111" s="39">
        <v>1.4811965999999999E-3</v>
      </c>
      <c r="AU111" s="39">
        <v>1.4354175E-3</v>
      </c>
      <c r="AV111" s="39">
        <v>1.3380796E-3</v>
      </c>
      <c r="AW111" s="39">
        <v>1.28317199999999E-3</v>
      </c>
    </row>
    <row r="112" spans="2:49" x14ac:dyDescent="0.25">
      <c r="B112" t="s">
        <v>519</v>
      </c>
      <c r="C112" s="39">
        <v>0</v>
      </c>
      <c r="D112" s="39">
        <v>0</v>
      </c>
      <c r="E112" s="39">
        <v>0</v>
      </c>
      <c r="F112" s="39">
        <v>0</v>
      </c>
      <c r="G112" s="39">
        <v>0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39">
        <v>1.02177299999999E-4</v>
      </c>
      <c r="T112" s="39">
        <v>2.2435899999999298E-5</v>
      </c>
      <c r="U112" s="39">
        <v>-1.0359599999999E-5</v>
      </c>
      <c r="V112" s="39">
        <v>-1.63726700000001E-4</v>
      </c>
      <c r="W112" s="39">
        <v>-3.62475599999998E-4</v>
      </c>
      <c r="X112" s="39">
        <v>7.9733459999999697E-4</v>
      </c>
      <c r="Y112" s="39">
        <v>2.1130896000000001E-3</v>
      </c>
      <c r="Z112" s="39">
        <v>1.4447218E-3</v>
      </c>
      <c r="AA112" s="39">
        <v>1.2866663999999901E-3</v>
      </c>
      <c r="AB112" s="39">
        <v>2.2989078E-3</v>
      </c>
      <c r="AC112" s="39">
        <v>2.4755154999999999E-3</v>
      </c>
      <c r="AD112" s="39">
        <v>1.8714453999999999E-3</v>
      </c>
      <c r="AE112" s="39">
        <v>1.4092084E-3</v>
      </c>
      <c r="AF112" s="39">
        <v>1.4017206E-3</v>
      </c>
      <c r="AG112" s="39">
        <v>1.51589619999999E-3</v>
      </c>
      <c r="AH112" s="39">
        <v>1.2957266999999899E-3</v>
      </c>
      <c r="AI112" s="39">
        <v>1.1114198E-3</v>
      </c>
      <c r="AJ112" s="39">
        <v>1.0740497999999999E-3</v>
      </c>
      <c r="AK112" s="39">
        <v>1.2812428E-3</v>
      </c>
      <c r="AL112" s="39">
        <v>1.26813339999999E-3</v>
      </c>
      <c r="AM112" s="39">
        <v>1.5047814999999999E-3</v>
      </c>
      <c r="AN112" s="39">
        <v>1.2333209000000001E-3</v>
      </c>
      <c r="AO112" s="39">
        <v>1.3600723E-3</v>
      </c>
      <c r="AP112" s="39">
        <v>1.4623201000000001E-3</v>
      </c>
      <c r="AQ112" s="39">
        <v>1.4269134000000001E-3</v>
      </c>
      <c r="AR112" s="39">
        <v>1.3114005000000001E-3</v>
      </c>
      <c r="AS112" s="39">
        <v>1.46506119999999E-3</v>
      </c>
      <c r="AT112" s="39">
        <v>1.48119659999999E-3</v>
      </c>
      <c r="AU112" s="39">
        <v>1.4354175E-3</v>
      </c>
      <c r="AV112" s="39">
        <v>1.3380797000000001E-3</v>
      </c>
      <c r="AW112" s="39">
        <v>1.28317199999999E-3</v>
      </c>
    </row>
    <row r="113" spans="2:50" x14ac:dyDescent="0.25">
      <c r="B113" t="s">
        <v>520</v>
      </c>
      <c r="C113">
        <v>0</v>
      </c>
      <c r="D113" s="39">
        <v>0</v>
      </c>
      <c r="E113" s="39">
        <v>0</v>
      </c>
      <c r="F113" s="39">
        <v>0</v>
      </c>
      <c r="G113" s="39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39">
        <v>2.0864231088557599E-2</v>
      </c>
      <c r="T113">
        <v>1.2652805459367701E-3</v>
      </c>
      <c r="U113" s="39">
        <v>-6.6987139566521095E-2</v>
      </c>
      <c r="V113">
        <v>-0.25223575219111</v>
      </c>
      <c r="W113">
        <v>-0.621123199228379</v>
      </c>
      <c r="X113">
        <v>-1.0778495830424399</v>
      </c>
      <c r="Y113">
        <v>-1.8111920891440401</v>
      </c>
      <c r="Z113">
        <v>-2.4794816552711199</v>
      </c>
      <c r="AA113">
        <v>-3.11447151393629</v>
      </c>
      <c r="AB113">
        <v>-3.74271990563033</v>
      </c>
      <c r="AC113">
        <v>-4.2852207567481297</v>
      </c>
      <c r="AD113">
        <v>-5.1749117459164404</v>
      </c>
      <c r="AE113">
        <v>-5.9398338631535896</v>
      </c>
      <c r="AF113">
        <v>-6.5947287886780996</v>
      </c>
      <c r="AG113">
        <v>-6.9752635303002197</v>
      </c>
      <c r="AH113">
        <v>-7.2168393872071999</v>
      </c>
      <c r="AI113">
        <v>-7.5138175133499603</v>
      </c>
      <c r="AJ113">
        <v>-7.7527005226452896</v>
      </c>
      <c r="AK113">
        <v>-7.9502927586925196</v>
      </c>
      <c r="AL113">
        <v>-8.0323357158765791</v>
      </c>
      <c r="AM113">
        <v>-8.07918732088703</v>
      </c>
      <c r="AN113">
        <v>-8.5722793930927299</v>
      </c>
      <c r="AO113">
        <v>-9.0189316816485299</v>
      </c>
      <c r="AP113">
        <v>-9.4775157639819003</v>
      </c>
      <c r="AQ113">
        <v>-9.9226985741311697</v>
      </c>
      <c r="AR113">
        <v>-10.2910463743761</v>
      </c>
      <c r="AS113">
        <v>-10.3812102549595</v>
      </c>
      <c r="AT113">
        <v>-10.5552896610718</v>
      </c>
      <c r="AU113">
        <v>-10.772723259388201</v>
      </c>
      <c r="AV113">
        <v>-10.9756140356473</v>
      </c>
      <c r="AW113">
        <v>-11.0452337829902</v>
      </c>
    </row>
    <row r="114" spans="2:50" x14ac:dyDescent="0.25">
      <c r="B114" t="s">
        <v>521</v>
      </c>
      <c r="C114" s="39">
        <v>0</v>
      </c>
      <c r="D114" s="39">
        <v>0</v>
      </c>
      <c r="E114" s="39">
        <v>0</v>
      </c>
      <c r="F114" s="39">
        <v>0</v>
      </c>
      <c r="G114" s="39">
        <v>0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39">
        <v>3.4418629999999999E-2</v>
      </c>
      <c r="T114" s="39">
        <v>2.2796629999999998E-2</v>
      </c>
      <c r="U114" s="39">
        <v>2.41534999999987E-3</v>
      </c>
      <c r="V114" s="39">
        <v>-3.7754039999999399E-2</v>
      </c>
      <c r="W114">
        <v>-2.88345000000002E-2</v>
      </c>
      <c r="X114" s="39">
        <v>-0.14483593</v>
      </c>
      <c r="Y114">
        <v>-0.17924448000000001</v>
      </c>
      <c r="Z114">
        <v>-0.28538321999999899</v>
      </c>
      <c r="AA114">
        <v>-0.34692393999999999</v>
      </c>
      <c r="AB114">
        <v>-0.45690105999999903</v>
      </c>
      <c r="AC114">
        <v>-0.45325054000000098</v>
      </c>
      <c r="AD114">
        <v>-0.430778619999999</v>
      </c>
      <c r="AE114">
        <v>-0.53095252999999898</v>
      </c>
      <c r="AF114">
        <v>-0.56903764000000001</v>
      </c>
      <c r="AG114">
        <v>-0.53140779999999999</v>
      </c>
      <c r="AH114">
        <v>-0.45249748000000101</v>
      </c>
      <c r="AI114">
        <v>-0.376322199999999</v>
      </c>
      <c r="AJ114">
        <v>-0.35019950999999999</v>
      </c>
      <c r="AK114">
        <v>-0.36811167</v>
      </c>
      <c r="AL114">
        <v>-0.25527722000000103</v>
      </c>
      <c r="AM114">
        <v>-0.25887677999999997</v>
      </c>
      <c r="AN114">
        <v>-0.244511800000001</v>
      </c>
      <c r="AO114">
        <v>-0.38330608999999899</v>
      </c>
      <c r="AP114">
        <v>-0.41386448999999798</v>
      </c>
      <c r="AQ114">
        <v>-0.42401457999999898</v>
      </c>
      <c r="AR114">
        <v>-0.42285613</v>
      </c>
      <c r="AS114">
        <v>-0.38927512999999903</v>
      </c>
      <c r="AT114">
        <v>-0.33111152999999999</v>
      </c>
      <c r="AU114">
        <v>-0.31381426000000001</v>
      </c>
      <c r="AV114">
        <v>-0.31240742999999999</v>
      </c>
      <c r="AW114">
        <v>-0.29564854000000002</v>
      </c>
    </row>
    <row r="115" spans="2:50" x14ac:dyDescent="0.25">
      <c r="B115" s="40" t="s">
        <v>486</v>
      </c>
      <c r="C115">
        <v>96.864644472622402</v>
      </c>
      <c r="D115">
        <v>98.419837671387299</v>
      </c>
      <c r="E115">
        <v>100.025729854421</v>
      </c>
      <c r="F115">
        <v>100.00500231726301</v>
      </c>
      <c r="G115">
        <v>95.548789438526896</v>
      </c>
      <c r="H115">
        <v>90.957415742164201</v>
      </c>
      <c r="I115">
        <v>89.823681437621303</v>
      </c>
      <c r="J115">
        <v>87.754316971383901</v>
      </c>
      <c r="K115">
        <v>84.565583060026199</v>
      </c>
      <c r="L115">
        <v>82.547500106765</v>
      </c>
      <c r="M115">
        <v>81.869358918336502</v>
      </c>
      <c r="N115">
        <v>82.000062228425904</v>
      </c>
      <c r="O115">
        <v>80.031406440045401</v>
      </c>
      <c r="P115">
        <v>78.255548680341406</v>
      </c>
      <c r="Q115">
        <v>75.312300781723906</v>
      </c>
      <c r="R115">
        <v>73.405335654253093</v>
      </c>
      <c r="S115">
        <v>71.338047244359203</v>
      </c>
      <c r="T115">
        <v>70.373248014940501</v>
      </c>
      <c r="U115">
        <v>69.011604772859997</v>
      </c>
      <c r="V115">
        <v>67.676155737430904</v>
      </c>
      <c r="W115">
        <v>65.644522996652</v>
      </c>
      <c r="X115">
        <v>63.1476941427063</v>
      </c>
      <c r="Y115">
        <v>60.442018176032398</v>
      </c>
      <c r="Z115">
        <v>57.957953735927298</v>
      </c>
      <c r="AA115">
        <v>55.560423252248498</v>
      </c>
      <c r="AB115">
        <v>53.095510170753798</v>
      </c>
      <c r="AC115">
        <v>50.698807008054402</v>
      </c>
      <c r="AD115">
        <v>47.416977865748102</v>
      </c>
      <c r="AE115">
        <v>44.227067303673799</v>
      </c>
      <c r="AF115">
        <v>41.104221672380099</v>
      </c>
      <c r="AG115">
        <v>38.502282424108401</v>
      </c>
      <c r="AH115">
        <v>35.9512232889534</v>
      </c>
      <c r="AI115">
        <v>33.326919403163998</v>
      </c>
      <c r="AJ115">
        <v>30.735316894617299</v>
      </c>
      <c r="AK115">
        <v>28.137895474796</v>
      </c>
      <c r="AL115">
        <v>26.862748817909001</v>
      </c>
      <c r="AM115">
        <v>25.414061387671499</v>
      </c>
      <c r="AN115">
        <v>23.496168953305499</v>
      </c>
      <c r="AO115">
        <v>21.539130321205501</v>
      </c>
      <c r="AP115">
        <v>19.551343514611698</v>
      </c>
      <c r="AQ115">
        <v>17.526478962956801</v>
      </c>
      <c r="AR115">
        <v>15.409762854307401</v>
      </c>
      <c r="AS115">
        <v>15.262649641721699</v>
      </c>
      <c r="AT115">
        <v>15.125129465148699</v>
      </c>
      <c r="AU115">
        <v>14.987013673862499</v>
      </c>
      <c r="AV115">
        <v>14.839653286509501</v>
      </c>
      <c r="AW115">
        <v>14.6905932337602</v>
      </c>
      <c r="AX115">
        <v>9.0244863402317499</v>
      </c>
    </row>
    <row r="116" spans="2:50" x14ac:dyDescent="0.25">
      <c r="B116" t="s">
        <v>522</v>
      </c>
      <c r="C116">
        <v>0</v>
      </c>
      <c r="D116" s="39">
        <v>0</v>
      </c>
      <c r="E116" s="39">
        <v>0</v>
      </c>
      <c r="F116" s="39">
        <v>0</v>
      </c>
      <c r="G116" s="39">
        <v>0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39">
        <v>1.35227414319594E-3</v>
      </c>
      <c r="T116" s="39">
        <v>3.44783056055009E-2</v>
      </c>
      <c r="U116" s="39">
        <v>9.5121759723992796E-2</v>
      </c>
      <c r="V116" s="39">
        <v>0.24314776724534401</v>
      </c>
      <c r="W116">
        <v>0.58636350014926697</v>
      </c>
      <c r="X116">
        <v>0.80581691908814201</v>
      </c>
      <c r="Y116">
        <v>1.1433514393938999</v>
      </c>
      <c r="Z116">
        <v>1.37464515643084</v>
      </c>
      <c r="AA116">
        <v>1.5437423199795799</v>
      </c>
      <c r="AB116">
        <v>1.5237087414900801</v>
      </c>
      <c r="AC116">
        <v>1.4305564617239599</v>
      </c>
      <c r="AD116">
        <v>1.7029292699220999</v>
      </c>
      <c r="AE116">
        <v>1.8498755880782001</v>
      </c>
      <c r="AF116">
        <v>1.8986204901384001</v>
      </c>
      <c r="AG116" s="39">
        <v>1.7775730502821401</v>
      </c>
      <c r="AH116" s="39">
        <v>1.6462380018916301</v>
      </c>
      <c r="AI116">
        <v>1.6404525451034899</v>
      </c>
      <c r="AJ116">
        <v>1.62253655975737</v>
      </c>
      <c r="AK116">
        <v>1.5521548781321599</v>
      </c>
      <c r="AL116" s="39">
        <v>1.49685917846311</v>
      </c>
      <c r="AM116">
        <v>1.39214925815431</v>
      </c>
      <c r="AN116">
        <v>1.58087727720488</v>
      </c>
      <c r="AO116">
        <v>1.6457309488402101</v>
      </c>
      <c r="AP116">
        <v>1.69725593270793</v>
      </c>
      <c r="AQ116">
        <v>1.7416575508316601</v>
      </c>
      <c r="AR116">
        <v>1.75247975325785</v>
      </c>
      <c r="AS116">
        <v>1.6087699529785999</v>
      </c>
      <c r="AT116">
        <v>1.54283615386579</v>
      </c>
      <c r="AU116">
        <v>1.5146443524987201</v>
      </c>
      <c r="AV116">
        <v>1.48883989082282</v>
      </c>
      <c r="AW116">
        <v>1.4148572135222099</v>
      </c>
    </row>
    <row r="117" spans="2:50" x14ac:dyDescent="0.25">
      <c r="B117" t="s">
        <v>523</v>
      </c>
      <c r="C117" s="39">
        <v>0</v>
      </c>
      <c r="D117" s="39">
        <v>0</v>
      </c>
      <c r="E117" s="39">
        <v>0</v>
      </c>
      <c r="F117" s="39">
        <v>0</v>
      </c>
      <c r="G117" s="39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-0.128074635098685</v>
      </c>
      <c r="T117" s="39">
        <v>-0.15041458800709701</v>
      </c>
      <c r="U117" s="39">
        <v>-8.0352197670652201E-2</v>
      </c>
      <c r="V117" s="39">
        <v>5.02991831787147E-2</v>
      </c>
      <c r="W117" s="39">
        <v>0.824302788774256</v>
      </c>
      <c r="X117">
        <v>1.33865496223211</v>
      </c>
      <c r="Y117">
        <v>1.5339992370229301</v>
      </c>
      <c r="Z117">
        <v>1.80006330702313</v>
      </c>
      <c r="AA117">
        <v>2.0393171854764498</v>
      </c>
      <c r="AB117">
        <v>1.99342685057575</v>
      </c>
      <c r="AC117">
        <v>1.7660871954944699</v>
      </c>
      <c r="AD117">
        <v>1.8262295020375201</v>
      </c>
      <c r="AE117">
        <v>2.1223651387859599</v>
      </c>
      <c r="AF117">
        <v>2.1961977896245601</v>
      </c>
      <c r="AG117">
        <v>2.1177479086294801</v>
      </c>
      <c r="AH117">
        <v>2.0177269880434698</v>
      </c>
      <c r="AI117">
        <v>1.81286320673292</v>
      </c>
      <c r="AJ117">
        <v>1.70985568698987</v>
      </c>
      <c r="AK117">
        <v>1.5341651847959199</v>
      </c>
      <c r="AL117">
        <v>1.4207350767709099</v>
      </c>
      <c r="AM117">
        <v>1.26335432695345</v>
      </c>
      <c r="AN117">
        <v>1.3671851269553701</v>
      </c>
      <c r="AO117">
        <v>1.4669910345567101</v>
      </c>
      <c r="AP117">
        <v>1.5160020259284901</v>
      </c>
      <c r="AQ117">
        <v>1.5406417920565001</v>
      </c>
      <c r="AR117">
        <v>1.61014995184334</v>
      </c>
      <c r="AS117">
        <v>1.5738628554271099</v>
      </c>
      <c r="AT117">
        <v>1.4806345571841899</v>
      </c>
      <c r="AU117">
        <v>1.44291759957373</v>
      </c>
      <c r="AV117">
        <v>1.4375296262822701</v>
      </c>
      <c r="AW117">
        <v>1.3199315475606901</v>
      </c>
    </row>
    <row r="118" spans="2:50" x14ac:dyDescent="0.25">
      <c r="B118" t="s">
        <v>524</v>
      </c>
      <c r="C118">
        <v>0</v>
      </c>
      <c r="D118" s="39">
        <v>0</v>
      </c>
      <c r="E118" s="39">
        <v>0</v>
      </c>
      <c r="F118" s="39">
        <v>0</v>
      </c>
      <c r="G118" s="39">
        <v>0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39">
        <v>-6.8139518973331301E-2</v>
      </c>
      <c r="T118">
        <v>6.5095351413035907E-2</v>
      </c>
      <c r="U118">
        <v>0.18880136301353501</v>
      </c>
      <c r="V118">
        <v>1.01598858614637</v>
      </c>
      <c r="W118">
        <v>1.5935533799277199</v>
      </c>
      <c r="X118">
        <v>1.2257257037184299</v>
      </c>
      <c r="Y118">
        <v>2.1209826605964599</v>
      </c>
      <c r="Z118">
        <v>2.5264985415890302</v>
      </c>
      <c r="AA118">
        <v>2.8181023969252301</v>
      </c>
      <c r="AB118">
        <v>2.5200484996205299</v>
      </c>
      <c r="AC118">
        <v>2.4208040267514401</v>
      </c>
      <c r="AD118">
        <v>4.9082134258601604</v>
      </c>
      <c r="AE118">
        <v>5.2649349514604902</v>
      </c>
      <c r="AF118">
        <v>5.3657804543075303</v>
      </c>
      <c r="AG118">
        <v>5.0558282577986002</v>
      </c>
      <c r="AH118">
        <v>5.0853722101909398</v>
      </c>
      <c r="AI118">
        <v>5.8915321516511403</v>
      </c>
      <c r="AJ118">
        <v>6.0602534537380102</v>
      </c>
      <c r="AK118">
        <v>6.0441525693726303</v>
      </c>
      <c r="AL118">
        <v>5.92228298704726</v>
      </c>
      <c r="AM118" s="39">
        <v>5.5909408033305104</v>
      </c>
      <c r="AN118">
        <v>7.2313965652942498</v>
      </c>
      <c r="AO118">
        <v>7.4064298856022202</v>
      </c>
      <c r="AP118">
        <v>7.6260316148049698</v>
      </c>
      <c r="AQ118">
        <v>7.8544236158178702</v>
      </c>
      <c r="AR118">
        <v>7.58405386679663</v>
      </c>
      <c r="AS118">
        <v>6.285102535789</v>
      </c>
      <c r="AT118">
        <v>6.2316175529685696</v>
      </c>
      <c r="AU118">
        <v>6.3769672278959799</v>
      </c>
      <c r="AV118">
        <v>6.3836793175120903</v>
      </c>
      <c r="AW118" s="39">
        <v>6.35144230691711</v>
      </c>
    </row>
    <row r="119" spans="2:50" x14ac:dyDescent="0.25">
      <c r="B119" t="s">
        <v>525</v>
      </c>
      <c r="C119" s="39">
        <v>0</v>
      </c>
      <c r="D119" s="39">
        <v>0</v>
      </c>
      <c r="E119" s="39">
        <v>0</v>
      </c>
      <c r="F119" s="39">
        <v>0</v>
      </c>
      <c r="G119" s="39">
        <v>0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1.32553451412942E-3</v>
      </c>
      <c r="T119" s="39">
        <v>-1.7919094304597E-3</v>
      </c>
      <c r="U119" s="39">
        <v>-7.1709279039655601E-3</v>
      </c>
      <c r="V119" s="39">
        <v>-1.3533235066398501E-2</v>
      </c>
      <c r="W119" s="39">
        <v>-3.1379576179324499E-2</v>
      </c>
      <c r="X119" s="39">
        <v>-5.3069668856264803E-2</v>
      </c>
      <c r="Y119">
        <v>-0.10379158766147201</v>
      </c>
      <c r="Z119">
        <v>-0.17564375607921301</v>
      </c>
      <c r="AA119">
        <v>-0.25829797603648103</v>
      </c>
      <c r="AB119">
        <v>-0.351767547702242</v>
      </c>
      <c r="AC119">
        <v>-0.46270104589642902</v>
      </c>
      <c r="AD119" s="39">
        <v>-0.52842357442921495</v>
      </c>
      <c r="AE119" s="39">
        <v>-0.59390578809343997</v>
      </c>
      <c r="AF119" s="39">
        <v>-0.66245524018253499</v>
      </c>
      <c r="AG119" s="39">
        <v>-0.97793314632973405</v>
      </c>
      <c r="AH119">
        <v>-1.2867827062642101</v>
      </c>
      <c r="AI119" s="39">
        <v>-1.37098101187432</v>
      </c>
      <c r="AJ119" s="39">
        <v>-1.4509442399381201</v>
      </c>
      <c r="AK119" s="39">
        <v>-1.5402573387454499</v>
      </c>
      <c r="AL119" s="39">
        <v>-1.6158157462023399</v>
      </c>
      <c r="AM119" s="39">
        <v>-1.7016709985077001</v>
      </c>
      <c r="AN119" s="39">
        <v>-1.78396808871863</v>
      </c>
      <c r="AO119">
        <v>-1.87673622323363</v>
      </c>
      <c r="AP119">
        <v>-1.9732081516844899</v>
      </c>
      <c r="AQ119">
        <v>-2.0686369161784</v>
      </c>
      <c r="AR119">
        <v>-2.1633956146728299</v>
      </c>
      <c r="AS119">
        <v>-2.2683450163852399</v>
      </c>
      <c r="AT119">
        <v>-2.3727919440086702</v>
      </c>
      <c r="AU119">
        <v>-2.47556791926463</v>
      </c>
      <c r="AV119">
        <v>-2.5749536146979102</v>
      </c>
      <c r="AW119">
        <v>-2.6706039755034201</v>
      </c>
    </row>
    <row r="120" spans="2:50" x14ac:dyDescent="0.25">
      <c r="B120" t="s">
        <v>526</v>
      </c>
      <c r="C120">
        <v>0</v>
      </c>
      <c r="D120" s="39">
        <v>0</v>
      </c>
      <c r="E120" s="39">
        <v>0</v>
      </c>
      <c r="F120" s="39">
        <v>0</v>
      </c>
      <c r="G120" s="39">
        <v>0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39">
        <v>-0.27294465611443702</v>
      </c>
      <c r="T120" s="39">
        <v>-0.35305441181912001</v>
      </c>
      <c r="U120">
        <v>-0.360975474673497</v>
      </c>
      <c r="V120" s="39">
        <v>-0.1731409737315</v>
      </c>
      <c r="W120" s="39">
        <v>0.41460782223234899</v>
      </c>
      <c r="X120">
        <v>0.42596876171190301</v>
      </c>
      <c r="Y120">
        <v>8.8328307498675096E-2</v>
      </c>
      <c r="Z120">
        <v>-4.1832841492428503E-2</v>
      </c>
      <c r="AA120">
        <v>-8.8800276225986505E-2</v>
      </c>
      <c r="AB120">
        <v>-0.35517625786011198</v>
      </c>
      <c r="AC120">
        <v>-0.63008943986568799</v>
      </c>
      <c r="AD120">
        <v>-0.206112335655495</v>
      </c>
      <c r="AE120">
        <v>-4.0415917577152301E-2</v>
      </c>
      <c r="AF120">
        <v>-8.8078043687078694E-2</v>
      </c>
      <c r="AG120">
        <v>-0.32481525335606998</v>
      </c>
      <c r="AH120">
        <v>-0.39353813185241099</v>
      </c>
      <c r="AI120">
        <v>-0.415403127441138</v>
      </c>
      <c r="AJ120">
        <v>-0.54099118854050698</v>
      </c>
      <c r="AK120">
        <v>-0.73222108230447303</v>
      </c>
      <c r="AL120">
        <v>-0.90012196793388599</v>
      </c>
      <c r="AM120">
        <v>-1.1062801480759299</v>
      </c>
      <c r="AN120">
        <v>-0.80116242786687497</v>
      </c>
      <c r="AO120">
        <v>-0.84409032176169196</v>
      </c>
      <c r="AP120">
        <v>-0.91832627275529799</v>
      </c>
      <c r="AQ120">
        <v>-1.0080461690731699</v>
      </c>
      <c r="AR120">
        <v>-1.16338384849572</v>
      </c>
      <c r="AS120">
        <v>-1.5348556403043301</v>
      </c>
      <c r="AT120">
        <v>-1.63395077184603</v>
      </c>
      <c r="AU120">
        <v>-1.6534129413980601</v>
      </c>
      <c r="AV120">
        <v>-1.6892455177444401</v>
      </c>
      <c r="AW120">
        <v>-1.78118617350873</v>
      </c>
    </row>
    <row r="121" spans="2:50" x14ac:dyDescent="0.25">
      <c r="B121" t="s">
        <v>527</v>
      </c>
      <c r="C121" s="39">
        <v>0</v>
      </c>
      <c r="D121" s="39">
        <v>0</v>
      </c>
      <c r="E121" s="39">
        <v>0</v>
      </c>
      <c r="F121" s="39">
        <v>0</v>
      </c>
      <c r="G121" s="39">
        <v>0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39">
        <v>-3.86787000000027E-3</v>
      </c>
      <c r="T121" s="39">
        <v>-1.8654980000000401E-2</v>
      </c>
      <c r="U121" s="39">
        <v>-4.4848779999999401E-2</v>
      </c>
      <c r="V121" s="39">
        <v>-9.0826489999999704E-2</v>
      </c>
      <c r="W121" s="39">
        <v>-0.17383147999999801</v>
      </c>
      <c r="X121">
        <v>-0.25107279999999998</v>
      </c>
      <c r="Y121">
        <v>-0.32473995999999899</v>
      </c>
      <c r="Z121">
        <v>-0.45398940999999898</v>
      </c>
      <c r="AA121">
        <v>-0.56928597999999897</v>
      </c>
      <c r="AB121">
        <v>-0.59229019000000005</v>
      </c>
      <c r="AC121">
        <v>-0.53593249999999903</v>
      </c>
      <c r="AD121" s="39">
        <v>-0.54458849999999903</v>
      </c>
      <c r="AE121">
        <v>-0.64100020999999996</v>
      </c>
      <c r="AF121">
        <v>-0.70137804000000004</v>
      </c>
      <c r="AG121">
        <v>-0.69694285999999905</v>
      </c>
      <c r="AH121">
        <v>-0.66379750999999898</v>
      </c>
      <c r="AI121">
        <v>-0.65169756000000001</v>
      </c>
      <c r="AJ121">
        <v>-0.66372392000000002</v>
      </c>
      <c r="AK121" s="39">
        <v>-0.67095274999999999</v>
      </c>
      <c r="AL121">
        <v>-0.64288621000000001</v>
      </c>
      <c r="AM121" s="39">
        <v>-0.62472262000000101</v>
      </c>
      <c r="AN121" s="39">
        <v>-0.64218595000000001</v>
      </c>
      <c r="AO121">
        <v>-0.72008491999999902</v>
      </c>
      <c r="AP121">
        <v>-0.76363303999999999</v>
      </c>
      <c r="AQ121">
        <v>-0.78560018999999903</v>
      </c>
      <c r="AR121">
        <v>-0.80545192999999904</v>
      </c>
      <c r="AS121" s="39">
        <v>-0.78376586999999998</v>
      </c>
      <c r="AT121" s="39">
        <v>-0.73033049000000005</v>
      </c>
      <c r="AU121">
        <v>-0.702179</v>
      </c>
      <c r="AV121">
        <v>-0.69471624999999904</v>
      </c>
      <c r="AW121">
        <v>-0.68213979999999996</v>
      </c>
    </row>
    <row r="122" spans="2:50" x14ac:dyDescent="0.25">
      <c r="B122" t="s">
        <v>528</v>
      </c>
      <c r="C122" s="39">
        <v>0</v>
      </c>
      <c r="D122" s="39">
        <v>0</v>
      </c>
      <c r="E122" s="39">
        <v>0</v>
      </c>
      <c r="F122" s="39">
        <v>0</v>
      </c>
      <c r="G122" s="39">
        <v>0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>
        <v>0</v>
      </c>
      <c r="P122" s="39">
        <v>0</v>
      </c>
      <c r="Q122" s="39">
        <v>0</v>
      </c>
      <c r="R122" s="39">
        <v>0</v>
      </c>
      <c r="S122" s="39">
        <v>6.3273424000698198E-3</v>
      </c>
      <c r="T122" s="39">
        <v>3.05245336900128E-2</v>
      </c>
      <c r="U122" s="39">
        <v>7.3404705225699196E-2</v>
      </c>
      <c r="V122" s="39">
        <v>0.14871229540584999</v>
      </c>
      <c r="W122" s="39">
        <v>0.28479388358451102</v>
      </c>
      <c r="X122">
        <v>0.41156924239546999</v>
      </c>
      <c r="Y122">
        <v>0.53259712213367105</v>
      </c>
      <c r="Z122">
        <v>0.74515369167118495</v>
      </c>
      <c r="AA122">
        <v>0.93500509361907902</v>
      </c>
      <c r="AB122">
        <v>0.972975858141511</v>
      </c>
      <c r="AC122">
        <v>0.88023893262294495</v>
      </c>
      <c r="AD122">
        <v>0.89450020196193403</v>
      </c>
      <c r="AE122">
        <v>1.0532358966039901</v>
      </c>
      <c r="AF122">
        <v>1.1526344859873201</v>
      </c>
      <c r="AG122">
        <v>1.14516125695669</v>
      </c>
      <c r="AH122">
        <v>1.09039256891676</v>
      </c>
      <c r="AI122">
        <v>1.0703131081980899</v>
      </c>
      <c r="AJ122">
        <v>1.0899709013790999</v>
      </c>
      <c r="AK122">
        <v>1.10178454856297</v>
      </c>
      <c r="AL122">
        <v>1.05551696906853</v>
      </c>
      <c r="AM122">
        <v>1.0255717294370399</v>
      </c>
      <c r="AN122">
        <v>1.0543655801990901</v>
      </c>
      <c r="AO122">
        <v>1.18284161387607</v>
      </c>
      <c r="AP122">
        <v>1.2547933119211101</v>
      </c>
      <c r="AQ122">
        <v>1.29115396927037</v>
      </c>
      <c r="AR122">
        <v>1.32401469708134</v>
      </c>
      <c r="AS122">
        <v>1.2883664505458801</v>
      </c>
      <c r="AT122">
        <v>1.20035040421886</v>
      </c>
      <c r="AU122">
        <v>1.1540048177817399</v>
      </c>
      <c r="AV122">
        <v>1.14174317674962</v>
      </c>
      <c r="AW122">
        <v>1.12093805783291</v>
      </c>
    </row>
    <row r="123" spans="2:50" x14ac:dyDescent="0.25">
      <c r="B123" t="s">
        <v>529</v>
      </c>
      <c r="C123" s="39">
        <v>0</v>
      </c>
      <c r="D123" s="39">
        <v>0</v>
      </c>
      <c r="E123" s="39">
        <v>0</v>
      </c>
      <c r="F123" s="39">
        <v>0</v>
      </c>
      <c r="G123" s="39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39">
        <v>5.5780924520964998E-3</v>
      </c>
      <c r="T123" s="39">
        <v>2.9862812151848502E-2</v>
      </c>
      <c r="U123" s="39">
        <v>6.9011222496229097E-2</v>
      </c>
      <c r="V123">
        <v>0.15839214844615099</v>
      </c>
      <c r="W123" s="39">
        <v>0.2798478882855</v>
      </c>
      <c r="X123">
        <v>0.33063355221707402</v>
      </c>
      <c r="Y123">
        <v>0.531834519171825</v>
      </c>
      <c r="Z123">
        <v>0.79871707481480303</v>
      </c>
      <c r="AA123">
        <v>1.07351355421647</v>
      </c>
      <c r="AB123" s="39">
        <v>1.2668475097299099</v>
      </c>
      <c r="AC123">
        <v>1.4251055765232601</v>
      </c>
      <c r="AD123">
        <v>1.6500142755890099</v>
      </c>
      <c r="AE123">
        <v>1.7659592737959</v>
      </c>
      <c r="AF123">
        <v>1.8874422004875699</v>
      </c>
      <c r="AG123">
        <v>1.99605798177384</v>
      </c>
      <c r="AH123">
        <v>2.0835344644006599</v>
      </c>
      <c r="AI123">
        <v>2.1536223630382598</v>
      </c>
      <c r="AJ123">
        <v>2.1909726900639099</v>
      </c>
      <c r="AK123">
        <v>2.2044029442750799</v>
      </c>
      <c r="AL123">
        <v>2.2551289645891899</v>
      </c>
      <c r="AM123">
        <v>2.2375145181226399</v>
      </c>
      <c r="AN123">
        <v>2.3364676924140899</v>
      </c>
      <c r="AO123">
        <v>2.34881089795444</v>
      </c>
      <c r="AP123">
        <v>2.4306290318705601</v>
      </c>
      <c r="AQ123">
        <v>2.5429064536732899</v>
      </c>
      <c r="AR123">
        <v>2.64277925390512</v>
      </c>
      <c r="AS123">
        <v>2.66975049256361</v>
      </c>
      <c r="AT123">
        <v>2.71336316170092</v>
      </c>
      <c r="AU123">
        <v>2.7192698967226399</v>
      </c>
      <c r="AV123">
        <v>2.70576719820383</v>
      </c>
      <c r="AW123">
        <v>2.6752005595196602</v>
      </c>
    </row>
    <row r="124" spans="2:50" x14ac:dyDescent="0.25">
      <c r="B124" t="s">
        <v>530</v>
      </c>
      <c r="C124" s="39">
        <v>0</v>
      </c>
      <c r="D124" s="39">
        <v>0</v>
      </c>
      <c r="E124" s="39">
        <v>0</v>
      </c>
      <c r="F124" s="39">
        <v>0</v>
      </c>
      <c r="G124" s="39">
        <v>0</v>
      </c>
      <c r="H124" s="39">
        <v>0</v>
      </c>
      <c r="I124" s="39">
        <v>0</v>
      </c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39">
        <v>1.00086895574058E-2</v>
      </c>
      <c r="T124" s="39">
        <v>1.22067028061501E-2</v>
      </c>
      <c r="U124" s="39">
        <v>1.1191413809030701E-2</v>
      </c>
      <c r="V124">
        <v>-4.85654947903757E-3</v>
      </c>
      <c r="W124" s="39">
        <v>-4.0373213300748299E-2</v>
      </c>
      <c r="X124">
        <v>3.7731122605721902E-2</v>
      </c>
      <c r="Y124">
        <v>0.24514071660499601</v>
      </c>
      <c r="Z124">
        <v>0.38724294130203502</v>
      </c>
      <c r="AA124">
        <v>0.51398605787436003</v>
      </c>
      <c r="AB124">
        <v>0.74073443946491802</v>
      </c>
      <c r="AC124">
        <v>0.98545970754100298</v>
      </c>
      <c r="AD124">
        <v>1.1709124976110701</v>
      </c>
      <c r="AE124">
        <v>1.3108077827523801</v>
      </c>
      <c r="AF124">
        <v>1.4501539003150401</v>
      </c>
      <c r="AG124">
        <v>1.60105567030761</v>
      </c>
      <c r="AH124">
        <v>1.73022113420338</v>
      </c>
      <c r="AI124">
        <v>1.84115677170158</v>
      </c>
      <c r="AJ124">
        <v>1.94846938446504</v>
      </c>
      <c r="AK124">
        <v>2.07660523653092</v>
      </c>
      <c r="AL124">
        <v>2.2035833695165299</v>
      </c>
      <c r="AM124">
        <v>2.35444021569886</v>
      </c>
      <c r="AN124">
        <v>2.4782505243420698</v>
      </c>
      <c r="AO124">
        <v>2.6149550763523401</v>
      </c>
      <c r="AP124">
        <v>2.76213782540386</v>
      </c>
      <c r="AQ124">
        <v>2.9059649681688602</v>
      </c>
      <c r="AR124">
        <v>3.0383370181161098</v>
      </c>
      <c r="AS124">
        <v>3.1864017175643902</v>
      </c>
      <c r="AT124">
        <v>3.3363118345393898</v>
      </c>
      <c r="AU124">
        <v>3.4818017778338302</v>
      </c>
      <c r="AV124">
        <v>3.6176172404592299</v>
      </c>
      <c r="AW124">
        <v>3.7480140246991702</v>
      </c>
    </row>
    <row r="125" spans="2:50" x14ac:dyDescent="0.25">
      <c r="B125" t="s">
        <v>531</v>
      </c>
      <c r="C125" s="39">
        <v>0</v>
      </c>
      <c r="D125" s="39">
        <v>0</v>
      </c>
      <c r="E125" s="39">
        <v>0</v>
      </c>
      <c r="F125" s="39">
        <v>0</v>
      </c>
      <c r="G125" s="39">
        <v>0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39">
        <v>1.0217729999999901E-2</v>
      </c>
      <c r="T125" s="39">
        <v>2.2435899999999299E-3</v>
      </c>
      <c r="U125" s="39">
        <v>-1.0359599999999001E-3</v>
      </c>
      <c r="V125" s="39">
        <v>-1.63726700000001E-2</v>
      </c>
      <c r="W125">
        <v>-3.6247559999999797E-2</v>
      </c>
      <c r="X125">
        <v>7.9733459999999701E-2</v>
      </c>
      <c r="Y125">
        <v>0.21130895999999999</v>
      </c>
      <c r="Z125">
        <v>0.14447218000000001</v>
      </c>
      <c r="AA125">
        <v>0.128666639999999</v>
      </c>
      <c r="AB125">
        <v>0.22989077999999999</v>
      </c>
      <c r="AC125">
        <v>0.24755155000000001</v>
      </c>
      <c r="AD125">
        <v>0.18714454</v>
      </c>
      <c r="AE125">
        <v>0.14092083999999999</v>
      </c>
      <c r="AF125">
        <v>0.14017205999999999</v>
      </c>
      <c r="AG125">
        <v>0.15158961999999901</v>
      </c>
      <c r="AH125">
        <v>0.129572669999999</v>
      </c>
      <c r="AI125">
        <v>0.11114198</v>
      </c>
      <c r="AJ125">
        <v>0.10740498</v>
      </c>
      <c r="AK125">
        <v>0.12812428000000001</v>
      </c>
      <c r="AL125">
        <v>0.126813339999999</v>
      </c>
      <c r="AM125">
        <v>0.15047815</v>
      </c>
      <c r="AN125">
        <v>0.12333209000000001</v>
      </c>
      <c r="AO125" s="39">
        <v>0.13600723000000001</v>
      </c>
      <c r="AP125" s="39">
        <v>0.14623201</v>
      </c>
      <c r="AQ125" s="39">
        <v>0.14269134</v>
      </c>
      <c r="AR125">
        <v>0.13114005000000001</v>
      </c>
      <c r="AS125">
        <v>0.14650611999999899</v>
      </c>
      <c r="AT125" s="39">
        <v>0.14811965999999899</v>
      </c>
      <c r="AU125">
        <v>0.14354175</v>
      </c>
      <c r="AV125">
        <v>0.13380797</v>
      </c>
      <c r="AW125">
        <v>0.12831719999999899</v>
      </c>
    </row>
    <row r="126" spans="2:50" x14ac:dyDescent="0.25">
      <c r="B126" t="s">
        <v>532</v>
      </c>
      <c r="C126">
        <v>0</v>
      </c>
      <c r="D126" s="39">
        <v>0</v>
      </c>
      <c r="E126" s="39">
        <v>0</v>
      </c>
      <c r="F126" s="39">
        <v>0</v>
      </c>
      <c r="G126" s="39">
        <v>0</v>
      </c>
      <c r="H126" s="39">
        <v>0</v>
      </c>
      <c r="I126" s="39">
        <v>0</v>
      </c>
      <c r="J126" s="39">
        <v>0</v>
      </c>
      <c r="K126" s="39">
        <v>0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39">
        <v>2.0864231088557599E-2</v>
      </c>
      <c r="T126">
        <v>1.2652805459367701E-3</v>
      </c>
      <c r="U126" s="39">
        <v>-6.6987139566521095E-2</v>
      </c>
      <c r="V126">
        <v>-0.25223575219111</v>
      </c>
      <c r="W126">
        <v>-0.621123199228379</v>
      </c>
      <c r="X126">
        <v>-1.0778495830424399</v>
      </c>
      <c r="Y126">
        <v>-1.8111920891440401</v>
      </c>
      <c r="Z126">
        <v>-2.4794816552711199</v>
      </c>
      <c r="AA126">
        <v>-3.11447151393629</v>
      </c>
      <c r="AB126">
        <v>-3.74271990563033</v>
      </c>
      <c r="AC126">
        <v>-4.2852207567481297</v>
      </c>
      <c r="AD126">
        <v>-5.1749117459164404</v>
      </c>
      <c r="AE126">
        <v>-5.9398338631535896</v>
      </c>
      <c r="AF126">
        <v>-6.5947287886780996</v>
      </c>
      <c r="AG126">
        <v>-6.9752635303002197</v>
      </c>
      <c r="AH126">
        <v>-7.2168393872071999</v>
      </c>
      <c r="AI126">
        <v>-7.5138175133499603</v>
      </c>
      <c r="AJ126">
        <v>-7.7527005226452896</v>
      </c>
      <c r="AK126">
        <v>-7.9502927586925196</v>
      </c>
      <c r="AL126">
        <v>-8.0323357158765791</v>
      </c>
      <c r="AM126">
        <v>-8.07918732088703</v>
      </c>
      <c r="AN126">
        <v>-8.5722793930927299</v>
      </c>
      <c r="AO126">
        <v>-9.0189316816485299</v>
      </c>
      <c r="AP126">
        <v>-9.4775157639819003</v>
      </c>
      <c r="AQ126">
        <v>-9.9226985741311697</v>
      </c>
      <c r="AR126">
        <v>-10.2910463743761</v>
      </c>
      <c r="AS126">
        <v>-10.3812102549595</v>
      </c>
      <c r="AT126">
        <v>-10.5552896610718</v>
      </c>
      <c r="AU126">
        <v>-10.772723259388201</v>
      </c>
      <c r="AV126">
        <v>-10.9756140356473</v>
      </c>
      <c r="AW126">
        <v>-11.0452337829902</v>
      </c>
    </row>
    <row r="127" spans="2:50" x14ac:dyDescent="0.25">
      <c r="B127" t="s">
        <v>533</v>
      </c>
      <c r="C127" s="39">
        <v>0</v>
      </c>
      <c r="D127" s="39">
        <v>0</v>
      </c>
      <c r="E127" s="39">
        <v>0</v>
      </c>
      <c r="F127" s="39">
        <v>0</v>
      </c>
      <c r="G127" s="39">
        <v>0</v>
      </c>
      <c r="H127" s="39">
        <v>0</v>
      </c>
      <c r="I127" s="39">
        <v>0</v>
      </c>
      <c r="J127" s="39">
        <v>0</v>
      </c>
      <c r="K127" s="39">
        <v>0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39">
        <v>3.4418629999999999E-2</v>
      </c>
      <c r="T127" s="39">
        <v>2.2796629999999998E-2</v>
      </c>
      <c r="U127" s="39">
        <v>2.41534999999987E-3</v>
      </c>
      <c r="V127" s="39">
        <v>-3.7754039999999399E-2</v>
      </c>
      <c r="W127">
        <v>-2.88345000000002E-2</v>
      </c>
      <c r="X127" s="39">
        <v>-0.14483593</v>
      </c>
      <c r="Y127">
        <v>-0.17924448000000001</v>
      </c>
      <c r="Z127">
        <v>-0.28538321999999899</v>
      </c>
      <c r="AA127">
        <v>-0.34692393999999999</v>
      </c>
      <c r="AB127">
        <v>-0.45690105999999903</v>
      </c>
      <c r="AC127">
        <v>-0.45325054000000098</v>
      </c>
      <c r="AD127">
        <v>-0.430778619999999</v>
      </c>
      <c r="AE127">
        <v>-0.53095252999999898</v>
      </c>
      <c r="AF127">
        <v>-0.56903764000000001</v>
      </c>
      <c r="AG127">
        <v>-0.53140779999999999</v>
      </c>
      <c r="AH127">
        <v>-0.45249748000000101</v>
      </c>
      <c r="AI127">
        <v>-0.376322199999999</v>
      </c>
      <c r="AJ127">
        <v>-0.35019950999999999</v>
      </c>
      <c r="AK127">
        <v>-0.36811167</v>
      </c>
      <c r="AL127">
        <v>-0.25527722000000103</v>
      </c>
      <c r="AM127">
        <v>-0.25887677999999997</v>
      </c>
      <c r="AN127">
        <v>-0.244511800000001</v>
      </c>
      <c r="AO127">
        <v>-0.38330608999999899</v>
      </c>
      <c r="AP127">
        <v>-0.41386448999999798</v>
      </c>
      <c r="AQ127">
        <v>-0.42401457999999898</v>
      </c>
      <c r="AR127">
        <v>-0.42285613</v>
      </c>
      <c r="AS127">
        <v>-0.38927512999999903</v>
      </c>
      <c r="AT127">
        <v>-0.33111152999999999</v>
      </c>
      <c r="AU127">
        <v>-0.31381426000000001</v>
      </c>
      <c r="AV127">
        <v>-0.31240742999999999</v>
      </c>
      <c r="AW127">
        <v>-0.29564854000000002</v>
      </c>
    </row>
    <row r="128" spans="2:50" x14ac:dyDescent="0.25">
      <c r="B128" t="s">
        <v>200</v>
      </c>
      <c r="C128">
        <v>97.300564634779803</v>
      </c>
      <c r="D128">
        <v>98.862756672750606</v>
      </c>
      <c r="E128">
        <v>100</v>
      </c>
      <c r="F128">
        <v>103.57828002876801</v>
      </c>
      <c r="G128">
        <v>103.94295559435599</v>
      </c>
      <c r="H128">
        <v>100.319309377523</v>
      </c>
      <c r="I128">
        <v>102.817635012598</v>
      </c>
      <c r="J128">
        <v>105.184856458393</v>
      </c>
      <c r="K128">
        <v>105.858610677339</v>
      </c>
      <c r="L128">
        <v>106.17363593078301</v>
      </c>
      <c r="M128">
        <v>107.32305107726501</v>
      </c>
      <c r="N128">
        <v>108.37158531915</v>
      </c>
      <c r="O128">
        <v>109.879661462687</v>
      </c>
      <c r="P128">
        <v>112.971983594137</v>
      </c>
      <c r="Q128">
        <v>115.55881770884299</v>
      </c>
      <c r="R128">
        <v>118.051268380243</v>
      </c>
      <c r="S128">
        <v>118.942088035193</v>
      </c>
      <c r="T128">
        <v>121.408501900396</v>
      </c>
      <c r="U128">
        <v>122.404409445672</v>
      </c>
      <c r="V128">
        <v>124.70176516232399</v>
      </c>
      <c r="W128">
        <v>126.562489512789</v>
      </c>
      <c r="X128">
        <v>127.74284536398299</v>
      </c>
      <c r="Y128">
        <v>128.59683929143901</v>
      </c>
      <c r="Z128">
        <v>129.82025912876799</v>
      </c>
      <c r="AA128">
        <v>131.11549332785799</v>
      </c>
      <c r="AB128">
        <v>132.20960438774699</v>
      </c>
      <c r="AC128">
        <v>133.260820632356</v>
      </c>
      <c r="AD128">
        <v>134.69826533188899</v>
      </c>
      <c r="AE128">
        <v>136.110206080073</v>
      </c>
      <c r="AF128">
        <v>137.513005822266</v>
      </c>
      <c r="AG128">
        <v>138.81021505218601</v>
      </c>
      <c r="AH128">
        <v>140.22394476548899</v>
      </c>
      <c r="AI128">
        <v>142.004973748737</v>
      </c>
      <c r="AJ128">
        <v>143.86318104361899</v>
      </c>
      <c r="AK128">
        <v>145.72936876795899</v>
      </c>
      <c r="AL128">
        <v>147.67985893098</v>
      </c>
      <c r="AM128">
        <v>149.58364548917501</v>
      </c>
      <c r="AN128">
        <v>151.87922507857499</v>
      </c>
      <c r="AO128">
        <v>154.12648554817301</v>
      </c>
      <c r="AP128">
        <v>156.365236623729</v>
      </c>
      <c r="AQ128">
        <v>158.62472118813201</v>
      </c>
      <c r="AR128">
        <v>160.80039020802701</v>
      </c>
      <c r="AS128">
        <v>162.782896399962</v>
      </c>
      <c r="AT128">
        <v>164.88211264222801</v>
      </c>
      <c r="AU128">
        <v>167.06311043290501</v>
      </c>
      <c r="AV128">
        <v>169.26694184299501</v>
      </c>
      <c r="AW128">
        <v>171.52938728638799</v>
      </c>
      <c r="AX128">
        <v>178.52723229718001</v>
      </c>
    </row>
    <row r="129" spans="2:50" x14ac:dyDescent="0.25">
      <c r="B129" t="s">
        <v>534</v>
      </c>
      <c r="C129" s="39">
        <v>0</v>
      </c>
      <c r="D129" s="39">
        <v>0</v>
      </c>
      <c r="E129" s="39">
        <v>0</v>
      </c>
      <c r="F129" s="39">
        <v>0</v>
      </c>
      <c r="G129" s="39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-0.12528248852240401</v>
      </c>
      <c r="T129" s="39">
        <v>-0.27574143204488399</v>
      </c>
      <c r="U129" s="39">
        <v>-0.430965647074743</v>
      </c>
      <c r="V129" s="39">
        <v>-1.0632680342370999</v>
      </c>
      <c r="W129">
        <v>-4.0675539149887401</v>
      </c>
      <c r="X129">
        <v>-7.1766629773937698</v>
      </c>
      <c r="Y129">
        <v>-10.4958354447219</v>
      </c>
      <c r="Z129">
        <v>-13.9991648451595</v>
      </c>
      <c r="AA129">
        <v>-17.557421544835901</v>
      </c>
      <c r="AB129">
        <v>-21.342527331501898</v>
      </c>
      <c r="AC129">
        <v>-25.1224195359909</v>
      </c>
      <c r="AD129">
        <v>-29.629371690175301</v>
      </c>
      <c r="AE129">
        <v>-34.052072687735901</v>
      </c>
      <c r="AF129">
        <v>-38.435507794424304</v>
      </c>
      <c r="AG129">
        <v>-42.103395844366297</v>
      </c>
      <c r="AH129">
        <v>-45.735354356054799</v>
      </c>
      <c r="AI129">
        <v>-49.628811051168803</v>
      </c>
      <c r="AJ129">
        <v>-53.498890435572903</v>
      </c>
      <c r="AK129">
        <v>-57.405034174786401</v>
      </c>
      <c r="AL129">
        <v>-59.329037782417501</v>
      </c>
      <c r="AM129">
        <v>-61.520441388493602</v>
      </c>
      <c r="AN129">
        <v>-64.340161059944506</v>
      </c>
      <c r="AO129">
        <v>-67.236117662553696</v>
      </c>
      <c r="AP129">
        <v>-70.184617369226899</v>
      </c>
      <c r="AQ129">
        <v>-73.204088503850897</v>
      </c>
      <c r="AR129">
        <v>-76.371885561601701</v>
      </c>
      <c r="AS129">
        <v>-76.642682710890995</v>
      </c>
      <c r="AT129">
        <v>-76.909431378273695</v>
      </c>
      <c r="AU129">
        <v>-77.176275264104106</v>
      </c>
      <c r="AV129">
        <v>-77.454756488833695</v>
      </c>
      <c r="AW129">
        <v>-77.745261538847799</v>
      </c>
    </row>
    <row r="130" spans="2:50" x14ac:dyDescent="0.25">
      <c r="B130" t="s">
        <v>201</v>
      </c>
      <c r="C130">
        <v>96.839727751649406</v>
      </c>
      <c r="D130">
        <v>98.394520904399599</v>
      </c>
      <c r="E130">
        <v>100</v>
      </c>
      <c r="F130">
        <v>99.979277794635095</v>
      </c>
      <c r="G130">
        <v>95.524211198048107</v>
      </c>
      <c r="H130">
        <v>90.934018551571</v>
      </c>
      <c r="I130">
        <v>89.800575880177405</v>
      </c>
      <c r="J130">
        <v>87.731743721442598</v>
      </c>
      <c r="K130">
        <v>84.543830055630195</v>
      </c>
      <c r="L130">
        <v>82.526266218607205</v>
      </c>
      <c r="M130">
        <v>81.848299470036196</v>
      </c>
      <c r="N130">
        <v>81.978969159004805</v>
      </c>
      <c r="O130">
        <v>80.010819772596193</v>
      </c>
      <c r="P130">
        <v>78.235418820972498</v>
      </c>
      <c r="Q130">
        <v>75.292928020954193</v>
      </c>
      <c r="R130">
        <v>73.386453426621102</v>
      </c>
      <c r="S130">
        <v>71.319696790200993</v>
      </c>
      <c r="T130">
        <v>70.355145738363802</v>
      </c>
      <c r="U130">
        <v>68.993852754986193</v>
      </c>
      <c r="V130">
        <v>67.6587472402624</v>
      </c>
      <c r="W130">
        <v>65.627637101165405</v>
      </c>
      <c r="X130">
        <v>63.131450512395098</v>
      </c>
      <c r="Y130">
        <v>60.426470533131997</v>
      </c>
      <c r="Z130">
        <v>57.943045074781999</v>
      </c>
      <c r="AA130">
        <v>55.546131313524597</v>
      </c>
      <c r="AB130">
        <v>53.0818522874359</v>
      </c>
      <c r="AC130">
        <v>50.685765634344101</v>
      </c>
      <c r="AD130">
        <v>47.404780684688902</v>
      </c>
      <c r="AE130">
        <v>44.215690670832601</v>
      </c>
      <c r="AF130">
        <v>41.093648336486602</v>
      </c>
      <c r="AG130">
        <v>38.492378391184801</v>
      </c>
      <c r="AH130">
        <v>35.941975470988403</v>
      </c>
      <c r="AI130">
        <v>33.318346641077497</v>
      </c>
      <c r="AJ130">
        <v>30.727410776556901</v>
      </c>
      <c r="AK130">
        <v>28.130657497573999</v>
      </c>
      <c r="AL130">
        <v>26.855838849669201</v>
      </c>
      <c r="AM130">
        <v>25.407524068716398</v>
      </c>
      <c r="AN130">
        <v>23.490124978345101</v>
      </c>
      <c r="AO130">
        <v>21.533589759908502</v>
      </c>
      <c r="AP130">
        <v>19.546314276403599</v>
      </c>
      <c r="AQ130">
        <v>17.521970585433301</v>
      </c>
      <c r="AR130">
        <v>15.405798964661299</v>
      </c>
      <c r="AS130">
        <v>15.258723594354301</v>
      </c>
      <c r="AT130">
        <v>15.1212387924206</v>
      </c>
      <c r="AU130">
        <v>14.9831585289852</v>
      </c>
      <c r="AV130">
        <v>14.8358360474923</v>
      </c>
      <c r="AW130">
        <v>14.686814337811899</v>
      </c>
      <c r="AX130">
        <v>9.0244863084901095</v>
      </c>
    </row>
    <row r="131" spans="2:50" x14ac:dyDescent="0.25">
      <c r="B131" t="s">
        <v>202</v>
      </c>
      <c r="C131">
        <v>651205.12405279896</v>
      </c>
      <c r="D131">
        <v>661660.432957732</v>
      </c>
      <c r="E131">
        <v>672283.60519999999</v>
      </c>
      <c r="F131">
        <v>690924.66559999995</v>
      </c>
      <c r="G131">
        <v>678581.71100000001</v>
      </c>
      <c r="H131">
        <v>619435.65870000003</v>
      </c>
      <c r="I131">
        <v>636180.69220000005</v>
      </c>
      <c r="J131">
        <v>653802.57869999995</v>
      </c>
      <c r="K131">
        <v>644454.95090000005</v>
      </c>
      <c r="L131">
        <v>636957.33299999998</v>
      </c>
      <c r="M131">
        <v>640329.71609999996</v>
      </c>
      <c r="N131">
        <v>649163.82010000001</v>
      </c>
      <c r="O131">
        <v>659683.12349999999</v>
      </c>
      <c r="P131">
        <v>687399.4203</v>
      </c>
      <c r="Q131">
        <v>700150.70160000003</v>
      </c>
      <c r="R131">
        <v>714944.25320000004</v>
      </c>
      <c r="S131">
        <v>715899.26130000001</v>
      </c>
      <c r="T131">
        <v>732700.94389999995</v>
      </c>
      <c r="U131">
        <v>738206.49</v>
      </c>
      <c r="V131">
        <v>753445.43059999996</v>
      </c>
      <c r="W131">
        <v>805706.84299999999</v>
      </c>
      <c r="X131">
        <v>866957.2611</v>
      </c>
      <c r="Y131">
        <v>939968.91980000003</v>
      </c>
      <c r="Z131">
        <v>1034930.216</v>
      </c>
      <c r="AA131">
        <v>1152679.4539999999</v>
      </c>
      <c r="AB131">
        <v>1294805.4779999999</v>
      </c>
      <c r="AC131">
        <v>1467625.845</v>
      </c>
      <c r="AD131">
        <v>1474392.577</v>
      </c>
      <c r="AE131">
        <v>1481416.199</v>
      </c>
      <c r="AF131">
        <v>1487644.655</v>
      </c>
      <c r="AG131">
        <v>1493352.0260000001</v>
      </c>
      <c r="AH131">
        <v>1499749.2109999999</v>
      </c>
      <c r="AI131">
        <v>1508922.8529999999</v>
      </c>
      <c r="AJ131">
        <v>1518548.6</v>
      </c>
      <c r="AK131">
        <v>1527554.584</v>
      </c>
      <c r="AL131">
        <v>1537275.3370000001</v>
      </c>
      <c r="AM131">
        <v>1545999.65</v>
      </c>
      <c r="AN131">
        <v>1557204.973</v>
      </c>
      <c r="AO131">
        <v>1568272.5789999999</v>
      </c>
      <c r="AP131">
        <v>1579118.8430000001</v>
      </c>
      <c r="AQ131">
        <v>1589971.2039999999</v>
      </c>
      <c r="AR131">
        <v>1600435.52</v>
      </c>
      <c r="AS131">
        <v>1609196.871</v>
      </c>
      <c r="AT131">
        <v>1618316.7890000001</v>
      </c>
      <c r="AU131">
        <v>1627912.9450000001</v>
      </c>
      <c r="AV131">
        <v>1637555.2180000001</v>
      </c>
      <c r="AW131">
        <v>1647258.888</v>
      </c>
    </row>
    <row r="132" spans="2:50" x14ac:dyDescent="0.25">
      <c r="B132" t="s">
        <v>203</v>
      </c>
      <c r="C132">
        <v>11699515.674308199</v>
      </c>
      <c r="D132">
        <v>11887355.182774801</v>
      </c>
      <c r="E132">
        <v>12078210.52</v>
      </c>
      <c r="F132">
        <v>12394208.23</v>
      </c>
      <c r="G132">
        <v>12130936.02</v>
      </c>
      <c r="H132">
        <v>11018218.310000001</v>
      </c>
      <c r="I132">
        <v>11233802.220000001</v>
      </c>
      <c r="J132">
        <v>11656711.98</v>
      </c>
      <c r="K132">
        <v>11446952.24</v>
      </c>
      <c r="L132">
        <v>11263843.59</v>
      </c>
      <c r="M132">
        <v>11300821.92</v>
      </c>
      <c r="N132">
        <v>11409654.07</v>
      </c>
      <c r="O132">
        <v>11619492.98</v>
      </c>
      <c r="P132">
        <v>12136393.41</v>
      </c>
      <c r="Q132">
        <v>12362443.25</v>
      </c>
      <c r="R132">
        <v>12640256.91</v>
      </c>
      <c r="S132">
        <v>12697400.779999999</v>
      </c>
      <c r="T132">
        <v>13186149.800000001</v>
      </c>
      <c r="U132">
        <v>13211005.720000001</v>
      </c>
      <c r="V132">
        <v>13549020.85</v>
      </c>
      <c r="W132">
        <v>13597923.57</v>
      </c>
      <c r="X132">
        <v>13633336.310000001</v>
      </c>
      <c r="Y132">
        <v>13571969.5</v>
      </c>
      <c r="Z132">
        <v>13591944.9</v>
      </c>
      <c r="AA132">
        <v>13616936.800000001</v>
      </c>
      <c r="AB132">
        <v>13611535.52</v>
      </c>
      <c r="AC132">
        <v>13640840.25</v>
      </c>
      <c r="AD132">
        <v>13733872.880000001</v>
      </c>
      <c r="AE132">
        <v>13772371.060000001</v>
      </c>
      <c r="AF132">
        <v>13800250.24</v>
      </c>
      <c r="AG132">
        <v>13824324.890000001</v>
      </c>
      <c r="AH132">
        <v>13878195.529999999</v>
      </c>
      <c r="AI132">
        <v>13960526.16</v>
      </c>
      <c r="AJ132">
        <v>14023351.92</v>
      </c>
      <c r="AK132">
        <v>14101228.68</v>
      </c>
      <c r="AL132">
        <v>14183813.32</v>
      </c>
      <c r="AM132">
        <v>14273899.33</v>
      </c>
      <c r="AN132">
        <v>14437594.27</v>
      </c>
      <c r="AO132">
        <v>14565753.869999999</v>
      </c>
      <c r="AP132">
        <v>14689743.710000001</v>
      </c>
      <c r="AQ132">
        <v>14828284.130000001</v>
      </c>
      <c r="AR132">
        <v>14935742.779999999</v>
      </c>
      <c r="AS132">
        <v>15016460.289999999</v>
      </c>
      <c r="AT132">
        <v>15142708.09</v>
      </c>
      <c r="AU132">
        <v>15276504.300000001</v>
      </c>
      <c r="AV132">
        <v>15409092.869999999</v>
      </c>
      <c r="AW132">
        <v>15567514.710000001</v>
      </c>
    </row>
    <row r="133" spans="2:50" x14ac:dyDescent="0.25">
      <c r="B133" t="s">
        <v>204</v>
      </c>
      <c r="C133">
        <v>12350720.798361</v>
      </c>
      <c r="D133">
        <v>12549015.615732601</v>
      </c>
      <c r="E133">
        <v>12750494.119999999</v>
      </c>
      <c r="F133">
        <v>13085132.9</v>
      </c>
      <c r="G133">
        <v>12809517.73</v>
      </c>
      <c r="H133">
        <v>11637653.970000001</v>
      </c>
      <c r="I133">
        <v>11869982.91</v>
      </c>
      <c r="J133">
        <v>12310514.560000001</v>
      </c>
      <c r="K133">
        <v>12091407.189999999</v>
      </c>
      <c r="L133">
        <v>11900800.92</v>
      </c>
      <c r="M133">
        <v>11941151.640000001</v>
      </c>
      <c r="N133">
        <v>12058817.890000001</v>
      </c>
      <c r="O133">
        <v>12279176.1</v>
      </c>
      <c r="P133">
        <v>12823792.83</v>
      </c>
      <c r="Q133">
        <v>13062593.949999999</v>
      </c>
      <c r="R133">
        <v>13355201.16</v>
      </c>
      <c r="S133">
        <v>13413300.039999999</v>
      </c>
      <c r="T133">
        <v>13918850.74</v>
      </c>
      <c r="U133">
        <v>13949212.210000001</v>
      </c>
      <c r="V133">
        <v>14302466.279999999</v>
      </c>
      <c r="W133">
        <v>14403630.41</v>
      </c>
      <c r="X133">
        <v>14500293.58</v>
      </c>
      <c r="Y133">
        <v>14511938.42</v>
      </c>
      <c r="Z133">
        <v>14626875.109999999</v>
      </c>
      <c r="AA133">
        <v>14769616.25</v>
      </c>
      <c r="AB133">
        <v>14906340.99</v>
      </c>
      <c r="AC133">
        <v>15108466.1</v>
      </c>
      <c r="AD133">
        <v>15208265.449999999</v>
      </c>
      <c r="AE133">
        <v>15253787.26</v>
      </c>
      <c r="AF133">
        <v>15287894.9</v>
      </c>
      <c r="AG133">
        <v>15317676.91</v>
      </c>
      <c r="AH133">
        <v>15377944.74</v>
      </c>
      <c r="AI133">
        <v>15469449.02</v>
      </c>
      <c r="AJ133">
        <v>15541900.52</v>
      </c>
      <c r="AK133">
        <v>15628783.27</v>
      </c>
      <c r="AL133">
        <v>15721088.65</v>
      </c>
      <c r="AM133">
        <v>15819898.98</v>
      </c>
      <c r="AN133">
        <v>15994799.25</v>
      </c>
      <c r="AO133">
        <v>16134026.449999999</v>
      </c>
      <c r="AP133">
        <v>16268862.550000001</v>
      </c>
      <c r="AQ133">
        <v>16418255.33</v>
      </c>
      <c r="AR133">
        <v>16536178.300000001</v>
      </c>
      <c r="AS133">
        <v>16625657.16</v>
      </c>
      <c r="AT133">
        <v>16761024.880000001</v>
      </c>
      <c r="AU133">
        <v>16904417.25</v>
      </c>
      <c r="AV133">
        <v>17046648.09</v>
      </c>
      <c r="AW133">
        <v>17214773.600000001</v>
      </c>
    </row>
    <row r="134" spans="2:50" x14ac:dyDescent="0.25">
      <c r="B134" t="s">
        <v>205</v>
      </c>
      <c r="C134">
        <v>144913116.15770999</v>
      </c>
      <c r="D134">
        <v>147239743.11109701</v>
      </c>
      <c r="E134">
        <v>149603724.80000001</v>
      </c>
      <c r="F134">
        <v>147490223.90000001</v>
      </c>
      <c r="G134">
        <v>143891247.80000001</v>
      </c>
      <c r="H134">
        <v>143648665.59999999</v>
      </c>
      <c r="I134">
        <v>141512996</v>
      </c>
      <c r="J134">
        <v>138671910</v>
      </c>
      <c r="K134">
        <v>135046885.90000001</v>
      </c>
      <c r="L134">
        <v>132314374.8</v>
      </c>
      <c r="M134">
        <v>130177788</v>
      </c>
      <c r="N134">
        <v>128780414.40000001</v>
      </c>
      <c r="O134">
        <v>128800159.2</v>
      </c>
      <c r="P134">
        <v>128135019.40000001</v>
      </c>
      <c r="Q134">
        <v>126265888.2</v>
      </c>
      <c r="R134">
        <v>125321985.7</v>
      </c>
      <c r="S134">
        <v>123363268</v>
      </c>
      <c r="T134">
        <v>119742919.59999999</v>
      </c>
      <c r="U134">
        <v>116037394.90000001</v>
      </c>
      <c r="V134">
        <v>111479793.90000001</v>
      </c>
      <c r="W134">
        <v>108552918</v>
      </c>
      <c r="X134">
        <v>105281348.2</v>
      </c>
      <c r="Y134">
        <v>101314657.90000001</v>
      </c>
      <c r="Z134">
        <v>96840392.260000005</v>
      </c>
      <c r="AA134">
        <v>92120842.129999995</v>
      </c>
      <c r="AB134">
        <v>86962521.650000006</v>
      </c>
      <c r="AC134">
        <v>81718239.120000005</v>
      </c>
      <c r="AD134">
        <v>74842504.469999999</v>
      </c>
      <c r="AE134">
        <v>68116398.340000004</v>
      </c>
      <c r="AF134">
        <v>61619644.590000004</v>
      </c>
      <c r="AG134">
        <v>56065339.780000001</v>
      </c>
      <c r="AH134">
        <v>50716131.829999998</v>
      </c>
      <c r="AI134">
        <v>45467231.310000002</v>
      </c>
      <c r="AJ134">
        <v>40462243.82</v>
      </c>
      <c r="AK134">
        <v>35636615.649999999</v>
      </c>
      <c r="AL134">
        <v>32860789.23</v>
      </c>
      <c r="AM134">
        <v>30042990.890000001</v>
      </c>
      <c r="AN134">
        <v>26347661.649999999</v>
      </c>
      <c r="AO134">
        <v>22782427.93</v>
      </c>
      <c r="AP134">
        <v>19348207.93</v>
      </c>
      <c r="AQ134">
        <v>16022171.140000001</v>
      </c>
      <c r="AR134">
        <v>12735848.83</v>
      </c>
      <c r="AS134">
        <v>12264851.98</v>
      </c>
      <c r="AT134">
        <v>11817022.300000001</v>
      </c>
      <c r="AU134">
        <v>11387660.119999999</v>
      </c>
      <c r="AV134">
        <v>10969032.52</v>
      </c>
      <c r="AW134">
        <v>10560574.119999999</v>
      </c>
    </row>
    <row r="135" spans="2:50" x14ac:dyDescent="0.25">
      <c r="B135" t="s">
        <v>206</v>
      </c>
      <c r="C135">
        <v>1098851.8998263199</v>
      </c>
      <c r="D135">
        <v>1116494.32251175</v>
      </c>
      <c r="E135">
        <v>1134420</v>
      </c>
      <c r="F135">
        <v>1128009.6240000001</v>
      </c>
      <c r="G135">
        <v>1118991.878</v>
      </c>
      <c r="H135">
        <v>1108801.8049999999</v>
      </c>
      <c r="I135">
        <v>1105157.8799999999</v>
      </c>
      <c r="J135">
        <v>1101238.4839999999</v>
      </c>
      <c r="K135">
        <v>1093228.6629999999</v>
      </c>
      <c r="L135">
        <v>1080502.6440000001</v>
      </c>
      <c r="M135">
        <v>1068008.2609999999</v>
      </c>
      <c r="N135">
        <v>1059967.4609999999</v>
      </c>
      <c r="O135">
        <v>1061287.919</v>
      </c>
      <c r="P135">
        <v>1066182.5519999999</v>
      </c>
      <c r="Q135">
        <v>1067599.8899999999</v>
      </c>
      <c r="R135">
        <v>1056204.17</v>
      </c>
      <c r="S135">
        <v>1040260.799</v>
      </c>
      <c r="T135">
        <v>1018426.334</v>
      </c>
      <c r="U135">
        <v>995829.38890000002</v>
      </c>
      <c r="V135">
        <v>973074.29590000003</v>
      </c>
      <c r="W135">
        <v>950050.00659999996</v>
      </c>
      <c r="X135">
        <v>922243.446</v>
      </c>
      <c r="Y135">
        <v>891581.71290000004</v>
      </c>
      <c r="Z135">
        <v>861048.42909999995</v>
      </c>
      <c r="AA135">
        <v>832128.41819999996</v>
      </c>
      <c r="AB135">
        <v>805261.78269999998</v>
      </c>
      <c r="AC135">
        <v>778684.72849999997</v>
      </c>
      <c r="AD135">
        <v>751568.10190000001</v>
      </c>
      <c r="AE135">
        <v>725713.81929999997</v>
      </c>
      <c r="AF135">
        <v>701762.37109999999</v>
      </c>
      <c r="AG135">
        <v>679585.77540000004</v>
      </c>
      <c r="AH135">
        <v>659056.4852</v>
      </c>
      <c r="AI135">
        <v>640153.3591</v>
      </c>
      <c r="AJ135">
        <v>622759.51580000005</v>
      </c>
      <c r="AK135">
        <v>606797.71580000001</v>
      </c>
      <c r="AL135">
        <v>591860.26560000004</v>
      </c>
      <c r="AM135">
        <v>576597.11060000001</v>
      </c>
      <c r="AN135">
        <v>561264.30130000005</v>
      </c>
      <c r="AO135">
        <v>546591.70149999997</v>
      </c>
      <c r="AP135">
        <v>532771.13500000001</v>
      </c>
      <c r="AQ135">
        <v>519861.51890000002</v>
      </c>
      <c r="AR135">
        <v>507863.74810000003</v>
      </c>
      <c r="AS135">
        <v>496482.29149999999</v>
      </c>
      <c r="AT135">
        <v>484868.62969999999</v>
      </c>
      <c r="AU135">
        <v>472803.38459999999</v>
      </c>
      <c r="AV135">
        <v>460280.52789999999</v>
      </c>
      <c r="AW135">
        <v>447448.48560000001</v>
      </c>
    </row>
    <row r="136" spans="2:50" x14ac:dyDescent="0.25">
      <c r="B136" t="s">
        <v>207</v>
      </c>
      <c r="C136">
        <v>1098851.8998263199</v>
      </c>
      <c r="D136">
        <v>1116494.32251175</v>
      </c>
      <c r="E136">
        <v>1134420</v>
      </c>
      <c r="F136">
        <v>1128009.6240000001</v>
      </c>
      <c r="G136">
        <v>1118991.878</v>
      </c>
      <c r="H136">
        <v>1108801.8049999999</v>
      </c>
      <c r="I136">
        <v>1105157.8799999999</v>
      </c>
      <c r="J136">
        <v>1101238.4839999999</v>
      </c>
      <c r="K136">
        <v>1093228.6629999999</v>
      </c>
      <c r="L136">
        <v>1080502.6440000001</v>
      </c>
      <c r="M136">
        <v>1068008.2609999999</v>
      </c>
      <c r="N136">
        <v>1059967.4609999999</v>
      </c>
      <c r="O136">
        <v>1061287.919</v>
      </c>
      <c r="P136">
        <v>1066182.5519999999</v>
      </c>
      <c r="Q136">
        <v>1067599.8899999999</v>
      </c>
      <c r="R136">
        <v>1056204.17</v>
      </c>
      <c r="S136">
        <v>1040260.799</v>
      </c>
      <c r="T136">
        <v>1018426.334</v>
      </c>
      <c r="U136">
        <v>995829.38890000002</v>
      </c>
      <c r="V136">
        <v>973074.29590000003</v>
      </c>
      <c r="W136">
        <v>950050.00659999996</v>
      </c>
      <c r="X136">
        <v>922243.446</v>
      </c>
      <c r="Y136">
        <v>891581.71290000004</v>
      </c>
      <c r="Z136">
        <v>861048.42909999995</v>
      </c>
      <c r="AA136">
        <v>832128.41819999996</v>
      </c>
      <c r="AB136">
        <v>805261.78269999998</v>
      </c>
      <c r="AC136">
        <v>778684.72849999997</v>
      </c>
      <c r="AD136">
        <v>751568.10190000001</v>
      </c>
      <c r="AE136">
        <v>725713.81929999997</v>
      </c>
      <c r="AF136">
        <v>701762.37109999999</v>
      </c>
      <c r="AG136">
        <v>679585.77540000004</v>
      </c>
      <c r="AH136">
        <v>659056.4852</v>
      </c>
      <c r="AI136">
        <v>640153.3591</v>
      </c>
      <c r="AJ136">
        <v>622759.51580000005</v>
      </c>
      <c r="AK136">
        <v>606797.71580000001</v>
      </c>
      <c r="AL136">
        <v>591860.26560000004</v>
      </c>
      <c r="AM136">
        <v>576597.11060000001</v>
      </c>
      <c r="AN136">
        <v>561264.30130000005</v>
      </c>
      <c r="AO136">
        <v>546591.70149999997</v>
      </c>
      <c r="AP136">
        <v>532771.13500000001</v>
      </c>
      <c r="AQ136">
        <v>519861.51890000002</v>
      </c>
      <c r="AR136">
        <v>507863.74810000003</v>
      </c>
      <c r="AS136">
        <v>496482.29149999999</v>
      </c>
      <c r="AT136">
        <v>484868.62969999999</v>
      </c>
      <c r="AU136">
        <v>472803.38459999999</v>
      </c>
      <c r="AV136">
        <v>460280.52789999999</v>
      </c>
      <c r="AW136">
        <v>447448.48560000001</v>
      </c>
    </row>
    <row r="137" spans="2:50" x14ac:dyDescent="0.25">
      <c r="B137" t="s">
        <v>208</v>
      </c>
      <c r="C137">
        <v>105875266.531468</v>
      </c>
      <c r="D137">
        <v>107575128.18195701</v>
      </c>
      <c r="E137">
        <v>109302281.7</v>
      </c>
      <c r="F137">
        <v>107871248.5</v>
      </c>
      <c r="G137">
        <v>105503667.09999999</v>
      </c>
      <c r="H137">
        <v>106279159</v>
      </c>
      <c r="I137">
        <v>104322228.2</v>
      </c>
      <c r="J137">
        <v>102368483.40000001</v>
      </c>
      <c r="K137">
        <v>100280999.59999999</v>
      </c>
      <c r="L137">
        <v>98711941.849999994</v>
      </c>
      <c r="M137">
        <v>97311404.890000001</v>
      </c>
      <c r="N137">
        <v>96357513.25</v>
      </c>
      <c r="O137">
        <v>95692683.579999998</v>
      </c>
      <c r="P137">
        <v>94916393.400000006</v>
      </c>
      <c r="Q137">
        <v>93997721.709999904</v>
      </c>
      <c r="R137">
        <v>93814378.469999999</v>
      </c>
      <c r="S137">
        <v>92434704.430000007</v>
      </c>
      <c r="T137">
        <v>90678853.719999999</v>
      </c>
      <c r="U137">
        <v>88471260.090000004</v>
      </c>
      <c r="V137">
        <v>85374568.739999995</v>
      </c>
      <c r="W137">
        <v>82759705.530000001</v>
      </c>
      <c r="X137">
        <v>80287813.349999994</v>
      </c>
      <c r="Y137">
        <v>77692430.640000001</v>
      </c>
      <c r="Z137">
        <v>74562431.069999903</v>
      </c>
      <c r="AA137">
        <v>71160580.829999998</v>
      </c>
      <c r="AB137">
        <v>67503009.359999999</v>
      </c>
      <c r="AC137">
        <v>63669674.909999996</v>
      </c>
      <c r="AD137">
        <v>58821822.140000001</v>
      </c>
      <c r="AE137">
        <v>54021146.039999999</v>
      </c>
      <c r="AF137">
        <v>49332664.560000002</v>
      </c>
      <c r="AG137">
        <v>44852056.670000002</v>
      </c>
      <c r="AH137">
        <v>40521434.899999999</v>
      </c>
      <c r="AI137">
        <v>36247329.600000001</v>
      </c>
      <c r="AJ137">
        <v>32155535.239999998</v>
      </c>
      <c r="AK137">
        <v>28197982.760000002</v>
      </c>
      <c r="AL137">
        <v>24477348.82</v>
      </c>
      <c r="AM137">
        <v>20795509.140000001</v>
      </c>
      <c r="AN137">
        <v>18377926.59</v>
      </c>
      <c r="AO137">
        <v>16061119.58</v>
      </c>
      <c r="AP137">
        <v>13827800.949999999</v>
      </c>
      <c r="AQ137">
        <v>11657763.060000001</v>
      </c>
      <c r="AR137">
        <v>9492105.3220000006</v>
      </c>
      <c r="AS137">
        <v>8634747.2789999899</v>
      </c>
      <c r="AT137">
        <v>7825202.4630000005</v>
      </c>
      <c r="AU137">
        <v>7063811.3310000002</v>
      </c>
      <c r="AV137">
        <v>6343988.8609999996</v>
      </c>
      <c r="AW137">
        <v>5662327.0650000004</v>
      </c>
    </row>
    <row r="138" spans="2:50" x14ac:dyDescent="0.25">
      <c r="B138" t="s">
        <v>209</v>
      </c>
      <c r="C138">
        <v>105875266.531468</v>
      </c>
      <c r="D138">
        <v>107575128.18195701</v>
      </c>
      <c r="E138">
        <v>109302281.7</v>
      </c>
      <c r="F138">
        <v>107871248.5</v>
      </c>
      <c r="G138">
        <v>105503667.09999999</v>
      </c>
      <c r="H138">
        <v>106279159</v>
      </c>
      <c r="I138">
        <v>104322228.2</v>
      </c>
      <c r="J138">
        <v>102368483.40000001</v>
      </c>
      <c r="K138">
        <v>100280999.59999999</v>
      </c>
      <c r="L138">
        <v>98711941.849999994</v>
      </c>
      <c r="M138">
        <v>97311404.890000001</v>
      </c>
      <c r="N138">
        <v>96357513.25</v>
      </c>
      <c r="O138">
        <v>95692683.579999998</v>
      </c>
      <c r="P138">
        <v>94916393.400000006</v>
      </c>
      <c r="Q138">
        <v>93997721.709999904</v>
      </c>
      <c r="R138">
        <v>93814378.469999999</v>
      </c>
      <c r="S138">
        <v>92434704.430000007</v>
      </c>
      <c r="T138">
        <v>90678853.719999999</v>
      </c>
      <c r="U138">
        <v>88471260.090000004</v>
      </c>
      <c r="V138">
        <v>85374568.739999995</v>
      </c>
      <c r="W138">
        <v>82759705.530000001</v>
      </c>
      <c r="X138">
        <v>80287813.349999994</v>
      </c>
      <c r="Y138">
        <v>77692430.640000001</v>
      </c>
      <c r="Z138">
        <v>74562431.069999903</v>
      </c>
      <c r="AA138">
        <v>71160580.829999998</v>
      </c>
      <c r="AB138">
        <v>67503009.359999999</v>
      </c>
      <c r="AC138">
        <v>63669674.909999996</v>
      </c>
      <c r="AD138">
        <v>58821822.140000001</v>
      </c>
      <c r="AE138">
        <v>54021146.039999999</v>
      </c>
      <c r="AF138">
        <v>49332664.560000002</v>
      </c>
      <c r="AG138">
        <v>44852056.670000002</v>
      </c>
      <c r="AH138">
        <v>40521434.899999999</v>
      </c>
      <c r="AI138">
        <v>36247329.600000001</v>
      </c>
      <c r="AJ138">
        <v>32155535.239999998</v>
      </c>
      <c r="AK138">
        <v>28197982.760000002</v>
      </c>
      <c r="AL138">
        <v>24477348.82</v>
      </c>
      <c r="AM138">
        <v>20795509.140000001</v>
      </c>
      <c r="AN138">
        <v>18377926.59</v>
      </c>
      <c r="AO138">
        <v>16061119.58</v>
      </c>
      <c r="AP138">
        <v>13827800.949999999</v>
      </c>
      <c r="AQ138">
        <v>11657763.060000001</v>
      </c>
      <c r="AR138">
        <v>9492105.3220000006</v>
      </c>
      <c r="AS138">
        <v>8634747.2789999899</v>
      </c>
      <c r="AT138">
        <v>7825202.4630000005</v>
      </c>
      <c r="AU138">
        <v>7063811.3310000002</v>
      </c>
      <c r="AV138">
        <v>6343988.8609999996</v>
      </c>
      <c r="AW138">
        <v>5662327.0650000004</v>
      </c>
    </row>
    <row r="139" spans="2:50" x14ac:dyDescent="0.25">
      <c r="B139" t="s">
        <v>210</v>
      </c>
      <c r="C139">
        <v>37938997.726415001</v>
      </c>
      <c r="D139">
        <v>38548120.6066292</v>
      </c>
      <c r="E139">
        <v>39167023.149999999</v>
      </c>
      <c r="F139">
        <v>38490965.710000001</v>
      </c>
      <c r="G139">
        <v>37268588.810000002</v>
      </c>
      <c r="H139">
        <v>36260704.810000002</v>
      </c>
      <c r="I139">
        <v>36085609.909999996</v>
      </c>
      <c r="J139">
        <v>35202188.079999998</v>
      </c>
      <c r="K139">
        <v>33672657.579999998</v>
      </c>
      <c r="L139">
        <v>32521930.32</v>
      </c>
      <c r="M139">
        <v>31798374.809999999</v>
      </c>
      <c r="N139">
        <v>31362933.690000001</v>
      </c>
      <c r="O139">
        <v>32046187.690000001</v>
      </c>
      <c r="P139">
        <v>32152443.449999999</v>
      </c>
      <c r="Q139">
        <v>31200566.600000001</v>
      </c>
      <c r="R139">
        <v>30451403.100000001</v>
      </c>
      <c r="S139">
        <v>29888302.789999999</v>
      </c>
      <c r="T139">
        <v>28045639.579999998</v>
      </c>
      <c r="U139">
        <v>26570305.469999999</v>
      </c>
      <c r="V139">
        <v>25132150.870000001</v>
      </c>
      <c r="W139">
        <v>24843162.48</v>
      </c>
      <c r="X139">
        <v>24071291.399999999</v>
      </c>
      <c r="Y139">
        <v>22730645.550000001</v>
      </c>
      <c r="Z139">
        <v>21416912.760000002</v>
      </c>
      <c r="AA139">
        <v>20128132.879999999</v>
      </c>
      <c r="AB139">
        <v>18654250.5</v>
      </c>
      <c r="AC139">
        <v>17269879.48</v>
      </c>
      <c r="AD139">
        <v>15269114.23</v>
      </c>
      <c r="AE139">
        <v>13369538.48</v>
      </c>
      <c r="AF139">
        <v>11585217.66</v>
      </c>
      <c r="AG139">
        <v>10533697.34</v>
      </c>
      <c r="AH139">
        <v>9535640.4470000006</v>
      </c>
      <c r="AI139">
        <v>8579748.3570000008</v>
      </c>
      <c r="AJ139">
        <v>7683949.068</v>
      </c>
      <c r="AK139">
        <v>6831835.1770000001</v>
      </c>
      <c r="AL139">
        <v>7791580.1399999997</v>
      </c>
      <c r="AM139">
        <v>8670884.6390000004</v>
      </c>
      <c r="AN139">
        <v>7408470.7589999996</v>
      </c>
      <c r="AO139">
        <v>6174716.6409999998</v>
      </c>
      <c r="AP139">
        <v>4987635.841</v>
      </c>
      <c r="AQ139">
        <v>3844546.5600000001</v>
      </c>
      <c r="AR139">
        <v>2735879.7620000001</v>
      </c>
      <c r="AS139">
        <v>3133622.4130000002</v>
      </c>
      <c r="AT139">
        <v>3506951.2080000001</v>
      </c>
      <c r="AU139">
        <v>3851045.3990000002</v>
      </c>
      <c r="AV139">
        <v>4164763.1349999998</v>
      </c>
      <c r="AW139">
        <v>4450798.57</v>
      </c>
    </row>
    <row r="140" spans="2:50" x14ac:dyDescent="0.25">
      <c r="B140" t="s">
        <v>211</v>
      </c>
      <c r="C140">
        <v>37938997.726415001</v>
      </c>
      <c r="D140">
        <v>38548120.6066292</v>
      </c>
      <c r="E140">
        <v>39167023.149999999</v>
      </c>
      <c r="F140">
        <v>38490965.710000001</v>
      </c>
      <c r="G140">
        <v>37268588.810000002</v>
      </c>
      <c r="H140">
        <v>36260704.810000002</v>
      </c>
      <c r="I140">
        <v>36085609.909999996</v>
      </c>
      <c r="J140">
        <v>35202188.079999998</v>
      </c>
      <c r="K140">
        <v>33672657.579999998</v>
      </c>
      <c r="L140">
        <v>32521930.32</v>
      </c>
      <c r="M140">
        <v>31798374.809999999</v>
      </c>
      <c r="N140">
        <v>31362933.690000001</v>
      </c>
      <c r="O140">
        <v>32046187.690000001</v>
      </c>
      <c r="P140">
        <v>32152443.449999999</v>
      </c>
      <c r="Q140">
        <v>31200566.600000001</v>
      </c>
      <c r="R140">
        <v>30451403.100000001</v>
      </c>
      <c r="S140">
        <v>29888302.789999999</v>
      </c>
      <c r="T140">
        <v>28045639.579999998</v>
      </c>
      <c r="U140">
        <v>26570305.469999999</v>
      </c>
      <c r="V140">
        <v>25132150.870000001</v>
      </c>
      <c r="W140">
        <v>24843162.48</v>
      </c>
      <c r="X140">
        <v>24071291.399999999</v>
      </c>
      <c r="Y140">
        <v>22730645.550000001</v>
      </c>
      <c r="Z140">
        <v>21416912.760000002</v>
      </c>
      <c r="AA140">
        <v>20128132.879999999</v>
      </c>
      <c r="AB140">
        <v>18654250.5</v>
      </c>
      <c r="AC140">
        <v>17269879.48</v>
      </c>
      <c r="AD140">
        <v>15269114.23</v>
      </c>
      <c r="AE140">
        <v>13369538.48</v>
      </c>
      <c r="AF140">
        <v>11585217.66</v>
      </c>
      <c r="AG140">
        <v>10533697.34</v>
      </c>
      <c r="AH140">
        <v>9535640.4470000006</v>
      </c>
      <c r="AI140">
        <v>8579748.3570000008</v>
      </c>
      <c r="AJ140">
        <v>7683949.068</v>
      </c>
      <c r="AK140">
        <v>6831835.1770000001</v>
      </c>
      <c r="AL140">
        <v>7791580.1399999997</v>
      </c>
      <c r="AM140">
        <v>8670884.6390000004</v>
      </c>
      <c r="AN140">
        <v>7408470.7589999996</v>
      </c>
      <c r="AO140">
        <v>6174716.6409999998</v>
      </c>
      <c r="AP140">
        <v>4987635.841</v>
      </c>
      <c r="AQ140">
        <v>3844546.5600000001</v>
      </c>
      <c r="AR140">
        <v>2735879.7620000001</v>
      </c>
      <c r="AS140">
        <v>3133622.4130000002</v>
      </c>
      <c r="AT140">
        <v>3506951.2080000001</v>
      </c>
      <c r="AU140">
        <v>3851045.3990000002</v>
      </c>
      <c r="AV140">
        <v>4164763.1349999998</v>
      </c>
      <c r="AW140">
        <v>4450798.57</v>
      </c>
    </row>
    <row r="141" spans="2:50" x14ac:dyDescent="0.25">
      <c r="B141" t="s">
        <v>212</v>
      </c>
      <c r="C141">
        <v>7249974.6999914004</v>
      </c>
      <c r="D141">
        <v>7366375.3888705196</v>
      </c>
      <c r="E141">
        <v>7487365.2489999998</v>
      </c>
      <c r="F141">
        <v>7688022.523</v>
      </c>
      <c r="G141">
        <v>7315120.3969999999</v>
      </c>
      <c r="H141">
        <v>7647036.2960000001</v>
      </c>
      <c r="I141">
        <v>7855161.0499999998</v>
      </c>
      <c r="J141">
        <v>7420166.3470000001</v>
      </c>
      <c r="K141">
        <v>7117291.9859999996</v>
      </c>
      <c r="L141">
        <v>6894491.0180000002</v>
      </c>
      <c r="M141">
        <v>7340422.6600000001</v>
      </c>
      <c r="N141">
        <v>7787349.9840000002</v>
      </c>
      <c r="O141">
        <v>8046585.574</v>
      </c>
      <c r="P141">
        <v>8091127.6950000003</v>
      </c>
      <c r="Q141">
        <v>7529435.8420000002</v>
      </c>
      <c r="R141">
        <v>7517047.2510000002</v>
      </c>
      <c r="S141">
        <v>7560475.517</v>
      </c>
      <c r="T141">
        <v>7595221.0530000003</v>
      </c>
      <c r="U141">
        <v>7602776.1270000003</v>
      </c>
      <c r="V141">
        <v>7639649.1409999998</v>
      </c>
      <c r="W141">
        <v>7603021.517</v>
      </c>
      <c r="X141">
        <v>7494940.5080000004</v>
      </c>
      <c r="Y141">
        <v>7501788.7589999996</v>
      </c>
      <c r="Z141">
        <v>7518577.6210000003</v>
      </c>
      <c r="AA141">
        <v>7533466.0449999999</v>
      </c>
      <c r="AB141">
        <v>7524437.2759999996</v>
      </c>
      <c r="AC141">
        <v>7489860.4689999996</v>
      </c>
      <c r="AD141">
        <v>7321983.9780000001</v>
      </c>
      <c r="AE141">
        <v>7144528.4780000001</v>
      </c>
      <c r="AF141">
        <v>6942199.8880000003</v>
      </c>
      <c r="AG141">
        <v>6738258.9929999998</v>
      </c>
      <c r="AH141">
        <v>6508310.6560000004</v>
      </c>
      <c r="AI141">
        <v>6233237.7630000003</v>
      </c>
      <c r="AJ141">
        <v>5927166.7359999996</v>
      </c>
      <c r="AK141">
        <v>5566372.9759999998</v>
      </c>
      <c r="AL141">
        <v>5234008.1770000001</v>
      </c>
      <c r="AM141">
        <v>4825733.1430000002</v>
      </c>
      <c r="AN141">
        <v>4553739.5060000001</v>
      </c>
      <c r="AO141">
        <v>4244095.2970000003</v>
      </c>
      <c r="AP141">
        <v>3890332.9720000001</v>
      </c>
      <c r="AQ141">
        <v>3487219.6349999998</v>
      </c>
      <c r="AR141">
        <v>3021070.6910000001</v>
      </c>
      <c r="AS141">
        <v>2958777.6719999998</v>
      </c>
      <c r="AT141">
        <v>2887560.162</v>
      </c>
      <c r="AU141">
        <v>2810117.4369999999</v>
      </c>
      <c r="AV141">
        <v>2723763.267</v>
      </c>
      <c r="AW141">
        <v>2626833.85</v>
      </c>
    </row>
    <row r="142" spans="2:50" x14ac:dyDescent="0.25">
      <c r="B142" t="s">
        <v>213</v>
      </c>
      <c r="C142">
        <v>11428306.3019633</v>
      </c>
      <c r="D142">
        <v>11611791.4562317</v>
      </c>
      <c r="E142">
        <v>11800890.689999999</v>
      </c>
      <c r="F142">
        <v>11972371.66</v>
      </c>
      <c r="G142">
        <v>11277834.699999999</v>
      </c>
      <c r="H142">
        <v>11411962.43</v>
      </c>
      <c r="I142">
        <v>11260483.02</v>
      </c>
      <c r="J142">
        <v>10926547.32</v>
      </c>
      <c r="K142">
        <v>10228485.220000001</v>
      </c>
      <c r="L142">
        <v>9942104.8469999898</v>
      </c>
      <c r="M142">
        <v>10034896.109999999</v>
      </c>
      <c r="N142">
        <v>10184848.42</v>
      </c>
      <c r="O142">
        <v>9461540.8330000006</v>
      </c>
      <c r="P142">
        <v>8717476.5350000001</v>
      </c>
      <c r="Q142">
        <v>7836515.6399999997</v>
      </c>
      <c r="R142">
        <v>7294214.7819999997</v>
      </c>
      <c r="S142">
        <v>7028864.2470000004</v>
      </c>
      <c r="T142">
        <v>6875181.0650000004</v>
      </c>
      <c r="U142">
        <v>6802571.0060000001</v>
      </c>
      <c r="V142">
        <v>6743712.7549999999</v>
      </c>
      <c r="W142">
        <v>5894249.6679999996</v>
      </c>
      <c r="X142">
        <v>5005674.1409999998</v>
      </c>
      <c r="Y142">
        <v>4304431.6950000003</v>
      </c>
      <c r="Z142">
        <v>3754138.588</v>
      </c>
      <c r="AA142">
        <v>3314124.5980000002</v>
      </c>
      <c r="AB142">
        <v>2950012.3459999999</v>
      </c>
      <c r="AC142">
        <v>2642010.9360000002</v>
      </c>
      <c r="AD142">
        <v>2494999.9530000002</v>
      </c>
      <c r="AE142">
        <v>2389238.952</v>
      </c>
      <c r="AF142">
        <v>2283706.128</v>
      </c>
      <c r="AG142">
        <v>2216082.0180000002</v>
      </c>
      <c r="AH142">
        <v>2138039.3670000001</v>
      </c>
      <c r="AI142">
        <v>2044161.7890000001</v>
      </c>
      <c r="AJ142">
        <v>1943515.5490000001</v>
      </c>
      <c r="AK142">
        <v>1827504.5390000001</v>
      </c>
      <c r="AL142">
        <v>1847571.0649999999</v>
      </c>
      <c r="AM142">
        <v>1849758.6159999999</v>
      </c>
      <c r="AN142">
        <v>1716736.423</v>
      </c>
      <c r="AO142">
        <v>1570586.1240000001</v>
      </c>
      <c r="AP142">
        <v>1408722.84</v>
      </c>
      <c r="AQ142">
        <v>1229430.6029999999</v>
      </c>
      <c r="AR142">
        <v>1028632.326</v>
      </c>
      <c r="AS142">
        <v>1065784.9909999999</v>
      </c>
      <c r="AT142">
        <v>1100855.7009999999</v>
      </c>
      <c r="AU142">
        <v>1135007.05</v>
      </c>
      <c r="AV142">
        <v>1167419.0419999999</v>
      </c>
      <c r="AW142">
        <v>1197625.0989999999</v>
      </c>
    </row>
    <row r="143" spans="2:50" x14ac:dyDescent="0.25">
      <c r="B143" t="s">
        <v>214</v>
      </c>
      <c r="C143">
        <v>1153294.1412084801</v>
      </c>
      <c r="D143">
        <v>1171810.6516891399</v>
      </c>
      <c r="E143">
        <v>1190798.162</v>
      </c>
      <c r="F143">
        <v>1181000.3130000001</v>
      </c>
      <c r="G143">
        <v>1105972.4779999999</v>
      </c>
      <c r="H143">
        <v>957119.55680000002</v>
      </c>
      <c r="I143">
        <v>1036762.015</v>
      </c>
      <c r="J143">
        <v>1012975.694</v>
      </c>
      <c r="K143">
        <v>966117.87340000004</v>
      </c>
      <c r="L143">
        <v>952191.00179999997</v>
      </c>
      <c r="M143">
        <v>986121.60290000006</v>
      </c>
      <c r="N143">
        <v>1082713.4839999999</v>
      </c>
      <c r="O143">
        <v>1031610.138</v>
      </c>
      <c r="P143">
        <v>968358.68240000005</v>
      </c>
      <c r="Q143">
        <v>860853.04379999998</v>
      </c>
      <c r="R143">
        <v>799849.88470000005</v>
      </c>
      <c r="S143">
        <v>702775.74650000001</v>
      </c>
      <c r="T143">
        <v>681332.00800000003</v>
      </c>
      <c r="U143">
        <v>658562.10389999999</v>
      </c>
      <c r="V143">
        <v>655743.21750000003</v>
      </c>
      <c r="W143">
        <v>546530.86849999998</v>
      </c>
      <c r="X143">
        <v>432516.65350000001</v>
      </c>
      <c r="Y143">
        <v>332894.31329999998</v>
      </c>
      <c r="Z143">
        <v>268498.65539999999</v>
      </c>
      <c r="AA143">
        <v>221726.4589</v>
      </c>
      <c r="AB143">
        <v>185636.1778</v>
      </c>
      <c r="AC143">
        <v>157445.89480000001</v>
      </c>
      <c r="AD143">
        <v>142820.5129</v>
      </c>
      <c r="AE143">
        <v>132279.8958</v>
      </c>
      <c r="AF143">
        <v>122758.5301</v>
      </c>
      <c r="AG143">
        <v>117150.15549999999</v>
      </c>
      <c r="AH143">
        <v>111548.1798</v>
      </c>
      <c r="AI143">
        <v>105922.19960000001</v>
      </c>
      <c r="AJ143">
        <v>99707.288979999998</v>
      </c>
      <c r="AK143">
        <v>92645.027520000003</v>
      </c>
      <c r="AL143">
        <v>97128.552100000001</v>
      </c>
      <c r="AM143">
        <v>100708.76459999999</v>
      </c>
      <c r="AN143">
        <v>91408.282059999998</v>
      </c>
      <c r="AO143">
        <v>81503.045559999999</v>
      </c>
      <c r="AP143">
        <v>71079.240300000005</v>
      </c>
      <c r="AQ143">
        <v>60058.800320000002</v>
      </c>
      <c r="AR143">
        <v>48447.59964</v>
      </c>
      <c r="AS143">
        <v>51565.867839999999</v>
      </c>
      <c r="AT143">
        <v>54645.937140000002</v>
      </c>
      <c r="AU143">
        <v>57689.546410000003</v>
      </c>
      <c r="AV143">
        <v>60648.729910000002</v>
      </c>
      <c r="AW143">
        <v>63459.897660000002</v>
      </c>
    </row>
    <row r="144" spans="2:50" x14ac:dyDescent="0.25">
      <c r="B144" t="s">
        <v>215</v>
      </c>
      <c r="C144">
        <v>6211298.5004764497</v>
      </c>
      <c r="D144">
        <v>6311022.9070030199</v>
      </c>
      <c r="E144">
        <v>6414338.9579999996</v>
      </c>
      <c r="F144">
        <v>6441593.9550000001</v>
      </c>
      <c r="G144">
        <v>5827362.7240000004</v>
      </c>
      <c r="H144">
        <v>5202655.5970000001</v>
      </c>
      <c r="I144">
        <v>4565868.6789999995</v>
      </c>
      <c r="J144">
        <v>4794394.2139999997</v>
      </c>
      <c r="K144">
        <v>4285444.6940000001</v>
      </c>
      <c r="L144">
        <v>4083046.477</v>
      </c>
      <c r="M144">
        <v>4152203.969</v>
      </c>
      <c r="N144">
        <v>4217115.4749999996</v>
      </c>
      <c r="O144">
        <v>4003676.2689999999</v>
      </c>
      <c r="P144">
        <v>3704479.0950000002</v>
      </c>
      <c r="Q144">
        <v>3341255.5890000002</v>
      </c>
      <c r="R144">
        <v>3061698.7110000001</v>
      </c>
      <c r="S144">
        <v>2817909.0649999999</v>
      </c>
      <c r="T144">
        <v>2681936.5159999998</v>
      </c>
      <c r="U144">
        <v>2528937.1060000001</v>
      </c>
      <c r="V144">
        <v>2378108.7069999999</v>
      </c>
      <c r="W144">
        <v>2137366.2179999999</v>
      </c>
      <c r="X144">
        <v>1844127.743</v>
      </c>
      <c r="Y144">
        <v>1705677.7660000001</v>
      </c>
      <c r="Z144">
        <v>1636505.6159999999</v>
      </c>
      <c r="AA144">
        <v>1607650.544</v>
      </c>
      <c r="AB144">
        <v>1606198.9850000001</v>
      </c>
      <c r="AC144">
        <v>1630949.4310000001</v>
      </c>
      <c r="AD144">
        <v>1536255.173</v>
      </c>
      <c r="AE144">
        <v>1465212.8589999999</v>
      </c>
      <c r="AF144">
        <v>1394929.4680000001</v>
      </c>
      <c r="AG144">
        <v>1346006.0530000001</v>
      </c>
      <c r="AH144">
        <v>1291499.7490000001</v>
      </c>
      <c r="AI144">
        <v>1229511.328</v>
      </c>
      <c r="AJ144">
        <v>1163526.5149999999</v>
      </c>
      <c r="AK144">
        <v>1089716.415</v>
      </c>
      <c r="AL144">
        <v>1087601.1100000001</v>
      </c>
      <c r="AM144">
        <v>1074418.6710000001</v>
      </c>
      <c r="AN144">
        <v>990903.80079999997</v>
      </c>
      <c r="AO144">
        <v>900574.10759999999</v>
      </c>
      <c r="AP144">
        <v>803734.35860000004</v>
      </c>
      <c r="AQ144">
        <v>699654.44299999997</v>
      </c>
      <c r="AR144">
        <v>586058.29960000003</v>
      </c>
      <c r="AS144">
        <v>598385.69200000004</v>
      </c>
      <c r="AT144">
        <v>609041.00320000004</v>
      </c>
      <c r="AU144">
        <v>618654.26950000005</v>
      </c>
      <c r="AV144">
        <v>626805.37269999995</v>
      </c>
      <c r="AW144">
        <v>633386.27119999996</v>
      </c>
    </row>
    <row r="145" spans="2:49" x14ac:dyDescent="0.25">
      <c r="B145" t="s">
        <v>216</v>
      </c>
      <c r="C145">
        <v>19068539.7330263</v>
      </c>
      <c r="D145">
        <v>19374691.306334</v>
      </c>
      <c r="E145">
        <v>19692663.129999999</v>
      </c>
      <c r="F145">
        <v>19853831.989999998</v>
      </c>
      <c r="G145">
        <v>18040404.530000001</v>
      </c>
      <c r="H145">
        <v>16044957.720000001</v>
      </c>
      <c r="I145">
        <v>14759681.609999999</v>
      </c>
      <c r="J145">
        <v>15770329.5</v>
      </c>
      <c r="K145">
        <v>14123694.699999999</v>
      </c>
      <c r="L145">
        <v>13505047.029999999</v>
      </c>
      <c r="M145">
        <v>13771000.02</v>
      </c>
      <c r="N145">
        <v>13972109.93</v>
      </c>
      <c r="O145">
        <v>13351882.09</v>
      </c>
      <c r="P145">
        <v>12406403.65</v>
      </c>
      <c r="Q145">
        <v>11200903.98</v>
      </c>
      <c r="R145">
        <v>10324595.470000001</v>
      </c>
      <c r="S145">
        <v>9538714.1490000002</v>
      </c>
      <c r="T145">
        <v>9371789.5059999898</v>
      </c>
      <c r="U145">
        <v>8959470.3599999994</v>
      </c>
      <c r="V145">
        <v>8625200.3210000005</v>
      </c>
      <c r="W145">
        <v>7447595.727</v>
      </c>
      <c r="X145">
        <v>6145279.5080000004</v>
      </c>
      <c r="Y145">
        <v>5338848.1220000004</v>
      </c>
      <c r="Z145">
        <v>4739812.5920000002</v>
      </c>
      <c r="AA145">
        <v>4251539.2640000004</v>
      </c>
      <c r="AB145">
        <v>3831825.5109999999</v>
      </c>
      <c r="AC145">
        <v>3485351.048</v>
      </c>
      <c r="AD145">
        <v>3350069.8149999999</v>
      </c>
      <c r="AE145">
        <v>3241806.6850000001</v>
      </c>
      <c r="AF145">
        <v>3132026.784</v>
      </c>
      <c r="AG145">
        <v>3035159.91</v>
      </c>
      <c r="AH145">
        <v>2930478.8289999999</v>
      </c>
      <c r="AI145">
        <v>2808760.9539999999</v>
      </c>
      <c r="AJ145">
        <v>2670507.588</v>
      </c>
      <c r="AK145">
        <v>2515938.1329999999</v>
      </c>
      <c r="AL145">
        <v>2405122.7000000002</v>
      </c>
      <c r="AM145">
        <v>2268074.6949999998</v>
      </c>
      <c r="AN145">
        <v>2139482.5750000002</v>
      </c>
      <c r="AO145">
        <v>1987084.0519999999</v>
      </c>
      <c r="AP145">
        <v>1817771.398</v>
      </c>
      <c r="AQ145">
        <v>1631493.034</v>
      </c>
      <c r="AR145">
        <v>1417718.7960000001</v>
      </c>
      <c r="AS145">
        <v>1400513.7690000001</v>
      </c>
      <c r="AT145">
        <v>1383341.727</v>
      </c>
      <c r="AU145">
        <v>1363530.3940000001</v>
      </c>
      <c r="AV145">
        <v>1339618.875</v>
      </c>
      <c r="AW145">
        <v>1313601.7320000001</v>
      </c>
    </row>
    <row r="146" spans="2:49" x14ac:dyDescent="0.25">
      <c r="B146" t="s">
        <v>217</v>
      </c>
      <c r="C146">
        <v>14426006.8404216</v>
      </c>
      <c r="D146">
        <v>14657621.046468699</v>
      </c>
      <c r="E146">
        <v>14897820.91</v>
      </c>
      <c r="F146">
        <v>14865645.380000001</v>
      </c>
      <c r="G146">
        <v>13693428.970000001</v>
      </c>
      <c r="H146">
        <v>12733590.630000001</v>
      </c>
      <c r="I146">
        <v>11130028.810000001</v>
      </c>
      <c r="J146">
        <v>10034756.039999999</v>
      </c>
      <c r="K146">
        <v>9125668.7809999995</v>
      </c>
      <c r="L146">
        <v>8993252.716</v>
      </c>
      <c r="M146">
        <v>8906410.0140000004</v>
      </c>
      <c r="N146">
        <v>9194649.1980000008</v>
      </c>
      <c r="O146">
        <v>8436670.3599999994</v>
      </c>
      <c r="P146">
        <v>7548089.4299999997</v>
      </c>
      <c r="Q146">
        <v>6764006.949</v>
      </c>
      <c r="R146">
        <v>6101493.4859999996</v>
      </c>
      <c r="S146">
        <v>5650846.1189999999</v>
      </c>
      <c r="T146">
        <v>5388927.551</v>
      </c>
      <c r="U146">
        <v>5050050.1459999997</v>
      </c>
      <c r="V146">
        <v>4709834.6529999999</v>
      </c>
      <c r="W146">
        <v>4060139.2829999998</v>
      </c>
      <c r="X146">
        <v>3365897.86</v>
      </c>
      <c r="Y146">
        <v>3022801.8990000002</v>
      </c>
      <c r="Z146">
        <v>2818065.327</v>
      </c>
      <c r="AA146">
        <v>2688438.93</v>
      </c>
      <c r="AB146">
        <v>2609959.0099999998</v>
      </c>
      <c r="AC146">
        <v>2579482.7999999998</v>
      </c>
      <c r="AD146">
        <v>2453457.818</v>
      </c>
      <c r="AE146">
        <v>2364397.1809999999</v>
      </c>
      <c r="AF146">
        <v>2277060.358</v>
      </c>
      <c r="AG146">
        <v>2216326.3560000001</v>
      </c>
      <c r="AH146">
        <v>2145854.906</v>
      </c>
      <c r="AI146">
        <v>2062489.7409999999</v>
      </c>
      <c r="AJ146">
        <v>1972463.6340000001</v>
      </c>
      <c r="AK146">
        <v>1869464.9140000001</v>
      </c>
      <c r="AL146">
        <v>1853836.94</v>
      </c>
      <c r="AM146">
        <v>1820170.7339999999</v>
      </c>
      <c r="AN146">
        <v>1708380.23</v>
      </c>
      <c r="AO146">
        <v>1583671.227</v>
      </c>
      <c r="AP146">
        <v>1446094.2830000001</v>
      </c>
      <c r="AQ146">
        <v>1294240.9029999999</v>
      </c>
      <c r="AR146">
        <v>1123473.324</v>
      </c>
      <c r="AS146">
        <v>1141004.044</v>
      </c>
      <c r="AT146">
        <v>1156096.6740000001</v>
      </c>
      <c r="AU146">
        <v>1169688.655</v>
      </c>
      <c r="AV146">
        <v>1180872.503</v>
      </c>
      <c r="AW146">
        <v>1189489.554</v>
      </c>
    </row>
    <row r="147" spans="2:49" x14ac:dyDescent="0.25">
      <c r="B147" t="s">
        <v>218</v>
      </c>
      <c r="C147">
        <v>9279692.21316991</v>
      </c>
      <c r="D147">
        <v>9428680.6732538398</v>
      </c>
      <c r="E147">
        <v>9581386.1769999899</v>
      </c>
      <c r="F147">
        <v>9543279.4690000005</v>
      </c>
      <c r="G147">
        <v>9142973.4489999898</v>
      </c>
      <c r="H147">
        <v>8589039.3499999996</v>
      </c>
      <c r="I147">
        <v>8223449.7989999996</v>
      </c>
      <c r="J147">
        <v>7977459.6169999996</v>
      </c>
      <c r="K147">
        <v>7576201.5020000003</v>
      </c>
      <c r="L147">
        <v>7504393.8380000005</v>
      </c>
      <c r="M147">
        <v>7474487.2680000002</v>
      </c>
      <c r="N147">
        <v>7729681.5269999998</v>
      </c>
      <c r="O147">
        <v>7563960.1040000003</v>
      </c>
      <c r="P147">
        <v>7307592.1540000001</v>
      </c>
      <c r="Q147">
        <v>6954683.4539999999</v>
      </c>
      <c r="R147">
        <v>6821410.233</v>
      </c>
      <c r="S147">
        <v>6591566.5209999997</v>
      </c>
      <c r="T147">
        <v>6454760.3210000005</v>
      </c>
      <c r="U147">
        <v>6215368.9759999998</v>
      </c>
      <c r="V147">
        <v>6004910.6799999997</v>
      </c>
      <c r="W147">
        <v>5314951.5060000001</v>
      </c>
      <c r="X147">
        <v>4531875.8830000004</v>
      </c>
      <c r="Y147">
        <v>3965612.5789999999</v>
      </c>
      <c r="Z147">
        <v>3561193.6510000001</v>
      </c>
      <c r="AA147">
        <v>3247304.6359999999</v>
      </c>
      <c r="AB147">
        <v>2999410.5619999999</v>
      </c>
      <c r="AC147">
        <v>2803698.8190000001</v>
      </c>
      <c r="AD147">
        <v>2636786.89</v>
      </c>
      <c r="AE147">
        <v>2504997.7119999998</v>
      </c>
      <c r="AF147">
        <v>2374725.2179999999</v>
      </c>
      <c r="AG147">
        <v>2302106.264</v>
      </c>
      <c r="AH147">
        <v>2222410.7680000002</v>
      </c>
      <c r="AI147">
        <v>2131258.71</v>
      </c>
      <c r="AJ147">
        <v>2034955.1470000001</v>
      </c>
      <c r="AK147">
        <v>1928546.3559999999</v>
      </c>
      <c r="AL147">
        <v>2021195.4339999999</v>
      </c>
      <c r="AM147">
        <v>2101893.9339999999</v>
      </c>
      <c r="AN147">
        <v>1950665.7690000001</v>
      </c>
      <c r="AO147">
        <v>1788605.3489999999</v>
      </c>
      <c r="AP147">
        <v>1614578.699</v>
      </c>
      <c r="AQ147">
        <v>1427511.4850000001</v>
      </c>
      <c r="AR147">
        <v>1223307.4180000001</v>
      </c>
      <c r="AS147">
        <v>1290836.067</v>
      </c>
      <c r="AT147">
        <v>1357438.5290000001</v>
      </c>
      <c r="AU147">
        <v>1423753.808</v>
      </c>
      <c r="AV147">
        <v>1489038.844</v>
      </c>
      <c r="AW147">
        <v>1553200.67</v>
      </c>
    </row>
    <row r="148" spans="2:49" x14ac:dyDescent="0.25">
      <c r="B148" t="s">
        <v>219</v>
      </c>
      <c r="C148">
        <v>10783636.5742715</v>
      </c>
      <c r="D148">
        <v>10956771.347537501</v>
      </c>
      <c r="E148">
        <v>11150806.48</v>
      </c>
      <c r="F148">
        <v>11155237.23</v>
      </c>
      <c r="G148">
        <v>11099208.77</v>
      </c>
      <c r="H148">
        <v>10297291.369999999</v>
      </c>
      <c r="I148">
        <v>10630253.91</v>
      </c>
      <c r="J148">
        <v>10707795.33</v>
      </c>
      <c r="K148">
        <v>10466548.810000001</v>
      </c>
      <c r="L148">
        <v>10414618.93</v>
      </c>
      <c r="M148">
        <v>10418286.23</v>
      </c>
      <c r="N148">
        <v>10715408.27</v>
      </c>
      <c r="O148">
        <v>10792125.699999999</v>
      </c>
      <c r="P148">
        <v>10935205.32</v>
      </c>
      <c r="Q148">
        <v>10884892.699999999</v>
      </c>
      <c r="R148">
        <v>11078563.640000001</v>
      </c>
      <c r="S148">
        <v>11052289.35</v>
      </c>
      <c r="T148">
        <v>10901511.810000001</v>
      </c>
      <c r="U148">
        <v>10836661.24</v>
      </c>
      <c r="V148">
        <v>10760924.15</v>
      </c>
      <c r="W148">
        <v>10535001.359999999</v>
      </c>
      <c r="X148">
        <v>10224506.27</v>
      </c>
      <c r="Y148">
        <v>9933904.5730000008</v>
      </c>
      <c r="Z148">
        <v>9689691.3210000005</v>
      </c>
      <c r="AA148">
        <v>9474894.0759999994</v>
      </c>
      <c r="AB148">
        <v>9322165.5989999995</v>
      </c>
      <c r="AC148">
        <v>9196388.3460000008</v>
      </c>
      <c r="AD148">
        <v>8785046.9940000009</v>
      </c>
      <c r="AE148">
        <v>8385427.1560000004</v>
      </c>
      <c r="AF148">
        <v>7975344.2810000004</v>
      </c>
      <c r="AG148">
        <v>7660467.7929999996</v>
      </c>
      <c r="AH148">
        <v>7328807.4040000001</v>
      </c>
      <c r="AI148">
        <v>6958875.7810000004</v>
      </c>
      <c r="AJ148">
        <v>6563597.8439999996</v>
      </c>
      <c r="AK148">
        <v>6127162.7300000004</v>
      </c>
      <c r="AL148">
        <v>6006780.517</v>
      </c>
      <c r="AM148">
        <v>5825109.7510000002</v>
      </c>
      <c r="AN148">
        <v>5398799.5389999999</v>
      </c>
      <c r="AO148">
        <v>4938451.9119999995</v>
      </c>
      <c r="AP148">
        <v>4438856.3289999999</v>
      </c>
      <c r="AQ148">
        <v>3893778.6880000001</v>
      </c>
      <c r="AR148">
        <v>3291907.4109999998</v>
      </c>
      <c r="AS148">
        <v>3329889.6830000002</v>
      </c>
      <c r="AT148">
        <v>3361617.602</v>
      </c>
      <c r="AU148">
        <v>3387178.1889999998</v>
      </c>
      <c r="AV148">
        <v>3404894.78</v>
      </c>
      <c r="AW148">
        <v>3413705.554</v>
      </c>
    </row>
    <row r="149" spans="2:49" x14ac:dyDescent="0.25">
      <c r="B149" t="s">
        <v>220</v>
      </c>
      <c r="C149">
        <v>584010.86634464201</v>
      </c>
      <c r="D149">
        <v>593387.34970747295</v>
      </c>
      <c r="E149">
        <v>603045.05370000005</v>
      </c>
      <c r="F149">
        <v>619091.6838</v>
      </c>
      <c r="G149">
        <v>586720.23190000001</v>
      </c>
      <c r="H149">
        <v>507163.75189999997</v>
      </c>
      <c r="I149">
        <v>525546.74179999996</v>
      </c>
      <c r="J149">
        <v>526882.10519999999</v>
      </c>
      <c r="K149">
        <v>485182.69209999999</v>
      </c>
      <c r="L149">
        <v>453749.4068</v>
      </c>
      <c r="M149">
        <v>444676.2758</v>
      </c>
      <c r="N149">
        <v>467880.09460000001</v>
      </c>
      <c r="O149">
        <v>446356.90620000003</v>
      </c>
      <c r="P149">
        <v>428370.005</v>
      </c>
      <c r="Q149">
        <v>397728.55790000001</v>
      </c>
      <c r="R149">
        <v>368402.85379999998</v>
      </c>
      <c r="S149">
        <v>350683.6336</v>
      </c>
      <c r="T149">
        <v>346501.47570000001</v>
      </c>
      <c r="U149">
        <v>338703.32579999999</v>
      </c>
      <c r="V149">
        <v>335902.34399999998</v>
      </c>
      <c r="W149">
        <v>287926.47440000001</v>
      </c>
      <c r="X149">
        <v>245461.81039999999</v>
      </c>
      <c r="Y149">
        <v>214871.92139999999</v>
      </c>
      <c r="Z149">
        <v>194338.15109999999</v>
      </c>
      <c r="AA149">
        <v>179215.89689999999</v>
      </c>
      <c r="AB149">
        <v>167401.6153</v>
      </c>
      <c r="AC149">
        <v>158036.318</v>
      </c>
      <c r="AD149">
        <v>149899.3849</v>
      </c>
      <c r="AE149">
        <v>143287.34330000001</v>
      </c>
      <c r="AF149">
        <v>136673.64199999999</v>
      </c>
      <c r="AG149">
        <v>131323.8677</v>
      </c>
      <c r="AH149">
        <v>125695.7562</v>
      </c>
      <c r="AI149">
        <v>119430.1961</v>
      </c>
      <c r="AJ149">
        <v>112520.6529</v>
      </c>
      <c r="AK149">
        <v>104777.587</v>
      </c>
      <c r="AL149">
        <v>101510.7669</v>
      </c>
      <c r="AM149">
        <v>97119.206179999994</v>
      </c>
      <c r="AN149">
        <v>89968.733129999906</v>
      </c>
      <c r="AO149">
        <v>82204.104879999999</v>
      </c>
      <c r="AP149">
        <v>73771.300059999994</v>
      </c>
      <c r="AQ149">
        <v>64597.190770000001</v>
      </c>
      <c r="AR149">
        <v>54461.925949999997</v>
      </c>
      <c r="AS149">
        <v>54573.973050000001</v>
      </c>
      <c r="AT149">
        <v>54603.227180000002</v>
      </c>
      <c r="AU149">
        <v>54541.455119999999</v>
      </c>
      <c r="AV149">
        <v>54349.657440000003</v>
      </c>
      <c r="AW149">
        <v>54021.60785</v>
      </c>
    </row>
    <row r="150" spans="2:49" x14ac:dyDescent="0.25">
      <c r="B150" t="s">
        <v>221</v>
      </c>
      <c r="C150">
        <v>22712835.5539211</v>
      </c>
      <c r="D150">
        <v>23077497.475414101</v>
      </c>
      <c r="E150">
        <v>23460488.449999999</v>
      </c>
      <c r="F150">
        <v>23551394.77</v>
      </c>
      <c r="G150">
        <v>19991858.940000001</v>
      </c>
      <c r="H150">
        <v>16634771.01</v>
      </c>
      <c r="I150">
        <v>17082547.25</v>
      </c>
      <c r="J150">
        <v>16677984.66</v>
      </c>
      <c r="K150">
        <v>15803036.050000001</v>
      </c>
      <c r="L150">
        <v>16454527.779999999</v>
      </c>
      <c r="M150">
        <v>16817363.219999999</v>
      </c>
      <c r="N150">
        <v>17153329.670000002</v>
      </c>
      <c r="O150">
        <v>14363658.98</v>
      </c>
      <c r="P150">
        <v>13045354.16</v>
      </c>
      <c r="Q150">
        <v>11927951.199999999</v>
      </c>
      <c r="R150">
        <v>10988303.029999999</v>
      </c>
      <c r="S150">
        <v>10314644.32</v>
      </c>
      <c r="T150">
        <v>10334083.050000001</v>
      </c>
      <c r="U150">
        <v>10186971.77</v>
      </c>
      <c r="V150">
        <v>10194862.52</v>
      </c>
      <c r="W150">
        <v>9447940.4030000009</v>
      </c>
      <c r="X150">
        <v>8568578.7579999994</v>
      </c>
      <c r="Y150">
        <v>7938228.0449999999</v>
      </c>
      <c r="Z150">
        <v>7523754.0410000002</v>
      </c>
      <c r="AA150">
        <v>7207999.4129999997</v>
      </c>
      <c r="AB150">
        <v>6946334.4519999996</v>
      </c>
      <c r="AC150">
        <v>6734826.5800000001</v>
      </c>
      <c r="AD150">
        <v>6693850.3030000003</v>
      </c>
      <c r="AE150">
        <v>6698992.8399999999</v>
      </c>
      <c r="AF150">
        <v>6713515.2249999996</v>
      </c>
      <c r="AG150">
        <v>6744967.773</v>
      </c>
      <c r="AH150">
        <v>6779367.2149999999</v>
      </c>
      <c r="AI150">
        <v>6824618.4900000002</v>
      </c>
      <c r="AJ150">
        <v>6871234.3370000003</v>
      </c>
      <c r="AK150">
        <v>6918728.7800000003</v>
      </c>
      <c r="AL150">
        <v>7008621.0420000004</v>
      </c>
      <c r="AM150">
        <v>7095818.9359999998</v>
      </c>
      <c r="AN150">
        <v>7114167.1150000002</v>
      </c>
      <c r="AO150">
        <v>7123111.5020000003</v>
      </c>
      <c r="AP150">
        <v>7125134.4550000001</v>
      </c>
      <c r="AQ150">
        <v>7123176.102</v>
      </c>
      <c r="AR150">
        <v>7110173.0420000004</v>
      </c>
      <c r="AS150">
        <v>7146544.1100000003</v>
      </c>
      <c r="AT150">
        <v>7185990.4040000001</v>
      </c>
      <c r="AU150">
        <v>7224814.7819999997</v>
      </c>
      <c r="AV150">
        <v>7260089.4369999999</v>
      </c>
      <c r="AW150">
        <v>7294179.5559999999</v>
      </c>
    </row>
    <row r="151" spans="2:49" x14ac:dyDescent="0.25">
      <c r="B151" t="s">
        <v>222</v>
      </c>
      <c r="C151">
        <v>611949.61832884501</v>
      </c>
      <c r="D151">
        <v>621774.66739182698</v>
      </c>
      <c r="E151">
        <v>631757.4608</v>
      </c>
      <c r="F151">
        <v>620270.51599999995</v>
      </c>
      <c r="G151">
        <v>558596.64249999996</v>
      </c>
      <c r="H151">
        <v>469472.90480000002</v>
      </c>
      <c r="I151">
        <v>504001.58029999997</v>
      </c>
      <c r="J151">
        <v>488134.53490000003</v>
      </c>
      <c r="K151">
        <v>440837.71779999998</v>
      </c>
      <c r="L151">
        <v>419020.59269999998</v>
      </c>
      <c r="M151">
        <v>418064.37540000002</v>
      </c>
      <c r="N151">
        <v>419068.54670000001</v>
      </c>
      <c r="O151">
        <v>387932.09289999999</v>
      </c>
      <c r="P151">
        <v>374748.93810000003</v>
      </c>
      <c r="Q151">
        <v>333326.88789999997</v>
      </c>
      <c r="R151">
        <v>306947.93349999998</v>
      </c>
      <c r="S151">
        <v>295556.52500000002</v>
      </c>
      <c r="T151">
        <v>294827.11599999998</v>
      </c>
      <c r="U151">
        <v>284203.46380000003</v>
      </c>
      <c r="V151">
        <v>280606.98070000001</v>
      </c>
      <c r="W151">
        <v>217742.10800000001</v>
      </c>
      <c r="X151">
        <v>166194.10370000001</v>
      </c>
      <c r="Y151">
        <v>128551.3072</v>
      </c>
      <c r="Z151">
        <v>105097.34940000001</v>
      </c>
      <c r="AA151">
        <v>88821.405970000007</v>
      </c>
      <c r="AB151">
        <v>77032.780400000003</v>
      </c>
      <c r="AC151">
        <v>68214.720220000003</v>
      </c>
      <c r="AD151">
        <v>60642.40784</v>
      </c>
      <c r="AE151">
        <v>54721.324189999999</v>
      </c>
      <c r="AF151">
        <v>49034.42237</v>
      </c>
      <c r="AG151">
        <v>46276.340300000003</v>
      </c>
      <c r="AH151">
        <v>43488.88091</v>
      </c>
      <c r="AI151">
        <v>40537.431810000002</v>
      </c>
      <c r="AJ151">
        <v>37548.472679999999</v>
      </c>
      <c r="AK151">
        <v>34491.463109999997</v>
      </c>
      <c r="AL151">
        <v>41257.88695</v>
      </c>
      <c r="AM151">
        <v>48053.010540000003</v>
      </c>
      <c r="AN151">
        <v>42284.30762</v>
      </c>
      <c r="AO151">
        <v>36364.128570000001</v>
      </c>
      <c r="AP151">
        <v>30249.297259999999</v>
      </c>
      <c r="AQ151">
        <v>23965.735430000001</v>
      </c>
      <c r="AR151">
        <v>17481.449369999998</v>
      </c>
      <c r="AS151">
        <v>20846.432870000001</v>
      </c>
      <c r="AT151">
        <v>24260.849030000001</v>
      </c>
      <c r="AU151">
        <v>27732.116389999999</v>
      </c>
      <c r="AV151">
        <v>31249.596010000001</v>
      </c>
      <c r="AW151">
        <v>34826.106829999997</v>
      </c>
    </row>
    <row r="152" spans="2:49" x14ac:dyDescent="0.25">
      <c r="B152" t="s">
        <v>223</v>
      </c>
      <c r="C152">
        <v>18604230.451297902</v>
      </c>
      <c r="D152">
        <v>18902927.3889024</v>
      </c>
      <c r="E152">
        <v>19209702.579999998</v>
      </c>
      <c r="F152">
        <v>19523712.379999999</v>
      </c>
      <c r="G152">
        <v>18333803.690000001</v>
      </c>
      <c r="H152">
        <v>16861947.920000002</v>
      </c>
      <c r="I152">
        <v>16990959.719999999</v>
      </c>
      <c r="J152">
        <v>16550309.949999999</v>
      </c>
      <c r="K152">
        <v>15661003.789999999</v>
      </c>
      <c r="L152">
        <v>15334113.789999999</v>
      </c>
      <c r="M152">
        <v>15379958.529999999</v>
      </c>
      <c r="N152">
        <v>15751125.01</v>
      </c>
      <c r="O152">
        <v>14955701.9</v>
      </c>
      <c r="P152">
        <v>14164507.439999999</v>
      </c>
      <c r="Q152">
        <v>13145529.48</v>
      </c>
      <c r="R152">
        <v>12842903.810000001</v>
      </c>
      <c r="S152">
        <v>12491930.57</v>
      </c>
      <c r="T152">
        <v>12561302.800000001</v>
      </c>
      <c r="U152">
        <v>12351982.52</v>
      </c>
      <c r="V152">
        <v>12308252.630000001</v>
      </c>
      <c r="W152">
        <v>10502690.01</v>
      </c>
      <c r="X152">
        <v>8803941.0020000003</v>
      </c>
      <c r="Y152">
        <v>7453461.6500000004</v>
      </c>
      <c r="Z152">
        <v>6486943.2220000001</v>
      </c>
      <c r="AA152">
        <v>5729240.7079999996</v>
      </c>
      <c r="AB152">
        <v>5109359.7290000003</v>
      </c>
      <c r="AC152">
        <v>4595192.7570000002</v>
      </c>
      <c r="AD152">
        <v>4341661.66</v>
      </c>
      <c r="AE152">
        <v>4151502.7930000001</v>
      </c>
      <c r="AF152">
        <v>3965267.415</v>
      </c>
      <c r="AG152">
        <v>3849876.014</v>
      </c>
      <c r="AH152">
        <v>3722885.6710000001</v>
      </c>
      <c r="AI152">
        <v>3580710.875</v>
      </c>
      <c r="AJ152">
        <v>3424115.6630000002</v>
      </c>
      <c r="AK152">
        <v>3247567.0669999998</v>
      </c>
      <c r="AL152">
        <v>3317440.429</v>
      </c>
      <c r="AM152">
        <v>3362437.2110000001</v>
      </c>
      <c r="AN152">
        <v>3153505.6949999998</v>
      </c>
      <c r="AO152">
        <v>2924179.15</v>
      </c>
      <c r="AP152">
        <v>2673758.9500000002</v>
      </c>
      <c r="AQ152">
        <v>2400294.8139999998</v>
      </c>
      <c r="AR152">
        <v>2096054.7080000001</v>
      </c>
      <c r="AS152">
        <v>2173012.1439999999</v>
      </c>
      <c r="AT152">
        <v>2250178.7069999999</v>
      </c>
      <c r="AU152">
        <v>2327085.4509999999</v>
      </c>
      <c r="AV152">
        <v>2401512.4029999999</v>
      </c>
      <c r="AW152">
        <v>2473914.9210000001</v>
      </c>
    </row>
    <row r="153" spans="2:49" x14ac:dyDescent="0.25">
      <c r="B153" t="s">
        <v>224</v>
      </c>
      <c r="C153">
        <v>583438.22926562198</v>
      </c>
      <c r="D153">
        <v>592805.51875492395</v>
      </c>
      <c r="E153">
        <v>602323.20449999999</v>
      </c>
      <c r="F153">
        <v>629513.51260000002</v>
      </c>
      <c r="G153">
        <v>616284.75870000001</v>
      </c>
      <c r="H153">
        <v>535595.00199999998</v>
      </c>
      <c r="I153">
        <v>534344.43850000005</v>
      </c>
      <c r="J153">
        <v>544827.40480000002</v>
      </c>
      <c r="K153">
        <v>520995.32880000002</v>
      </c>
      <c r="L153">
        <v>505548.12650000001</v>
      </c>
      <c r="M153">
        <v>470240.48100000003</v>
      </c>
      <c r="N153">
        <v>429811.02549999999</v>
      </c>
      <c r="O153">
        <v>414819.78049999999</v>
      </c>
      <c r="P153">
        <v>414315.41810000001</v>
      </c>
      <c r="Q153">
        <v>398885.65509999997</v>
      </c>
      <c r="R153">
        <v>399281.46529999998</v>
      </c>
      <c r="S153">
        <v>399049.967</v>
      </c>
      <c r="T153">
        <v>402786.6827</v>
      </c>
      <c r="U153">
        <v>391642.97649999999</v>
      </c>
      <c r="V153">
        <v>391743.86550000001</v>
      </c>
      <c r="W153">
        <v>397220.2353</v>
      </c>
      <c r="X153">
        <v>396159.9253</v>
      </c>
      <c r="Y153">
        <v>381477.3884</v>
      </c>
      <c r="Z153">
        <v>368802.81310000003</v>
      </c>
      <c r="AA153">
        <v>354753.54119999998</v>
      </c>
      <c r="AB153">
        <v>339168.77159999998</v>
      </c>
      <c r="AC153">
        <v>324501.53230000002</v>
      </c>
      <c r="AD153">
        <v>300358.87089999998</v>
      </c>
      <c r="AE153">
        <v>272442.5661</v>
      </c>
      <c r="AF153">
        <v>243539.16200000001</v>
      </c>
      <c r="AG153">
        <v>227217.5111</v>
      </c>
      <c r="AH153">
        <v>211427.77129999999</v>
      </c>
      <c r="AI153">
        <v>195300.106</v>
      </c>
      <c r="AJ153">
        <v>178512.7769</v>
      </c>
      <c r="AK153">
        <v>161980.4749</v>
      </c>
      <c r="AL153">
        <v>187635.63800000001</v>
      </c>
      <c r="AM153">
        <v>211652.73970000001</v>
      </c>
      <c r="AN153">
        <v>186954.171</v>
      </c>
      <c r="AO153">
        <v>160710.17180000001</v>
      </c>
      <c r="AP153">
        <v>133574.16990000001</v>
      </c>
      <c r="AQ153">
        <v>105844.95789999999</v>
      </c>
      <c r="AR153">
        <v>76990.627949999995</v>
      </c>
      <c r="AS153">
        <v>89713.817920000001</v>
      </c>
      <c r="AT153">
        <v>102638.7427</v>
      </c>
      <c r="AU153">
        <v>115438.0505</v>
      </c>
      <c r="AV153">
        <v>127995.821</v>
      </c>
      <c r="AW153">
        <v>140910.22260000001</v>
      </c>
    </row>
    <row r="154" spans="2:49" x14ac:dyDescent="0.25">
      <c r="B154" t="s">
        <v>225</v>
      </c>
      <c r="C154">
        <v>640997.091904014</v>
      </c>
      <c r="D154">
        <v>651288.50755091803</v>
      </c>
      <c r="E154">
        <v>661996.35600000003</v>
      </c>
      <c r="F154">
        <v>674189.14980000001</v>
      </c>
      <c r="G154">
        <v>633678.10759999999</v>
      </c>
      <c r="H154">
        <v>621288.24609999999</v>
      </c>
      <c r="I154">
        <v>629072.4044</v>
      </c>
      <c r="J154">
        <v>603234.4227</v>
      </c>
      <c r="K154">
        <v>567653.94640000002</v>
      </c>
      <c r="L154">
        <v>571745.34290000005</v>
      </c>
      <c r="M154">
        <v>581159.46030000004</v>
      </c>
      <c r="N154">
        <v>610811.28639999998</v>
      </c>
      <c r="O154">
        <v>646131.16020000004</v>
      </c>
      <c r="P154">
        <v>659860.00899999996</v>
      </c>
      <c r="Q154">
        <v>614705.13439999998</v>
      </c>
      <c r="R154">
        <v>631939.88309999998</v>
      </c>
      <c r="S154">
        <v>629890.97180000006</v>
      </c>
      <c r="T154">
        <v>627307.27969999996</v>
      </c>
      <c r="U154">
        <v>625225.65749999997</v>
      </c>
      <c r="V154">
        <v>623372.5344</v>
      </c>
      <c r="W154">
        <v>640837.25970000005</v>
      </c>
      <c r="X154">
        <v>650421.05249999999</v>
      </c>
      <c r="Y154">
        <v>653448.86549999996</v>
      </c>
      <c r="Z154">
        <v>656584.31099999999</v>
      </c>
      <c r="AA154">
        <v>659124.69140000001</v>
      </c>
      <c r="AB154">
        <v>633490.30160000001</v>
      </c>
      <c r="AC154">
        <v>606430.52819999994</v>
      </c>
      <c r="AD154">
        <v>584099.96810000006</v>
      </c>
      <c r="AE154">
        <v>563936.84030000004</v>
      </c>
      <c r="AF154">
        <v>543264.6581</v>
      </c>
      <c r="AG154">
        <v>523605.76679999998</v>
      </c>
      <c r="AH154">
        <v>501848.58230000001</v>
      </c>
      <c r="AI154">
        <v>481823.7721</v>
      </c>
      <c r="AJ154">
        <v>460505.00030000001</v>
      </c>
      <c r="AK154">
        <v>435226.36660000001</v>
      </c>
      <c r="AL154">
        <v>411181.53039999999</v>
      </c>
      <c r="AM154">
        <v>381630.6004</v>
      </c>
      <c r="AN154">
        <v>359077.10110000003</v>
      </c>
      <c r="AO154">
        <v>333343.37219999998</v>
      </c>
      <c r="AP154">
        <v>305149.23019999999</v>
      </c>
      <c r="AQ154">
        <v>274060.8554</v>
      </c>
      <c r="AR154">
        <v>238987.92800000001</v>
      </c>
      <c r="AS154">
        <v>233150.78510000001</v>
      </c>
      <c r="AT154">
        <v>226512.6073</v>
      </c>
      <c r="AU154">
        <v>219468.30710000001</v>
      </c>
      <c r="AV154">
        <v>211814.73929999999</v>
      </c>
      <c r="AW154">
        <v>203464.86780000001</v>
      </c>
    </row>
    <row r="155" spans="2:49" x14ac:dyDescent="0.25">
      <c r="B155" t="s">
        <v>226</v>
      </c>
      <c r="C155">
        <v>2194958.1052306499</v>
      </c>
      <c r="D155">
        <v>2230198.86758945</v>
      </c>
      <c r="E155">
        <v>2254498.5079999999</v>
      </c>
      <c r="F155">
        <v>2243121.7119999998</v>
      </c>
      <c r="G155">
        <v>2234427.3280000002</v>
      </c>
      <c r="H155">
        <v>2230668.7110000001</v>
      </c>
      <c r="I155">
        <v>2237589.6349999998</v>
      </c>
      <c r="J155">
        <v>2251864.952</v>
      </c>
      <c r="K155">
        <v>2253914.4360000002</v>
      </c>
      <c r="L155">
        <v>2252314.335</v>
      </c>
      <c r="M155">
        <v>2267086.2489999998</v>
      </c>
      <c r="N155">
        <v>2246024.4959999998</v>
      </c>
      <c r="O155">
        <v>2273882.1370000001</v>
      </c>
      <c r="P155">
        <v>2296367.1779999998</v>
      </c>
      <c r="Q155">
        <v>2325273.9249999998</v>
      </c>
      <c r="R155">
        <v>2354810.4169999999</v>
      </c>
      <c r="S155">
        <v>2339365.4580000001</v>
      </c>
      <c r="T155">
        <v>2306070.9169999999</v>
      </c>
      <c r="U155">
        <v>2293663.7089999998</v>
      </c>
      <c r="V155">
        <v>2272504.3670000001</v>
      </c>
      <c r="W155">
        <v>2271605.67</v>
      </c>
      <c r="X155">
        <v>2245128.7050000001</v>
      </c>
      <c r="Y155">
        <v>2166907.7000000002</v>
      </c>
      <c r="Z155">
        <v>2096630.0859999999</v>
      </c>
      <c r="AA155">
        <v>2030412.929</v>
      </c>
      <c r="AB155">
        <v>1965462.791</v>
      </c>
      <c r="AC155">
        <v>1899413.6</v>
      </c>
      <c r="AD155">
        <v>1752631.581</v>
      </c>
      <c r="AE155">
        <v>1607738.325</v>
      </c>
      <c r="AF155">
        <v>1463594.8030000001</v>
      </c>
      <c r="AG155">
        <v>1329323.1950000001</v>
      </c>
      <c r="AH155">
        <v>1197113.8740000001</v>
      </c>
      <c r="AI155">
        <v>1058679.4979999999</v>
      </c>
      <c r="AJ155">
        <v>923546.02300000004</v>
      </c>
      <c r="AK155">
        <v>791380.04390000005</v>
      </c>
      <c r="AL155">
        <v>691334.83420000004</v>
      </c>
      <c r="AM155">
        <v>595728.48219999997</v>
      </c>
      <c r="AN155">
        <v>510067.78399999999</v>
      </c>
      <c r="AO155">
        <v>426952.36300000001</v>
      </c>
      <c r="AP155">
        <v>347014.27149999997</v>
      </c>
      <c r="AQ155" s="39">
        <v>270727.24170000001</v>
      </c>
      <c r="AR155" s="39">
        <v>198923.745</v>
      </c>
      <c r="AS155" s="39">
        <v>184993.3842</v>
      </c>
      <c r="AT155" s="39">
        <v>172793.04449999999</v>
      </c>
      <c r="AU155" s="39">
        <v>162457.80230000001</v>
      </c>
      <c r="AV155">
        <v>153996.101</v>
      </c>
      <c r="AW155">
        <v>147284.65090000001</v>
      </c>
    </row>
    <row r="156" spans="2:49" x14ac:dyDescent="0.25">
      <c r="B156" t="s">
        <v>227</v>
      </c>
      <c r="C156">
        <v>48301536.741083004</v>
      </c>
      <c r="D156">
        <v>49077033.537035801</v>
      </c>
      <c r="E156">
        <v>49922164.840000004</v>
      </c>
      <c r="F156">
        <v>49623158.93</v>
      </c>
      <c r="G156">
        <v>48649867.990000002</v>
      </c>
      <c r="H156">
        <v>46899164.530000001</v>
      </c>
      <c r="I156">
        <v>46512301.68</v>
      </c>
      <c r="J156">
        <v>46216649.270000003</v>
      </c>
      <c r="K156">
        <v>45635015.869999997</v>
      </c>
      <c r="L156">
        <v>44783541.100000001</v>
      </c>
      <c r="M156">
        <v>44313936.969999999</v>
      </c>
      <c r="N156">
        <v>43781998.600000001</v>
      </c>
      <c r="O156">
        <v>43733277.850000001</v>
      </c>
      <c r="P156">
        <v>43897608.93</v>
      </c>
      <c r="Q156">
        <v>43298452.740000002</v>
      </c>
      <c r="R156">
        <v>42716697.090000004</v>
      </c>
      <c r="S156">
        <v>42137043.240000002</v>
      </c>
      <c r="T156">
        <v>42864270.340000004</v>
      </c>
      <c r="U156">
        <v>42945656.539999999</v>
      </c>
      <c r="V156">
        <v>43245241</v>
      </c>
      <c r="W156">
        <v>42975801.93</v>
      </c>
      <c r="X156">
        <v>42360351.399999999</v>
      </c>
      <c r="Y156">
        <v>41207208.450000003</v>
      </c>
      <c r="Z156">
        <v>40244090.259999998</v>
      </c>
      <c r="AA156">
        <v>39308309.43</v>
      </c>
      <c r="AB156">
        <v>38251618.710000001</v>
      </c>
      <c r="AC156">
        <v>37174752.439999998</v>
      </c>
      <c r="AD156">
        <v>34808916.960000001</v>
      </c>
      <c r="AE156">
        <v>32407048.199999999</v>
      </c>
      <c r="AF156">
        <v>29991537.949999999</v>
      </c>
      <c r="AG156">
        <v>27607406.739999998</v>
      </c>
      <c r="AH156">
        <v>25247308.66</v>
      </c>
      <c r="AI156">
        <v>22615249.739999998</v>
      </c>
      <c r="AJ156">
        <v>19994092.379999999</v>
      </c>
      <c r="AK156">
        <v>17347708.140000001</v>
      </c>
      <c r="AL156">
        <v>14974744.869999999</v>
      </c>
      <c r="AM156">
        <v>12610616.560000001</v>
      </c>
      <c r="AN156">
        <v>11216646.550000001</v>
      </c>
      <c r="AO156">
        <v>9786469.3350000009</v>
      </c>
      <c r="AP156">
        <v>8360164.9970000004</v>
      </c>
      <c r="AQ156">
        <v>6948025.1040000003</v>
      </c>
      <c r="AR156">
        <v>5538042.4929999998</v>
      </c>
      <c r="AS156">
        <v>5235485.7419999996</v>
      </c>
      <c r="AT156">
        <v>4943286.5659999996</v>
      </c>
      <c r="AU156">
        <v>4657721.7929999996</v>
      </c>
      <c r="AV156">
        <v>4375476.6270000003</v>
      </c>
      <c r="AW156">
        <v>4097435.2059999998</v>
      </c>
    </row>
    <row r="157" spans="2:49" x14ac:dyDescent="0.25">
      <c r="B157" t="s">
        <v>228</v>
      </c>
      <c r="C157">
        <v>9397840.0105028208</v>
      </c>
      <c r="D157">
        <v>9548725.3716889191</v>
      </c>
      <c r="E157">
        <v>9705874.77999999</v>
      </c>
      <c r="F157">
        <v>11072453.1</v>
      </c>
      <c r="G157">
        <v>9339384.6779999901</v>
      </c>
      <c r="H157">
        <v>6732578.7510000002</v>
      </c>
      <c r="I157">
        <v>7985675.8490000004</v>
      </c>
      <c r="J157">
        <v>6290698.6440000003</v>
      </c>
      <c r="K157">
        <v>7288367.7249999996</v>
      </c>
      <c r="L157">
        <v>6540522</v>
      </c>
      <c r="M157">
        <v>6552897.2419999996</v>
      </c>
      <c r="N157">
        <v>6712801.6699999999</v>
      </c>
      <c r="O157">
        <v>6117027.2999999998</v>
      </c>
      <c r="P157">
        <v>6476545.4050000003</v>
      </c>
      <c r="Q157">
        <v>6362735.3389999997</v>
      </c>
      <c r="R157">
        <v>6476525.6540000001</v>
      </c>
      <c r="S157">
        <v>6466272.2640000004</v>
      </c>
      <c r="T157">
        <v>6368455.8370000003</v>
      </c>
      <c r="U157">
        <v>6400174.2000000002</v>
      </c>
      <c r="V157">
        <v>6439371.9119999995</v>
      </c>
      <c r="W157">
        <v>6414897.3289999999</v>
      </c>
      <c r="X157">
        <v>6350305.5599999996</v>
      </c>
      <c r="Y157">
        <v>6316531.1399999997</v>
      </c>
      <c r="Z157">
        <v>6291537.5899999999</v>
      </c>
      <c r="AA157">
        <v>6265819.4929999998</v>
      </c>
      <c r="AB157">
        <v>6065907.4939999999</v>
      </c>
      <c r="AC157">
        <v>5845499.9230000004</v>
      </c>
      <c r="AD157">
        <v>5633102.71</v>
      </c>
      <c r="AE157">
        <v>5422359.2319999998</v>
      </c>
      <c r="AF157">
        <v>5208637.0269999998</v>
      </c>
      <c r="AG157">
        <v>4991829.9740000004</v>
      </c>
      <c r="AH157">
        <v>4769538.8679999998</v>
      </c>
      <c r="AI157">
        <v>4550374.2240000004</v>
      </c>
      <c r="AJ157">
        <v>4314705.2570000002</v>
      </c>
      <c r="AK157">
        <v>4049555.3960000002</v>
      </c>
      <c r="AL157">
        <v>3764989.6379999998</v>
      </c>
      <c r="AM157">
        <v>3433757.7069999999</v>
      </c>
      <c r="AN157">
        <v>3250256.8059999999</v>
      </c>
      <c r="AO157">
        <v>3033716.1770000001</v>
      </c>
      <c r="AP157">
        <v>2789707.932</v>
      </c>
      <c r="AQ157">
        <v>2514680.9339999999</v>
      </c>
      <c r="AR157">
        <v>2197803.9900000002</v>
      </c>
      <c r="AS157">
        <v>2133007.216</v>
      </c>
      <c r="AT157">
        <v>2064147.3959999999</v>
      </c>
      <c r="AU157">
        <v>1989985.879</v>
      </c>
      <c r="AV157">
        <v>1908779.9639999999</v>
      </c>
      <c r="AW157">
        <v>1820147.16</v>
      </c>
    </row>
    <row r="158" spans="2:49" x14ac:dyDescent="0.25">
      <c r="B158" t="s">
        <v>229</v>
      </c>
      <c r="C158">
        <v>2784044.1169573502</v>
      </c>
      <c r="D158">
        <v>2828742.8457796802</v>
      </c>
      <c r="E158">
        <v>2875233.8760000002</v>
      </c>
      <c r="F158">
        <v>2985453.04</v>
      </c>
      <c r="G158">
        <v>2966087.23</v>
      </c>
      <c r="H158">
        <v>2434998.3429999999</v>
      </c>
      <c r="I158">
        <v>2461095.9010000001</v>
      </c>
      <c r="J158">
        <v>2571425.2220000001</v>
      </c>
      <c r="K158">
        <v>2509774.2259999998</v>
      </c>
      <c r="L158">
        <v>2438553.639</v>
      </c>
      <c r="M158">
        <v>2433698.0010000002</v>
      </c>
      <c r="N158">
        <v>2562165.2829999998</v>
      </c>
      <c r="O158">
        <v>2555729.5720000002</v>
      </c>
      <c r="P158">
        <v>2549518.656</v>
      </c>
      <c r="Q158">
        <v>2627298.554</v>
      </c>
      <c r="R158">
        <v>2660444.0090000001</v>
      </c>
      <c r="S158">
        <v>2623238.9160000002</v>
      </c>
      <c r="T158">
        <v>2572997.5460000001</v>
      </c>
      <c r="U158">
        <v>2540107.38</v>
      </c>
      <c r="V158">
        <v>2498007.733</v>
      </c>
      <c r="W158">
        <v>2453944.8640000001</v>
      </c>
      <c r="X158">
        <v>2391709.0920000002</v>
      </c>
      <c r="Y158">
        <v>2353152.1970000002</v>
      </c>
      <c r="Z158">
        <v>2319344.6660000002</v>
      </c>
      <c r="AA158">
        <v>2291373.8110000002</v>
      </c>
      <c r="AB158">
        <v>2266971.9879999999</v>
      </c>
      <c r="AC158">
        <v>2241799.9040000001</v>
      </c>
      <c r="AD158">
        <v>2170123.2880000002</v>
      </c>
      <c r="AE158">
        <v>2094485.007</v>
      </c>
      <c r="AF158">
        <v>2013668.459</v>
      </c>
      <c r="AG158">
        <v>1928762.091</v>
      </c>
      <c r="AH158">
        <v>1838717.152</v>
      </c>
      <c r="AI158">
        <v>1738959.5830000001</v>
      </c>
      <c r="AJ158">
        <v>1631143.1189999999</v>
      </c>
      <c r="AK158">
        <v>1510857.56</v>
      </c>
      <c r="AL158">
        <v>1386156.023</v>
      </c>
      <c r="AM158">
        <v>1244003.679</v>
      </c>
      <c r="AN158">
        <v>1162598.8389999999</v>
      </c>
      <c r="AO158">
        <v>1073319.9210000001</v>
      </c>
      <c r="AP158">
        <v>976032.44949999999</v>
      </c>
      <c r="AQ158">
        <v>868828.82499999995</v>
      </c>
      <c r="AR158">
        <v>748490.04079999996</v>
      </c>
      <c r="AS158">
        <v>719407.91189999995</v>
      </c>
      <c r="AT158">
        <v>689195.93160000001</v>
      </c>
      <c r="AU158">
        <v>657881.53040000005</v>
      </c>
      <c r="AV158">
        <v>624972.8996</v>
      </c>
      <c r="AW158">
        <v>590122.8469</v>
      </c>
    </row>
    <row r="159" spans="2:49" x14ac:dyDescent="0.25">
      <c r="B159" t="s">
        <v>230</v>
      </c>
      <c r="C159">
        <v>20640520.667746101</v>
      </c>
      <c r="D159">
        <v>20971910.903432399</v>
      </c>
      <c r="E159">
        <v>21313932.760000002</v>
      </c>
      <c r="F159">
        <v>22213143.149999999</v>
      </c>
      <c r="G159">
        <v>21958914.050000001</v>
      </c>
      <c r="H159">
        <v>21691842.300000001</v>
      </c>
      <c r="I159">
        <v>22255671.16</v>
      </c>
      <c r="J159">
        <v>22103755.690000001</v>
      </c>
      <c r="K159">
        <v>21470732.059999999</v>
      </c>
      <c r="L159">
        <v>21500368.620000001</v>
      </c>
      <c r="M159">
        <v>22255903.440000001</v>
      </c>
      <c r="N159">
        <v>23849885.739999998</v>
      </c>
      <c r="O159">
        <v>23786202.870000001</v>
      </c>
      <c r="P159">
        <v>22881737.52</v>
      </c>
      <c r="Q159">
        <v>21141035.43</v>
      </c>
      <c r="R159">
        <v>19869752.449999999</v>
      </c>
      <c r="S159">
        <v>18823701.649999999</v>
      </c>
      <c r="T159">
        <v>18259934.030000001</v>
      </c>
      <c r="U159">
        <v>17742722.949999999</v>
      </c>
      <c r="V159">
        <v>17229933.100000001</v>
      </c>
      <c r="W159">
        <v>17945216.550000001</v>
      </c>
      <c r="X159">
        <v>18455501.739999998</v>
      </c>
      <c r="Y159">
        <v>18339834.829999998</v>
      </c>
      <c r="Z159">
        <v>17985355.23</v>
      </c>
      <c r="AA159">
        <v>17412209.57</v>
      </c>
      <c r="AB159">
        <v>16464003.82</v>
      </c>
      <c r="AC159">
        <v>15418666.32</v>
      </c>
      <c r="AD159">
        <v>13976900.42</v>
      </c>
      <c r="AE159">
        <v>12544553.23</v>
      </c>
      <c r="AF159">
        <v>11164270.279999999</v>
      </c>
      <c r="AG159">
        <v>10285456.380000001</v>
      </c>
      <c r="AH159">
        <v>9434006.08699999</v>
      </c>
      <c r="AI159">
        <v>8588863.8660000004</v>
      </c>
      <c r="AJ159">
        <v>7766859.5520000001</v>
      </c>
      <c r="AK159">
        <v>6959802.3159999996</v>
      </c>
      <c r="AL159">
        <v>7409843.8710000003</v>
      </c>
      <c r="AM159">
        <v>7748370.915</v>
      </c>
      <c r="AN159">
        <v>6712074.0420000004</v>
      </c>
      <c r="AO159">
        <v>5715611.9610000001</v>
      </c>
      <c r="AP159">
        <v>4746896.6210000003</v>
      </c>
      <c r="AQ159">
        <v>3801079.952</v>
      </c>
      <c r="AR159">
        <v>2869471.4010000001</v>
      </c>
      <c r="AS159">
        <v>3073793.0469999998</v>
      </c>
      <c r="AT159">
        <v>3249114.83</v>
      </c>
      <c r="AU159">
        <v>3399112.6170000001</v>
      </c>
      <c r="AV159">
        <v>3525192.3560000001</v>
      </c>
      <c r="AW159">
        <v>3629094.5639999998</v>
      </c>
    </row>
    <row r="160" spans="2:49" x14ac:dyDescent="0.25">
      <c r="B160" t="s">
        <v>231</v>
      </c>
      <c r="C160">
        <v>261855678.291933</v>
      </c>
      <c r="D160">
        <v>266059855.90652901</v>
      </c>
      <c r="E160">
        <v>270442862.30000001</v>
      </c>
      <c r="F160">
        <v>272132039.5</v>
      </c>
      <c r="G160">
        <v>256725232.5</v>
      </c>
      <c r="H160">
        <v>238273458.59999999</v>
      </c>
      <c r="I160">
        <v>235271292.5</v>
      </c>
      <c r="J160">
        <v>228718001.69999999</v>
      </c>
      <c r="K160">
        <v>218764935.90000001</v>
      </c>
      <c r="L160">
        <v>212956095.69999999</v>
      </c>
      <c r="M160">
        <v>212118111.59999999</v>
      </c>
      <c r="N160">
        <v>213963353.5</v>
      </c>
      <c r="O160">
        <v>205205157.40000001</v>
      </c>
      <c r="P160">
        <v>197641796.90000001</v>
      </c>
      <c r="Q160">
        <v>186537112.80000001</v>
      </c>
      <c r="R160">
        <v>178937241.59999999</v>
      </c>
      <c r="S160">
        <v>171892998.09999999</v>
      </c>
      <c r="T160">
        <v>170833246.90000001</v>
      </c>
      <c r="U160">
        <v>168616773.80000001</v>
      </c>
      <c r="V160">
        <v>167042823.09999999</v>
      </c>
      <c r="W160">
        <v>161077949.5</v>
      </c>
      <c r="X160">
        <v>153449433.40000001</v>
      </c>
      <c r="Y160">
        <v>145697404.5</v>
      </c>
      <c r="Z160">
        <v>139308540.5</v>
      </c>
      <c r="AA160">
        <v>133511576.7</v>
      </c>
      <c r="AB160">
        <v>127867844.8</v>
      </c>
      <c r="AC160">
        <v>122539809</v>
      </c>
      <c r="AD160">
        <v>115115737.3</v>
      </c>
      <c r="AE160">
        <v>107994033.09999999</v>
      </c>
      <c r="AF160">
        <v>100944571.09999999</v>
      </c>
      <c r="AG160">
        <v>95210873.480000004</v>
      </c>
      <c r="AH160">
        <v>89461744.180000007</v>
      </c>
      <c r="AI160">
        <v>83264151.439999998</v>
      </c>
      <c r="AJ160">
        <v>76983192.620000005</v>
      </c>
      <c r="AK160">
        <v>70483265.709999904</v>
      </c>
      <c r="AL160">
        <v>67649408.829999998</v>
      </c>
      <c r="AM160">
        <v>64100132.719999999</v>
      </c>
      <c r="AN160">
        <v>59322114.399999999</v>
      </c>
      <c r="AO160">
        <v>54280293.609999999</v>
      </c>
      <c r="AP160">
        <v>48978807.210000001</v>
      </c>
      <c r="AQ160">
        <v>43394150.799999997</v>
      </c>
      <c r="AR160">
        <v>37403821.130000003</v>
      </c>
      <c r="AS160">
        <v>37148801.219999999</v>
      </c>
      <c r="AT160">
        <v>36866232.969999999</v>
      </c>
      <c r="AU160">
        <v>36554595.439999998</v>
      </c>
      <c r="AV160">
        <v>36193384.789999999</v>
      </c>
      <c r="AW160">
        <v>35788756.07</v>
      </c>
    </row>
    <row r="161" spans="2:49" x14ac:dyDescent="0.25">
      <c r="B161" t="s">
        <v>232</v>
      </c>
      <c r="C161">
        <v>5733144.4507061103</v>
      </c>
      <c r="D161">
        <v>5825191.9393003099</v>
      </c>
      <c r="E161">
        <v>5919233.7230000002</v>
      </c>
      <c r="F161">
        <v>6055544.9529999997</v>
      </c>
      <c r="G161">
        <v>6007263.2929999996</v>
      </c>
      <c r="H161">
        <v>6295328.5269999998</v>
      </c>
      <c r="I161">
        <v>6418836.5290000001</v>
      </c>
      <c r="J161">
        <v>6379455.949</v>
      </c>
      <c r="K161">
        <v>6254407.165</v>
      </c>
      <c r="L161">
        <v>6322017.5350000001</v>
      </c>
      <c r="M161">
        <v>6531595.2429999998</v>
      </c>
      <c r="N161">
        <v>6987620.4079999998</v>
      </c>
      <c r="O161">
        <v>7057508.6179999998</v>
      </c>
      <c r="P161">
        <v>6768376.2879999997</v>
      </c>
      <c r="Q161">
        <v>6139317.4079999998</v>
      </c>
      <c r="R161">
        <v>5702161.7539999997</v>
      </c>
      <c r="S161">
        <v>5368575.2300000004</v>
      </c>
      <c r="T161">
        <v>5131382.1100000003</v>
      </c>
      <c r="U161">
        <v>4913667.9330000002</v>
      </c>
      <c r="V161">
        <v>4711034.8329999996</v>
      </c>
      <c r="W161">
        <v>5027350.4280000003</v>
      </c>
      <c r="X161">
        <v>5205163.7410000004</v>
      </c>
      <c r="Y161">
        <v>5144332.3329999996</v>
      </c>
      <c r="Z161">
        <v>5005821.5360000003</v>
      </c>
      <c r="AA161">
        <v>4804606.7860000003</v>
      </c>
      <c r="AB161">
        <v>4504519.1619999995</v>
      </c>
      <c r="AC161">
        <v>4184432.392</v>
      </c>
      <c r="AD161">
        <v>3741878.1770000001</v>
      </c>
      <c r="AE161">
        <v>3306989.19</v>
      </c>
      <c r="AF161">
        <v>2889805.7349999999</v>
      </c>
      <c r="AG161">
        <v>2641704.9589999998</v>
      </c>
      <c r="AH161">
        <v>2403614.659</v>
      </c>
      <c r="AI161">
        <v>2170703.909</v>
      </c>
      <c r="AJ161">
        <v>1947868.102</v>
      </c>
      <c r="AK161">
        <v>1733151.757</v>
      </c>
      <c r="AL161">
        <v>1951715.138</v>
      </c>
      <c r="AM161">
        <v>2143867.2969999998</v>
      </c>
      <c r="AN161">
        <v>1828732.544</v>
      </c>
      <c r="AO161">
        <v>1528159.906</v>
      </c>
      <c r="AP161">
        <v>1239046.9779999999</v>
      </c>
      <c r="AQ161">
        <v>960483.44819999998</v>
      </c>
      <c r="AR161">
        <v>690733.01130000001</v>
      </c>
      <c r="AS161">
        <v>778527.77020000003</v>
      </c>
      <c r="AT161">
        <v>857972.3959</v>
      </c>
      <c r="AU161">
        <v>930159.67350000003</v>
      </c>
      <c r="AV161">
        <v>995510.24320000003</v>
      </c>
      <c r="AW161">
        <v>1054545.2960000001</v>
      </c>
    </row>
    <row r="162" spans="2:49" x14ac:dyDescent="0.25">
      <c r="B162" t="s">
        <v>233</v>
      </c>
      <c r="C162">
        <v>746221.21464997705</v>
      </c>
      <c r="D162">
        <v>758202.03762327298</v>
      </c>
      <c r="E162">
        <v>770375.21660000004</v>
      </c>
      <c r="F162">
        <v>784841.76210000005</v>
      </c>
      <c r="G162">
        <v>645518.07810000004</v>
      </c>
      <c r="H162">
        <v>572702.08349999995</v>
      </c>
      <c r="I162">
        <v>365263.0589</v>
      </c>
      <c r="J162">
        <v>367482.90830000001</v>
      </c>
      <c r="K162">
        <v>338646.13549999997</v>
      </c>
      <c r="L162">
        <v>333406.39899999998</v>
      </c>
      <c r="M162">
        <v>335897.25599999999</v>
      </c>
      <c r="N162">
        <v>324687.79440000001</v>
      </c>
      <c r="O162">
        <v>273962.28529999999</v>
      </c>
      <c r="P162">
        <v>233636.2936</v>
      </c>
      <c r="Q162">
        <v>203864.39790000001</v>
      </c>
      <c r="R162">
        <v>181114.01759999999</v>
      </c>
      <c r="S162">
        <v>160539.4087</v>
      </c>
      <c r="T162">
        <v>153241.08840000001</v>
      </c>
      <c r="U162">
        <v>142418.04019999999</v>
      </c>
      <c r="V162">
        <v>133839.33900000001</v>
      </c>
      <c r="W162">
        <v>116933.493</v>
      </c>
      <c r="X162">
        <v>98170.116569999998</v>
      </c>
      <c r="Y162">
        <v>88453.063080000007</v>
      </c>
      <c r="Z162">
        <v>81707.692869999999</v>
      </c>
      <c r="AA162">
        <v>76225.889710000003</v>
      </c>
      <c r="AB162">
        <v>71379.327300000004</v>
      </c>
      <c r="AC162">
        <v>67400.683929999999</v>
      </c>
      <c r="AD162">
        <v>67393.254310000004</v>
      </c>
      <c r="AE162">
        <v>67806.759810000003</v>
      </c>
      <c r="AF162">
        <v>68318.653390000007</v>
      </c>
      <c r="AG162">
        <v>68870.069090000005</v>
      </c>
      <c r="AH162">
        <v>69549.757459999906</v>
      </c>
      <c r="AI162">
        <v>70371.984909999999</v>
      </c>
      <c r="AJ162">
        <v>71149.845260000002</v>
      </c>
      <c r="AK162">
        <v>72024.411680000005</v>
      </c>
      <c r="AL162">
        <v>72936.717470000003</v>
      </c>
      <c r="AM162">
        <v>73937.199110000001</v>
      </c>
      <c r="AN162">
        <v>74601.179969999997</v>
      </c>
      <c r="AO162">
        <v>74887.295580000005</v>
      </c>
      <c r="AP162">
        <v>75079.352270000003</v>
      </c>
      <c r="AQ162">
        <v>75308.821509999994</v>
      </c>
      <c r="AR162">
        <v>75358.365210000004</v>
      </c>
      <c r="AS162">
        <v>75471.94025</v>
      </c>
      <c r="AT162">
        <v>75831.376780000006</v>
      </c>
      <c r="AU162">
        <v>76214.532770000005</v>
      </c>
      <c r="AV162">
        <v>76565.659079999998</v>
      </c>
      <c r="AW162">
        <v>77025.866699999999</v>
      </c>
    </row>
    <row r="163" spans="2:49" x14ac:dyDescent="0.25">
      <c r="B163" t="s">
        <v>234</v>
      </c>
      <c r="C163">
        <v>480333.66960581898</v>
      </c>
      <c r="D163">
        <v>488045.58203966799</v>
      </c>
      <c r="E163">
        <v>495881.31170000002</v>
      </c>
      <c r="F163">
        <v>500894.03659999999</v>
      </c>
      <c r="G163">
        <v>417067.30009999999</v>
      </c>
      <c r="H163">
        <v>385046.48599999998</v>
      </c>
      <c r="I163">
        <v>347569.37190000003</v>
      </c>
      <c r="J163">
        <v>311262.7905</v>
      </c>
      <c r="K163">
        <v>299868.35820000002</v>
      </c>
      <c r="L163">
        <v>320489.95750000002</v>
      </c>
      <c r="M163">
        <v>320562.29759999999</v>
      </c>
      <c r="N163">
        <v>320097.88410000002</v>
      </c>
      <c r="O163">
        <v>237395.9307</v>
      </c>
      <c r="P163">
        <v>181310.69699999999</v>
      </c>
      <c r="Q163">
        <v>152671.24059999999</v>
      </c>
      <c r="R163">
        <v>134677.82829999999</v>
      </c>
      <c r="S163">
        <v>120041.51119999999</v>
      </c>
      <c r="T163">
        <v>118361.41740000001</v>
      </c>
      <c r="U163">
        <v>116132.3122</v>
      </c>
      <c r="V163">
        <v>113841.2485</v>
      </c>
      <c r="W163">
        <v>116922.8876</v>
      </c>
      <c r="X163">
        <v>112610.58779999999</v>
      </c>
      <c r="Y163">
        <v>112162.46430000001</v>
      </c>
      <c r="Z163">
        <v>113740.2436</v>
      </c>
      <c r="AA163">
        <v>116711.1177</v>
      </c>
      <c r="AB163">
        <v>120927.83839999999</v>
      </c>
      <c r="AC163">
        <v>126823.76059999999</v>
      </c>
      <c r="AD163">
        <v>126966.629</v>
      </c>
      <c r="AE163">
        <v>128343.5974</v>
      </c>
      <c r="AF163">
        <v>129982.8303</v>
      </c>
      <c r="AG163">
        <v>131775.5085</v>
      </c>
      <c r="AH163">
        <v>133589.402</v>
      </c>
      <c r="AI163">
        <v>135625.72940000001</v>
      </c>
      <c r="AJ163">
        <v>137849.6116</v>
      </c>
      <c r="AK163">
        <v>140121.99470000001</v>
      </c>
      <c r="AL163">
        <v>142574.10769999999</v>
      </c>
      <c r="AM163">
        <v>145063.16699999999</v>
      </c>
      <c r="AN163">
        <v>146824.43489999999</v>
      </c>
      <c r="AO163">
        <v>148359.83319999999</v>
      </c>
      <c r="AP163">
        <v>149726.2879</v>
      </c>
      <c r="AQ163">
        <v>150969.9143</v>
      </c>
      <c r="AR163">
        <v>151976.3849</v>
      </c>
      <c r="AS163">
        <v>153496.38579999999</v>
      </c>
      <c r="AT163">
        <v>155101.27830000001</v>
      </c>
      <c r="AU163">
        <v>156758.40830000001</v>
      </c>
      <c r="AV163">
        <v>158391.06510000001</v>
      </c>
      <c r="AW163">
        <v>160014.35070000001</v>
      </c>
    </row>
    <row r="164" spans="2:49" x14ac:dyDescent="0.25">
      <c r="B164" t="s">
        <v>235</v>
      </c>
      <c r="C164">
        <v>1469582.3108926199</v>
      </c>
      <c r="D164">
        <v>1493176.93024387</v>
      </c>
      <c r="E164">
        <v>1517150.3689999999</v>
      </c>
      <c r="F164">
        <v>1533776.6259999999</v>
      </c>
      <c r="G164">
        <v>1321799.0730000001</v>
      </c>
      <c r="H164">
        <v>1268223.2549999999</v>
      </c>
      <c r="I164">
        <v>968967.94099999999</v>
      </c>
      <c r="J164">
        <v>893196.7352</v>
      </c>
      <c r="K164">
        <v>889495.50800000003</v>
      </c>
      <c r="L164">
        <v>942286.13769999996</v>
      </c>
      <c r="M164">
        <v>942407.32949999999</v>
      </c>
      <c r="N164">
        <v>944473.22690000001</v>
      </c>
      <c r="O164">
        <v>719672.49269999994</v>
      </c>
      <c r="P164">
        <v>561267.65949999995</v>
      </c>
      <c r="Q164">
        <v>475455.32</v>
      </c>
      <c r="R164">
        <v>429741.32669999998</v>
      </c>
      <c r="S164">
        <v>378591.93569999997</v>
      </c>
      <c r="T164">
        <v>368172.7145</v>
      </c>
      <c r="U164">
        <v>354686.58419999998</v>
      </c>
      <c r="V164">
        <v>341210.21389999997</v>
      </c>
      <c r="W164">
        <v>330487.85200000001</v>
      </c>
      <c r="X164">
        <v>300831.24489999999</v>
      </c>
      <c r="Y164">
        <v>284804.94630000001</v>
      </c>
      <c r="Z164">
        <v>274195.88919999998</v>
      </c>
      <c r="AA164">
        <v>266307.09179999999</v>
      </c>
      <c r="AB164">
        <v>260539.38560000001</v>
      </c>
      <c r="AC164">
        <v>257111.72070000001</v>
      </c>
      <c r="AD164">
        <v>257954.67910000001</v>
      </c>
      <c r="AE164">
        <v>261292.8026</v>
      </c>
      <c r="AF164">
        <v>265189.58149999997</v>
      </c>
      <c r="AG164">
        <v>269442.62790000002</v>
      </c>
      <c r="AH164">
        <v>273865.30800000002</v>
      </c>
      <c r="AI164">
        <v>278733.55359999998</v>
      </c>
      <c r="AJ164">
        <v>283949.85470000003</v>
      </c>
      <c r="AK164">
        <v>289266.81929999997</v>
      </c>
      <c r="AL164">
        <v>295101.2648</v>
      </c>
      <c r="AM164">
        <v>300949.21470000001</v>
      </c>
      <c r="AN164">
        <v>304938.36599999998</v>
      </c>
      <c r="AO164">
        <v>308379.44349999999</v>
      </c>
      <c r="AP164">
        <v>311459.81089999998</v>
      </c>
      <c r="AQ164">
        <v>314326.5735</v>
      </c>
      <c r="AR164">
        <v>316772.56229999999</v>
      </c>
      <c r="AS164">
        <v>320689.14069999999</v>
      </c>
      <c r="AT164">
        <v>324801.31900000002</v>
      </c>
      <c r="AU164">
        <v>328955.26659999997</v>
      </c>
      <c r="AV164">
        <v>333018.424</v>
      </c>
      <c r="AW164">
        <v>336998.74239999999</v>
      </c>
    </row>
    <row r="165" spans="2:49" x14ac:dyDescent="0.25">
      <c r="B165" t="s">
        <v>236</v>
      </c>
      <c r="C165">
        <v>225722.47732836599</v>
      </c>
      <c r="D165">
        <v>229346.52471387701</v>
      </c>
      <c r="E165">
        <v>233028.7574</v>
      </c>
      <c r="F165">
        <v>236616.91709999999</v>
      </c>
      <c r="G165">
        <v>214164.20790000001</v>
      </c>
      <c r="H165">
        <v>204038.7585</v>
      </c>
      <c r="I165">
        <v>186542.87150000001</v>
      </c>
      <c r="J165">
        <v>180468.80350000001</v>
      </c>
      <c r="K165">
        <v>182565.90299999999</v>
      </c>
      <c r="L165">
        <v>194296.269</v>
      </c>
      <c r="M165">
        <v>197884.92389999999</v>
      </c>
      <c r="N165">
        <v>202121.46840000001</v>
      </c>
      <c r="O165">
        <v>169152.78890000001</v>
      </c>
      <c r="P165">
        <v>147329.42259999999</v>
      </c>
      <c r="Q165">
        <v>135372.6734</v>
      </c>
      <c r="R165">
        <v>131391.73389999999</v>
      </c>
      <c r="S165">
        <v>124085.4143</v>
      </c>
      <c r="T165">
        <v>120910.82919999999</v>
      </c>
      <c r="U165">
        <v>118930.3109</v>
      </c>
      <c r="V165">
        <v>116989.55009999999</v>
      </c>
      <c r="W165">
        <v>109789.6658</v>
      </c>
      <c r="X165">
        <v>99378.246880000006</v>
      </c>
      <c r="Y165">
        <v>93591.720610000004</v>
      </c>
      <c r="Z165">
        <v>89111.331749999998</v>
      </c>
      <c r="AA165">
        <v>85329.908360000001</v>
      </c>
      <c r="AB165">
        <v>82345.594110000005</v>
      </c>
      <c r="AC165">
        <v>79935.028630000001</v>
      </c>
      <c r="AD165">
        <v>79872.060689999998</v>
      </c>
      <c r="AE165">
        <v>80628.084140000006</v>
      </c>
      <c r="AF165">
        <v>81585.622099999906</v>
      </c>
      <c r="AG165">
        <v>82675.950840000005</v>
      </c>
      <c r="AH165">
        <v>83775.241580000002</v>
      </c>
      <c r="AI165">
        <v>85024.506150000001</v>
      </c>
      <c r="AJ165">
        <v>86500.228520000004</v>
      </c>
      <c r="AK165">
        <v>88060.48818</v>
      </c>
      <c r="AL165">
        <v>89724.054990000004</v>
      </c>
      <c r="AM165">
        <v>91465.917910000004</v>
      </c>
      <c r="AN165">
        <v>92748.942139999999</v>
      </c>
      <c r="AO165">
        <v>93897.05863</v>
      </c>
      <c r="AP165">
        <v>94954.846680000002</v>
      </c>
      <c r="AQ165">
        <v>95935.738459999906</v>
      </c>
      <c r="AR165">
        <v>96834.409180000002</v>
      </c>
      <c r="AS165">
        <v>98024.635030000005</v>
      </c>
      <c r="AT165">
        <v>99228.304579999996</v>
      </c>
      <c r="AU165">
        <v>100441.0629</v>
      </c>
      <c r="AV165">
        <v>101634.4274</v>
      </c>
      <c r="AW165">
        <v>102809.98390000001</v>
      </c>
    </row>
    <row r="166" spans="2:49" x14ac:dyDescent="0.25">
      <c r="B166" t="s">
        <v>237</v>
      </c>
      <c r="C166">
        <v>20679763.666016001</v>
      </c>
      <c r="D166">
        <v>21011783.9607329</v>
      </c>
      <c r="E166">
        <v>21361609.239999998</v>
      </c>
      <c r="F166">
        <v>21497340.030000001</v>
      </c>
      <c r="G166">
        <v>18177773.079999998</v>
      </c>
      <c r="H166">
        <v>15177212.6</v>
      </c>
      <c r="I166">
        <v>15556507.720000001</v>
      </c>
      <c r="J166">
        <v>15187907.23</v>
      </c>
      <c r="K166">
        <v>14454754.93</v>
      </c>
      <c r="L166">
        <v>15140324.6</v>
      </c>
      <c r="M166">
        <v>15510792.77</v>
      </c>
      <c r="N166">
        <v>15834918.6</v>
      </c>
      <c r="O166">
        <v>13071217.359999999</v>
      </c>
      <c r="P166">
        <v>11709215.029999999</v>
      </c>
      <c r="Q166">
        <v>10628294</v>
      </c>
      <c r="R166">
        <v>9749625.4210000001</v>
      </c>
      <c r="S166">
        <v>9100998.0549999997</v>
      </c>
      <c r="T166">
        <v>9161488.7100000009</v>
      </c>
      <c r="U166">
        <v>9083107.2819999997</v>
      </c>
      <c r="V166">
        <v>9145666.1309999898</v>
      </c>
      <c r="W166">
        <v>8597027.4220000003</v>
      </c>
      <c r="X166">
        <v>7896137.7910000002</v>
      </c>
      <c r="Y166">
        <v>7392131.8370000003</v>
      </c>
      <c r="Z166">
        <v>7063093.6150000002</v>
      </c>
      <c r="AA166">
        <v>6811777.9009999996</v>
      </c>
      <c r="AB166">
        <v>6601026.4809999997</v>
      </c>
      <c r="AC166">
        <v>6430745.8509999998</v>
      </c>
      <c r="AD166">
        <v>6422272.409</v>
      </c>
      <c r="AE166">
        <v>6454877.8710000003</v>
      </c>
      <c r="AF166">
        <v>6496024.7120000003</v>
      </c>
      <c r="AG166">
        <v>6540962.7640000004</v>
      </c>
      <c r="AH166">
        <v>6589065.6279999996</v>
      </c>
      <c r="AI166">
        <v>6648636.5590000004</v>
      </c>
      <c r="AJ166">
        <v>6709413.9299999997</v>
      </c>
      <c r="AK166">
        <v>6771112.2290000003</v>
      </c>
      <c r="AL166">
        <v>6833216.767</v>
      </c>
      <c r="AM166">
        <v>6892830.0209999997</v>
      </c>
      <c r="AN166">
        <v>6937355.4630000005</v>
      </c>
      <c r="AO166">
        <v>6972751.4570000004</v>
      </c>
      <c r="AP166">
        <v>7001437.1909999996</v>
      </c>
      <c r="AQ166">
        <v>7026268.909</v>
      </c>
      <c r="AR166">
        <v>7040283.773</v>
      </c>
      <c r="AS166">
        <v>7064065.2970000003</v>
      </c>
      <c r="AT166">
        <v>7091032.2580000004</v>
      </c>
      <c r="AU166">
        <v>7117477.0609999998</v>
      </c>
      <c r="AV166">
        <v>7140535.3770000003</v>
      </c>
      <c r="AW166">
        <v>7162530.5250000004</v>
      </c>
    </row>
    <row r="167" spans="2:49" x14ac:dyDescent="0.25">
      <c r="B167" t="s">
        <v>238</v>
      </c>
      <c r="C167">
        <v>2009388.6600685499</v>
      </c>
      <c r="D167">
        <v>2041650.04496113</v>
      </c>
      <c r="E167">
        <v>2074429.3970000001</v>
      </c>
      <c r="F167">
        <v>2144601.571</v>
      </c>
      <c r="G167">
        <v>1718787.1850000001</v>
      </c>
      <c r="H167">
        <v>1632035.1359999999</v>
      </c>
      <c r="I167">
        <v>1642109.0759999999</v>
      </c>
      <c r="J167">
        <v>1518201.7760000001</v>
      </c>
      <c r="K167">
        <v>1558126.169</v>
      </c>
      <c r="L167">
        <v>1790139.902</v>
      </c>
      <c r="M167">
        <v>1867488.5319999999</v>
      </c>
      <c r="N167">
        <v>1880137.6140000001</v>
      </c>
      <c r="O167">
        <v>1192124.848</v>
      </c>
      <c r="P167">
        <v>820646.30929999996</v>
      </c>
      <c r="Q167">
        <v>660522.77339999995</v>
      </c>
      <c r="R167">
        <v>596497.02780000004</v>
      </c>
      <c r="S167">
        <v>521128.65860000002</v>
      </c>
      <c r="T167">
        <v>527308.63179999997</v>
      </c>
      <c r="U167">
        <v>531311.56310000003</v>
      </c>
      <c r="V167">
        <v>543853.755</v>
      </c>
      <c r="W167">
        <v>564938.56240000005</v>
      </c>
      <c r="X167">
        <v>559083.68550000002</v>
      </c>
      <c r="Y167">
        <v>533161.03599999996</v>
      </c>
      <c r="Z167">
        <v>509081.15419999999</v>
      </c>
      <c r="AA167">
        <v>484924.81270000001</v>
      </c>
      <c r="AB167">
        <v>460722.23469999997</v>
      </c>
      <c r="AC167">
        <v>437930.61560000002</v>
      </c>
      <c r="AD167">
        <v>440123.32569999999</v>
      </c>
      <c r="AE167">
        <v>447408.7071</v>
      </c>
      <c r="AF167">
        <v>456008.39350000001</v>
      </c>
      <c r="AG167">
        <v>465112.57199999999</v>
      </c>
      <c r="AH167">
        <v>474471.67460000003</v>
      </c>
      <c r="AI167">
        <v>485385.2254</v>
      </c>
      <c r="AJ167">
        <v>496759.49709999998</v>
      </c>
      <c r="AK167">
        <v>508412.40350000001</v>
      </c>
      <c r="AL167">
        <v>520534.5025</v>
      </c>
      <c r="AM167">
        <v>532542.57140000002</v>
      </c>
      <c r="AN167">
        <v>545881.63560000004</v>
      </c>
      <c r="AO167">
        <v>559143.12780000002</v>
      </c>
      <c r="AP167">
        <v>572482.91689999995</v>
      </c>
      <c r="AQ167">
        <v>586039.43720000004</v>
      </c>
      <c r="AR167">
        <v>599023.57999999996</v>
      </c>
      <c r="AS167">
        <v>611576.64709999994</v>
      </c>
      <c r="AT167">
        <v>624881.24780000001</v>
      </c>
      <c r="AU167">
        <v>638827.9682</v>
      </c>
      <c r="AV167">
        <v>652971.20180000004</v>
      </c>
      <c r="AW167">
        <v>667560.06019999995</v>
      </c>
    </row>
    <row r="168" spans="2:49" x14ac:dyDescent="0.25">
      <c r="B168" t="s">
        <v>239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</row>
    <row r="169" spans="2:49" x14ac:dyDescent="0.25">
      <c r="B169" t="s">
        <v>240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</row>
    <row r="170" spans="2:49" x14ac:dyDescent="0.25">
      <c r="B170" t="s">
        <v>241</v>
      </c>
      <c r="C170">
        <v>20174774.421468802</v>
      </c>
      <c r="D170">
        <v>20498686.950521201</v>
      </c>
      <c r="E170">
        <v>20827800</v>
      </c>
      <c r="F170">
        <v>19738406.780000001</v>
      </c>
      <c r="G170">
        <v>18556521.670000002</v>
      </c>
      <c r="H170">
        <v>16349579.390000001</v>
      </c>
      <c r="I170">
        <v>15280600.939999999</v>
      </c>
      <c r="J170">
        <v>14420719.99</v>
      </c>
      <c r="K170">
        <v>13452624.42</v>
      </c>
      <c r="L170">
        <v>12348164.960000001</v>
      </c>
      <c r="M170">
        <v>11291814.199999999</v>
      </c>
      <c r="N170">
        <v>10199807.109999999</v>
      </c>
      <c r="O170">
        <v>8641077.3859999999</v>
      </c>
      <c r="P170">
        <v>7305328.7149999999</v>
      </c>
      <c r="Q170">
        <v>6038296.943</v>
      </c>
      <c r="R170">
        <v>4575203.648</v>
      </c>
      <c r="S170">
        <v>3066095.6329999999</v>
      </c>
      <c r="T170">
        <v>2819349.537</v>
      </c>
      <c r="U170">
        <v>2672843.0099999998</v>
      </c>
      <c r="V170">
        <v>2537392.068</v>
      </c>
      <c r="W170">
        <v>1699208.6839999999</v>
      </c>
      <c r="X170">
        <v>801202.61170000001</v>
      </c>
      <c r="Y170">
        <v>585255.99910000002</v>
      </c>
      <c r="Z170">
        <v>414213.2573</v>
      </c>
      <c r="AA170">
        <v>249575.59659999999</v>
      </c>
      <c r="AB170">
        <v>236240.27960000001</v>
      </c>
      <c r="AC170">
        <v>234745.0906</v>
      </c>
      <c r="AD170">
        <v>199608.21090000001</v>
      </c>
      <c r="AE170">
        <v>160917.32680000001</v>
      </c>
      <c r="AF170">
        <v>121638.63189999999</v>
      </c>
      <c r="AG170">
        <v>114143.3006</v>
      </c>
      <c r="AH170">
        <v>109448.6063</v>
      </c>
      <c r="AI170">
        <v>108922.0738</v>
      </c>
      <c r="AJ170">
        <v>108869.25229999999</v>
      </c>
      <c r="AK170">
        <v>108830.1115</v>
      </c>
      <c r="AL170">
        <v>109184.2702</v>
      </c>
      <c r="AM170">
        <v>109441.30250000001</v>
      </c>
      <c r="AN170">
        <v>109675.6893</v>
      </c>
      <c r="AO170">
        <v>109836.98050000001</v>
      </c>
      <c r="AP170">
        <v>109940.2723</v>
      </c>
      <c r="AQ170">
        <v>110004.9733</v>
      </c>
      <c r="AR170">
        <v>109996.8009</v>
      </c>
      <c r="AS170">
        <v>110306.92200000001</v>
      </c>
      <c r="AT170">
        <v>110665.3443</v>
      </c>
      <c r="AU170">
        <v>110997.64599999999</v>
      </c>
      <c r="AV170">
        <v>111282.00719999999</v>
      </c>
      <c r="AW170">
        <v>111526.27529999999</v>
      </c>
    </row>
    <row r="171" spans="2:49" x14ac:dyDescent="0.25">
      <c r="B171" t="s">
        <v>242</v>
      </c>
      <c r="C171">
        <v>16278956.881142</v>
      </c>
      <c r="D171">
        <v>16540320.799446501</v>
      </c>
      <c r="E171">
        <v>16805881</v>
      </c>
      <c r="F171">
        <v>16657926.26</v>
      </c>
      <c r="G171">
        <v>15809252.49</v>
      </c>
      <c r="H171">
        <v>15154195.949999999</v>
      </c>
      <c r="I171">
        <v>14674513.26</v>
      </c>
      <c r="J171">
        <v>12859224.869999999</v>
      </c>
      <c r="K171">
        <v>11211649.77</v>
      </c>
      <c r="L171">
        <v>9843191.5089999996</v>
      </c>
      <c r="M171">
        <v>8803596.2510000002</v>
      </c>
      <c r="N171">
        <v>7947024.6550000003</v>
      </c>
      <c r="O171">
        <v>7202964.9809999997</v>
      </c>
      <c r="P171">
        <v>6475298.8119999999</v>
      </c>
      <c r="Q171">
        <v>5717210.2790000001</v>
      </c>
      <c r="R171">
        <v>5078909.9069999997</v>
      </c>
      <c r="S171">
        <v>4433713.199</v>
      </c>
      <c r="T171">
        <v>5209709.38</v>
      </c>
      <c r="U171">
        <v>5932400.8870000001</v>
      </c>
      <c r="V171">
        <v>6605585.1359999999</v>
      </c>
      <c r="W171">
        <v>7367003.7149999999</v>
      </c>
      <c r="X171">
        <v>8022554.7209999999</v>
      </c>
      <c r="Y171">
        <v>7794033.9879999999</v>
      </c>
      <c r="Z171">
        <v>7573967.2379999999</v>
      </c>
      <c r="AA171">
        <v>7355523.8059999999</v>
      </c>
      <c r="AB171">
        <v>7138643.2539999997</v>
      </c>
      <c r="AC171">
        <v>6913168.4850000003</v>
      </c>
      <c r="AD171">
        <v>6682525.25</v>
      </c>
      <c r="AE171">
        <v>6434784.6239999998</v>
      </c>
      <c r="AF171">
        <v>6165058.7350000003</v>
      </c>
      <c r="AG171">
        <v>5954509.9409999996</v>
      </c>
      <c r="AH171">
        <v>5711953.1689999998</v>
      </c>
      <c r="AI171">
        <v>5566024.3090000004</v>
      </c>
      <c r="AJ171">
        <v>5356701.3590000002</v>
      </c>
      <c r="AK171">
        <v>5073311.9400000004</v>
      </c>
      <c r="AL171">
        <v>4973880.0860000001</v>
      </c>
      <c r="AM171">
        <v>4723309.34</v>
      </c>
      <c r="AN171">
        <v>4658820.5559999999</v>
      </c>
      <c r="AO171">
        <v>4509379.585</v>
      </c>
      <c r="AP171">
        <v>4275774.68</v>
      </c>
      <c r="AQ171">
        <v>3952507.9270000001</v>
      </c>
      <c r="AR171">
        <v>3520279.8840000001</v>
      </c>
      <c r="AS171">
        <v>3141834.8029999998</v>
      </c>
      <c r="AT171">
        <v>2787988.4449999998</v>
      </c>
      <c r="AU171">
        <v>2457812.8130000001</v>
      </c>
      <c r="AV171">
        <v>2148717.5950000002</v>
      </c>
      <c r="AW171">
        <v>1860110.389</v>
      </c>
    </row>
    <row r="172" spans="2:49" x14ac:dyDescent="0.25">
      <c r="B172" t="s">
        <v>243</v>
      </c>
      <c r="C172">
        <v>6501803.9853722304</v>
      </c>
      <c r="D172">
        <v>6606192.55142547</v>
      </c>
      <c r="E172">
        <v>6714977.4309999999</v>
      </c>
      <c r="F172">
        <v>6905026.3389999997</v>
      </c>
      <c r="G172">
        <v>6570985.2779999999</v>
      </c>
      <c r="H172">
        <v>6916938.5719999997</v>
      </c>
      <c r="I172">
        <v>7098076.8190000001</v>
      </c>
      <c r="J172">
        <v>6692328.0049999999</v>
      </c>
      <c r="K172">
        <v>6420637.4100000001</v>
      </c>
      <c r="L172">
        <v>6237542.1009999998</v>
      </c>
      <c r="M172">
        <v>6665939.1040000003</v>
      </c>
      <c r="N172">
        <v>7117135.9529999997</v>
      </c>
      <c r="O172">
        <v>7377621.1449999996</v>
      </c>
      <c r="P172">
        <v>7416013.415</v>
      </c>
      <c r="Q172">
        <v>6895036.6849999996</v>
      </c>
      <c r="R172">
        <v>6899946.716</v>
      </c>
      <c r="S172">
        <v>6944120.2680000002</v>
      </c>
      <c r="T172">
        <v>6995162.8789999997</v>
      </c>
      <c r="U172">
        <v>7019269.6830000002</v>
      </c>
      <c r="V172">
        <v>7064457.8099999996</v>
      </c>
      <c r="W172">
        <v>7017551.3300000001</v>
      </c>
      <c r="X172">
        <v>6914543.0350000001</v>
      </c>
      <c r="Y172">
        <v>6940375.1270000003</v>
      </c>
      <c r="Z172">
        <v>6972622.6749999998</v>
      </c>
      <c r="AA172">
        <v>7002763.1279999996</v>
      </c>
      <c r="AB172">
        <v>7009256.875</v>
      </c>
      <c r="AC172">
        <v>6991115.233</v>
      </c>
      <c r="AD172">
        <v>6864379.3380000005</v>
      </c>
      <c r="AE172">
        <v>6728665.2989999996</v>
      </c>
      <c r="AF172">
        <v>6569150.227</v>
      </c>
      <c r="AG172">
        <v>6387665.0690000001</v>
      </c>
      <c r="AH172">
        <v>6180182.7989999996</v>
      </c>
      <c r="AI172">
        <v>5928804.3600000003</v>
      </c>
      <c r="AJ172">
        <v>5646377.6090000002</v>
      </c>
      <c r="AK172">
        <v>5309753.1660000002</v>
      </c>
      <c r="AL172">
        <v>4931879.125</v>
      </c>
      <c r="AM172">
        <v>4479839.5089999996</v>
      </c>
      <c r="AN172">
        <v>4249225.7560000001</v>
      </c>
      <c r="AO172">
        <v>3982041.0589999999</v>
      </c>
      <c r="AP172">
        <v>3672331.5559999999</v>
      </c>
      <c r="AQ172">
        <v>3314563.2429999998</v>
      </c>
      <c r="AR172">
        <v>2895140.5449999999</v>
      </c>
      <c r="AS172">
        <v>2810156.41</v>
      </c>
      <c r="AT172">
        <v>2716321.4249999998</v>
      </c>
      <c r="AU172">
        <v>2616207.3169999998</v>
      </c>
      <c r="AV172">
        <v>2507176.6680000001</v>
      </c>
      <c r="AW172">
        <v>2387520.5279999999</v>
      </c>
    </row>
    <row r="173" spans="2:49" x14ac:dyDescent="0.25">
      <c r="B173" t="s">
        <v>244</v>
      </c>
      <c r="C173">
        <v>6377150.6112568304</v>
      </c>
      <c r="D173">
        <v>6479537.8270683698</v>
      </c>
      <c r="E173">
        <v>6586237.0690000001</v>
      </c>
      <c r="F173">
        <v>6724054.3669999996</v>
      </c>
      <c r="G173">
        <v>6338824.2539999997</v>
      </c>
      <c r="H173">
        <v>6608449.9500000002</v>
      </c>
      <c r="I173">
        <v>6493857.3049999997</v>
      </c>
      <c r="J173">
        <v>6250988.7000000002</v>
      </c>
      <c r="K173">
        <v>5857990.8459999999</v>
      </c>
      <c r="L173">
        <v>5765621.307</v>
      </c>
      <c r="M173">
        <v>5875318.9560000002</v>
      </c>
      <c r="N173">
        <v>6078533.5899999999</v>
      </c>
      <c r="O173">
        <v>5382422.8470000001</v>
      </c>
      <c r="P173">
        <v>4639560.3710000003</v>
      </c>
      <c r="Q173">
        <v>3942972.4580000001</v>
      </c>
      <c r="R173">
        <v>3536657.071</v>
      </c>
      <c r="S173">
        <v>3261733.77</v>
      </c>
      <c r="T173">
        <v>3234593.73</v>
      </c>
      <c r="U173">
        <v>3266881.2289999998</v>
      </c>
      <c r="V173">
        <v>3285727.6839999999</v>
      </c>
      <c r="W173">
        <v>3055532.8689999999</v>
      </c>
      <c r="X173">
        <v>2720128.5950000002</v>
      </c>
      <c r="Y173">
        <v>2449440.497</v>
      </c>
      <c r="Z173">
        <v>2205602.7310000001</v>
      </c>
      <c r="AA173">
        <v>1997428.818</v>
      </c>
      <c r="AB173">
        <v>1815480.9750000001</v>
      </c>
      <c r="AC173">
        <v>1655880.548</v>
      </c>
      <c r="AD173">
        <v>1608444.2919999999</v>
      </c>
      <c r="AE173">
        <v>1584192.3419999999</v>
      </c>
      <c r="AF173">
        <v>1558945.7560000001</v>
      </c>
      <c r="AG173">
        <v>1529320.7879999999</v>
      </c>
      <c r="AH173">
        <v>1490855.196</v>
      </c>
      <c r="AI173">
        <v>1439924.7290000001</v>
      </c>
      <c r="AJ173">
        <v>1381837.0149999999</v>
      </c>
      <c r="AK173">
        <v>1309890.254</v>
      </c>
      <c r="AL173">
        <v>1225930.419</v>
      </c>
      <c r="AM173">
        <v>1122784.9650000001</v>
      </c>
      <c r="AN173">
        <v>1074696.8149999999</v>
      </c>
      <c r="AO173">
        <v>1016529.334</v>
      </c>
      <c r="AP173">
        <v>946233.62060000002</v>
      </c>
      <c r="AQ173">
        <v>861873.38300000003</v>
      </c>
      <c r="AR173">
        <v>759592.62459999998</v>
      </c>
      <c r="AS173">
        <v>743978.03890000004</v>
      </c>
      <c r="AT173">
        <v>725438.76509999996</v>
      </c>
      <c r="AU173">
        <v>704736.13439999998</v>
      </c>
      <c r="AV173">
        <v>681151.61140000005</v>
      </c>
      <c r="AW173">
        <v>654184.31189999997</v>
      </c>
    </row>
    <row r="174" spans="2:49" x14ac:dyDescent="0.25">
      <c r="B174" t="s">
        <v>245</v>
      </c>
      <c r="C174">
        <v>415184.68418409303</v>
      </c>
      <c r="D174">
        <v>421850.60858395998</v>
      </c>
      <c r="E174">
        <v>428797.26770000003</v>
      </c>
      <c r="F174">
        <v>429161.23869999999</v>
      </c>
      <c r="G174">
        <v>402362.29560000001</v>
      </c>
      <c r="H174">
        <v>363704.99719999998</v>
      </c>
      <c r="I174">
        <v>391609.99209999997</v>
      </c>
      <c r="J174">
        <v>378179.25699999998</v>
      </c>
      <c r="K174">
        <v>361267.40460000001</v>
      </c>
      <c r="L174">
        <v>362653.26510000002</v>
      </c>
      <c r="M174">
        <v>384996.6139</v>
      </c>
      <c r="N174">
        <v>441489.07439999998</v>
      </c>
      <c r="O174">
        <v>397135.25760000001</v>
      </c>
      <c r="P174">
        <v>341109.83399999997</v>
      </c>
      <c r="Q174">
        <v>282211.761</v>
      </c>
      <c r="R174">
        <v>248333.5816</v>
      </c>
      <c r="S174">
        <v>204165.7414</v>
      </c>
      <c r="T174">
        <v>201241.52910000001</v>
      </c>
      <c r="U174">
        <v>199764.9081</v>
      </c>
      <c r="V174">
        <v>202589.49909999999</v>
      </c>
      <c r="W174">
        <v>184755.49739999999</v>
      </c>
      <c r="X174">
        <v>156262.99780000001</v>
      </c>
      <c r="Y174">
        <v>128439.6433</v>
      </c>
      <c r="Z174">
        <v>108700.6265</v>
      </c>
      <c r="AA174">
        <v>93299.704249999995</v>
      </c>
      <c r="AB174">
        <v>80609.323180000007</v>
      </c>
      <c r="AC174">
        <v>70268.486269999994</v>
      </c>
      <c r="AD174">
        <v>66491.669980000006</v>
      </c>
      <c r="AE174">
        <v>64259.31033</v>
      </c>
      <c r="AF174">
        <v>62354.441780000001</v>
      </c>
      <c r="AG174">
        <v>60505.104240000001</v>
      </c>
      <c r="AH174">
        <v>58538.114099999999</v>
      </c>
      <c r="AI174">
        <v>56462.579590000001</v>
      </c>
      <c r="AJ174">
        <v>53919.674890000002</v>
      </c>
      <c r="AK174">
        <v>50728.702579999997</v>
      </c>
      <c r="AL174">
        <v>47112.150970000002</v>
      </c>
      <c r="AM174">
        <v>42717.902349999997</v>
      </c>
      <c r="AN174">
        <v>40561.478230000001</v>
      </c>
      <c r="AO174">
        <v>38005.490749999997</v>
      </c>
      <c r="AP174">
        <v>35064.679190000003</v>
      </c>
      <c r="AQ174">
        <v>31661.804349999999</v>
      </c>
      <c r="AR174">
        <v>27754.86549</v>
      </c>
      <c r="AS174">
        <v>26981.915809999999</v>
      </c>
      <c r="AT174">
        <v>26136.401129999998</v>
      </c>
      <c r="AU174">
        <v>25216.544010000001</v>
      </c>
      <c r="AV174">
        <v>24193.943080000001</v>
      </c>
      <c r="AW174">
        <v>23038.00361</v>
      </c>
    </row>
    <row r="175" spans="2:49" x14ac:dyDescent="0.25">
      <c r="B175" t="s">
        <v>246</v>
      </c>
      <c r="C175">
        <v>4757556.1935294</v>
      </c>
      <c r="D175">
        <v>4833940.2970916703</v>
      </c>
      <c r="E175">
        <v>4913541.3090000004</v>
      </c>
      <c r="F175">
        <v>4950838.4649999999</v>
      </c>
      <c r="G175">
        <v>4480697.392</v>
      </c>
      <c r="H175">
        <v>4063140.9649999999</v>
      </c>
      <c r="I175">
        <v>3414263.9360000002</v>
      </c>
      <c r="J175">
        <v>3548159.608</v>
      </c>
      <c r="K175">
        <v>3177041.0460000001</v>
      </c>
      <c r="L175">
        <v>3046569.8849999998</v>
      </c>
      <c r="M175">
        <v>3113018.5120000001</v>
      </c>
      <c r="N175">
        <v>3188026.7519999999</v>
      </c>
      <c r="O175">
        <v>2923774.818</v>
      </c>
      <c r="P175">
        <v>2583935.9339999999</v>
      </c>
      <c r="Q175">
        <v>2238741.523</v>
      </c>
      <c r="R175">
        <v>1981877.0449999999</v>
      </c>
      <c r="S175">
        <v>1754562.7879999999</v>
      </c>
      <c r="T175">
        <v>1657915.7890000001</v>
      </c>
      <c r="U175">
        <v>1553266.9790000001</v>
      </c>
      <c r="V175">
        <v>1441774.1129999999</v>
      </c>
      <c r="W175">
        <v>1299732.1780000001</v>
      </c>
      <c r="X175">
        <v>1115142.2039999999</v>
      </c>
      <c r="Y175">
        <v>1054141.7509999999</v>
      </c>
      <c r="Z175">
        <v>1030679.037</v>
      </c>
      <c r="AA175">
        <v>1029647.245</v>
      </c>
      <c r="AB175">
        <v>1043743.118</v>
      </c>
      <c r="AC175">
        <v>1074399.2790000001</v>
      </c>
      <c r="AD175">
        <v>1037584.765</v>
      </c>
      <c r="AE175">
        <v>1015088.053</v>
      </c>
      <c r="AF175">
        <v>992315.68050000002</v>
      </c>
      <c r="AG175">
        <v>967290.34950000001</v>
      </c>
      <c r="AH175">
        <v>937309.11699999997</v>
      </c>
      <c r="AI175">
        <v>901068.3297</v>
      </c>
      <c r="AJ175">
        <v>860527.85380000004</v>
      </c>
      <c r="AK175">
        <v>812549.51489999995</v>
      </c>
      <c r="AL175">
        <v>758088.88989999995</v>
      </c>
      <c r="AM175">
        <v>693114.3236</v>
      </c>
      <c r="AN175">
        <v>657284.16130000004</v>
      </c>
      <c r="AO175">
        <v>615232.93240000005</v>
      </c>
      <c r="AP175">
        <v>567413.67319999996</v>
      </c>
      <c r="AQ175">
        <v>513092.39750000002</v>
      </c>
      <c r="AR175">
        <v>450223.87319999997</v>
      </c>
      <c r="AS175">
        <v>437525.40169999999</v>
      </c>
      <c r="AT175">
        <v>423369.82169999997</v>
      </c>
      <c r="AU175">
        <v>408215.11359999998</v>
      </c>
      <c r="AV175">
        <v>391721.05930000002</v>
      </c>
      <c r="AW175">
        <v>373746.21340000001</v>
      </c>
    </row>
    <row r="176" spans="2:49" x14ac:dyDescent="0.25">
      <c r="B176" t="s">
        <v>247</v>
      </c>
      <c r="C176">
        <v>16503281.675133999</v>
      </c>
      <c r="D176">
        <v>16768247.200565999</v>
      </c>
      <c r="E176">
        <v>17044371.719999999</v>
      </c>
      <c r="F176">
        <v>17200720.039999999</v>
      </c>
      <c r="G176">
        <v>15693174.220000001</v>
      </c>
      <c r="H176">
        <v>14050714.27</v>
      </c>
      <c r="I176">
        <v>12927665.59</v>
      </c>
      <c r="J176">
        <v>13788806.75</v>
      </c>
      <c r="K176">
        <v>12347598.4</v>
      </c>
      <c r="L176">
        <v>11830674.74</v>
      </c>
      <c r="M176">
        <v>12095622.5</v>
      </c>
      <c r="N176">
        <v>12338597.43</v>
      </c>
      <c r="O176">
        <v>11672638.1</v>
      </c>
      <c r="P176">
        <v>10666672.939999999</v>
      </c>
      <c r="Q176">
        <v>9475953.5480000004</v>
      </c>
      <c r="R176">
        <v>8622623.5089999996</v>
      </c>
      <c r="S176">
        <v>7846700.7759999996</v>
      </c>
      <c r="T176">
        <v>7710252.3540000003</v>
      </c>
      <c r="U176">
        <v>7377323.6500000004</v>
      </c>
      <c r="V176">
        <v>7087846.5489999996</v>
      </c>
      <c r="W176">
        <v>6156979.7019999996</v>
      </c>
      <c r="X176">
        <v>5086094.8499999996</v>
      </c>
      <c r="Y176">
        <v>4460373.6940000001</v>
      </c>
      <c r="Z176">
        <v>3988704.13</v>
      </c>
      <c r="AA176">
        <v>3599630.8530000001</v>
      </c>
      <c r="AB176">
        <v>3260604.665</v>
      </c>
      <c r="AC176">
        <v>2979403.3470000001</v>
      </c>
      <c r="AD176">
        <v>2888451.6009999998</v>
      </c>
      <c r="AE176">
        <v>2819098.69</v>
      </c>
      <c r="AF176">
        <v>2747304.6630000002</v>
      </c>
      <c r="AG176">
        <v>2669578.406</v>
      </c>
      <c r="AH176">
        <v>2583708.4679999999</v>
      </c>
      <c r="AI176">
        <v>2481479.8130000001</v>
      </c>
      <c r="AJ176">
        <v>2362936.1069999998</v>
      </c>
      <c r="AK176">
        <v>2227844.7519999999</v>
      </c>
      <c r="AL176">
        <v>2075348.1610000001</v>
      </c>
      <c r="AM176">
        <v>1896553.5060000001</v>
      </c>
      <c r="AN176">
        <v>1803736.2250000001</v>
      </c>
      <c r="AO176">
        <v>1688822.912</v>
      </c>
      <c r="AP176">
        <v>1557704.4939999999</v>
      </c>
      <c r="AQ176">
        <v>1409996.87</v>
      </c>
      <c r="AR176">
        <v>1235993.7409999999</v>
      </c>
      <c r="AS176">
        <v>1199203.5290000001</v>
      </c>
      <c r="AT176">
        <v>1161958.449</v>
      </c>
      <c r="AU176">
        <v>1121965.798</v>
      </c>
      <c r="AV176">
        <v>1077926.3799999999</v>
      </c>
      <c r="AW176">
        <v>1031303.879</v>
      </c>
    </row>
    <row r="177" spans="2:49" x14ac:dyDescent="0.25">
      <c r="B177" t="s">
        <v>248</v>
      </c>
      <c r="C177">
        <v>11632594.838881901</v>
      </c>
      <c r="D177">
        <v>11819359.911689499</v>
      </c>
      <c r="E177">
        <v>12013990.58</v>
      </c>
      <c r="F177">
        <v>12011236.4</v>
      </c>
      <c r="G177">
        <v>11103662.029999999</v>
      </c>
      <c r="H177">
        <v>10442011.449999999</v>
      </c>
      <c r="I177">
        <v>8797557.2300000004</v>
      </c>
      <c r="J177">
        <v>7867529.9239999996</v>
      </c>
      <c r="K177">
        <v>7151378.5990000004</v>
      </c>
      <c r="L177">
        <v>7060919.6040000003</v>
      </c>
      <c r="M177">
        <v>7013062.0549999997</v>
      </c>
      <c r="N177">
        <v>7289195.6459999997</v>
      </c>
      <c r="O177">
        <v>6556623.4110000003</v>
      </c>
      <c r="P177">
        <v>5685292.0520000001</v>
      </c>
      <c r="Q177">
        <v>4944052.4680000003</v>
      </c>
      <c r="R177">
        <v>4336820.4400000004</v>
      </c>
      <c r="S177">
        <v>3891035.0249999999</v>
      </c>
      <c r="T177">
        <v>3675905.548</v>
      </c>
      <c r="U177">
        <v>3411581.915</v>
      </c>
      <c r="V177">
        <v>3132008.9870000002</v>
      </c>
      <c r="W177">
        <v>2682089.7259999998</v>
      </c>
      <c r="X177">
        <v>2192927.392</v>
      </c>
      <c r="Y177">
        <v>1997533.0689999999</v>
      </c>
      <c r="Z177">
        <v>1885977.757</v>
      </c>
      <c r="AA177">
        <v>1819426.784</v>
      </c>
      <c r="AB177">
        <v>1782872.827</v>
      </c>
      <c r="AC177">
        <v>1777457.0870000001</v>
      </c>
      <c r="AD177">
        <v>1720734.3089999999</v>
      </c>
      <c r="AE177">
        <v>1688220.135</v>
      </c>
      <c r="AF177">
        <v>1655875.557</v>
      </c>
      <c r="AG177">
        <v>1620873.7339999999</v>
      </c>
      <c r="AH177">
        <v>1577094.841</v>
      </c>
      <c r="AI177">
        <v>1522013.365</v>
      </c>
      <c r="AJ177">
        <v>1459774.355</v>
      </c>
      <c r="AK177">
        <v>1385045.3929999999</v>
      </c>
      <c r="AL177">
        <v>1299531.7350000001</v>
      </c>
      <c r="AM177">
        <v>1195513.6610000001</v>
      </c>
      <c r="AN177">
        <v>1139770.0630000001</v>
      </c>
      <c r="AO177">
        <v>1072735.969</v>
      </c>
      <c r="AP177">
        <v>994664.18740000005</v>
      </c>
      <c r="AQ177">
        <v>904066.64069999999</v>
      </c>
      <c r="AR177">
        <v>796758.78200000001</v>
      </c>
      <c r="AS177">
        <v>779203.08070000005</v>
      </c>
      <c r="AT177">
        <v>758856.37800000003</v>
      </c>
      <c r="AU177">
        <v>736481.66949999996</v>
      </c>
      <c r="AV177">
        <v>711363.72329999995</v>
      </c>
      <c r="AW177">
        <v>683245.45180000004</v>
      </c>
    </row>
    <row r="178" spans="2:49" x14ac:dyDescent="0.25">
      <c r="B178" t="s">
        <v>249</v>
      </c>
      <c r="C178">
        <v>3166830.51938263</v>
      </c>
      <c r="D178">
        <v>3217675.0077116699</v>
      </c>
      <c r="E178">
        <v>3270660.8059999999</v>
      </c>
      <c r="F178">
        <v>3287497.71</v>
      </c>
      <c r="G178">
        <v>3225196.0040000002</v>
      </c>
      <c r="H178">
        <v>3124121.7080000001</v>
      </c>
      <c r="I178">
        <v>3028457.5070000002</v>
      </c>
      <c r="J178">
        <v>2942141.35</v>
      </c>
      <c r="K178">
        <v>2799218.2650000001</v>
      </c>
      <c r="L178">
        <v>2794078.1669999999</v>
      </c>
      <c r="M178">
        <v>2824083.909</v>
      </c>
      <c r="N178">
        <v>3007128.9049999998</v>
      </c>
      <c r="O178">
        <v>2935765.0920000002</v>
      </c>
      <c r="P178">
        <v>2760784.7390000001</v>
      </c>
      <c r="Q178">
        <v>2551909.861</v>
      </c>
      <c r="R178">
        <v>2460953.4959999998</v>
      </c>
      <c r="S178">
        <v>2330819.3620000002</v>
      </c>
      <c r="T178">
        <v>2319604.4959999998</v>
      </c>
      <c r="U178">
        <v>2275666.5430000001</v>
      </c>
      <c r="V178">
        <v>2236191.3879999998</v>
      </c>
      <c r="W178">
        <v>1993509.2579999999</v>
      </c>
      <c r="X178">
        <v>1708462.5060000001</v>
      </c>
      <c r="Y178">
        <v>1531174.2879999999</v>
      </c>
      <c r="Z178">
        <v>1402913.861</v>
      </c>
      <c r="AA178">
        <v>1302673.4310000001</v>
      </c>
      <c r="AB178">
        <v>1222394.3689999999</v>
      </c>
      <c r="AC178">
        <v>1159920.5460000001</v>
      </c>
      <c r="AD178">
        <v>1127577.1980000001</v>
      </c>
      <c r="AE178">
        <v>1108398.3910000001</v>
      </c>
      <c r="AF178">
        <v>1088661.841</v>
      </c>
      <c r="AG178">
        <v>1066472.9480000001</v>
      </c>
      <c r="AH178">
        <v>1038852.453</v>
      </c>
      <c r="AI178">
        <v>1003438.0330000001</v>
      </c>
      <c r="AJ178">
        <v>962524.12509999995</v>
      </c>
      <c r="AK178">
        <v>912908.67890000006</v>
      </c>
      <c r="AL178">
        <v>855105.75020000001</v>
      </c>
      <c r="AM178">
        <v>784274.05649999995</v>
      </c>
      <c r="AN178">
        <v>749302.65549999999</v>
      </c>
      <c r="AO178">
        <v>707273.78419999999</v>
      </c>
      <c r="AP178">
        <v>657659.04599999997</v>
      </c>
      <c r="AQ178">
        <v>599314.12470000004</v>
      </c>
      <c r="AR178">
        <v>529304.93859999999</v>
      </c>
      <c r="AS178">
        <v>518756.9461</v>
      </c>
      <c r="AT178">
        <v>506207.35330000002</v>
      </c>
      <c r="AU178">
        <v>492019.07250000001</v>
      </c>
      <c r="AV178">
        <v>475764.8824</v>
      </c>
      <c r="AW178">
        <v>457231.87560000003</v>
      </c>
    </row>
    <row r="179" spans="2:49" x14ac:dyDescent="0.25">
      <c r="B179" t="s">
        <v>250</v>
      </c>
      <c r="C179">
        <v>6723975.7599636996</v>
      </c>
      <c r="D179">
        <v>6831931.3657214995</v>
      </c>
      <c r="E179">
        <v>6946020.0939999996</v>
      </c>
      <c r="F179">
        <v>7003403.1950000003</v>
      </c>
      <c r="G179">
        <v>7029246.3619999997</v>
      </c>
      <c r="H179">
        <v>6607768.8710000003</v>
      </c>
      <c r="I179">
        <v>6867965.1770000001</v>
      </c>
      <c r="J179">
        <v>6943334.7939999998</v>
      </c>
      <c r="K179">
        <v>6824237.1349999998</v>
      </c>
      <c r="L179">
        <v>6840308.6459999997</v>
      </c>
      <c r="M179">
        <v>6899462.7149999999</v>
      </c>
      <c r="N179">
        <v>7192290.625</v>
      </c>
      <c r="O179">
        <v>7196280.3449999997</v>
      </c>
      <c r="P179">
        <v>7197715.1140000001</v>
      </c>
      <c r="Q179">
        <v>7075240.8849999998</v>
      </c>
      <c r="R179">
        <v>7140431.6969999997</v>
      </c>
      <c r="S179">
        <v>7061815.4419999998</v>
      </c>
      <c r="T179">
        <v>7058424.7750000004</v>
      </c>
      <c r="U179">
        <v>7125224.858</v>
      </c>
      <c r="V179">
        <v>7185419.4280000003</v>
      </c>
      <c r="W179">
        <v>7104459.5389999999</v>
      </c>
      <c r="X179">
        <v>6963996.148</v>
      </c>
      <c r="Y179">
        <v>6865413.3540000003</v>
      </c>
      <c r="Z179">
        <v>6774522.5219999999</v>
      </c>
      <c r="AA179">
        <v>6693144.2170000002</v>
      </c>
      <c r="AB179">
        <v>6645787.4749999996</v>
      </c>
      <c r="AC179">
        <v>6613587.7850000001</v>
      </c>
      <c r="AD179">
        <v>6441633.2719999999</v>
      </c>
      <c r="AE179">
        <v>6272171.2829999998</v>
      </c>
      <c r="AF179">
        <v>6089007.7620000001</v>
      </c>
      <c r="AG179">
        <v>5890790.1859999998</v>
      </c>
      <c r="AH179">
        <v>5673600.7189999996</v>
      </c>
      <c r="AI179">
        <v>5421370.2000000002</v>
      </c>
      <c r="AJ179">
        <v>5141748.5719999997</v>
      </c>
      <c r="AK179">
        <v>4820916.341</v>
      </c>
      <c r="AL179">
        <v>4464321.7249999996</v>
      </c>
      <c r="AM179">
        <v>4045943.3790000002</v>
      </c>
      <c r="AN179">
        <v>3831814.0329999998</v>
      </c>
      <c r="AO179">
        <v>3586411.4210000001</v>
      </c>
      <c r="AP179">
        <v>3304742.9950000001</v>
      </c>
      <c r="AQ179">
        <v>2980422.4470000002</v>
      </c>
      <c r="AR179">
        <v>2602414.196</v>
      </c>
      <c r="AS179">
        <v>2527740.3769999999</v>
      </c>
      <c r="AT179">
        <v>2445988.6269999999</v>
      </c>
      <c r="AU179">
        <v>2357153.9079999998</v>
      </c>
      <c r="AV179">
        <v>2259694.7439999999</v>
      </c>
      <c r="AW179">
        <v>2152463.7599999998</v>
      </c>
    </row>
    <row r="180" spans="2:49" x14ac:dyDescent="0.25">
      <c r="B180" t="s">
        <v>251</v>
      </c>
      <c r="C180">
        <v>312332.22295347298</v>
      </c>
      <c r="D180">
        <v>317346.817819711</v>
      </c>
      <c r="E180">
        <v>322572.6018</v>
      </c>
      <c r="F180">
        <v>334214.89620000002</v>
      </c>
      <c r="G180">
        <v>321544.03120000003</v>
      </c>
      <c r="H180">
        <v>280453.34940000001</v>
      </c>
      <c r="I180">
        <v>293129.41690000001</v>
      </c>
      <c r="J180">
        <v>297132.0061</v>
      </c>
      <c r="K180">
        <v>277938.89870000002</v>
      </c>
      <c r="L180">
        <v>263002.05489999999</v>
      </c>
      <c r="M180">
        <v>259026.761</v>
      </c>
      <c r="N180">
        <v>273209.88780000003</v>
      </c>
      <c r="O180">
        <v>251231.69130000001</v>
      </c>
      <c r="P180">
        <v>232619.5926</v>
      </c>
      <c r="Q180">
        <v>211548.16089999999</v>
      </c>
      <c r="R180">
        <v>192571.93770000001</v>
      </c>
      <c r="S180">
        <v>179605.01869999999</v>
      </c>
      <c r="T180">
        <v>181306.25599999999</v>
      </c>
      <c r="U180">
        <v>181844.95389999999</v>
      </c>
      <c r="V180">
        <v>184528.30040000001</v>
      </c>
      <c r="W180">
        <v>171779.96650000001</v>
      </c>
      <c r="X180">
        <v>157163.85630000001</v>
      </c>
      <c r="Y180">
        <v>145568.11869999999</v>
      </c>
      <c r="Z180">
        <v>137301.2464</v>
      </c>
      <c r="AA180">
        <v>130933.7219</v>
      </c>
      <c r="AB180">
        <v>125694.79610000001</v>
      </c>
      <c r="AC180">
        <v>121436.16869999999</v>
      </c>
      <c r="AD180">
        <v>117321.8226</v>
      </c>
      <c r="AE180">
        <v>113986.0477</v>
      </c>
      <c r="AF180">
        <v>110527.48609999999</v>
      </c>
      <c r="AG180">
        <v>106759.4568</v>
      </c>
      <c r="AH180">
        <v>102722.4008</v>
      </c>
      <c r="AI180">
        <v>98112.919989999995</v>
      </c>
      <c r="AJ180">
        <v>92852.940350000004</v>
      </c>
      <c r="AK180">
        <v>86785.072159999996</v>
      </c>
      <c r="AL180">
        <v>80062.747570000007</v>
      </c>
      <c r="AM180">
        <v>72223.061919999906</v>
      </c>
      <c r="AN180">
        <v>68162.336060000001</v>
      </c>
      <c r="AO180">
        <v>63548.275280000002</v>
      </c>
      <c r="AP180">
        <v>58324.069150000003</v>
      </c>
      <c r="AQ180">
        <v>52409.15264</v>
      </c>
      <c r="AR180">
        <v>45597.29739</v>
      </c>
      <c r="AS180">
        <v>44053.57043</v>
      </c>
      <c r="AT180">
        <v>42422.052360000001</v>
      </c>
      <c r="AU180">
        <v>40689.26496</v>
      </c>
      <c r="AV180">
        <v>38822.033819999997</v>
      </c>
      <c r="AW180">
        <v>36809.231050000002</v>
      </c>
    </row>
    <row r="181" spans="2:49" x14ac:dyDescent="0.25">
      <c r="B181" t="s">
        <v>252</v>
      </c>
      <c r="C181">
        <v>7845653.0561234802</v>
      </c>
      <c r="D181">
        <v>7971617.5536879301</v>
      </c>
      <c r="E181">
        <v>8102887.0319999997</v>
      </c>
      <c r="F181">
        <v>8280035.0020000003</v>
      </c>
      <c r="G181">
        <v>7922046.2369999997</v>
      </c>
      <c r="H181">
        <v>7528135.8269999996</v>
      </c>
      <c r="I181">
        <v>7547695.6720000003</v>
      </c>
      <c r="J181">
        <v>7319614.5279999999</v>
      </c>
      <c r="K181">
        <v>6875631.8959999997</v>
      </c>
      <c r="L181">
        <v>6703586.6469999999</v>
      </c>
      <c r="M181">
        <v>6844842.0930000003</v>
      </c>
      <c r="N181">
        <v>7299056.0520000001</v>
      </c>
      <c r="O181">
        <v>6959684.5539999995</v>
      </c>
      <c r="P181">
        <v>6333035.1279999996</v>
      </c>
      <c r="Q181">
        <v>5646415.6409999998</v>
      </c>
      <c r="R181">
        <v>5317664.7149999999</v>
      </c>
      <c r="S181">
        <v>4941138.9510000004</v>
      </c>
      <c r="T181">
        <v>5029026.818</v>
      </c>
      <c r="U181">
        <v>5039042.9000000004</v>
      </c>
      <c r="V181">
        <v>5084129.0109999999</v>
      </c>
      <c r="W181">
        <v>4598603.8619999997</v>
      </c>
      <c r="X181">
        <v>4018641.15</v>
      </c>
      <c r="Y181">
        <v>3548787.341</v>
      </c>
      <c r="Z181">
        <v>3175462.338</v>
      </c>
      <c r="AA181">
        <v>2864860.2710000002</v>
      </c>
      <c r="AB181">
        <v>2597769.1150000002</v>
      </c>
      <c r="AC181">
        <v>2369311.355</v>
      </c>
      <c r="AD181">
        <v>2295737.014</v>
      </c>
      <c r="AE181">
        <v>2250773.1439999999</v>
      </c>
      <c r="AF181">
        <v>2205089.46</v>
      </c>
      <c r="AG181">
        <v>2153307.3020000001</v>
      </c>
      <c r="AH181">
        <v>2091147.193</v>
      </c>
      <c r="AI181">
        <v>2015783.4439999999</v>
      </c>
      <c r="AJ181">
        <v>1926720.578</v>
      </c>
      <c r="AK181">
        <v>1819438.6310000001</v>
      </c>
      <c r="AL181">
        <v>1695952.7879999999</v>
      </c>
      <c r="AM181">
        <v>1546786.8570000001</v>
      </c>
      <c r="AN181">
        <v>1476395.1340000001</v>
      </c>
      <c r="AO181">
        <v>1391296.213</v>
      </c>
      <c r="AP181">
        <v>1290399.2649999999</v>
      </c>
      <c r="AQ181">
        <v>1171251.06</v>
      </c>
      <c r="AR181">
        <v>1027786.9080000001</v>
      </c>
      <c r="AS181">
        <v>1002266.9939999999</v>
      </c>
      <c r="AT181">
        <v>974528.97889999999</v>
      </c>
      <c r="AU181">
        <v>944124.4327</v>
      </c>
      <c r="AV181">
        <v>909753.00939999998</v>
      </c>
      <c r="AW181">
        <v>871219.59199999995</v>
      </c>
    </row>
    <row r="182" spans="2:49" x14ac:dyDescent="0.25">
      <c r="B182" t="s">
        <v>253</v>
      </c>
      <c r="C182">
        <v>3.3990718667427999</v>
      </c>
      <c r="D182">
        <v>3.4536450650243098</v>
      </c>
      <c r="E182">
        <v>3.5105166080000001</v>
      </c>
      <c r="F182">
        <v>3.7217155470000001</v>
      </c>
      <c r="G182">
        <v>3.6483972759999999</v>
      </c>
      <c r="H182">
        <v>3.4016640499999999</v>
      </c>
      <c r="I182">
        <v>3.3585723999999999</v>
      </c>
      <c r="J182">
        <v>3.3585561639999999</v>
      </c>
      <c r="K182">
        <v>3.2192169239999999</v>
      </c>
      <c r="L182">
        <v>3.2180640249999999</v>
      </c>
      <c r="M182">
        <v>3.2232089739999998</v>
      </c>
      <c r="N182">
        <v>3.303440637</v>
      </c>
      <c r="O182">
        <v>3.4858427970000001</v>
      </c>
      <c r="P182">
        <v>3.6227168070000002</v>
      </c>
      <c r="Q182">
        <v>3.6181229589999999</v>
      </c>
      <c r="R182">
        <v>3.738511269</v>
      </c>
      <c r="S182">
        <v>3.7492674620000002</v>
      </c>
      <c r="T182">
        <v>3.8828851360000001</v>
      </c>
      <c r="U182">
        <v>3.8590397630000002</v>
      </c>
      <c r="V182">
        <v>3.9101189060000001</v>
      </c>
      <c r="W182">
        <v>3.8501564259999999</v>
      </c>
      <c r="X182">
        <v>3.7919074340000001</v>
      </c>
      <c r="Y182">
        <v>3.7517465780000001</v>
      </c>
      <c r="Z182">
        <v>3.7124275080000002</v>
      </c>
      <c r="AA182">
        <v>3.6577595010000001</v>
      </c>
      <c r="AB182">
        <v>3.577271198</v>
      </c>
      <c r="AC182">
        <v>3.5002479800000001</v>
      </c>
      <c r="AD182">
        <v>3.4311142289999998</v>
      </c>
      <c r="AE182">
        <v>3.315706101</v>
      </c>
      <c r="AF182">
        <v>3.1871297780000001</v>
      </c>
      <c r="AG182">
        <v>3.0495737260000002</v>
      </c>
      <c r="AH182">
        <v>2.9107010130000002</v>
      </c>
      <c r="AI182">
        <v>2.7587825810000002</v>
      </c>
      <c r="AJ182">
        <v>2.5835822340000001</v>
      </c>
      <c r="AK182">
        <v>2.394087072</v>
      </c>
      <c r="AL182">
        <v>2.1904400150000001</v>
      </c>
      <c r="AM182">
        <v>1.965105602</v>
      </c>
      <c r="AN182">
        <v>1.858109529</v>
      </c>
      <c r="AO182">
        <v>1.72434435</v>
      </c>
      <c r="AP182">
        <v>1.574727169</v>
      </c>
      <c r="AQ182">
        <v>1.409607056</v>
      </c>
      <c r="AR182">
        <v>1.217195875</v>
      </c>
      <c r="AS182">
        <v>1.1658074730000001</v>
      </c>
      <c r="AT182">
        <v>1.1201933580000001</v>
      </c>
      <c r="AU182">
        <v>1.072857752</v>
      </c>
      <c r="AV182">
        <v>1.0216951910000001</v>
      </c>
      <c r="AW182">
        <v>0.97031420430000004</v>
      </c>
    </row>
    <row r="183" spans="2:49" x14ac:dyDescent="0.25">
      <c r="B183" t="s">
        <v>254</v>
      </c>
      <c r="C183">
        <v>600391.80946004798</v>
      </c>
      <c r="D183">
        <v>610031.29416316305</v>
      </c>
      <c r="E183">
        <v>620076.74470000004</v>
      </c>
      <c r="F183">
        <v>632064.77560000005</v>
      </c>
      <c r="G183">
        <v>594154.24769999995</v>
      </c>
      <c r="H183">
        <v>584977.17830000003</v>
      </c>
      <c r="I183">
        <v>591973.00840000005</v>
      </c>
      <c r="J183">
        <v>567029.652</v>
      </c>
      <c r="K183">
        <v>533667.69700000004</v>
      </c>
      <c r="L183">
        <v>538449.45810000005</v>
      </c>
      <c r="M183">
        <v>547778.5024</v>
      </c>
      <c r="N183">
        <v>576930.00109999999</v>
      </c>
      <c r="O183">
        <v>610110.21200000006</v>
      </c>
      <c r="P183">
        <v>621673.65740000003</v>
      </c>
      <c r="Q183">
        <v>577415.25679999997</v>
      </c>
      <c r="R183">
        <v>594446.56819999998</v>
      </c>
      <c r="S183">
        <v>592899.11450000003</v>
      </c>
      <c r="T183">
        <v>591862.08189999999</v>
      </c>
      <c r="U183">
        <v>591162.0906</v>
      </c>
      <c r="V183">
        <v>590276.97239999997</v>
      </c>
      <c r="W183">
        <v>606234.34259999997</v>
      </c>
      <c r="X183">
        <v>615312.91090000002</v>
      </c>
      <c r="Y183">
        <v>619548.07059999998</v>
      </c>
      <c r="Z183">
        <v>623707.97089999996</v>
      </c>
      <c r="AA183">
        <v>627276.9031</v>
      </c>
      <c r="AB183">
        <v>602491.19299999997</v>
      </c>
      <c r="AC183">
        <v>576255.80279999995</v>
      </c>
      <c r="AD183">
        <v>556473.69319999998</v>
      </c>
      <c r="AE183">
        <v>538935.72900000005</v>
      </c>
      <c r="AF183">
        <v>520931.32410000003</v>
      </c>
      <c r="AG183">
        <v>502674.31890000001</v>
      </c>
      <c r="AH183">
        <v>482351.2291</v>
      </c>
      <c r="AI183">
        <v>463852.4682</v>
      </c>
      <c r="AJ183">
        <v>444047.45880000002</v>
      </c>
      <c r="AK183">
        <v>420301.22989999998</v>
      </c>
      <c r="AL183">
        <v>393725.50839999999</v>
      </c>
      <c r="AM183">
        <v>361765.76870000002</v>
      </c>
      <c r="AN183">
        <v>341724.73729999998</v>
      </c>
      <c r="AO183">
        <v>318533.61859999999</v>
      </c>
      <c r="AP183">
        <v>292924.30489999999</v>
      </c>
      <c r="AQ183">
        <v>264452.27500000002</v>
      </c>
      <c r="AR183">
        <v>232031.00930000001</v>
      </c>
      <c r="AS183">
        <v>224979.5111</v>
      </c>
      <c r="AT183">
        <v>217139.17929999999</v>
      </c>
      <c r="AU183">
        <v>208902.12340000001</v>
      </c>
      <c r="AV183">
        <v>200071.2879</v>
      </c>
      <c r="AW183">
        <v>190556.51749999999</v>
      </c>
    </row>
    <row r="184" spans="2:49" x14ac:dyDescent="0.25">
      <c r="B184" t="s">
        <v>255</v>
      </c>
      <c r="C184">
        <v>2139866.37253871</v>
      </c>
      <c r="D184">
        <v>2174222.6193092102</v>
      </c>
      <c r="E184">
        <v>2197623.4730000002</v>
      </c>
      <c r="F184">
        <v>2183234.6120000002</v>
      </c>
      <c r="G184">
        <v>2173369.9049999998</v>
      </c>
      <c r="H184">
        <v>2169364.2200000002</v>
      </c>
      <c r="I184">
        <v>2173390.7749999999</v>
      </c>
      <c r="J184">
        <v>2185571.0249999999</v>
      </c>
      <c r="K184">
        <v>2186232.6069999998</v>
      </c>
      <c r="L184">
        <v>2182850.8360000001</v>
      </c>
      <c r="M184">
        <v>2195741.9410000001</v>
      </c>
      <c r="N184">
        <v>2173728.7239999999</v>
      </c>
      <c r="O184">
        <v>2202163.7880000002</v>
      </c>
      <c r="P184">
        <v>2221830.0869999998</v>
      </c>
      <c r="Q184">
        <v>2248758.5</v>
      </c>
      <c r="R184">
        <v>2271215.8590000002</v>
      </c>
      <c r="S184">
        <v>2240544.1690000002</v>
      </c>
      <c r="T184">
        <v>2197069.84</v>
      </c>
      <c r="U184">
        <v>2177714.2140000002</v>
      </c>
      <c r="V184">
        <v>2153709.4900000002</v>
      </c>
      <c r="W184">
        <v>2121191.3620000002</v>
      </c>
      <c r="X184">
        <v>2065066.1359999999</v>
      </c>
      <c r="Y184">
        <v>1988064.1810000001</v>
      </c>
      <c r="Z184">
        <v>1918722.1310000001</v>
      </c>
      <c r="AA184">
        <v>1853457.1969999999</v>
      </c>
      <c r="AB184">
        <v>1789404.862</v>
      </c>
      <c r="AC184">
        <v>1724695.105</v>
      </c>
      <c r="AD184">
        <v>1592709.5179999999</v>
      </c>
      <c r="AE184">
        <v>1462780.0619999999</v>
      </c>
      <c r="AF184">
        <v>1333868.4029999999</v>
      </c>
      <c r="AG184">
        <v>1207202.6939999999</v>
      </c>
      <c r="AH184">
        <v>1082711.875</v>
      </c>
      <c r="AI184">
        <v>952343.23060000001</v>
      </c>
      <c r="AJ184">
        <v>825377.86789999995</v>
      </c>
      <c r="AK184">
        <v>701562.78370000003</v>
      </c>
      <c r="AL184">
        <v>583905.49990000005</v>
      </c>
      <c r="AM184">
        <v>470631.92389999999</v>
      </c>
      <c r="AN184">
        <v>399212.11239999998</v>
      </c>
      <c r="AO184">
        <v>331049.38429999998</v>
      </c>
      <c r="AP184">
        <v>266744.35859999998</v>
      </c>
      <c r="AQ184">
        <v>206780.10269999999</v>
      </c>
      <c r="AR184">
        <v>151927.7959</v>
      </c>
      <c r="AS184">
        <v>127800.9904</v>
      </c>
      <c r="AT184">
        <v>104947.5288</v>
      </c>
      <c r="AU184">
        <v>83489.030490000005</v>
      </c>
      <c r="AV184">
        <v>63467.77635</v>
      </c>
      <c r="AW184">
        <v>44929.606769999999</v>
      </c>
    </row>
    <row r="185" spans="2:49" x14ac:dyDescent="0.25">
      <c r="B185" t="s">
        <v>256</v>
      </c>
      <c r="C185">
        <v>48247577.676067904</v>
      </c>
      <c r="D185">
        <v>49022208.141778298</v>
      </c>
      <c r="E185">
        <v>49866336.780000001</v>
      </c>
      <c r="F185">
        <v>49559251.299999997</v>
      </c>
      <c r="G185">
        <v>48579427.340000004</v>
      </c>
      <c r="H185">
        <v>46823526.909999996</v>
      </c>
      <c r="I185">
        <v>46429473.460000001</v>
      </c>
      <c r="J185">
        <v>46127706.43</v>
      </c>
      <c r="K185">
        <v>45541125.460000001</v>
      </c>
      <c r="L185">
        <v>44685414.109999999</v>
      </c>
      <c r="M185">
        <v>44213233.899999999</v>
      </c>
      <c r="N185">
        <v>43681128.789999999</v>
      </c>
      <c r="O185">
        <v>43622532.670000002</v>
      </c>
      <c r="P185">
        <v>43775118.18</v>
      </c>
      <c r="Q185">
        <v>43163471.380000003</v>
      </c>
      <c r="R185">
        <v>42567169.049999997</v>
      </c>
      <c r="S185">
        <v>41970096.479999997</v>
      </c>
      <c r="T185">
        <v>42617546.479999997</v>
      </c>
      <c r="U185">
        <v>42644007.759999998</v>
      </c>
      <c r="V185">
        <v>42905792.130000003</v>
      </c>
      <c r="W185">
        <v>42649077.640000001</v>
      </c>
      <c r="X185">
        <v>42053022.340000004</v>
      </c>
      <c r="Y185">
        <v>40861149.649999999</v>
      </c>
      <c r="Z185">
        <v>39861257.770000003</v>
      </c>
      <c r="AA185">
        <v>38891724.619999997</v>
      </c>
      <c r="AB185">
        <v>37805089.289999999</v>
      </c>
      <c r="AC185">
        <v>36701820.420000002</v>
      </c>
      <c r="AD185">
        <v>34320964.700000003</v>
      </c>
      <c r="AE185">
        <v>31916307.940000001</v>
      </c>
      <c r="AF185">
        <v>29509743.68</v>
      </c>
      <c r="AG185">
        <v>27114478.129999999</v>
      </c>
      <c r="AH185">
        <v>24748798.960000001</v>
      </c>
      <c r="AI185">
        <v>22110852.25</v>
      </c>
      <c r="AJ185">
        <v>19491138.73</v>
      </c>
      <c r="AK185">
        <v>16854680.280000001</v>
      </c>
      <c r="AL185">
        <v>14344648.880000001</v>
      </c>
      <c r="AM185">
        <v>11832105.27</v>
      </c>
      <c r="AN185">
        <v>10506330.699999999</v>
      </c>
      <c r="AO185">
        <v>9156451.08699999</v>
      </c>
      <c r="AP185">
        <v>7820400.8739999998</v>
      </c>
      <c r="AQ185">
        <v>6508055.2980000004</v>
      </c>
      <c r="AR185">
        <v>5208268.5980000002</v>
      </c>
      <c r="AS185">
        <v>4839649.8689999999</v>
      </c>
      <c r="AT185">
        <v>4479228.7759999996</v>
      </c>
      <c r="AU185">
        <v>4123453.5</v>
      </c>
      <c r="AV185">
        <v>3769290.5970000001</v>
      </c>
      <c r="AW185">
        <v>3417505.9219999998</v>
      </c>
    </row>
    <row r="186" spans="2:49" x14ac:dyDescent="0.25">
      <c r="B186" t="s">
        <v>257</v>
      </c>
      <c r="C186">
        <v>9181601.5739378203</v>
      </c>
      <c r="D186">
        <v>9329015.1570805702</v>
      </c>
      <c r="E186">
        <v>9482637.0470000003</v>
      </c>
      <c r="F186">
        <v>10821311.01</v>
      </c>
      <c r="G186">
        <v>9127913.398</v>
      </c>
      <c r="H186">
        <v>6590145.9469999997</v>
      </c>
      <c r="I186">
        <v>7815108.9519999996</v>
      </c>
      <c r="J186">
        <v>6153838.2039999999</v>
      </c>
      <c r="K186">
        <v>7130195.8619999997</v>
      </c>
      <c r="L186">
        <v>6402620.3720000004</v>
      </c>
      <c r="M186">
        <v>6441873.5530000003</v>
      </c>
      <c r="N186">
        <v>6622893.7489999998</v>
      </c>
      <c r="O186">
        <v>6048917.2970000003</v>
      </c>
      <c r="P186">
        <v>6411513.648</v>
      </c>
      <c r="Q186">
        <v>6304112.2089999998</v>
      </c>
      <c r="R186">
        <v>6418403.9550000001</v>
      </c>
      <c r="S186">
        <v>6408155.943</v>
      </c>
      <c r="T186">
        <v>6311815.8219999997</v>
      </c>
      <c r="U186">
        <v>6343634.9249999998</v>
      </c>
      <c r="V186">
        <v>6382598.3779999996</v>
      </c>
      <c r="W186">
        <v>6356665.0130000003</v>
      </c>
      <c r="X186">
        <v>6291672.9239999996</v>
      </c>
      <c r="Y186">
        <v>6258803.7790000001</v>
      </c>
      <c r="Z186">
        <v>6234524.8540000003</v>
      </c>
      <c r="AA186">
        <v>6209539.0489999996</v>
      </c>
      <c r="AB186">
        <v>6018397.1500000004</v>
      </c>
      <c r="AC186">
        <v>5804748.0109999999</v>
      </c>
      <c r="AD186">
        <v>5596386.7400000002</v>
      </c>
      <c r="AE186">
        <v>5388737.3490000004</v>
      </c>
      <c r="AF186">
        <v>5177832.0669999998</v>
      </c>
      <c r="AG186">
        <v>4962761.2039999999</v>
      </c>
      <c r="AH186">
        <v>4742245.0130000003</v>
      </c>
      <c r="AI186">
        <v>4524440.4560000002</v>
      </c>
      <c r="AJ186">
        <v>4290093.1509999996</v>
      </c>
      <c r="AK186">
        <v>4026336.9610000001</v>
      </c>
      <c r="AL186">
        <v>3739678.0839999998</v>
      </c>
      <c r="AM186">
        <v>3407310.9950000001</v>
      </c>
      <c r="AN186">
        <v>3226764.9339999999</v>
      </c>
      <c r="AO186">
        <v>3012686.469</v>
      </c>
      <c r="AP186">
        <v>2771163.7949999999</v>
      </c>
      <c r="AQ186">
        <v>2498810.6889999998</v>
      </c>
      <c r="AR186">
        <v>2184970.8199999998</v>
      </c>
      <c r="AS186">
        <v>2118615.5830000001</v>
      </c>
      <c r="AT186">
        <v>2048801.2420000001</v>
      </c>
      <c r="AU186">
        <v>1973937.33</v>
      </c>
      <c r="AV186">
        <v>1892186.6780000001</v>
      </c>
      <c r="AW186">
        <v>1803125.2379999999</v>
      </c>
    </row>
    <row r="187" spans="2:49" x14ac:dyDescent="0.25">
      <c r="B187" t="s">
        <v>258</v>
      </c>
      <c r="C187">
        <v>2568505.4482754301</v>
      </c>
      <c r="D187">
        <v>2609743.6340541099</v>
      </c>
      <c r="E187">
        <v>2652718.5619999999</v>
      </c>
      <c r="F187">
        <v>2757431.5619999999</v>
      </c>
      <c r="G187">
        <v>2739865.1469999999</v>
      </c>
      <c r="H187">
        <v>2260926.2609999999</v>
      </c>
      <c r="I187">
        <v>2332543.145</v>
      </c>
      <c r="J187">
        <v>2441609.4040000001</v>
      </c>
      <c r="K187">
        <v>2382638.9109999998</v>
      </c>
      <c r="L187">
        <v>2318073.2110000001</v>
      </c>
      <c r="M187">
        <v>2318033.173</v>
      </c>
      <c r="N187">
        <v>2449494.6260000002</v>
      </c>
      <c r="O187">
        <v>2453983.6340000001</v>
      </c>
      <c r="P187">
        <v>2453479.94</v>
      </c>
      <c r="Q187">
        <v>2531137.466</v>
      </c>
      <c r="R187">
        <v>2572655.798</v>
      </c>
      <c r="S187">
        <v>2543906.7650000001</v>
      </c>
      <c r="T187">
        <v>2504593.5210000002</v>
      </c>
      <c r="U187">
        <v>2481087.6809999999</v>
      </c>
      <c r="V187">
        <v>2447280.9279999998</v>
      </c>
      <c r="W187">
        <v>2409351.2880000002</v>
      </c>
      <c r="X187">
        <v>2353400.713</v>
      </c>
      <c r="Y187">
        <v>2316840.784</v>
      </c>
      <c r="Z187">
        <v>2284037.15</v>
      </c>
      <c r="AA187">
        <v>2256800.0350000001</v>
      </c>
      <c r="AB187">
        <v>2233013.9109999998</v>
      </c>
      <c r="AC187">
        <v>2208394.7859999998</v>
      </c>
      <c r="AD187">
        <v>2138405.3450000002</v>
      </c>
      <c r="AE187">
        <v>2064394.4979999999</v>
      </c>
      <c r="AF187">
        <v>1985292.5649999999</v>
      </c>
      <c r="AG187">
        <v>1901300.223</v>
      </c>
      <c r="AH187">
        <v>1812333.345</v>
      </c>
      <c r="AI187">
        <v>1713765.618</v>
      </c>
      <c r="AJ187">
        <v>1607180.7930000001</v>
      </c>
      <c r="AK187">
        <v>1488212.0719999999</v>
      </c>
      <c r="AL187">
        <v>1361299.628</v>
      </c>
      <c r="AM187">
        <v>1217828.497</v>
      </c>
      <c r="AN187">
        <v>1139661.0349999999</v>
      </c>
      <c r="AO187">
        <v>1053119.5630000001</v>
      </c>
      <c r="AP187">
        <v>958492.38569999998</v>
      </c>
      <c r="AQ187">
        <v>854013.08259999997</v>
      </c>
      <c r="AR187">
        <v>736608.44149999996</v>
      </c>
      <c r="AS187">
        <v>706223.42590000003</v>
      </c>
      <c r="AT187">
        <v>675297.28650000005</v>
      </c>
      <c r="AU187">
        <v>643510.28079999995</v>
      </c>
      <c r="AV187">
        <v>610273.86629999999</v>
      </c>
      <c r="AW187">
        <v>575203.14119999995</v>
      </c>
    </row>
    <row r="188" spans="2:49" x14ac:dyDescent="0.25">
      <c r="B188" t="s">
        <v>259</v>
      </c>
      <c r="C188">
        <v>12693844.6626458</v>
      </c>
      <c r="D188">
        <v>12897648.444645001</v>
      </c>
      <c r="E188">
        <v>13110035.4</v>
      </c>
      <c r="F188">
        <v>13388200.02</v>
      </c>
      <c r="G188">
        <v>12854374.43</v>
      </c>
      <c r="H188">
        <v>12580150.359999999</v>
      </c>
      <c r="I188">
        <v>12376050.529999999</v>
      </c>
      <c r="J188">
        <v>11813817.58</v>
      </c>
      <c r="K188">
        <v>11191423.199999999</v>
      </c>
      <c r="L188">
        <v>10944346.01</v>
      </c>
      <c r="M188">
        <v>10959242.26</v>
      </c>
      <c r="N188">
        <v>11248397.529999999</v>
      </c>
      <c r="O188">
        <v>10553324.59</v>
      </c>
      <c r="P188">
        <v>9813230.8599999994</v>
      </c>
      <c r="Q188">
        <v>9175568.0280000009</v>
      </c>
      <c r="R188">
        <v>8673565.5600000005</v>
      </c>
      <c r="S188">
        <v>8118300.9100000001</v>
      </c>
      <c r="T188">
        <v>8083618.9929999998</v>
      </c>
      <c r="U188">
        <v>8071606.6919999998</v>
      </c>
      <c r="V188">
        <v>7960587.0659999996</v>
      </c>
      <c r="W188">
        <v>6641098.7290000003</v>
      </c>
      <c r="X188">
        <v>5668274.9859999996</v>
      </c>
      <c r="Y188">
        <v>5007370.2209999999</v>
      </c>
      <c r="Z188">
        <v>4469076.38</v>
      </c>
      <c r="AA188">
        <v>4023032.486</v>
      </c>
      <c r="AB188">
        <v>3692301.0759999999</v>
      </c>
      <c r="AC188">
        <v>3408966.804</v>
      </c>
      <c r="AD188">
        <v>3274448.986</v>
      </c>
      <c r="AE188">
        <v>3150934.5950000002</v>
      </c>
      <c r="AF188">
        <v>3021374.2</v>
      </c>
      <c r="AG188">
        <v>2894263.5350000001</v>
      </c>
      <c r="AH188">
        <v>2754871.673</v>
      </c>
      <c r="AI188">
        <v>2588999.0809999998</v>
      </c>
      <c r="AJ188">
        <v>2411358.0290000001</v>
      </c>
      <c r="AK188">
        <v>2219162.074</v>
      </c>
      <c r="AL188">
        <v>2040446.6140000001</v>
      </c>
      <c r="AM188">
        <v>1837373.8840000001</v>
      </c>
      <c r="AN188">
        <v>1704384.902</v>
      </c>
      <c r="AO188">
        <v>1559875.075</v>
      </c>
      <c r="AP188">
        <v>1404693.0560000001</v>
      </c>
      <c r="AQ188">
        <v>1236934.237</v>
      </c>
      <c r="AR188">
        <v>1053537.5719999999</v>
      </c>
      <c r="AS188">
        <v>1010966.339</v>
      </c>
      <c r="AT188">
        <v>967133.56050000002</v>
      </c>
      <c r="AU188">
        <v>921080.07530000003</v>
      </c>
      <c r="AV188">
        <v>872238.76760000002</v>
      </c>
      <c r="AW188">
        <v>820312.7942</v>
      </c>
    </row>
    <row r="189" spans="2:49" x14ac:dyDescent="0.25">
      <c r="B189" t="s">
        <v>260</v>
      </c>
      <c r="C189">
        <v>1234344.16589374</v>
      </c>
      <c r="D189">
        <v>1254161.9607370901</v>
      </c>
      <c r="E189">
        <v>1274814.3799999999</v>
      </c>
      <c r="F189">
        <v>1251575.0730000001</v>
      </c>
      <c r="G189">
        <v>1175281.838</v>
      </c>
      <c r="H189">
        <v>1204949.8799999999</v>
      </c>
      <c r="I189">
        <v>1137751.588</v>
      </c>
      <c r="J189">
        <v>1054777.2919999999</v>
      </c>
      <c r="K189">
        <v>989306.61990000005</v>
      </c>
      <c r="L189">
        <v>957679.46979999996</v>
      </c>
      <c r="M189">
        <v>933911.18059999996</v>
      </c>
      <c r="N189">
        <v>927691.19010000001</v>
      </c>
      <c r="O189">
        <v>848273.18319999997</v>
      </c>
      <c r="P189">
        <v>772829.71369999996</v>
      </c>
      <c r="Q189">
        <v>715064.32940000005</v>
      </c>
      <c r="R189">
        <v>668596.81519999995</v>
      </c>
      <c r="S189">
        <v>617635.15469999996</v>
      </c>
      <c r="T189">
        <v>615418.84080000001</v>
      </c>
      <c r="U189">
        <v>615949.54020000005</v>
      </c>
      <c r="V189">
        <v>606001.46239999996</v>
      </c>
      <c r="W189">
        <v>459326.49819999997</v>
      </c>
      <c r="X189">
        <v>366361.24890000001</v>
      </c>
      <c r="Y189">
        <v>309681.15419999999</v>
      </c>
      <c r="Z189">
        <v>266792.63140000001</v>
      </c>
      <c r="AA189">
        <v>233483.18640000001</v>
      </c>
      <c r="AB189">
        <v>210694.36689999999</v>
      </c>
      <c r="AC189">
        <v>192071.43309999999</v>
      </c>
      <c r="AD189">
        <v>184444.1347</v>
      </c>
      <c r="AE189">
        <v>177879.41500000001</v>
      </c>
      <c r="AF189">
        <v>170978.92989999999</v>
      </c>
      <c r="AG189">
        <v>164428.57810000001</v>
      </c>
      <c r="AH189">
        <v>157072.87710000001</v>
      </c>
      <c r="AI189">
        <v>147962.8665</v>
      </c>
      <c r="AJ189">
        <v>138141.152</v>
      </c>
      <c r="AK189">
        <v>127434.8719</v>
      </c>
      <c r="AL189">
        <v>118129.32180000001</v>
      </c>
      <c r="AM189">
        <v>107325.4832</v>
      </c>
      <c r="AN189">
        <v>99777.160919999995</v>
      </c>
      <c r="AO189">
        <v>91448.816940000004</v>
      </c>
      <c r="AP189">
        <v>82442.923269999999</v>
      </c>
      <c r="AQ189">
        <v>72646.250549999997</v>
      </c>
      <c r="AR189">
        <v>61891.109210000002</v>
      </c>
      <c r="AS189">
        <v>59764.269410000001</v>
      </c>
      <c r="AT189">
        <v>57558.560559999998</v>
      </c>
      <c r="AU189">
        <v>55188.088830000001</v>
      </c>
      <c r="AV189">
        <v>52610.663410000001</v>
      </c>
      <c r="AW189">
        <v>49803.741049999997</v>
      </c>
    </row>
    <row r="190" spans="2:49" x14ac:dyDescent="0.25">
      <c r="B190" t="s">
        <v>261</v>
      </c>
      <c r="C190">
        <v>16278955.912495499</v>
      </c>
      <c r="D190">
        <v>16540319.8152481</v>
      </c>
      <c r="E190">
        <v>16805880</v>
      </c>
      <c r="F190">
        <v>16657925.289999999</v>
      </c>
      <c r="G190">
        <v>15809251.560000001</v>
      </c>
      <c r="H190">
        <v>15154195.07</v>
      </c>
      <c r="I190">
        <v>14674512.41</v>
      </c>
      <c r="J190">
        <v>12859224.060000001</v>
      </c>
      <c r="K190">
        <v>11211649</v>
      </c>
      <c r="L190">
        <v>9843190.7809999995</v>
      </c>
      <c r="M190">
        <v>8803595.5480000004</v>
      </c>
      <c r="N190">
        <v>7947023.9680000003</v>
      </c>
      <c r="O190">
        <v>7202964.307</v>
      </c>
      <c r="P190">
        <v>6475298.1540000001</v>
      </c>
      <c r="Q190">
        <v>5717209.6409999998</v>
      </c>
      <c r="R190">
        <v>5078909.28</v>
      </c>
      <c r="S190">
        <v>4433712.5980000002</v>
      </c>
      <c r="T190">
        <v>5209708.8119999999</v>
      </c>
      <c r="U190">
        <v>5932400.352</v>
      </c>
      <c r="V190">
        <v>6605584.6390000004</v>
      </c>
      <c r="W190">
        <v>7367003.2410000004</v>
      </c>
      <c r="X190">
        <v>8022554.2740000002</v>
      </c>
      <c r="Y190">
        <v>7794033.574</v>
      </c>
      <c r="Z190">
        <v>7573966.8550000004</v>
      </c>
      <c r="AA190">
        <v>7355523.4510000004</v>
      </c>
      <c r="AB190">
        <v>7138642.926</v>
      </c>
      <c r="AC190">
        <v>6913168.1830000002</v>
      </c>
      <c r="AD190">
        <v>6682524.9900000002</v>
      </c>
      <c r="AE190">
        <v>6434784.4029999999</v>
      </c>
      <c r="AF190">
        <v>6165058.5489999996</v>
      </c>
      <c r="AG190">
        <v>5954509.7769999998</v>
      </c>
      <c r="AH190">
        <v>5711953.0250000004</v>
      </c>
      <c r="AI190">
        <v>5566024.1849999996</v>
      </c>
      <c r="AJ190">
        <v>5356701.2529999996</v>
      </c>
      <c r="AK190">
        <v>5073311.852</v>
      </c>
      <c r="AL190">
        <v>4973879.99</v>
      </c>
      <c r="AM190">
        <v>4723309.2390000001</v>
      </c>
      <c r="AN190">
        <v>4658820.4740000004</v>
      </c>
      <c r="AO190">
        <v>4509379.5199999996</v>
      </c>
      <c r="AP190">
        <v>4275774.6310000001</v>
      </c>
      <c r="AQ190">
        <v>3952507.892</v>
      </c>
      <c r="AR190">
        <v>3520279.861</v>
      </c>
      <c r="AS190">
        <v>3141834.7760000001</v>
      </c>
      <c r="AT190">
        <v>2787988.415</v>
      </c>
      <c r="AU190">
        <v>2457812.7790000001</v>
      </c>
      <c r="AV190">
        <v>2148717.5580000002</v>
      </c>
      <c r="AW190">
        <v>1860110.3489999999</v>
      </c>
    </row>
    <row r="191" spans="2:49" x14ac:dyDescent="0.25">
      <c r="B191" t="s">
        <v>262</v>
      </c>
      <c r="C191">
        <v>4315668.6239754204</v>
      </c>
      <c r="D191">
        <v>4384958.0796759203</v>
      </c>
      <c r="E191">
        <v>4455360</v>
      </c>
      <c r="F191">
        <v>4314887.5329999998</v>
      </c>
      <c r="G191">
        <v>4156638.0040000002</v>
      </c>
      <c r="H191">
        <v>3753636.1740000001</v>
      </c>
      <c r="I191">
        <v>3595730.0460000001</v>
      </c>
      <c r="J191">
        <v>3477964.341</v>
      </c>
      <c r="K191">
        <v>3325271.1370000001</v>
      </c>
      <c r="L191">
        <v>3128210.7919999999</v>
      </c>
      <c r="M191">
        <v>2931724.0660000001</v>
      </c>
      <c r="N191">
        <v>2713997.3969999999</v>
      </c>
      <c r="O191">
        <v>2380134.0010000002</v>
      </c>
      <c r="P191">
        <v>2108069.608</v>
      </c>
      <c r="Q191">
        <v>1861917.585</v>
      </c>
      <c r="R191">
        <v>1562653.2609999999</v>
      </c>
      <c r="S191">
        <v>1252704.3940000001</v>
      </c>
      <c r="T191">
        <v>1562237.0209999999</v>
      </c>
      <c r="U191">
        <v>1937473.6370000001</v>
      </c>
      <c r="V191">
        <v>2307637.7170000002</v>
      </c>
      <c r="W191">
        <v>1715886.477</v>
      </c>
      <c r="X191">
        <v>1042936.531</v>
      </c>
      <c r="Y191">
        <v>766915.32050000003</v>
      </c>
      <c r="Z191">
        <v>527795.0085</v>
      </c>
      <c r="AA191">
        <v>301148.89929999999</v>
      </c>
      <c r="AB191">
        <v>253547.54749999999</v>
      </c>
      <c r="AC191">
        <v>219766.33319999999</v>
      </c>
      <c r="AD191">
        <v>208436.58989999999</v>
      </c>
      <c r="AE191">
        <v>199240.21049999999</v>
      </c>
      <c r="AF191">
        <v>189868.253</v>
      </c>
      <c r="AG191">
        <v>173784.65599999999</v>
      </c>
      <c r="AH191">
        <v>157394.5857</v>
      </c>
      <c r="AI191">
        <v>122188.15919999999</v>
      </c>
      <c r="AJ191">
        <v>88146.356960000005</v>
      </c>
      <c r="AK191">
        <v>57265.68851</v>
      </c>
      <c r="AL191">
        <v>53954.314189999997</v>
      </c>
      <c r="AM191">
        <v>51501.877780000003</v>
      </c>
      <c r="AN191">
        <v>47085.492100000003</v>
      </c>
      <c r="AO191">
        <v>42087.621350000001</v>
      </c>
      <c r="AP191">
        <v>36948.607080000002</v>
      </c>
      <c r="AQ191">
        <v>31697.971880000001</v>
      </c>
      <c r="AR191">
        <v>26277.78917</v>
      </c>
      <c r="AS191">
        <v>25130.349149999998</v>
      </c>
      <c r="AT191">
        <v>24040.61621</v>
      </c>
      <c r="AU191">
        <v>22905.10541</v>
      </c>
      <c r="AV191">
        <v>21701.103350000001</v>
      </c>
      <c r="AW191">
        <v>20422.18478</v>
      </c>
    </row>
    <row r="192" spans="2:49" x14ac:dyDescent="0.25">
      <c r="B192" t="s">
        <v>263</v>
      </c>
      <c r="C192">
        <v>4315668.6239754204</v>
      </c>
      <c r="D192">
        <v>4384958.0796759203</v>
      </c>
      <c r="E192">
        <v>4455360</v>
      </c>
      <c r="F192">
        <v>4314887.5329999998</v>
      </c>
      <c r="G192">
        <v>4156638.0040000002</v>
      </c>
      <c r="H192">
        <v>3753636.1740000001</v>
      </c>
      <c r="I192">
        <v>3595730.0460000001</v>
      </c>
      <c r="J192">
        <v>3477964.341</v>
      </c>
      <c r="K192">
        <v>3325271.1370000001</v>
      </c>
      <c r="L192">
        <v>3128210.7919999999</v>
      </c>
      <c r="M192">
        <v>2931724.0660000001</v>
      </c>
      <c r="N192">
        <v>2713997.3969999999</v>
      </c>
      <c r="O192">
        <v>2380134.0010000002</v>
      </c>
      <c r="P192">
        <v>2108069.608</v>
      </c>
      <c r="Q192">
        <v>1861917.585</v>
      </c>
      <c r="R192">
        <v>1562653.2609999999</v>
      </c>
      <c r="S192">
        <v>1252704.3940000001</v>
      </c>
      <c r="T192">
        <v>1562237.0209999999</v>
      </c>
      <c r="U192">
        <v>1937473.6370000001</v>
      </c>
      <c r="V192">
        <v>2307637.7170000002</v>
      </c>
      <c r="W192">
        <v>1715886.477</v>
      </c>
      <c r="X192">
        <v>1042936.531</v>
      </c>
      <c r="Y192">
        <v>766915.32050000003</v>
      </c>
      <c r="Z192">
        <v>527795.0085</v>
      </c>
      <c r="AA192">
        <v>301148.89929999999</v>
      </c>
      <c r="AB192">
        <v>253547.54749999999</v>
      </c>
      <c r="AC192">
        <v>219766.33319999999</v>
      </c>
      <c r="AD192">
        <v>208436.58989999999</v>
      </c>
      <c r="AE192">
        <v>199240.21049999999</v>
      </c>
      <c r="AF192">
        <v>189868.253</v>
      </c>
      <c r="AG192">
        <v>173784.65599999999</v>
      </c>
      <c r="AH192">
        <v>157394.5857</v>
      </c>
      <c r="AI192">
        <v>122188.15919999999</v>
      </c>
      <c r="AJ192">
        <v>88146.356960000005</v>
      </c>
      <c r="AK192">
        <v>57265.68851</v>
      </c>
      <c r="AL192">
        <v>53954.314189999997</v>
      </c>
      <c r="AM192">
        <v>51501.877780000003</v>
      </c>
      <c r="AN192">
        <v>47085.492100000003</v>
      </c>
      <c r="AO192">
        <v>42087.621350000001</v>
      </c>
      <c r="AP192">
        <v>36948.607080000002</v>
      </c>
      <c r="AQ192">
        <v>31697.971880000001</v>
      </c>
      <c r="AR192">
        <v>26277.78917</v>
      </c>
      <c r="AS192">
        <v>25130.349149999998</v>
      </c>
      <c r="AT192">
        <v>24040.61621</v>
      </c>
      <c r="AU192">
        <v>22905.10541</v>
      </c>
      <c r="AV192">
        <v>21701.103350000001</v>
      </c>
      <c r="AW192">
        <v>20422.18478</v>
      </c>
    </row>
    <row r="193" spans="2:49" x14ac:dyDescent="0.25">
      <c r="B193" t="s">
        <v>264</v>
      </c>
      <c r="C193">
        <v>8232235.5397947598</v>
      </c>
      <c r="D193">
        <v>8364406.7441781899</v>
      </c>
      <c r="E193">
        <v>8498700</v>
      </c>
      <c r="F193">
        <v>8429400.0969999898</v>
      </c>
      <c r="G193">
        <v>8359926.1629999997</v>
      </c>
      <c r="H193">
        <v>7776115.3669999996</v>
      </c>
      <c r="I193">
        <v>7672731.4639999997</v>
      </c>
      <c r="J193">
        <v>7644022.0899999999</v>
      </c>
      <c r="K193">
        <v>7527295.3399999999</v>
      </c>
      <c r="L193">
        <v>7292995.0499999998</v>
      </c>
      <c r="M193">
        <v>7039075.0959999999</v>
      </c>
      <c r="N193">
        <v>6710742.4749999996</v>
      </c>
      <c r="O193">
        <v>7042686.2489999998</v>
      </c>
      <c r="P193">
        <v>7641003.3720000004</v>
      </c>
      <c r="Q193">
        <v>8415448.9680000003</v>
      </c>
      <c r="R193">
        <v>9031382.8440000005</v>
      </c>
      <c r="S193">
        <v>9626414.9629999995</v>
      </c>
      <c r="T193">
        <v>8913124.4189999998</v>
      </c>
      <c r="U193">
        <v>8118399.642</v>
      </c>
      <c r="V193">
        <v>7275777.3269999996</v>
      </c>
      <c r="W193">
        <v>7916972.3420000002</v>
      </c>
      <c r="X193">
        <v>8453055.8959999997</v>
      </c>
      <c r="Y193">
        <v>7912679.3420000002</v>
      </c>
      <c r="Z193">
        <v>7303448.7800000003</v>
      </c>
      <c r="AA193">
        <v>6720245.625</v>
      </c>
      <c r="AB193">
        <v>6217597.6629999997</v>
      </c>
      <c r="AC193">
        <v>5747164.2290000003</v>
      </c>
      <c r="AD193">
        <v>4910840.1660000002</v>
      </c>
      <c r="AE193">
        <v>4135191.6469999999</v>
      </c>
      <c r="AF193">
        <v>3426947.537</v>
      </c>
      <c r="AG193">
        <v>2883511.5159999998</v>
      </c>
      <c r="AH193">
        <v>2395257.1669999999</v>
      </c>
      <c r="AI193">
        <v>1802262.247</v>
      </c>
      <c r="AJ193">
        <v>1276378.8030000001</v>
      </c>
      <c r="AK193">
        <v>826545.82169999997</v>
      </c>
      <c r="AL193">
        <v>615018.16110000003</v>
      </c>
      <c r="AM193">
        <v>293138.42060000001</v>
      </c>
      <c r="AN193">
        <v>245496.41889999999</v>
      </c>
      <c r="AO193">
        <v>218660.92929999999</v>
      </c>
      <c r="AP193">
        <v>189430.70329999999</v>
      </c>
      <c r="AQ193">
        <v>155821.02910000001</v>
      </c>
      <c r="AR193">
        <v>117679.7218</v>
      </c>
      <c r="AS193">
        <v>144185.5515</v>
      </c>
      <c r="AT193">
        <v>171994.55119999999</v>
      </c>
      <c r="AU193">
        <v>201101.64619999999</v>
      </c>
      <c r="AV193">
        <v>231413.5214</v>
      </c>
      <c r="AW193">
        <v>262893.94189999998</v>
      </c>
    </row>
    <row r="194" spans="2:49" x14ac:dyDescent="0.25">
      <c r="B194" t="s">
        <v>265</v>
      </c>
      <c r="C194">
        <v>20174774.421468802</v>
      </c>
      <c r="D194">
        <v>20498686.950521201</v>
      </c>
      <c r="E194">
        <v>20827800</v>
      </c>
      <c r="F194">
        <v>19738406.780000001</v>
      </c>
      <c r="G194">
        <v>18556521.670000002</v>
      </c>
      <c r="H194">
        <v>16349579.390000001</v>
      </c>
      <c r="I194">
        <v>15280600.939999999</v>
      </c>
      <c r="J194">
        <v>14420719.99</v>
      </c>
      <c r="K194">
        <v>13452624.42</v>
      </c>
      <c r="L194">
        <v>12348164.960000001</v>
      </c>
      <c r="M194">
        <v>11291814.199999999</v>
      </c>
      <c r="N194">
        <v>10199807.109999999</v>
      </c>
      <c r="O194">
        <v>8641077.3859999999</v>
      </c>
      <c r="P194">
        <v>7305328.7149999999</v>
      </c>
      <c r="Q194">
        <v>6038296.943</v>
      </c>
      <c r="R194">
        <v>4575203.648</v>
      </c>
      <c r="S194">
        <v>3066095.6329999999</v>
      </c>
      <c r="T194">
        <v>2819349.537</v>
      </c>
      <c r="U194">
        <v>2672843.0099999998</v>
      </c>
      <c r="V194">
        <v>2537392.068</v>
      </c>
      <c r="W194">
        <v>1699208.6839999999</v>
      </c>
      <c r="X194">
        <v>801202.61170000001</v>
      </c>
      <c r="Y194">
        <v>585255.99910000002</v>
      </c>
      <c r="Z194">
        <v>414213.2573</v>
      </c>
      <c r="AA194">
        <v>249575.59659999999</v>
      </c>
      <c r="AB194">
        <v>236240.27960000001</v>
      </c>
      <c r="AC194">
        <v>234745.0906</v>
      </c>
      <c r="AD194">
        <v>199608.21090000001</v>
      </c>
      <c r="AE194">
        <v>160917.32680000001</v>
      </c>
      <c r="AF194">
        <v>121638.63189999999</v>
      </c>
      <c r="AG194">
        <v>114143.3006</v>
      </c>
      <c r="AH194">
        <v>109448.6063</v>
      </c>
      <c r="AI194">
        <v>108922.0738</v>
      </c>
      <c r="AJ194">
        <v>108869.25229999999</v>
      </c>
      <c r="AK194">
        <v>108830.1115</v>
      </c>
      <c r="AL194">
        <v>109184.2702</v>
      </c>
      <c r="AM194">
        <v>109441.30250000001</v>
      </c>
      <c r="AN194">
        <v>109675.6893</v>
      </c>
      <c r="AO194">
        <v>109836.98050000001</v>
      </c>
      <c r="AP194">
        <v>109940.2723</v>
      </c>
      <c r="AQ194">
        <v>110004.9733</v>
      </c>
      <c r="AR194">
        <v>109996.8009</v>
      </c>
      <c r="AS194">
        <v>110306.92200000001</v>
      </c>
      <c r="AT194">
        <v>110665.3443</v>
      </c>
      <c r="AU194">
        <v>110997.64599999999</v>
      </c>
      <c r="AV194">
        <v>111282.00719999999</v>
      </c>
      <c r="AW194">
        <v>111526.27529999999</v>
      </c>
    </row>
    <row r="195" spans="2:49" x14ac:dyDescent="0.25">
      <c r="B195" t="s">
        <v>266</v>
      </c>
      <c r="C195">
        <v>463787.91773491597</v>
      </c>
      <c r="D195">
        <v>471234.182770602</v>
      </c>
      <c r="E195">
        <v>478800</v>
      </c>
      <c r="F195">
        <v>479389.40230000002</v>
      </c>
      <c r="G195">
        <v>463701.24300000002</v>
      </c>
      <c r="H195">
        <v>441458.80109999998</v>
      </c>
      <c r="I195">
        <v>448384.99570000003</v>
      </c>
      <c r="J195">
        <v>466423.52130000002</v>
      </c>
      <c r="K195">
        <v>467720.65220000001</v>
      </c>
      <c r="L195">
        <v>478365.28989999997</v>
      </c>
      <c r="M195">
        <v>501494.59620000003</v>
      </c>
      <c r="N195">
        <v>535383.76939999999</v>
      </c>
      <c r="O195">
        <v>512014.50790000003</v>
      </c>
      <c r="P195">
        <v>476053.8946</v>
      </c>
      <c r="Q195">
        <v>419451.46769999998</v>
      </c>
      <c r="R195">
        <v>372048.11430000002</v>
      </c>
      <c r="S195">
        <v>330676.42859999998</v>
      </c>
      <c r="T195">
        <v>308247.53289999999</v>
      </c>
      <c r="U195">
        <v>286537.17200000002</v>
      </c>
      <c r="V195">
        <v>267513.45260000002</v>
      </c>
      <c r="W195">
        <v>256848.84340000001</v>
      </c>
      <c r="X195">
        <v>245948.20509999999</v>
      </c>
      <c r="Y195">
        <v>234554.31719999999</v>
      </c>
      <c r="Z195">
        <v>224333.59469999999</v>
      </c>
      <c r="AA195">
        <v>214050.55960000001</v>
      </c>
      <c r="AB195">
        <v>200898.92319999999</v>
      </c>
      <c r="AC195">
        <v>188010.14249999999</v>
      </c>
      <c r="AD195">
        <v>178840.25090000001</v>
      </c>
      <c r="AE195">
        <v>167953.49650000001</v>
      </c>
      <c r="AF195">
        <v>155498.4852</v>
      </c>
      <c r="AG195">
        <v>145615.91750000001</v>
      </c>
      <c r="AH195">
        <v>135727.6207</v>
      </c>
      <c r="AI195">
        <v>125284.7016</v>
      </c>
      <c r="AJ195">
        <v>115005.2188</v>
      </c>
      <c r="AK195">
        <v>104734.10340000001</v>
      </c>
      <c r="AL195">
        <v>97695.836190000002</v>
      </c>
      <c r="AM195">
        <v>83817.122900000002</v>
      </c>
      <c r="AN195">
        <v>84586.428</v>
      </c>
      <c r="AO195">
        <v>81615.284249999997</v>
      </c>
      <c r="AP195">
        <v>75042.17052</v>
      </c>
      <c r="AQ195">
        <v>64966.150350000004</v>
      </c>
      <c r="AR195">
        <v>51356.710480000002</v>
      </c>
      <c r="AS195">
        <v>47529.475250000003</v>
      </c>
      <c r="AT195">
        <v>40251.975599999998</v>
      </c>
      <c r="AU195">
        <v>29759.417819999999</v>
      </c>
      <c r="AV195">
        <v>16269.302100000001</v>
      </c>
      <c r="AW195">
        <v>2553.6503509999998</v>
      </c>
    </row>
    <row r="196" spans="2:49" x14ac:dyDescent="0.25">
      <c r="B196" s="274" t="s">
        <v>267</v>
      </c>
      <c r="C196">
        <v>748170.71461916296</v>
      </c>
      <c r="D196">
        <v>760182.83744504896</v>
      </c>
      <c r="E196">
        <v>772387.81880000001</v>
      </c>
      <c r="F196">
        <v>782996.18449999997</v>
      </c>
      <c r="G196">
        <v>744135.11919999996</v>
      </c>
      <c r="H196">
        <v>730097.72360000003</v>
      </c>
      <c r="I196">
        <v>757084.23060000001</v>
      </c>
      <c r="J196">
        <v>727838.34140000003</v>
      </c>
      <c r="K196">
        <v>696654.57680000004</v>
      </c>
      <c r="L196">
        <v>656948.91769999999</v>
      </c>
      <c r="M196">
        <v>674483.55579999997</v>
      </c>
      <c r="N196">
        <v>670214.03060000006</v>
      </c>
      <c r="O196">
        <v>668964.42879999999</v>
      </c>
      <c r="P196">
        <v>675114.27989999996</v>
      </c>
      <c r="Q196">
        <v>634399.15639999998</v>
      </c>
      <c r="R196">
        <v>617100.53500000003</v>
      </c>
      <c r="S196">
        <v>616355.24950000003</v>
      </c>
      <c r="T196">
        <v>600058.17409999995</v>
      </c>
      <c r="U196">
        <v>583506.44409999996</v>
      </c>
      <c r="V196">
        <v>575191.33059999999</v>
      </c>
      <c r="W196">
        <v>585470.18669999996</v>
      </c>
      <c r="X196">
        <v>580397.47270000004</v>
      </c>
      <c r="Y196">
        <v>561413.63219999999</v>
      </c>
      <c r="Z196">
        <v>545954.94550000003</v>
      </c>
      <c r="AA196">
        <v>530702.91669999994</v>
      </c>
      <c r="AB196">
        <v>515180.40169999999</v>
      </c>
      <c r="AC196">
        <v>498745.2352</v>
      </c>
      <c r="AD196">
        <v>457604.63929999998</v>
      </c>
      <c r="AE196">
        <v>415863.17879999999</v>
      </c>
      <c r="AF196">
        <v>373049.6606</v>
      </c>
      <c r="AG196">
        <v>350593.92460000003</v>
      </c>
      <c r="AH196">
        <v>328127.85729999997</v>
      </c>
      <c r="AI196">
        <v>304433.40350000001</v>
      </c>
      <c r="AJ196">
        <v>280789.12670000002</v>
      </c>
      <c r="AK196">
        <v>256619.80979999999</v>
      </c>
      <c r="AL196">
        <v>302129.0514</v>
      </c>
      <c r="AM196">
        <v>345893.63390000002</v>
      </c>
      <c r="AN196">
        <v>304513.7501</v>
      </c>
      <c r="AO196">
        <v>262054.23790000001</v>
      </c>
      <c r="AP196">
        <v>218001.41560000001</v>
      </c>
      <c r="AQ196">
        <v>172656.3921</v>
      </c>
      <c r="AR196">
        <v>125930.14629999999</v>
      </c>
      <c r="AS196">
        <v>148621.2623</v>
      </c>
      <c r="AT196">
        <v>171238.73759999999</v>
      </c>
      <c r="AU196">
        <v>193910.12</v>
      </c>
      <c r="AV196">
        <v>216586.59839999999</v>
      </c>
      <c r="AW196">
        <v>239313.32149999999</v>
      </c>
    </row>
    <row r="197" spans="2:49" x14ac:dyDescent="0.25">
      <c r="B197" s="274" t="s">
        <v>268</v>
      </c>
      <c r="C197">
        <v>5051155.6907064496</v>
      </c>
      <c r="D197">
        <v>5132253.62916335</v>
      </c>
      <c r="E197">
        <v>5214653.6210000003</v>
      </c>
      <c r="F197">
        <v>5248317.2889999999</v>
      </c>
      <c r="G197">
        <v>4939010.4450000003</v>
      </c>
      <c r="H197">
        <v>4803512.477</v>
      </c>
      <c r="I197">
        <v>4766625.71</v>
      </c>
      <c r="J197">
        <v>4675558.6169999996</v>
      </c>
      <c r="K197">
        <v>4370494.3760000002</v>
      </c>
      <c r="L197">
        <v>4176483.54</v>
      </c>
      <c r="M197">
        <v>4159577.1540000001</v>
      </c>
      <c r="N197">
        <v>4106314.83</v>
      </c>
      <c r="O197">
        <v>4079117.986</v>
      </c>
      <c r="P197">
        <v>4077916.1639999999</v>
      </c>
      <c r="Q197">
        <v>3893543.182</v>
      </c>
      <c r="R197">
        <v>3757557.7110000001</v>
      </c>
      <c r="S197">
        <v>3767130.4780000001</v>
      </c>
      <c r="T197">
        <v>3640587.335</v>
      </c>
      <c r="U197">
        <v>3535689.7779999999</v>
      </c>
      <c r="V197">
        <v>3457985.071</v>
      </c>
      <c r="W197">
        <v>2838716.7990000001</v>
      </c>
      <c r="X197">
        <v>2285545.5460000001</v>
      </c>
      <c r="Y197">
        <v>1854991.1980000001</v>
      </c>
      <c r="Z197">
        <v>1548535.8570000001</v>
      </c>
      <c r="AA197">
        <v>1316695.78</v>
      </c>
      <c r="AB197">
        <v>1134531.371</v>
      </c>
      <c r="AC197">
        <v>986130.38829999999</v>
      </c>
      <c r="AD197">
        <v>886555.66119999997</v>
      </c>
      <c r="AE197">
        <v>805046.60959999997</v>
      </c>
      <c r="AF197">
        <v>724760.37150000001</v>
      </c>
      <c r="AG197">
        <v>686761.22979999997</v>
      </c>
      <c r="AH197">
        <v>647184.17079999996</v>
      </c>
      <c r="AI197">
        <v>604237.06030000001</v>
      </c>
      <c r="AJ197">
        <v>561678.53350000002</v>
      </c>
      <c r="AK197">
        <v>517614.28529999999</v>
      </c>
      <c r="AL197">
        <v>621640.64630000002</v>
      </c>
      <c r="AM197">
        <v>726973.65159999998</v>
      </c>
      <c r="AN197">
        <v>642039.60730000003</v>
      </c>
      <c r="AO197">
        <v>554056.78949999996</v>
      </c>
      <c r="AP197">
        <v>462489.21980000002</v>
      </c>
      <c r="AQ197">
        <v>367557.22039999999</v>
      </c>
      <c r="AR197">
        <v>269039.70169999998</v>
      </c>
      <c r="AS197">
        <v>321806.95209999999</v>
      </c>
      <c r="AT197">
        <v>375416.93599999999</v>
      </c>
      <c r="AU197">
        <v>430270.9154</v>
      </c>
      <c r="AV197">
        <v>486267.43089999998</v>
      </c>
      <c r="AW197">
        <v>543440.78689999995</v>
      </c>
    </row>
    <row r="198" spans="2:49" x14ac:dyDescent="0.25">
      <c r="B198" s="274" t="s">
        <v>269</v>
      </c>
      <c r="C198">
        <v>738109.45702439197</v>
      </c>
      <c r="D198">
        <v>749960.04310518701</v>
      </c>
      <c r="E198">
        <v>762000.89419999998</v>
      </c>
      <c r="F198">
        <v>751839.07460000005</v>
      </c>
      <c r="G198">
        <v>703610.18220000004</v>
      </c>
      <c r="H198">
        <v>593414.55960000004</v>
      </c>
      <c r="I198">
        <v>645152.02269999997</v>
      </c>
      <c r="J198">
        <v>634796.43700000003</v>
      </c>
      <c r="K198">
        <v>604850.46880000003</v>
      </c>
      <c r="L198">
        <v>589537.73679999996</v>
      </c>
      <c r="M198">
        <v>601124.9889</v>
      </c>
      <c r="N198">
        <v>641224.40960000001</v>
      </c>
      <c r="O198">
        <v>634474.88</v>
      </c>
      <c r="P198">
        <v>627248.84849999996</v>
      </c>
      <c r="Q198">
        <v>578641.28280000004</v>
      </c>
      <c r="R198">
        <v>551516.30319999997</v>
      </c>
      <c r="S198">
        <v>498610.005</v>
      </c>
      <c r="T198">
        <v>480090.47889999999</v>
      </c>
      <c r="U198">
        <v>458797.19579999999</v>
      </c>
      <c r="V198">
        <v>453153.71830000001</v>
      </c>
      <c r="W198">
        <v>361775.37109999999</v>
      </c>
      <c r="X198">
        <v>276253.6557</v>
      </c>
      <c r="Y198">
        <v>204454.67</v>
      </c>
      <c r="Z198">
        <v>159798.0288</v>
      </c>
      <c r="AA198">
        <v>128426.7546</v>
      </c>
      <c r="AB198">
        <v>105026.85460000001</v>
      </c>
      <c r="AC198">
        <v>87177.40857</v>
      </c>
      <c r="AD198">
        <v>76328.842910000007</v>
      </c>
      <c r="AE198">
        <v>68020.585420000003</v>
      </c>
      <c r="AF198">
        <v>60404.08829</v>
      </c>
      <c r="AG198">
        <v>56645.051290000003</v>
      </c>
      <c r="AH198">
        <v>53010.065730000002</v>
      </c>
      <c r="AI198">
        <v>49459.62</v>
      </c>
      <c r="AJ198">
        <v>45787.614090000003</v>
      </c>
      <c r="AK198">
        <v>41916.324939999999</v>
      </c>
      <c r="AL198">
        <v>50016.401129999998</v>
      </c>
      <c r="AM198">
        <v>57990.862269999998</v>
      </c>
      <c r="AN198">
        <v>50846.803829999997</v>
      </c>
      <c r="AO198">
        <v>43497.554810000001</v>
      </c>
      <c r="AP198">
        <v>36014.561099999999</v>
      </c>
      <c r="AQ198">
        <v>28396.99596</v>
      </c>
      <c r="AR198">
        <v>20692.73416</v>
      </c>
      <c r="AS198">
        <v>24583.95203</v>
      </c>
      <c r="AT198">
        <v>28509.53601</v>
      </c>
      <c r="AU198">
        <v>32473.002400000001</v>
      </c>
      <c r="AV198">
        <v>36454.786829999997</v>
      </c>
      <c r="AW198">
        <v>40421.894039999999</v>
      </c>
    </row>
    <row r="199" spans="2:49" x14ac:dyDescent="0.25">
      <c r="B199" s="274" t="s">
        <v>270</v>
      </c>
      <c r="C199">
        <v>1453742.3069470399</v>
      </c>
      <c r="D199">
        <v>1477082.6099113501</v>
      </c>
      <c r="E199">
        <v>1500797.649</v>
      </c>
      <c r="F199">
        <v>1490755.49</v>
      </c>
      <c r="G199">
        <v>1346665.3319999999</v>
      </c>
      <c r="H199">
        <v>1139514.632</v>
      </c>
      <c r="I199">
        <v>1151604.743</v>
      </c>
      <c r="J199">
        <v>1246234.6070000001</v>
      </c>
      <c r="K199">
        <v>1108403.648</v>
      </c>
      <c r="L199">
        <v>1036476.5919999999</v>
      </c>
      <c r="M199">
        <v>1039185.4570000001</v>
      </c>
      <c r="N199">
        <v>1029088.724</v>
      </c>
      <c r="O199">
        <v>1079901.4509999999</v>
      </c>
      <c r="P199">
        <v>1120543.1610000001</v>
      </c>
      <c r="Q199">
        <v>1102514.0649999999</v>
      </c>
      <c r="R199">
        <v>1079821.666</v>
      </c>
      <c r="S199">
        <v>1063346.277</v>
      </c>
      <c r="T199">
        <v>1024020.727</v>
      </c>
      <c r="U199">
        <v>975670.12730000005</v>
      </c>
      <c r="V199">
        <v>936334.59420000005</v>
      </c>
      <c r="W199">
        <v>837634.03969999996</v>
      </c>
      <c r="X199">
        <v>728985.53929999995</v>
      </c>
      <c r="Y199">
        <v>651536.01500000001</v>
      </c>
      <c r="Z199">
        <v>605826.57860000001</v>
      </c>
      <c r="AA199">
        <v>578003.299</v>
      </c>
      <c r="AB199">
        <v>562455.86750000005</v>
      </c>
      <c r="AC199">
        <v>556550.15260000003</v>
      </c>
      <c r="AD199">
        <v>498670.4081</v>
      </c>
      <c r="AE199">
        <v>450124.8052</v>
      </c>
      <c r="AF199">
        <v>402613.78749999998</v>
      </c>
      <c r="AG199">
        <v>378715.70299999998</v>
      </c>
      <c r="AH199">
        <v>354190.6324</v>
      </c>
      <c r="AI199">
        <v>328442.9988</v>
      </c>
      <c r="AJ199">
        <v>302998.66119999997</v>
      </c>
      <c r="AK199">
        <v>277166.90019999997</v>
      </c>
      <c r="AL199">
        <v>329512.22019999998</v>
      </c>
      <c r="AM199">
        <v>381304.34700000001</v>
      </c>
      <c r="AN199">
        <v>333619.63959999999</v>
      </c>
      <c r="AO199">
        <v>285341.17509999999</v>
      </c>
      <c r="AP199">
        <v>236320.68530000001</v>
      </c>
      <c r="AQ199">
        <v>186562.04560000001</v>
      </c>
      <c r="AR199">
        <v>135834.4264</v>
      </c>
      <c r="AS199">
        <v>160860.29019999999</v>
      </c>
      <c r="AT199">
        <v>185671.18150000001</v>
      </c>
      <c r="AU199">
        <v>210439.15590000001</v>
      </c>
      <c r="AV199">
        <v>235084.31340000001</v>
      </c>
      <c r="AW199">
        <v>259640.05780000001</v>
      </c>
    </row>
    <row r="200" spans="2:49" x14ac:dyDescent="0.25">
      <c r="B200" s="274" t="s">
        <v>271</v>
      </c>
      <c r="C200">
        <v>1819036.8432423901</v>
      </c>
      <c r="D200">
        <v>1848242.0681447799</v>
      </c>
      <c r="E200">
        <v>1877916.192</v>
      </c>
      <c r="F200">
        <v>1868270.1880000001</v>
      </c>
      <c r="G200">
        <v>1701712.2279999999</v>
      </c>
      <c r="H200">
        <v>1421541.365</v>
      </c>
      <c r="I200">
        <v>1466752.9639999999</v>
      </c>
      <c r="J200">
        <v>1614039.8459999999</v>
      </c>
      <c r="K200">
        <v>1437450.169</v>
      </c>
      <c r="L200">
        <v>1340965.8910000001</v>
      </c>
      <c r="M200">
        <v>1339480.2560000001</v>
      </c>
      <c r="N200">
        <v>1308824.709</v>
      </c>
      <c r="O200">
        <v>1405281.696</v>
      </c>
      <c r="P200">
        <v>1506094.4180000001</v>
      </c>
      <c r="Q200">
        <v>1521086.0319999999</v>
      </c>
      <c r="R200">
        <v>1520857.94</v>
      </c>
      <c r="S200">
        <v>1531473.9639999999</v>
      </c>
      <c r="T200">
        <v>1508296.0630000001</v>
      </c>
      <c r="U200">
        <v>1439728.669</v>
      </c>
      <c r="V200">
        <v>1403514.433</v>
      </c>
      <c r="W200">
        <v>1173682.531</v>
      </c>
      <c r="X200">
        <v>961014.54169999994</v>
      </c>
      <c r="Y200">
        <v>790021.36450000003</v>
      </c>
      <c r="Z200">
        <v>669400.76879999996</v>
      </c>
      <c r="AA200">
        <v>575682.52170000004</v>
      </c>
      <c r="AB200">
        <v>499841.51850000001</v>
      </c>
      <c r="AC200">
        <v>438547.0172</v>
      </c>
      <c r="AD200">
        <v>394224.95990000002</v>
      </c>
      <c r="AE200">
        <v>354901.23460000003</v>
      </c>
      <c r="AF200">
        <v>316403.46769999998</v>
      </c>
      <c r="AG200">
        <v>296711.435</v>
      </c>
      <c r="AH200">
        <v>277220.60359999997</v>
      </c>
      <c r="AI200">
        <v>256909.1562</v>
      </c>
      <c r="AJ200">
        <v>236421.63589999999</v>
      </c>
      <c r="AK200">
        <v>216068.9688</v>
      </c>
      <c r="AL200">
        <v>256837.82190000001</v>
      </c>
      <c r="AM200">
        <v>297583.99060000002</v>
      </c>
      <c r="AN200">
        <v>261145.1697</v>
      </c>
      <c r="AO200">
        <v>223373.84460000001</v>
      </c>
      <c r="AP200">
        <v>184987.55220000001</v>
      </c>
      <c r="AQ200">
        <v>146187.34229999999</v>
      </c>
      <c r="AR200">
        <v>106366.69010000001</v>
      </c>
      <c r="AS200">
        <v>125838.29949999999</v>
      </c>
      <c r="AT200">
        <v>145551.90119999999</v>
      </c>
      <c r="AU200">
        <v>165350.0637</v>
      </c>
      <c r="AV200">
        <v>185126.8364</v>
      </c>
      <c r="AW200">
        <v>205271.98670000001</v>
      </c>
    </row>
    <row r="201" spans="2:49" x14ac:dyDescent="0.25">
      <c r="B201" s="274" t="s">
        <v>272</v>
      </c>
      <c r="C201">
        <v>2313078.33193391</v>
      </c>
      <c r="D201">
        <v>2350215.5527395001</v>
      </c>
      <c r="E201">
        <v>2387949.0240000002</v>
      </c>
      <c r="F201">
        <v>2353514.9380000001</v>
      </c>
      <c r="G201">
        <v>2172699.6359999999</v>
      </c>
      <c r="H201">
        <v>1906532.702</v>
      </c>
      <c r="I201">
        <v>1984902.2050000001</v>
      </c>
      <c r="J201">
        <v>1855963.3259999999</v>
      </c>
      <c r="K201">
        <v>1674421.824</v>
      </c>
      <c r="L201">
        <v>1611843.155</v>
      </c>
      <c r="M201">
        <v>1572785.6610000001</v>
      </c>
      <c r="N201">
        <v>1585355.6669999999</v>
      </c>
      <c r="O201">
        <v>1642651.0179999999</v>
      </c>
      <c r="P201">
        <v>1681486.6810000001</v>
      </c>
      <c r="Q201">
        <v>1667283.2409999999</v>
      </c>
      <c r="R201">
        <v>1629995.2169999999</v>
      </c>
      <c r="S201">
        <v>1639769.5830000001</v>
      </c>
      <c r="T201">
        <v>1594660.585</v>
      </c>
      <c r="U201">
        <v>1522335.919</v>
      </c>
      <c r="V201">
        <v>1463984.4180000001</v>
      </c>
      <c r="W201">
        <v>1261126.669</v>
      </c>
      <c r="X201">
        <v>1060359.8799999999</v>
      </c>
      <c r="Y201">
        <v>913106.36569999997</v>
      </c>
      <c r="Z201">
        <v>818347.32640000002</v>
      </c>
      <c r="AA201">
        <v>752301.02910000004</v>
      </c>
      <c r="AB201">
        <v>706158.34490000003</v>
      </c>
      <c r="AC201">
        <v>675201.95259999996</v>
      </c>
      <c r="AD201">
        <v>605756.8798</v>
      </c>
      <c r="AE201">
        <v>547833.44940000004</v>
      </c>
      <c r="AF201">
        <v>491201.97080000001</v>
      </c>
      <c r="AG201">
        <v>463677.11330000003</v>
      </c>
      <c r="AH201">
        <v>435170.66259999998</v>
      </c>
      <c r="AI201">
        <v>404850.64669999998</v>
      </c>
      <c r="AJ201">
        <v>374839.66749999998</v>
      </c>
      <c r="AK201">
        <v>344297.52669999999</v>
      </c>
      <c r="AL201">
        <v>411731.09649999999</v>
      </c>
      <c r="AM201">
        <v>479593.90659999999</v>
      </c>
      <c r="AN201">
        <v>421785.73239999998</v>
      </c>
      <c r="AO201">
        <v>362575.4252</v>
      </c>
      <c r="AP201">
        <v>301703.80810000002</v>
      </c>
      <c r="AQ201">
        <v>239204.34770000001</v>
      </c>
      <c r="AR201">
        <v>174738.1574</v>
      </c>
      <c r="AS201">
        <v>208304.5779</v>
      </c>
      <c r="AT201">
        <v>242139.01800000001</v>
      </c>
      <c r="AU201">
        <v>276448.5773</v>
      </c>
      <c r="AV201">
        <v>311117.71500000003</v>
      </c>
      <c r="AW201">
        <v>346229.75140000001</v>
      </c>
    </row>
    <row r="202" spans="2:49" x14ac:dyDescent="0.25">
      <c r="B202" s="274" t="s">
        <v>273</v>
      </c>
      <c r="C202">
        <v>4643279.3828946501</v>
      </c>
      <c r="D202">
        <v>4717828.7352982899</v>
      </c>
      <c r="E202">
        <v>4793575.0020000003</v>
      </c>
      <c r="F202">
        <v>4722005.1339999996</v>
      </c>
      <c r="G202">
        <v>4595978.3710000003</v>
      </c>
      <c r="H202">
        <v>4196694.3859999999</v>
      </c>
      <c r="I202">
        <v>4226024.3509999998</v>
      </c>
      <c r="J202">
        <v>4142121.5320000001</v>
      </c>
      <c r="K202">
        <v>3887487.7289999998</v>
      </c>
      <c r="L202">
        <v>3768029.534</v>
      </c>
      <c r="M202">
        <v>3707996.0290000001</v>
      </c>
      <c r="N202">
        <v>3778079.395</v>
      </c>
      <c r="O202">
        <v>3908522.52</v>
      </c>
      <c r="P202">
        <v>3985539.7560000001</v>
      </c>
      <c r="Q202">
        <v>3927318.273</v>
      </c>
      <c r="R202">
        <v>3930715.41</v>
      </c>
      <c r="S202">
        <v>3882155.2230000002</v>
      </c>
      <c r="T202">
        <v>3766983.11</v>
      </c>
      <c r="U202">
        <v>3585015.8489999999</v>
      </c>
      <c r="V202">
        <v>3427509.0780000002</v>
      </c>
      <c r="W202">
        <v>2990954.3969999999</v>
      </c>
      <c r="X202">
        <v>2522582.1320000002</v>
      </c>
      <c r="Y202">
        <v>2149633.3450000002</v>
      </c>
      <c r="Z202">
        <v>1884083.9010000001</v>
      </c>
      <c r="AA202">
        <v>1678324.1129999999</v>
      </c>
      <c r="AB202">
        <v>1516476.807</v>
      </c>
      <c r="AC202">
        <v>1386666.5530000001</v>
      </c>
      <c r="AD202">
        <v>1251255.0120000001</v>
      </c>
      <c r="AE202">
        <v>1135306.5190000001</v>
      </c>
      <c r="AF202">
        <v>1020873.795</v>
      </c>
      <c r="AG202">
        <v>966190.68770000001</v>
      </c>
      <c r="AH202">
        <v>909693.00710000005</v>
      </c>
      <c r="AI202">
        <v>849087.12309999997</v>
      </c>
      <c r="AJ202">
        <v>788481.16760000004</v>
      </c>
      <c r="AK202">
        <v>726370.85820000002</v>
      </c>
      <c r="AL202">
        <v>870988.41929999995</v>
      </c>
      <c r="AM202">
        <v>1016670.6629999999</v>
      </c>
      <c r="AN202">
        <v>896424.74780000001</v>
      </c>
      <c r="AO202">
        <v>772952.12139999995</v>
      </c>
      <c r="AP202">
        <v>645459.84160000004</v>
      </c>
      <c r="AQ202">
        <v>513870.78700000001</v>
      </c>
      <c r="AR202">
        <v>377229.91720000003</v>
      </c>
      <c r="AS202">
        <v>451389.98070000001</v>
      </c>
      <c r="AT202">
        <v>526429.85660000006</v>
      </c>
      <c r="AU202">
        <v>602779.46900000004</v>
      </c>
      <c r="AV202">
        <v>680255.53780000005</v>
      </c>
      <c r="AW202">
        <v>758970.05220000003</v>
      </c>
    </row>
    <row r="203" spans="2:49" x14ac:dyDescent="0.25">
      <c r="B203" s="274" t="s">
        <v>274</v>
      </c>
      <c r="C203">
        <v>3833938.33697946</v>
      </c>
      <c r="D203">
        <v>3895493.45710216</v>
      </c>
      <c r="E203">
        <v>3971757.6260000002</v>
      </c>
      <c r="F203">
        <v>3915217.1159999999</v>
      </c>
      <c r="G203">
        <v>3855798.2039999999</v>
      </c>
      <c r="H203">
        <v>3485483.7409999999</v>
      </c>
      <c r="I203">
        <v>3575745.86</v>
      </c>
      <c r="J203">
        <v>3583991.733</v>
      </c>
      <c r="K203">
        <v>3459745.7719999999</v>
      </c>
      <c r="L203">
        <v>3380014.0150000001</v>
      </c>
      <c r="M203">
        <v>3320938.591</v>
      </c>
      <c r="N203">
        <v>3320996.182</v>
      </c>
      <c r="O203">
        <v>3426692.5690000001</v>
      </c>
      <c r="P203">
        <v>3590160.7859999998</v>
      </c>
      <c r="Q203">
        <v>3674279.1430000002</v>
      </c>
      <c r="R203">
        <v>3806740.213</v>
      </c>
      <c r="S203">
        <v>3866388.4909999999</v>
      </c>
      <c r="T203">
        <v>3722176.2110000001</v>
      </c>
      <c r="U203">
        <v>3592506.0750000002</v>
      </c>
      <c r="V203">
        <v>3458515.1710000001</v>
      </c>
      <c r="W203">
        <v>3320752.1510000001</v>
      </c>
      <c r="X203">
        <v>3161131.88</v>
      </c>
      <c r="Y203">
        <v>2974899.4980000001</v>
      </c>
      <c r="Z203">
        <v>2826057.4670000002</v>
      </c>
      <c r="AA203">
        <v>2696419.9509999999</v>
      </c>
      <c r="AB203">
        <v>2594032.5299999998</v>
      </c>
      <c r="AC203">
        <v>2502865.5320000001</v>
      </c>
      <c r="AD203">
        <v>2263541.662</v>
      </c>
      <c r="AE203">
        <v>2032627.7890000001</v>
      </c>
      <c r="AF203">
        <v>1804750.8970000001</v>
      </c>
      <c r="AG203">
        <v>1687001.6569999999</v>
      </c>
      <c r="AH203">
        <v>1571431.443</v>
      </c>
      <c r="AI203">
        <v>1452481.075</v>
      </c>
      <c r="AJ203">
        <v>1335349.0430000001</v>
      </c>
      <c r="AK203">
        <v>1218185.902</v>
      </c>
      <c r="AL203">
        <v>1452734.737</v>
      </c>
      <c r="AM203">
        <v>1687700.4539999999</v>
      </c>
      <c r="AN203">
        <v>1474236.564</v>
      </c>
      <c r="AO203">
        <v>1258143.432</v>
      </c>
      <c r="AP203">
        <v>1039158.487</v>
      </c>
      <c r="AQ203">
        <v>817420.50230000005</v>
      </c>
      <c r="AR203">
        <v>592658.80579999997</v>
      </c>
      <c r="AS203">
        <v>704124.67090000003</v>
      </c>
      <c r="AT203">
        <v>816400.67079999996</v>
      </c>
      <c r="AU203">
        <v>929583.21829999995</v>
      </c>
      <c r="AV203">
        <v>1043565.6090000001</v>
      </c>
      <c r="AW203">
        <v>1158431.8089999999</v>
      </c>
    </row>
    <row r="204" spans="2:49" x14ac:dyDescent="0.25">
      <c r="B204" s="274" t="s">
        <v>275</v>
      </c>
      <c r="C204">
        <v>271678.64339116903</v>
      </c>
      <c r="D204">
        <v>276040.53188776103</v>
      </c>
      <c r="E204">
        <v>280472.45189999999</v>
      </c>
      <c r="F204">
        <v>284876.78769999999</v>
      </c>
      <c r="G204">
        <v>265176.20069999999</v>
      </c>
      <c r="H204">
        <v>226710.4025</v>
      </c>
      <c r="I204">
        <v>232417.32490000001</v>
      </c>
      <c r="J204">
        <v>229750.0992</v>
      </c>
      <c r="K204">
        <v>207243.79329999999</v>
      </c>
      <c r="L204">
        <v>190747.3518</v>
      </c>
      <c r="M204">
        <v>185649.51490000001</v>
      </c>
      <c r="N204">
        <v>194670.20680000001</v>
      </c>
      <c r="O204">
        <v>195125.21489999999</v>
      </c>
      <c r="P204">
        <v>195750.4123</v>
      </c>
      <c r="Q204">
        <v>186180.39689999999</v>
      </c>
      <c r="R204">
        <v>175830.9161</v>
      </c>
      <c r="S204">
        <v>171078.61489999999</v>
      </c>
      <c r="T204">
        <v>165195.21979999999</v>
      </c>
      <c r="U204">
        <v>156858.37179999999</v>
      </c>
      <c r="V204">
        <v>151374.0436</v>
      </c>
      <c r="W204">
        <v>116146.5079</v>
      </c>
      <c r="X204">
        <v>88297.954119999995</v>
      </c>
      <c r="Y204">
        <v>69303.802710000004</v>
      </c>
      <c r="Z204">
        <v>57036.904710000003</v>
      </c>
      <c r="AA204">
        <v>48282.17499</v>
      </c>
      <c r="AB204">
        <v>41706.819190000002</v>
      </c>
      <c r="AC204">
        <v>36600.14933</v>
      </c>
      <c r="AD204">
        <v>32577.562330000001</v>
      </c>
      <c r="AE204">
        <v>29301.295600000001</v>
      </c>
      <c r="AF204">
        <v>26146.15583</v>
      </c>
      <c r="AG204">
        <v>24564.410950000001</v>
      </c>
      <c r="AH204">
        <v>22973.355439999999</v>
      </c>
      <c r="AI204">
        <v>21317.276160000001</v>
      </c>
      <c r="AJ204">
        <v>19667.71255</v>
      </c>
      <c r="AK204">
        <v>17992.514889999999</v>
      </c>
      <c r="AL204">
        <v>21448.019380000002</v>
      </c>
      <c r="AM204">
        <v>24896.144260000001</v>
      </c>
      <c r="AN204">
        <v>21806.397069999999</v>
      </c>
      <c r="AO204">
        <v>18655.829590000001</v>
      </c>
      <c r="AP204">
        <v>15447.23091</v>
      </c>
      <c r="AQ204">
        <v>12188.038130000001</v>
      </c>
      <c r="AR204">
        <v>8864.6285599999901</v>
      </c>
      <c r="AS204">
        <v>10520.402609999999</v>
      </c>
      <c r="AT204">
        <v>12181.17482</v>
      </c>
      <c r="AU204">
        <v>13852.19017</v>
      </c>
      <c r="AV204">
        <v>15527.62362</v>
      </c>
      <c r="AW204">
        <v>17212.376799999998</v>
      </c>
    </row>
    <row r="205" spans="2:49" x14ac:dyDescent="0.25">
      <c r="B205" s="274" t="s">
        <v>276</v>
      </c>
      <c r="C205">
        <v>2033071.8879050901</v>
      </c>
      <c r="D205">
        <v>2065713.51468114</v>
      </c>
      <c r="E205">
        <v>2098879.213</v>
      </c>
      <c r="F205">
        <v>2054054.7339999999</v>
      </c>
      <c r="G205">
        <v>1814085.86</v>
      </c>
      <c r="H205">
        <v>1457558.4129999999</v>
      </c>
      <c r="I205">
        <v>1526039.5220000001</v>
      </c>
      <c r="J205">
        <v>1490077.423</v>
      </c>
      <c r="K205">
        <v>1348281.121</v>
      </c>
      <c r="L205">
        <v>1314203.189</v>
      </c>
      <c r="M205">
        <v>1306570.4580000001</v>
      </c>
      <c r="N205">
        <v>1318411.07</v>
      </c>
      <c r="O205">
        <v>1292441.622</v>
      </c>
      <c r="P205">
        <v>1336139.1299999999</v>
      </c>
      <c r="Q205">
        <v>1299657.199</v>
      </c>
      <c r="R205">
        <v>1238677.6129999999</v>
      </c>
      <c r="S205">
        <v>1213646.264</v>
      </c>
      <c r="T205">
        <v>1172594.3389999999</v>
      </c>
      <c r="U205">
        <v>1103864.4879999999</v>
      </c>
      <c r="V205">
        <v>1049196.385</v>
      </c>
      <c r="W205">
        <v>850912.9804</v>
      </c>
      <c r="X205">
        <v>672440.96649999998</v>
      </c>
      <c r="Y205">
        <v>546096.20810000005</v>
      </c>
      <c r="Z205">
        <v>460660.42619999999</v>
      </c>
      <c r="AA205">
        <v>396221.51250000001</v>
      </c>
      <c r="AB205">
        <v>345307.97100000002</v>
      </c>
      <c r="AC205">
        <v>304080.72940000001</v>
      </c>
      <c r="AD205">
        <v>271577.89429999999</v>
      </c>
      <c r="AE205">
        <v>244114.9688</v>
      </c>
      <c r="AF205">
        <v>217490.51319999999</v>
      </c>
      <c r="AG205">
        <v>204005.0091</v>
      </c>
      <c r="AH205">
        <v>190301.58670000001</v>
      </c>
      <c r="AI205">
        <v>175981.93059999999</v>
      </c>
      <c r="AJ205">
        <v>161820.40669999999</v>
      </c>
      <c r="AK205">
        <v>147616.55119999999</v>
      </c>
      <c r="AL205">
        <v>175404.27549999999</v>
      </c>
      <c r="AM205">
        <v>202988.9148</v>
      </c>
      <c r="AN205">
        <v>176811.65160000001</v>
      </c>
      <c r="AO205">
        <v>150360.04519999999</v>
      </c>
      <c r="AP205">
        <v>123697.2648</v>
      </c>
      <c r="AQ205">
        <v>96907.193150000006</v>
      </c>
      <c r="AR205">
        <v>69889.269279999906</v>
      </c>
      <c r="AS205">
        <v>82478.812760000001</v>
      </c>
      <c r="AT205">
        <v>94958.145600000003</v>
      </c>
      <c r="AU205">
        <v>107337.72070000001</v>
      </c>
      <c r="AV205">
        <v>119554.05989999999</v>
      </c>
      <c r="AW205">
        <v>131649.03049999999</v>
      </c>
    </row>
    <row r="206" spans="2:49" x14ac:dyDescent="0.25">
      <c r="B206" s="274" t="s">
        <v>277</v>
      </c>
      <c r="C206">
        <v>611949.61832884501</v>
      </c>
      <c r="D206">
        <v>621774.66739182698</v>
      </c>
      <c r="E206">
        <v>631757.4608</v>
      </c>
      <c r="F206">
        <v>620270.51599999995</v>
      </c>
      <c r="G206">
        <v>558596.64249999996</v>
      </c>
      <c r="H206">
        <v>469472.90480000002</v>
      </c>
      <c r="I206">
        <v>504001.58029999997</v>
      </c>
      <c r="J206">
        <v>488134.53490000003</v>
      </c>
      <c r="K206">
        <v>440837.71779999998</v>
      </c>
      <c r="L206">
        <v>419020.59269999998</v>
      </c>
      <c r="M206">
        <v>418064.37540000002</v>
      </c>
      <c r="N206">
        <v>419068.54670000001</v>
      </c>
      <c r="O206">
        <v>387932.09289999999</v>
      </c>
      <c r="P206">
        <v>374748.93810000003</v>
      </c>
      <c r="Q206">
        <v>333326.88789999997</v>
      </c>
      <c r="R206">
        <v>306947.93349999998</v>
      </c>
      <c r="S206">
        <v>295556.52500000002</v>
      </c>
      <c r="T206">
        <v>294827.11599999998</v>
      </c>
      <c r="U206">
        <v>284203.46380000003</v>
      </c>
      <c r="V206">
        <v>280606.98070000001</v>
      </c>
      <c r="W206">
        <v>217742.10800000001</v>
      </c>
      <c r="X206">
        <v>166194.10370000001</v>
      </c>
      <c r="Y206">
        <v>128551.3072</v>
      </c>
      <c r="Z206">
        <v>105097.34940000001</v>
      </c>
      <c r="AA206">
        <v>88821.405970000007</v>
      </c>
      <c r="AB206">
        <v>77032.780400000003</v>
      </c>
      <c r="AC206">
        <v>68214.720220000003</v>
      </c>
      <c r="AD206">
        <v>60642.40784</v>
      </c>
      <c r="AE206">
        <v>54721.324189999999</v>
      </c>
      <c r="AF206">
        <v>49034.42237</v>
      </c>
      <c r="AG206">
        <v>46276.340300000003</v>
      </c>
      <c r="AH206">
        <v>43488.88091</v>
      </c>
      <c r="AI206">
        <v>40537.431810000002</v>
      </c>
      <c r="AJ206">
        <v>37548.472679999999</v>
      </c>
      <c r="AK206">
        <v>34491.463109999997</v>
      </c>
      <c r="AL206">
        <v>41257.88695</v>
      </c>
      <c r="AM206">
        <v>48053.010540000003</v>
      </c>
      <c r="AN206">
        <v>42284.30762</v>
      </c>
      <c r="AO206">
        <v>36364.128570000001</v>
      </c>
      <c r="AP206">
        <v>30249.297259999999</v>
      </c>
      <c r="AQ206">
        <v>23965.735430000001</v>
      </c>
      <c r="AR206">
        <v>17481.449369999998</v>
      </c>
      <c r="AS206">
        <v>20846.432870000001</v>
      </c>
      <c r="AT206">
        <v>24260.849030000001</v>
      </c>
      <c r="AU206">
        <v>27732.116389999999</v>
      </c>
      <c r="AV206">
        <v>31249.596010000001</v>
      </c>
      <c r="AW206">
        <v>34826.106829999997</v>
      </c>
    </row>
    <row r="207" spans="2:49" x14ac:dyDescent="0.25">
      <c r="B207" s="274" t="s">
        <v>278</v>
      </c>
      <c r="C207">
        <v>8749188.7351059392</v>
      </c>
      <c r="D207">
        <v>8889659.7902533505</v>
      </c>
      <c r="E207">
        <v>9032386.1539999899</v>
      </c>
      <c r="F207">
        <v>9099075.8039999995</v>
      </c>
      <c r="G207">
        <v>8692970.2709999997</v>
      </c>
      <c r="H207">
        <v>7701776.9560000002</v>
      </c>
      <c r="I207">
        <v>7801154.9709999999</v>
      </c>
      <c r="J207">
        <v>7712493.6490000002</v>
      </c>
      <c r="K207">
        <v>7227245.7199999997</v>
      </c>
      <c r="L207">
        <v>6840387.2379999999</v>
      </c>
      <c r="M207">
        <v>6667627.9029999999</v>
      </c>
      <c r="N207">
        <v>6571931.3470000001</v>
      </c>
      <c r="O207">
        <v>6803892.4960000003</v>
      </c>
      <c r="P207">
        <v>7010826.0049999999</v>
      </c>
      <c r="Q207">
        <v>6838591.0700000003</v>
      </c>
      <c r="R207">
        <v>6928742.0690000001</v>
      </c>
      <c r="S207">
        <v>7029662.9589999998</v>
      </c>
      <c r="T207">
        <v>7004967.3449999997</v>
      </c>
      <c r="U207">
        <v>6781628.0590000004</v>
      </c>
      <c r="V207">
        <v>6680269.8660000004</v>
      </c>
      <c r="W207">
        <v>5339147.5860000001</v>
      </c>
      <c r="X207">
        <v>4226216.1660000002</v>
      </c>
      <c r="Y207">
        <v>3371513.273</v>
      </c>
      <c r="Z207">
        <v>2802399.73</v>
      </c>
      <c r="AA207">
        <v>2379455.6239999998</v>
      </c>
      <c r="AB207">
        <v>2050868.38</v>
      </c>
      <c r="AC207">
        <v>1787950.7860000001</v>
      </c>
      <c r="AD207">
        <v>1605801.321</v>
      </c>
      <c r="AE207">
        <v>1453320.942</v>
      </c>
      <c r="AF207">
        <v>1304169.561</v>
      </c>
      <c r="AG207">
        <v>1231456.1399999999</v>
      </c>
      <c r="AH207">
        <v>1157266.804</v>
      </c>
      <c r="AI207">
        <v>1079542.206</v>
      </c>
      <c r="AJ207">
        <v>1000635.588</v>
      </c>
      <c r="AK207">
        <v>919716.03229999996</v>
      </c>
      <c r="AL207">
        <v>1100953.138</v>
      </c>
      <c r="AM207">
        <v>1283107.7819999999</v>
      </c>
      <c r="AN207">
        <v>1131228.925</v>
      </c>
      <c r="AO207">
        <v>973739.80830000003</v>
      </c>
      <c r="AP207">
        <v>810876.76760000002</v>
      </c>
      <c r="AQ207">
        <v>643004.31669999997</v>
      </c>
      <c r="AR207">
        <v>469244.21990000003</v>
      </c>
      <c r="AS207">
        <v>559168.50320000004</v>
      </c>
      <c r="AT207">
        <v>650768.48069999996</v>
      </c>
      <c r="AU207">
        <v>744133.05039999995</v>
      </c>
      <c r="AV207">
        <v>838788.19140000001</v>
      </c>
      <c r="AW207">
        <v>935135.26870000002</v>
      </c>
    </row>
    <row r="208" spans="2:49" x14ac:dyDescent="0.25">
      <c r="B208" s="274" t="s">
        <v>279</v>
      </c>
      <c r="C208">
        <v>583434.83019375498</v>
      </c>
      <c r="D208">
        <v>592802.06510985899</v>
      </c>
      <c r="E208">
        <v>602319.69400000002</v>
      </c>
      <c r="F208">
        <v>629509.79090000002</v>
      </c>
      <c r="G208">
        <v>616281.11029999994</v>
      </c>
      <c r="H208">
        <v>535591.60030000005</v>
      </c>
      <c r="I208">
        <v>534341.07999999996</v>
      </c>
      <c r="J208">
        <v>544824.04619999998</v>
      </c>
      <c r="K208">
        <v>520992.10960000003</v>
      </c>
      <c r="L208">
        <v>505544.90850000002</v>
      </c>
      <c r="M208">
        <v>470237.25780000002</v>
      </c>
      <c r="N208">
        <v>429807.72200000001</v>
      </c>
      <c r="O208">
        <v>414816.29460000002</v>
      </c>
      <c r="P208">
        <v>414311.7954</v>
      </c>
      <c r="Q208">
        <v>398882.03700000001</v>
      </c>
      <c r="R208">
        <v>399277.7268</v>
      </c>
      <c r="S208">
        <v>399046.21779999998</v>
      </c>
      <c r="T208">
        <v>402782.79979999998</v>
      </c>
      <c r="U208">
        <v>391639.11749999999</v>
      </c>
      <c r="V208">
        <v>391739.95529999997</v>
      </c>
      <c r="W208">
        <v>397216.38510000001</v>
      </c>
      <c r="X208">
        <v>396156.13339999999</v>
      </c>
      <c r="Y208">
        <v>381473.63669999997</v>
      </c>
      <c r="Z208">
        <v>368799.10070000001</v>
      </c>
      <c r="AA208">
        <v>354749.88339999999</v>
      </c>
      <c r="AB208">
        <v>339165.19429999997</v>
      </c>
      <c r="AC208">
        <v>324498.03210000001</v>
      </c>
      <c r="AD208">
        <v>300355.43979999999</v>
      </c>
      <c r="AE208">
        <v>272439.25040000002</v>
      </c>
      <c r="AF208">
        <v>243535.9749</v>
      </c>
      <c r="AG208">
        <v>227214.4615</v>
      </c>
      <c r="AH208">
        <v>211424.86060000001</v>
      </c>
      <c r="AI208">
        <v>195297.34719999999</v>
      </c>
      <c r="AJ208">
        <v>178510.19330000001</v>
      </c>
      <c r="AK208">
        <v>161978.0808</v>
      </c>
      <c r="AL208">
        <v>187633.44760000001</v>
      </c>
      <c r="AM208">
        <v>211650.7746</v>
      </c>
      <c r="AN208">
        <v>186952.31289999999</v>
      </c>
      <c r="AO208">
        <v>160708.4474</v>
      </c>
      <c r="AP208">
        <v>133572.59520000001</v>
      </c>
      <c r="AQ208">
        <v>105843.54829999999</v>
      </c>
      <c r="AR208">
        <v>76989.410749999995</v>
      </c>
      <c r="AS208">
        <v>89712.652109999995</v>
      </c>
      <c r="AT208">
        <v>102637.6225</v>
      </c>
      <c r="AU208">
        <v>115436.9776</v>
      </c>
      <c r="AV208">
        <v>127994.7993</v>
      </c>
      <c r="AW208">
        <v>140909.25229999999</v>
      </c>
    </row>
    <row r="209" spans="2:49" x14ac:dyDescent="0.25">
      <c r="B209" s="274" t="s">
        <v>280</v>
      </c>
      <c r="C209">
        <v>40605.282443966003</v>
      </c>
      <c r="D209">
        <v>41257.2133877546</v>
      </c>
      <c r="E209">
        <v>41919.611290000001</v>
      </c>
      <c r="F209">
        <v>42124.374219999998</v>
      </c>
      <c r="G209">
        <v>39523.859859999997</v>
      </c>
      <c r="H209">
        <v>36311.067759999998</v>
      </c>
      <c r="I209">
        <v>37099.396050000003</v>
      </c>
      <c r="J209">
        <v>36204.770700000001</v>
      </c>
      <c r="K209">
        <v>33986.249400000001</v>
      </c>
      <c r="L209">
        <v>33295.884830000003</v>
      </c>
      <c r="M209">
        <v>33380.957970000003</v>
      </c>
      <c r="N209">
        <v>33881.28527</v>
      </c>
      <c r="O209">
        <v>36020.948219999998</v>
      </c>
      <c r="P209">
        <v>38186.35166</v>
      </c>
      <c r="Q209">
        <v>37289.87758</v>
      </c>
      <c r="R209">
        <v>37493.314939999997</v>
      </c>
      <c r="S209">
        <v>36991.857239999998</v>
      </c>
      <c r="T209">
        <v>35445.197809999998</v>
      </c>
      <c r="U209">
        <v>34063.566959999996</v>
      </c>
      <c r="V209">
        <v>33095.56207</v>
      </c>
      <c r="W209">
        <v>34602.917049999996</v>
      </c>
      <c r="X209">
        <v>35108.141580000003</v>
      </c>
      <c r="Y209">
        <v>33900.794929999996</v>
      </c>
      <c r="Z209">
        <v>32876.340089999998</v>
      </c>
      <c r="AA209">
        <v>31847.7883</v>
      </c>
      <c r="AB209">
        <v>30999.1086</v>
      </c>
      <c r="AC209">
        <v>30174.725450000002</v>
      </c>
      <c r="AD209">
        <v>27626.274890000001</v>
      </c>
      <c r="AE209">
        <v>25001.111260000001</v>
      </c>
      <c r="AF209">
        <v>22333.334030000002</v>
      </c>
      <c r="AG209">
        <v>20931.447929999998</v>
      </c>
      <c r="AH209">
        <v>19497.353159999999</v>
      </c>
      <c r="AI209">
        <v>17971.303960000001</v>
      </c>
      <c r="AJ209">
        <v>16457.541430000001</v>
      </c>
      <c r="AK209">
        <v>14925.136630000001</v>
      </c>
      <c r="AL209">
        <v>17456.021990000001</v>
      </c>
      <c r="AM209">
        <v>19864.831730000002</v>
      </c>
      <c r="AN209">
        <v>17352.363860000001</v>
      </c>
      <c r="AO209">
        <v>14809.75361</v>
      </c>
      <c r="AP209">
        <v>12224.925300000001</v>
      </c>
      <c r="AQ209">
        <v>9608.5804630000002</v>
      </c>
      <c r="AR209">
        <v>6956.918729</v>
      </c>
      <c r="AS209">
        <v>8171.2739810000003</v>
      </c>
      <c r="AT209">
        <v>9373.4280060000001</v>
      </c>
      <c r="AU209">
        <v>10566.1837</v>
      </c>
      <c r="AV209">
        <v>11743.45145</v>
      </c>
      <c r="AW209">
        <v>12908.3503</v>
      </c>
    </row>
    <row r="210" spans="2:49" x14ac:dyDescent="0.25">
      <c r="B210" s="274" t="s">
        <v>281</v>
      </c>
      <c r="C210">
        <v>55091.732691944802</v>
      </c>
      <c r="D210">
        <v>55976.248280239903</v>
      </c>
      <c r="E210">
        <v>56875.034549999997</v>
      </c>
      <c r="F210">
        <v>59887.099849999999</v>
      </c>
      <c r="G210">
        <v>61057.422610000001</v>
      </c>
      <c r="H210">
        <v>61304.490700000002</v>
      </c>
      <c r="I210">
        <v>64198.860139999997</v>
      </c>
      <c r="J210">
        <v>66293.926819999906</v>
      </c>
      <c r="K210">
        <v>67681.829240000006</v>
      </c>
      <c r="L210">
        <v>69463.498819999906</v>
      </c>
      <c r="M210">
        <v>71344.308130000005</v>
      </c>
      <c r="N210">
        <v>72295.772689999998</v>
      </c>
      <c r="O210">
        <v>71718.348490000004</v>
      </c>
      <c r="P210">
        <v>74537.091620000007</v>
      </c>
      <c r="Q210">
        <v>76515.425390000004</v>
      </c>
      <c r="R210">
        <v>83594.557690000001</v>
      </c>
      <c r="S210">
        <v>98821.289120000001</v>
      </c>
      <c r="T210">
        <v>109001.0775</v>
      </c>
      <c r="U210">
        <v>115949.4958</v>
      </c>
      <c r="V210">
        <v>118794.8765</v>
      </c>
      <c r="W210">
        <v>150414.30799999999</v>
      </c>
      <c r="X210">
        <v>180062.56940000001</v>
      </c>
      <c r="Y210">
        <v>178843.51930000001</v>
      </c>
      <c r="Z210">
        <v>177907.95499999999</v>
      </c>
      <c r="AA210">
        <v>176955.7317</v>
      </c>
      <c r="AB210">
        <v>176057.9289</v>
      </c>
      <c r="AC210">
        <v>174718.49530000001</v>
      </c>
      <c r="AD210">
        <v>159922.06299999999</v>
      </c>
      <c r="AE210">
        <v>144958.26329999999</v>
      </c>
      <c r="AF210">
        <v>129726.4005</v>
      </c>
      <c r="AG210">
        <v>122120.50109999999</v>
      </c>
      <c r="AH210">
        <v>114401.9993</v>
      </c>
      <c r="AI210">
        <v>106336.26700000001</v>
      </c>
      <c r="AJ210">
        <v>98168.155150000006</v>
      </c>
      <c r="AK210">
        <v>89817.260139999999</v>
      </c>
      <c r="AL210">
        <v>107429.3343</v>
      </c>
      <c r="AM210">
        <v>125096.5583</v>
      </c>
      <c r="AN210">
        <v>110855.6716</v>
      </c>
      <c r="AO210">
        <v>95902.978690000004</v>
      </c>
      <c r="AP210">
        <v>80269.912909999999</v>
      </c>
      <c r="AQ210">
        <v>63947.139060000001</v>
      </c>
      <c r="AR210">
        <v>46995.949139999997</v>
      </c>
      <c r="AS210">
        <v>57192.393810000001</v>
      </c>
      <c r="AT210">
        <v>67845.515710000007</v>
      </c>
      <c r="AU210">
        <v>78968.771770000007</v>
      </c>
      <c r="AV210">
        <v>90528.324640000006</v>
      </c>
      <c r="AW210">
        <v>102355.0441</v>
      </c>
    </row>
    <row r="211" spans="2:49" x14ac:dyDescent="0.25">
      <c r="B211" s="274" t="s">
        <v>282</v>
      </c>
      <c r="C211">
        <v>53959.065015136701</v>
      </c>
      <c r="D211">
        <v>54825.395257508797</v>
      </c>
      <c r="E211">
        <v>55828.062830000003</v>
      </c>
      <c r="F211">
        <v>63907.63005</v>
      </c>
      <c r="G211">
        <v>70440.654479999997</v>
      </c>
      <c r="H211">
        <v>75637.615040000004</v>
      </c>
      <c r="I211">
        <v>82828.226039999994</v>
      </c>
      <c r="J211">
        <v>88942.835649999906</v>
      </c>
      <c r="K211">
        <v>93890.416370000006</v>
      </c>
      <c r="L211">
        <v>98126.983659999998</v>
      </c>
      <c r="M211">
        <v>100703.0621</v>
      </c>
      <c r="N211">
        <v>100869.8106</v>
      </c>
      <c r="O211">
        <v>110745.18210000001</v>
      </c>
      <c r="P211">
        <v>122490.74830000001</v>
      </c>
      <c r="Q211">
        <v>134981.36670000001</v>
      </c>
      <c r="R211">
        <v>149528.0398</v>
      </c>
      <c r="S211">
        <v>166946.7579</v>
      </c>
      <c r="T211">
        <v>246723.85920000001</v>
      </c>
      <c r="U211">
        <v>301648.78230000002</v>
      </c>
      <c r="V211">
        <v>339448.86780000001</v>
      </c>
      <c r="W211">
        <v>326724.28539999999</v>
      </c>
      <c r="X211">
        <v>307329.0624</v>
      </c>
      <c r="Y211">
        <v>346058.79749999999</v>
      </c>
      <c r="Z211">
        <v>382832.49229999998</v>
      </c>
      <c r="AA211">
        <v>416584.80979999999</v>
      </c>
      <c r="AB211">
        <v>446529.4264</v>
      </c>
      <c r="AC211">
        <v>472932.02510000003</v>
      </c>
      <c r="AD211">
        <v>487952.25660000002</v>
      </c>
      <c r="AE211">
        <v>490740.26530000003</v>
      </c>
      <c r="AF211">
        <v>481794.26990000001</v>
      </c>
      <c r="AG211">
        <v>492928.60550000001</v>
      </c>
      <c r="AH211">
        <v>498509.69900000002</v>
      </c>
      <c r="AI211">
        <v>504397.4828</v>
      </c>
      <c r="AJ211">
        <v>502953.65</v>
      </c>
      <c r="AK211">
        <v>493027.85800000001</v>
      </c>
      <c r="AL211">
        <v>630095.99710000004</v>
      </c>
      <c r="AM211">
        <v>778511.29630000005</v>
      </c>
      <c r="AN211">
        <v>710315.84699999995</v>
      </c>
      <c r="AO211">
        <v>630018.24800000002</v>
      </c>
      <c r="AP211">
        <v>539764.12390000001</v>
      </c>
      <c r="AQ211">
        <v>439969.80579999997</v>
      </c>
      <c r="AR211">
        <v>329773.8946</v>
      </c>
      <c r="AS211">
        <v>395835.87300000002</v>
      </c>
      <c r="AT211">
        <v>464057.78989999997</v>
      </c>
      <c r="AU211">
        <v>534268.29260000004</v>
      </c>
      <c r="AV211">
        <v>606186.02960000001</v>
      </c>
      <c r="AW211">
        <v>679929.2844</v>
      </c>
    </row>
    <row r="212" spans="2:49" x14ac:dyDescent="0.25">
      <c r="B212" s="274" t="s">
        <v>283</v>
      </c>
      <c r="C212">
        <v>216238.436565001</v>
      </c>
      <c r="D212">
        <v>219710.21460835601</v>
      </c>
      <c r="E212">
        <v>223237.73319999999</v>
      </c>
      <c r="F212">
        <v>251142.0937</v>
      </c>
      <c r="G212">
        <v>211471.28020000001</v>
      </c>
      <c r="H212">
        <v>142432.80350000001</v>
      </c>
      <c r="I212">
        <v>170566.897</v>
      </c>
      <c r="J212">
        <v>136860.4405</v>
      </c>
      <c r="K212">
        <v>158171.86309999999</v>
      </c>
      <c r="L212">
        <v>137901.62789999999</v>
      </c>
      <c r="M212">
        <v>111023.68919999999</v>
      </c>
      <c r="N212">
        <v>89907.920259999999</v>
      </c>
      <c r="O212">
        <v>68110.003219999999</v>
      </c>
      <c r="P212">
        <v>65031.7569</v>
      </c>
      <c r="Q212">
        <v>58623.129919999999</v>
      </c>
      <c r="R212">
        <v>58121.69932</v>
      </c>
      <c r="S212">
        <v>58116.320879999999</v>
      </c>
      <c r="T212">
        <v>56640.014750000002</v>
      </c>
      <c r="U212">
        <v>56539.275269999998</v>
      </c>
      <c r="V212">
        <v>56773.533819999997</v>
      </c>
      <c r="W212">
        <v>58232.316409999999</v>
      </c>
      <c r="X212">
        <v>58632.63652</v>
      </c>
      <c r="Y212">
        <v>57727.36131</v>
      </c>
      <c r="Z212">
        <v>57012.735260000001</v>
      </c>
      <c r="AA212">
        <v>56280.444259999997</v>
      </c>
      <c r="AB212">
        <v>47510.343739999997</v>
      </c>
      <c r="AC212">
        <v>40751.912149999996</v>
      </c>
      <c r="AD212">
        <v>36715.969349999999</v>
      </c>
      <c r="AE212">
        <v>33621.883020000001</v>
      </c>
      <c r="AF212">
        <v>30804.95952</v>
      </c>
      <c r="AG212">
        <v>29068.77029</v>
      </c>
      <c r="AH212">
        <v>27293.85512</v>
      </c>
      <c r="AI212">
        <v>25933.76857</v>
      </c>
      <c r="AJ212">
        <v>24612.10584</v>
      </c>
      <c r="AK212">
        <v>23218.435079999999</v>
      </c>
      <c r="AL212">
        <v>25311.554329999999</v>
      </c>
      <c r="AM212">
        <v>26446.71182</v>
      </c>
      <c r="AN212">
        <v>23491.87138</v>
      </c>
      <c r="AO212">
        <v>21029.70779</v>
      </c>
      <c r="AP212">
        <v>18544.136429999999</v>
      </c>
      <c r="AQ212">
        <v>15870.24475</v>
      </c>
      <c r="AR212">
        <v>12833.170179999999</v>
      </c>
      <c r="AS212">
        <v>14391.633379999999</v>
      </c>
      <c r="AT212">
        <v>15346.15396</v>
      </c>
      <c r="AU212">
        <v>16048.54825</v>
      </c>
      <c r="AV212">
        <v>16593.286220000002</v>
      </c>
      <c r="AW212">
        <v>17021.921780000001</v>
      </c>
    </row>
    <row r="213" spans="2:49" x14ac:dyDescent="0.25">
      <c r="B213" s="274" t="s">
        <v>284</v>
      </c>
      <c r="C213">
        <v>215538.66868192199</v>
      </c>
      <c r="D213">
        <v>218999.21172556799</v>
      </c>
      <c r="E213">
        <v>222515.3149</v>
      </c>
      <c r="F213">
        <v>228021.47829999999</v>
      </c>
      <c r="G213">
        <v>226222.08309999999</v>
      </c>
      <c r="H213">
        <v>174072.0821</v>
      </c>
      <c r="I213">
        <v>128552.7556</v>
      </c>
      <c r="J213">
        <v>129815.8184</v>
      </c>
      <c r="K213">
        <v>127135.31540000001</v>
      </c>
      <c r="L213">
        <v>120480.428</v>
      </c>
      <c r="M213">
        <v>115664.8281</v>
      </c>
      <c r="N213">
        <v>112670.6565</v>
      </c>
      <c r="O213">
        <v>101745.9382</v>
      </c>
      <c r="P213">
        <v>96038.715379999994</v>
      </c>
      <c r="Q213">
        <v>96161.088539999997</v>
      </c>
      <c r="R213">
        <v>87788.211060000001</v>
      </c>
      <c r="S213">
        <v>79332.15191</v>
      </c>
      <c r="T213">
        <v>68404.024980000002</v>
      </c>
      <c r="U213">
        <v>59019.699130000001</v>
      </c>
      <c r="V213">
        <v>50726.804989999997</v>
      </c>
      <c r="W213">
        <v>44593.575649999999</v>
      </c>
      <c r="X213">
        <v>38308.378499999999</v>
      </c>
      <c r="Y213">
        <v>36311.412750000003</v>
      </c>
      <c r="Z213">
        <v>35307.516080000001</v>
      </c>
      <c r="AA213">
        <v>34573.77579</v>
      </c>
      <c r="AB213">
        <v>33958.077169999997</v>
      </c>
      <c r="AC213">
        <v>33405.117879999998</v>
      </c>
      <c r="AD213">
        <v>31717.943019999999</v>
      </c>
      <c r="AE213">
        <v>30090.508470000001</v>
      </c>
      <c r="AF213">
        <v>28375.894069999998</v>
      </c>
      <c r="AG213">
        <v>27461.867829999999</v>
      </c>
      <c r="AH213">
        <v>26383.807799999999</v>
      </c>
      <c r="AI213">
        <v>25193.96515</v>
      </c>
      <c r="AJ213">
        <v>23962.325809999998</v>
      </c>
      <c r="AK213">
        <v>22645.48803</v>
      </c>
      <c r="AL213">
        <v>24856.395519999998</v>
      </c>
      <c r="AM213">
        <v>26175.182390000002</v>
      </c>
      <c r="AN213">
        <v>22937.80413</v>
      </c>
      <c r="AO213">
        <v>20200.35872</v>
      </c>
      <c r="AP213">
        <v>17540.063719999998</v>
      </c>
      <c r="AQ213">
        <v>14815.742389999999</v>
      </c>
      <c r="AR213">
        <v>11881.59929</v>
      </c>
      <c r="AS213">
        <v>13184.48603</v>
      </c>
      <c r="AT213">
        <v>13898.645109999999</v>
      </c>
      <c r="AU213">
        <v>14371.24957</v>
      </c>
      <c r="AV213">
        <v>14699.033240000001</v>
      </c>
      <c r="AW213">
        <v>14919.705669999999</v>
      </c>
    </row>
    <row r="214" spans="2:49" x14ac:dyDescent="0.25">
      <c r="B214" s="274" t="s">
        <v>285</v>
      </c>
      <c r="C214">
        <v>7946676.0051002903</v>
      </c>
      <c r="D214">
        <v>8074262.4587873695</v>
      </c>
      <c r="E214">
        <v>8203897.3540000003</v>
      </c>
      <c r="F214">
        <v>8824943.1309999898</v>
      </c>
      <c r="G214">
        <v>9104539.6140000001</v>
      </c>
      <c r="H214">
        <v>9111691.9470000006</v>
      </c>
      <c r="I214">
        <v>9879620.6300000008</v>
      </c>
      <c r="J214">
        <v>10289938.1</v>
      </c>
      <c r="K214">
        <v>10279308.859999999</v>
      </c>
      <c r="L214">
        <v>10556022.619999999</v>
      </c>
      <c r="M214">
        <v>11296661.17</v>
      </c>
      <c r="N214">
        <v>12601488.210000001</v>
      </c>
      <c r="O214">
        <v>13232878.279999999</v>
      </c>
      <c r="P214">
        <v>13068506.66</v>
      </c>
      <c r="Q214">
        <v>11965467.41</v>
      </c>
      <c r="R214">
        <v>11196186.890000001</v>
      </c>
      <c r="S214">
        <v>10705400.74</v>
      </c>
      <c r="T214">
        <v>10176315.029999999</v>
      </c>
      <c r="U214">
        <v>9671116.2559999898</v>
      </c>
      <c r="V214">
        <v>9269346.0319999997</v>
      </c>
      <c r="W214">
        <v>11304117.82</v>
      </c>
      <c r="X214">
        <v>12787226.75</v>
      </c>
      <c r="Y214">
        <v>13332464.609999999</v>
      </c>
      <c r="Z214">
        <v>13516278.85</v>
      </c>
      <c r="AA214">
        <v>13389177.09</v>
      </c>
      <c r="AB214">
        <v>12771702.74</v>
      </c>
      <c r="AC214">
        <v>12009699.51</v>
      </c>
      <c r="AD214">
        <v>10702451.43</v>
      </c>
      <c r="AE214">
        <v>9393618.63199999</v>
      </c>
      <c r="AF214">
        <v>8142896.0760000004</v>
      </c>
      <c r="AG214">
        <v>7391192.8459999999</v>
      </c>
      <c r="AH214">
        <v>6679134.4139999999</v>
      </c>
      <c r="AI214">
        <v>5999864.7850000001</v>
      </c>
      <c r="AJ214">
        <v>5355501.523</v>
      </c>
      <c r="AK214">
        <v>4740640.2419999996</v>
      </c>
      <c r="AL214">
        <v>5369397.2570000002</v>
      </c>
      <c r="AM214">
        <v>5910997.0300000003</v>
      </c>
      <c r="AN214">
        <v>5007689.1399999997</v>
      </c>
      <c r="AO214">
        <v>4155736.8870000001</v>
      </c>
      <c r="AP214">
        <v>3342203.5660000001</v>
      </c>
      <c r="AQ214">
        <v>2564145.7149999999</v>
      </c>
      <c r="AR214">
        <v>1815933.8289999999</v>
      </c>
      <c r="AS214">
        <v>2062826.7069999999</v>
      </c>
      <c r="AT214">
        <v>2281981.27</v>
      </c>
      <c r="AU214">
        <v>2478032.5419999999</v>
      </c>
      <c r="AV214">
        <v>2652953.5890000002</v>
      </c>
      <c r="AW214">
        <v>2808781.77</v>
      </c>
    </row>
    <row r="215" spans="2:49" x14ac:dyDescent="0.25">
      <c r="B215" s="274" t="s">
        <v>286</v>
      </c>
      <c r="C215">
        <v>4498800.2848123703</v>
      </c>
      <c r="D215">
        <v>4571029.97856321</v>
      </c>
      <c r="E215">
        <v>4644419.3430000003</v>
      </c>
      <c r="F215">
        <v>4803969.8789999997</v>
      </c>
      <c r="G215">
        <v>4831981.4550000001</v>
      </c>
      <c r="H215">
        <v>5090378.6469999999</v>
      </c>
      <c r="I215">
        <v>5281084.9409999996</v>
      </c>
      <c r="J215">
        <v>5324678.6579999998</v>
      </c>
      <c r="K215">
        <v>5265100.5449999999</v>
      </c>
      <c r="L215">
        <v>5364338.0659999996</v>
      </c>
      <c r="M215">
        <v>5597684.0630000001</v>
      </c>
      <c r="N215">
        <v>6059929.2180000003</v>
      </c>
      <c r="O215">
        <v>6209235.4340000004</v>
      </c>
      <c r="P215">
        <v>5995546.574</v>
      </c>
      <c r="Q215">
        <v>5424253.0779999997</v>
      </c>
      <c r="R215">
        <v>5033564.9390000002</v>
      </c>
      <c r="S215">
        <v>4750940.0760000004</v>
      </c>
      <c r="T215">
        <v>4515963.2690000003</v>
      </c>
      <c r="U215">
        <v>4297718.3930000002</v>
      </c>
      <c r="V215">
        <v>4105033.3709999998</v>
      </c>
      <c r="W215">
        <v>4568023.93</v>
      </c>
      <c r="X215">
        <v>4838802.4919999996</v>
      </c>
      <c r="Y215">
        <v>4834651.1789999995</v>
      </c>
      <c r="Z215">
        <v>4739028.9050000003</v>
      </c>
      <c r="AA215">
        <v>4571123.5999999996</v>
      </c>
      <c r="AB215">
        <v>4293824.7949999999</v>
      </c>
      <c r="AC215">
        <v>3992360.9589999998</v>
      </c>
      <c r="AD215">
        <v>3557434.0419999999</v>
      </c>
      <c r="AE215">
        <v>3129109.7749999999</v>
      </c>
      <c r="AF215">
        <v>2718826.8050000002</v>
      </c>
      <c r="AG215">
        <v>2477276.3810000001</v>
      </c>
      <c r="AH215">
        <v>2246541.7820000001</v>
      </c>
      <c r="AI215">
        <v>2022741.0430000001</v>
      </c>
      <c r="AJ215">
        <v>1809726.95</v>
      </c>
      <c r="AK215">
        <v>1605716.885</v>
      </c>
      <c r="AL215">
        <v>1833585.8160000001</v>
      </c>
      <c r="AM215">
        <v>2036541.814</v>
      </c>
      <c r="AN215">
        <v>1728955.3829999999</v>
      </c>
      <c r="AO215">
        <v>1436711.0889999999</v>
      </c>
      <c r="AP215">
        <v>1156604.0549999999</v>
      </c>
      <c r="AQ215">
        <v>887837.19759999996</v>
      </c>
      <c r="AR215">
        <v>628841.90209999995</v>
      </c>
      <c r="AS215">
        <v>718763.50080000004</v>
      </c>
      <c r="AT215">
        <v>800413.83539999998</v>
      </c>
      <c r="AU215">
        <v>874971.58459999994</v>
      </c>
      <c r="AV215">
        <v>942899.57979999995</v>
      </c>
      <c r="AW215">
        <v>1004741.5550000001</v>
      </c>
    </row>
    <row r="216" spans="2:49" x14ac:dyDescent="0.25">
      <c r="B216" s="274" t="s">
        <v>287</v>
      </c>
      <c r="C216">
        <v>0.96864644472622397</v>
      </c>
      <c r="D216">
        <v>0.984198376713873</v>
      </c>
      <c r="E216">
        <v>1</v>
      </c>
      <c r="F216">
        <v>0.97562754900000004</v>
      </c>
      <c r="G216">
        <v>0.9254457398</v>
      </c>
      <c r="H216">
        <v>0.87851628579999996</v>
      </c>
      <c r="I216">
        <v>0.84709107790000004</v>
      </c>
      <c r="J216">
        <v>0.80696063920000005</v>
      </c>
      <c r="K216">
        <v>0.76311926009999997</v>
      </c>
      <c r="L216">
        <v>0.72847914599999997</v>
      </c>
      <c r="M216">
        <v>0.70315169749999995</v>
      </c>
      <c r="N216">
        <v>0.68667579570000004</v>
      </c>
      <c r="O216">
        <v>0.67367272469999995</v>
      </c>
      <c r="P216">
        <v>0.65823062450000003</v>
      </c>
      <c r="Q216">
        <v>0.63803126300000002</v>
      </c>
      <c r="R216">
        <v>0.62730428540000005</v>
      </c>
      <c r="S216">
        <v>0.60117011980000001</v>
      </c>
      <c r="T216">
        <v>0.56860870399999996</v>
      </c>
      <c r="U216">
        <v>0.53499940779999999</v>
      </c>
      <c r="V216">
        <v>0.49726210209999999</v>
      </c>
      <c r="W216">
        <v>0.47456416429999998</v>
      </c>
      <c r="X216">
        <v>0.44700397149999999</v>
      </c>
      <c r="Y216">
        <v>0.4138647318</v>
      </c>
      <c r="Z216">
        <v>0.38361769350000002</v>
      </c>
      <c r="AA216">
        <v>0.35542546089999999</v>
      </c>
      <c r="AB216">
        <v>0.32774888689999998</v>
      </c>
      <c r="AC216">
        <v>0.30171965179999999</v>
      </c>
      <c r="AD216">
        <v>0.25983162720000003</v>
      </c>
      <c r="AE216">
        <v>0.2211865221</v>
      </c>
      <c r="AF216">
        <v>0.18566759220000001</v>
      </c>
      <c r="AG216">
        <v>0.16372932600000001</v>
      </c>
      <c r="AH216">
        <v>0.1433426549</v>
      </c>
      <c r="AI216">
        <v>0.1236652414</v>
      </c>
      <c r="AJ216">
        <v>0.1053866982</v>
      </c>
      <c r="AK216">
        <v>8.84237472E-2</v>
      </c>
      <c r="AL216">
        <v>9.6339610899999997E-2</v>
      </c>
      <c r="AM216">
        <v>0.10086348520000001</v>
      </c>
      <c r="AN216">
        <v>8.1878159800000003E-2</v>
      </c>
      <c r="AO216">
        <v>6.4776589600000004E-2</v>
      </c>
      <c r="AP216">
        <v>4.9224804400000002E-2</v>
      </c>
      <c r="AQ216">
        <v>3.5229117599999998E-2</v>
      </c>
      <c r="AR216">
        <v>2.30727207E-2</v>
      </c>
      <c r="AS216">
        <v>2.6737086300000001E-2</v>
      </c>
      <c r="AT216">
        <v>3.0416000200000001E-2</v>
      </c>
      <c r="AU216" s="39">
        <v>3.3930936000000002E-2</v>
      </c>
      <c r="AV216">
        <v>3.7229395899999997E-2</v>
      </c>
      <c r="AW216">
        <v>4.02844745E-2</v>
      </c>
    </row>
    <row r="217" spans="2:49" x14ac:dyDescent="0.25">
      <c r="B217" s="275" t="s">
        <v>288</v>
      </c>
      <c r="C217">
        <v>8232235.5397947598</v>
      </c>
      <c r="D217">
        <v>8364406.7441781899</v>
      </c>
      <c r="E217">
        <v>8498700</v>
      </c>
      <c r="F217">
        <v>8429400.0969999898</v>
      </c>
      <c r="G217">
        <v>8359926.1629999997</v>
      </c>
      <c r="H217">
        <v>7776115.3669999996</v>
      </c>
      <c r="I217">
        <v>7672731.4639999997</v>
      </c>
      <c r="J217">
        <v>7644022.0899999999</v>
      </c>
      <c r="K217">
        <v>7527295.3399999999</v>
      </c>
      <c r="L217">
        <v>7292995.0499999998</v>
      </c>
      <c r="M217">
        <v>7039075.0959999999</v>
      </c>
      <c r="N217">
        <v>6710742.4749999996</v>
      </c>
      <c r="O217">
        <v>7042686.2489999998</v>
      </c>
      <c r="P217">
        <v>7641003.3720000004</v>
      </c>
      <c r="Q217">
        <v>8415448.9680000003</v>
      </c>
      <c r="R217">
        <v>9031382.8440000005</v>
      </c>
      <c r="S217">
        <v>9626414.9629999995</v>
      </c>
      <c r="T217">
        <v>8913124.4189999998</v>
      </c>
      <c r="U217">
        <v>8118399.642</v>
      </c>
      <c r="V217">
        <v>7275777.3269999996</v>
      </c>
      <c r="W217">
        <v>7916972.3420000002</v>
      </c>
      <c r="X217">
        <v>8453055.8959999997</v>
      </c>
      <c r="Y217">
        <v>7912679.3420000002</v>
      </c>
      <c r="Z217">
        <v>7303448.7800000003</v>
      </c>
      <c r="AA217">
        <v>6720245.625</v>
      </c>
      <c r="AB217">
        <v>6217597.6629999997</v>
      </c>
      <c r="AC217">
        <v>5747164.2290000003</v>
      </c>
      <c r="AD217">
        <v>4910840.1660000002</v>
      </c>
      <c r="AE217">
        <v>4135191.6469999999</v>
      </c>
      <c r="AF217">
        <v>3426947.537</v>
      </c>
      <c r="AG217">
        <v>2883511.5159999998</v>
      </c>
      <c r="AH217">
        <v>2395257.1669999999</v>
      </c>
      <c r="AI217">
        <v>1802262.247</v>
      </c>
      <c r="AJ217">
        <v>1276378.8030000001</v>
      </c>
      <c r="AK217">
        <v>826545.82169999997</v>
      </c>
      <c r="AL217">
        <v>615018.16110000003</v>
      </c>
      <c r="AM217">
        <v>293138.42060000001</v>
      </c>
      <c r="AN217">
        <v>245496.41889999999</v>
      </c>
      <c r="AO217">
        <v>218660.92929999999</v>
      </c>
      <c r="AP217">
        <v>189430.70329999999</v>
      </c>
      <c r="AQ217">
        <v>155821.02910000001</v>
      </c>
      <c r="AR217">
        <v>117679.7218</v>
      </c>
      <c r="AS217">
        <v>144185.5515</v>
      </c>
      <c r="AT217">
        <v>171994.55119999999</v>
      </c>
      <c r="AU217">
        <v>201101.64619999999</v>
      </c>
      <c r="AV217">
        <v>231413.5214</v>
      </c>
      <c r="AW217">
        <v>262893.94189999998</v>
      </c>
    </row>
    <row r="218" spans="2:49" x14ac:dyDescent="0.25">
      <c r="B218" s="274" t="s">
        <v>289</v>
      </c>
      <c r="C218">
        <v>463787.91773491597</v>
      </c>
      <c r="D218">
        <v>471234.182770602</v>
      </c>
      <c r="E218">
        <v>478800</v>
      </c>
      <c r="F218">
        <v>479389.40230000002</v>
      </c>
      <c r="G218">
        <v>463701.24300000002</v>
      </c>
      <c r="H218">
        <v>441458.80109999998</v>
      </c>
      <c r="I218">
        <v>448384.99570000003</v>
      </c>
      <c r="J218">
        <v>466423.52130000002</v>
      </c>
      <c r="K218">
        <v>467720.65220000001</v>
      </c>
      <c r="L218">
        <v>478365.28989999997</v>
      </c>
      <c r="M218">
        <v>501494.59620000003</v>
      </c>
      <c r="N218">
        <v>535383.76939999999</v>
      </c>
      <c r="O218">
        <v>512014.50790000003</v>
      </c>
      <c r="P218">
        <v>476053.8946</v>
      </c>
      <c r="Q218">
        <v>419451.46769999998</v>
      </c>
      <c r="R218">
        <v>372048.11430000002</v>
      </c>
      <c r="S218">
        <v>330676.42859999998</v>
      </c>
      <c r="T218">
        <v>308247.53289999999</v>
      </c>
      <c r="U218">
        <v>286537.17200000002</v>
      </c>
      <c r="V218">
        <v>267513.45260000002</v>
      </c>
      <c r="W218">
        <v>256848.84340000001</v>
      </c>
      <c r="X218">
        <v>245948.20509999999</v>
      </c>
      <c r="Y218">
        <v>234554.31719999999</v>
      </c>
      <c r="Z218">
        <v>224333.59469999999</v>
      </c>
      <c r="AA218">
        <v>214050.55960000001</v>
      </c>
      <c r="AB218">
        <v>200898.92319999999</v>
      </c>
      <c r="AC218">
        <v>188010.14249999999</v>
      </c>
      <c r="AD218">
        <v>178840.25090000001</v>
      </c>
      <c r="AE218">
        <v>167953.49650000001</v>
      </c>
      <c r="AF218">
        <v>155498.4852</v>
      </c>
      <c r="AG218">
        <v>145615.91750000001</v>
      </c>
      <c r="AH218">
        <v>135727.6207</v>
      </c>
      <c r="AI218">
        <v>125284.7016</v>
      </c>
      <c r="AJ218">
        <v>115005.2188</v>
      </c>
      <c r="AK218">
        <v>104734.10340000001</v>
      </c>
      <c r="AL218">
        <v>97695.836190000002</v>
      </c>
      <c r="AM218">
        <v>83817.122900000002</v>
      </c>
      <c r="AN218">
        <v>84586.428</v>
      </c>
      <c r="AO218">
        <v>81615.284249999997</v>
      </c>
      <c r="AP218">
        <v>75042.17052</v>
      </c>
      <c r="AQ218">
        <v>64966.150350000004</v>
      </c>
      <c r="AR218">
        <v>51356.710480000002</v>
      </c>
      <c r="AS218">
        <v>47529.475250000003</v>
      </c>
      <c r="AT218">
        <v>40251.975599999998</v>
      </c>
      <c r="AU218">
        <v>29759.417819999999</v>
      </c>
      <c r="AV218">
        <v>16269.302100000001</v>
      </c>
      <c r="AW218">
        <v>2553.6503509999998</v>
      </c>
    </row>
    <row r="219" spans="2:49" x14ac:dyDescent="0.25">
      <c r="B219" t="s">
        <v>290</v>
      </c>
      <c r="C219">
        <v>247860837.32111701</v>
      </c>
      <c r="D219">
        <v>251840323.237167</v>
      </c>
      <c r="E219">
        <v>255964957.80000001</v>
      </c>
      <c r="F219">
        <v>257635416.69999999</v>
      </c>
      <c r="G219">
        <v>242628195.30000001</v>
      </c>
      <c r="H219">
        <v>225768431.19999999</v>
      </c>
      <c r="I219">
        <v>222127218</v>
      </c>
      <c r="J219">
        <v>215391675</v>
      </c>
      <c r="K219">
        <v>205866659.30000001</v>
      </c>
      <c r="L219">
        <v>200134495</v>
      </c>
      <c r="M219">
        <v>199292051.69999999</v>
      </c>
      <c r="N219">
        <v>200885514.59999999</v>
      </c>
      <c r="O219">
        <v>192249593.59999999</v>
      </c>
      <c r="P219">
        <v>184451308.90000001</v>
      </c>
      <c r="Q219">
        <v>173419214.5</v>
      </c>
      <c r="R219">
        <v>165826302.5</v>
      </c>
      <c r="S219">
        <v>158884045.80000001</v>
      </c>
      <c r="T219">
        <v>157893638.69999999</v>
      </c>
      <c r="U219">
        <v>155740825.09999999</v>
      </c>
      <c r="V219">
        <v>154177158.69999999</v>
      </c>
      <c r="W219">
        <v>148344388.5</v>
      </c>
      <c r="X219">
        <v>140948203.09999999</v>
      </c>
      <c r="Y219">
        <v>133445696.40000001</v>
      </c>
      <c r="Z219">
        <v>127231722.09999999</v>
      </c>
      <c r="AA219">
        <v>121578916.2</v>
      </c>
      <c r="AB219">
        <v>116027218.90000001</v>
      </c>
      <c r="AC219">
        <v>110767200.90000001</v>
      </c>
      <c r="AD219">
        <v>103718372.2</v>
      </c>
      <c r="AE219">
        <v>96964027.540000007</v>
      </c>
      <c r="AF219">
        <v>90291176.890000001</v>
      </c>
      <c r="AG219">
        <v>84839207.549999997</v>
      </c>
      <c r="AH219">
        <v>79380104.709999904</v>
      </c>
      <c r="AI219">
        <v>73498452.670000002</v>
      </c>
      <c r="AJ219">
        <v>67558414.400000006</v>
      </c>
      <c r="AK219">
        <v>61435524.850000001</v>
      </c>
      <c r="AL219">
        <v>58662914.869999997</v>
      </c>
      <c r="AM219">
        <v>55231228.969999999</v>
      </c>
      <c r="AN219">
        <v>50833202.560000002</v>
      </c>
      <c r="AO219">
        <v>46202725.270000003</v>
      </c>
      <c r="AP219">
        <v>41348524.280000001</v>
      </c>
      <c r="AQ219">
        <v>36251021.219999999</v>
      </c>
      <c r="AR219">
        <v>30800824.530000001</v>
      </c>
      <c r="AS219">
        <v>30492986.219999999</v>
      </c>
      <c r="AT219">
        <v>30160989.879999999</v>
      </c>
      <c r="AU219">
        <v>29805416.07</v>
      </c>
      <c r="AV219">
        <v>29408136.75</v>
      </c>
      <c r="AW219">
        <v>28975110.260000002</v>
      </c>
    </row>
    <row r="220" spans="2:49" x14ac:dyDescent="0.25">
      <c r="B220" t="s">
        <v>291</v>
      </c>
      <c r="C220">
        <v>41023493.601484403</v>
      </c>
      <c r="D220">
        <v>41682139.060681202</v>
      </c>
      <c r="E220">
        <v>42351359.289999999</v>
      </c>
      <c r="F220">
        <v>41480658.869999997</v>
      </c>
      <c r="G220">
        <v>36472120.68</v>
      </c>
      <c r="H220">
        <v>31873847.100000001</v>
      </c>
      <c r="I220">
        <v>30298125.690000001</v>
      </c>
      <c r="J220">
        <v>28732359.300000001</v>
      </c>
      <c r="K220">
        <v>27253781.690000001</v>
      </c>
      <c r="L220">
        <v>27157375.359999999</v>
      </c>
      <c r="M220">
        <v>26529253.559999999</v>
      </c>
      <c r="N220">
        <v>25729399.379999999</v>
      </c>
      <c r="O220">
        <v>20543189.68</v>
      </c>
      <c r="P220">
        <v>17131622.129999999</v>
      </c>
      <c r="Q220">
        <v>14542568.779999999</v>
      </c>
      <c r="R220">
        <v>12239710.609999999</v>
      </c>
      <c r="S220">
        <v>10014153.029999999</v>
      </c>
      <c r="T220">
        <v>9740265.0050000008</v>
      </c>
      <c r="U220">
        <v>9484876.352</v>
      </c>
      <c r="V220">
        <v>9328510.3220000006</v>
      </c>
      <c r="W220">
        <v>7937611.8210000005</v>
      </c>
      <c r="X220">
        <v>6306505.1569999997</v>
      </c>
      <c r="Y220">
        <v>5575901.5930000003</v>
      </c>
      <c r="Z220">
        <v>5038901.6119999997</v>
      </c>
      <c r="AA220">
        <v>4580806.6090000002</v>
      </c>
      <c r="AB220">
        <v>4317459.9220000003</v>
      </c>
      <c r="AC220">
        <v>4108590.6740000001</v>
      </c>
      <c r="AD220">
        <v>4061824.6329999999</v>
      </c>
      <c r="AE220">
        <v>4058336.0950000002</v>
      </c>
      <c r="AF220">
        <v>4064334.6979999999</v>
      </c>
      <c r="AG220">
        <v>4107338.5240000002</v>
      </c>
      <c r="AH220">
        <v>4151937.2259999998</v>
      </c>
      <c r="AI220">
        <v>4207248.466</v>
      </c>
      <c r="AJ220">
        <v>4267827.8490000004</v>
      </c>
      <c r="AK220">
        <v>4330321.3140000002</v>
      </c>
      <c r="AL220">
        <v>4395452.4579999996</v>
      </c>
      <c r="AM220">
        <v>4461124.091</v>
      </c>
      <c r="AN220">
        <v>4507889.3619999997</v>
      </c>
      <c r="AO220">
        <v>4546047.4960000003</v>
      </c>
      <c r="AP220">
        <v>4578713.1459999997</v>
      </c>
      <c r="AQ220">
        <v>4607798.8289999999</v>
      </c>
      <c r="AR220">
        <v>4628343.87</v>
      </c>
      <c r="AS220">
        <v>4662745.4989999998</v>
      </c>
      <c r="AT220">
        <v>4699877.4960000003</v>
      </c>
      <c r="AU220">
        <v>4737517.9340000004</v>
      </c>
      <c r="AV220">
        <v>4773026.5269999998</v>
      </c>
      <c r="AW220">
        <v>4808037.4749999996</v>
      </c>
    </row>
    <row r="221" spans="2:49" x14ac:dyDescent="0.25">
      <c r="B221" t="s">
        <v>292</v>
      </c>
      <c r="C221">
        <v>156021257.172526</v>
      </c>
      <c r="D221">
        <v>158526228.92293701</v>
      </c>
      <c r="E221">
        <v>161152553</v>
      </c>
      <c r="F221">
        <v>162987897.19999999</v>
      </c>
      <c r="G221">
        <v>154559817.40000001</v>
      </c>
      <c r="H221">
        <v>145732322.19999999</v>
      </c>
      <c r="I221">
        <v>142395945.19999999</v>
      </c>
      <c r="J221">
        <v>137043125.59999999</v>
      </c>
      <c r="K221">
        <v>131000468.09999999</v>
      </c>
      <c r="L221">
        <v>126309682.59999999</v>
      </c>
      <c r="M221">
        <v>125687186.5</v>
      </c>
      <c r="N221">
        <v>126718648.5</v>
      </c>
      <c r="O221">
        <v>121737878.09999999</v>
      </c>
      <c r="P221">
        <v>116663458.8</v>
      </c>
      <c r="Q221">
        <v>109793453.90000001</v>
      </c>
      <c r="R221">
        <v>105323838.09999999</v>
      </c>
      <c r="S221">
        <v>100831548.7</v>
      </c>
      <c r="T221">
        <v>101994666.90000001</v>
      </c>
      <c r="U221">
        <v>102424989.2</v>
      </c>
      <c r="V221">
        <v>102993024.90000001</v>
      </c>
      <c r="W221">
        <v>98714458.969999999</v>
      </c>
      <c r="X221">
        <v>93678621.030000001</v>
      </c>
      <c r="Y221">
        <v>89232737.930000007</v>
      </c>
      <c r="Z221">
        <v>85655148.469999999</v>
      </c>
      <c r="AA221">
        <v>82521104.489999995</v>
      </c>
      <c r="AB221">
        <v>79561813.040000007</v>
      </c>
      <c r="AC221">
        <v>76786803.5</v>
      </c>
      <c r="AD221">
        <v>73092741.560000002</v>
      </c>
      <c r="AE221">
        <v>69498344.519999996</v>
      </c>
      <c r="AF221">
        <v>65836708.259999998</v>
      </c>
      <c r="AG221">
        <v>62187104.420000002</v>
      </c>
      <c r="AH221">
        <v>58434938.369999997</v>
      </c>
      <c r="AI221">
        <v>54332175.509999998</v>
      </c>
      <c r="AJ221">
        <v>50061142.93</v>
      </c>
      <c r="AK221">
        <v>45506043.369999997</v>
      </c>
      <c r="AL221">
        <v>41157845.340000004</v>
      </c>
      <c r="AM221">
        <v>36370360.409999996</v>
      </c>
      <c r="AN221">
        <v>33884471.600000001</v>
      </c>
      <c r="AO221">
        <v>31121423.949999999</v>
      </c>
      <c r="AP221">
        <v>28125356.170000002</v>
      </c>
      <c r="AQ221">
        <v>24878827.350000001</v>
      </c>
      <c r="AR221">
        <v>21289866.559999999</v>
      </c>
      <c r="AS221">
        <v>20154409.27</v>
      </c>
      <c r="AT221">
        <v>19024986.809999999</v>
      </c>
      <c r="AU221">
        <v>17896840.100000001</v>
      </c>
      <c r="AV221">
        <v>16753378.24</v>
      </c>
      <c r="AW221">
        <v>15591850.439999999</v>
      </c>
    </row>
    <row r="222" spans="2:49" x14ac:dyDescent="0.25">
      <c r="B222" t="s">
        <v>293</v>
      </c>
      <c r="C222">
        <v>50816086.547106199</v>
      </c>
      <c r="D222">
        <v>51631955.253548898</v>
      </c>
      <c r="E222">
        <v>52461045.490000002</v>
      </c>
      <c r="F222">
        <v>53166860.630000003</v>
      </c>
      <c r="G222">
        <v>51596257.240000002</v>
      </c>
      <c r="H222">
        <v>48162261.840000004</v>
      </c>
      <c r="I222">
        <v>49433147.090000004</v>
      </c>
      <c r="J222">
        <v>49616190.100000001</v>
      </c>
      <c r="K222">
        <v>47612409.450000003</v>
      </c>
      <c r="L222">
        <v>46667437.090000004</v>
      </c>
      <c r="M222">
        <v>47075611.689999998</v>
      </c>
      <c r="N222">
        <v>48437466.689999998</v>
      </c>
      <c r="O222">
        <v>49968525.829999998</v>
      </c>
      <c r="P222">
        <v>50656227.979999997</v>
      </c>
      <c r="Q222">
        <v>49083191.799999997</v>
      </c>
      <c r="R222">
        <v>48262753.780000001</v>
      </c>
      <c r="S222">
        <v>48038344.020000003</v>
      </c>
      <c r="T222">
        <v>46158706.740000002</v>
      </c>
      <c r="U222">
        <v>43830959.530000001</v>
      </c>
      <c r="V222">
        <v>41855623.460000001</v>
      </c>
      <c r="W222">
        <v>41692317.68</v>
      </c>
      <c r="X222">
        <v>40963076.890000001</v>
      </c>
      <c r="Y222">
        <v>38637056.880000003</v>
      </c>
      <c r="Z222">
        <v>36537672.039999999</v>
      </c>
      <c r="AA222">
        <v>34477005.130000003</v>
      </c>
      <c r="AB222">
        <v>32147945.969999999</v>
      </c>
      <c r="AC222">
        <v>29871806.710000001</v>
      </c>
      <c r="AD222">
        <v>26563806.02</v>
      </c>
      <c r="AE222">
        <v>23407346.93</v>
      </c>
      <c r="AF222">
        <v>20390133.940000001</v>
      </c>
      <c r="AG222">
        <v>18544764.609999999</v>
      </c>
      <c r="AH222">
        <v>16793229.109999999</v>
      </c>
      <c r="AI222">
        <v>14959028.699999999</v>
      </c>
      <c r="AJ222">
        <v>13229443.619999999</v>
      </c>
      <c r="AK222">
        <v>11599160.17</v>
      </c>
      <c r="AL222">
        <v>13109617.07</v>
      </c>
      <c r="AM222">
        <v>14399744.470000001</v>
      </c>
      <c r="AN222">
        <v>12440841.6</v>
      </c>
      <c r="AO222">
        <v>10535253.83</v>
      </c>
      <c r="AP222">
        <v>8644454.9600000009</v>
      </c>
      <c r="AQ222">
        <v>6764395.0449999999</v>
      </c>
      <c r="AR222">
        <v>4882614.0949999997</v>
      </c>
      <c r="AS222">
        <v>5675831.4550000001</v>
      </c>
      <c r="AT222">
        <v>6436125.568</v>
      </c>
      <c r="AU222">
        <v>7171058.0319999997</v>
      </c>
      <c r="AV222">
        <v>7881731.9900000002</v>
      </c>
      <c r="AW222">
        <v>8575222.3499999996</v>
      </c>
    </row>
    <row r="223" spans="2:49" x14ac:dyDescent="0.25">
      <c r="B223" t="s">
        <v>294</v>
      </c>
      <c r="C223">
        <v>392773953.478827</v>
      </c>
      <c r="D223">
        <v>399080066.34826499</v>
      </c>
      <c r="E223">
        <v>405568682.60000002</v>
      </c>
      <c r="F223">
        <v>405125640.5</v>
      </c>
      <c r="G223">
        <v>386519443.10000002</v>
      </c>
      <c r="H223">
        <v>369417096.80000001</v>
      </c>
      <c r="I223">
        <v>363640214</v>
      </c>
      <c r="J223">
        <v>354063585</v>
      </c>
      <c r="K223">
        <v>340913545.10000002</v>
      </c>
      <c r="L223">
        <v>332448869.80000001</v>
      </c>
      <c r="M223">
        <v>329469839.69999999</v>
      </c>
      <c r="N223">
        <v>329665929</v>
      </c>
      <c r="O223">
        <v>321049752.80000001</v>
      </c>
      <c r="P223">
        <v>312586328.30000001</v>
      </c>
      <c r="Q223">
        <v>299685102.69999999</v>
      </c>
      <c r="R223">
        <v>291148288.19999999</v>
      </c>
      <c r="S223">
        <v>282247313.80000001</v>
      </c>
      <c r="T223">
        <v>277636558.30000001</v>
      </c>
      <c r="U223">
        <v>271778220</v>
      </c>
      <c r="V223">
        <v>265656952.59999999</v>
      </c>
      <c r="W223">
        <v>256897306.5</v>
      </c>
      <c r="X223">
        <v>246229551.30000001</v>
      </c>
      <c r="Y223">
        <v>234760354.30000001</v>
      </c>
      <c r="Z223">
        <v>224072114.40000001</v>
      </c>
      <c r="AA223">
        <v>213699758.40000001</v>
      </c>
      <c r="AB223">
        <v>202989740.59999999</v>
      </c>
      <c r="AC223">
        <v>192485440</v>
      </c>
      <c r="AD223">
        <v>178560876.69999999</v>
      </c>
      <c r="AE223">
        <v>165080425.90000001</v>
      </c>
      <c r="AF223">
        <v>151910821.5</v>
      </c>
      <c r="AG223">
        <v>140904547.30000001</v>
      </c>
      <c r="AH223">
        <v>130096236.5</v>
      </c>
      <c r="AI223">
        <v>118965684</v>
      </c>
      <c r="AJ223">
        <v>108020658.2</v>
      </c>
      <c r="AK223">
        <v>97072140.5</v>
      </c>
      <c r="AL223">
        <v>91523704.099999994</v>
      </c>
      <c r="AM223">
        <v>85274219.859999999</v>
      </c>
      <c r="AN223">
        <v>77180864.209999904</v>
      </c>
      <c r="AO223">
        <v>68985153.200000003</v>
      </c>
      <c r="AP223">
        <v>60696732.210000001</v>
      </c>
      <c r="AQ223">
        <v>52273192.359999999</v>
      </c>
      <c r="AR223">
        <v>43536673.359999999</v>
      </c>
      <c r="AS223">
        <v>42757838.200000003</v>
      </c>
      <c r="AT223">
        <v>41978012.18</v>
      </c>
      <c r="AU223">
        <v>41193076.189999998</v>
      </c>
      <c r="AV223">
        <v>40377169.280000001</v>
      </c>
      <c r="AW223">
        <v>39535684.390000001</v>
      </c>
    </row>
    <row r="224" spans="2:49" x14ac:dyDescent="0.25">
      <c r="B224" t="s">
        <v>295</v>
      </c>
      <c r="C224">
        <v>42122345.501310699</v>
      </c>
      <c r="D224">
        <v>42798633.383193001</v>
      </c>
      <c r="E224">
        <v>43485779.289999999</v>
      </c>
      <c r="F224">
        <v>42608668.490000002</v>
      </c>
      <c r="G224">
        <v>37591112.560000002</v>
      </c>
      <c r="H224">
        <v>32982648.91</v>
      </c>
      <c r="I224">
        <v>31403283.57</v>
      </c>
      <c r="J224">
        <v>29833597.789999999</v>
      </c>
      <c r="K224">
        <v>28347010.350000001</v>
      </c>
      <c r="L224">
        <v>28237878</v>
      </c>
      <c r="M224">
        <v>27597261.82</v>
      </c>
      <c r="N224">
        <v>26789366.850000001</v>
      </c>
      <c r="O224">
        <v>21604477.600000001</v>
      </c>
      <c r="P224">
        <v>18197804.68</v>
      </c>
      <c r="Q224">
        <v>15610168.67</v>
      </c>
      <c r="R224">
        <v>13295914.779999999</v>
      </c>
      <c r="S224">
        <v>11054413.83</v>
      </c>
      <c r="T224">
        <v>10758691.34</v>
      </c>
      <c r="U224">
        <v>10480705.74</v>
      </c>
      <c r="V224">
        <v>10301584.619999999</v>
      </c>
      <c r="W224">
        <v>8887661.8279999997</v>
      </c>
      <c r="X224">
        <v>7228748.6030000001</v>
      </c>
      <c r="Y224">
        <v>6467483.3059999999</v>
      </c>
      <c r="Z224">
        <v>5899950.0410000002</v>
      </c>
      <c r="AA224">
        <v>5412935.0269999998</v>
      </c>
      <c r="AB224">
        <v>5122721.7050000001</v>
      </c>
      <c r="AC224">
        <v>4887275.4029999999</v>
      </c>
      <c r="AD224">
        <v>4813392.7350000003</v>
      </c>
      <c r="AE224">
        <v>4784049.9139999999</v>
      </c>
      <c r="AF224">
        <v>4766097.0690000001</v>
      </c>
      <c r="AG224">
        <v>4786924.2989999996</v>
      </c>
      <c r="AH224">
        <v>4810993.7110000001</v>
      </c>
      <c r="AI224">
        <v>4847401.8250000002</v>
      </c>
      <c r="AJ224">
        <v>4890587.3640000001</v>
      </c>
      <c r="AK224">
        <v>4937119.0290000001</v>
      </c>
      <c r="AL224">
        <v>4987312.7230000002</v>
      </c>
      <c r="AM224">
        <v>5037721.2019999996</v>
      </c>
      <c r="AN224">
        <v>5069153.6629999997</v>
      </c>
      <c r="AO224">
        <v>5092639.1979999999</v>
      </c>
      <c r="AP224">
        <v>5111484.2810000004</v>
      </c>
      <c r="AQ224">
        <v>5127660.3480000002</v>
      </c>
      <c r="AR224">
        <v>5136207.6179999998</v>
      </c>
      <c r="AS224">
        <v>5159227.79</v>
      </c>
      <c r="AT224">
        <v>5184746.1260000002</v>
      </c>
      <c r="AU224">
        <v>5210321.3190000001</v>
      </c>
      <c r="AV224">
        <v>5233307.0549999997</v>
      </c>
      <c r="AW224">
        <v>5255485.96</v>
      </c>
    </row>
    <row r="225" spans="2:49" x14ac:dyDescent="0.25">
      <c r="B225" t="s">
        <v>296</v>
      </c>
      <c r="C225">
        <v>261896523.70399499</v>
      </c>
      <c r="D225">
        <v>266101357.10489401</v>
      </c>
      <c r="E225">
        <v>270454834.69999999</v>
      </c>
      <c r="F225">
        <v>270859145.69999999</v>
      </c>
      <c r="G225">
        <v>260063484.5</v>
      </c>
      <c r="H225">
        <v>252011481.19999999</v>
      </c>
      <c r="I225">
        <v>246718173.5</v>
      </c>
      <c r="J225">
        <v>239411609</v>
      </c>
      <c r="K225">
        <v>231281467.80000001</v>
      </c>
      <c r="L225">
        <v>225021624.40000001</v>
      </c>
      <c r="M225">
        <v>222998591.30000001</v>
      </c>
      <c r="N225">
        <v>223076161.69999999</v>
      </c>
      <c r="O225">
        <v>217430561.69999999</v>
      </c>
      <c r="P225">
        <v>211579852.19999999</v>
      </c>
      <c r="Q225">
        <v>203791175.59999999</v>
      </c>
      <c r="R225">
        <v>199138216.59999999</v>
      </c>
      <c r="S225">
        <v>193266253.09999999</v>
      </c>
      <c r="T225">
        <v>192673520.59999999</v>
      </c>
      <c r="U225">
        <v>190896249.30000001</v>
      </c>
      <c r="V225">
        <v>188367593.59999999</v>
      </c>
      <c r="W225">
        <v>181474164.5</v>
      </c>
      <c r="X225">
        <v>173966434.40000001</v>
      </c>
      <c r="Y225">
        <v>166925168.59999999</v>
      </c>
      <c r="Z225">
        <v>160217579.5</v>
      </c>
      <c r="AA225">
        <v>153681685.30000001</v>
      </c>
      <c r="AB225">
        <v>147064822.40000001</v>
      </c>
      <c r="AC225">
        <v>140456478.40000001</v>
      </c>
      <c r="AD225">
        <v>131914563.7</v>
      </c>
      <c r="AE225">
        <v>123519490.59999999</v>
      </c>
      <c r="AF225">
        <v>115169372.8</v>
      </c>
      <c r="AG225">
        <v>107039161.09999999</v>
      </c>
      <c r="AH225">
        <v>98956373.269999996</v>
      </c>
      <c r="AI225">
        <v>90579505.099999994</v>
      </c>
      <c r="AJ225">
        <v>82216678.170000002</v>
      </c>
      <c r="AK225">
        <v>73704026.120000005</v>
      </c>
      <c r="AL225">
        <v>65635194.159999996</v>
      </c>
      <c r="AM225">
        <v>57165869.549999997</v>
      </c>
      <c r="AN225">
        <v>52262398.189999998</v>
      </c>
      <c r="AO225">
        <v>47182543.530000001</v>
      </c>
      <c r="AP225">
        <v>41953157.130000003</v>
      </c>
      <c r="AQ225">
        <v>36536590.409999996</v>
      </c>
      <c r="AR225">
        <v>30781971.879999999</v>
      </c>
      <c r="AS225">
        <v>28789156.550000001</v>
      </c>
      <c r="AT225">
        <v>26850189.27</v>
      </c>
      <c r="AU225">
        <v>24960651.440000001</v>
      </c>
      <c r="AV225">
        <v>23097367.100000001</v>
      </c>
      <c r="AW225">
        <v>21254177.5</v>
      </c>
    </row>
    <row r="226" spans="2:49" x14ac:dyDescent="0.25">
      <c r="B226" t="s">
        <v>297</v>
      </c>
      <c r="C226">
        <v>88755084.273521304</v>
      </c>
      <c r="D226">
        <v>90180075.860178098</v>
      </c>
      <c r="E226">
        <v>91628068.650000006</v>
      </c>
      <c r="F226">
        <v>91657826.340000004</v>
      </c>
      <c r="G226">
        <v>88864846.040000007</v>
      </c>
      <c r="H226">
        <v>84422966.640000001</v>
      </c>
      <c r="I226">
        <v>85518757.010000005</v>
      </c>
      <c r="J226">
        <v>84818378.180000007</v>
      </c>
      <c r="K226">
        <v>81285067.030000001</v>
      </c>
      <c r="L226">
        <v>79189367.420000002</v>
      </c>
      <c r="M226">
        <v>78873986.489999995</v>
      </c>
      <c r="N226">
        <v>79800400.370000005</v>
      </c>
      <c r="O226">
        <v>82014713.530000001</v>
      </c>
      <c r="P226">
        <v>82808671.430000007</v>
      </c>
      <c r="Q226">
        <v>80283758.400000006</v>
      </c>
      <c r="R226">
        <v>78714156.879999995</v>
      </c>
      <c r="S226">
        <v>77926646.810000002</v>
      </c>
      <c r="T226">
        <v>74204346.319999903</v>
      </c>
      <c r="U226">
        <v>70401265.010000005</v>
      </c>
      <c r="V226">
        <v>66987774.32</v>
      </c>
      <c r="W226">
        <v>66535480.159999996</v>
      </c>
      <c r="X226">
        <v>65034368.299999997</v>
      </c>
      <c r="Y226">
        <v>61367702.439999998</v>
      </c>
      <c r="Z226">
        <v>57954584.799999997</v>
      </c>
      <c r="AA226">
        <v>54605138.009999998</v>
      </c>
      <c r="AB226">
        <v>50802196.479999997</v>
      </c>
      <c r="AC226">
        <v>47141686.189999998</v>
      </c>
      <c r="AD226">
        <v>41832920.25</v>
      </c>
      <c r="AE226">
        <v>36776885.409999996</v>
      </c>
      <c r="AF226">
        <v>31975351.600000001</v>
      </c>
      <c r="AG226">
        <v>29078461.949999999</v>
      </c>
      <c r="AH226">
        <v>26328869.559999999</v>
      </c>
      <c r="AI226">
        <v>23538777.059999999</v>
      </c>
      <c r="AJ226">
        <v>20913392.690000001</v>
      </c>
      <c r="AK226">
        <v>18430995.34</v>
      </c>
      <c r="AL226">
        <v>20901197.210000001</v>
      </c>
      <c r="AM226">
        <v>23070629.109999999</v>
      </c>
      <c r="AN226">
        <v>19849312.359999999</v>
      </c>
      <c r="AO226">
        <v>16709970.470000001</v>
      </c>
      <c r="AP226">
        <v>13632090.800000001</v>
      </c>
      <c r="AQ226">
        <v>10608941.6</v>
      </c>
      <c r="AR226">
        <v>7618493.8569999998</v>
      </c>
      <c r="AS226">
        <v>8809453.8680000007</v>
      </c>
      <c r="AT226">
        <v>9943076.7760000005</v>
      </c>
      <c r="AU226">
        <v>11022103.43</v>
      </c>
      <c r="AV226">
        <v>12046495.119999999</v>
      </c>
      <c r="AW226">
        <v>13026020.92</v>
      </c>
    </row>
    <row r="227" spans="2:49" x14ac:dyDescent="0.25">
      <c r="B227" t="s">
        <v>298</v>
      </c>
      <c r="C227">
        <v>419119515.24800497</v>
      </c>
      <c r="D227">
        <v>425848614.63336003</v>
      </c>
      <c r="E227">
        <v>432797081.30000001</v>
      </c>
      <c r="F227">
        <v>432707396.19999999</v>
      </c>
      <c r="G227">
        <v>413425998</v>
      </c>
      <c r="H227">
        <v>393559778.19999999</v>
      </c>
      <c r="I227">
        <v>388654271.39999998</v>
      </c>
      <c r="J227">
        <v>379700426.19999999</v>
      </c>
      <c r="K227">
        <v>365903228.89999998</v>
      </c>
      <c r="L227">
        <v>357171271.5</v>
      </c>
      <c r="M227">
        <v>354237051.19999999</v>
      </c>
      <c r="N227">
        <v>354802585.80000001</v>
      </c>
      <c r="O227">
        <v>346284492.69999999</v>
      </c>
      <c r="P227">
        <v>338600609.19999999</v>
      </c>
      <c r="Q227">
        <v>325865594.89999998</v>
      </c>
      <c r="R227">
        <v>317614428.5</v>
      </c>
      <c r="S227">
        <v>308669566.10000002</v>
      </c>
      <c r="T227">
        <v>304495017.30000001</v>
      </c>
      <c r="U227">
        <v>298603381</v>
      </c>
      <c r="V227">
        <v>292825083.30000001</v>
      </c>
      <c r="W227">
        <v>284034497.89999998</v>
      </c>
      <c r="X227">
        <v>273231075.19999999</v>
      </c>
      <c r="Y227">
        <v>261524000.80000001</v>
      </c>
      <c r="Z227">
        <v>250775807.90000001</v>
      </c>
      <c r="AA227">
        <v>240402035.09999999</v>
      </c>
      <c r="AB227">
        <v>229736707.40000001</v>
      </c>
      <c r="AC227">
        <v>219366514.30000001</v>
      </c>
      <c r="AD227">
        <v>205166507.19999999</v>
      </c>
      <c r="AE227">
        <v>191364218.69999999</v>
      </c>
      <c r="AF227">
        <v>177852110.59999999</v>
      </c>
      <c r="AG227">
        <v>166593890.19999999</v>
      </c>
      <c r="AH227">
        <v>155555820.80000001</v>
      </c>
      <c r="AI227">
        <v>144200831.80000001</v>
      </c>
      <c r="AJ227">
        <v>132987337</v>
      </c>
      <c r="AK227">
        <v>121748664.59999999</v>
      </c>
      <c r="AL227">
        <v>116231286.7</v>
      </c>
      <c r="AM227">
        <v>109963022.59999999</v>
      </c>
      <c r="AN227">
        <v>101664575.3</v>
      </c>
      <c r="AO227">
        <v>93196747.980000004</v>
      </c>
      <c r="AP227">
        <v>84595877.689999998</v>
      </c>
      <c r="AQ227">
        <v>75834577.280000001</v>
      </c>
      <c r="AR227">
        <v>66675848.270000003</v>
      </c>
      <c r="AS227">
        <v>66039310.359999999</v>
      </c>
      <c r="AT227">
        <v>65444280.149999999</v>
      </c>
      <c r="AU227">
        <v>64846672.799999997</v>
      </c>
      <c r="AV227">
        <v>64209065.399999999</v>
      </c>
      <c r="AW227">
        <v>63564103.789999999</v>
      </c>
    </row>
    <row r="228" spans="2:49" x14ac:dyDescent="0.25">
      <c r="B228" t="s">
        <v>299</v>
      </c>
      <c r="C228">
        <v>255.88316116441601</v>
      </c>
      <c r="D228">
        <v>259.991448084664</v>
      </c>
      <c r="E228">
        <v>264.98908549999999</v>
      </c>
      <c r="F228">
        <v>273.2151121</v>
      </c>
      <c r="G228">
        <v>275.18051489999999</v>
      </c>
      <c r="H228">
        <v>265.88733200000001</v>
      </c>
      <c r="I228">
        <v>274.51795429999999</v>
      </c>
      <c r="J228">
        <v>276.51121890000002</v>
      </c>
      <c r="K228">
        <v>273.9413606</v>
      </c>
      <c r="L228">
        <v>271.1965601</v>
      </c>
      <c r="M228">
        <v>270.86743519999999</v>
      </c>
      <c r="N228">
        <v>270.4162895</v>
      </c>
      <c r="O228">
        <v>261.30011949999999</v>
      </c>
      <c r="P228">
        <v>256.64639579999999</v>
      </c>
      <c r="Q228">
        <v>251.3235162</v>
      </c>
      <c r="R228">
        <v>244.05512519999999</v>
      </c>
      <c r="S228">
        <v>236.92422640000001</v>
      </c>
      <c r="T228">
        <v>235.20699719999999</v>
      </c>
      <c r="U228">
        <v>232.9613962</v>
      </c>
      <c r="V228">
        <v>229.8320429</v>
      </c>
      <c r="W228">
        <v>237.07555730000001</v>
      </c>
      <c r="X228">
        <v>242.0147795</v>
      </c>
      <c r="Y228">
        <v>237.27015359999999</v>
      </c>
      <c r="Z228">
        <v>232.6988882</v>
      </c>
      <c r="AA228">
        <v>228.18589499999999</v>
      </c>
      <c r="AB228">
        <v>223.8967155</v>
      </c>
      <c r="AC228">
        <v>219.8228909</v>
      </c>
      <c r="AD228">
        <v>216.9914981</v>
      </c>
      <c r="AE228">
        <v>214.18622020000001</v>
      </c>
      <c r="AF228">
        <v>211.4069744</v>
      </c>
      <c r="AG228">
        <v>199.5886687</v>
      </c>
      <c r="AH228">
        <v>188.14463799999999</v>
      </c>
      <c r="AI228">
        <v>185.78362809999999</v>
      </c>
      <c r="AJ228">
        <v>183.4462292</v>
      </c>
      <c r="AK228">
        <v>181.09123769999999</v>
      </c>
      <c r="AL228">
        <v>178.95699239999999</v>
      </c>
      <c r="AM228">
        <v>176.63955189999999</v>
      </c>
      <c r="AN228">
        <v>172.47590729999999</v>
      </c>
      <c r="AO228">
        <v>168.32224919999999</v>
      </c>
      <c r="AP228">
        <v>164.2483158</v>
      </c>
      <c r="AQ228">
        <v>160.3063339</v>
      </c>
      <c r="AR228">
        <v>156.38849110000001</v>
      </c>
      <c r="AS228">
        <v>152.26786659999999</v>
      </c>
      <c r="AT228">
        <v>148.30505049999999</v>
      </c>
      <c r="AU228">
        <v>144.4498529</v>
      </c>
      <c r="AV228">
        <v>140.67150720000001</v>
      </c>
      <c r="AW228">
        <v>136.99657110000001</v>
      </c>
    </row>
    <row r="229" spans="2:49" x14ac:dyDescent="0.25">
      <c r="B229" t="s">
        <v>300</v>
      </c>
      <c r="C229">
        <v>5.5705789795526002</v>
      </c>
      <c r="D229">
        <v>5.6600164269241402</v>
      </c>
      <c r="E229">
        <v>5.7508898210000003</v>
      </c>
      <c r="F229">
        <v>5.8034722270000003</v>
      </c>
      <c r="G229">
        <v>4.8438677510000003</v>
      </c>
      <c r="H229">
        <v>4.2427113519999997</v>
      </c>
      <c r="I229">
        <v>4.1148371170000004</v>
      </c>
      <c r="J229">
        <v>3.9370874159999998</v>
      </c>
      <c r="K229">
        <v>3.8068544389999999</v>
      </c>
      <c r="L229">
        <v>4.054717031</v>
      </c>
      <c r="M229">
        <v>4.1576991300000001</v>
      </c>
      <c r="N229">
        <v>4.2281147880000001</v>
      </c>
      <c r="O229">
        <v>3.3216754709999998</v>
      </c>
      <c r="P229">
        <v>2.8043171739999999</v>
      </c>
      <c r="Q229">
        <v>2.474274055</v>
      </c>
      <c r="R229">
        <v>2.2606160329999998</v>
      </c>
      <c r="S229">
        <v>2.0763035849999998</v>
      </c>
      <c r="T229">
        <v>2.062396621</v>
      </c>
      <c r="U229">
        <v>2.0278059179999999</v>
      </c>
      <c r="V229">
        <v>1.727388994</v>
      </c>
      <c r="W229">
        <v>1.3447071610000001</v>
      </c>
      <c r="X229">
        <v>0.9865863829</v>
      </c>
      <c r="Y229">
        <v>0.73849129869999997</v>
      </c>
      <c r="Z229">
        <v>0.572250021</v>
      </c>
      <c r="AA229">
        <v>0.45591781640000001</v>
      </c>
      <c r="AB229">
        <v>0.37179510700000001</v>
      </c>
      <c r="AC229">
        <v>0.31033247130000002</v>
      </c>
      <c r="AD229">
        <v>0.27496740800000002</v>
      </c>
      <c r="AE229">
        <v>0.2492993047</v>
      </c>
      <c r="AF229">
        <v>0.22868770299999999</v>
      </c>
      <c r="AG229">
        <v>0.21166868620000001</v>
      </c>
      <c r="AH229">
        <v>0.19739560340000001</v>
      </c>
      <c r="AI229">
        <v>0.18578034630000001</v>
      </c>
      <c r="AJ229">
        <v>0.17585686850000001</v>
      </c>
      <c r="AK229">
        <v>0.16728038680000001</v>
      </c>
      <c r="AL229">
        <v>0.15980970929999999</v>
      </c>
      <c r="AM229">
        <v>0.1530616169</v>
      </c>
      <c r="AN229">
        <v>0.1464628288</v>
      </c>
      <c r="AO229">
        <v>0.140222808</v>
      </c>
      <c r="AP229">
        <v>0.13439058770000001</v>
      </c>
      <c r="AQ229">
        <v>0.1290097902</v>
      </c>
      <c r="AR229">
        <v>0.1237916148</v>
      </c>
      <c r="AS229">
        <v>0.11932364080000001</v>
      </c>
      <c r="AT229">
        <v>0.1153212423</v>
      </c>
      <c r="AU229">
        <v>0.1116194011</v>
      </c>
      <c r="AV229">
        <v>0.10809989809999999</v>
      </c>
      <c r="AW229">
        <v>0.1048105744</v>
      </c>
    </row>
    <row r="230" spans="2:49" x14ac:dyDescent="0.25">
      <c r="B230" t="s">
        <v>301</v>
      </c>
      <c r="C230">
        <v>5.5705789795526002</v>
      </c>
      <c r="D230">
        <v>5.6600164269241402</v>
      </c>
      <c r="E230">
        <v>5.7508898210000003</v>
      </c>
      <c r="F230">
        <v>5.8034722270000003</v>
      </c>
      <c r="G230">
        <v>4.8438677510000003</v>
      </c>
      <c r="H230">
        <v>4.2427113519999997</v>
      </c>
      <c r="I230">
        <v>4.1148371170000004</v>
      </c>
      <c r="J230">
        <v>3.9370874159999998</v>
      </c>
      <c r="K230">
        <v>3.8068544389999999</v>
      </c>
      <c r="L230">
        <v>4.054717031</v>
      </c>
      <c r="M230">
        <v>4.1576991300000001</v>
      </c>
      <c r="N230">
        <v>4.2281147880000001</v>
      </c>
      <c r="O230">
        <v>3.3216754709999998</v>
      </c>
      <c r="P230">
        <v>2.8043171739999999</v>
      </c>
      <c r="Q230">
        <v>2.474274055</v>
      </c>
      <c r="R230">
        <v>2.2606160329999998</v>
      </c>
      <c r="S230">
        <v>2.0763035849999998</v>
      </c>
      <c r="T230">
        <v>2.062396621</v>
      </c>
      <c r="U230">
        <v>2.0278059179999999</v>
      </c>
      <c r="V230">
        <v>1.727388994</v>
      </c>
      <c r="W230">
        <v>1.3447071610000001</v>
      </c>
      <c r="X230">
        <v>0.9865863829</v>
      </c>
      <c r="Y230">
        <v>0.73849129869999997</v>
      </c>
      <c r="Z230">
        <v>0.572250021</v>
      </c>
      <c r="AA230">
        <v>0.45591781640000001</v>
      </c>
      <c r="AB230">
        <v>0.37179510700000001</v>
      </c>
      <c r="AC230">
        <v>0.31033247130000002</v>
      </c>
      <c r="AD230">
        <v>0.27496740800000002</v>
      </c>
      <c r="AE230">
        <v>0.2492993047</v>
      </c>
      <c r="AF230">
        <v>0.22868770299999999</v>
      </c>
      <c r="AG230">
        <v>0.21166868620000001</v>
      </c>
      <c r="AH230">
        <v>0.19739560340000001</v>
      </c>
      <c r="AI230">
        <v>0.18578034630000001</v>
      </c>
      <c r="AJ230">
        <v>0.17585686850000001</v>
      </c>
      <c r="AK230">
        <v>0.16728038680000001</v>
      </c>
      <c r="AL230">
        <v>0.15980970929999999</v>
      </c>
      <c r="AM230">
        <v>0.1530616169</v>
      </c>
      <c r="AN230">
        <v>0.1464628288</v>
      </c>
      <c r="AO230">
        <v>0.140222808</v>
      </c>
      <c r="AP230">
        <v>0.13439058770000001</v>
      </c>
      <c r="AQ230">
        <v>0.1290097902</v>
      </c>
      <c r="AR230">
        <v>0.1237916148</v>
      </c>
      <c r="AS230">
        <v>0.11932364080000001</v>
      </c>
      <c r="AT230">
        <v>0.1153212423</v>
      </c>
      <c r="AU230">
        <v>0.1116194011</v>
      </c>
      <c r="AV230">
        <v>0.10809989809999999</v>
      </c>
      <c r="AW230">
        <v>0.1048105744</v>
      </c>
    </row>
    <row r="231" spans="2:49" x14ac:dyDescent="0.25">
      <c r="B231" t="s">
        <v>302</v>
      </c>
      <c r="C231">
        <v>82.165927612137295</v>
      </c>
      <c r="D231">
        <v>83.485128157272499</v>
      </c>
      <c r="E231">
        <v>84.843357019999999</v>
      </c>
      <c r="F231">
        <v>85.050128619999995</v>
      </c>
      <c r="G231">
        <v>81.633075439999999</v>
      </c>
      <c r="H231">
        <v>79.139221640000002</v>
      </c>
      <c r="I231">
        <v>77.505026509999894</v>
      </c>
      <c r="J231">
        <v>75.250712410000006</v>
      </c>
      <c r="K231">
        <v>72.733228130000001</v>
      </c>
      <c r="L231">
        <v>70.824324709999999</v>
      </c>
      <c r="M231">
        <v>70.288636280000006</v>
      </c>
      <c r="N231">
        <v>70.434398619999996</v>
      </c>
      <c r="O231">
        <v>68.732812609999996</v>
      </c>
      <c r="P231">
        <v>66.944797019999996</v>
      </c>
      <c r="Q231">
        <v>64.516312839999998</v>
      </c>
      <c r="R231">
        <v>63.117137509999999</v>
      </c>
      <c r="S231">
        <v>61.340678310000001</v>
      </c>
      <c r="T231">
        <v>61.0412751</v>
      </c>
      <c r="U231">
        <v>60.341106500000002</v>
      </c>
      <c r="V231">
        <v>59.41204879</v>
      </c>
      <c r="W231">
        <v>57.356290860000001</v>
      </c>
      <c r="X231">
        <v>55.12773601</v>
      </c>
      <c r="Y231">
        <v>52.959099190000003</v>
      </c>
      <c r="Z231">
        <v>50.895746699999997</v>
      </c>
      <c r="AA231">
        <v>48.888762389999997</v>
      </c>
      <c r="AB231">
        <v>46.800443950000002</v>
      </c>
      <c r="AC231">
        <v>44.713464029999997</v>
      </c>
      <c r="AD231">
        <v>42.001154579999998</v>
      </c>
      <c r="AE231">
        <v>39.336237199999999</v>
      </c>
      <c r="AF231">
        <v>36.6852467</v>
      </c>
      <c r="AG231">
        <v>34.102967</v>
      </c>
      <c r="AH231">
        <v>31.53527755</v>
      </c>
      <c r="AI231">
        <v>28.87261122</v>
      </c>
      <c r="AJ231">
        <v>26.21385437</v>
      </c>
      <c r="AK231">
        <v>23.505798479999999</v>
      </c>
      <c r="AL231">
        <v>20.923208330000001</v>
      </c>
      <c r="AM231">
        <v>18.214441369999999</v>
      </c>
      <c r="AN231">
        <v>16.648373119999999</v>
      </c>
      <c r="AO231">
        <v>15.02647938</v>
      </c>
      <c r="AP231">
        <v>13.35765713</v>
      </c>
      <c r="AQ231">
        <v>11.630086159999999</v>
      </c>
      <c r="AR231">
        <v>9.7960041419999904</v>
      </c>
      <c r="AS231">
        <v>9.1714040360000002</v>
      </c>
      <c r="AT231">
        <v>8.5627168860000005</v>
      </c>
      <c r="AU231">
        <v>7.9685595390000001</v>
      </c>
      <c r="AV231">
        <v>7.3815463530000001</v>
      </c>
      <c r="AW231">
        <v>6.7997367779999998</v>
      </c>
    </row>
    <row r="232" spans="2:49" x14ac:dyDescent="0.25">
      <c r="B232" t="s">
        <v>303</v>
      </c>
      <c r="C232">
        <v>0.67805251130835598</v>
      </c>
      <c r="D232">
        <v>0.68893886369971102</v>
      </c>
      <c r="E232">
        <v>0.66745370510000002</v>
      </c>
      <c r="F232">
        <v>1.003088811</v>
      </c>
      <c r="G232">
        <v>1.285122348</v>
      </c>
      <c r="H232">
        <v>1.560043318</v>
      </c>
      <c r="I232">
        <v>1.837181999</v>
      </c>
      <c r="J232">
        <v>2.0960791670000001</v>
      </c>
      <c r="K232">
        <v>2.3311138950000001</v>
      </c>
      <c r="L232">
        <v>2.569958567</v>
      </c>
      <c r="M232">
        <v>2.8508598979999999</v>
      </c>
      <c r="N232">
        <v>3.1600866609999998</v>
      </c>
      <c r="O232">
        <v>3.143203593</v>
      </c>
      <c r="P232">
        <v>3.1229419520000001</v>
      </c>
      <c r="Q232">
        <v>3.072739909</v>
      </c>
      <c r="R232">
        <v>3.0719354060000001</v>
      </c>
      <c r="S232">
        <v>3.0538895080000001</v>
      </c>
      <c r="T232">
        <v>3.195470373</v>
      </c>
      <c r="U232">
        <v>3.3077988989999998</v>
      </c>
      <c r="V232">
        <v>3.3981792820000001</v>
      </c>
      <c r="W232">
        <v>3.6506068950000001</v>
      </c>
      <c r="X232">
        <v>3.8903778280000001</v>
      </c>
      <c r="Y232">
        <v>3.9053426689999999</v>
      </c>
      <c r="Z232">
        <v>3.9304101610000002</v>
      </c>
      <c r="AA232">
        <v>3.9631304030000001</v>
      </c>
      <c r="AB232">
        <v>3.988825726</v>
      </c>
      <c r="AC232">
        <v>4.0184722199999996</v>
      </c>
      <c r="AD232">
        <v>4.6490005139999999</v>
      </c>
      <c r="AE232">
        <v>5.2952881510000003</v>
      </c>
      <c r="AF232">
        <v>5.9585383270000003</v>
      </c>
      <c r="AG232">
        <v>6.6374611679999997</v>
      </c>
      <c r="AH232">
        <v>7.3489338550000003</v>
      </c>
      <c r="AI232">
        <v>8.1702460909999903</v>
      </c>
      <c r="AJ232">
        <v>9.0478353200000008</v>
      </c>
      <c r="AK232">
        <v>9.9852652370000001</v>
      </c>
      <c r="AL232">
        <v>10.995180149999999</v>
      </c>
      <c r="AM232">
        <v>12.109547299999999</v>
      </c>
      <c r="AN232">
        <v>12.34698669</v>
      </c>
      <c r="AO232">
        <v>12.62087827</v>
      </c>
      <c r="AP232">
        <v>12.958165810000001</v>
      </c>
      <c r="AQ232">
        <v>13.382519179999999</v>
      </c>
      <c r="AR232">
        <v>13.889709229999999</v>
      </c>
      <c r="AS232">
        <v>13.536772600000001</v>
      </c>
      <c r="AT232">
        <v>13.21434635</v>
      </c>
      <c r="AU232">
        <v>12.92677305</v>
      </c>
      <c r="AV232">
        <v>12.67019994</v>
      </c>
      <c r="AW232">
        <v>12.45130037</v>
      </c>
    </row>
    <row r="233" spans="2:49" x14ac:dyDescent="0.25">
      <c r="B233" t="s">
        <v>304</v>
      </c>
      <c r="C233">
        <v>82.165927612137295</v>
      </c>
      <c r="D233">
        <v>83.485128157272499</v>
      </c>
      <c r="E233">
        <v>84.843357019999999</v>
      </c>
      <c r="F233">
        <v>85.050128619999995</v>
      </c>
      <c r="G233">
        <v>81.633075439999999</v>
      </c>
      <c r="H233">
        <v>79.139221640000002</v>
      </c>
      <c r="I233">
        <v>77.505026509999894</v>
      </c>
      <c r="J233">
        <v>75.250712410000006</v>
      </c>
      <c r="K233">
        <v>72.733228130000001</v>
      </c>
      <c r="L233">
        <v>70.824324709999999</v>
      </c>
      <c r="M233">
        <v>70.288636280000006</v>
      </c>
      <c r="N233">
        <v>70.434398619999996</v>
      </c>
      <c r="O233">
        <v>68.732812609999996</v>
      </c>
      <c r="P233">
        <v>66.944797019999996</v>
      </c>
      <c r="Q233">
        <v>64.516312839999998</v>
      </c>
      <c r="R233">
        <v>63.117137509999999</v>
      </c>
      <c r="S233">
        <v>61.340678310000001</v>
      </c>
      <c r="T233">
        <v>61.0412751</v>
      </c>
      <c r="U233">
        <v>60.341106500000002</v>
      </c>
      <c r="V233">
        <v>59.41204879</v>
      </c>
      <c r="W233">
        <v>57.356290860000001</v>
      </c>
      <c r="X233">
        <v>55.12773601</v>
      </c>
      <c r="Y233">
        <v>52.959099190000003</v>
      </c>
      <c r="Z233">
        <v>50.895746699999997</v>
      </c>
      <c r="AA233">
        <v>48.888762389999997</v>
      </c>
      <c r="AB233">
        <v>46.800443950000002</v>
      </c>
      <c r="AC233">
        <v>44.713464029999997</v>
      </c>
      <c r="AD233">
        <v>42.001154579999998</v>
      </c>
      <c r="AE233">
        <v>39.336237199999999</v>
      </c>
      <c r="AF233">
        <v>36.6852467</v>
      </c>
      <c r="AG233">
        <v>34.102967</v>
      </c>
      <c r="AH233">
        <v>31.53527755</v>
      </c>
      <c r="AI233">
        <v>28.87261122</v>
      </c>
      <c r="AJ233">
        <v>26.21385437</v>
      </c>
      <c r="AK233">
        <v>23.505798479999999</v>
      </c>
      <c r="AL233">
        <v>20.923208330000001</v>
      </c>
      <c r="AM233">
        <v>18.214441369999999</v>
      </c>
      <c r="AN233">
        <v>16.648373119999999</v>
      </c>
      <c r="AO233">
        <v>15.02647938</v>
      </c>
      <c r="AP233">
        <v>13.35765713</v>
      </c>
      <c r="AQ233">
        <v>11.630086159999999</v>
      </c>
      <c r="AR233">
        <v>9.7960041419999904</v>
      </c>
      <c r="AS233">
        <v>9.1714040360000002</v>
      </c>
      <c r="AT233">
        <v>8.5627168860000005</v>
      </c>
      <c r="AU233">
        <v>7.9685595390000001</v>
      </c>
      <c r="AV233">
        <v>7.3815463530000001</v>
      </c>
      <c r="AW233">
        <v>6.7997367779999998</v>
      </c>
    </row>
    <row r="234" spans="2:49" x14ac:dyDescent="0.25">
      <c r="B234" t="s">
        <v>305</v>
      </c>
      <c r="C234">
        <v>0.67805251130835598</v>
      </c>
      <c r="D234">
        <v>0.68893886369971102</v>
      </c>
      <c r="E234">
        <v>0.66745370510000002</v>
      </c>
      <c r="F234">
        <v>1.003088811</v>
      </c>
      <c r="G234">
        <v>1.285122348</v>
      </c>
      <c r="H234">
        <v>1.560043318</v>
      </c>
      <c r="I234">
        <v>1.837181999</v>
      </c>
      <c r="J234">
        <v>2.0960791670000001</v>
      </c>
      <c r="K234">
        <v>2.3311138950000001</v>
      </c>
      <c r="L234">
        <v>2.569958567</v>
      </c>
      <c r="M234">
        <v>2.8508598979999999</v>
      </c>
      <c r="N234">
        <v>3.1600866609999998</v>
      </c>
      <c r="O234">
        <v>3.143203593</v>
      </c>
      <c r="P234">
        <v>3.1229419520000001</v>
      </c>
      <c r="Q234">
        <v>3.072739909</v>
      </c>
      <c r="R234">
        <v>3.0719354060000001</v>
      </c>
      <c r="S234">
        <v>3.0538895080000001</v>
      </c>
      <c r="T234">
        <v>3.195470373</v>
      </c>
      <c r="U234">
        <v>3.3077988989999998</v>
      </c>
      <c r="V234">
        <v>3.3981792820000001</v>
      </c>
      <c r="W234">
        <v>3.6506068950000001</v>
      </c>
      <c r="X234">
        <v>3.8903778280000001</v>
      </c>
      <c r="Y234">
        <v>3.9053426689999999</v>
      </c>
      <c r="Z234">
        <v>3.9304101610000002</v>
      </c>
      <c r="AA234">
        <v>3.9631304030000001</v>
      </c>
      <c r="AB234">
        <v>3.988825726</v>
      </c>
      <c r="AC234">
        <v>4.0184722199999996</v>
      </c>
      <c r="AD234">
        <v>4.6490005139999999</v>
      </c>
      <c r="AE234">
        <v>5.2952881510000003</v>
      </c>
      <c r="AF234">
        <v>5.9585383270000003</v>
      </c>
      <c r="AG234">
        <v>6.6374611679999997</v>
      </c>
      <c r="AH234">
        <v>7.3489338550000003</v>
      </c>
      <c r="AI234">
        <v>8.1702460909999903</v>
      </c>
      <c r="AJ234">
        <v>9.0478353200000008</v>
      </c>
      <c r="AK234">
        <v>9.9852652370000001</v>
      </c>
      <c r="AL234">
        <v>10.995180149999999</v>
      </c>
      <c r="AM234">
        <v>12.109547299999999</v>
      </c>
      <c r="AN234">
        <v>12.34698669</v>
      </c>
      <c r="AO234">
        <v>12.62087827</v>
      </c>
      <c r="AP234">
        <v>12.958165810000001</v>
      </c>
      <c r="AQ234">
        <v>13.382519179999999</v>
      </c>
      <c r="AR234">
        <v>13.889709229999999</v>
      </c>
      <c r="AS234">
        <v>13.536772600000001</v>
      </c>
      <c r="AT234">
        <v>13.21434635</v>
      </c>
      <c r="AU234">
        <v>12.92677305</v>
      </c>
      <c r="AV234">
        <v>12.67019994</v>
      </c>
      <c r="AW234">
        <v>12.45130037</v>
      </c>
    </row>
    <row r="235" spans="2:49" x14ac:dyDescent="0.25">
      <c r="B235" t="s">
        <v>306</v>
      </c>
      <c r="C235">
        <v>114.221490567207</v>
      </c>
      <c r="D235">
        <v>116.055353544252</v>
      </c>
      <c r="E235">
        <v>118.4723395</v>
      </c>
      <c r="F235">
        <v>124.2676574</v>
      </c>
      <c r="G235">
        <v>129.85043569999999</v>
      </c>
      <c r="H235">
        <v>124.9364336</v>
      </c>
      <c r="I235">
        <v>132.3163591</v>
      </c>
      <c r="J235">
        <v>134.91363240000001</v>
      </c>
      <c r="K235">
        <v>134.9891883</v>
      </c>
      <c r="L235">
        <v>133.29465089999999</v>
      </c>
      <c r="M235">
        <v>131.663599</v>
      </c>
      <c r="N235">
        <v>128.5801055</v>
      </c>
      <c r="O235">
        <v>121.1036515</v>
      </c>
      <c r="P235">
        <v>118.1252288</v>
      </c>
      <c r="Q235">
        <v>116.8125196</v>
      </c>
      <c r="R235">
        <v>112.2347765</v>
      </c>
      <c r="S235">
        <v>107.6756245</v>
      </c>
      <c r="T235">
        <v>105.9761366</v>
      </c>
      <c r="U235">
        <v>104.1886612</v>
      </c>
      <c r="V235">
        <v>101.4739191</v>
      </c>
      <c r="W235">
        <v>110.2545123</v>
      </c>
      <c r="X235">
        <v>117.2413961</v>
      </c>
      <c r="Y235">
        <v>115.34733799999999</v>
      </c>
      <c r="Z235">
        <v>113.3103655</v>
      </c>
      <c r="AA235">
        <v>111.272734</v>
      </c>
      <c r="AB235">
        <v>109.9261896</v>
      </c>
      <c r="AC235">
        <v>108.7420415</v>
      </c>
      <c r="AD235">
        <v>107.3961726</v>
      </c>
      <c r="AE235">
        <v>105.9904164</v>
      </c>
      <c r="AF235">
        <v>104.54412360000001</v>
      </c>
      <c r="AG235">
        <v>96.126271270000004</v>
      </c>
      <c r="AH235">
        <v>88.080872139999997</v>
      </c>
      <c r="AI235">
        <v>87.616947190000005</v>
      </c>
      <c r="AJ235">
        <v>87.094219100000004</v>
      </c>
      <c r="AK235">
        <v>86.545641669999995</v>
      </c>
      <c r="AL235">
        <v>86.418546599999999</v>
      </c>
      <c r="AM235">
        <v>86.171605970000002</v>
      </c>
      <c r="AN235">
        <v>82.438129070000002</v>
      </c>
      <c r="AO235">
        <v>78.754577310000002</v>
      </c>
      <c r="AP235">
        <v>75.133283199999994</v>
      </c>
      <c r="AQ235">
        <v>71.589627680000007</v>
      </c>
      <c r="AR235">
        <v>68.09476153</v>
      </c>
      <c r="AS235">
        <v>64.626244869999894</v>
      </c>
      <c r="AT235">
        <v>61.264661269999998</v>
      </c>
      <c r="AU235">
        <v>57.972840660000003</v>
      </c>
      <c r="AV235">
        <v>54.742164879999997</v>
      </c>
      <c r="AW235">
        <v>51.576912280000002</v>
      </c>
    </row>
    <row r="236" spans="2:49" x14ac:dyDescent="0.25">
      <c r="B236" t="s">
        <v>307</v>
      </c>
      <c r="C236">
        <v>1.2736350545564401</v>
      </c>
      <c r="D236">
        <v>1.2940836773262701</v>
      </c>
      <c r="E236">
        <v>1.321034456</v>
      </c>
      <c r="F236">
        <v>1.310898809</v>
      </c>
      <c r="G236">
        <v>1.2959165509999999</v>
      </c>
      <c r="H236">
        <v>1.179652739</v>
      </c>
      <c r="I236">
        <v>1.182004491</v>
      </c>
      <c r="J236">
        <v>1.115200585</v>
      </c>
      <c r="K236">
        <v>1.0326811629999999</v>
      </c>
      <c r="L236">
        <v>0.94394875359999997</v>
      </c>
      <c r="M236">
        <v>0.86334533400000002</v>
      </c>
      <c r="N236">
        <v>0.78091528880000005</v>
      </c>
      <c r="O236">
        <v>0.67479867549999994</v>
      </c>
      <c r="P236">
        <v>0.59486697690000001</v>
      </c>
      <c r="Q236">
        <v>0.52104596520000002</v>
      </c>
      <c r="R236">
        <v>0.43108283250000001</v>
      </c>
      <c r="S236">
        <v>0.34144338880000003</v>
      </c>
      <c r="T236">
        <v>0.44586965849999999</v>
      </c>
      <c r="U236">
        <v>0.5493950111</v>
      </c>
      <c r="V236">
        <v>0.64638445529999999</v>
      </c>
      <c r="W236">
        <v>0.3873749756</v>
      </c>
      <c r="X236">
        <v>0.1849061521</v>
      </c>
      <c r="Y236">
        <v>0.17137394240000001</v>
      </c>
      <c r="Z236">
        <v>0.13979880850000001</v>
      </c>
      <c r="AA236">
        <v>9.1179901699999996E-2</v>
      </c>
      <c r="AB236">
        <v>8.1636596300000003E-2</v>
      </c>
      <c r="AC236">
        <v>7.2232481900000006E-2</v>
      </c>
      <c r="AD236">
        <v>7.1862080100000003E-2</v>
      </c>
      <c r="AE236">
        <v>7.1459098200000001E-2</v>
      </c>
      <c r="AF236">
        <v>7.1036213500000001E-2</v>
      </c>
      <c r="AG236">
        <v>6.5812725500000002E-2</v>
      </c>
      <c r="AH236">
        <v>6.07757217E-2</v>
      </c>
      <c r="AI236">
        <v>4.9275647800000003E-2</v>
      </c>
      <c r="AJ236">
        <v>3.7786069800000002E-2</v>
      </c>
      <c r="AK236">
        <v>2.6339887499999999E-2</v>
      </c>
      <c r="AL236">
        <v>2.0069775599999999E-2</v>
      </c>
      <c r="AM236">
        <v>1.2690899199999999E-2</v>
      </c>
      <c r="AN236">
        <v>1.15630379E-2</v>
      </c>
      <c r="AO236">
        <v>1.04884108E-2</v>
      </c>
      <c r="AP236">
        <v>9.4683056400000007E-3</v>
      </c>
      <c r="AQ236" s="39">
        <v>8.5040074699999999E-3</v>
      </c>
      <c r="AR236" s="39">
        <v>7.5914064100000003E-3</v>
      </c>
      <c r="AS236" s="39">
        <v>7.5427116399999997E-3</v>
      </c>
      <c r="AT236" s="39">
        <v>7.4970994200000002E-3</v>
      </c>
      <c r="AU236" s="39">
        <v>7.4503637300000003E-3</v>
      </c>
      <c r="AV236" s="39">
        <v>7.4012691599999996E-3</v>
      </c>
      <c r="AW236" s="39">
        <v>7.3501565600000004E-3</v>
      </c>
    </row>
    <row r="237" spans="2:49" x14ac:dyDescent="0.25">
      <c r="B237" t="s">
        <v>308</v>
      </c>
      <c r="C237">
        <v>3.4574974609126801</v>
      </c>
      <c r="D237">
        <v>3.51300870100687</v>
      </c>
      <c r="E237">
        <v>3.5861711399999998</v>
      </c>
      <c r="F237">
        <v>3.7414561289999999</v>
      </c>
      <c r="G237">
        <v>3.8888292569999998</v>
      </c>
      <c r="H237">
        <v>3.7220589839999998</v>
      </c>
      <c r="I237">
        <v>3.9215109130000001</v>
      </c>
      <c r="J237">
        <v>4.074666723</v>
      </c>
      <c r="K237">
        <v>4.1609817659999999</v>
      </c>
      <c r="L237">
        <v>4.1991588059999998</v>
      </c>
      <c r="M237">
        <v>4.2442069020000002</v>
      </c>
      <c r="N237">
        <v>4.2457908739999999</v>
      </c>
      <c r="O237">
        <v>4.467603038</v>
      </c>
      <c r="P237">
        <v>4.8494957779999996</v>
      </c>
      <c r="Q237">
        <v>5.320367611</v>
      </c>
      <c r="R237">
        <v>5.6577920879999999</v>
      </c>
      <c r="S237">
        <v>5.997142288</v>
      </c>
      <c r="T237">
        <v>5.7174815069999996</v>
      </c>
      <c r="U237">
        <v>5.4320456070000001</v>
      </c>
      <c r="V237">
        <v>5.0991621279999997</v>
      </c>
      <c r="W237">
        <v>5.8217581379999999</v>
      </c>
      <c r="X237">
        <v>6.4488842210000001</v>
      </c>
      <c r="Y237">
        <v>6.187985802</v>
      </c>
      <c r="Z237">
        <v>5.9243361319999996</v>
      </c>
      <c r="AA237">
        <v>5.6657828659999998</v>
      </c>
      <c r="AB237">
        <v>5.4513979529999999</v>
      </c>
      <c r="AC237">
        <v>5.247918511</v>
      </c>
      <c r="AD237">
        <v>4.9671452589999996</v>
      </c>
      <c r="AE237">
        <v>4.6852318349999997</v>
      </c>
      <c r="AF237">
        <v>4.4031165960000003</v>
      </c>
      <c r="AG237">
        <v>3.8381523500000001</v>
      </c>
      <c r="AH237">
        <v>3.3230886129999999</v>
      </c>
      <c r="AI237">
        <v>2.7114228690000002</v>
      </c>
      <c r="AJ237">
        <v>2.1031862280000002</v>
      </c>
      <c r="AK237">
        <v>1.5000805779999999</v>
      </c>
      <c r="AL237">
        <v>0.93321930870000003</v>
      </c>
      <c r="AM237">
        <v>0.37066519599999997</v>
      </c>
      <c r="AN237">
        <v>0.39047205899999998</v>
      </c>
      <c r="AO237">
        <v>0.40927176240000002</v>
      </c>
      <c r="AP237">
        <v>0.42710650820000001</v>
      </c>
      <c r="AQ237">
        <v>0.44405905150000002</v>
      </c>
      <c r="AR237">
        <v>0.45994520459999999</v>
      </c>
      <c r="AS237">
        <v>0.4733792013</v>
      </c>
      <c r="AT237">
        <v>0.48666488429999999</v>
      </c>
      <c r="AU237">
        <v>0.4995426617</v>
      </c>
      <c r="AV237">
        <v>0.51192244549999999</v>
      </c>
      <c r="AW237">
        <v>0.52381623310000003</v>
      </c>
    </row>
    <row r="238" spans="2:49" x14ac:dyDescent="0.25">
      <c r="B238" t="s">
        <v>309</v>
      </c>
      <c r="C238">
        <v>5.0750954082325404</v>
      </c>
      <c r="D238">
        <v>5.1565777065978304</v>
      </c>
      <c r="E238">
        <v>5.2639693569999997</v>
      </c>
      <c r="F238">
        <v>5.0767732670000001</v>
      </c>
      <c r="G238">
        <v>4.8776993439999998</v>
      </c>
      <c r="H238">
        <v>4.315305661</v>
      </c>
      <c r="I238">
        <v>4.2023856100000003</v>
      </c>
      <c r="J238">
        <v>4.1156528840000002</v>
      </c>
      <c r="K238">
        <v>3.9614828430000002</v>
      </c>
      <c r="L238">
        <v>3.7683330640000001</v>
      </c>
      <c r="M238">
        <v>3.5902008510000001</v>
      </c>
      <c r="N238">
        <v>3.3855395970000002</v>
      </c>
      <c r="O238">
        <v>2.8192110110000002</v>
      </c>
      <c r="P238">
        <v>2.3651769580000002</v>
      </c>
      <c r="Q238">
        <v>1.93144692</v>
      </c>
      <c r="R238">
        <v>1.4349571169999999</v>
      </c>
      <c r="S238">
        <v>0.94103403129999996</v>
      </c>
      <c r="T238">
        <v>0.89728604190000005</v>
      </c>
      <c r="U238">
        <v>0.85255925720000003</v>
      </c>
      <c r="V238">
        <v>0.80031339369999999</v>
      </c>
      <c r="W238">
        <v>0.331240062</v>
      </c>
      <c r="X238">
        <v>6.1961922099999997E-2</v>
      </c>
      <c r="Y238">
        <v>4.7596083499999997E-2</v>
      </c>
      <c r="Z238">
        <v>3.3525392899999999E-2</v>
      </c>
      <c r="AA238">
        <v>1.9829753700000001E-2</v>
      </c>
      <c r="AB238">
        <v>1.96691965E-2</v>
      </c>
      <c r="AC238">
        <v>1.95363827E-2</v>
      </c>
      <c r="AD238">
        <v>1.6205323399999999E-2</v>
      </c>
      <c r="AE238">
        <v>1.2902033300000001E-2</v>
      </c>
      <c r="AF238">
        <v>9.6298584300000007E-3</v>
      </c>
      <c r="AG238">
        <v>8.9216750400000003E-3</v>
      </c>
      <c r="AH238">
        <v>8.2406908200000004E-3</v>
      </c>
      <c r="AI238">
        <v>8.1717696399999998E-3</v>
      </c>
      <c r="AJ238">
        <v>8.0983037799999998E-3</v>
      </c>
      <c r="AK238">
        <v>8.0233761999999997E-3</v>
      </c>
      <c r="AL238">
        <v>7.9860718800000008E-3</v>
      </c>
      <c r="AM238">
        <v>7.9383667199999994E-3</v>
      </c>
      <c r="AN238">
        <v>7.8734743400000005E-3</v>
      </c>
      <c r="AO238">
        <v>7.8056027199999998E-3</v>
      </c>
      <c r="AP238">
        <v>7.7357517900000002E-3</v>
      </c>
      <c r="AQ238">
        <v>7.6654151099999996E-3</v>
      </c>
      <c r="AR238">
        <v>7.5914064100000003E-3</v>
      </c>
      <c r="AS238">
        <v>7.5427116399999997E-3</v>
      </c>
      <c r="AT238">
        <v>7.4970994200000002E-3</v>
      </c>
      <c r="AU238">
        <v>7.4503637300000003E-3</v>
      </c>
      <c r="AV238">
        <v>7.4012691599999996E-3</v>
      </c>
      <c r="AW238">
        <v>7.3501565600000004E-3</v>
      </c>
    </row>
    <row r="239" spans="2:49" x14ac:dyDescent="0.25">
      <c r="B239" t="s">
        <v>310</v>
      </c>
      <c r="C239">
        <v>0.35516190417563898</v>
      </c>
      <c r="D239">
        <v>0.36086414342755202</v>
      </c>
      <c r="E239">
        <v>0.36837955350000001</v>
      </c>
      <c r="F239">
        <v>0.78390223839999995</v>
      </c>
      <c r="G239">
        <v>1.183365988</v>
      </c>
      <c r="H239">
        <v>1.440150348</v>
      </c>
      <c r="I239">
        <v>1.792132947</v>
      </c>
      <c r="J239">
        <v>2.122776665</v>
      </c>
      <c r="K239">
        <v>2.375171028</v>
      </c>
      <c r="L239">
        <v>2.5377177510000002</v>
      </c>
      <c r="M239">
        <v>2.6261939829999998</v>
      </c>
      <c r="N239">
        <v>2.5924139620000002</v>
      </c>
      <c r="O239">
        <v>2.757431645</v>
      </c>
      <c r="P239">
        <v>3.0224630160000001</v>
      </c>
      <c r="Q239">
        <v>3.3456457730000002</v>
      </c>
      <c r="R239">
        <v>3.587289084</v>
      </c>
      <c r="S239">
        <v>3.8318073789999998</v>
      </c>
      <c r="T239">
        <v>4.0073647350000003</v>
      </c>
      <c r="U239">
        <v>4.1792278859999996</v>
      </c>
      <c r="V239">
        <v>4.311113068</v>
      </c>
      <c r="W239">
        <v>4.7310041079999996</v>
      </c>
      <c r="X239">
        <v>5.068057971</v>
      </c>
      <c r="Y239">
        <v>5.3594964669999996</v>
      </c>
      <c r="Z239">
        <v>5.6348875219999996</v>
      </c>
      <c r="AA239">
        <v>5.9002279770000001</v>
      </c>
      <c r="AB239">
        <v>6.1825737309999997</v>
      </c>
      <c r="AC239">
        <v>6.469218916</v>
      </c>
      <c r="AD239">
        <v>7.2545637640000002</v>
      </c>
      <c r="AE239">
        <v>8.0332044719999995</v>
      </c>
      <c r="AF239">
        <v>8.8062181380000002</v>
      </c>
      <c r="AG239">
        <v>8.8752832030000004</v>
      </c>
      <c r="AH239">
        <v>8.861503914</v>
      </c>
      <c r="AI239">
        <v>9.4606227020000002</v>
      </c>
      <c r="AJ239">
        <v>10.04481311</v>
      </c>
      <c r="AK239">
        <v>10.61697182</v>
      </c>
      <c r="AL239">
        <v>11.200573990000001</v>
      </c>
      <c r="AM239">
        <v>11.764626890000001</v>
      </c>
      <c r="AN239">
        <v>12.401815109999999</v>
      </c>
      <c r="AO239">
        <v>13.0242214</v>
      </c>
      <c r="AP239">
        <v>13.632713470000001</v>
      </c>
      <c r="AQ239">
        <v>14.22944618</v>
      </c>
      <c r="AR239">
        <v>14.80800573</v>
      </c>
      <c r="AS239">
        <v>15.41909441</v>
      </c>
      <c r="AT239">
        <v>16.029944220000001</v>
      </c>
      <c r="AU239">
        <v>16.631992530000002</v>
      </c>
      <c r="AV239">
        <v>17.222004299999998</v>
      </c>
      <c r="AW239">
        <v>17.800091120000001</v>
      </c>
    </row>
    <row r="240" spans="2:49" x14ac:dyDescent="0.25">
      <c r="B240" t="s">
        <v>311</v>
      </c>
      <c r="C240">
        <v>7.99114284395189E-2</v>
      </c>
      <c r="D240">
        <v>8.1194432271199296E-2</v>
      </c>
      <c r="E240">
        <v>8.2885399499999998E-2</v>
      </c>
      <c r="F240">
        <v>0.1130300405</v>
      </c>
      <c r="G240">
        <v>0.1535227763</v>
      </c>
      <c r="H240">
        <v>0.191969995</v>
      </c>
      <c r="I240">
        <v>0.26417770959999998</v>
      </c>
      <c r="J240">
        <v>0.36342383760000002</v>
      </c>
      <c r="K240">
        <v>0.49030967660000002</v>
      </c>
      <c r="L240">
        <v>0.65253419550000002</v>
      </c>
      <c r="M240">
        <v>0.86844137089999995</v>
      </c>
      <c r="N240">
        <v>1.1424901270000001</v>
      </c>
      <c r="O240">
        <v>1.2152142669999999</v>
      </c>
      <c r="P240">
        <v>1.3320149509999999</v>
      </c>
      <c r="Q240">
        <v>1.4744432489999999</v>
      </c>
      <c r="R240">
        <v>1.580936696</v>
      </c>
      <c r="S240">
        <v>1.688697162</v>
      </c>
      <c r="T240">
        <v>1.7417935440000001</v>
      </c>
      <c r="U240">
        <v>1.793325005</v>
      </c>
      <c r="V240">
        <v>1.8279607870000001</v>
      </c>
      <c r="W240">
        <v>2.166043417</v>
      </c>
      <c r="X240">
        <v>2.467841591</v>
      </c>
      <c r="Y240">
        <v>2.8885904</v>
      </c>
      <c r="Z240">
        <v>3.29419504</v>
      </c>
      <c r="AA240">
        <v>3.6874599219999999</v>
      </c>
      <c r="AB240">
        <v>4.0810820080000001</v>
      </c>
      <c r="AC240">
        <v>4.4747936800000003</v>
      </c>
      <c r="AD240">
        <v>4.9210840889999998</v>
      </c>
      <c r="AE240">
        <v>5.3633998629999997</v>
      </c>
      <c r="AF240">
        <v>5.8024898379999996</v>
      </c>
      <c r="AG240">
        <v>5.7823979019999996</v>
      </c>
      <c r="AH240">
        <v>5.71757647</v>
      </c>
      <c r="AI240">
        <v>5.9632577769999999</v>
      </c>
      <c r="AJ240">
        <v>6.2013991910000001</v>
      </c>
      <c r="AK240">
        <v>6.4339575279999996</v>
      </c>
      <c r="AL240">
        <v>6.6816649369999999</v>
      </c>
      <c r="AM240">
        <v>6.9184866190000003</v>
      </c>
      <c r="AN240">
        <v>7.2021543149999996</v>
      </c>
      <c r="AO240">
        <v>7.4784087169999998</v>
      </c>
      <c r="AP240">
        <v>7.7478365699999996</v>
      </c>
      <c r="AQ240">
        <v>8.011712567</v>
      </c>
      <c r="AR240">
        <v>8.2664751750000001</v>
      </c>
      <c r="AS240">
        <v>8.4688633329999998</v>
      </c>
      <c r="AT240">
        <v>8.6723302229999994</v>
      </c>
      <c r="AU240">
        <v>8.8721665240000007</v>
      </c>
      <c r="AV240">
        <v>9.0667287870000006</v>
      </c>
      <c r="AW240">
        <v>9.2561883970000007</v>
      </c>
    </row>
    <row r="241" spans="2:49" x14ac:dyDescent="0.25">
      <c r="B241" t="s">
        <v>312</v>
      </c>
      <c r="C241">
        <v>4.4799793836545803</v>
      </c>
      <c r="D241">
        <v>4.5519069017495504</v>
      </c>
      <c r="E241">
        <v>4.6467055889999997</v>
      </c>
      <c r="F241">
        <v>4.6118260009999998</v>
      </c>
      <c r="G241">
        <v>4.5593978230000003</v>
      </c>
      <c r="H241">
        <v>4.1501928680000004</v>
      </c>
      <c r="I241">
        <v>4.1579268110000003</v>
      </c>
      <c r="J241">
        <v>4.0810482160000001</v>
      </c>
      <c r="K241">
        <v>3.9358305339999999</v>
      </c>
      <c r="L241">
        <v>3.7507687789999999</v>
      </c>
      <c r="M241">
        <v>3.5799114420000002</v>
      </c>
      <c r="N241">
        <v>3.3821242819999999</v>
      </c>
      <c r="O241">
        <v>3.602214381</v>
      </c>
      <c r="P241">
        <v>3.9536943369999999</v>
      </c>
      <c r="Q241">
        <v>4.382249163</v>
      </c>
      <c r="R241">
        <v>4.704963223</v>
      </c>
      <c r="S241">
        <v>5.032271004</v>
      </c>
      <c r="T241">
        <v>5.2413564050000003</v>
      </c>
      <c r="U241">
        <v>5.445905067</v>
      </c>
      <c r="V241">
        <v>5.5988410399999999</v>
      </c>
      <c r="W241">
        <v>5.7904701080000001</v>
      </c>
      <c r="X241">
        <v>5.8778071660000002</v>
      </c>
      <c r="Y241">
        <v>5.8398360949999999</v>
      </c>
      <c r="Z241">
        <v>5.7931661849999996</v>
      </c>
      <c r="AA241">
        <v>5.7449071869999999</v>
      </c>
      <c r="AB241">
        <v>5.7266249260000004</v>
      </c>
      <c r="AC241">
        <v>5.7160272440000002</v>
      </c>
      <c r="AD241">
        <v>5.7615472370000003</v>
      </c>
      <c r="AE241">
        <v>5.8055944650000004</v>
      </c>
      <c r="AF241">
        <v>5.8491457909999998</v>
      </c>
      <c r="AG241">
        <v>5.4562815899999997</v>
      </c>
      <c r="AH241">
        <v>5.0743257010000002</v>
      </c>
      <c r="AI241">
        <v>5.0028200160000003</v>
      </c>
      <c r="AJ241">
        <v>4.9289146649999998</v>
      </c>
      <c r="AK241">
        <v>4.8545270680000003</v>
      </c>
      <c r="AL241">
        <v>4.8096430750000003</v>
      </c>
      <c r="AM241">
        <v>4.758640787</v>
      </c>
      <c r="AN241">
        <v>4.7486144909999997</v>
      </c>
      <c r="AO241">
        <v>4.7363390350000003</v>
      </c>
      <c r="AP241">
        <v>4.7223911410000001</v>
      </c>
      <c r="AQ241">
        <v>4.7076653100000003</v>
      </c>
      <c r="AR241">
        <v>4.6901866710000002</v>
      </c>
      <c r="AS241">
        <v>4.6540490590000001</v>
      </c>
      <c r="AT241">
        <v>4.6198658620000002</v>
      </c>
      <c r="AU241">
        <v>4.5850416310000002</v>
      </c>
      <c r="AV241">
        <v>4.5488202360000001</v>
      </c>
      <c r="AW241">
        <v>4.5114170939999996</v>
      </c>
    </row>
    <row r="242" spans="2:49" x14ac:dyDescent="0.25">
      <c r="B242" t="s">
        <v>313</v>
      </c>
      <c r="C242">
        <v>1.4169855567767899</v>
      </c>
      <c r="D242">
        <v>1.4397357182278101</v>
      </c>
      <c r="E242">
        <v>1.469719867</v>
      </c>
      <c r="F242">
        <v>1.7347128549999999</v>
      </c>
      <c r="G242">
        <v>2.0395460490000001</v>
      </c>
      <c r="H242">
        <v>2.2078445900000001</v>
      </c>
      <c r="I242">
        <v>2.6305761599999999</v>
      </c>
      <c r="J242">
        <v>2.938429271</v>
      </c>
      <c r="K242">
        <v>3.219719913</v>
      </c>
      <c r="L242">
        <v>3.480694867</v>
      </c>
      <c r="M242">
        <v>3.763219527</v>
      </c>
      <c r="N242">
        <v>4.022004302</v>
      </c>
      <c r="O242">
        <v>3.6635476969999998</v>
      </c>
      <c r="P242">
        <v>3.4448921709999998</v>
      </c>
      <c r="Q242">
        <v>3.2716730749999998</v>
      </c>
      <c r="R242">
        <v>3.0053355329999998</v>
      </c>
      <c r="S242">
        <v>2.741509067</v>
      </c>
      <c r="T242">
        <v>2.8795663660000002</v>
      </c>
      <c r="U242">
        <v>3.0158389429999999</v>
      </c>
      <c r="V242">
        <v>3.1239996639999998</v>
      </c>
      <c r="W242">
        <v>3.4693315849999999</v>
      </c>
      <c r="X242">
        <v>3.6491839270000002</v>
      </c>
      <c r="Y242">
        <v>3.4632014849999999</v>
      </c>
      <c r="Z242">
        <v>3.2790341729999999</v>
      </c>
      <c r="AA242">
        <v>3.1010379559999999</v>
      </c>
      <c r="AB242">
        <v>2.9547098580000002</v>
      </c>
      <c r="AC242">
        <v>2.8166989490000001</v>
      </c>
      <c r="AD242">
        <v>2.8250379649999999</v>
      </c>
      <c r="AE242">
        <v>2.8235719850000001</v>
      </c>
      <c r="AF242">
        <v>2.8129156879999999</v>
      </c>
      <c r="AG242">
        <v>2.621160771</v>
      </c>
      <c r="AH242">
        <v>2.4294888339999998</v>
      </c>
      <c r="AI242">
        <v>2.4516411929999999</v>
      </c>
      <c r="AJ242">
        <v>2.46289867</v>
      </c>
      <c r="AK242">
        <v>2.464391402</v>
      </c>
      <c r="AL242">
        <v>2.4893558480000002</v>
      </c>
      <c r="AM242">
        <v>2.5044477270000001</v>
      </c>
      <c r="AN242">
        <v>2.4869806630000002</v>
      </c>
      <c r="AO242">
        <v>2.468151679</v>
      </c>
      <c r="AP242">
        <v>2.4482839190000001</v>
      </c>
      <c r="AQ242">
        <v>2.4278586720000002</v>
      </c>
      <c r="AR242">
        <v>2.405875795</v>
      </c>
      <c r="AS242">
        <v>2.3891949079999999</v>
      </c>
      <c r="AT242">
        <v>2.3731035930000002</v>
      </c>
      <c r="AU242">
        <v>2.356276963</v>
      </c>
      <c r="AV242">
        <v>2.3383331489999999</v>
      </c>
      <c r="AW242">
        <v>2.3193899280000001</v>
      </c>
    </row>
    <row r="243" spans="2:49" x14ac:dyDescent="0.25">
      <c r="B243" t="s">
        <v>314</v>
      </c>
      <c r="C243">
        <v>114.221490567207</v>
      </c>
      <c r="D243">
        <v>116.055353544252</v>
      </c>
      <c r="E243">
        <v>118.4723395</v>
      </c>
      <c r="F243">
        <v>124.2676574</v>
      </c>
      <c r="G243">
        <v>129.85043569999999</v>
      </c>
      <c r="H243">
        <v>124.9364336</v>
      </c>
      <c r="I243">
        <v>132.3163591</v>
      </c>
      <c r="J243">
        <v>134.91363240000001</v>
      </c>
      <c r="K243">
        <v>134.9891883</v>
      </c>
      <c r="L243">
        <v>133.29465089999999</v>
      </c>
      <c r="M243">
        <v>131.663599</v>
      </c>
      <c r="N243">
        <v>128.5801055</v>
      </c>
      <c r="O243">
        <v>121.1036515</v>
      </c>
      <c r="P243">
        <v>118.1252288</v>
      </c>
      <c r="Q243">
        <v>116.8125196</v>
      </c>
      <c r="R243">
        <v>112.2347765</v>
      </c>
      <c r="S243">
        <v>107.6756245</v>
      </c>
      <c r="T243">
        <v>105.9761366</v>
      </c>
      <c r="U243">
        <v>104.1886612</v>
      </c>
      <c r="V243">
        <v>101.4739191</v>
      </c>
      <c r="W243">
        <v>110.2545123</v>
      </c>
      <c r="X243">
        <v>117.2413961</v>
      </c>
      <c r="Y243">
        <v>115.34733799999999</v>
      </c>
      <c r="Z243">
        <v>113.3103655</v>
      </c>
      <c r="AA243">
        <v>111.272734</v>
      </c>
      <c r="AB243">
        <v>109.9261896</v>
      </c>
      <c r="AC243">
        <v>108.7420415</v>
      </c>
      <c r="AD243">
        <v>107.3961726</v>
      </c>
      <c r="AE243">
        <v>105.9904164</v>
      </c>
      <c r="AF243">
        <v>104.54412360000001</v>
      </c>
      <c r="AG243">
        <v>96.126271270000004</v>
      </c>
      <c r="AH243">
        <v>88.080872139999997</v>
      </c>
      <c r="AI243">
        <v>87.616947190000005</v>
      </c>
      <c r="AJ243">
        <v>87.094219100000004</v>
      </c>
      <c r="AK243">
        <v>86.545641669999995</v>
      </c>
      <c r="AL243">
        <v>86.418546599999999</v>
      </c>
      <c r="AM243">
        <v>86.171605970000002</v>
      </c>
      <c r="AN243">
        <v>82.438129070000002</v>
      </c>
      <c r="AO243">
        <v>78.754577310000002</v>
      </c>
      <c r="AP243">
        <v>75.133283199999994</v>
      </c>
      <c r="AQ243">
        <v>71.589627680000007</v>
      </c>
      <c r="AR243">
        <v>68.09476153</v>
      </c>
      <c r="AS243">
        <v>64.626244869999894</v>
      </c>
      <c r="AT243">
        <v>61.264661269999998</v>
      </c>
      <c r="AU243">
        <v>57.972840660000003</v>
      </c>
      <c r="AV243">
        <v>54.742164879999997</v>
      </c>
      <c r="AW243">
        <v>51.576912280000002</v>
      </c>
    </row>
    <row r="244" spans="2:49" x14ac:dyDescent="0.25">
      <c r="B244" t="s">
        <v>315</v>
      </c>
      <c r="C244">
        <v>1.2736350545564401</v>
      </c>
      <c r="D244">
        <v>1.2940836773262701</v>
      </c>
      <c r="E244">
        <v>1.321034456</v>
      </c>
      <c r="F244">
        <v>1.310898809</v>
      </c>
      <c r="G244">
        <v>1.2959165509999999</v>
      </c>
      <c r="H244">
        <v>1.179652739</v>
      </c>
      <c r="I244">
        <v>1.182004491</v>
      </c>
      <c r="J244">
        <v>1.115200585</v>
      </c>
      <c r="K244">
        <v>1.0326811629999999</v>
      </c>
      <c r="L244">
        <v>0.94394875359999997</v>
      </c>
      <c r="M244">
        <v>0.86334533400000002</v>
      </c>
      <c r="N244">
        <v>0.78091528880000005</v>
      </c>
      <c r="O244">
        <v>0.67479867549999994</v>
      </c>
      <c r="P244">
        <v>0.59486697690000001</v>
      </c>
      <c r="Q244">
        <v>0.52104596520000002</v>
      </c>
      <c r="R244">
        <v>0.43108283250000001</v>
      </c>
      <c r="S244">
        <v>0.34144338880000003</v>
      </c>
      <c r="T244">
        <v>0.44586965849999999</v>
      </c>
      <c r="U244">
        <v>0.5493950111</v>
      </c>
      <c r="V244">
        <v>0.64638445529999999</v>
      </c>
      <c r="W244">
        <v>0.3873749756</v>
      </c>
      <c r="X244">
        <v>0.1849061521</v>
      </c>
      <c r="Y244">
        <v>0.17137394240000001</v>
      </c>
      <c r="Z244">
        <v>0.13979880850000001</v>
      </c>
      <c r="AA244">
        <v>9.1179901699999996E-2</v>
      </c>
      <c r="AB244">
        <v>8.1636596300000003E-2</v>
      </c>
      <c r="AC244">
        <v>7.2232481900000006E-2</v>
      </c>
      <c r="AD244">
        <v>7.1862080100000003E-2</v>
      </c>
      <c r="AE244">
        <v>7.1459098200000001E-2</v>
      </c>
      <c r="AF244">
        <v>7.1036213500000001E-2</v>
      </c>
      <c r="AG244">
        <v>6.5812725500000002E-2</v>
      </c>
      <c r="AH244">
        <v>6.07757217E-2</v>
      </c>
      <c r="AI244">
        <v>4.9275647800000003E-2</v>
      </c>
      <c r="AJ244">
        <v>3.7786069800000002E-2</v>
      </c>
      <c r="AK244">
        <v>2.6339887499999999E-2</v>
      </c>
      <c r="AL244">
        <v>2.0069775599999999E-2</v>
      </c>
      <c r="AM244">
        <v>1.2690899199999999E-2</v>
      </c>
      <c r="AN244">
        <v>1.15630379E-2</v>
      </c>
      <c r="AO244">
        <v>1.04884108E-2</v>
      </c>
      <c r="AP244">
        <v>9.4683056400000007E-3</v>
      </c>
      <c r="AQ244" s="39">
        <v>8.5040074699999999E-3</v>
      </c>
      <c r="AR244" s="39">
        <v>7.5914064100000003E-3</v>
      </c>
      <c r="AS244" s="39">
        <v>7.5427116399999997E-3</v>
      </c>
      <c r="AT244" s="39">
        <v>7.4970994200000002E-3</v>
      </c>
      <c r="AU244" s="39">
        <v>7.4503637300000003E-3</v>
      </c>
      <c r="AV244" s="39">
        <v>7.4012691599999996E-3</v>
      </c>
      <c r="AW244" s="39">
        <v>7.3501565600000004E-3</v>
      </c>
    </row>
    <row r="245" spans="2:49" x14ac:dyDescent="0.25">
      <c r="B245" t="s">
        <v>316</v>
      </c>
      <c r="C245">
        <v>3.4574974609126801</v>
      </c>
      <c r="D245">
        <v>3.51300870100687</v>
      </c>
      <c r="E245">
        <v>3.5861711399999998</v>
      </c>
      <c r="F245">
        <v>3.7414561289999999</v>
      </c>
      <c r="G245">
        <v>3.8888292569999998</v>
      </c>
      <c r="H245">
        <v>3.7220589839999998</v>
      </c>
      <c r="I245">
        <v>3.9215109130000001</v>
      </c>
      <c r="J245">
        <v>4.074666723</v>
      </c>
      <c r="K245">
        <v>4.1609817659999999</v>
      </c>
      <c r="L245">
        <v>4.1991588059999998</v>
      </c>
      <c r="M245">
        <v>4.2442069020000002</v>
      </c>
      <c r="N245">
        <v>4.2457908739999999</v>
      </c>
      <c r="O245">
        <v>4.467603038</v>
      </c>
      <c r="P245">
        <v>4.8494957779999996</v>
      </c>
      <c r="Q245">
        <v>5.320367611</v>
      </c>
      <c r="R245">
        <v>5.6577920879999999</v>
      </c>
      <c r="S245">
        <v>5.997142288</v>
      </c>
      <c r="T245">
        <v>5.7174815069999996</v>
      </c>
      <c r="U245">
        <v>5.4320456070000001</v>
      </c>
      <c r="V245">
        <v>5.0991621279999997</v>
      </c>
      <c r="W245">
        <v>5.8217581379999999</v>
      </c>
      <c r="X245">
        <v>6.4488842210000001</v>
      </c>
      <c r="Y245">
        <v>6.187985802</v>
      </c>
      <c r="Z245">
        <v>5.9243361319999996</v>
      </c>
      <c r="AA245">
        <v>5.6657828659999998</v>
      </c>
      <c r="AB245">
        <v>5.4513979529999999</v>
      </c>
      <c r="AC245">
        <v>5.247918511</v>
      </c>
      <c r="AD245">
        <v>4.9671452589999996</v>
      </c>
      <c r="AE245">
        <v>4.6852318349999997</v>
      </c>
      <c r="AF245">
        <v>4.4031165960000003</v>
      </c>
      <c r="AG245">
        <v>3.8381523500000001</v>
      </c>
      <c r="AH245">
        <v>3.3230886129999999</v>
      </c>
      <c r="AI245">
        <v>2.7114228690000002</v>
      </c>
      <c r="AJ245">
        <v>2.1031862280000002</v>
      </c>
      <c r="AK245">
        <v>1.5000805779999999</v>
      </c>
      <c r="AL245">
        <v>0.93321930870000003</v>
      </c>
      <c r="AM245">
        <v>0.37066519599999997</v>
      </c>
      <c r="AN245">
        <v>0.39047205899999998</v>
      </c>
      <c r="AO245">
        <v>0.40927176240000002</v>
      </c>
      <c r="AP245">
        <v>0.42710650820000001</v>
      </c>
      <c r="AQ245">
        <v>0.44405905150000002</v>
      </c>
      <c r="AR245">
        <v>0.45994520459999999</v>
      </c>
      <c r="AS245">
        <v>0.4733792013</v>
      </c>
      <c r="AT245">
        <v>0.48666488429999999</v>
      </c>
      <c r="AU245">
        <v>0.4995426617</v>
      </c>
      <c r="AV245">
        <v>0.51192244549999999</v>
      </c>
      <c r="AW245">
        <v>0.52381623310000003</v>
      </c>
    </row>
    <row r="246" spans="2:49" x14ac:dyDescent="0.25">
      <c r="B246" t="s">
        <v>317</v>
      </c>
      <c r="C246">
        <v>5.0750954082325404</v>
      </c>
      <c r="D246">
        <v>5.1565777065978304</v>
      </c>
      <c r="E246">
        <v>5.2639693569999997</v>
      </c>
      <c r="F246">
        <v>5.0767732670000001</v>
      </c>
      <c r="G246">
        <v>4.8776993439999998</v>
      </c>
      <c r="H246">
        <v>4.315305661</v>
      </c>
      <c r="I246">
        <v>4.2023856100000003</v>
      </c>
      <c r="J246">
        <v>4.1156528840000002</v>
      </c>
      <c r="K246">
        <v>3.9614828430000002</v>
      </c>
      <c r="L246">
        <v>3.7683330640000001</v>
      </c>
      <c r="M246">
        <v>3.5902008510000001</v>
      </c>
      <c r="N246">
        <v>3.3855395970000002</v>
      </c>
      <c r="O246">
        <v>2.8192110110000002</v>
      </c>
      <c r="P246">
        <v>2.3651769580000002</v>
      </c>
      <c r="Q246">
        <v>1.93144692</v>
      </c>
      <c r="R246">
        <v>1.4349571169999999</v>
      </c>
      <c r="S246">
        <v>0.94103403129999996</v>
      </c>
      <c r="T246">
        <v>0.89728604190000005</v>
      </c>
      <c r="U246">
        <v>0.85255925720000003</v>
      </c>
      <c r="V246">
        <v>0.80031339369999999</v>
      </c>
      <c r="W246">
        <v>0.331240062</v>
      </c>
      <c r="X246">
        <v>6.1961922099999997E-2</v>
      </c>
      <c r="Y246">
        <v>4.7596083499999997E-2</v>
      </c>
      <c r="Z246">
        <v>3.3525392899999999E-2</v>
      </c>
      <c r="AA246">
        <v>1.9829753700000001E-2</v>
      </c>
      <c r="AB246">
        <v>1.96691965E-2</v>
      </c>
      <c r="AC246">
        <v>1.95363827E-2</v>
      </c>
      <c r="AD246">
        <v>1.6205323399999999E-2</v>
      </c>
      <c r="AE246">
        <v>1.2902033300000001E-2</v>
      </c>
      <c r="AF246">
        <v>9.6298584300000007E-3</v>
      </c>
      <c r="AG246">
        <v>8.9216750400000003E-3</v>
      </c>
      <c r="AH246">
        <v>8.2406908200000004E-3</v>
      </c>
      <c r="AI246">
        <v>8.1717696399999998E-3</v>
      </c>
      <c r="AJ246">
        <v>8.0983037799999998E-3</v>
      </c>
      <c r="AK246">
        <v>8.0233761999999997E-3</v>
      </c>
      <c r="AL246">
        <v>7.9860718800000008E-3</v>
      </c>
      <c r="AM246">
        <v>7.9383667199999994E-3</v>
      </c>
      <c r="AN246">
        <v>7.8734743400000005E-3</v>
      </c>
      <c r="AO246">
        <v>7.8056027199999998E-3</v>
      </c>
      <c r="AP246">
        <v>7.7357517900000002E-3</v>
      </c>
      <c r="AQ246">
        <v>7.6654151099999996E-3</v>
      </c>
      <c r="AR246">
        <v>7.5914064100000003E-3</v>
      </c>
      <c r="AS246">
        <v>7.5427116399999997E-3</v>
      </c>
      <c r="AT246">
        <v>7.4970994200000002E-3</v>
      </c>
      <c r="AU246">
        <v>7.4503637300000003E-3</v>
      </c>
      <c r="AV246">
        <v>7.4012691599999996E-3</v>
      </c>
      <c r="AW246">
        <v>7.3501565600000004E-3</v>
      </c>
    </row>
    <row r="247" spans="2:49" x14ac:dyDescent="0.25">
      <c r="B247" t="s">
        <v>318</v>
      </c>
      <c r="C247">
        <v>0.35516190417563898</v>
      </c>
      <c r="D247">
        <v>0.36086414342755202</v>
      </c>
      <c r="E247">
        <v>0.36837955350000001</v>
      </c>
      <c r="F247">
        <v>0.78390223839999995</v>
      </c>
      <c r="G247">
        <v>1.183365988</v>
      </c>
      <c r="H247">
        <v>1.440150348</v>
      </c>
      <c r="I247">
        <v>1.792132947</v>
      </c>
      <c r="J247">
        <v>2.122776665</v>
      </c>
      <c r="K247">
        <v>2.375171028</v>
      </c>
      <c r="L247">
        <v>2.5377177510000002</v>
      </c>
      <c r="M247">
        <v>2.6261939829999998</v>
      </c>
      <c r="N247">
        <v>2.5924139620000002</v>
      </c>
      <c r="O247">
        <v>2.757431645</v>
      </c>
      <c r="P247">
        <v>3.0224630160000001</v>
      </c>
      <c r="Q247">
        <v>3.3456457730000002</v>
      </c>
      <c r="R247">
        <v>3.587289084</v>
      </c>
      <c r="S247">
        <v>3.8318073789999998</v>
      </c>
      <c r="T247">
        <v>4.0073647350000003</v>
      </c>
      <c r="U247">
        <v>4.1792278859999996</v>
      </c>
      <c r="V247">
        <v>4.311113068</v>
      </c>
      <c r="W247">
        <v>4.7310041079999996</v>
      </c>
      <c r="X247">
        <v>5.068057971</v>
      </c>
      <c r="Y247">
        <v>5.3594964669999996</v>
      </c>
      <c r="Z247">
        <v>5.6348875219999996</v>
      </c>
      <c r="AA247">
        <v>5.9002279770000001</v>
      </c>
      <c r="AB247">
        <v>6.1825737309999997</v>
      </c>
      <c r="AC247">
        <v>6.469218916</v>
      </c>
      <c r="AD247">
        <v>7.2545637640000002</v>
      </c>
      <c r="AE247">
        <v>8.0332044719999995</v>
      </c>
      <c r="AF247">
        <v>8.8062181380000002</v>
      </c>
      <c r="AG247">
        <v>8.8752832030000004</v>
      </c>
      <c r="AH247">
        <v>8.861503914</v>
      </c>
      <c r="AI247">
        <v>9.4606227020000002</v>
      </c>
      <c r="AJ247">
        <v>10.04481311</v>
      </c>
      <c r="AK247">
        <v>10.61697182</v>
      </c>
      <c r="AL247">
        <v>11.200573990000001</v>
      </c>
      <c r="AM247">
        <v>11.764626890000001</v>
      </c>
      <c r="AN247">
        <v>12.401815109999999</v>
      </c>
      <c r="AO247">
        <v>13.0242214</v>
      </c>
      <c r="AP247">
        <v>13.632713470000001</v>
      </c>
      <c r="AQ247">
        <v>14.22944618</v>
      </c>
      <c r="AR247">
        <v>14.80800573</v>
      </c>
      <c r="AS247">
        <v>15.41909441</v>
      </c>
      <c r="AT247">
        <v>16.029944220000001</v>
      </c>
      <c r="AU247">
        <v>16.631992530000002</v>
      </c>
      <c r="AV247">
        <v>17.222004299999998</v>
      </c>
      <c r="AW247">
        <v>17.800091120000001</v>
      </c>
    </row>
    <row r="248" spans="2:49" x14ac:dyDescent="0.25">
      <c r="B248" t="s">
        <v>319</v>
      </c>
      <c r="C248">
        <v>7.99114284395189E-2</v>
      </c>
      <c r="D248">
        <v>8.1194432271199296E-2</v>
      </c>
      <c r="E248">
        <v>8.2885399499999998E-2</v>
      </c>
      <c r="F248">
        <v>0.1130300405</v>
      </c>
      <c r="G248">
        <v>0.1535227763</v>
      </c>
      <c r="H248">
        <v>0.191969995</v>
      </c>
      <c r="I248">
        <v>0.26417770959999998</v>
      </c>
      <c r="J248">
        <v>0.36342383760000002</v>
      </c>
      <c r="K248">
        <v>0.49030967660000002</v>
      </c>
      <c r="L248">
        <v>0.65253419550000002</v>
      </c>
      <c r="M248">
        <v>0.86844137089999995</v>
      </c>
      <c r="N248">
        <v>1.1424901270000001</v>
      </c>
      <c r="O248">
        <v>1.2152142669999999</v>
      </c>
      <c r="P248">
        <v>1.3320149509999999</v>
      </c>
      <c r="Q248">
        <v>1.4744432489999999</v>
      </c>
      <c r="R248">
        <v>1.580936696</v>
      </c>
      <c r="S248">
        <v>1.688697162</v>
      </c>
      <c r="T248">
        <v>1.7417935440000001</v>
      </c>
      <c r="U248">
        <v>1.793325005</v>
      </c>
      <c r="V248">
        <v>1.8279607870000001</v>
      </c>
      <c r="W248">
        <v>2.166043417</v>
      </c>
      <c r="X248">
        <v>2.467841591</v>
      </c>
      <c r="Y248">
        <v>2.8885904</v>
      </c>
      <c r="Z248">
        <v>3.29419504</v>
      </c>
      <c r="AA248">
        <v>3.6874599219999999</v>
      </c>
      <c r="AB248">
        <v>4.0810820080000001</v>
      </c>
      <c r="AC248">
        <v>4.4747936800000003</v>
      </c>
      <c r="AD248">
        <v>4.9210840889999998</v>
      </c>
      <c r="AE248">
        <v>5.3633998629999997</v>
      </c>
      <c r="AF248">
        <v>5.8024898379999996</v>
      </c>
      <c r="AG248">
        <v>5.7823979019999996</v>
      </c>
      <c r="AH248">
        <v>5.71757647</v>
      </c>
      <c r="AI248">
        <v>5.9632577769999999</v>
      </c>
      <c r="AJ248">
        <v>6.2013991910000001</v>
      </c>
      <c r="AK248">
        <v>6.4339575279999996</v>
      </c>
      <c r="AL248">
        <v>6.6816649369999999</v>
      </c>
      <c r="AM248">
        <v>6.9184866190000003</v>
      </c>
      <c r="AN248">
        <v>7.2021543149999996</v>
      </c>
      <c r="AO248">
        <v>7.4784087169999998</v>
      </c>
      <c r="AP248">
        <v>7.7478365699999996</v>
      </c>
      <c r="AQ248">
        <v>8.011712567</v>
      </c>
      <c r="AR248">
        <v>8.2664751750000001</v>
      </c>
      <c r="AS248">
        <v>8.4688633329999998</v>
      </c>
      <c r="AT248">
        <v>8.6723302229999994</v>
      </c>
      <c r="AU248">
        <v>8.8721665240000007</v>
      </c>
      <c r="AV248">
        <v>9.0667287870000006</v>
      </c>
      <c r="AW248">
        <v>9.2561883970000007</v>
      </c>
    </row>
    <row r="249" spans="2:49" x14ac:dyDescent="0.25">
      <c r="B249" t="s">
        <v>320</v>
      </c>
      <c r="C249">
        <v>4.4799793836545803</v>
      </c>
      <c r="D249">
        <v>4.5519069017495504</v>
      </c>
      <c r="E249">
        <v>4.6467055889999997</v>
      </c>
      <c r="F249">
        <v>4.6118260009999998</v>
      </c>
      <c r="G249">
        <v>4.5593978230000003</v>
      </c>
      <c r="H249">
        <v>4.1501928680000004</v>
      </c>
      <c r="I249">
        <v>4.1579268110000003</v>
      </c>
      <c r="J249">
        <v>4.0810482160000001</v>
      </c>
      <c r="K249">
        <v>3.9358305339999999</v>
      </c>
      <c r="L249">
        <v>3.7507687789999999</v>
      </c>
      <c r="M249">
        <v>3.5799114420000002</v>
      </c>
      <c r="N249">
        <v>3.3821242819999999</v>
      </c>
      <c r="O249">
        <v>3.602214381</v>
      </c>
      <c r="P249">
        <v>3.9536943369999999</v>
      </c>
      <c r="Q249">
        <v>4.382249163</v>
      </c>
      <c r="R249">
        <v>4.704963223</v>
      </c>
      <c r="S249">
        <v>5.032271004</v>
      </c>
      <c r="T249">
        <v>5.2413564050000003</v>
      </c>
      <c r="U249">
        <v>5.445905067</v>
      </c>
      <c r="V249">
        <v>5.5988410399999999</v>
      </c>
      <c r="W249">
        <v>5.7904701080000001</v>
      </c>
      <c r="X249">
        <v>5.8778071660000002</v>
      </c>
      <c r="Y249">
        <v>5.8398360949999999</v>
      </c>
      <c r="Z249">
        <v>5.7931661849999996</v>
      </c>
      <c r="AA249">
        <v>5.7449071869999999</v>
      </c>
      <c r="AB249">
        <v>5.7266249260000004</v>
      </c>
      <c r="AC249">
        <v>5.7160272440000002</v>
      </c>
      <c r="AD249">
        <v>5.7615472370000003</v>
      </c>
      <c r="AE249">
        <v>5.8055944650000004</v>
      </c>
      <c r="AF249">
        <v>5.8491457909999998</v>
      </c>
      <c r="AG249">
        <v>5.4562815899999997</v>
      </c>
      <c r="AH249">
        <v>5.0743257010000002</v>
      </c>
      <c r="AI249">
        <v>5.0028200160000003</v>
      </c>
      <c r="AJ249">
        <v>4.9289146649999998</v>
      </c>
      <c r="AK249">
        <v>4.8545270680000003</v>
      </c>
      <c r="AL249">
        <v>4.8096430750000003</v>
      </c>
      <c r="AM249">
        <v>4.758640787</v>
      </c>
      <c r="AN249">
        <v>4.7486144909999997</v>
      </c>
      <c r="AO249">
        <v>4.7363390350000003</v>
      </c>
      <c r="AP249">
        <v>4.7223911410000001</v>
      </c>
      <c r="AQ249">
        <v>4.7076653100000003</v>
      </c>
      <c r="AR249">
        <v>4.6901866710000002</v>
      </c>
      <c r="AS249">
        <v>4.6540490590000001</v>
      </c>
      <c r="AT249">
        <v>4.6198658620000002</v>
      </c>
      <c r="AU249">
        <v>4.5850416310000002</v>
      </c>
      <c r="AV249">
        <v>4.5488202360000001</v>
      </c>
      <c r="AW249">
        <v>4.5114170939999996</v>
      </c>
    </row>
    <row r="250" spans="2:49" x14ac:dyDescent="0.25">
      <c r="B250" t="s">
        <v>321</v>
      </c>
      <c r="C250">
        <v>1.4169855567767899</v>
      </c>
      <c r="D250">
        <v>1.4397357182278101</v>
      </c>
      <c r="E250">
        <v>1.469719867</v>
      </c>
      <c r="F250">
        <v>1.7347128549999999</v>
      </c>
      <c r="G250">
        <v>2.0395460490000001</v>
      </c>
      <c r="H250">
        <v>2.2078445900000001</v>
      </c>
      <c r="I250">
        <v>2.6305761599999999</v>
      </c>
      <c r="J250">
        <v>2.938429271</v>
      </c>
      <c r="K250">
        <v>3.219719913</v>
      </c>
      <c r="L250">
        <v>3.480694867</v>
      </c>
      <c r="M250">
        <v>3.763219527</v>
      </c>
      <c r="N250">
        <v>4.022004302</v>
      </c>
      <c r="O250">
        <v>3.6635476969999998</v>
      </c>
      <c r="P250">
        <v>3.4448921709999998</v>
      </c>
      <c r="Q250">
        <v>3.2716730749999998</v>
      </c>
      <c r="R250">
        <v>3.0053355329999998</v>
      </c>
      <c r="S250">
        <v>2.741509067</v>
      </c>
      <c r="T250">
        <v>2.8795663660000002</v>
      </c>
      <c r="U250">
        <v>3.0158389429999999</v>
      </c>
      <c r="V250">
        <v>3.1239996639999998</v>
      </c>
      <c r="W250">
        <v>3.4693315849999999</v>
      </c>
      <c r="X250">
        <v>3.6491839270000002</v>
      </c>
      <c r="Y250">
        <v>3.4632014849999999</v>
      </c>
      <c r="Z250">
        <v>3.2790341729999999</v>
      </c>
      <c r="AA250">
        <v>3.1010379559999999</v>
      </c>
      <c r="AB250">
        <v>2.9547098580000002</v>
      </c>
      <c r="AC250">
        <v>2.8166989490000001</v>
      </c>
      <c r="AD250">
        <v>2.8250379649999999</v>
      </c>
      <c r="AE250">
        <v>2.8235719850000001</v>
      </c>
      <c r="AF250">
        <v>2.8129156879999999</v>
      </c>
      <c r="AG250">
        <v>2.621160771</v>
      </c>
      <c r="AH250">
        <v>2.4294888339999998</v>
      </c>
      <c r="AI250">
        <v>2.4516411929999999</v>
      </c>
      <c r="AJ250">
        <v>2.46289867</v>
      </c>
      <c r="AK250">
        <v>2.464391402</v>
      </c>
      <c r="AL250">
        <v>2.4893558480000002</v>
      </c>
      <c r="AM250">
        <v>2.5044477270000001</v>
      </c>
      <c r="AN250">
        <v>2.4869806630000002</v>
      </c>
      <c r="AO250">
        <v>2.468151679</v>
      </c>
      <c r="AP250">
        <v>2.4482839190000001</v>
      </c>
      <c r="AQ250">
        <v>2.4278586720000002</v>
      </c>
      <c r="AR250">
        <v>2.405875795</v>
      </c>
      <c r="AS250">
        <v>2.3891949079999999</v>
      </c>
      <c r="AT250">
        <v>2.3731035930000002</v>
      </c>
      <c r="AU250">
        <v>2.356276963</v>
      </c>
      <c r="AV250">
        <v>2.3383331489999999</v>
      </c>
      <c r="AW250">
        <v>2.3193899280000001</v>
      </c>
    </row>
    <row r="251" spans="2:49" x14ac:dyDescent="0.25">
      <c r="B251" t="s">
        <v>322</v>
      </c>
      <c r="C251">
        <v>34.067295461021303</v>
      </c>
      <c r="D251">
        <v>34.614256909026899</v>
      </c>
      <c r="E251">
        <v>35.35928097</v>
      </c>
      <c r="F251">
        <v>35.402808210000003</v>
      </c>
      <c r="G251">
        <v>34.24424089</v>
      </c>
      <c r="H251">
        <v>32.601641149999999</v>
      </c>
      <c r="I251">
        <v>33.113139199999999</v>
      </c>
      <c r="J251">
        <v>32.864923529999999</v>
      </c>
      <c r="K251">
        <v>31.446384080000001</v>
      </c>
      <c r="L251">
        <v>30.69066158</v>
      </c>
      <c r="M251">
        <v>30.70485983</v>
      </c>
      <c r="N251">
        <v>31.2848194</v>
      </c>
      <c r="O251">
        <v>32.02901009</v>
      </c>
      <c r="P251">
        <v>32.050555690000003</v>
      </c>
      <c r="Q251">
        <v>30.583535479999998</v>
      </c>
      <c r="R251">
        <v>29.59551647</v>
      </c>
      <c r="S251">
        <v>28.95175287</v>
      </c>
      <c r="T251">
        <v>27.66419024</v>
      </c>
      <c r="U251">
        <v>26.37740217</v>
      </c>
      <c r="V251">
        <v>25.277296360000001</v>
      </c>
      <c r="W251">
        <v>24.804494300000002</v>
      </c>
      <c r="X251">
        <v>23.938998680000001</v>
      </c>
      <c r="Y251">
        <v>22.61996555</v>
      </c>
      <c r="Z251">
        <v>21.43716594</v>
      </c>
      <c r="AA251">
        <v>20.269900530000001</v>
      </c>
      <c r="AB251">
        <v>18.875695010000001</v>
      </c>
      <c r="AC251">
        <v>17.527681399999999</v>
      </c>
      <c r="AD251">
        <v>15.6526915</v>
      </c>
      <c r="AE251">
        <v>13.85468047</v>
      </c>
      <c r="AF251">
        <v>12.131802589999999</v>
      </c>
      <c r="AG251">
        <v>11.13675168</v>
      </c>
      <c r="AH251">
        <v>10.179972019999999</v>
      </c>
      <c r="AI251">
        <v>9.2489579380000002</v>
      </c>
      <c r="AJ251">
        <v>8.3587675770000001</v>
      </c>
      <c r="AK251">
        <v>7.4963990620000001</v>
      </c>
      <c r="AL251">
        <v>8.6002798570000003</v>
      </c>
      <c r="AM251">
        <v>9.6136016860000009</v>
      </c>
      <c r="AN251">
        <v>8.2948940619999902</v>
      </c>
      <c r="AO251">
        <v>6.9954021449999999</v>
      </c>
      <c r="AP251">
        <v>5.7164424240000002</v>
      </c>
      <c r="AQ251">
        <v>4.4562066769999999</v>
      </c>
      <c r="AR251">
        <v>3.2055468619999998</v>
      </c>
      <c r="AS251">
        <v>3.6836254629999998</v>
      </c>
      <c r="AT251">
        <v>4.1315818179999999</v>
      </c>
      <c r="AU251">
        <v>4.5509600890000002</v>
      </c>
      <c r="AV251">
        <v>4.9421466919999997</v>
      </c>
      <c r="AW251">
        <v>5.3138295549999999</v>
      </c>
    </row>
    <row r="252" spans="2:49" x14ac:dyDescent="0.25">
      <c r="B252" t="s">
        <v>323</v>
      </c>
      <c r="C252">
        <v>1.54983431156195</v>
      </c>
      <c r="D252">
        <v>1.57471740274219</v>
      </c>
      <c r="E252">
        <v>1.608611019</v>
      </c>
      <c r="F252">
        <v>2.6455200080000001</v>
      </c>
      <c r="G252">
        <v>3.5548443289999998</v>
      </c>
      <c r="H252">
        <v>4.316672069</v>
      </c>
      <c r="I252">
        <v>5.3004875499999997</v>
      </c>
      <c r="J252">
        <v>6.1110816320000003</v>
      </c>
      <c r="K252">
        <v>6.585056593</v>
      </c>
      <c r="L252">
        <v>7.0403932869999997</v>
      </c>
      <c r="M252">
        <v>7.5082597849999999</v>
      </c>
      <c r="N252">
        <v>7.913858877</v>
      </c>
      <c r="O252">
        <v>8.2509017199999999</v>
      </c>
      <c r="P252">
        <v>8.4069415410000001</v>
      </c>
      <c r="Q252">
        <v>8.1672845120000002</v>
      </c>
      <c r="R252">
        <v>8.0454068119999995</v>
      </c>
      <c r="S252">
        <v>8.0107860520000003</v>
      </c>
      <c r="T252">
        <v>8.194134343</v>
      </c>
      <c r="U252">
        <v>8.3869122090000001</v>
      </c>
      <c r="V252">
        <v>8.9504428859999994</v>
      </c>
      <c r="W252">
        <v>8.5064116080000005</v>
      </c>
      <c r="X252">
        <v>8.317653859</v>
      </c>
      <c r="Y252">
        <v>8.2342934400000001</v>
      </c>
      <c r="Z252">
        <v>8.1854243990000004</v>
      </c>
      <c r="AA252">
        <v>8.1329748380000009</v>
      </c>
      <c r="AB252">
        <v>7.9868415659999998</v>
      </c>
      <c r="AC252">
        <v>7.8434935729999999</v>
      </c>
      <c r="AD252">
        <v>8.3399305469999998</v>
      </c>
      <c r="AE252">
        <v>8.8248267679999994</v>
      </c>
      <c r="AF252">
        <v>9.3027860570000005</v>
      </c>
      <c r="AG252">
        <v>9.3241688729999996</v>
      </c>
      <c r="AH252">
        <v>9.3475523260000006</v>
      </c>
      <c r="AI252">
        <v>9.4123707190000001</v>
      </c>
      <c r="AJ252">
        <v>9.4856999119999994</v>
      </c>
      <c r="AK252">
        <v>9.5606765950000003</v>
      </c>
      <c r="AL252">
        <v>8.2337822260000006</v>
      </c>
      <c r="AM252">
        <v>6.9875657469999997</v>
      </c>
      <c r="AN252">
        <v>7.6056622300000001</v>
      </c>
      <c r="AO252">
        <v>8.2145418439999904</v>
      </c>
      <c r="AP252">
        <v>8.818717457</v>
      </c>
      <c r="AQ252">
        <v>9.4241496310000006</v>
      </c>
      <c r="AR252">
        <v>10.03111539</v>
      </c>
      <c r="AS252">
        <v>9.3177598540000002</v>
      </c>
      <c r="AT252">
        <v>8.6347130429999996</v>
      </c>
      <c r="AU252">
        <v>7.9810146399999997</v>
      </c>
      <c r="AV252">
        <v>7.354933323</v>
      </c>
      <c r="AW252">
        <v>6.7566959359999998</v>
      </c>
    </row>
    <row r="253" spans="2:49" x14ac:dyDescent="0.25">
      <c r="B253" t="s">
        <v>324</v>
      </c>
      <c r="C253">
        <v>0.19372928894524399</v>
      </c>
      <c r="D253">
        <v>0.196839675342774</v>
      </c>
      <c r="E253">
        <v>0.20107637740000001</v>
      </c>
      <c r="F253">
        <v>0.19520890190000001</v>
      </c>
      <c r="G253">
        <v>0.18308540619999999</v>
      </c>
      <c r="H253">
        <v>0.1690090366</v>
      </c>
      <c r="I253">
        <v>0.16644666450000001</v>
      </c>
      <c r="J253">
        <v>0.1599581394</v>
      </c>
      <c r="K253">
        <v>0.14818843879999999</v>
      </c>
      <c r="L253">
        <v>0.14001975420000001</v>
      </c>
      <c r="M253">
        <v>0.1356118949</v>
      </c>
      <c r="N253">
        <v>0.13375148210000001</v>
      </c>
      <c r="O253">
        <v>0.2070252148</v>
      </c>
      <c r="P253">
        <v>0.2781171039</v>
      </c>
      <c r="Q253">
        <v>0.33387848790000002</v>
      </c>
      <c r="R253">
        <v>0.39014215829999999</v>
      </c>
      <c r="S253">
        <v>0.44801143830000001</v>
      </c>
      <c r="T253">
        <v>0.6952335181</v>
      </c>
      <c r="U253">
        <v>0.94724941159999998</v>
      </c>
      <c r="V253">
        <v>1.2378676179999999</v>
      </c>
      <c r="W253">
        <v>1.3226306350000001</v>
      </c>
      <c r="X253">
        <v>1.4089508630000001</v>
      </c>
      <c r="Y253">
        <v>1.8157551569999999</v>
      </c>
      <c r="Z253">
        <v>2.2137814680000001</v>
      </c>
      <c r="AA253">
        <v>2.5954569200000002</v>
      </c>
      <c r="AB253">
        <v>2.8602228360000002</v>
      </c>
      <c r="AC253">
        <v>3.1006403699999998</v>
      </c>
      <c r="AD253">
        <v>3.6516426690000001</v>
      </c>
      <c r="AE253">
        <v>4.1845789160000004</v>
      </c>
      <c r="AF253">
        <v>4.7037479769999999</v>
      </c>
      <c r="AG253">
        <v>5.0833765389999996</v>
      </c>
      <c r="AH253">
        <v>5.4486137799999996</v>
      </c>
      <c r="AI253">
        <v>5.9197234249999999</v>
      </c>
      <c r="AJ253">
        <v>6.3851629799999996</v>
      </c>
      <c r="AK253">
        <v>6.8406664629999998</v>
      </c>
      <c r="AL253">
        <v>6.939482194</v>
      </c>
      <c r="AM253">
        <v>7.0260872479999996</v>
      </c>
      <c r="AN253">
        <v>7.3938480459999996</v>
      </c>
      <c r="AO253">
        <v>7.7591969909999996</v>
      </c>
      <c r="AP253">
        <v>8.1281550249999999</v>
      </c>
      <c r="AQ253">
        <v>8.5081012919999903</v>
      </c>
      <c r="AR253">
        <v>8.8973083979999998</v>
      </c>
      <c r="AS253">
        <v>9.0634805580000002</v>
      </c>
      <c r="AT253">
        <v>9.2183861339999904</v>
      </c>
      <c r="AU253">
        <v>9.3629520779999904</v>
      </c>
      <c r="AV253">
        <v>9.4959097329999995</v>
      </c>
      <c r="AW253">
        <v>9.6216748360000004</v>
      </c>
    </row>
    <row r="254" spans="2:49" x14ac:dyDescent="0.25">
      <c r="B254" t="s">
        <v>325</v>
      </c>
      <c r="C254">
        <v>0.71679836909740502</v>
      </c>
      <c r="D254">
        <v>0.72830679876826598</v>
      </c>
      <c r="E254">
        <v>0.74398259649999998</v>
      </c>
      <c r="F254">
        <v>0.73699246100000004</v>
      </c>
      <c r="G254">
        <v>0.70530807790000005</v>
      </c>
      <c r="H254">
        <v>0.66434972380000001</v>
      </c>
      <c r="I254">
        <v>0.66761122819999996</v>
      </c>
      <c r="J254">
        <v>0.66886204829999996</v>
      </c>
      <c r="K254">
        <v>0.64715539310000003</v>
      </c>
      <c r="L254">
        <v>0.63984585670000005</v>
      </c>
      <c r="M254">
        <v>0.64975268610000003</v>
      </c>
      <c r="N254">
        <v>0.67333163539999996</v>
      </c>
      <c r="O254">
        <v>0.97810619210000005</v>
      </c>
      <c r="P254">
        <v>1.2459986590000001</v>
      </c>
      <c r="Q254">
        <v>1.4228698319999999</v>
      </c>
      <c r="R254">
        <v>1.5824614509999999</v>
      </c>
      <c r="S254">
        <v>1.7284212919999999</v>
      </c>
      <c r="T254">
        <v>1.779038897</v>
      </c>
      <c r="U254">
        <v>1.830999888</v>
      </c>
      <c r="V254">
        <v>1.9241877329999999</v>
      </c>
      <c r="W254">
        <v>1.6195121050000001</v>
      </c>
      <c r="X254">
        <v>1.3794838300000001</v>
      </c>
      <c r="Y254">
        <v>1.397815075</v>
      </c>
      <c r="Z254">
        <v>1.420602876</v>
      </c>
      <c r="AA254">
        <v>1.4411241960000001</v>
      </c>
      <c r="AB254">
        <v>1.427631879</v>
      </c>
      <c r="AC254">
        <v>1.4124429140000001</v>
      </c>
      <c r="AD254">
        <v>1.446005255</v>
      </c>
      <c r="AE254">
        <v>1.478681439</v>
      </c>
      <c r="AF254">
        <v>1.5111993029999999</v>
      </c>
      <c r="AG254">
        <v>1.4921421939999999</v>
      </c>
      <c r="AH254">
        <v>1.4740406960000001</v>
      </c>
      <c r="AI254">
        <v>1.476506205</v>
      </c>
      <c r="AJ254">
        <v>1.4806459169999999</v>
      </c>
      <c r="AK254">
        <v>1.4851616249999999</v>
      </c>
      <c r="AL254">
        <v>1.337173041</v>
      </c>
      <c r="AM254">
        <v>1.1954664779999999</v>
      </c>
      <c r="AN254">
        <v>1.246898772</v>
      </c>
      <c r="AO254">
        <v>1.2968982550000001</v>
      </c>
      <c r="AP254">
        <v>1.3462820339999999</v>
      </c>
      <c r="AQ254">
        <v>1.396018153</v>
      </c>
      <c r="AR254">
        <v>1.44586883</v>
      </c>
      <c r="AS254">
        <v>1.36103273</v>
      </c>
      <c r="AT254">
        <v>1.2792254139999999</v>
      </c>
      <c r="AU254">
        <v>1.200396445</v>
      </c>
      <c r="AV254">
        <v>1.124300439</v>
      </c>
      <c r="AW254">
        <v>1.051178951</v>
      </c>
    </row>
    <row r="255" spans="2:49" x14ac:dyDescent="0.25">
      <c r="B255" t="s">
        <v>326</v>
      </c>
      <c r="C255">
        <v>0.19372928894524399</v>
      </c>
      <c r="D255">
        <v>0.196839675342774</v>
      </c>
      <c r="E255">
        <v>0.20107637740000001</v>
      </c>
      <c r="F255">
        <v>0.20706507900000001</v>
      </c>
      <c r="G255">
        <v>0.2060004724</v>
      </c>
      <c r="H255">
        <v>0.20171196420000001</v>
      </c>
      <c r="I255">
        <v>0.21071918270000001</v>
      </c>
      <c r="J255">
        <v>0.214804099</v>
      </c>
      <c r="K255">
        <v>0.21108520140000001</v>
      </c>
      <c r="L255">
        <v>0.2115631476</v>
      </c>
      <c r="M255">
        <v>0.2173480445</v>
      </c>
      <c r="N255">
        <v>0.2273860409</v>
      </c>
      <c r="O255">
        <v>0.27200973449999999</v>
      </c>
      <c r="P255">
        <v>0.31188631100000003</v>
      </c>
      <c r="Q255">
        <v>0.33592485</v>
      </c>
      <c r="R255">
        <v>0.36257800740000001</v>
      </c>
      <c r="S255">
        <v>0.39180595969999998</v>
      </c>
      <c r="T255">
        <v>0.46455778450000002</v>
      </c>
      <c r="U255">
        <v>0.53891920209999999</v>
      </c>
      <c r="V255">
        <v>0.64729335389999998</v>
      </c>
      <c r="W255">
        <v>0.60855085870000003</v>
      </c>
      <c r="X255">
        <v>0.60101518659999997</v>
      </c>
      <c r="Y255">
        <v>0.63814542110000005</v>
      </c>
      <c r="Z255">
        <v>0.67627090020000002</v>
      </c>
      <c r="AA255">
        <v>0.71266047970000002</v>
      </c>
      <c r="AB255">
        <v>0.74076787899999996</v>
      </c>
      <c r="AC255">
        <v>0.76629647609999996</v>
      </c>
      <c r="AD255">
        <v>0.8914599553</v>
      </c>
      <c r="AE255">
        <v>1.012659309</v>
      </c>
      <c r="AF255">
        <v>1.1307698509999999</v>
      </c>
      <c r="AG255">
        <v>1.1907080379999999</v>
      </c>
      <c r="AH255">
        <v>1.248589132</v>
      </c>
      <c r="AI255">
        <v>1.2745406459999999</v>
      </c>
      <c r="AJ255">
        <v>1.3012744949999999</v>
      </c>
      <c r="AK255">
        <v>1.32780725</v>
      </c>
      <c r="AL255">
        <v>1.1714144040000001</v>
      </c>
      <c r="AM255">
        <v>1.0241316499999999</v>
      </c>
      <c r="AN255">
        <v>1.1172463859999999</v>
      </c>
      <c r="AO255">
        <v>1.209123167</v>
      </c>
      <c r="AP255">
        <v>1.3005789249999999</v>
      </c>
      <c r="AQ255">
        <v>1.3926839360000001</v>
      </c>
      <c r="AR255">
        <v>1.4854257019999999</v>
      </c>
      <c r="AS255">
        <v>1.4015168440000001</v>
      </c>
      <c r="AT255">
        <v>1.3209423689999999</v>
      </c>
      <c r="AU255">
        <v>1.2436265399999999</v>
      </c>
      <c r="AV255">
        <v>1.169301151</v>
      </c>
      <c r="AW255">
        <v>1.0981857690000001</v>
      </c>
    </row>
    <row r="256" spans="2:49" x14ac:dyDescent="0.25">
      <c r="B256" t="s">
        <v>327</v>
      </c>
      <c r="C256">
        <v>0.38745857789048899</v>
      </c>
      <c r="D256">
        <v>0.39367935068554899</v>
      </c>
      <c r="E256">
        <v>0.40215275490000002</v>
      </c>
      <c r="F256">
        <v>0.53057103689999996</v>
      </c>
      <c r="G256">
        <v>0.67625668800000005</v>
      </c>
      <c r="H256">
        <v>0.8483629547</v>
      </c>
      <c r="I256">
        <v>1.135431115</v>
      </c>
      <c r="J256">
        <v>1.4828798480000001</v>
      </c>
      <c r="K256">
        <v>1.8669292790000001</v>
      </c>
      <c r="L256">
        <v>2.3972690590000001</v>
      </c>
      <c r="M256">
        <v>3.1552892520000002</v>
      </c>
      <c r="N256">
        <v>4.2291581069999999</v>
      </c>
      <c r="O256">
        <v>4.0617026999999997</v>
      </c>
      <c r="P256">
        <v>3.793007383</v>
      </c>
      <c r="Q256">
        <v>3.3573049099999999</v>
      </c>
      <c r="R256">
        <v>2.9921983230000002</v>
      </c>
      <c r="S256">
        <v>2.6730485650000002</v>
      </c>
      <c r="T256">
        <v>3.203845491</v>
      </c>
      <c r="U256">
        <v>3.7462440340000001</v>
      </c>
      <c r="V256">
        <v>4.3756442560000002</v>
      </c>
      <c r="W256">
        <v>4.9106181979999999</v>
      </c>
      <c r="X256">
        <v>5.3639378559999997</v>
      </c>
      <c r="Y256">
        <v>5.6558274930000003</v>
      </c>
      <c r="Z256">
        <v>5.9579269210000003</v>
      </c>
      <c r="AA256">
        <v>6.2428078820000001</v>
      </c>
      <c r="AB256">
        <v>6.420607628</v>
      </c>
      <c r="AC256">
        <v>6.5715997550000003</v>
      </c>
      <c r="AD256">
        <v>6.8710274150000004</v>
      </c>
      <c r="AE256">
        <v>7.1641884740000004</v>
      </c>
      <c r="AF256">
        <v>7.4555201359999996</v>
      </c>
      <c r="AG256">
        <v>7.6351430750000002</v>
      </c>
      <c r="AH256">
        <v>7.8083910049999998</v>
      </c>
      <c r="AI256">
        <v>7.9587323149999998</v>
      </c>
      <c r="AJ256">
        <v>8.1158164450000001</v>
      </c>
      <c r="AK256">
        <v>8.2722493180000001</v>
      </c>
      <c r="AL256">
        <v>8.0356029000000007</v>
      </c>
      <c r="AM256">
        <v>7.8065463060000004</v>
      </c>
      <c r="AN256">
        <v>7.9879329720000003</v>
      </c>
      <c r="AO256">
        <v>8.1702423989999904</v>
      </c>
      <c r="AP256">
        <v>8.3591075739999905</v>
      </c>
      <c r="AQ256">
        <v>8.5610202359999903</v>
      </c>
      <c r="AR256">
        <v>8.7732880679999994</v>
      </c>
      <c r="AS256">
        <v>8.5670397149999999</v>
      </c>
      <c r="AT256">
        <v>8.3662529909999996</v>
      </c>
      <c r="AU256">
        <v>8.1711894019999995</v>
      </c>
      <c r="AV256">
        <v>7.9802933720000002</v>
      </c>
      <c r="AW256">
        <v>7.796642962</v>
      </c>
    </row>
    <row r="257" spans="2:49" x14ac:dyDescent="0.25">
      <c r="B257" t="s">
        <v>328</v>
      </c>
      <c r="C257">
        <v>34.067295461021303</v>
      </c>
      <c r="D257">
        <v>34.614256909026899</v>
      </c>
      <c r="E257">
        <v>35.35928097</v>
      </c>
      <c r="F257">
        <v>35.402808210000003</v>
      </c>
      <c r="G257">
        <v>34.24424089</v>
      </c>
      <c r="H257">
        <v>32.601641149999999</v>
      </c>
      <c r="I257">
        <v>33.113139199999999</v>
      </c>
      <c r="J257">
        <v>32.864923529999999</v>
      </c>
      <c r="K257">
        <v>31.446384080000001</v>
      </c>
      <c r="L257">
        <v>30.69066158</v>
      </c>
      <c r="M257">
        <v>30.70485983</v>
      </c>
      <c r="N257">
        <v>31.2848194</v>
      </c>
      <c r="O257">
        <v>32.02901009</v>
      </c>
      <c r="P257">
        <v>32.050555690000003</v>
      </c>
      <c r="Q257">
        <v>30.583535479999998</v>
      </c>
      <c r="R257">
        <v>29.59551647</v>
      </c>
      <c r="S257">
        <v>28.95175287</v>
      </c>
      <c r="T257">
        <v>27.66419024</v>
      </c>
      <c r="U257">
        <v>26.37740217</v>
      </c>
      <c r="V257">
        <v>25.277296360000001</v>
      </c>
      <c r="W257">
        <v>24.804494300000002</v>
      </c>
      <c r="X257">
        <v>23.938998680000001</v>
      </c>
      <c r="Y257">
        <v>22.61996555</v>
      </c>
      <c r="Z257">
        <v>21.43716594</v>
      </c>
      <c r="AA257">
        <v>20.269900530000001</v>
      </c>
      <c r="AB257">
        <v>18.875695010000001</v>
      </c>
      <c r="AC257">
        <v>17.527681399999999</v>
      </c>
      <c r="AD257">
        <v>15.6526915</v>
      </c>
      <c r="AE257">
        <v>13.85468047</v>
      </c>
      <c r="AF257">
        <v>12.131802589999999</v>
      </c>
      <c r="AG257">
        <v>11.13675168</v>
      </c>
      <c r="AH257">
        <v>10.179972019999999</v>
      </c>
      <c r="AI257">
        <v>9.2489579380000002</v>
      </c>
      <c r="AJ257">
        <v>8.3587675770000001</v>
      </c>
      <c r="AK257">
        <v>7.4963990620000001</v>
      </c>
      <c r="AL257">
        <v>8.6002798570000003</v>
      </c>
      <c r="AM257">
        <v>9.6136016860000009</v>
      </c>
      <c r="AN257">
        <v>8.2948940619999902</v>
      </c>
      <c r="AO257">
        <v>6.9954021449999999</v>
      </c>
      <c r="AP257">
        <v>5.7164424240000002</v>
      </c>
      <c r="AQ257">
        <v>4.4562066769999999</v>
      </c>
      <c r="AR257">
        <v>3.2055468619999998</v>
      </c>
      <c r="AS257">
        <v>3.6836254629999998</v>
      </c>
      <c r="AT257">
        <v>4.1315818179999999</v>
      </c>
      <c r="AU257">
        <v>4.5509600890000002</v>
      </c>
      <c r="AV257">
        <v>4.9421466919999997</v>
      </c>
      <c r="AW257">
        <v>5.3138295549999999</v>
      </c>
    </row>
    <row r="258" spans="2:49" x14ac:dyDescent="0.25">
      <c r="B258" t="s">
        <v>329</v>
      </c>
      <c r="C258">
        <v>1.54983431156195</v>
      </c>
      <c r="D258">
        <v>1.57471740274219</v>
      </c>
      <c r="E258">
        <v>1.608611019</v>
      </c>
      <c r="F258">
        <v>2.6455200080000001</v>
      </c>
      <c r="G258">
        <v>3.5548443289999998</v>
      </c>
      <c r="H258">
        <v>4.316672069</v>
      </c>
      <c r="I258">
        <v>5.3004875499999997</v>
      </c>
      <c r="J258">
        <v>6.1110816320000003</v>
      </c>
      <c r="K258">
        <v>6.585056593</v>
      </c>
      <c r="L258">
        <v>7.0403932869999997</v>
      </c>
      <c r="M258">
        <v>7.5082597849999999</v>
      </c>
      <c r="N258">
        <v>7.913858877</v>
      </c>
      <c r="O258">
        <v>8.2509017199999999</v>
      </c>
      <c r="P258">
        <v>8.4069415410000001</v>
      </c>
      <c r="Q258">
        <v>8.1672845120000002</v>
      </c>
      <c r="R258">
        <v>8.0454068119999995</v>
      </c>
      <c r="S258">
        <v>8.0107860520000003</v>
      </c>
      <c r="T258">
        <v>8.194134343</v>
      </c>
      <c r="U258">
        <v>8.3869122090000001</v>
      </c>
      <c r="V258">
        <v>8.9504428859999994</v>
      </c>
      <c r="W258">
        <v>8.5064116080000005</v>
      </c>
      <c r="X258">
        <v>8.317653859</v>
      </c>
      <c r="Y258">
        <v>8.2342934400000001</v>
      </c>
      <c r="Z258">
        <v>8.1854243990000004</v>
      </c>
      <c r="AA258">
        <v>8.1329748380000009</v>
      </c>
      <c r="AB258">
        <v>7.9868415659999998</v>
      </c>
      <c r="AC258">
        <v>7.8434935729999999</v>
      </c>
      <c r="AD258">
        <v>8.3399305469999998</v>
      </c>
      <c r="AE258">
        <v>8.8248267679999994</v>
      </c>
      <c r="AF258">
        <v>9.3027860570000005</v>
      </c>
      <c r="AG258">
        <v>9.3241688729999996</v>
      </c>
      <c r="AH258">
        <v>9.3475523260000006</v>
      </c>
      <c r="AI258">
        <v>9.4123707190000001</v>
      </c>
      <c r="AJ258">
        <v>9.4856999119999994</v>
      </c>
      <c r="AK258">
        <v>9.5606765950000003</v>
      </c>
      <c r="AL258">
        <v>8.2337822260000006</v>
      </c>
      <c r="AM258">
        <v>6.9875657469999997</v>
      </c>
      <c r="AN258">
        <v>7.6056622300000001</v>
      </c>
      <c r="AO258">
        <v>8.2145418439999904</v>
      </c>
      <c r="AP258">
        <v>8.818717457</v>
      </c>
      <c r="AQ258">
        <v>9.4241496310000006</v>
      </c>
      <c r="AR258">
        <v>10.03111539</v>
      </c>
      <c r="AS258">
        <v>9.3177598540000002</v>
      </c>
      <c r="AT258">
        <v>8.6347130429999996</v>
      </c>
      <c r="AU258">
        <v>7.9810146399999997</v>
      </c>
      <c r="AV258">
        <v>7.354933323</v>
      </c>
      <c r="AW258">
        <v>6.7566959359999998</v>
      </c>
    </row>
    <row r="259" spans="2:49" x14ac:dyDescent="0.25">
      <c r="B259" t="s">
        <v>330</v>
      </c>
      <c r="C259">
        <v>0.19372928894524399</v>
      </c>
      <c r="D259">
        <v>0.196839675342774</v>
      </c>
      <c r="E259">
        <v>0.20107637740000001</v>
      </c>
      <c r="F259">
        <v>0.19520890190000001</v>
      </c>
      <c r="G259">
        <v>0.18308540619999999</v>
      </c>
      <c r="H259">
        <v>0.1690090366</v>
      </c>
      <c r="I259">
        <v>0.16644666450000001</v>
      </c>
      <c r="J259">
        <v>0.1599581394</v>
      </c>
      <c r="K259">
        <v>0.14818843879999999</v>
      </c>
      <c r="L259">
        <v>0.14001975420000001</v>
      </c>
      <c r="M259">
        <v>0.1356118949</v>
      </c>
      <c r="N259">
        <v>0.13375148210000001</v>
      </c>
      <c r="O259">
        <v>0.2070252148</v>
      </c>
      <c r="P259">
        <v>0.2781171039</v>
      </c>
      <c r="Q259">
        <v>0.33387848790000002</v>
      </c>
      <c r="R259">
        <v>0.39014215829999999</v>
      </c>
      <c r="S259">
        <v>0.44801143830000001</v>
      </c>
      <c r="T259">
        <v>0.6952335181</v>
      </c>
      <c r="U259">
        <v>0.94724941159999998</v>
      </c>
      <c r="V259">
        <v>1.2378676179999999</v>
      </c>
      <c r="W259">
        <v>1.3226306350000001</v>
      </c>
      <c r="X259">
        <v>1.4089508630000001</v>
      </c>
      <c r="Y259">
        <v>1.8157551569999999</v>
      </c>
      <c r="Z259">
        <v>2.2137814680000001</v>
      </c>
      <c r="AA259">
        <v>2.5954569200000002</v>
      </c>
      <c r="AB259">
        <v>2.8602228360000002</v>
      </c>
      <c r="AC259">
        <v>3.1006403699999998</v>
      </c>
      <c r="AD259">
        <v>3.6516426690000001</v>
      </c>
      <c r="AE259">
        <v>4.1845789160000004</v>
      </c>
      <c r="AF259">
        <v>4.7037479769999999</v>
      </c>
      <c r="AG259">
        <v>5.0833765389999996</v>
      </c>
      <c r="AH259">
        <v>5.4486137799999996</v>
      </c>
      <c r="AI259">
        <v>5.9197234249999999</v>
      </c>
      <c r="AJ259">
        <v>6.3851629799999996</v>
      </c>
      <c r="AK259">
        <v>6.8406664629999998</v>
      </c>
      <c r="AL259">
        <v>6.939482194</v>
      </c>
      <c r="AM259">
        <v>7.0260872479999996</v>
      </c>
      <c r="AN259">
        <v>7.3938480459999996</v>
      </c>
      <c r="AO259">
        <v>7.7591969909999996</v>
      </c>
      <c r="AP259">
        <v>8.1281550249999999</v>
      </c>
      <c r="AQ259">
        <v>8.5081012919999903</v>
      </c>
      <c r="AR259">
        <v>8.8973083979999998</v>
      </c>
      <c r="AS259">
        <v>9.0634805580000002</v>
      </c>
      <c r="AT259">
        <v>9.2183861339999904</v>
      </c>
      <c r="AU259">
        <v>9.3629520779999904</v>
      </c>
      <c r="AV259">
        <v>9.4959097329999995</v>
      </c>
      <c r="AW259">
        <v>9.6216748360000004</v>
      </c>
    </row>
    <row r="260" spans="2:49" x14ac:dyDescent="0.25">
      <c r="B260" t="s">
        <v>331</v>
      </c>
      <c r="C260">
        <v>0.71679836909740502</v>
      </c>
      <c r="D260">
        <v>0.72830679876826598</v>
      </c>
      <c r="E260">
        <v>0.74398259649999998</v>
      </c>
      <c r="F260">
        <v>0.73699246100000004</v>
      </c>
      <c r="G260">
        <v>0.70530807790000005</v>
      </c>
      <c r="H260">
        <v>0.66434972380000001</v>
      </c>
      <c r="I260">
        <v>0.66761122819999996</v>
      </c>
      <c r="J260">
        <v>0.66886204829999996</v>
      </c>
      <c r="K260">
        <v>0.64715539310000003</v>
      </c>
      <c r="L260">
        <v>0.63984585670000005</v>
      </c>
      <c r="M260">
        <v>0.64975268610000003</v>
      </c>
      <c r="N260">
        <v>0.67333163539999996</v>
      </c>
      <c r="O260">
        <v>0.97810619210000005</v>
      </c>
      <c r="P260">
        <v>1.2459986590000001</v>
      </c>
      <c r="Q260">
        <v>1.4228698319999999</v>
      </c>
      <c r="R260">
        <v>1.5824614509999999</v>
      </c>
      <c r="S260">
        <v>1.7284212919999999</v>
      </c>
      <c r="T260">
        <v>1.779038897</v>
      </c>
      <c r="U260">
        <v>1.830999888</v>
      </c>
      <c r="V260">
        <v>1.9241877329999999</v>
      </c>
      <c r="W260">
        <v>1.6195121050000001</v>
      </c>
      <c r="X260">
        <v>1.3794838300000001</v>
      </c>
      <c r="Y260">
        <v>1.397815075</v>
      </c>
      <c r="Z260">
        <v>1.420602876</v>
      </c>
      <c r="AA260">
        <v>1.4411241960000001</v>
      </c>
      <c r="AB260">
        <v>1.427631879</v>
      </c>
      <c r="AC260">
        <v>1.4124429140000001</v>
      </c>
      <c r="AD260">
        <v>1.446005255</v>
      </c>
      <c r="AE260">
        <v>1.478681439</v>
      </c>
      <c r="AF260">
        <v>1.5111993029999999</v>
      </c>
      <c r="AG260">
        <v>1.4921421939999999</v>
      </c>
      <c r="AH260">
        <v>1.4740406960000001</v>
      </c>
      <c r="AI260">
        <v>1.476506205</v>
      </c>
      <c r="AJ260">
        <v>1.4806459169999999</v>
      </c>
      <c r="AK260">
        <v>1.4851616249999999</v>
      </c>
      <c r="AL260">
        <v>1.337173041</v>
      </c>
      <c r="AM260">
        <v>1.1954664779999999</v>
      </c>
      <c r="AN260">
        <v>1.246898772</v>
      </c>
      <c r="AO260">
        <v>1.2968982550000001</v>
      </c>
      <c r="AP260">
        <v>1.3462820339999999</v>
      </c>
      <c r="AQ260">
        <v>1.396018153</v>
      </c>
      <c r="AR260">
        <v>1.44586883</v>
      </c>
      <c r="AS260">
        <v>1.36103273</v>
      </c>
      <c r="AT260">
        <v>1.2792254139999999</v>
      </c>
      <c r="AU260">
        <v>1.200396445</v>
      </c>
      <c r="AV260">
        <v>1.124300439</v>
      </c>
      <c r="AW260">
        <v>1.051178951</v>
      </c>
    </row>
    <row r="261" spans="2:49" x14ac:dyDescent="0.25">
      <c r="B261" t="s">
        <v>332</v>
      </c>
      <c r="C261">
        <v>0.19372928894524399</v>
      </c>
      <c r="D261">
        <v>0.196839675342774</v>
      </c>
      <c r="E261">
        <v>0.20107637740000001</v>
      </c>
      <c r="F261">
        <v>0.20706507900000001</v>
      </c>
      <c r="G261">
        <v>0.2060004724</v>
      </c>
      <c r="H261">
        <v>0.20171196420000001</v>
      </c>
      <c r="I261">
        <v>0.21071918270000001</v>
      </c>
      <c r="J261">
        <v>0.214804099</v>
      </c>
      <c r="K261">
        <v>0.21108520140000001</v>
      </c>
      <c r="L261">
        <v>0.2115631476</v>
      </c>
      <c r="M261">
        <v>0.2173480445</v>
      </c>
      <c r="N261">
        <v>0.2273860409</v>
      </c>
      <c r="O261">
        <v>0.27200973449999999</v>
      </c>
      <c r="P261">
        <v>0.31188631100000003</v>
      </c>
      <c r="Q261">
        <v>0.33592485</v>
      </c>
      <c r="R261">
        <v>0.36257800740000001</v>
      </c>
      <c r="S261">
        <v>0.39180595969999998</v>
      </c>
      <c r="T261">
        <v>0.46455778450000002</v>
      </c>
      <c r="U261">
        <v>0.53891920209999999</v>
      </c>
      <c r="V261">
        <v>0.64729335389999998</v>
      </c>
      <c r="W261">
        <v>0.60855085870000003</v>
      </c>
      <c r="X261">
        <v>0.60101518659999997</v>
      </c>
      <c r="Y261">
        <v>0.63814542110000005</v>
      </c>
      <c r="Z261">
        <v>0.67627090020000002</v>
      </c>
      <c r="AA261">
        <v>0.71266047970000002</v>
      </c>
      <c r="AB261">
        <v>0.74076787899999996</v>
      </c>
      <c r="AC261">
        <v>0.76629647609999996</v>
      </c>
      <c r="AD261">
        <v>0.8914599553</v>
      </c>
      <c r="AE261">
        <v>1.012659309</v>
      </c>
      <c r="AF261">
        <v>1.1307698509999999</v>
      </c>
      <c r="AG261">
        <v>1.1907080379999999</v>
      </c>
      <c r="AH261">
        <v>1.248589132</v>
      </c>
      <c r="AI261">
        <v>1.2745406459999999</v>
      </c>
      <c r="AJ261">
        <v>1.3012744949999999</v>
      </c>
      <c r="AK261">
        <v>1.32780725</v>
      </c>
      <c r="AL261">
        <v>1.1714144040000001</v>
      </c>
      <c r="AM261">
        <v>1.0241316499999999</v>
      </c>
      <c r="AN261">
        <v>1.1172463859999999</v>
      </c>
      <c r="AO261">
        <v>1.209123167</v>
      </c>
      <c r="AP261">
        <v>1.3005789249999999</v>
      </c>
      <c r="AQ261">
        <v>1.3926839360000001</v>
      </c>
      <c r="AR261">
        <v>1.4854257019999999</v>
      </c>
      <c r="AS261">
        <v>1.4015168440000001</v>
      </c>
      <c r="AT261">
        <v>1.3209423689999999</v>
      </c>
      <c r="AU261">
        <v>1.2436265399999999</v>
      </c>
      <c r="AV261">
        <v>1.169301151</v>
      </c>
      <c r="AW261">
        <v>1.0981857690000001</v>
      </c>
    </row>
    <row r="262" spans="2:49" x14ac:dyDescent="0.25">
      <c r="B262" t="s">
        <v>333</v>
      </c>
      <c r="C262">
        <v>0.38745857789048899</v>
      </c>
      <c r="D262">
        <v>0.39367935068554899</v>
      </c>
      <c r="E262">
        <v>0.40215275490000002</v>
      </c>
      <c r="F262">
        <v>0.53057103689999996</v>
      </c>
      <c r="G262">
        <v>0.67625668800000005</v>
      </c>
      <c r="H262">
        <v>0.8483629547</v>
      </c>
      <c r="I262">
        <v>1.135431115</v>
      </c>
      <c r="J262">
        <v>1.4828798480000001</v>
      </c>
      <c r="K262">
        <v>1.8669292790000001</v>
      </c>
      <c r="L262">
        <v>2.3972690590000001</v>
      </c>
      <c r="M262">
        <v>3.1552892520000002</v>
      </c>
      <c r="N262">
        <v>4.2291581069999999</v>
      </c>
      <c r="O262">
        <v>4.0617026999999997</v>
      </c>
      <c r="P262">
        <v>3.793007383</v>
      </c>
      <c r="Q262">
        <v>3.3573049099999999</v>
      </c>
      <c r="R262">
        <v>2.9921983230000002</v>
      </c>
      <c r="S262">
        <v>2.6730485650000002</v>
      </c>
      <c r="T262">
        <v>3.203845491</v>
      </c>
      <c r="U262">
        <v>3.7462440340000001</v>
      </c>
      <c r="V262">
        <v>4.3756442560000002</v>
      </c>
      <c r="W262">
        <v>4.9106181979999999</v>
      </c>
      <c r="X262">
        <v>5.3639378559999997</v>
      </c>
      <c r="Y262">
        <v>5.6558274930000003</v>
      </c>
      <c r="Z262">
        <v>5.9579269210000003</v>
      </c>
      <c r="AA262">
        <v>6.2428078820000001</v>
      </c>
      <c r="AB262">
        <v>6.420607628</v>
      </c>
      <c r="AC262">
        <v>6.5715997550000003</v>
      </c>
      <c r="AD262">
        <v>6.8710274150000004</v>
      </c>
      <c r="AE262">
        <v>7.1641884740000004</v>
      </c>
      <c r="AF262">
        <v>7.4555201359999996</v>
      </c>
      <c r="AG262">
        <v>7.6351430750000002</v>
      </c>
      <c r="AH262">
        <v>7.8083910049999998</v>
      </c>
      <c r="AI262">
        <v>7.9587323149999998</v>
      </c>
      <c r="AJ262">
        <v>8.1158164450000001</v>
      </c>
      <c r="AK262">
        <v>8.2722493180000001</v>
      </c>
      <c r="AL262">
        <v>8.0356029000000007</v>
      </c>
      <c r="AM262">
        <v>7.8065463060000004</v>
      </c>
      <c r="AN262">
        <v>7.9879329720000003</v>
      </c>
      <c r="AO262">
        <v>8.1702423989999904</v>
      </c>
      <c r="AP262">
        <v>8.3591075739999905</v>
      </c>
      <c r="AQ262">
        <v>8.5610202359999903</v>
      </c>
      <c r="AR262">
        <v>8.7732880679999994</v>
      </c>
      <c r="AS262">
        <v>8.5670397149999999</v>
      </c>
      <c r="AT262">
        <v>8.3662529909999996</v>
      </c>
      <c r="AU262">
        <v>8.1711894019999995</v>
      </c>
      <c r="AV262">
        <v>7.9802933720000002</v>
      </c>
      <c r="AW262">
        <v>7.796642962</v>
      </c>
    </row>
    <row r="263" spans="2:49" x14ac:dyDescent="0.25">
      <c r="B263" t="s">
        <v>334</v>
      </c>
      <c r="C263">
        <v>1.1905732046364299</v>
      </c>
      <c r="D263">
        <v>1.2096882425386799</v>
      </c>
      <c r="E263">
        <v>1.2322287510000001</v>
      </c>
      <c r="F263">
        <v>1.238954715</v>
      </c>
      <c r="G263">
        <v>1.1448774770000001</v>
      </c>
      <c r="H263">
        <v>0.92874765110000002</v>
      </c>
      <c r="I263">
        <v>1.012358823</v>
      </c>
      <c r="J263">
        <v>1.0367202339999999</v>
      </c>
      <c r="K263">
        <v>0.98057493350000002</v>
      </c>
      <c r="L263">
        <v>0.97793321460000004</v>
      </c>
      <c r="M263">
        <v>0.98439843540000005</v>
      </c>
      <c r="N263">
        <v>0.9942110783</v>
      </c>
      <c r="O263">
        <v>0.94035335229999994</v>
      </c>
      <c r="P263">
        <v>0.95677799969999999</v>
      </c>
      <c r="Q263">
        <v>0.93797714160000001</v>
      </c>
      <c r="R263">
        <v>0.88963509780000005</v>
      </c>
      <c r="S263">
        <v>0.86433189740000005</v>
      </c>
      <c r="T263">
        <v>0.88214198099999996</v>
      </c>
      <c r="U263">
        <v>0.88363818760000001</v>
      </c>
      <c r="V263">
        <v>0.90107049579999998</v>
      </c>
      <c r="W263">
        <v>0.8994241865</v>
      </c>
      <c r="X263">
        <v>0.8902272819</v>
      </c>
      <c r="Y263">
        <v>0.87841486820000003</v>
      </c>
      <c r="Z263">
        <v>0.8765603931</v>
      </c>
      <c r="AA263">
        <v>0.87751142719999997</v>
      </c>
      <c r="AB263">
        <v>0.8789303047</v>
      </c>
      <c r="AC263">
        <v>0.8815255192</v>
      </c>
      <c r="AD263">
        <v>0.88309148400000004</v>
      </c>
      <c r="AE263">
        <v>0.88573476370000004</v>
      </c>
      <c r="AF263">
        <v>0.8886034317</v>
      </c>
      <c r="AG263">
        <v>0.89141106729999997</v>
      </c>
      <c r="AH263">
        <v>0.89545709799999995</v>
      </c>
      <c r="AI263">
        <v>0.90136279149999998</v>
      </c>
      <c r="AJ263">
        <v>0.90666609269999998</v>
      </c>
      <c r="AK263">
        <v>0.91187678599999999</v>
      </c>
      <c r="AL263">
        <v>0.91695480659999995</v>
      </c>
      <c r="AM263" s="39">
        <v>0.92127632559999995</v>
      </c>
      <c r="AN263" s="39">
        <v>0.92603408730000003</v>
      </c>
      <c r="AO263" s="39">
        <v>0.93030192499999997</v>
      </c>
      <c r="AP263" s="39">
        <v>0.9340918828</v>
      </c>
      <c r="AQ263" s="39">
        <v>0.93776388450000003</v>
      </c>
      <c r="AR263" s="39">
        <v>0.94047550130000002</v>
      </c>
      <c r="AS263" s="39">
        <v>0.94272136719999999</v>
      </c>
      <c r="AT263" s="39">
        <v>0.94541590809999998</v>
      </c>
      <c r="AU263" s="39">
        <v>0.94803850290000002</v>
      </c>
      <c r="AV263">
        <v>0.95034290850000003</v>
      </c>
      <c r="AW263">
        <v>0.95260708250000004</v>
      </c>
    </row>
    <row r="264" spans="2:49" x14ac:dyDescent="0.25">
      <c r="B264" t="s">
        <v>335</v>
      </c>
      <c r="C264">
        <v>1.7112081308179601</v>
      </c>
      <c r="D264">
        <v>1.7386821308642</v>
      </c>
      <c r="E264">
        <v>1.767092841</v>
      </c>
      <c r="F264">
        <v>1.789177325</v>
      </c>
      <c r="G264">
        <v>1.8072684999999999</v>
      </c>
      <c r="H264">
        <v>1.699852981</v>
      </c>
      <c r="I264">
        <v>1.775412851</v>
      </c>
      <c r="J264">
        <v>1.806888227</v>
      </c>
      <c r="K264">
        <v>1.787874894</v>
      </c>
      <c r="L264">
        <v>1.7991431529999999</v>
      </c>
      <c r="M264">
        <v>1.81857208</v>
      </c>
      <c r="N264">
        <v>1.895430964</v>
      </c>
      <c r="O264">
        <v>1.893732706</v>
      </c>
      <c r="P264">
        <v>1.8980369029999999</v>
      </c>
      <c r="Q264">
        <v>1.8733134010000001</v>
      </c>
      <c r="R264">
        <v>1.893345238</v>
      </c>
      <c r="S264">
        <v>1.8757957510000001</v>
      </c>
      <c r="T264">
        <v>1.8810120640000001</v>
      </c>
      <c r="U264">
        <v>1.904661172</v>
      </c>
      <c r="V264">
        <v>1.9397006969999999</v>
      </c>
      <c r="W264">
        <v>1.968683153</v>
      </c>
      <c r="X264">
        <v>1.983640031</v>
      </c>
      <c r="Y264">
        <v>1.998760307</v>
      </c>
      <c r="Z264">
        <v>2.0150726790000002</v>
      </c>
      <c r="AA264">
        <v>2.0336150549999998</v>
      </c>
      <c r="AB264">
        <v>2.0628713799999998</v>
      </c>
      <c r="AC264">
        <v>2.0980134490000002</v>
      </c>
      <c r="AD264">
        <v>2.1103682560000001</v>
      </c>
      <c r="AE264">
        <v>2.1265984310000001</v>
      </c>
      <c r="AF264">
        <v>2.1444194730000001</v>
      </c>
      <c r="AG264">
        <v>2.163766319</v>
      </c>
      <c r="AH264">
        <v>2.185801498</v>
      </c>
      <c r="AI264">
        <v>2.2128339920000002</v>
      </c>
      <c r="AJ264">
        <v>2.2434107220000001</v>
      </c>
      <c r="AK264">
        <v>2.2755134990000001</v>
      </c>
      <c r="AL264">
        <v>2.3098561489999998</v>
      </c>
      <c r="AM264">
        <v>2.3447475849999999</v>
      </c>
      <c r="AN264">
        <v>2.3801910839999998</v>
      </c>
      <c r="AO264">
        <v>2.4161824799999998</v>
      </c>
      <c r="AP264">
        <v>2.4523248550000001</v>
      </c>
      <c r="AQ264">
        <v>2.4888445840000002</v>
      </c>
      <c r="AR264">
        <v>2.5259386350000002</v>
      </c>
      <c r="AS264">
        <v>2.5617334899999999</v>
      </c>
      <c r="AT264">
        <v>2.5975999449999998</v>
      </c>
      <c r="AU264">
        <v>2.6340232810000002</v>
      </c>
      <c r="AV264">
        <v>2.6708599450000001</v>
      </c>
      <c r="AW264">
        <v>2.7081219729999999</v>
      </c>
    </row>
    <row r="265" spans="2:49" x14ac:dyDescent="0.25">
      <c r="B265" t="s">
        <v>336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337</v>
      </c>
      <c r="C266">
        <v>1.5692072404564801</v>
      </c>
      <c r="D266">
        <v>1.5944013702764701</v>
      </c>
      <c r="E266">
        <v>1.6257313120000001</v>
      </c>
      <c r="F266">
        <v>1.6521193700000001</v>
      </c>
      <c r="G266">
        <v>1.6777295539999999</v>
      </c>
      <c r="H266">
        <v>1.5628581349999999</v>
      </c>
      <c r="I266">
        <v>1.653006277</v>
      </c>
      <c r="J266">
        <v>1.7084811799999999</v>
      </c>
      <c r="K266">
        <v>1.7006912110000001</v>
      </c>
      <c r="L266">
        <v>1.7128014810000001</v>
      </c>
      <c r="M266">
        <v>1.734491936</v>
      </c>
      <c r="N266">
        <v>1.787287125</v>
      </c>
      <c r="O266">
        <v>1.851596335</v>
      </c>
      <c r="P266">
        <v>1.948491532</v>
      </c>
      <c r="Q266">
        <v>2.0033891939999999</v>
      </c>
      <c r="R266">
        <v>2.0846596530000001</v>
      </c>
      <c r="S266">
        <v>2.1266281440000001</v>
      </c>
      <c r="T266">
        <v>2.13371186</v>
      </c>
      <c r="U266">
        <v>2.1523533970000002</v>
      </c>
      <c r="V266">
        <v>2.1941853309999999</v>
      </c>
      <c r="W266">
        <v>2.1184132939999998</v>
      </c>
      <c r="X266">
        <v>2.0556033870000001</v>
      </c>
      <c r="Y266">
        <v>2.0182307549999998</v>
      </c>
      <c r="Z266">
        <v>2.0024620290000001</v>
      </c>
      <c r="AA266">
        <v>1.9982842080000001</v>
      </c>
      <c r="AB266">
        <v>2.0102501840000002</v>
      </c>
      <c r="AC266">
        <v>2.0318532500000002</v>
      </c>
      <c r="AD266">
        <v>2.041466255</v>
      </c>
      <c r="AE266">
        <v>2.0566570569999998</v>
      </c>
      <c r="AF266">
        <v>2.073727699</v>
      </c>
      <c r="AG266">
        <v>2.0920418239999998</v>
      </c>
      <c r="AH266">
        <v>2.113039069</v>
      </c>
      <c r="AI266">
        <v>2.1388447840000002</v>
      </c>
      <c r="AJ266">
        <v>2.1679655389999999</v>
      </c>
      <c r="AK266">
        <v>2.1985141860000001</v>
      </c>
      <c r="AL266">
        <v>2.22973445</v>
      </c>
      <c r="AM266">
        <v>2.2612446469999998</v>
      </c>
      <c r="AN266">
        <v>2.2959571259999998</v>
      </c>
      <c r="AO266">
        <v>2.3312032540000001</v>
      </c>
      <c r="AP266">
        <v>2.366478866</v>
      </c>
      <c r="AQ266">
        <v>2.4021187089999998</v>
      </c>
      <c r="AR266">
        <v>2.4383125950000002</v>
      </c>
      <c r="AS266">
        <v>2.4716041479999999</v>
      </c>
      <c r="AT266">
        <v>2.505107148</v>
      </c>
      <c r="AU266" s="39">
        <v>2.5391617059999998</v>
      </c>
      <c r="AV266">
        <v>2.5735928430000001</v>
      </c>
      <c r="AW266">
        <v>2.6084347509999999</v>
      </c>
    </row>
    <row r="267" spans="2:49" x14ac:dyDescent="0.25">
      <c r="B267" t="s">
        <v>338</v>
      </c>
      <c r="C267">
        <v>0.99151022292981705</v>
      </c>
      <c r="D267">
        <v>0.99151022292981705</v>
      </c>
      <c r="E267">
        <v>0.99190345759999998</v>
      </c>
      <c r="F267">
        <v>0.98792099570000003</v>
      </c>
      <c r="G267">
        <v>0.983970338</v>
      </c>
      <c r="H267">
        <v>0.98000812159999995</v>
      </c>
      <c r="I267">
        <v>0.97611133670000005</v>
      </c>
      <c r="J267">
        <v>0.97221878549999996</v>
      </c>
      <c r="K267">
        <v>0.96833699760000003</v>
      </c>
      <c r="L267">
        <v>0.9644827534</v>
      </c>
      <c r="M267">
        <v>0.96063552210000003</v>
      </c>
      <c r="N267">
        <v>0.9568298516</v>
      </c>
      <c r="O267">
        <v>0.95615861520000001</v>
      </c>
      <c r="P267">
        <v>0.95545052450000001</v>
      </c>
      <c r="Q267">
        <v>0.95468970450000001</v>
      </c>
      <c r="R267">
        <v>0.9538882809</v>
      </c>
      <c r="S267">
        <v>0.95301216020000001</v>
      </c>
      <c r="T267">
        <v>0.95054758539999995</v>
      </c>
      <c r="U267">
        <v>0.94818989190000003</v>
      </c>
      <c r="V267">
        <v>0.94592957529999999</v>
      </c>
      <c r="W267">
        <v>0.94000994859999998</v>
      </c>
      <c r="X267">
        <v>0.93371402859999997</v>
      </c>
      <c r="Y267">
        <v>0.93102306099999999</v>
      </c>
      <c r="Z267">
        <v>0.92809283460000003</v>
      </c>
      <c r="AA267">
        <v>0.92489335750000001</v>
      </c>
      <c r="AB267">
        <v>0.921473345</v>
      </c>
      <c r="AC267">
        <v>0.91771930099999999</v>
      </c>
      <c r="AD267">
        <v>0.90073786450000004</v>
      </c>
      <c r="AE267">
        <v>0.88207680619999995</v>
      </c>
      <c r="AF267">
        <v>0.86146905870000001</v>
      </c>
      <c r="AG267">
        <v>0.83885342370000004</v>
      </c>
      <c r="AH267">
        <v>0.81359548589999997</v>
      </c>
      <c r="AI267">
        <v>0.78300846099999999</v>
      </c>
      <c r="AJ267">
        <v>0.74840620759999998</v>
      </c>
      <c r="AK267">
        <v>0.70892838869999997</v>
      </c>
      <c r="AL267">
        <v>0.66473502939999995</v>
      </c>
      <c r="AM267">
        <v>0.61321438080000001</v>
      </c>
      <c r="AN267">
        <v>0.58889358839999995</v>
      </c>
      <c r="AO267">
        <v>0.56123560279999996</v>
      </c>
      <c r="AP267">
        <v>0.52941837859999996</v>
      </c>
      <c r="AQ267">
        <v>0.4923732193</v>
      </c>
      <c r="AR267">
        <v>0.44876895080000001</v>
      </c>
      <c r="AS267">
        <v>0.44441475920000001</v>
      </c>
      <c r="AT267">
        <v>0.43939470829999999</v>
      </c>
      <c r="AU267">
        <v>0.43356718890000001</v>
      </c>
      <c r="AV267">
        <v>0.4267826468</v>
      </c>
      <c r="AW267">
        <v>0.41879755959999998</v>
      </c>
    </row>
    <row r="268" spans="2:49" x14ac:dyDescent="0.25">
      <c r="B268" t="s">
        <v>339</v>
      </c>
      <c r="C268">
        <v>8.4897770701825997E-3</v>
      </c>
      <c r="D268">
        <v>8.4897770701825997E-3</v>
      </c>
      <c r="E268">
        <v>8.0965420199999999E-3</v>
      </c>
      <c r="F268">
        <v>1.20790047E-2</v>
      </c>
      <c r="G268">
        <v>1.60296594E-2</v>
      </c>
      <c r="H268">
        <v>1.99918727E-2</v>
      </c>
      <c r="I268">
        <v>2.3893585700000001E-2</v>
      </c>
      <c r="J268">
        <v>2.77812144E-2</v>
      </c>
      <c r="K268">
        <v>3.1663001199999999E-2</v>
      </c>
      <c r="L268">
        <v>3.5517246799999999E-2</v>
      </c>
      <c r="M268">
        <v>3.9364475699999998E-2</v>
      </c>
      <c r="N268">
        <v>4.3170148800000002E-2</v>
      </c>
      <c r="O268">
        <v>4.3841383999999997E-2</v>
      </c>
      <c r="P268">
        <v>4.4549474700000001E-2</v>
      </c>
      <c r="Q268">
        <v>4.5310292199999998E-2</v>
      </c>
      <c r="R268">
        <v>4.6111715300000002E-2</v>
      </c>
      <c r="S268">
        <v>4.6987822899999997E-2</v>
      </c>
      <c r="T268">
        <v>4.9452414700000003E-2</v>
      </c>
      <c r="U268">
        <v>5.1810069100000002E-2</v>
      </c>
      <c r="V268">
        <v>5.4070539399999999E-2</v>
      </c>
      <c r="W268">
        <v>5.99901142E-2</v>
      </c>
      <c r="X268">
        <v>6.6285971999999999E-2</v>
      </c>
      <c r="Y268">
        <v>6.8976939400000006E-2</v>
      </c>
      <c r="Z268">
        <v>7.1907159799999995E-2</v>
      </c>
      <c r="AA268">
        <v>7.5106638599999997E-2</v>
      </c>
      <c r="AB268">
        <v>7.8526654400000007E-2</v>
      </c>
      <c r="AC268">
        <v>8.2280698599999896E-2</v>
      </c>
      <c r="AD268">
        <v>9.9262135400000007E-2</v>
      </c>
      <c r="AE268">
        <v>0.1179231937</v>
      </c>
      <c r="AF268">
        <v>0.13853094120000001</v>
      </c>
      <c r="AG268">
        <v>0.16114657630000001</v>
      </c>
      <c r="AH268">
        <v>0.1864045141</v>
      </c>
      <c r="AI268">
        <v>0.21699155179999999</v>
      </c>
      <c r="AJ268">
        <v>0.25159380460000003</v>
      </c>
      <c r="AK268">
        <v>0.29107161129999998</v>
      </c>
      <c r="AL268">
        <v>0.33526497080000001</v>
      </c>
      <c r="AM268">
        <v>0.38678561900000002</v>
      </c>
      <c r="AN268">
        <v>0.41110641139999998</v>
      </c>
      <c r="AO268">
        <v>0.43876439690000002</v>
      </c>
      <c r="AP268">
        <v>0.4705816209</v>
      </c>
      <c r="AQ268">
        <v>0.50762677990000005</v>
      </c>
      <c r="AR268">
        <v>0.55123104980000004</v>
      </c>
      <c r="AS268">
        <v>0.55558524030000001</v>
      </c>
      <c r="AT268">
        <v>0.56060529110000001</v>
      </c>
      <c r="AU268">
        <v>0.56643281050000005</v>
      </c>
      <c r="AV268">
        <v>0.57321735250000005</v>
      </c>
      <c r="AW268">
        <v>0.58120243959999995</v>
      </c>
    </row>
    <row r="269" spans="2:49" x14ac:dyDescent="0.25">
      <c r="B269" t="s">
        <v>340</v>
      </c>
      <c r="C269">
        <v>0.79896379760487002</v>
      </c>
      <c r="D269">
        <v>0.79896379760486902</v>
      </c>
      <c r="E269">
        <v>0.79896379760000003</v>
      </c>
      <c r="F269">
        <v>0.79638417920000004</v>
      </c>
      <c r="G269">
        <v>0.79381292339999998</v>
      </c>
      <c r="H269">
        <v>0.79124992159999996</v>
      </c>
      <c r="I269">
        <v>0.78869496630000002</v>
      </c>
      <c r="J269">
        <v>0.78614873760000004</v>
      </c>
      <c r="K269">
        <v>0.78361049890000001</v>
      </c>
      <c r="L269">
        <v>0.78108042450000004</v>
      </c>
      <c r="M269">
        <v>0.77855856229999998</v>
      </c>
      <c r="N269">
        <v>0.77604484610000002</v>
      </c>
      <c r="O269">
        <v>0.7608153446</v>
      </c>
      <c r="P269">
        <v>0.74503571719999995</v>
      </c>
      <c r="Q269">
        <v>0.72867559670000004</v>
      </c>
      <c r="R269">
        <v>0.71170238559999999</v>
      </c>
      <c r="S269">
        <v>0.6940809054</v>
      </c>
      <c r="T269">
        <v>0.68549363870000002</v>
      </c>
      <c r="U269">
        <v>0.67684744139999997</v>
      </c>
      <c r="V269">
        <v>0.66814169570000004</v>
      </c>
      <c r="W269">
        <v>0.66600334080000001</v>
      </c>
      <c r="X269">
        <v>0.66409480070000004</v>
      </c>
      <c r="Y269">
        <v>0.65512635910000006</v>
      </c>
      <c r="Z269">
        <v>0.64638428339999998</v>
      </c>
      <c r="AA269">
        <v>0.63786013689999999</v>
      </c>
      <c r="AB269">
        <v>0.6293987808</v>
      </c>
      <c r="AC269">
        <v>0.62114143310000003</v>
      </c>
      <c r="AD269">
        <v>0.60190844489999995</v>
      </c>
      <c r="AE269">
        <v>0.58312393819999997</v>
      </c>
      <c r="AF269">
        <v>0.56477240929999994</v>
      </c>
      <c r="AG269">
        <v>0.54832211340000003</v>
      </c>
      <c r="AH269">
        <v>0.53224115780000003</v>
      </c>
      <c r="AI269">
        <v>0.523513699</v>
      </c>
      <c r="AJ269">
        <v>0.51499765750000004</v>
      </c>
      <c r="AK269">
        <v>0.50668544410000005</v>
      </c>
      <c r="AL269">
        <v>0.49889154889999998</v>
      </c>
      <c r="AM269">
        <v>0.49127847460000001</v>
      </c>
      <c r="AN269">
        <v>0.4726843094</v>
      </c>
      <c r="AO269">
        <v>0.4544022144</v>
      </c>
      <c r="AP269">
        <v>0.4364243988</v>
      </c>
      <c r="AQ269">
        <v>0.41874332879999998</v>
      </c>
      <c r="AR269">
        <v>0.40135171720000001</v>
      </c>
      <c r="AS269">
        <v>0.38480951260000001</v>
      </c>
      <c r="AT269">
        <v>0.36843088210000002</v>
      </c>
      <c r="AU269">
        <v>0.35221341119999999</v>
      </c>
      <c r="AV269">
        <v>0.33615473309999999</v>
      </c>
      <c r="AW269">
        <v>0.3202525269</v>
      </c>
    </row>
    <row r="270" spans="2:49" x14ac:dyDescent="0.25">
      <c r="B270" t="s">
        <v>341</v>
      </c>
      <c r="C270">
        <v>1.02537481030392E-2</v>
      </c>
      <c r="D270">
        <v>1.02537481030392E-2</v>
      </c>
      <c r="E270">
        <v>1.02537481E-2</v>
      </c>
      <c r="F270">
        <v>9.6835705099999995E-3</v>
      </c>
      <c r="G270">
        <v>9.1450990200000002E-3</v>
      </c>
      <c r="H270">
        <v>8.6365696399999907E-3</v>
      </c>
      <c r="I270">
        <v>8.1563155699999994E-3</v>
      </c>
      <c r="J270">
        <v>7.7027716799999996E-3</v>
      </c>
      <c r="K270">
        <v>7.2744456200000002E-3</v>
      </c>
      <c r="L270">
        <v>6.86993711E-3</v>
      </c>
      <c r="M270">
        <v>6.4879223700000004E-3</v>
      </c>
      <c r="N270">
        <v>6.1271502600000003E-3</v>
      </c>
      <c r="O270">
        <v>5.5291148899999998E-3</v>
      </c>
      <c r="P270">
        <v>4.9094769999999998E-3</v>
      </c>
      <c r="Q270">
        <v>4.26704448E-3</v>
      </c>
      <c r="R270">
        <v>3.6005361499999999E-3</v>
      </c>
      <c r="S270">
        <v>2.9085724499999998E-3</v>
      </c>
      <c r="T270">
        <v>3.81905458E-3</v>
      </c>
      <c r="U270">
        <v>4.7357845900000001E-3</v>
      </c>
      <c r="V270">
        <v>5.6588269100000003E-3</v>
      </c>
      <c r="W270">
        <v>3.8630293000000001E-3</v>
      </c>
      <c r="X270">
        <v>2.2602297900000002E-3</v>
      </c>
      <c r="Y270">
        <v>1.71824613E-3</v>
      </c>
      <c r="Z270">
        <v>1.18994309E-3</v>
      </c>
      <c r="AA270">
        <v>6.7480922500000003E-4</v>
      </c>
      <c r="AB270">
        <v>5.9819737999999996E-4</v>
      </c>
      <c r="AC270">
        <v>5.2343271499999996E-4</v>
      </c>
      <c r="AD270">
        <v>5.1095591800000002E-4</v>
      </c>
      <c r="AE270">
        <v>4.9877005900000003E-4</v>
      </c>
      <c r="AF270">
        <v>4.8686508100000001E-4</v>
      </c>
      <c r="AG270">
        <v>4.7618876299999999E-4</v>
      </c>
      <c r="AH270">
        <v>4.65752149E-4</v>
      </c>
      <c r="AI270" s="39">
        <v>3.7358135100000001E-4</v>
      </c>
      <c r="AJ270" s="39">
        <v>2.8364332800000003E-4</v>
      </c>
      <c r="AK270" s="39">
        <v>1.9585791800000001E-4</v>
      </c>
      <c r="AL270" s="39">
        <v>2.08324792E-4</v>
      </c>
      <c r="AM270" s="39">
        <v>2.2050242899999999E-4</v>
      </c>
      <c r="AN270" s="39">
        <v>2.11805473E-4</v>
      </c>
      <c r="AO270" s="39">
        <v>2.03254479E-4</v>
      </c>
      <c r="AP270" s="39">
        <v>1.94845805E-4</v>
      </c>
      <c r="AQ270" s="39">
        <v>1.8657592600000001E-4</v>
      </c>
      <c r="AR270" s="39">
        <v>1.78441433E-4</v>
      </c>
      <c r="AS270" s="39">
        <v>1.7755481E-4</v>
      </c>
      <c r="AT270" s="39">
        <v>1.76676954E-4</v>
      </c>
      <c r="AU270" s="39">
        <v>1.7580773600000001E-4</v>
      </c>
      <c r="AV270" s="39">
        <v>1.74947028E-4</v>
      </c>
      <c r="AW270" s="39">
        <v>1.7409470800000001E-4</v>
      </c>
    </row>
    <row r="271" spans="2:49" x14ac:dyDescent="0.25">
      <c r="B271" t="s">
        <v>342</v>
      </c>
      <c r="C271">
        <v>4.0949078402655603E-2</v>
      </c>
      <c r="D271">
        <v>4.0949078402655603E-2</v>
      </c>
      <c r="E271">
        <v>4.0949078399999998E-2</v>
      </c>
      <c r="F271">
        <v>4.0876232399999997E-2</v>
      </c>
      <c r="G271">
        <v>4.0803517800000001E-2</v>
      </c>
      <c r="H271">
        <v>4.07309301E-2</v>
      </c>
      <c r="I271">
        <v>4.0658459700000003E-2</v>
      </c>
      <c r="J271">
        <v>4.0586142800000002E-2</v>
      </c>
      <c r="K271">
        <v>4.05139427E-2</v>
      </c>
      <c r="L271">
        <v>4.0441869399999997E-2</v>
      </c>
      <c r="M271">
        <v>4.0369926600000001E-2</v>
      </c>
      <c r="N271">
        <v>4.0298111900000003E-2</v>
      </c>
      <c r="O271">
        <v>4.42463061E-2</v>
      </c>
      <c r="P271">
        <v>4.8337119099999999E-2</v>
      </c>
      <c r="Q271">
        <v>5.2578419899999999E-2</v>
      </c>
      <c r="R271">
        <v>5.6978670500000002E-2</v>
      </c>
      <c r="S271">
        <v>6.1546972700000001E-2</v>
      </c>
      <c r="T271">
        <v>5.8760594999999999E-2</v>
      </c>
      <c r="U271">
        <v>5.5955096500000003E-2</v>
      </c>
      <c r="V271">
        <v>5.3130278900000001E-2</v>
      </c>
      <c r="W271">
        <v>5.6183854800000002E-2</v>
      </c>
      <c r="X271">
        <v>5.8909256700000003E-2</v>
      </c>
      <c r="Y271">
        <v>5.6639144000000002E-2</v>
      </c>
      <c r="Z271">
        <v>5.4426331799999998E-2</v>
      </c>
      <c r="AA271">
        <v>5.2268680200000001E-2</v>
      </c>
      <c r="AB271">
        <v>5.0196503699999999E-2</v>
      </c>
      <c r="AC271">
        <v>4.8174289100000003E-2</v>
      </c>
      <c r="AD271">
        <v>4.5049255199999999E-2</v>
      </c>
      <c r="AE271">
        <v>4.1997092E-2</v>
      </c>
      <c r="AF271">
        <v>3.9015280499999999E-2</v>
      </c>
      <c r="AG271">
        <v>3.6346307500000001E-2</v>
      </c>
      <c r="AH271">
        <v>3.3737257999999999E-2</v>
      </c>
      <c r="AI271">
        <v>2.7298170199999999E-2</v>
      </c>
      <c r="AJ271">
        <v>2.1015064900000002E-2</v>
      </c>
      <c r="AK271">
        <v>1.4882342099999999E-2</v>
      </c>
      <c r="AL271">
        <v>9.1889673799999995E-3</v>
      </c>
      <c r="AM271">
        <v>3.62768116E-3</v>
      </c>
      <c r="AN271">
        <v>3.8553466799999998E-3</v>
      </c>
      <c r="AO271">
        <v>4.0791912400000001E-3</v>
      </c>
      <c r="AP271">
        <v>4.2993102199999998E-3</v>
      </c>
      <c r="AQ271">
        <v>4.5157958800000004E-3</v>
      </c>
      <c r="AR271">
        <v>4.7287374200000003E-3</v>
      </c>
      <c r="AS271">
        <v>4.8924664499999998E-3</v>
      </c>
      <c r="AT271">
        <v>5.0545764799999997E-3</v>
      </c>
      <c r="AU271">
        <v>5.2150914E-3</v>
      </c>
      <c r="AV271">
        <v>5.3740346499999998E-3</v>
      </c>
      <c r="AW271">
        <v>5.5314292000000001E-3</v>
      </c>
    </row>
    <row r="272" spans="2:49" x14ac:dyDescent="0.25">
      <c r="B272" t="s">
        <v>343</v>
      </c>
      <c r="C272">
        <v>4.0858446639591303E-2</v>
      </c>
      <c r="D272">
        <v>4.0858446639591303E-2</v>
      </c>
      <c r="E272">
        <v>4.0858446600000001E-2</v>
      </c>
      <c r="F272">
        <v>3.7501973100000002E-2</v>
      </c>
      <c r="G272">
        <v>3.4421231400000002E-2</v>
      </c>
      <c r="H272">
        <v>3.1593567000000003E-2</v>
      </c>
      <c r="I272">
        <v>2.8998183600000001E-2</v>
      </c>
      <c r="J272">
        <v>2.6616024700000001E-2</v>
      </c>
      <c r="K272">
        <v>2.4429549500000002E-2</v>
      </c>
      <c r="L272">
        <v>2.2422689900000001E-2</v>
      </c>
      <c r="M272">
        <v>2.0580692599999999E-2</v>
      </c>
      <c r="N272">
        <v>1.8890013300000001E-2</v>
      </c>
      <c r="O272">
        <v>1.6445307100000001E-2</v>
      </c>
      <c r="P272">
        <v>1.3912292099999999E-2</v>
      </c>
      <c r="Q272">
        <v>1.1286095100000001E-2</v>
      </c>
      <c r="R272">
        <v>8.5614784800000007E-3</v>
      </c>
      <c r="S272">
        <v>5.7328032299999998E-3</v>
      </c>
      <c r="T272">
        <v>5.47000478E-3</v>
      </c>
      <c r="U272">
        <v>5.2054029300000002E-3</v>
      </c>
      <c r="V272">
        <v>4.9389789899999996E-3</v>
      </c>
      <c r="W272">
        <v>3.03576461E-3</v>
      </c>
      <c r="X272">
        <v>1.3370926300000001E-3</v>
      </c>
      <c r="Y272">
        <v>1.02666791E-3</v>
      </c>
      <c r="Z272">
        <v>7.24078859E-4</v>
      </c>
      <c r="AA272">
        <v>4.2903253300000002E-4</v>
      </c>
      <c r="AB272">
        <v>4.2379723100000001E-4</v>
      </c>
      <c r="AC272">
        <v>4.1868815599999999E-4</v>
      </c>
      <c r="AD272">
        <v>3.4479082200000001E-4</v>
      </c>
      <c r="AE272">
        <v>2.7261665900000002E-4</v>
      </c>
      <c r="AF272">
        <v>2.0210609100000001E-4</v>
      </c>
      <c r="AG272">
        <v>1.998115E-4</v>
      </c>
      <c r="AH272">
        <v>1.9756842699999999E-4</v>
      </c>
      <c r="AI272">
        <v>1.9514610799999999E-4</v>
      </c>
      <c r="AJ272">
        <v>1.9278246900000001E-4</v>
      </c>
      <c r="AK272">
        <v>1.90475402E-4</v>
      </c>
      <c r="AL272">
        <v>1.88239918E-4</v>
      </c>
      <c r="AM272">
        <v>1.8605629800000001E-4</v>
      </c>
      <c r="AN272">
        <v>1.8448177199999999E-4</v>
      </c>
      <c r="AO272">
        <v>1.8293367100000001E-4</v>
      </c>
      <c r="AP272">
        <v>1.8141133599999999E-4</v>
      </c>
      <c r="AQ272">
        <v>1.7991412900000001E-4</v>
      </c>
      <c r="AR272">
        <v>1.78441433E-4</v>
      </c>
      <c r="AS272">
        <v>1.7755481E-4</v>
      </c>
      <c r="AT272" s="39">
        <v>1.76676954E-4</v>
      </c>
      <c r="AU272" s="39">
        <v>1.7580773600000001E-4</v>
      </c>
      <c r="AV272" s="39">
        <v>1.74947028E-4</v>
      </c>
      <c r="AW272" s="39">
        <v>1.7409470800000001E-4</v>
      </c>
    </row>
    <row r="273" spans="2:49" x14ac:dyDescent="0.25">
      <c r="B273" t="s">
        <v>344</v>
      </c>
      <c r="C273">
        <v>8.2546962733871607E-3</v>
      </c>
      <c r="D273">
        <v>8.2546962733871607E-3</v>
      </c>
      <c r="E273">
        <v>8.2546962700000004E-3</v>
      </c>
      <c r="F273">
        <v>1.7081659700000001E-2</v>
      </c>
      <c r="G273">
        <v>2.5176001699999999E-2</v>
      </c>
      <c r="H273">
        <v>3.24932681E-2</v>
      </c>
      <c r="I273">
        <v>3.8964693199999997E-2</v>
      </c>
      <c r="J273">
        <v>4.44904359E-2</v>
      </c>
      <c r="K273">
        <v>4.8930383500000001E-2</v>
      </c>
      <c r="L273">
        <v>5.20921944E-2</v>
      </c>
      <c r="M273">
        <v>5.37152184E-2</v>
      </c>
      <c r="N273">
        <v>5.3449221399999997E-2</v>
      </c>
      <c r="O273">
        <v>5.9116927600000001E-2</v>
      </c>
      <c r="P273">
        <v>6.4989365699999996E-2</v>
      </c>
      <c r="Q273">
        <v>7.1077831899999999E-2</v>
      </c>
      <c r="R273">
        <v>7.7394473399999997E-2</v>
      </c>
      <c r="S273">
        <v>8.39523561E-2</v>
      </c>
      <c r="T273">
        <v>8.8139122400000006E-2</v>
      </c>
      <c r="U273">
        <v>9.2354618700000002E-2</v>
      </c>
      <c r="V273">
        <v>9.6599140299999997E-2</v>
      </c>
      <c r="W273">
        <v>9.8516193200000005E-2</v>
      </c>
      <c r="X273">
        <v>0.1002272166</v>
      </c>
      <c r="Y273">
        <v>0.10586853440000001</v>
      </c>
      <c r="Z273">
        <v>0.11136745269999999</v>
      </c>
      <c r="AA273">
        <v>0.11672930030000001</v>
      </c>
      <c r="AB273">
        <v>0.12171420619999999</v>
      </c>
      <c r="AC273">
        <v>0.12657892079999999</v>
      </c>
      <c r="AD273">
        <v>0.14072423549999999</v>
      </c>
      <c r="AE273">
        <v>0.15453970249999999</v>
      </c>
      <c r="AF273">
        <v>0.1680367267</v>
      </c>
      <c r="AG273">
        <v>0.1804881287</v>
      </c>
      <c r="AH273">
        <v>0.1926599732</v>
      </c>
      <c r="AI273">
        <v>0.20455367059999999</v>
      </c>
      <c r="AJ273">
        <v>0.2161592517</v>
      </c>
      <c r="AK273">
        <v>0.22748706090000001</v>
      </c>
      <c r="AL273">
        <v>0.23793841709999999</v>
      </c>
      <c r="AM273">
        <v>0.2481472975</v>
      </c>
      <c r="AN273">
        <v>0.26109106230000001</v>
      </c>
      <c r="AO273">
        <v>0.27381758880000001</v>
      </c>
      <c r="AP273">
        <v>0.28633230040000002</v>
      </c>
      <c r="AQ273">
        <v>0.29864044169999998</v>
      </c>
      <c r="AR273">
        <v>0.31074708490000003</v>
      </c>
      <c r="AS273">
        <v>0.32349417860000002</v>
      </c>
      <c r="AT273">
        <v>0.3361152254</v>
      </c>
      <c r="AU273">
        <v>0.34861208570000002</v>
      </c>
      <c r="AV273">
        <v>0.36098658340000001</v>
      </c>
      <c r="AW273">
        <v>0.373240507</v>
      </c>
    </row>
    <row r="274" spans="2:49" x14ac:dyDescent="0.25">
      <c r="B274" t="s">
        <v>345</v>
      </c>
      <c r="C274">
        <v>1.85730666151211E-3</v>
      </c>
      <c r="D274">
        <v>1.85730666151211E-3</v>
      </c>
      <c r="E274">
        <v>1.8573066599999999E-3</v>
      </c>
      <c r="F274">
        <v>2.4629865800000002E-3</v>
      </c>
      <c r="G274">
        <v>3.26618283E-3</v>
      </c>
      <c r="H274">
        <v>4.3313064599999999E-3</v>
      </c>
      <c r="I274">
        <v>5.7437722100000003E-3</v>
      </c>
      <c r="J274">
        <v>7.6168563700000002E-3</v>
      </c>
      <c r="K274">
        <v>1.0100763400000001E-2</v>
      </c>
      <c r="L274">
        <v>1.3394688300000001E-2</v>
      </c>
      <c r="M274">
        <v>1.77627845E-2</v>
      </c>
      <c r="N274">
        <v>2.3555346000000001E-2</v>
      </c>
      <c r="O274">
        <v>2.6053133199999998E-2</v>
      </c>
      <c r="P274">
        <v>2.8641146700000002E-2</v>
      </c>
      <c r="Q274">
        <v>3.1324365E-2</v>
      </c>
      <c r="R274">
        <v>3.4108141299999999E-2</v>
      </c>
      <c r="S274">
        <v>3.6998233899999997E-2</v>
      </c>
      <c r="T274">
        <v>3.8309503799999998E-2</v>
      </c>
      <c r="U274">
        <v>3.9629771699999997E-2</v>
      </c>
      <c r="V274">
        <v>4.0959130000000003E-2</v>
      </c>
      <c r="W274">
        <v>4.5104664199999998E-2</v>
      </c>
      <c r="X274">
        <v>4.88046694E-2</v>
      </c>
      <c r="Y274">
        <v>5.70596201E-2</v>
      </c>
      <c r="Z274">
        <v>6.5106199300000001E-2</v>
      </c>
      <c r="AA274">
        <v>7.29522009E-2</v>
      </c>
      <c r="AB274">
        <v>8.0342860200000005E-2</v>
      </c>
      <c r="AC274">
        <v>8.7555323500000004E-2</v>
      </c>
      <c r="AD274">
        <v>9.5459329999999995E-2</v>
      </c>
      <c r="AE274">
        <v>0.1031790268</v>
      </c>
      <c r="AF274">
        <v>0.1107207866</v>
      </c>
      <c r="AG274">
        <v>0.1175910845</v>
      </c>
      <c r="AH274">
        <v>0.1243071312</v>
      </c>
      <c r="AI274">
        <v>0.12893509289999999</v>
      </c>
      <c r="AJ274">
        <v>0.13345094560000001</v>
      </c>
      <c r="AK274">
        <v>0.13785871459999999</v>
      </c>
      <c r="AL274">
        <v>0.1419413665</v>
      </c>
      <c r="AM274">
        <v>0.1459292992</v>
      </c>
      <c r="AN274">
        <v>0.15162442779999999</v>
      </c>
      <c r="AO274">
        <v>0.15722397369999999</v>
      </c>
      <c r="AP274">
        <v>0.1627303232</v>
      </c>
      <c r="AQ274">
        <v>0.1681457837</v>
      </c>
      <c r="AR274">
        <v>0.17347258709999999</v>
      </c>
      <c r="AS274">
        <v>0.17767761939999999</v>
      </c>
      <c r="AT274">
        <v>0.18184107120000001</v>
      </c>
      <c r="AU274">
        <v>0.18596355610000001</v>
      </c>
      <c r="AV274">
        <v>0.19004567589999999</v>
      </c>
      <c r="AW274">
        <v>0.19408802050000001</v>
      </c>
    </row>
    <row r="275" spans="2:49" x14ac:dyDescent="0.25">
      <c r="B275" t="s">
        <v>346</v>
      </c>
      <c r="C275">
        <v>9.2848272947954696E-2</v>
      </c>
      <c r="D275">
        <v>9.2848272947954599E-2</v>
      </c>
      <c r="E275">
        <v>9.2848272900000001E-2</v>
      </c>
      <c r="F275">
        <v>8.9289128699999998E-2</v>
      </c>
      <c r="G275">
        <v>8.5866420499999999E-2</v>
      </c>
      <c r="H275">
        <v>8.2574909599999996E-2</v>
      </c>
      <c r="I275">
        <v>7.9409548799999896E-2</v>
      </c>
      <c r="J275">
        <v>7.6365572800000003E-2</v>
      </c>
      <c r="K275">
        <v>7.3438258699999995E-2</v>
      </c>
      <c r="L275">
        <v>7.0623154300000004E-2</v>
      </c>
      <c r="M275">
        <v>6.79159649E-2</v>
      </c>
      <c r="N275">
        <v>6.53125502E-2</v>
      </c>
      <c r="O275">
        <v>7.2238232900000005E-2</v>
      </c>
      <c r="P275">
        <v>7.9414088699999996E-2</v>
      </c>
      <c r="Q275">
        <v>8.6853921200000003E-2</v>
      </c>
      <c r="R275">
        <v>9.4572573699999996E-2</v>
      </c>
      <c r="S275">
        <v>0.1025860121</v>
      </c>
      <c r="T275">
        <v>0.10719493450000001</v>
      </c>
      <c r="U275">
        <v>0.11183548359999999</v>
      </c>
      <c r="V275">
        <v>0.11650798449999999</v>
      </c>
      <c r="W275">
        <v>0.1114225625</v>
      </c>
      <c r="X275">
        <v>0.1068836816</v>
      </c>
      <c r="Y275">
        <v>0.10566576129999999</v>
      </c>
      <c r="Z275">
        <v>0.1044785812</v>
      </c>
      <c r="AA275">
        <v>0.1033209964</v>
      </c>
      <c r="AB275">
        <v>0.1021183972</v>
      </c>
      <c r="AC275">
        <v>0.10094479319999999</v>
      </c>
      <c r="AD275">
        <v>0.1008564004</v>
      </c>
      <c r="AE275">
        <v>0.1007700683</v>
      </c>
      <c r="AF275">
        <v>0.10068572620000001</v>
      </c>
      <c r="AG275">
        <v>0.10008070970000001</v>
      </c>
      <c r="AH275">
        <v>9.9489276900000007E-2</v>
      </c>
      <c r="AI275">
        <v>9.7538915300000001E-2</v>
      </c>
      <c r="AJ275">
        <v>9.5635800000000007E-2</v>
      </c>
      <c r="AK275">
        <v>9.3778235000000001E-2</v>
      </c>
      <c r="AL275">
        <v>9.2106687100000001E-2</v>
      </c>
      <c r="AM275">
        <v>9.0473919700000002E-2</v>
      </c>
      <c r="AN275">
        <v>9.0195801699999995E-2</v>
      </c>
      <c r="AO275">
        <v>8.9922351499999997E-2</v>
      </c>
      <c r="AP275">
        <v>8.96534524E-2</v>
      </c>
      <c r="AQ275">
        <v>8.9388991799999998E-2</v>
      </c>
      <c r="AR275">
        <v>8.9128860700000007E-2</v>
      </c>
      <c r="AS275">
        <v>8.8476668300000005E-2</v>
      </c>
      <c r="AT275">
        <v>8.7830925000000004E-2</v>
      </c>
      <c r="AU275">
        <v>8.7191535599999995E-2</v>
      </c>
      <c r="AV275">
        <v>8.6558406700000007E-2</v>
      </c>
      <c r="AW275">
        <v>8.59314469E-2</v>
      </c>
    </row>
    <row r="276" spans="2:49" x14ac:dyDescent="0.25">
      <c r="B276" t="s">
        <v>347</v>
      </c>
      <c r="C276">
        <v>6.0146533669896496E-3</v>
      </c>
      <c r="D276">
        <v>6.0146533669896496E-3</v>
      </c>
      <c r="E276">
        <v>6.0146533700000003E-3</v>
      </c>
      <c r="F276">
        <v>6.7202666100000001E-3</v>
      </c>
      <c r="G276">
        <v>7.5086596899999998E-3</v>
      </c>
      <c r="H276">
        <v>8.3895431800000003E-3</v>
      </c>
      <c r="I276">
        <v>9.3737653900000002E-3</v>
      </c>
      <c r="J276">
        <v>1.04734583E-2</v>
      </c>
      <c r="K276">
        <v>1.17021594E-2</v>
      </c>
      <c r="L276">
        <v>1.3075006E-2</v>
      </c>
      <c r="M276">
        <v>1.46089097E-2</v>
      </c>
      <c r="N276">
        <v>1.63227645E-2</v>
      </c>
      <c r="O276">
        <v>1.55556345E-2</v>
      </c>
      <c r="P276">
        <v>1.4760793899999999E-2</v>
      </c>
      <c r="Q276">
        <v>1.39367134E-2</v>
      </c>
      <c r="R276">
        <v>1.30817499E-2</v>
      </c>
      <c r="S276">
        <v>1.21941332E-2</v>
      </c>
      <c r="T276">
        <v>1.28131462E-2</v>
      </c>
      <c r="U276">
        <v>1.34364069E-2</v>
      </c>
      <c r="V276">
        <v>1.4063958999999999E-2</v>
      </c>
      <c r="W276">
        <v>1.5870585999999999E-2</v>
      </c>
      <c r="X276">
        <v>1.7483051100000001E-2</v>
      </c>
      <c r="Y276">
        <v>1.6895669200000001E-2</v>
      </c>
      <c r="Z276">
        <v>1.63231135E-2</v>
      </c>
      <c r="AA276">
        <v>1.5764830399999999E-2</v>
      </c>
      <c r="AB276">
        <v>1.52072509E-2</v>
      </c>
      <c r="AC276">
        <v>1.46631152E-2</v>
      </c>
      <c r="AD276">
        <v>1.51465873E-2</v>
      </c>
      <c r="AE276">
        <v>1.5618785499999999E-2</v>
      </c>
      <c r="AF276">
        <v>1.6080099699999999E-2</v>
      </c>
      <c r="AG276">
        <v>1.6495656099999999E-2</v>
      </c>
      <c r="AH276">
        <v>1.69018825E-2</v>
      </c>
      <c r="AI276">
        <v>1.75917225E-2</v>
      </c>
      <c r="AJ276">
        <v>1.82648516E-2</v>
      </c>
      <c r="AK276">
        <v>1.8921869800000001E-2</v>
      </c>
      <c r="AL276">
        <v>1.9536448800000002E-2</v>
      </c>
      <c r="AM276">
        <v>2.0136769299999999E-2</v>
      </c>
      <c r="AN276">
        <v>2.0152765199999999E-2</v>
      </c>
      <c r="AO276">
        <v>2.0168492499999999E-2</v>
      </c>
      <c r="AP276">
        <v>2.01839581E-2</v>
      </c>
      <c r="AQ276">
        <v>2.0199168399999998E-2</v>
      </c>
      <c r="AR276">
        <v>2.02141297E-2</v>
      </c>
      <c r="AS276">
        <v>2.02944449E-2</v>
      </c>
      <c r="AT276">
        <v>2.0373966E-2</v>
      </c>
      <c r="AU276">
        <v>2.0452704499999998E-2</v>
      </c>
      <c r="AV276">
        <v>2.0530672100000001E-2</v>
      </c>
      <c r="AW276">
        <v>2.0607879999999999E-2</v>
      </c>
    </row>
    <row r="277" spans="2:49" x14ac:dyDescent="0.25">
      <c r="B277" t="s">
        <v>348</v>
      </c>
      <c r="C277">
        <v>0.92287069498865704</v>
      </c>
      <c r="D277">
        <v>0.92287069498865704</v>
      </c>
      <c r="E277">
        <v>0.92286479210000005</v>
      </c>
      <c r="F277">
        <v>0.89638730089999996</v>
      </c>
      <c r="G277">
        <v>0.87084914980000006</v>
      </c>
      <c r="H277">
        <v>0.84567249929999999</v>
      </c>
      <c r="I277">
        <v>0.82158921279999997</v>
      </c>
      <c r="J277">
        <v>0.7982611006</v>
      </c>
      <c r="K277">
        <v>0.7756487621</v>
      </c>
      <c r="L277">
        <v>0.75365520789999996</v>
      </c>
      <c r="M277">
        <v>0.73211595039999999</v>
      </c>
      <c r="N277">
        <v>0.71118267189999995</v>
      </c>
      <c r="O277">
        <v>0.70839058040000003</v>
      </c>
      <c r="P277">
        <v>0.70606824930000001</v>
      </c>
      <c r="Q277">
        <v>0.70409886129999999</v>
      </c>
      <c r="R277">
        <v>0.70217802370000004</v>
      </c>
      <c r="S277">
        <v>0.69987771190000003</v>
      </c>
      <c r="T277">
        <v>0.67366945119999999</v>
      </c>
      <c r="U277">
        <v>0.64693281319999996</v>
      </c>
      <c r="V277">
        <v>0.6138031638</v>
      </c>
      <c r="W277">
        <v>0.61104107529999996</v>
      </c>
      <c r="X277">
        <v>0.60086829539999997</v>
      </c>
      <c r="Y277">
        <v>0.57847401939999998</v>
      </c>
      <c r="Z277">
        <v>0.55648058410000001</v>
      </c>
      <c r="AA277">
        <v>0.5348313509</v>
      </c>
      <c r="AB277">
        <v>0.51475859940000002</v>
      </c>
      <c r="AC277">
        <v>0.49499877190000002</v>
      </c>
      <c r="AD277">
        <v>0.45124542280000002</v>
      </c>
      <c r="AE277">
        <v>0.4084882427</v>
      </c>
      <c r="AF277">
        <v>0.36666370729999997</v>
      </c>
      <c r="AG277">
        <v>0.34441618060000001</v>
      </c>
      <c r="AH277">
        <v>0.32269252520000002</v>
      </c>
      <c r="AI277">
        <v>0.30029258390000002</v>
      </c>
      <c r="AJ277">
        <v>0.27845796680000001</v>
      </c>
      <c r="AK277">
        <v>0.25714365960000002</v>
      </c>
      <c r="AL277">
        <v>0.29327392790000001</v>
      </c>
      <c r="AM277">
        <v>0.32836504529999999</v>
      </c>
      <c r="AN277">
        <v>0.29204261459999997</v>
      </c>
      <c r="AO277">
        <v>0.25644369449999999</v>
      </c>
      <c r="AP277">
        <v>0.22151211330000001</v>
      </c>
      <c r="AQ277">
        <v>0.18718898240000001</v>
      </c>
      <c r="AR277">
        <v>0.1534300116</v>
      </c>
      <c r="AS277">
        <v>0.16970998919999999</v>
      </c>
      <c r="AT277">
        <v>0.18567198979999999</v>
      </c>
      <c r="AU277">
        <v>0.2013251808</v>
      </c>
      <c r="AV277">
        <v>0.21667222620000001</v>
      </c>
      <c r="AW277">
        <v>0.23170812169999999</v>
      </c>
    </row>
    <row r="278" spans="2:49" x14ac:dyDescent="0.25">
      <c r="B278" t="s">
        <v>349</v>
      </c>
      <c r="C278">
        <v>4.1245617653124303E-2</v>
      </c>
      <c r="D278">
        <v>4.1245617653124303E-2</v>
      </c>
      <c r="E278">
        <v>4.1248777399999999E-2</v>
      </c>
      <c r="F278">
        <v>6.5765875099999996E-2</v>
      </c>
      <c r="G278">
        <v>8.8555710800000006E-2</v>
      </c>
      <c r="H278">
        <v>0.10979977909999999</v>
      </c>
      <c r="I278">
        <v>0.1287112882</v>
      </c>
      <c r="J278">
        <v>0.14516923819999999</v>
      </c>
      <c r="K278">
        <v>0.15874828560000001</v>
      </c>
      <c r="L278">
        <v>0.16893318900000001</v>
      </c>
      <c r="M278">
        <v>0.17507862760000001</v>
      </c>
      <c r="N278">
        <v>0.176106026</v>
      </c>
      <c r="O278">
        <v>0.17810884060000001</v>
      </c>
      <c r="P278">
        <v>0.17982361099999999</v>
      </c>
      <c r="Q278">
        <v>0.18132054659999999</v>
      </c>
      <c r="R278">
        <v>0.18278548780000001</v>
      </c>
      <c r="S278">
        <v>0.18448145220000001</v>
      </c>
      <c r="T278">
        <v>0.18932385509999999</v>
      </c>
      <c r="U278">
        <v>0.19423457860000001</v>
      </c>
      <c r="V278">
        <v>0.20411419350000001</v>
      </c>
      <c r="W278">
        <v>0.1969673961</v>
      </c>
      <c r="X278">
        <v>0.1961209682</v>
      </c>
      <c r="Y278">
        <v>0.1972341782</v>
      </c>
      <c r="Z278">
        <v>0.19827508169999999</v>
      </c>
      <c r="AA278">
        <v>0.19931845570000001</v>
      </c>
      <c r="AB278">
        <v>0.20086142700000001</v>
      </c>
      <c r="AC278">
        <v>0.20254476020000001</v>
      </c>
      <c r="AD278">
        <v>0.21725388579999999</v>
      </c>
      <c r="AE278">
        <v>0.23164069609999999</v>
      </c>
      <c r="AF278">
        <v>0.24570847909999999</v>
      </c>
      <c r="AG278">
        <v>0.24844289650000001</v>
      </c>
      <c r="AH278">
        <v>0.2511381399</v>
      </c>
      <c r="AI278">
        <v>0.25401036789999998</v>
      </c>
      <c r="AJ278">
        <v>0.2567511522</v>
      </c>
      <c r="AK278">
        <v>0.2594088303</v>
      </c>
      <c r="AL278">
        <v>0.22722977459999999</v>
      </c>
      <c r="AM278">
        <v>0.1960985646</v>
      </c>
      <c r="AN278">
        <v>0.21326689160000001</v>
      </c>
      <c r="AO278">
        <v>0.23005136970000001</v>
      </c>
      <c r="AP278">
        <v>0.24643263630000001</v>
      </c>
      <c r="AQ278">
        <v>0.26238659860000002</v>
      </c>
      <c r="AR278">
        <v>0.2779567557</v>
      </c>
      <c r="AS278">
        <v>0.26109739659999998</v>
      </c>
      <c r="AT278">
        <v>0.24465452530000001</v>
      </c>
      <c r="AU278">
        <v>0.22861699369999999</v>
      </c>
      <c r="AV278">
        <v>0.21299479260000001</v>
      </c>
      <c r="AW278">
        <v>0.19775041909999999</v>
      </c>
    </row>
    <row r="279" spans="2:49" x14ac:dyDescent="0.25">
      <c r="B279" t="s">
        <v>350</v>
      </c>
      <c r="C279">
        <v>5.1557022066405396E-3</v>
      </c>
      <c r="D279">
        <v>5.1557022066405396E-3</v>
      </c>
      <c r="E279">
        <v>5.1560971800000003E-3</v>
      </c>
      <c r="F279">
        <v>4.8527639999999999E-3</v>
      </c>
      <c r="G279">
        <v>4.5608912200000001E-3</v>
      </c>
      <c r="H279">
        <v>4.2989494199999999E-3</v>
      </c>
      <c r="I279">
        <v>4.0418101999999999E-3</v>
      </c>
      <c r="J279">
        <v>3.79981853E-3</v>
      </c>
      <c r="K279">
        <v>3.5724310399999999E-3</v>
      </c>
      <c r="L279">
        <v>3.3597531599999998E-3</v>
      </c>
      <c r="M279">
        <v>3.1622166900000001E-3</v>
      </c>
      <c r="N279">
        <v>2.9763535500000001E-3</v>
      </c>
      <c r="O279">
        <v>4.4689686300000003E-3</v>
      </c>
      <c r="P279">
        <v>5.9488961199999999E-3</v>
      </c>
      <c r="Q279">
        <v>7.41238166E-3</v>
      </c>
      <c r="R279">
        <v>8.8637313700000008E-3</v>
      </c>
      <c r="S279">
        <v>1.03173147E-2</v>
      </c>
      <c r="T279">
        <v>1.6063233100000001E-2</v>
      </c>
      <c r="U279">
        <v>2.1937583900000002E-2</v>
      </c>
      <c r="V279">
        <v>2.82294802E-2</v>
      </c>
      <c r="W279">
        <v>3.0625735500000001E-2</v>
      </c>
      <c r="X279">
        <v>3.32214843E-2</v>
      </c>
      <c r="Y279">
        <v>4.3492374799999997E-2</v>
      </c>
      <c r="Z279">
        <v>5.3624305900000002E-2</v>
      </c>
      <c r="AA279">
        <v>6.3608024799999996E-2</v>
      </c>
      <c r="AB279">
        <v>7.1931868900000001E-2</v>
      </c>
      <c r="AC279">
        <v>8.0068716100000006E-2</v>
      </c>
      <c r="AD279">
        <v>9.5124720199999999E-2</v>
      </c>
      <c r="AE279">
        <v>0.1098399774</v>
      </c>
      <c r="AF279">
        <v>0.124237057</v>
      </c>
      <c r="AG279">
        <v>0.1354467952</v>
      </c>
      <c r="AH279">
        <v>0.14638642099999999</v>
      </c>
      <c r="AI279">
        <v>0.15975477060000001</v>
      </c>
      <c r="AJ279">
        <v>0.1728283592</v>
      </c>
      <c r="AK279">
        <v>0.18560708209999999</v>
      </c>
      <c r="AL279">
        <v>0.1915106486</v>
      </c>
      <c r="AM279">
        <v>0.1971796294</v>
      </c>
      <c r="AN279">
        <v>0.20732750699999999</v>
      </c>
      <c r="AO279">
        <v>0.2172992638</v>
      </c>
      <c r="AP279">
        <v>0.22713537210000001</v>
      </c>
      <c r="AQ279">
        <v>0.23688203669999999</v>
      </c>
      <c r="AR279">
        <v>0.24653958030000001</v>
      </c>
      <c r="AS279">
        <v>0.25397211510000001</v>
      </c>
      <c r="AT279">
        <v>0.26119222180000001</v>
      </c>
      <c r="AU279">
        <v>0.26820273519999999</v>
      </c>
      <c r="AV279">
        <v>0.27499628279999999</v>
      </c>
      <c r="AW279">
        <v>0.28160068900000002</v>
      </c>
    </row>
    <row r="280" spans="2:49" x14ac:dyDescent="0.25">
      <c r="B280" t="s">
        <v>351</v>
      </c>
      <c r="C280">
        <v>1.5260878531656001E-2</v>
      </c>
      <c r="D280">
        <v>1.5260878531656001E-2</v>
      </c>
      <c r="E280">
        <v>1.52620476E-2</v>
      </c>
      <c r="F280">
        <v>1.4656915499999999E-2</v>
      </c>
      <c r="G280">
        <v>1.4056099799999999E-2</v>
      </c>
      <c r="H280">
        <v>1.35188315E-2</v>
      </c>
      <c r="I280">
        <v>1.29692373E-2</v>
      </c>
      <c r="J280">
        <v>1.24412232E-2</v>
      </c>
      <c r="K280">
        <v>1.19350923E-2</v>
      </c>
      <c r="L280">
        <v>1.1453309700000001E-2</v>
      </c>
      <c r="M280">
        <v>1.09996017E-2</v>
      </c>
      <c r="N280">
        <v>1.05640769E-2</v>
      </c>
      <c r="O280">
        <v>1.54815326E-2</v>
      </c>
      <c r="P280">
        <v>2.0355994400000001E-2</v>
      </c>
      <c r="Q280">
        <v>2.5175425099999999E-2</v>
      </c>
      <c r="R280">
        <v>2.99548049E-2</v>
      </c>
      <c r="S280">
        <v>3.4742548200000001E-2</v>
      </c>
      <c r="T280">
        <v>3.6185727799999998E-2</v>
      </c>
      <c r="U280">
        <v>3.7653864699999998E-2</v>
      </c>
      <c r="V280">
        <v>3.9305443699999998E-2</v>
      </c>
      <c r="W280">
        <v>3.3568455099999998E-2</v>
      </c>
      <c r="X280">
        <v>2.91423367E-2</v>
      </c>
      <c r="Y280">
        <v>3.0041304800000002E-2</v>
      </c>
      <c r="Z280">
        <v>3.0920210199999999E-2</v>
      </c>
      <c r="AA280">
        <v>3.1781383400000002E-2</v>
      </c>
      <c r="AB280">
        <v>3.2346356299999997E-2</v>
      </c>
      <c r="AC280">
        <v>3.2899173599999998E-2</v>
      </c>
      <c r="AD280">
        <v>3.41643903E-2</v>
      </c>
      <c r="AE280">
        <v>3.5399027999999999E-2</v>
      </c>
      <c r="AF280">
        <v>3.6606625699999999E-2</v>
      </c>
      <c r="AG280">
        <v>3.6528930299999998E-2</v>
      </c>
      <c r="AH280">
        <v>3.6451497800000003E-2</v>
      </c>
      <c r="AI280">
        <v>3.6765197800000003E-2</v>
      </c>
      <c r="AJ280">
        <v>3.7068422300000001E-2</v>
      </c>
      <c r="AK280">
        <v>3.7363105899999999E-2</v>
      </c>
      <c r="AL280">
        <v>3.3897257799999997E-2</v>
      </c>
      <c r="AM280">
        <v>3.05332205E-2</v>
      </c>
      <c r="AN280">
        <v>3.20488227E-2</v>
      </c>
      <c r="AO280">
        <v>3.3532971299999999E-2</v>
      </c>
      <c r="AP280">
        <v>3.4986975300000001E-2</v>
      </c>
      <c r="AQ280">
        <v>3.6411959600000002E-2</v>
      </c>
      <c r="AR280">
        <v>3.7810268899999999E-2</v>
      </c>
      <c r="AS280">
        <v>3.5886817199999997E-2</v>
      </c>
      <c r="AT280">
        <v>3.4005878400000002E-2</v>
      </c>
      <c r="AU280">
        <v>3.2166709199999997E-2</v>
      </c>
      <c r="AV280">
        <v>3.0369512000000001E-2</v>
      </c>
      <c r="AW280">
        <v>2.86129226E-2</v>
      </c>
    </row>
    <row r="281" spans="2:49" x14ac:dyDescent="0.25">
      <c r="B281" t="s">
        <v>352</v>
      </c>
      <c r="C281">
        <v>5.1557022066405396E-3</v>
      </c>
      <c r="D281">
        <v>5.1557022066405396E-3</v>
      </c>
      <c r="E281">
        <v>5.1560971800000003E-3</v>
      </c>
      <c r="F281">
        <v>5.1475007099999999E-3</v>
      </c>
      <c r="G281">
        <v>5.1317347700000002E-3</v>
      </c>
      <c r="H281">
        <v>5.13078797E-3</v>
      </c>
      <c r="I281">
        <v>5.1168759900000003E-3</v>
      </c>
      <c r="J281">
        <v>5.1026887399999998E-3</v>
      </c>
      <c r="K281">
        <v>5.0887055200000003E-3</v>
      </c>
      <c r="L281">
        <v>5.0764262400000001E-3</v>
      </c>
      <c r="M281">
        <v>5.0681514E-3</v>
      </c>
      <c r="N281">
        <v>5.0599906600000003E-3</v>
      </c>
      <c r="O281">
        <v>5.8717628799999999E-3</v>
      </c>
      <c r="P281">
        <v>6.6712159699999999E-3</v>
      </c>
      <c r="Q281">
        <v>7.4578126099999996E-3</v>
      </c>
      <c r="R281">
        <v>8.2374949500000003E-3</v>
      </c>
      <c r="S281">
        <v>9.0229513000000001E-3</v>
      </c>
      <c r="T281">
        <v>1.0733515799999999E-2</v>
      </c>
      <c r="U281">
        <v>1.24809634E-2</v>
      </c>
      <c r="V281">
        <v>1.47614775E-2</v>
      </c>
      <c r="W281">
        <v>1.4091097800000001E-2</v>
      </c>
      <c r="X281">
        <v>1.4171265400000001E-2</v>
      </c>
      <c r="Y281">
        <v>1.52853537E-2</v>
      </c>
      <c r="Z281">
        <v>1.6381272499999999E-2</v>
      </c>
      <c r="AA281">
        <v>1.74654895E-2</v>
      </c>
      <c r="AB281">
        <v>1.86296037E-2</v>
      </c>
      <c r="AC281">
        <v>1.97882913E-2</v>
      </c>
      <c r="AD281">
        <v>2.32223924E-2</v>
      </c>
      <c r="AE281">
        <v>2.6581043799999999E-2</v>
      </c>
      <c r="AF281">
        <v>2.9866293700000001E-2</v>
      </c>
      <c r="AG281">
        <v>3.1726468899999999E-2</v>
      </c>
      <c r="AH281">
        <v>3.3545503800000001E-2</v>
      </c>
      <c r="AI281">
        <v>3.4395855000000003E-2</v>
      </c>
      <c r="AJ281">
        <v>3.5221831699999998E-2</v>
      </c>
      <c r="AK281">
        <v>3.6027254100000003E-2</v>
      </c>
      <c r="AL281">
        <v>3.2327820100000002E-2</v>
      </c>
      <c r="AM281">
        <v>2.8741160200000001E-2</v>
      </c>
      <c r="AN281">
        <v>3.1328194300000001E-2</v>
      </c>
      <c r="AO281">
        <v>3.3861954299999997E-2</v>
      </c>
      <c r="AP281">
        <v>3.6343730800000001E-2</v>
      </c>
      <c r="AQ281">
        <v>3.8775021100000001E-2</v>
      </c>
      <c r="AR281">
        <v>4.1160338900000003E-2</v>
      </c>
      <c r="AS281">
        <v>3.9272572499999998E-2</v>
      </c>
      <c r="AT281">
        <v>3.7427361700000002E-2</v>
      </c>
      <c r="AU281">
        <v>3.5623811499999998E-2</v>
      </c>
      <c r="AV281">
        <v>3.3862313300000002E-2</v>
      </c>
      <c r="AW281">
        <v>3.21409603E-2</v>
      </c>
    </row>
    <row r="282" spans="2:49" x14ac:dyDescent="0.25">
      <c r="B282" t="s">
        <v>353</v>
      </c>
      <c r="C282">
        <v>1.0311404413280999E-2</v>
      </c>
      <c r="D282">
        <v>1.0311404413280999E-2</v>
      </c>
      <c r="E282">
        <v>1.03121944E-2</v>
      </c>
      <c r="F282">
        <v>1.31896446E-2</v>
      </c>
      <c r="G282">
        <v>1.6846417499999999E-2</v>
      </c>
      <c r="H282">
        <v>2.1579138599999999E-2</v>
      </c>
      <c r="I282">
        <v>2.7571577199999999E-2</v>
      </c>
      <c r="J282">
        <v>3.5225930699999998E-2</v>
      </c>
      <c r="K282">
        <v>4.50067236E-2</v>
      </c>
      <c r="L282">
        <v>5.7522114200000002E-2</v>
      </c>
      <c r="M282">
        <v>7.3575465899999998E-2</v>
      </c>
      <c r="N282">
        <v>9.4110880600000002E-2</v>
      </c>
      <c r="O282">
        <v>8.7678314899999998E-2</v>
      </c>
      <c r="P282">
        <v>8.1132036099999999E-2</v>
      </c>
      <c r="Q282">
        <v>7.45349768E-2</v>
      </c>
      <c r="R282">
        <v>6.7980456800000005E-2</v>
      </c>
      <c r="S282">
        <v>6.1557989200000003E-2</v>
      </c>
      <c r="T282">
        <v>7.4024217099999998E-2</v>
      </c>
      <c r="U282">
        <v>8.6760194099999896E-2</v>
      </c>
      <c r="V282">
        <v>9.9786246300000006E-2</v>
      </c>
      <c r="W282">
        <v>0.113706193</v>
      </c>
      <c r="X282">
        <v>0.12647565089999999</v>
      </c>
      <c r="Y282">
        <v>0.13547276350000001</v>
      </c>
      <c r="Z282">
        <v>0.1443185337</v>
      </c>
      <c r="AA282">
        <v>0.15299528779999999</v>
      </c>
      <c r="AB282">
        <v>0.16147214130000001</v>
      </c>
      <c r="AC282">
        <v>0.1697002853</v>
      </c>
      <c r="AD282">
        <v>0.1789891891</v>
      </c>
      <c r="AE282">
        <v>0.1880510121</v>
      </c>
      <c r="AF282">
        <v>0.1969178375</v>
      </c>
      <c r="AG282">
        <v>0.20343872860000001</v>
      </c>
      <c r="AH282">
        <v>0.20978591229999999</v>
      </c>
      <c r="AI282">
        <v>0.2147812261</v>
      </c>
      <c r="AJ282">
        <v>0.21967226910000001</v>
      </c>
      <c r="AK282">
        <v>0.22445006880000001</v>
      </c>
      <c r="AL282">
        <v>0.2217605695</v>
      </c>
      <c r="AM282">
        <v>0.2190823787</v>
      </c>
      <c r="AN282">
        <v>0.22398597040000001</v>
      </c>
      <c r="AO282">
        <v>0.2288107469</v>
      </c>
      <c r="AP282">
        <v>0.2335891729</v>
      </c>
      <c r="AQ282">
        <v>0.2383554027</v>
      </c>
      <c r="AR282">
        <v>0.24310304429999999</v>
      </c>
      <c r="AS282">
        <v>0.24006110920000001</v>
      </c>
      <c r="AT282">
        <v>0.23704802280000001</v>
      </c>
      <c r="AU282">
        <v>0.23406456950000001</v>
      </c>
      <c r="AV282">
        <v>0.23110487299999999</v>
      </c>
      <c r="AW282">
        <v>0.22818688719999999</v>
      </c>
    </row>
    <row r="283" spans="2:49" x14ac:dyDescent="0.25">
      <c r="B283" t="s">
        <v>354</v>
      </c>
      <c r="C283">
        <v>0.99132434052165697</v>
      </c>
      <c r="D283">
        <v>0.99132434052165697</v>
      </c>
      <c r="E283">
        <v>0.99172610110000003</v>
      </c>
      <c r="F283">
        <v>0.98765502360000001</v>
      </c>
      <c r="G283">
        <v>0.98360065809999997</v>
      </c>
      <c r="H283">
        <v>0.97956293589999999</v>
      </c>
      <c r="I283">
        <v>0.97554178869999997</v>
      </c>
      <c r="J283">
        <v>0.97153714849999995</v>
      </c>
      <c r="K283">
        <v>0.96754894749999998</v>
      </c>
      <c r="L283">
        <v>0.96357711820000003</v>
      </c>
      <c r="M283">
        <v>0.95962159349999998</v>
      </c>
      <c r="N283">
        <v>0.95568230639999996</v>
      </c>
      <c r="O283">
        <v>0.95496918220000004</v>
      </c>
      <c r="P283">
        <v>0.95421073860000005</v>
      </c>
      <c r="Q283">
        <v>0.95340251369999995</v>
      </c>
      <c r="R283">
        <v>0.95253944010000002</v>
      </c>
      <c r="S283">
        <v>0.95161573820000001</v>
      </c>
      <c r="T283">
        <v>0.94906485620000003</v>
      </c>
      <c r="U283">
        <v>0.94659676530000003</v>
      </c>
      <c r="V283">
        <v>0.93767442349999996</v>
      </c>
      <c r="W283">
        <v>0.9246967921</v>
      </c>
      <c r="X283">
        <v>0.91100504179999997</v>
      </c>
      <c r="Y283">
        <v>0.90063730119999996</v>
      </c>
      <c r="Z283">
        <v>0.88970347679999995</v>
      </c>
      <c r="AA283">
        <v>0.87815916670000005</v>
      </c>
      <c r="AB283">
        <v>0.86589903180000005</v>
      </c>
      <c r="AC283">
        <v>0.85285399029999998</v>
      </c>
      <c r="AD283">
        <v>0.82650923330000003</v>
      </c>
      <c r="AE283">
        <v>0.7983639817</v>
      </c>
      <c r="AF283">
        <v>0.76817747599999997</v>
      </c>
      <c r="AG283">
        <v>0.7360234349</v>
      </c>
      <c r="AH283">
        <v>0.70138377279999997</v>
      </c>
      <c r="AI283">
        <v>0.66172298780000005</v>
      </c>
      <c r="AJ283">
        <v>0.61867210549999996</v>
      </c>
      <c r="AK283">
        <v>0.57152843939999998</v>
      </c>
      <c r="AL283">
        <v>0.52106219259999997</v>
      </c>
      <c r="AM283">
        <v>0.4648714685</v>
      </c>
      <c r="AN283">
        <v>0.43344057209999998</v>
      </c>
      <c r="AO283">
        <v>0.39940080410000001</v>
      </c>
      <c r="AP283">
        <v>0.36239584339999997</v>
      </c>
      <c r="AQ283">
        <v>0.32184740290000002</v>
      </c>
      <c r="AR283">
        <v>0.2767435151</v>
      </c>
      <c r="AS283">
        <v>0.26488654049999999</v>
      </c>
      <c r="AT283">
        <v>0.25263698280000002</v>
      </c>
      <c r="AU283">
        <v>0.2399546981</v>
      </c>
      <c r="AV283">
        <v>0.22672828689999999</v>
      </c>
      <c r="AW283">
        <v>0.2128710533</v>
      </c>
    </row>
    <row r="284" spans="2:49" x14ac:dyDescent="0.25">
      <c r="B284" t="s">
        <v>355</v>
      </c>
      <c r="C284">
        <v>0.91950930808135101</v>
      </c>
      <c r="D284">
        <v>0.91950930808135101</v>
      </c>
      <c r="E284">
        <v>0.91950930809999998</v>
      </c>
      <c r="F284">
        <v>0.89194960639999998</v>
      </c>
      <c r="G284">
        <v>0.8652159291</v>
      </c>
      <c r="H284">
        <v>0.83928351850000005</v>
      </c>
      <c r="I284">
        <v>0.81412835890000002</v>
      </c>
      <c r="J284">
        <v>0.78972715429999996</v>
      </c>
      <c r="K284">
        <v>0.76605730719999998</v>
      </c>
      <c r="L284">
        <v>0.74309689700000003</v>
      </c>
      <c r="M284">
        <v>0.72082466040000004</v>
      </c>
      <c r="N284">
        <v>0.69921997140000003</v>
      </c>
      <c r="O284">
        <v>0.69624978999999998</v>
      </c>
      <c r="P284">
        <v>0.69328496819999996</v>
      </c>
      <c r="Q284">
        <v>0.69032549160000001</v>
      </c>
      <c r="R284">
        <v>0.68737134560000002</v>
      </c>
      <c r="S284">
        <v>0.68442251590000003</v>
      </c>
      <c r="T284">
        <v>0.65674744659999995</v>
      </c>
      <c r="U284">
        <v>0.62841022120000001</v>
      </c>
      <c r="V284">
        <v>0.59346064899999995</v>
      </c>
      <c r="W284">
        <v>0.59097765000000002</v>
      </c>
      <c r="X284">
        <v>0.5805374364</v>
      </c>
      <c r="Y284">
        <v>0.55706138319999998</v>
      </c>
      <c r="Z284">
        <v>0.5338707453</v>
      </c>
      <c r="AA284">
        <v>0.5108776411</v>
      </c>
      <c r="AB284">
        <v>0.48892053419999998</v>
      </c>
      <c r="AC284">
        <v>0.46703454249999998</v>
      </c>
      <c r="AD284">
        <v>0.42042362239999997</v>
      </c>
      <c r="AE284">
        <v>0.37473342500000001</v>
      </c>
      <c r="AF284">
        <v>0.3299645027</v>
      </c>
      <c r="AG284">
        <v>0.30571496370000001</v>
      </c>
      <c r="AH284">
        <v>0.28192721389999997</v>
      </c>
      <c r="AI284">
        <v>0.2574309695</v>
      </c>
      <c r="AJ284">
        <v>0.23347790199999999</v>
      </c>
      <c r="AK284">
        <v>0.21001971289999999</v>
      </c>
      <c r="AL284">
        <v>0.2469343765</v>
      </c>
      <c r="AM284">
        <v>0.2828554741</v>
      </c>
      <c r="AN284">
        <v>0.24332817109999999</v>
      </c>
      <c r="AO284">
        <v>0.20450908849999999</v>
      </c>
      <c r="AP284">
        <v>0.16638558510000001</v>
      </c>
      <c r="AQ284">
        <v>0.12893228500000001</v>
      </c>
      <c r="AR284">
        <v>9.2087525599999998E-2</v>
      </c>
      <c r="AS284">
        <v>0.10792678260000001</v>
      </c>
      <c r="AT284">
        <v>0.1234554824</v>
      </c>
      <c r="AU284">
        <v>0.138677258</v>
      </c>
      <c r="AV284">
        <v>0.1535893941</v>
      </c>
      <c r="AW284">
        <v>0.16820749409999999</v>
      </c>
    </row>
    <row r="285" spans="2:49" x14ac:dyDescent="0.25">
      <c r="B285" t="s">
        <v>476</v>
      </c>
      <c r="C285">
        <v>383714635.27038902</v>
      </c>
      <c r="D285">
        <v>389875297.85567099</v>
      </c>
      <c r="E285">
        <v>396134871.89999998</v>
      </c>
      <c r="F285">
        <v>414617546.19999999</v>
      </c>
      <c r="G285">
        <v>424646523.89999998</v>
      </c>
      <c r="H285">
        <v>439479149.10000002</v>
      </c>
      <c r="I285">
        <v>452929010.69999999</v>
      </c>
      <c r="J285">
        <v>472032373.60000002</v>
      </c>
      <c r="K285">
        <v>494074582.10000002</v>
      </c>
      <c r="L285">
        <v>519064521.89999998</v>
      </c>
      <c r="M285">
        <v>548891693</v>
      </c>
      <c r="N285">
        <v>576538169.79999995</v>
      </c>
      <c r="O285">
        <v>580787919.60000002</v>
      </c>
      <c r="P285">
        <v>579436933.89999998</v>
      </c>
      <c r="Q285">
        <v>576087730.39999998</v>
      </c>
      <c r="R285">
        <v>575482863.79999995</v>
      </c>
      <c r="S285">
        <v>584054283.70000005</v>
      </c>
      <c r="T285">
        <v>588983590.20000005</v>
      </c>
      <c r="U285">
        <v>591240413.60000002</v>
      </c>
      <c r="V285">
        <v>592665093.60000002</v>
      </c>
      <c r="W285">
        <v>576332446.29999995</v>
      </c>
      <c r="X285">
        <v>562421253.70000005</v>
      </c>
      <c r="Y285">
        <v>559141605.79999995</v>
      </c>
      <c r="Z285">
        <v>552832614</v>
      </c>
      <c r="AA285">
        <v>545136146.29999995</v>
      </c>
      <c r="AB285">
        <v>536477980</v>
      </c>
      <c r="AC285">
        <v>527274430.80000001</v>
      </c>
      <c r="AD285">
        <v>521550175.69999999</v>
      </c>
      <c r="AE285">
        <v>515820418.30000001</v>
      </c>
      <c r="AF285">
        <v>510154249.89999998</v>
      </c>
      <c r="AG285">
        <v>504617623</v>
      </c>
      <c r="AH285">
        <v>499219911.69999999</v>
      </c>
      <c r="AI285">
        <v>493312170.69999999</v>
      </c>
      <c r="AJ285">
        <v>487978254.10000002</v>
      </c>
      <c r="AK285">
        <v>482912615.69999999</v>
      </c>
      <c r="AL285">
        <v>478057435.30000001</v>
      </c>
      <c r="AM285">
        <v>473260388.69999999</v>
      </c>
      <c r="AN285">
        <v>468472721.10000002</v>
      </c>
      <c r="AO285">
        <v>463800232.30000001</v>
      </c>
      <c r="AP285">
        <v>459214386.60000002</v>
      </c>
      <c r="AQ285">
        <v>454679019.19999999</v>
      </c>
      <c r="AR285">
        <v>449058056.89999998</v>
      </c>
      <c r="AS285">
        <v>443572163.39999998</v>
      </c>
      <c r="AT285">
        <v>438347021.69999999</v>
      </c>
      <c r="AU285">
        <v>433338103.69999999</v>
      </c>
      <c r="AV285">
        <v>428476118.69999999</v>
      </c>
      <c r="AW285">
        <v>423467134.39999998</v>
      </c>
    </row>
    <row r="286" spans="2:49" x14ac:dyDescent="0.25">
      <c r="B286" t="s">
        <v>477</v>
      </c>
      <c r="C286">
        <v>13020.598862561899</v>
      </c>
      <c r="D286">
        <v>13229.6487889324</v>
      </c>
      <c r="E286">
        <v>13442.05508</v>
      </c>
      <c r="F286">
        <v>13754.563690000001</v>
      </c>
      <c r="G286">
        <v>14079.346729999999</v>
      </c>
      <c r="H286">
        <v>13563.96823</v>
      </c>
      <c r="I286">
        <v>13062.810390000001</v>
      </c>
      <c r="J286">
        <v>13345.181039999999</v>
      </c>
      <c r="K286">
        <v>13562.49791</v>
      </c>
      <c r="L286">
        <v>13434.28405</v>
      </c>
      <c r="M286">
        <v>13602.15978</v>
      </c>
      <c r="N286">
        <v>13989.874680000001</v>
      </c>
      <c r="O286">
        <v>14225.698109999999</v>
      </c>
      <c r="P286">
        <v>14473.63811</v>
      </c>
      <c r="Q286">
        <v>14827.76262</v>
      </c>
      <c r="R286">
        <v>15197.44087</v>
      </c>
      <c r="S286">
        <v>14867.335419999999</v>
      </c>
      <c r="T286">
        <v>14300.68813</v>
      </c>
      <c r="U286">
        <v>14188.56358</v>
      </c>
      <c r="V286">
        <v>14026.273870000001</v>
      </c>
      <c r="W286">
        <v>13869.012000000001</v>
      </c>
      <c r="X286">
        <v>13635.160040000001</v>
      </c>
      <c r="Y286">
        <v>13442.14769</v>
      </c>
      <c r="Z286">
        <v>13208.5128</v>
      </c>
      <c r="AA286">
        <v>13020.940189999999</v>
      </c>
      <c r="AB286">
        <v>12838.092689999999</v>
      </c>
      <c r="AC286">
        <v>12618.518609999999</v>
      </c>
      <c r="AD286">
        <v>12182.6762</v>
      </c>
      <c r="AE286">
        <v>11791.35867</v>
      </c>
      <c r="AF286">
        <v>11414.53995</v>
      </c>
      <c r="AG286">
        <v>11050.734329999999</v>
      </c>
      <c r="AH286">
        <v>10695.362300000001</v>
      </c>
      <c r="AI286">
        <v>10372.837030000001</v>
      </c>
      <c r="AJ286">
        <v>10095.72028</v>
      </c>
      <c r="AK286">
        <v>9813.2794919999997</v>
      </c>
      <c r="AL286">
        <v>9558.8400160000001</v>
      </c>
      <c r="AM286">
        <v>9292.4558340000003</v>
      </c>
      <c r="AN286">
        <v>9051.7042980000006</v>
      </c>
      <c r="AO286">
        <v>8815.7626230000005</v>
      </c>
      <c r="AP286">
        <v>8588.5659539999997</v>
      </c>
      <c r="AQ286">
        <v>8363.9371499999997</v>
      </c>
      <c r="AR286">
        <v>8142.4538359999997</v>
      </c>
      <c r="AS286">
        <v>7913.6939279999997</v>
      </c>
      <c r="AT286">
        <v>7683.8551710000002</v>
      </c>
      <c r="AU286">
        <v>7467.1692750000002</v>
      </c>
      <c r="AV286">
        <v>7263.121056</v>
      </c>
      <c r="AW286">
        <v>7062.3922220000004</v>
      </c>
    </row>
    <row r="287" spans="2:49" x14ac:dyDescent="0.25">
      <c r="B287" t="s">
        <v>478</v>
      </c>
      <c r="C287">
        <v>158336.21117690401</v>
      </c>
      <c r="D287">
        <v>160878.35026264799</v>
      </c>
      <c r="E287">
        <v>163461.30420000001</v>
      </c>
      <c r="F287">
        <v>174439.08309999999</v>
      </c>
      <c r="G287">
        <v>181746.10019999999</v>
      </c>
      <c r="H287">
        <v>189779.32500000001</v>
      </c>
      <c r="I287">
        <v>197653.1201</v>
      </c>
      <c r="J287">
        <v>207903.29130000001</v>
      </c>
      <c r="K287">
        <v>223944.34710000001</v>
      </c>
      <c r="L287">
        <v>240583.56899999999</v>
      </c>
      <c r="M287">
        <v>258214.27290000001</v>
      </c>
      <c r="N287">
        <v>281915.978</v>
      </c>
      <c r="O287">
        <v>283867.30180000002</v>
      </c>
      <c r="P287">
        <v>279243.38740000001</v>
      </c>
      <c r="Q287">
        <v>273929.6581</v>
      </c>
      <c r="R287">
        <v>273886.65379999997</v>
      </c>
      <c r="S287">
        <v>281615.36219999997</v>
      </c>
      <c r="T287">
        <v>289399.44420000003</v>
      </c>
      <c r="U287">
        <v>291105.32980000001</v>
      </c>
      <c r="V287">
        <v>291872.6102</v>
      </c>
      <c r="W287">
        <v>272549.228</v>
      </c>
      <c r="X287">
        <v>257466.54269999999</v>
      </c>
      <c r="Y287">
        <v>262436.01669999998</v>
      </c>
      <c r="Z287">
        <v>263559.47720000002</v>
      </c>
      <c r="AA287">
        <v>262607.72779999999</v>
      </c>
      <c r="AB287">
        <v>260226.19769999999</v>
      </c>
      <c r="AC287">
        <v>257079.6453</v>
      </c>
      <c r="AD287">
        <v>255939.22829999999</v>
      </c>
      <c r="AE287">
        <v>254619.5895</v>
      </c>
      <c r="AF287">
        <v>253452.0601</v>
      </c>
      <c r="AG287">
        <v>252365.76579999999</v>
      </c>
      <c r="AH287">
        <v>251387.5252</v>
      </c>
      <c r="AI287">
        <v>249248.93309999999</v>
      </c>
      <c r="AJ287">
        <v>247610.1612</v>
      </c>
      <c r="AK287">
        <v>246398.93049999999</v>
      </c>
      <c r="AL287">
        <v>245292.09340000001</v>
      </c>
      <c r="AM287">
        <v>244347.712</v>
      </c>
      <c r="AN287">
        <v>243327.66740000001</v>
      </c>
      <c r="AO287">
        <v>242358.0306</v>
      </c>
      <c r="AP287">
        <v>241382.60329999999</v>
      </c>
      <c r="AQ287">
        <v>240428.04519999999</v>
      </c>
      <c r="AR287">
        <v>237698.8327</v>
      </c>
      <c r="AS287">
        <v>235514.6415</v>
      </c>
      <c r="AT287">
        <v>233565.9713</v>
      </c>
      <c r="AU287">
        <v>231689.7409</v>
      </c>
      <c r="AV287">
        <v>229924.65659999999</v>
      </c>
      <c r="AW287">
        <v>228804.80009999999</v>
      </c>
    </row>
    <row r="288" spans="2:49" x14ac:dyDescent="0.25">
      <c r="B288" t="s">
        <v>479</v>
      </c>
      <c r="C288">
        <v>516755.579312385</v>
      </c>
      <c r="D288">
        <v>525052.257287574</v>
      </c>
      <c r="E288">
        <v>533482.14110000001</v>
      </c>
      <c r="F288">
        <v>549174.40269999998</v>
      </c>
      <c r="G288">
        <v>553296.50879999995</v>
      </c>
      <c r="H288">
        <v>564279.29209999996</v>
      </c>
      <c r="I288">
        <v>572701.62170000002</v>
      </c>
      <c r="J288">
        <v>587816.85820000002</v>
      </c>
      <c r="K288">
        <v>602541.55729999999</v>
      </c>
      <c r="L288">
        <v>620660.0834</v>
      </c>
      <c r="M288">
        <v>644622.52579999994</v>
      </c>
      <c r="N288">
        <v>669397.62589999998</v>
      </c>
      <c r="O288">
        <v>672483.90630000003</v>
      </c>
      <c r="P288">
        <v>671967.16260000004</v>
      </c>
      <c r="Q288">
        <v>668943.00890000002</v>
      </c>
      <c r="R288">
        <v>666130.66339999996</v>
      </c>
      <c r="S288">
        <v>671348.18059999996</v>
      </c>
      <c r="T288">
        <v>672940.00580000004</v>
      </c>
      <c r="U288">
        <v>675068.7156</v>
      </c>
      <c r="V288">
        <v>676645.79830000002</v>
      </c>
      <c r="W288">
        <v>666497.91260000004</v>
      </c>
      <c r="X288">
        <v>656817.87639999995</v>
      </c>
      <c r="Y288">
        <v>652711.9902</v>
      </c>
      <c r="Z288">
        <v>646817.4645</v>
      </c>
      <c r="AA288">
        <v>640249.57519999996</v>
      </c>
      <c r="AB288">
        <v>633145.88370000001</v>
      </c>
      <c r="AC288">
        <v>625628.68859999999</v>
      </c>
      <c r="AD288">
        <v>619976.68629999994</v>
      </c>
      <c r="AE288">
        <v>614398.80070000002</v>
      </c>
      <c r="AF288">
        <v>608753.61439999996</v>
      </c>
      <c r="AG288">
        <v>603199.09010000003</v>
      </c>
      <c r="AH288">
        <v>597731.57799999998</v>
      </c>
      <c r="AI288">
        <v>592282.49710000004</v>
      </c>
      <c r="AJ288">
        <v>587312.83770000003</v>
      </c>
      <c r="AK288">
        <v>582398.97069999995</v>
      </c>
      <c r="AL288">
        <v>577695.82990000001</v>
      </c>
      <c r="AM288">
        <v>572918.89619999996</v>
      </c>
      <c r="AN288">
        <v>568170.16969999997</v>
      </c>
      <c r="AO288">
        <v>563524.99349999998</v>
      </c>
      <c r="AP288">
        <v>558981.25320000004</v>
      </c>
      <c r="AQ288">
        <v>554461.53910000005</v>
      </c>
      <c r="AR288">
        <v>549476.19090000005</v>
      </c>
      <c r="AS288">
        <v>544248.56709999999</v>
      </c>
      <c r="AT288">
        <v>539218.78189999994</v>
      </c>
      <c r="AU288">
        <v>534440.43169999996</v>
      </c>
      <c r="AV288">
        <v>529773.6298</v>
      </c>
      <c r="AW288">
        <v>524334.36990000005</v>
      </c>
    </row>
    <row r="289" spans="2:49" x14ac:dyDescent="0.25">
      <c r="B289" t="s">
        <v>480</v>
      </c>
      <c r="C289">
        <v>82711.5521017555</v>
      </c>
      <c r="D289">
        <v>84039.512824558697</v>
      </c>
      <c r="E289">
        <v>85388.793109999999</v>
      </c>
      <c r="F289">
        <v>92724.846789999996</v>
      </c>
      <c r="G289">
        <v>97432.218959999998</v>
      </c>
      <c r="H289">
        <v>105669.2015</v>
      </c>
      <c r="I289">
        <v>111418.03200000001</v>
      </c>
      <c r="J289">
        <v>122829.49310000001</v>
      </c>
      <c r="K289">
        <v>131990.06200000001</v>
      </c>
      <c r="L289">
        <v>140914.3278</v>
      </c>
      <c r="M289">
        <v>152817.8676</v>
      </c>
      <c r="N289">
        <v>160740.57070000001</v>
      </c>
      <c r="O289">
        <v>157619.06529999999</v>
      </c>
      <c r="P289">
        <v>157934.82389999999</v>
      </c>
      <c r="Q289">
        <v>161250.35759999999</v>
      </c>
      <c r="R289">
        <v>158391.42739999999</v>
      </c>
      <c r="S289">
        <v>157267.897</v>
      </c>
      <c r="T289">
        <v>155388.4725</v>
      </c>
      <c r="U289">
        <v>155768.48069999999</v>
      </c>
      <c r="V289">
        <v>156284.95559999999</v>
      </c>
      <c r="W289">
        <v>169282.06599999999</v>
      </c>
      <c r="X289">
        <v>180739.4376</v>
      </c>
      <c r="Y289">
        <v>182754.50270000001</v>
      </c>
      <c r="Z289">
        <v>185495.54190000001</v>
      </c>
      <c r="AA289">
        <v>188833.68859999999</v>
      </c>
      <c r="AB289">
        <v>192631.8976</v>
      </c>
      <c r="AC289">
        <v>196574.95060000001</v>
      </c>
      <c r="AD289">
        <v>199562.91800000001</v>
      </c>
      <c r="AE289">
        <v>202737.85190000001</v>
      </c>
      <c r="AF289">
        <v>205920.1888</v>
      </c>
      <c r="AG289">
        <v>209138.9265</v>
      </c>
      <c r="AH289">
        <v>212386.11600000001</v>
      </c>
      <c r="AI289">
        <v>215899.8407</v>
      </c>
      <c r="AJ289">
        <v>219534.27280000001</v>
      </c>
      <c r="AK289">
        <v>223112.1997</v>
      </c>
      <c r="AL289">
        <v>226808.8829</v>
      </c>
      <c r="AM289">
        <v>230474.83989999999</v>
      </c>
      <c r="AN289">
        <v>234153.5613</v>
      </c>
      <c r="AO289">
        <v>237872.4712</v>
      </c>
      <c r="AP289">
        <v>241650.3273</v>
      </c>
      <c r="AQ289">
        <v>245465.1588</v>
      </c>
      <c r="AR289">
        <v>249516.39449999999</v>
      </c>
      <c r="AS289">
        <v>253458.91589999999</v>
      </c>
      <c r="AT289">
        <v>257412.14319999999</v>
      </c>
      <c r="AU289">
        <v>261471.24419999999</v>
      </c>
      <c r="AV289">
        <v>265617.72139999998</v>
      </c>
      <c r="AW289">
        <v>269817.9976</v>
      </c>
    </row>
    <row r="290" spans="2:49" x14ac:dyDescent="0.25">
      <c r="B290" t="s">
        <v>481</v>
      </c>
      <c r="C290">
        <v>45689.201708803201</v>
      </c>
      <c r="D290">
        <v>46422.756620829103</v>
      </c>
      <c r="E290">
        <v>47168.08829</v>
      </c>
      <c r="F290">
        <v>48247.912629999999</v>
      </c>
      <c r="G290">
        <v>48129.907059999998</v>
      </c>
      <c r="H290">
        <v>49209.376349999999</v>
      </c>
      <c r="I290">
        <v>49828.266790000001</v>
      </c>
      <c r="J290">
        <v>51247.532769999998</v>
      </c>
      <c r="K290">
        <v>51656.382160000001</v>
      </c>
      <c r="L290">
        <v>52615.061419999998</v>
      </c>
      <c r="M290">
        <v>54463.320220000001</v>
      </c>
      <c r="N290">
        <v>55590.59042</v>
      </c>
      <c r="O290">
        <v>55664.756269999998</v>
      </c>
      <c r="P290">
        <v>56165.837679999997</v>
      </c>
      <c r="Q290">
        <v>56487.538690000001</v>
      </c>
      <c r="R290">
        <v>55950.838819999997</v>
      </c>
      <c r="S290">
        <v>55619.158089999997</v>
      </c>
      <c r="T290">
        <v>54952.408069999998</v>
      </c>
      <c r="U290">
        <v>55112.258889999997</v>
      </c>
      <c r="V290">
        <v>55322.35658</v>
      </c>
      <c r="W290">
        <v>58572.868710000002</v>
      </c>
      <c r="X290">
        <v>61282.518810000001</v>
      </c>
      <c r="Y290">
        <v>61419.332739999998</v>
      </c>
      <c r="Z290">
        <v>61829.352220000001</v>
      </c>
      <c r="AA290">
        <v>62420.340270000001</v>
      </c>
      <c r="AB290">
        <v>63123.874280000004</v>
      </c>
      <c r="AC290">
        <v>63862.260219999996</v>
      </c>
      <c r="AD290">
        <v>64120.04075</v>
      </c>
      <c r="AE290">
        <v>64401.853649999997</v>
      </c>
      <c r="AF290">
        <v>64634.774559999998</v>
      </c>
      <c r="AG290">
        <v>64859.370929999997</v>
      </c>
      <c r="AH290">
        <v>65071.629970000002</v>
      </c>
      <c r="AI290">
        <v>65463.844149999997</v>
      </c>
      <c r="AJ290">
        <v>65854.851840000003</v>
      </c>
      <c r="AK290">
        <v>66183.476169999994</v>
      </c>
      <c r="AL290">
        <v>66522.734400000001</v>
      </c>
      <c r="AM290">
        <v>66815.702669999999</v>
      </c>
      <c r="AN290">
        <v>67132.676689999906</v>
      </c>
      <c r="AO290">
        <v>67454.031510000001</v>
      </c>
      <c r="AP290">
        <v>67787.305470000007</v>
      </c>
      <c r="AQ290">
        <v>68112.997080000001</v>
      </c>
      <c r="AR290">
        <v>68597.316640000005</v>
      </c>
      <c r="AS290">
        <v>68943.855750000002</v>
      </c>
      <c r="AT290">
        <v>69286.813089999996</v>
      </c>
      <c r="AU290">
        <v>69660.013900000005</v>
      </c>
      <c r="AV290">
        <v>70026.929799999998</v>
      </c>
      <c r="AW290">
        <v>70088.888860000006</v>
      </c>
    </row>
    <row r="291" spans="2:49" x14ac:dyDescent="0.25">
      <c r="B291" t="s">
        <v>482</v>
      </c>
      <c r="C291">
        <v>562444.78102118801</v>
      </c>
      <c r="D291">
        <v>571475.01390840299</v>
      </c>
      <c r="E291">
        <v>580650.23010000004</v>
      </c>
      <c r="F291">
        <v>597421.41720000003</v>
      </c>
      <c r="G291">
        <v>601423.31790000002</v>
      </c>
      <c r="H291">
        <v>613485.36430000002</v>
      </c>
      <c r="I291">
        <v>622526.41229999997</v>
      </c>
      <c r="J291">
        <v>639060.72510000004</v>
      </c>
      <c r="K291">
        <v>654187.41319999995</v>
      </c>
      <c r="L291">
        <v>673261.22919999994</v>
      </c>
      <c r="M291">
        <v>699071.11360000004</v>
      </c>
      <c r="N291">
        <v>724965.24769999995</v>
      </c>
      <c r="O291">
        <v>728125.31909999996</v>
      </c>
      <c r="P291">
        <v>728107.21699999995</v>
      </c>
      <c r="Q291">
        <v>725402.1544</v>
      </c>
      <c r="R291">
        <v>722052.5037</v>
      </c>
      <c r="S291">
        <v>726933.25280000002</v>
      </c>
      <c r="T291">
        <v>729983.9388</v>
      </c>
      <c r="U291">
        <v>732956.38230000006</v>
      </c>
      <c r="V291">
        <v>735429.90769999998</v>
      </c>
      <c r="W291">
        <v>736365.08</v>
      </c>
      <c r="X291">
        <v>737193.27</v>
      </c>
      <c r="Y291">
        <v>741162.14130000002</v>
      </c>
      <c r="Z291">
        <v>743533.65949999995</v>
      </c>
      <c r="AA291">
        <v>745340.53240000003</v>
      </c>
      <c r="AB291">
        <v>746639.09360000002</v>
      </c>
      <c r="AC291">
        <v>747462.85690000001</v>
      </c>
      <c r="AD291">
        <v>749743.01610000001</v>
      </c>
      <c r="AE291">
        <v>752090.95570000005</v>
      </c>
      <c r="AF291">
        <v>754269.74419999996</v>
      </c>
      <c r="AG291">
        <v>756498.49410000001</v>
      </c>
      <c r="AH291">
        <v>758770.35080000001</v>
      </c>
      <c r="AI291">
        <v>761227.29550000001</v>
      </c>
      <c r="AJ291">
        <v>764206.23979999998</v>
      </c>
      <c r="AK291">
        <v>767151.24190000002</v>
      </c>
      <c r="AL291">
        <v>770332.94079999998</v>
      </c>
      <c r="AM291">
        <v>773346.6594</v>
      </c>
      <c r="AN291">
        <v>776396.5233</v>
      </c>
      <c r="AO291">
        <v>779552.87749999994</v>
      </c>
      <c r="AP291">
        <v>782825.81949999998</v>
      </c>
      <c r="AQ291">
        <v>786096.85349999997</v>
      </c>
      <c r="AR291">
        <v>788949.19779999997</v>
      </c>
      <c r="AS291">
        <v>791279.92039999994</v>
      </c>
      <c r="AT291">
        <v>793819.81689999998</v>
      </c>
      <c r="AU291">
        <v>796690.84340000001</v>
      </c>
      <c r="AV291">
        <v>799669.11659999995</v>
      </c>
      <c r="AW291">
        <v>801166.84329999995</v>
      </c>
    </row>
    <row r="292" spans="2:49" x14ac:dyDescent="0.25">
      <c r="B292" t="s">
        <v>483</v>
      </c>
      <c r="C292">
        <v>241047.76327865999</v>
      </c>
      <c r="D292">
        <v>244917.86308720699</v>
      </c>
      <c r="E292">
        <v>248850.0986</v>
      </c>
      <c r="F292">
        <v>267154.77559999999</v>
      </c>
      <c r="G292">
        <v>279166.47369999997</v>
      </c>
      <c r="H292">
        <v>295387.5919</v>
      </c>
      <c r="I292">
        <v>309002.01040000003</v>
      </c>
      <c r="J292">
        <v>330574.43569999997</v>
      </c>
      <c r="K292">
        <v>355763.75589999999</v>
      </c>
      <c r="L292">
        <v>381313.24680000002</v>
      </c>
      <c r="M292">
        <v>410828.033</v>
      </c>
      <c r="N292">
        <v>442365.18800000002</v>
      </c>
      <c r="O292">
        <v>441160.01640000002</v>
      </c>
      <c r="P292">
        <v>436837.995</v>
      </c>
      <c r="Q292">
        <v>434760.84470000002</v>
      </c>
      <c r="R292">
        <v>431845.89490000001</v>
      </c>
      <c r="S292">
        <v>438382.51689999999</v>
      </c>
      <c r="T292">
        <v>444201.90019999997</v>
      </c>
      <c r="U292">
        <v>446284.44809999998</v>
      </c>
      <c r="V292">
        <v>447566.48759999999</v>
      </c>
      <c r="W292">
        <v>440130.99479999999</v>
      </c>
      <c r="X292">
        <v>435740.30089999997</v>
      </c>
      <c r="Y292">
        <v>442682.08250000002</v>
      </c>
      <c r="Z292">
        <v>446518.7157</v>
      </c>
      <c r="AA292">
        <v>448866.55969999998</v>
      </c>
      <c r="AB292">
        <v>450228.94</v>
      </c>
      <c r="AC292">
        <v>450962.76439999999</v>
      </c>
      <c r="AD292">
        <v>452778.12650000001</v>
      </c>
      <c r="AE292">
        <v>454597.73800000001</v>
      </c>
      <c r="AF292">
        <v>456577.44880000001</v>
      </c>
      <c r="AG292">
        <v>458674.6545</v>
      </c>
      <c r="AH292">
        <v>460908.42450000002</v>
      </c>
      <c r="AI292">
        <v>462239.31599999999</v>
      </c>
      <c r="AJ292">
        <v>464191.16320000001</v>
      </c>
      <c r="AK292">
        <v>466517.09090000001</v>
      </c>
      <c r="AL292">
        <v>469064.7781</v>
      </c>
      <c r="AM292">
        <v>471745.54820000002</v>
      </c>
      <c r="AN292">
        <v>474363.2488</v>
      </c>
      <c r="AO292">
        <v>477071.3125</v>
      </c>
      <c r="AP292">
        <v>479831.81579999998</v>
      </c>
      <c r="AQ292">
        <v>482649.89640000003</v>
      </c>
      <c r="AR292">
        <v>483916.40220000001</v>
      </c>
      <c r="AS292">
        <v>485625.19410000002</v>
      </c>
      <c r="AT292">
        <v>487581.60019999999</v>
      </c>
      <c r="AU292">
        <v>489715.0478</v>
      </c>
      <c r="AV292">
        <v>492046.31459999998</v>
      </c>
      <c r="AW292">
        <v>495078.96029999998</v>
      </c>
    </row>
    <row r="293" spans="2:49" x14ac:dyDescent="0.25">
      <c r="B293" t="s">
        <v>535</v>
      </c>
      <c r="C293">
        <v>383714635.27038902</v>
      </c>
      <c r="D293">
        <v>389875297.85567099</v>
      </c>
      <c r="E293">
        <v>396134871.89999998</v>
      </c>
      <c r="F293">
        <v>414617546.19999999</v>
      </c>
      <c r="G293">
        <v>424646523.89999998</v>
      </c>
      <c r="H293">
        <v>439479149.10000002</v>
      </c>
      <c r="I293">
        <v>452929010.69999999</v>
      </c>
      <c r="J293">
        <v>472032373.60000002</v>
      </c>
      <c r="K293">
        <v>494074582.10000002</v>
      </c>
      <c r="L293">
        <v>519064521.89999998</v>
      </c>
      <c r="M293">
        <v>548891693</v>
      </c>
      <c r="N293">
        <v>576538169.79999995</v>
      </c>
      <c r="O293">
        <v>580787919.60000002</v>
      </c>
      <c r="P293">
        <v>579436933.89999998</v>
      </c>
      <c r="Q293">
        <v>576087730.39999998</v>
      </c>
      <c r="R293">
        <v>575482863.79999995</v>
      </c>
      <c r="S293">
        <v>580474534.60000002</v>
      </c>
      <c r="T293">
        <v>583272699.79999995</v>
      </c>
      <c r="U293">
        <v>584156900.29999995</v>
      </c>
      <c r="V293">
        <v>584537907.79999995</v>
      </c>
      <c r="W293">
        <v>585113983.89999998</v>
      </c>
      <c r="X293">
        <v>585465158.79999995</v>
      </c>
      <c r="Y293">
        <v>585719470.60000002</v>
      </c>
      <c r="Z293">
        <v>586138190.60000002</v>
      </c>
      <c r="AA293">
        <v>586901010</v>
      </c>
      <c r="AB293">
        <v>587921085.79999995</v>
      </c>
      <c r="AC293">
        <v>589070689</v>
      </c>
      <c r="AD293">
        <v>590372364.5</v>
      </c>
      <c r="AE293">
        <v>593511758.5</v>
      </c>
      <c r="AF293">
        <v>596013816.70000005</v>
      </c>
      <c r="AG293">
        <v>598309658.60000002</v>
      </c>
      <c r="AH293">
        <v>602441472.5</v>
      </c>
      <c r="AI293">
        <v>604042100</v>
      </c>
      <c r="AJ293">
        <v>606191529.5</v>
      </c>
      <c r="AK293">
        <v>608597071.39999998</v>
      </c>
      <c r="AL293">
        <v>611147362.29999995</v>
      </c>
      <c r="AM293">
        <v>613768840.70000005</v>
      </c>
      <c r="AN293">
        <v>616584043.10000002</v>
      </c>
      <c r="AO293">
        <v>619167455.5</v>
      </c>
      <c r="AP293">
        <v>621653666.70000005</v>
      </c>
      <c r="AQ293">
        <v>624078695.10000002</v>
      </c>
      <c r="AR293">
        <v>626452524</v>
      </c>
      <c r="AS293">
        <v>628931537.89999998</v>
      </c>
      <c r="AT293">
        <v>631299044.60000002</v>
      </c>
      <c r="AU293">
        <v>633601708.20000005</v>
      </c>
      <c r="AV293">
        <v>635860378</v>
      </c>
      <c r="AW293">
        <v>638109247.60000002</v>
      </c>
    </row>
    <row r="294" spans="2:49" x14ac:dyDescent="0.25">
      <c r="B294" t="s">
        <v>536</v>
      </c>
      <c r="C294">
        <v>13020.598862561899</v>
      </c>
      <c r="D294">
        <v>13229.6487889324</v>
      </c>
      <c r="E294">
        <v>13442.05508</v>
      </c>
      <c r="F294">
        <v>13754.563690000001</v>
      </c>
      <c r="G294">
        <v>14079.346729999999</v>
      </c>
      <c r="H294">
        <v>13563.96823</v>
      </c>
      <c r="I294">
        <v>13062.810390000001</v>
      </c>
      <c r="J294">
        <v>13345.181039999999</v>
      </c>
      <c r="K294">
        <v>13562.49791</v>
      </c>
      <c r="L294">
        <v>13434.28405</v>
      </c>
      <c r="M294">
        <v>13602.15978</v>
      </c>
      <c r="N294">
        <v>13989.874680000001</v>
      </c>
      <c r="O294">
        <v>14225.698109999999</v>
      </c>
      <c r="P294">
        <v>14473.63811</v>
      </c>
      <c r="Q294">
        <v>14827.76262</v>
      </c>
      <c r="R294">
        <v>15197.44087</v>
      </c>
      <c r="S294">
        <v>14859.48163</v>
      </c>
      <c r="T294">
        <v>14287.54024</v>
      </c>
      <c r="U294">
        <v>14162.723309999999</v>
      </c>
      <c r="V294">
        <v>13979.85125</v>
      </c>
      <c r="W294">
        <v>14173.937690000001</v>
      </c>
      <c r="X294">
        <v>14299.61766</v>
      </c>
      <c r="Y294">
        <v>14432.108819999999</v>
      </c>
      <c r="Z294">
        <v>14528.95052</v>
      </c>
      <c r="AA294">
        <v>14706.61737</v>
      </c>
      <c r="AB294">
        <v>14915.48071</v>
      </c>
      <c r="AC294">
        <v>15130.47256</v>
      </c>
      <c r="AD294">
        <v>15364.934929999999</v>
      </c>
      <c r="AE294">
        <v>15591.963390000001</v>
      </c>
      <c r="AF294">
        <v>15850.637720000001</v>
      </c>
      <c r="AG294">
        <v>16137.500459999999</v>
      </c>
      <c r="AH294">
        <v>16452.92295</v>
      </c>
      <c r="AI294">
        <v>16806.46056</v>
      </c>
      <c r="AJ294">
        <v>17198.304359999998</v>
      </c>
      <c r="AK294">
        <v>17598.910540000001</v>
      </c>
      <c r="AL294">
        <v>18018.143</v>
      </c>
      <c r="AM294">
        <v>18448.766149999999</v>
      </c>
      <c r="AN294">
        <v>18887.61249</v>
      </c>
      <c r="AO294">
        <v>19323.631089999999</v>
      </c>
      <c r="AP294">
        <v>19773.20739</v>
      </c>
      <c r="AQ294">
        <v>20228.055349999999</v>
      </c>
      <c r="AR294">
        <v>20686.68404</v>
      </c>
      <c r="AS294">
        <v>21146.477869999999</v>
      </c>
      <c r="AT294">
        <v>21617.017179999999</v>
      </c>
      <c r="AU294">
        <v>22094.574369999998</v>
      </c>
      <c r="AV294">
        <v>22578.733090000002</v>
      </c>
      <c r="AW294">
        <v>23079.169620000001</v>
      </c>
    </row>
    <row r="295" spans="2:49" x14ac:dyDescent="0.25">
      <c r="B295" t="s">
        <v>537</v>
      </c>
      <c r="C295">
        <v>158336.21117690401</v>
      </c>
      <c r="D295">
        <v>160878.35026264799</v>
      </c>
      <c r="E295">
        <v>163461.30420000001</v>
      </c>
      <c r="F295">
        <v>174439.08309999999</v>
      </c>
      <c r="G295">
        <v>181746.10019999999</v>
      </c>
      <c r="H295">
        <v>189779.32500000001</v>
      </c>
      <c r="I295">
        <v>197653.1201</v>
      </c>
      <c r="J295">
        <v>207903.29130000001</v>
      </c>
      <c r="K295">
        <v>223944.34710000001</v>
      </c>
      <c r="L295">
        <v>240583.56899999999</v>
      </c>
      <c r="M295">
        <v>258214.27290000001</v>
      </c>
      <c r="N295">
        <v>281915.978</v>
      </c>
      <c r="O295">
        <v>283867.30180000002</v>
      </c>
      <c r="P295">
        <v>279243.38740000001</v>
      </c>
      <c r="Q295">
        <v>273929.6581</v>
      </c>
      <c r="R295">
        <v>273886.65379999997</v>
      </c>
      <c r="S295">
        <v>276525.4278</v>
      </c>
      <c r="T295">
        <v>281207.92180000001</v>
      </c>
      <c r="U295">
        <v>280920.72840000002</v>
      </c>
      <c r="V295">
        <v>280254.66279999999</v>
      </c>
      <c r="W295">
        <v>280340.58380000002</v>
      </c>
      <c r="X295">
        <v>280557.26240000001</v>
      </c>
      <c r="Y295">
        <v>280675.60320000001</v>
      </c>
      <c r="Z295">
        <v>281234.15250000003</v>
      </c>
      <c r="AA295">
        <v>281789.31479999999</v>
      </c>
      <c r="AB295">
        <v>282542.55900000001</v>
      </c>
      <c r="AC295">
        <v>283466.08519999997</v>
      </c>
      <c r="AD295">
        <v>284508.92550000001</v>
      </c>
      <c r="AE295">
        <v>288253.48920000001</v>
      </c>
      <c r="AF295">
        <v>290957.70799999998</v>
      </c>
      <c r="AG295">
        <v>293262.90710000001</v>
      </c>
      <c r="AH295">
        <v>298066.6789</v>
      </c>
      <c r="AI295">
        <v>299079.41129999998</v>
      </c>
      <c r="AJ295">
        <v>300718.3897</v>
      </c>
      <c r="AK295">
        <v>302688.83919999999</v>
      </c>
      <c r="AL295">
        <v>304817.33919999999</v>
      </c>
      <c r="AM295">
        <v>307049.67820000002</v>
      </c>
      <c r="AN295">
        <v>309536.13069999998</v>
      </c>
      <c r="AO295">
        <v>311738.82760000002</v>
      </c>
      <c r="AP295">
        <v>313780.85350000003</v>
      </c>
      <c r="AQ295">
        <v>315748.52870000002</v>
      </c>
      <c r="AR295">
        <v>317665.1177</v>
      </c>
      <c r="AS295">
        <v>319761.16110000003</v>
      </c>
      <c r="AT295">
        <v>321694.12780000002</v>
      </c>
      <c r="AU295">
        <v>323548.4473</v>
      </c>
      <c r="AV295">
        <v>325350.87599999999</v>
      </c>
      <c r="AW295">
        <v>327109.4118</v>
      </c>
    </row>
    <row r="296" spans="2:49" x14ac:dyDescent="0.25">
      <c r="B296" t="s">
        <v>538</v>
      </c>
      <c r="C296">
        <v>516755.579312385</v>
      </c>
      <c r="D296">
        <v>525052.257287574</v>
      </c>
      <c r="E296">
        <v>533482.14110000001</v>
      </c>
      <c r="F296">
        <v>549174.40269999998</v>
      </c>
      <c r="G296">
        <v>553296.50879999995</v>
      </c>
      <c r="H296">
        <v>564279.29209999996</v>
      </c>
      <c r="I296">
        <v>572701.62170000002</v>
      </c>
      <c r="J296">
        <v>587816.85820000002</v>
      </c>
      <c r="K296">
        <v>602541.55729999999</v>
      </c>
      <c r="L296">
        <v>620660.0834</v>
      </c>
      <c r="M296">
        <v>644622.52579999994</v>
      </c>
      <c r="N296">
        <v>669397.62589999998</v>
      </c>
      <c r="O296">
        <v>672483.90630000003</v>
      </c>
      <c r="P296">
        <v>671967.16260000004</v>
      </c>
      <c r="Q296">
        <v>668943.00890000002</v>
      </c>
      <c r="R296">
        <v>666130.66339999996</v>
      </c>
      <c r="S296">
        <v>669767.97089999996</v>
      </c>
      <c r="T296">
        <v>670472.82660000003</v>
      </c>
      <c r="U296">
        <v>672026.804</v>
      </c>
      <c r="V296">
        <v>673105.03740000003</v>
      </c>
      <c r="W296">
        <v>673911.76639999996</v>
      </c>
      <c r="X296">
        <v>674279.75109999999</v>
      </c>
      <c r="Y296">
        <v>674575.299</v>
      </c>
      <c r="Z296">
        <v>674787.87450000003</v>
      </c>
      <c r="AA296">
        <v>675523.54399999999</v>
      </c>
      <c r="AB296">
        <v>676499.13260000001</v>
      </c>
      <c r="AC296">
        <v>677542.36329999997</v>
      </c>
      <c r="AD296">
        <v>678725.74380000005</v>
      </c>
      <c r="AE296">
        <v>680653.49750000006</v>
      </c>
      <c r="AF296">
        <v>682400.97849999997</v>
      </c>
      <c r="AG296">
        <v>684137.15159999998</v>
      </c>
      <c r="AH296">
        <v>686768.12250000006</v>
      </c>
      <c r="AI296">
        <v>688426.43279999995</v>
      </c>
      <c r="AJ296">
        <v>690443.09470000002</v>
      </c>
      <c r="AK296">
        <v>692597.44169999997</v>
      </c>
      <c r="AL296">
        <v>694851.67480000004</v>
      </c>
      <c r="AM296">
        <v>697135.35479999997</v>
      </c>
      <c r="AN296">
        <v>699520.63020000001</v>
      </c>
      <c r="AO296">
        <v>701769.06180000002</v>
      </c>
      <c r="AP296">
        <v>703991.51130000001</v>
      </c>
      <c r="AQ296">
        <v>706177.42680000002</v>
      </c>
      <c r="AR296">
        <v>708324.38119999995</v>
      </c>
      <c r="AS296">
        <v>710495.2426</v>
      </c>
      <c r="AT296">
        <v>712620.29310000001</v>
      </c>
      <c r="AU296">
        <v>714706.50930000003</v>
      </c>
      <c r="AV296">
        <v>716765.27150000003</v>
      </c>
      <c r="AW296">
        <v>718842.28009999997</v>
      </c>
    </row>
    <row r="297" spans="2:49" x14ac:dyDescent="0.25">
      <c r="B297" t="s">
        <v>539</v>
      </c>
      <c r="C297">
        <v>82711.5521017555</v>
      </c>
      <c r="D297">
        <v>84039.512824558697</v>
      </c>
      <c r="E297">
        <v>85388.793109999999</v>
      </c>
      <c r="F297">
        <v>92724.846789999996</v>
      </c>
      <c r="G297">
        <v>97432.218959999998</v>
      </c>
      <c r="H297">
        <v>105669.2015</v>
      </c>
      <c r="I297">
        <v>111418.03200000001</v>
      </c>
      <c r="J297">
        <v>122829.49310000001</v>
      </c>
      <c r="K297">
        <v>131990.06200000001</v>
      </c>
      <c r="L297">
        <v>140914.3278</v>
      </c>
      <c r="M297">
        <v>152817.8676</v>
      </c>
      <c r="N297">
        <v>160740.57070000001</v>
      </c>
      <c r="O297">
        <v>157619.06529999999</v>
      </c>
      <c r="P297">
        <v>157934.82389999999</v>
      </c>
      <c r="Q297">
        <v>161250.35759999999</v>
      </c>
      <c r="R297">
        <v>158391.42739999999</v>
      </c>
      <c r="S297">
        <v>158656.7341</v>
      </c>
      <c r="T297">
        <v>157673.66990000001</v>
      </c>
      <c r="U297">
        <v>158649.89600000001</v>
      </c>
      <c r="V297">
        <v>159580.55069999999</v>
      </c>
      <c r="W297">
        <v>160099.91630000001</v>
      </c>
      <c r="X297">
        <v>160407.74710000001</v>
      </c>
      <c r="Y297">
        <v>160686.5123</v>
      </c>
      <c r="Z297">
        <v>160742.15659999999</v>
      </c>
      <c r="AA297">
        <v>161027.17629999999</v>
      </c>
      <c r="AB297">
        <v>161334.0625</v>
      </c>
      <c r="AC297">
        <v>161599.9688</v>
      </c>
      <c r="AD297">
        <v>161874.0974</v>
      </c>
      <c r="AE297">
        <v>161322.429</v>
      </c>
      <c r="AF297">
        <v>161134.80970000001</v>
      </c>
      <c r="AG297">
        <v>161107.74969999999</v>
      </c>
      <c r="AH297">
        <v>160380.20910000001</v>
      </c>
      <c r="AI297">
        <v>160876.04689999999</v>
      </c>
      <c r="AJ297">
        <v>161235.3939</v>
      </c>
      <c r="AK297">
        <v>161500.24299999999</v>
      </c>
      <c r="AL297">
        <v>161730.34220000001</v>
      </c>
      <c r="AM297">
        <v>161925.2072</v>
      </c>
      <c r="AN297">
        <v>162056.5655</v>
      </c>
      <c r="AO297">
        <v>162254.0336</v>
      </c>
      <c r="AP297">
        <v>162516.06529999999</v>
      </c>
      <c r="AQ297">
        <v>162799.40919999999</v>
      </c>
      <c r="AR297">
        <v>163090.916</v>
      </c>
      <c r="AS297">
        <v>163313.78899999999</v>
      </c>
      <c r="AT297">
        <v>163593.88750000001</v>
      </c>
      <c r="AU297">
        <v>163893.61240000001</v>
      </c>
      <c r="AV297">
        <v>164205.7991</v>
      </c>
      <c r="AW297">
        <v>164546.3314</v>
      </c>
    </row>
    <row r="298" spans="2:49" x14ac:dyDescent="0.25">
      <c r="B298" t="s">
        <v>540</v>
      </c>
      <c r="C298">
        <v>45689.201708803201</v>
      </c>
      <c r="D298">
        <v>46422.756620829103</v>
      </c>
      <c r="E298">
        <v>47168.08829</v>
      </c>
      <c r="F298">
        <v>48247.912629999999</v>
      </c>
      <c r="G298">
        <v>48129.907059999998</v>
      </c>
      <c r="H298">
        <v>49209.376349999999</v>
      </c>
      <c r="I298">
        <v>49828.266790000001</v>
      </c>
      <c r="J298">
        <v>51247.532769999998</v>
      </c>
      <c r="K298">
        <v>51656.382160000001</v>
      </c>
      <c r="L298">
        <v>52615.061419999998</v>
      </c>
      <c r="M298">
        <v>54463.320220000001</v>
      </c>
      <c r="N298">
        <v>55590.59042</v>
      </c>
      <c r="O298">
        <v>55664.756269999998</v>
      </c>
      <c r="P298">
        <v>56165.837679999997</v>
      </c>
      <c r="Q298">
        <v>56487.538690000001</v>
      </c>
      <c r="R298">
        <v>55950.838819999997</v>
      </c>
      <c r="S298">
        <v>56094.261059999997</v>
      </c>
      <c r="T298">
        <v>55714.918010000001</v>
      </c>
      <c r="U298">
        <v>56070.950649999999</v>
      </c>
      <c r="V298">
        <v>56413.212679999997</v>
      </c>
      <c r="W298">
        <v>56612.654699999999</v>
      </c>
      <c r="X298">
        <v>56732.52564</v>
      </c>
      <c r="Y298">
        <v>56851.954270000002</v>
      </c>
      <c r="Z298">
        <v>56898.450810000002</v>
      </c>
      <c r="AA298">
        <v>57020.784359999998</v>
      </c>
      <c r="AB298">
        <v>57150.086490000002</v>
      </c>
      <c r="AC298">
        <v>57265.548020000002</v>
      </c>
      <c r="AD298">
        <v>57384.790150000001</v>
      </c>
      <c r="AE298">
        <v>57235.589970000001</v>
      </c>
      <c r="AF298">
        <v>57205.599269999999</v>
      </c>
      <c r="AG298">
        <v>57229.37902</v>
      </c>
      <c r="AH298">
        <v>57039.279609999998</v>
      </c>
      <c r="AI298">
        <v>57231.756450000001</v>
      </c>
      <c r="AJ298">
        <v>57389.081030000001</v>
      </c>
      <c r="AK298">
        <v>57521.58956</v>
      </c>
      <c r="AL298">
        <v>57647.103170000002</v>
      </c>
      <c r="AM298">
        <v>57763.038860000001</v>
      </c>
      <c r="AN298">
        <v>57860.417930000003</v>
      </c>
      <c r="AO298">
        <v>57978.087270000004</v>
      </c>
      <c r="AP298">
        <v>58115.024870000001</v>
      </c>
      <c r="AQ298">
        <v>58257.913569999997</v>
      </c>
      <c r="AR298">
        <v>58403.055610000003</v>
      </c>
      <c r="AS298">
        <v>58528.100030000001</v>
      </c>
      <c r="AT298">
        <v>58669.655619999998</v>
      </c>
      <c r="AU298">
        <v>58816.996740000002</v>
      </c>
      <c r="AV298">
        <v>58968.192029999998</v>
      </c>
      <c r="AW298">
        <v>59128.82372</v>
      </c>
    </row>
    <row r="299" spans="2:49" x14ac:dyDescent="0.25">
      <c r="B299" t="s">
        <v>541</v>
      </c>
      <c r="C299">
        <v>562444.78102118801</v>
      </c>
      <c r="D299">
        <v>571475.01390840299</v>
      </c>
      <c r="E299">
        <v>580650.23010000004</v>
      </c>
      <c r="F299">
        <v>597421.41720000003</v>
      </c>
      <c r="G299">
        <v>601423.31790000002</v>
      </c>
      <c r="H299">
        <v>613485.36430000002</v>
      </c>
      <c r="I299">
        <v>622526.41229999997</v>
      </c>
      <c r="J299">
        <v>639060.72510000004</v>
      </c>
      <c r="K299">
        <v>654187.41319999995</v>
      </c>
      <c r="L299">
        <v>673261.22919999994</v>
      </c>
      <c r="M299">
        <v>699071.11360000004</v>
      </c>
      <c r="N299">
        <v>724965.24769999995</v>
      </c>
      <c r="O299">
        <v>728125.31909999996</v>
      </c>
      <c r="P299">
        <v>728107.21699999995</v>
      </c>
      <c r="Q299">
        <v>725402.1544</v>
      </c>
      <c r="R299">
        <v>722052.5037</v>
      </c>
      <c r="S299">
        <v>725832.86600000004</v>
      </c>
      <c r="T299">
        <v>728282.23659999995</v>
      </c>
      <c r="U299">
        <v>730871.81599999999</v>
      </c>
      <c r="V299">
        <v>732973.41489999997</v>
      </c>
      <c r="W299">
        <v>734661.74710000004</v>
      </c>
      <c r="X299">
        <v>735830.79489999998</v>
      </c>
      <c r="Y299">
        <v>736927.85649999999</v>
      </c>
      <c r="Z299">
        <v>737869.07290000003</v>
      </c>
      <c r="AA299">
        <v>739415.89839999995</v>
      </c>
      <c r="AB299">
        <v>741214.33900000004</v>
      </c>
      <c r="AC299">
        <v>743069.84329999995</v>
      </c>
      <c r="AD299">
        <v>745073.80070000002</v>
      </c>
      <c r="AE299">
        <v>747562.18469999998</v>
      </c>
      <c r="AF299">
        <v>749993.43440000003</v>
      </c>
      <c r="AG299">
        <v>752471.93370000005</v>
      </c>
      <c r="AH299">
        <v>755644.98239999998</v>
      </c>
      <c r="AI299">
        <v>758224.95689999999</v>
      </c>
      <c r="AJ299">
        <v>761137.97499999998</v>
      </c>
      <c r="AK299">
        <v>764170.70400000003</v>
      </c>
      <c r="AL299">
        <v>767303.13509999996</v>
      </c>
      <c r="AM299">
        <v>770461.02540000004</v>
      </c>
      <c r="AN299">
        <v>773708.95589999994</v>
      </c>
      <c r="AO299">
        <v>776843.19290000002</v>
      </c>
      <c r="AP299">
        <v>779975.77529999998</v>
      </c>
      <c r="AQ299">
        <v>783082.20559999999</v>
      </c>
      <c r="AR299">
        <v>786156.11239999998</v>
      </c>
      <c r="AS299">
        <v>789238.95680000004</v>
      </c>
      <c r="AT299">
        <v>792296.79639999999</v>
      </c>
      <c r="AU299">
        <v>795325.67039999994</v>
      </c>
      <c r="AV299">
        <v>798335.20490000001</v>
      </c>
      <c r="AW299">
        <v>801378.15870000003</v>
      </c>
    </row>
    <row r="300" spans="2:49" x14ac:dyDescent="0.25">
      <c r="B300" t="s">
        <v>542</v>
      </c>
      <c r="C300">
        <v>241047.76327865999</v>
      </c>
      <c r="D300">
        <v>244917.86308720699</v>
      </c>
      <c r="E300">
        <v>248850.0986</v>
      </c>
      <c r="F300">
        <v>267154.77559999999</v>
      </c>
      <c r="G300">
        <v>279166.47369999997</v>
      </c>
      <c r="H300">
        <v>295387.5919</v>
      </c>
      <c r="I300">
        <v>309002.01040000003</v>
      </c>
      <c r="J300">
        <v>330574.43569999997</v>
      </c>
      <c r="K300">
        <v>355763.75589999999</v>
      </c>
      <c r="L300">
        <v>381313.24680000002</v>
      </c>
      <c r="M300">
        <v>410828.033</v>
      </c>
      <c r="N300">
        <v>442365.18800000002</v>
      </c>
      <c r="O300">
        <v>441160.01640000002</v>
      </c>
      <c r="P300">
        <v>436837.995</v>
      </c>
      <c r="Q300">
        <v>434760.84470000002</v>
      </c>
      <c r="R300">
        <v>431845.89490000001</v>
      </c>
      <c r="S300">
        <v>434743.91360000003</v>
      </c>
      <c r="T300">
        <v>438412.79369999998</v>
      </c>
      <c r="U300">
        <v>439098.47330000001</v>
      </c>
      <c r="V300">
        <v>439359.34980000003</v>
      </c>
      <c r="W300">
        <v>439963.54100000003</v>
      </c>
      <c r="X300">
        <v>440487.41519999999</v>
      </c>
      <c r="Y300">
        <v>440884.00290000002</v>
      </c>
      <c r="Z300">
        <v>441497.39350000001</v>
      </c>
      <c r="AA300">
        <v>442336.66279999999</v>
      </c>
      <c r="AB300">
        <v>443395.61430000002</v>
      </c>
      <c r="AC300">
        <v>444583.62349999999</v>
      </c>
      <c r="AD300">
        <v>445898.9632</v>
      </c>
      <c r="AE300">
        <v>449074.30619999999</v>
      </c>
      <c r="AF300">
        <v>451582.37469999999</v>
      </c>
      <c r="AG300">
        <v>453854.56449999998</v>
      </c>
      <c r="AH300">
        <v>457903.59950000001</v>
      </c>
      <c r="AI300">
        <v>459410.37709999998</v>
      </c>
      <c r="AJ300">
        <v>461405.78580000001</v>
      </c>
      <c r="AK300">
        <v>463637.17379999999</v>
      </c>
      <c r="AL300">
        <v>465991.32120000001</v>
      </c>
      <c r="AM300">
        <v>468413.663</v>
      </c>
      <c r="AN300">
        <v>471025.54129999998</v>
      </c>
      <c r="AO300">
        <v>473420.97930000001</v>
      </c>
      <c r="AP300">
        <v>475720.96380000003</v>
      </c>
      <c r="AQ300">
        <v>477968.16899999999</v>
      </c>
      <c r="AR300">
        <v>480172.61090000003</v>
      </c>
      <c r="AS300">
        <v>482487.24560000002</v>
      </c>
      <c r="AT300">
        <v>484696.61009999999</v>
      </c>
      <c r="AU300">
        <v>486847.19500000001</v>
      </c>
      <c r="AV300">
        <v>488958.50219999999</v>
      </c>
      <c r="AW300">
        <v>491054.40289999999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0070C0"/>
  </sheetPr>
  <dimension ref="A1:BV376"/>
  <sheetViews>
    <sheetView topLeftCell="A34" zoomScale="80" zoomScaleNormal="80" workbookViewId="0">
      <selection activeCell="F10" sqref="F10"/>
    </sheetView>
  </sheetViews>
  <sheetFormatPr baseColWidth="10" defaultRowHeight="15" x14ac:dyDescent="0.25"/>
  <cols>
    <col min="1" max="2" width="29.85546875" customWidth="1"/>
    <col min="6" max="7" width="11.42578125" customWidth="1"/>
    <col min="9" max="9" width="13.140625" customWidth="1"/>
    <col min="10" max="12" width="11.42578125" style="3"/>
    <col min="13" max="13" width="11.42578125" style="3" customWidth="1"/>
    <col min="14" max="15" width="11.42578125" style="3"/>
    <col min="16" max="16" width="13.42578125" style="3" customWidth="1"/>
    <col min="17" max="19" width="11.42578125" style="3"/>
    <col min="20" max="20" width="11.42578125" style="3" customWidth="1"/>
    <col min="21" max="74" width="11.42578125" style="3"/>
  </cols>
  <sheetData>
    <row r="1" spans="1:28" ht="23.25" x14ac:dyDescent="0.35">
      <c r="A1" s="1" t="s">
        <v>86</v>
      </c>
      <c r="B1" s="46"/>
      <c r="C1" s="3"/>
      <c r="D1" s="3"/>
      <c r="E1" s="3"/>
      <c r="F1" s="3"/>
      <c r="G1" s="3"/>
      <c r="H1" s="3"/>
      <c r="I1" s="3"/>
    </row>
    <row r="2" spans="1:28" ht="18.75" x14ac:dyDescent="0.3">
      <c r="A2" s="41"/>
      <c r="B2" s="41"/>
      <c r="C2" s="3"/>
      <c r="D2" s="3"/>
      <c r="E2" s="3"/>
      <c r="F2" s="3"/>
      <c r="G2" s="3"/>
      <c r="H2" s="3"/>
      <c r="I2" s="3"/>
      <c r="R2" s="41"/>
      <c r="V2" s="45"/>
      <c r="W2" s="45"/>
    </row>
    <row r="3" spans="1:28" ht="23.25" x14ac:dyDescent="0.35">
      <c r="A3" s="161" t="str">
        <f>Résultats!B1</f>
        <v>SNBC3</v>
      </c>
      <c r="B3" s="161"/>
      <c r="C3" s="3"/>
      <c r="D3" s="3"/>
      <c r="E3" s="3"/>
      <c r="F3" s="3"/>
      <c r="G3" s="3"/>
      <c r="H3" s="3"/>
      <c r="I3" s="3"/>
      <c r="R3" s="41"/>
      <c r="V3" s="45"/>
      <c r="W3" s="45"/>
    </row>
    <row r="4" spans="1:28" x14ac:dyDescent="0.25">
      <c r="A4" s="3"/>
      <c r="B4" s="3"/>
      <c r="C4" s="43"/>
      <c r="D4" s="43"/>
      <c r="E4" s="43"/>
      <c r="F4" s="43"/>
      <c r="G4" s="44"/>
      <c r="H4" s="3"/>
      <c r="I4" s="3"/>
      <c r="J4" s="44"/>
      <c r="K4" s="44"/>
      <c r="L4" s="44"/>
      <c r="M4" s="44"/>
      <c r="O4" s="42"/>
      <c r="Q4" s="44"/>
      <c r="R4" s="44"/>
      <c r="S4" s="44"/>
      <c r="T4" s="44"/>
      <c r="X4" s="44"/>
      <c r="Y4" s="44"/>
      <c r="Z4" s="44"/>
      <c r="AA4" s="44"/>
    </row>
    <row r="5" spans="1:28" ht="21" x14ac:dyDescent="0.35">
      <c r="A5" s="145">
        <v>2015</v>
      </c>
      <c r="B5" s="186"/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93" t="s">
        <v>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1:28" x14ac:dyDescent="0.25">
      <c r="A6" s="162" t="s">
        <v>18</v>
      </c>
      <c r="B6" s="187"/>
      <c r="C6" s="36">
        <f>C7+C8</f>
        <v>0</v>
      </c>
      <c r="D6" s="36">
        <f>D7+D8</f>
        <v>130.29500237261797</v>
      </c>
      <c r="E6" s="36">
        <f>E7+E8</f>
        <v>0.60622123664719829</v>
      </c>
      <c r="F6" s="36">
        <f>F7+F8</f>
        <v>0.40964170575225128</v>
      </c>
      <c r="G6" s="36">
        <f>G7+G8</f>
        <v>0</v>
      </c>
      <c r="H6" s="163">
        <f t="shared" ref="H6:H15" si="0">SUM(C6:G6)</f>
        <v>131.31086531501742</v>
      </c>
      <c r="I6" s="166"/>
      <c r="J6" s="166"/>
      <c r="K6" s="166" t="s">
        <v>89</v>
      </c>
      <c r="L6" s="166"/>
      <c r="M6" s="166"/>
      <c r="N6" s="38"/>
      <c r="O6" s="206"/>
      <c r="P6" s="206"/>
      <c r="Q6" s="206"/>
      <c r="R6" s="206"/>
      <c r="S6" s="206"/>
      <c r="T6" s="207"/>
      <c r="U6" s="38"/>
      <c r="V6" s="45"/>
      <c r="W6" s="82"/>
      <c r="X6" s="208"/>
      <c r="Y6" s="208"/>
      <c r="Z6" s="208"/>
      <c r="AA6" s="208"/>
      <c r="AB6" s="208"/>
    </row>
    <row r="7" spans="1:28" x14ac:dyDescent="0.25">
      <c r="A7" s="148" t="s">
        <v>19</v>
      </c>
      <c r="B7" s="35"/>
      <c r="C7" s="16">
        <v>0</v>
      </c>
      <c r="D7" s="16">
        <f>'T energie usages'!I12*3.2*Résultats!L283</f>
        <v>74.790826482517971</v>
      </c>
      <c r="E7" s="16">
        <f>'T energie usages'!J12/'T energie usages'!J$20*(Résultats!N$192+Résultats!N$193+Résultats!N$194)/1000000</f>
        <v>1.4427224766039639E-2</v>
      </c>
      <c r="F7" s="16">
        <f>'T energie usages'!K12*2.394*Résultats!L284</f>
        <v>1.6260432251253223E-5</v>
      </c>
      <c r="G7" s="16">
        <v>0</v>
      </c>
      <c r="H7" s="95">
        <f t="shared" si="0"/>
        <v>74.805269967716256</v>
      </c>
      <c r="I7" s="166"/>
      <c r="J7" s="166"/>
      <c r="K7" s="194"/>
      <c r="L7" s="195">
        <v>2020</v>
      </c>
      <c r="M7" s="195">
        <v>2030</v>
      </c>
      <c r="N7" s="196">
        <v>2050</v>
      </c>
      <c r="O7" s="206"/>
      <c r="P7" s="206"/>
      <c r="Q7" s="206"/>
      <c r="R7" s="206"/>
      <c r="S7" s="206"/>
      <c r="T7" s="207"/>
      <c r="U7" s="38"/>
      <c r="V7" s="45"/>
      <c r="W7" s="30"/>
      <c r="X7" s="208"/>
      <c r="Y7" s="208"/>
      <c r="Z7" s="208"/>
      <c r="AA7" s="208"/>
      <c r="AB7" s="208"/>
    </row>
    <row r="8" spans="1:28" x14ac:dyDescent="0.25">
      <c r="A8" s="149" t="s">
        <v>20</v>
      </c>
      <c r="B8" s="35"/>
      <c r="C8" s="16">
        <v>0</v>
      </c>
      <c r="D8" s="16">
        <f>(Résultats!N$183+Résultats!N$184+Résultats!N$185+Résultats!N$186+Résultats!N$187)/1000000</f>
        <v>55.504175890100001</v>
      </c>
      <c r="E8" s="16">
        <f>'T energie usages'!J13/'T energie usages'!J$20*(Résultats!N$192+Résultats!N$193+Résultats!N$194)/1000000</f>
        <v>0.59179401188115865</v>
      </c>
      <c r="F8" s="16">
        <f>(Résultats!N$209+Résultats!N$210+Résultats!N$211+Résultats!N$212+Résultats!N$213)/1000000</f>
        <v>0.40962544532</v>
      </c>
      <c r="G8" s="16">
        <v>0</v>
      </c>
      <c r="H8" s="95">
        <f t="shared" si="0"/>
        <v>56.50559534730116</v>
      </c>
      <c r="I8" s="166"/>
      <c r="J8" s="166"/>
      <c r="K8" s="197" t="s">
        <v>18</v>
      </c>
      <c r="L8" s="45">
        <f>H19</f>
        <v>127.26924156657354</v>
      </c>
      <c r="M8" s="45">
        <f>H45</f>
        <v>98.197292127446403</v>
      </c>
      <c r="N8" s="86">
        <f>H71</f>
        <v>10.40807631344876</v>
      </c>
      <c r="O8" s="206"/>
      <c r="P8" s="206"/>
      <c r="Q8" s="206"/>
      <c r="R8" s="206"/>
      <c r="S8" s="206"/>
      <c r="T8" s="207"/>
      <c r="U8" s="38"/>
      <c r="V8" s="45"/>
      <c r="W8" s="30"/>
      <c r="X8" s="208"/>
      <c r="Y8" s="208"/>
      <c r="Z8" s="208"/>
      <c r="AA8" s="208"/>
      <c r="AB8" s="208"/>
    </row>
    <row r="9" spans="1:28" x14ac:dyDescent="0.25">
      <c r="A9" s="162" t="s">
        <v>21</v>
      </c>
      <c r="B9" s="187"/>
      <c r="C9" s="36">
        <f>Résultats!N$135/1000000</f>
        <v>1.0599674609999998</v>
      </c>
      <c r="D9" s="36">
        <f>'T energie usages'!I14*3.2*Résultats!L283</f>
        <v>22.304013581601456</v>
      </c>
      <c r="E9" s="36">
        <f>'T energie usages'!J14/'T energie usages'!J$20*(Résultats!N$192+Résultats!N$193+Résultats!N$194)/1000000</f>
        <v>6.9460589648603559</v>
      </c>
      <c r="F9" s="36">
        <f>('T energie usages'!K14-8)*2.394*Résultats!L284</f>
        <v>27.760412948440539</v>
      </c>
      <c r="G9" s="36">
        <v>0</v>
      </c>
      <c r="H9" s="163">
        <f t="shared" si="0"/>
        <v>58.070452955902354</v>
      </c>
      <c r="I9" s="166"/>
      <c r="J9" s="166"/>
      <c r="K9" s="197" t="s">
        <v>87</v>
      </c>
      <c r="L9" s="45">
        <f>H22</f>
        <v>52.677424580705377</v>
      </c>
      <c r="M9" s="45">
        <f>H48</f>
        <v>33.628989880977443</v>
      </c>
      <c r="N9" s="86">
        <f>H74</f>
        <v>7.1552238484594985</v>
      </c>
      <c r="O9" s="206"/>
      <c r="P9" s="206"/>
      <c r="Q9" s="206"/>
      <c r="R9" s="206"/>
      <c r="S9" s="206"/>
      <c r="T9" s="207"/>
      <c r="U9" s="38"/>
      <c r="V9" s="45"/>
      <c r="W9" s="82"/>
      <c r="X9" s="208"/>
      <c r="Y9" s="208"/>
      <c r="Z9" s="208"/>
      <c r="AA9" s="208"/>
      <c r="AB9" s="208"/>
    </row>
    <row r="10" spans="1:28" x14ac:dyDescent="0.25">
      <c r="A10" s="162" t="s">
        <v>22</v>
      </c>
      <c r="B10" s="187"/>
      <c r="C10" s="36">
        <f>(Résultats!N$168+Résultats!N$169)/1000000</f>
        <v>0</v>
      </c>
      <c r="D10" s="36">
        <f>(Résultats!N$188+Résultats!N$189)/1000000</f>
        <v>12.176088720099999</v>
      </c>
      <c r="E10" s="36">
        <f>'T energie usages'!J15/'T energie usages'!J$20*(Résultats!N$192+Résultats!N$193+Résultats!N$194)/1000000</f>
        <v>6.5004929187089786</v>
      </c>
      <c r="F10" s="36">
        <f>(Résultats!N$214+Résultats!N$215)/1000000</f>
        <v>18.661417428000004</v>
      </c>
      <c r="G10" s="36">
        <v>0</v>
      </c>
      <c r="H10" s="163">
        <f t="shared" si="0"/>
        <v>37.337999066808976</v>
      </c>
      <c r="I10" s="166"/>
      <c r="J10" s="166"/>
      <c r="K10" s="157" t="s">
        <v>22</v>
      </c>
      <c r="L10" s="45">
        <f>H23</f>
        <v>28.820812404437007</v>
      </c>
      <c r="M10" s="45">
        <f>H49</f>
        <v>20.905618110242699</v>
      </c>
      <c r="N10" s="86">
        <f>H75</f>
        <v>4.7455736982466323</v>
      </c>
      <c r="O10" s="206"/>
      <c r="P10" s="206"/>
      <c r="Q10" s="206"/>
      <c r="R10" s="206"/>
      <c r="S10" s="206"/>
      <c r="T10" s="207"/>
      <c r="U10" s="38"/>
      <c r="V10" s="45"/>
      <c r="W10" s="82"/>
      <c r="X10" s="208"/>
      <c r="Y10" s="208"/>
      <c r="Z10" s="208"/>
      <c r="AA10" s="208"/>
      <c r="AB10" s="208"/>
    </row>
    <row r="11" spans="1:28" x14ac:dyDescent="0.25">
      <c r="A11" s="162" t="s">
        <v>23</v>
      </c>
      <c r="B11" s="187"/>
      <c r="C11" s="36">
        <f>C12+C13</f>
        <v>19.5064365878</v>
      </c>
      <c r="D11" s="36">
        <f>D12+D13</f>
        <v>62.17169187364064</v>
      </c>
      <c r="E11" s="36">
        <f>E12+E13</f>
        <v>5.5717738617834698</v>
      </c>
      <c r="F11" s="36">
        <f>F12+F13</f>
        <v>25.909371295775795</v>
      </c>
      <c r="G11" s="36">
        <f>G12+G13</f>
        <v>12.05881789</v>
      </c>
      <c r="H11" s="163">
        <f t="shared" si="0"/>
        <v>125.2180915089999</v>
      </c>
      <c r="I11" s="166"/>
      <c r="J11" s="166"/>
      <c r="K11" s="198" t="s">
        <v>88</v>
      </c>
      <c r="L11" s="199">
        <f>H24</f>
        <v>96.359735495249581</v>
      </c>
      <c r="M11" s="199">
        <f>H50</f>
        <v>66.475102473202824</v>
      </c>
      <c r="N11" s="89">
        <f>H76</f>
        <v>41.220616157455495</v>
      </c>
      <c r="O11" s="206"/>
      <c r="P11" s="206"/>
      <c r="Q11" s="206"/>
      <c r="R11" s="206"/>
      <c r="S11" s="206"/>
      <c r="T11" s="207"/>
      <c r="U11" s="38"/>
      <c r="V11" s="45"/>
      <c r="W11" s="82"/>
      <c r="X11" s="208"/>
      <c r="Y11" s="208"/>
      <c r="Z11" s="208"/>
      <c r="AA11" s="208"/>
      <c r="AB11" s="208"/>
    </row>
    <row r="12" spans="1:28" x14ac:dyDescent="0.25">
      <c r="A12" s="149" t="s">
        <v>24</v>
      </c>
      <c r="B12" s="35"/>
      <c r="C12" s="16">
        <f>(Résultats!N$162+Résultats!N$163+Résultats!N$164+Résultats!N$165+Résultats!N$166+Résultats!N$167)/1000000</f>
        <v>19.5064365878</v>
      </c>
      <c r="D12" s="16">
        <f>(Résultats!N$171+Résultats!N$173+Résultats!N$174+Résultats!N$175+Résultats!N$176+Résultats!N$177+Résultats!N$178+Résultats!N$179+Résultats!N$180+Résultats!N$181+Résultats!N$182)/1000000</f>
        <v>55.054555920640638</v>
      </c>
      <c r="E12" s="16">
        <f>'T energie usages'!J17/'T energie usages'!J$20*(Résultats!N$192+Résultats!N$193+Résultats!N$194)/1000000</f>
        <v>5.4139302054181835</v>
      </c>
      <c r="F12" s="16">
        <f>(Résultats!N$197+Résultats!N$198+Résultats!N$199+Résultats!N$200+Résultats!N$201+Résultats!N$202+Résultats!N$203+Résultats!N$204+Résultats!N$205+Résultats!N$206+Résultats!N$207+Résultats!N$208+Résultats!N$216+Résultats!N$218)/1000000</f>
        <v>25.239157265175795</v>
      </c>
      <c r="G12" s="16">
        <f>Résultats!N$133/1000000</f>
        <v>12.05881789</v>
      </c>
      <c r="H12" s="95">
        <f t="shared" si="0"/>
        <v>117.27289786903461</v>
      </c>
      <c r="I12" s="166"/>
      <c r="J12" s="166"/>
      <c r="K12" s="200" t="s">
        <v>1</v>
      </c>
      <c r="L12" s="188">
        <f>SUM(L8:L11)</f>
        <v>305.12721404696549</v>
      </c>
      <c r="M12" s="188">
        <f t="shared" ref="M12:N12" si="1">SUM(M8:M11)</f>
        <v>219.20700259186935</v>
      </c>
      <c r="N12" s="188">
        <f t="shared" si="1"/>
        <v>63.529490017610385</v>
      </c>
      <c r="O12" s="206"/>
      <c r="P12" s="206"/>
      <c r="Q12" s="206"/>
      <c r="R12" s="206"/>
      <c r="S12" s="206"/>
      <c r="T12" s="207"/>
      <c r="U12" s="38"/>
      <c r="V12" s="45"/>
      <c r="W12" s="30"/>
      <c r="X12" s="208"/>
      <c r="Y12" s="208"/>
      <c r="Z12" s="208"/>
      <c r="AA12" s="208"/>
      <c r="AB12" s="208"/>
    </row>
    <row r="13" spans="1:28" x14ac:dyDescent="0.25">
      <c r="A13" s="149" t="s">
        <v>25</v>
      </c>
      <c r="B13" s="35"/>
      <c r="C13" s="16">
        <v>0</v>
      </c>
      <c r="D13" s="16">
        <f>(Résultats!N$172)/1000000</f>
        <v>7.117135953</v>
      </c>
      <c r="E13" s="16">
        <f>'T energie usages'!J19/'T energie usages'!J$20*(Résultats!N$192+Résultats!N$193+Résultats!N$194)/1000000</f>
        <v>0.15784365636528658</v>
      </c>
      <c r="F13" s="16">
        <f>(Résultats!N$196)/1000000</f>
        <v>0.67021403060000007</v>
      </c>
      <c r="G13" s="16">
        <v>0</v>
      </c>
      <c r="H13" s="95">
        <f t="shared" si="0"/>
        <v>7.9451936399652867</v>
      </c>
      <c r="I13" s="166"/>
      <c r="J13" s="166"/>
      <c r="K13" s="166"/>
      <c r="L13" s="166"/>
      <c r="M13" s="166"/>
      <c r="N13" s="38"/>
      <c r="O13" s="206"/>
      <c r="P13" s="206"/>
      <c r="Q13" s="206"/>
      <c r="R13" s="206"/>
      <c r="S13" s="206"/>
      <c r="T13" s="207"/>
      <c r="U13" s="38"/>
      <c r="V13" s="45"/>
      <c r="W13" s="30"/>
      <c r="X13" s="208"/>
      <c r="Y13" s="208"/>
      <c r="Z13" s="208"/>
      <c r="AA13" s="208"/>
      <c r="AB13" s="208"/>
    </row>
    <row r="14" spans="1:28" x14ac:dyDescent="0.25">
      <c r="A14" s="48" t="s">
        <v>41</v>
      </c>
      <c r="B14" s="37"/>
      <c r="C14" s="37">
        <f>SUM(C9:C11)+C6</f>
        <v>20.566404048799999</v>
      </c>
      <c r="D14" s="37">
        <f>SUM(D9:D11)+D6</f>
        <v>226.94679654796008</v>
      </c>
      <c r="E14" s="37">
        <f>SUM(E9:E11)+E6</f>
        <v>19.624546982000002</v>
      </c>
      <c r="F14" s="37">
        <f>SUM(F9:F11)+F6</f>
        <v>72.740843377968588</v>
      </c>
      <c r="G14" s="37">
        <f>SUM(G9:G11)+G6</f>
        <v>12.05881789</v>
      </c>
      <c r="H14" s="167">
        <f t="shared" si="0"/>
        <v>351.93740884672866</v>
      </c>
      <c r="I14" s="166"/>
      <c r="J14" s="166"/>
      <c r="K14" s="166"/>
      <c r="L14" s="166"/>
      <c r="M14" s="166"/>
      <c r="N14" s="38"/>
      <c r="O14" s="206"/>
      <c r="P14" s="206"/>
      <c r="Q14" s="206"/>
      <c r="R14" s="206"/>
      <c r="S14" s="206"/>
      <c r="T14" s="207"/>
      <c r="U14" s="38"/>
      <c r="V14" s="45"/>
      <c r="W14" s="80"/>
      <c r="X14" s="208"/>
      <c r="Y14" s="208"/>
      <c r="Z14" s="208"/>
      <c r="AA14" s="208"/>
      <c r="AB14" s="208"/>
    </row>
    <row r="15" spans="1:28" x14ac:dyDescent="0.25">
      <c r="A15" s="164" t="s">
        <v>43</v>
      </c>
      <c r="B15" s="164"/>
      <c r="C15" s="165">
        <f>(Résultats!N$135+Résultats!N$162+Résultats!N$163+Résultats!N$164+Résultats!N$165+Résultats!N$166+Résultats!N$167+Résultats!N$168+Résultats!N$169)/1000000</f>
        <v>20.566404048799999</v>
      </c>
      <c r="D15" s="165">
        <f>(Résultats!N$137+Résultats!N$171+Résultats!N$172+Résultats!N$173+Résultats!N$174+Résultats!N$175+Résultats!N$176+Résultats!N$177+Résultats!N$178+Résultats!N$179+Résultats!N$180+Résultats!N$181+Résultats!N$182+Résultats!N$183+Résultats!N$184+Résultats!N$185+Résultats!N$186+Résultats!N$187+Résultats!N$188+Résultats!N$189)/1000000</f>
        <v>226.20946973384065</v>
      </c>
      <c r="E15" s="165">
        <f>(Résultats!N$192+Résultats!N$193+Résultats!N$194)/1000000</f>
        <v>19.624546982000002</v>
      </c>
      <c r="F15" s="165">
        <f>(Résultats!N$139+Résultats!N$196+Résultats!N$197+Résultats!N$198+Résultats!N$199+Résultats!N$200+Résultats!N$201+Résultats!N$202+Résultats!N$203+Résultats!N$204+Résultats!N$205+Résultats!N$206+Résultats!N$207+Résultats!N$208+Résultats!N$209+Résultats!N$210+Résultats!N$211+Résultats!N$212+Résultats!N$213+Résultats!N$214+Résultats!N$215+Résultats!N$216+Résultats!N$218)/1000000</f>
        <v>76.3433478590958</v>
      </c>
      <c r="G15" s="165">
        <f>Résultats!N$133/1000000</f>
        <v>12.05881789</v>
      </c>
      <c r="H15" s="188">
        <f t="shared" si="0"/>
        <v>354.80258651373646</v>
      </c>
      <c r="I15" s="166"/>
      <c r="J15" s="166"/>
      <c r="K15" s="166"/>
      <c r="L15" s="166"/>
      <c r="M15" s="207"/>
      <c r="N15" s="45"/>
      <c r="O15" s="166"/>
      <c r="P15" s="166"/>
      <c r="Q15" s="166"/>
      <c r="R15" s="166"/>
      <c r="S15" s="207"/>
      <c r="T15" s="207"/>
      <c r="U15" s="45"/>
      <c r="V15" s="45"/>
      <c r="W15" s="79"/>
      <c r="X15" s="208"/>
      <c r="Y15" s="208"/>
      <c r="Z15" s="208"/>
      <c r="AA15" s="208"/>
      <c r="AB15" s="208"/>
    </row>
    <row r="16" spans="1:28" x14ac:dyDescent="0.25">
      <c r="A16" s="164"/>
      <c r="B16" s="164"/>
      <c r="C16" s="189"/>
      <c r="D16" s="189"/>
      <c r="E16" s="189"/>
      <c r="F16" s="189"/>
      <c r="G16" s="189"/>
      <c r="H16" s="165">
        <f>Résultats!N227/1000000</f>
        <v>354.80258580000003</v>
      </c>
      <c r="I16" s="166"/>
      <c r="J16" s="166"/>
      <c r="K16" s="166"/>
      <c r="L16" s="166"/>
      <c r="M16" s="207"/>
      <c r="N16" s="209"/>
      <c r="O16" s="166"/>
      <c r="P16" s="166"/>
      <c r="Q16" s="166"/>
      <c r="R16" s="166"/>
      <c r="S16" s="207"/>
      <c r="T16" s="207"/>
      <c r="U16" s="209"/>
      <c r="V16" s="209"/>
      <c r="W16" s="210"/>
      <c r="X16" s="208"/>
      <c r="Y16" s="208"/>
      <c r="Z16" s="208"/>
      <c r="AA16" s="208"/>
      <c r="AB16" s="208"/>
    </row>
    <row r="17" spans="1:28" x14ac:dyDescent="0.25">
      <c r="A17" s="3"/>
      <c r="B17" s="3"/>
      <c r="C17" s="75"/>
      <c r="D17" s="75"/>
      <c r="E17" s="75"/>
      <c r="F17" s="75"/>
      <c r="G17" s="75"/>
      <c r="H17" s="45"/>
      <c r="I17" s="166"/>
      <c r="J17" s="166"/>
      <c r="K17" s="166"/>
      <c r="L17" s="166"/>
      <c r="M17" s="207"/>
      <c r="O17" s="166"/>
      <c r="P17" s="166"/>
      <c r="Q17" s="166"/>
      <c r="R17" s="166"/>
      <c r="S17" s="207"/>
      <c r="T17" s="207"/>
      <c r="X17" s="208"/>
      <c r="Y17" s="208"/>
      <c r="Z17" s="208"/>
      <c r="AA17" s="208"/>
      <c r="AB17" s="208"/>
    </row>
    <row r="18" spans="1:28" ht="21" x14ac:dyDescent="0.35">
      <c r="A18" s="145">
        <v>2020</v>
      </c>
      <c r="B18" s="186"/>
      <c r="C18" s="27" t="s">
        <v>36</v>
      </c>
      <c r="D18" s="27" t="s">
        <v>37</v>
      </c>
      <c r="E18" s="27" t="s">
        <v>38</v>
      </c>
      <c r="F18" s="27" t="s">
        <v>39</v>
      </c>
      <c r="G18" s="27" t="s">
        <v>40</v>
      </c>
      <c r="H18" s="190" t="s">
        <v>1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W18" s="19"/>
      <c r="X18" s="19"/>
      <c r="Y18" s="19"/>
      <c r="Z18" s="19"/>
      <c r="AA18" s="19"/>
      <c r="AB18" s="208"/>
    </row>
    <row r="19" spans="1:28" x14ac:dyDescent="0.25">
      <c r="A19" s="162" t="s">
        <v>18</v>
      </c>
      <c r="B19" s="187"/>
      <c r="C19" s="36">
        <f>C20+C21</f>
        <v>0</v>
      </c>
      <c r="D19" s="36">
        <f>D20+D21</f>
        <v>126.30532223395784</v>
      </c>
      <c r="E19" s="36">
        <f>E20+E21</f>
        <v>0.52368992399159331</v>
      </c>
      <c r="F19" s="36">
        <f>F20+F21</f>
        <v>0.44022940862410609</v>
      </c>
      <c r="G19" s="36">
        <f>G20+G21</f>
        <v>0</v>
      </c>
      <c r="H19" s="163">
        <f>SUM(C19:G19)</f>
        <v>127.26924156657354</v>
      </c>
      <c r="I19" s="166"/>
      <c r="J19" s="166"/>
      <c r="K19" s="166"/>
      <c r="L19" s="166"/>
      <c r="M19" s="166"/>
      <c r="N19" s="38"/>
      <c r="O19" s="206"/>
      <c r="P19" s="206"/>
      <c r="Q19" s="206"/>
      <c r="R19" s="206"/>
      <c r="S19" s="206"/>
      <c r="T19" s="207"/>
      <c r="U19" s="75"/>
      <c r="W19" s="82"/>
      <c r="X19" s="208"/>
      <c r="Y19" s="208"/>
      <c r="Z19" s="208"/>
      <c r="AA19" s="208"/>
      <c r="AB19" s="208"/>
    </row>
    <row r="20" spans="1:28" x14ac:dyDescent="0.25">
      <c r="A20" s="148" t="s">
        <v>19</v>
      </c>
      <c r="B20" s="35"/>
      <c r="C20" s="16">
        <v>0</v>
      </c>
      <c r="D20" s="16">
        <f>'T energie usages'!I25*3.2*Résultats!S283</f>
        <v>72.54971976245784</v>
      </c>
      <c r="E20" s="16">
        <f>'T energie usages'!J25/'T energie usages'!J$33*(Résultats!S$192+Résultats!S$193+Résultats!S$194)/1000000</f>
        <v>4.0208325532780184E-2</v>
      </c>
      <c r="F20" s="16">
        <f>'T energie usages'!K25*2.394*Résultats!S284</f>
        <v>2.103157410607588E-5</v>
      </c>
      <c r="G20" s="16">
        <v>0</v>
      </c>
      <c r="H20" s="95">
        <f>SUM(C20:G20)</f>
        <v>72.589949119564722</v>
      </c>
      <c r="I20" s="166"/>
      <c r="J20" s="166"/>
      <c r="K20" s="166"/>
      <c r="L20" s="166"/>
      <c r="M20" s="166"/>
      <c r="N20" s="38"/>
      <c r="O20" s="206"/>
      <c r="P20" s="206"/>
      <c r="Q20" s="206"/>
      <c r="R20" s="206"/>
      <c r="S20" s="206"/>
      <c r="T20" s="207"/>
      <c r="U20" s="16"/>
      <c r="W20" s="30"/>
      <c r="X20" s="208"/>
      <c r="Y20" s="208"/>
      <c r="Z20" s="208"/>
      <c r="AA20" s="208"/>
      <c r="AB20" s="208"/>
    </row>
    <row r="21" spans="1:28" x14ac:dyDescent="0.25">
      <c r="A21" s="149" t="s">
        <v>20</v>
      </c>
      <c r="B21" s="35"/>
      <c r="C21" s="16">
        <v>0</v>
      </c>
      <c r="D21" s="16">
        <f>(Résultats!S$183+Résultats!S$184+Résultats!S$185+Résultats!S$186+Résultats!S$187)/1000000</f>
        <v>53.755602471499998</v>
      </c>
      <c r="E21" s="16">
        <f>'T energie usages'!J26/'T energie usages'!J$33*(Résultats!S$192+Résultats!S$193+Résultats!S$194)/1000000</f>
        <v>0.48348159845881311</v>
      </c>
      <c r="F21" s="16">
        <f>(Résultats!S$209+Résultats!S$210+Résultats!S$211+Résultats!S$212+Résultats!S$213)/1000000</f>
        <v>0.44020837704999999</v>
      </c>
      <c r="G21" s="16">
        <v>0</v>
      </c>
      <c r="H21" s="95">
        <f>SUM(C21:G21)</f>
        <v>54.679292447008812</v>
      </c>
      <c r="I21" s="166"/>
      <c r="J21" s="166"/>
      <c r="K21" s="166"/>
      <c r="L21" s="166"/>
      <c r="M21" s="166"/>
      <c r="N21" s="38"/>
      <c r="O21" s="206"/>
      <c r="P21" s="206"/>
      <c r="Q21" s="206"/>
      <c r="R21" s="206"/>
      <c r="S21" s="206"/>
      <c r="T21" s="207"/>
      <c r="U21" s="16"/>
      <c r="W21" s="30"/>
      <c r="X21" s="208"/>
      <c r="Y21" s="208"/>
      <c r="Z21" s="208"/>
      <c r="AA21" s="208"/>
      <c r="AB21" s="208"/>
    </row>
    <row r="22" spans="1:28" x14ac:dyDescent="0.25">
      <c r="A22" s="162" t="s">
        <v>21</v>
      </c>
      <c r="B22" s="187"/>
      <c r="C22" s="36">
        <f>Résultats!S$135/1000000</f>
        <v>1.0402607989999999</v>
      </c>
      <c r="D22" s="36">
        <f>'T energie usages'!I27*3.2*Résultats!S283</f>
        <v>19.829159949972102</v>
      </c>
      <c r="E22" s="36">
        <f>'T energie usages'!J27/'T energie usages'!J$33*(Résultats!S$192+Résultats!S$193+Résultats!S$194)/1000000</f>
        <v>5.4062500418593888</v>
      </c>
      <c r="F22" s="36">
        <f>('T energie usages'!K27-8)*2.394*Résultats!S284</f>
        <v>26.401753789873883</v>
      </c>
      <c r="G22" s="36">
        <v>0</v>
      </c>
      <c r="H22" s="163">
        <f>SUM(C22:G22)</f>
        <v>52.677424580705377</v>
      </c>
      <c r="I22" s="166"/>
      <c r="J22" s="166"/>
      <c r="K22" s="166"/>
      <c r="L22" s="166"/>
      <c r="M22" s="166"/>
      <c r="N22" s="38"/>
      <c r="O22" s="206"/>
      <c r="P22" s="206"/>
      <c r="Q22" s="206"/>
      <c r="R22" s="206"/>
      <c r="S22" s="206"/>
      <c r="T22" s="207"/>
      <c r="U22" s="75"/>
      <c r="W22" s="82"/>
      <c r="X22" s="208"/>
      <c r="Y22" s="208"/>
      <c r="Z22" s="208"/>
      <c r="AA22" s="208"/>
      <c r="AB22" s="208"/>
    </row>
    <row r="23" spans="1:28" x14ac:dyDescent="0.25">
      <c r="A23" s="162" t="s">
        <v>22</v>
      </c>
      <c r="B23" s="187"/>
      <c r="C23" s="36">
        <f>(Résultats!S$168+Résultats!S$169)/1000000</f>
        <v>0</v>
      </c>
      <c r="D23" s="36">
        <f>(Résultats!S$188+Résultats!S$189)/1000000</f>
        <v>8.7359360647000006</v>
      </c>
      <c r="E23" s="36">
        <f>'T energie usages'!J28/'T energie usages'!J$33*(Résultats!S$192+Résultats!S$193+Résultats!S$194)/1000000</f>
        <v>4.6285355237370052</v>
      </c>
      <c r="F23" s="36">
        <f>(Résultats!S$214+Résultats!S$215)/1000000</f>
        <v>15.456340815999999</v>
      </c>
      <c r="G23" s="36">
        <v>0</v>
      </c>
      <c r="H23" s="163">
        <f t="shared" ref="H23:H28" si="2">SUM(C23:G23)</f>
        <v>28.820812404437007</v>
      </c>
      <c r="I23" s="166"/>
      <c r="J23" s="166"/>
      <c r="K23" s="166"/>
      <c r="L23" s="166"/>
      <c r="M23" s="166"/>
      <c r="N23" s="38"/>
      <c r="O23" s="206"/>
      <c r="P23" s="206"/>
      <c r="Q23" s="206"/>
      <c r="R23" s="206"/>
      <c r="S23" s="206"/>
      <c r="T23" s="207"/>
      <c r="U23" s="75"/>
      <c r="W23" s="82"/>
      <c r="X23" s="208"/>
      <c r="Y23" s="208"/>
      <c r="Z23" s="208"/>
      <c r="AA23" s="208"/>
      <c r="AB23" s="208"/>
    </row>
    <row r="24" spans="1:28" x14ac:dyDescent="0.25">
      <c r="A24" s="162" t="s">
        <v>23</v>
      </c>
      <c r="B24" s="187"/>
      <c r="C24" s="36">
        <f>C25+C26</f>
        <v>10.405384983499999</v>
      </c>
      <c r="D24" s="36">
        <f>D25+D26</f>
        <v>42.849414090367461</v>
      </c>
      <c r="E24" s="36">
        <f>E25+E26</f>
        <v>3.3867395004120118</v>
      </c>
      <c r="F24" s="36">
        <f>F25+F26</f>
        <v>26.304896880970112</v>
      </c>
      <c r="G24" s="36">
        <f>G25+G26</f>
        <v>13.413300039999999</v>
      </c>
      <c r="H24" s="163">
        <f t="shared" si="2"/>
        <v>96.359735495249581</v>
      </c>
      <c r="I24" s="166"/>
      <c r="J24" s="166"/>
      <c r="K24" s="166"/>
      <c r="L24" s="166"/>
      <c r="M24" s="166"/>
      <c r="N24" s="38"/>
      <c r="O24" s="206"/>
      <c r="P24" s="206"/>
      <c r="Q24" s="206"/>
      <c r="R24" s="206"/>
      <c r="S24" s="206"/>
      <c r="T24" s="207"/>
      <c r="U24" s="75"/>
      <c r="W24" s="82"/>
      <c r="X24" s="208"/>
      <c r="Y24" s="208"/>
      <c r="Z24" s="208"/>
      <c r="AA24" s="208"/>
      <c r="AB24" s="208"/>
    </row>
    <row r="25" spans="1:28" x14ac:dyDescent="0.25">
      <c r="A25" s="149" t="s">
        <v>24</v>
      </c>
      <c r="B25" s="35"/>
      <c r="C25" s="16">
        <f>(Résultats!S$162+Résultats!S$163+Résultats!S$164+Résultats!S$165+Résultats!S$166+Résultats!S$167)/1000000</f>
        <v>10.405384983499999</v>
      </c>
      <c r="D25" s="16">
        <f>(Résultats!S$171+Résultats!S$173+Résultats!S$174+Résultats!S$175+Résultats!S$176+Résultats!S$177+Résultats!S$178+Résultats!S$179+Résultats!S$180+Résultats!S$181+Résultats!S$182)/1000000</f>
        <v>35.905293822367462</v>
      </c>
      <c r="E25" s="16">
        <f>'T energie usages'!J30/'T energie usages'!J$33*(Résultats!S$192+Résultats!S$193+Résultats!S$194)/1000000</f>
        <v>3.2719045473986763</v>
      </c>
      <c r="F25" s="16">
        <f>(Résultats!S$197+Résultats!S$198+Résultats!S$199+Résultats!S$200+Résultats!S$201+Résultats!S$202+Résultats!S$203+Résultats!S$204+Résultats!S$205+Résultats!S$206+Résultats!S$207+Résultats!S$208+Résultats!S$216+Résultats!S$218)/1000000</f>
        <v>25.688541631470112</v>
      </c>
      <c r="G25" s="16">
        <f>Résultats!S$133/1000000</f>
        <v>13.413300039999999</v>
      </c>
      <c r="H25" s="95">
        <f t="shared" si="2"/>
        <v>88.684425024736242</v>
      </c>
      <c r="I25" s="166"/>
      <c r="J25" s="166"/>
      <c r="K25" s="166"/>
      <c r="L25" s="166"/>
      <c r="M25" s="166"/>
      <c r="N25" s="38"/>
      <c r="O25" s="206"/>
      <c r="P25" s="206"/>
      <c r="Q25" s="206"/>
      <c r="R25" s="206"/>
      <c r="S25" s="206"/>
      <c r="T25" s="207"/>
      <c r="U25" s="16"/>
      <c r="W25" s="30"/>
      <c r="X25" s="208"/>
      <c r="Y25" s="208"/>
      <c r="Z25" s="208"/>
      <c r="AA25" s="208"/>
      <c r="AB25" s="208"/>
    </row>
    <row r="26" spans="1:28" x14ac:dyDescent="0.25">
      <c r="A26" s="149" t="s">
        <v>25</v>
      </c>
      <c r="B26" s="35"/>
      <c r="C26" s="16">
        <v>0</v>
      </c>
      <c r="D26" s="16">
        <f>(Résultats!S$172)/1000000</f>
        <v>6.9441202679999998</v>
      </c>
      <c r="E26" s="16">
        <f>'T energie usages'!J32/'T energie usages'!J$33*(Résultats!S$192+Résultats!S$193+Résultats!S$194)/1000000</f>
        <v>0.11483495301333546</v>
      </c>
      <c r="F26" s="16">
        <f>(Résultats!S$196)/1000000</f>
        <v>0.61635524949999998</v>
      </c>
      <c r="G26" s="16">
        <v>0</v>
      </c>
      <c r="H26" s="95">
        <f t="shared" si="2"/>
        <v>7.6753104705133346</v>
      </c>
      <c r="I26" s="166"/>
      <c r="J26" s="166"/>
      <c r="K26" s="166"/>
      <c r="L26" s="166"/>
      <c r="M26" s="166"/>
      <c r="N26" s="38"/>
      <c r="O26" s="206"/>
      <c r="P26" s="206"/>
      <c r="Q26" s="206"/>
      <c r="R26" s="206"/>
      <c r="S26" s="206"/>
      <c r="T26" s="207"/>
      <c r="U26" s="16"/>
      <c r="W26" s="30"/>
      <c r="X26" s="208"/>
      <c r="Y26" s="208"/>
      <c r="Z26" s="208"/>
      <c r="AA26" s="208"/>
      <c r="AB26" s="208"/>
    </row>
    <row r="27" spans="1:28" x14ac:dyDescent="0.25">
      <c r="A27" s="48" t="s">
        <v>41</v>
      </c>
      <c r="B27" s="37"/>
      <c r="C27" s="37">
        <f>SUM(C22:C24)+C19</f>
        <v>11.4456457825</v>
      </c>
      <c r="D27" s="37">
        <f>SUM(D22:D24)+D19</f>
        <v>197.71983233899741</v>
      </c>
      <c r="E27" s="37">
        <f>SUM(E22:E24)+E19</f>
        <v>13.94521499</v>
      </c>
      <c r="F27" s="37">
        <f>SUM(F22:F24)+F19</f>
        <v>68.603220895468098</v>
      </c>
      <c r="G27" s="37">
        <f>SUM(G22:G24)+G19</f>
        <v>13.413300039999999</v>
      </c>
      <c r="H27" s="167">
        <f t="shared" si="2"/>
        <v>305.12721404696555</v>
      </c>
      <c r="I27" s="166"/>
      <c r="J27" s="166"/>
      <c r="K27" s="166"/>
      <c r="L27" s="166"/>
      <c r="M27" s="166"/>
      <c r="N27" s="38"/>
      <c r="O27" s="206"/>
      <c r="P27" s="206"/>
      <c r="Q27" s="206"/>
      <c r="R27" s="206"/>
      <c r="S27" s="206"/>
      <c r="T27" s="207"/>
      <c r="U27" s="79"/>
      <c r="W27" s="80"/>
      <c r="X27" s="208"/>
      <c r="Y27" s="208"/>
      <c r="Z27" s="208"/>
      <c r="AA27" s="208"/>
      <c r="AB27" s="208"/>
    </row>
    <row r="28" spans="1:28" x14ac:dyDescent="0.25">
      <c r="A28" s="164" t="s">
        <v>43</v>
      </c>
      <c r="B28" s="164"/>
      <c r="C28" s="165">
        <f>(Résultats!S$135+Résultats!S$162+Résultats!S$163+Résultats!S$164+Résultats!S$165+Résultats!S$166+Résultats!S$167+Résultats!S$168+Résultats!S$169)/1000000</f>
        <v>11.445645782500002</v>
      </c>
      <c r="D28" s="165">
        <f>(Résultats!S$137+Résultats!S$171+Résultats!S$172+Résultats!S$173+Résultats!S$174+Résultats!S$175+Résultats!S$176+Résultats!S$177+Résultats!S$178+Résultats!S$179+Résultats!S$180+Résultats!S$181+Résultats!S$182+Résultats!S$183+Résultats!S$184+Résultats!S$185+Résultats!S$186+Résultats!S$187+Résultats!S$188+Résultats!S$189)/1000000</f>
        <v>197.77565705656744</v>
      </c>
      <c r="E28" s="165">
        <f>(Résultats!S$192+Résultats!S$193+Résultats!S$194)/1000000</f>
        <v>13.945214989999998</v>
      </c>
      <c r="F28" s="165">
        <f>(Résultats!S$139+Résultats!S$196+Résultats!S$197+Résultats!S$198+Résultats!S$199+Résultats!S$200+Résultats!S$201+Résultats!S$202+Résultats!S$203+Résultats!S$204+Résultats!S$205+Résultats!S$206+Résultats!S$207+Résultats!S$208+Résultats!S$209+Résultats!S$210+Résultats!S$211+Résultats!S$212+Résultats!S$213+Résultats!S$214+Résultats!S$215+Résultats!S$216+Résultats!S$218)/1000000</f>
        <v>72.089748864020123</v>
      </c>
      <c r="G28" s="165">
        <f>Résultats!S$133/1000000</f>
        <v>13.413300039999999</v>
      </c>
      <c r="H28" s="188">
        <f t="shared" si="2"/>
        <v>308.66956673308761</v>
      </c>
      <c r="I28" s="166"/>
      <c r="J28" s="166"/>
      <c r="K28" s="166"/>
      <c r="L28" s="166"/>
      <c r="M28" s="166"/>
      <c r="N28" s="45"/>
      <c r="O28" s="166"/>
      <c r="P28" s="166"/>
      <c r="Q28" s="166"/>
      <c r="R28" s="166"/>
      <c r="S28" s="166"/>
      <c r="T28" s="207"/>
      <c r="U28" s="45"/>
      <c r="V28" s="45"/>
      <c r="W28" s="45"/>
      <c r="X28" s="208"/>
      <c r="Y28" s="208"/>
      <c r="Z28" s="208"/>
      <c r="AA28" s="208"/>
      <c r="AB28" s="208"/>
    </row>
    <row r="29" spans="1:28" x14ac:dyDescent="0.25">
      <c r="A29" s="164"/>
      <c r="B29" s="164"/>
      <c r="C29" s="189"/>
      <c r="D29" s="189"/>
      <c r="E29" s="189"/>
      <c r="F29" s="189"/>
      <c r="G29" s="189"/>
      <c r="H29" s="165">
        <f>Résultats!S227/1000000</f>
        <v>308.6695661</v>
      </c>
      <c r="I29" s="166"/>
      <c r="J29" s="166"/>
      <c r="K29" s="166"/>
      <c r="L29" s="166"/>
      <c r="M29" s="166"/>
      <c r="N29" s="45"/>
      <c r="O29" s="166"/>
      <c r="P29" s="166"/>
      <c r="Q29" s="166"/>
      <c r="R29" s="166"/>
      <c r="S29" s="166"/>
      <c r="T29" s="207"/>
      <c r="U29" s="45"/>
      <c r="V29" s="45"/>
      <c r="W29" s="45"/>
      <c r="X29" s="208"/>
      <c r="Y29" s="208"/>
      <c r="Z29" s="208"/>
      <c r="AA29" s="208"/>
      <c r="AB29" s="208"/>
    </row>
    <row r="30" spans="1:28" x14ac:dyDescent="0.25">
      <c r="A30" s="3"/>
      <c r="B30" s="3"/>
      <c r="C30" s="191"/>
      <c r="D30" s="191"/>
      <c r="E30" s="191"/>
      <c r="F30" s="191"/>
      <c r="G30" s="75"/>
      <c r="H30" s="45"/>
      <c r="I30" s="166"/>
      <c r="J30" s="166"/>
      <c r="K30" s="166"/>
      <c r="L30" s="166"/>
      <c r="N30" s="45"/>
      <c r="O30" s="166"/>
      <c r="P30" s="166"/>
      <c r="Q30" s="166"/>
      <c r="R30" s="166"/>
      <c r="S30" s="166"/>
      <c r="T30" s="207"/>
      <c r="U30" s="45"/>
      <c r="V30" s="45"/>
      <c r="W30" s="45"/>
      <c r="X30" s="208"/>
      <c r="Y30" s="208"/>
      <c r="Z30" s="208"/>
      <c r="AA30" s="208"/>
      <c r="AB30" s="208"/>
    </row>
    <row r="31" spans="1:28" ht="21" x14ac:dyDescent="0.35">
      <c r="A31" s="145">
        <v>2025</v>
      </c>
      <c r="B31" s="186"/>
      <c r="C31" s="27" t="s">
        <v>36</v>
      </c>
      <c r="D31" s="27" t="s">
        <v>37</v>
      </c>
      <c r="E31" s="27" t="s">
        <v>38</v>
      </c>
      <c r="F31" s="27" t="s">
        <v>39</v>
      </c>
      <c r="G31" s="27" t="s">
        <v>40</v>
      </c>
      <c r="H31" s="190" t="s">
        <v>1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45"/>
      <c r="W31" s="19"/>
      <c r="X31" s="19"/>
      <c r="Y31" s="19"/>
      <c r="Z31" s="19"/>
      <c r="AA31" s="19"/>
      <c r="AB31" s="208"/>
    </row>
    <row r="32" spans="1:28" x14ac:dyDescent="0.25">
      <c r="A32" s="162" t="s">
        <v>18</v>
      </c>
      <c r="B32" s="187"/>
      <c r="C32" s="36">
        <f>C33+C34</f>
        <v>0</v>
      </c>
      <c r="D32" s="36">
        <f>D33+D34</f>
        <v>117.00069398236616</v>
      </c>
      <c r="E32" s="36">
        <f>E33+E34</f>
        <v>0.45973460982497527</v>
      </c>
      <c r="F32" s="36">
        <f>F33+F34</f>
        <v>0.61947266404156331</v>
      </c>
      <c r="G32" s="36">
        <f>G33+G34</f>
        <v>0</v>
      </c>
      <c r="H32" s="163">
        <f>SUM(C32:G32)</f>
        <v>118.0799012562327</v>
      </c>
      <c r="I32" s="166"/>
      <c r="J32" s="166"/>
      <c r="K32" s="166"/>
      <c r="L32" s="166"/>
      <c r="M32" s="166"/>
      <c r="N32" s="38"/>
      <c r="O32" s="206"/>
      <c r="P32" s="206"/>
      <c r="Q32" s="206"/>
      <c r="R32" s="206"/>
      <c r="S32" s="206"/>
      <c r="T32" s="207"/>
      <c r="U32" s="75"/>
      <c r="V32" s="45"/>
      <c r="W32" s="82"/>
      <c r="X32" s="208"/>
      <c r="Y32" s="208"/>
      <c r="Z32" s="208"/>
      <c r="AA32" s="208"/>
      <c r="AB32" s="208"/>
    </row>
    <row r="33" spans="1:28" x14ac:dyDescent="0.25">
      <c r="A33" s="148" t="s">
        <v>19</v>
      </c>
      <c r="B33" s="35"/>
      <c r="C33" s="16">
        <v>0</v>
      </c>
      <c r="D33" s="16">
        <f>'T energie usages'!I64*3.2*Résultats!X283</f>
        <v>63.622218958466149</v>
      </c>
      <c r="E33" s="16">
        <f>'T energie usages'!J64/'T energie usages'!J$72*(Résultats!X$192+Résultats!X$193+Résultats!X$194)/1000000</f>
        <v>7.7686430887219021E-2</v>
      </c>
      <c r="F33" s="16">
        <f>'T energie usages'!K64*2.394*Résultats!X284</f>
        <v>3.1875641563211779E-5</v>
      </c>
      <c r="G33" s="16">
        <v>0</v>
      </c>
      <c r="H33" s="95">
        <f>SUM(C33:G33)</f>
        <v>63.699937264994929</v>
      </c>
      <c r="I33" s="166"/>
      <c r="J33" s="166"/>
      <c r="K33" s="166"/>
      <c r="L33" s="166"/>
      <c r="M33" s="166"/>
      <c r="N33" s="38"/>
      <c r="O33" s="206"/>
      <c r="P33" s="206"/>
      <c r="Q33" s="206"/>
      <c r="R33" s="206"/>
      <c r="S33" s="206"/>
      <c r="T33" s="207"/>
      <c r="U33" s="16"/>
      <c r="V33" s="45"/>
      <c r="W33" s="30"/>
      <c r="X33" s="208"/>
      <c r="Y33" s="208"/>
      <c r="Z33" s="208"/>
      <c r="AA33" s="208"/>
      <c r="AB33" s="208"/>
    </row>
    <row r="34" spans="1:28" x14ac:dyDescent="0.25">
      <c r="A34" s="149" t="s">
        <v>20</v>
      </c>
      <c r="B34" s="35"/>
      <c r="C34" s="16">
        <v>0</v>
      </c>
      <c r="D34" s="16">
        <f>(Résultats!X$183+Résultats!X$184+Résultats!X$185+Résultats!X$186+Résultats!X$187)/1000000</f>
        <v>53.378475023900002</v>
      </c>
      <c r="E34" s="16">
        <f>'T energie usages'!J65/'T energie usages'!J$72*(Résultats!X$192+Résultats!X$193+Résultats!X$194)/1000000</f>
        <v>0.38204817893775628</v>
      </c>
      <c r="F34" s="16">
        <f>(Résultats!X$209+Résultats!X$210+Résultats!X$211+Résultats!X$212+Résultats!X$213)/1000000</f>
        <v>0.61944078840000005</v>
      </c>
      <c r="G34" s="16">
        <v>0</v>
      </c>
      <c r="H34" s="95">
        <f>SUM(C34:G34)</f>
        <v>54.379963991237759</v>
      </c>
      <c r="I34" s="166"/>
      <c r="J34" s="166"/>
      <c r="K34" s="166"/>
      <c r="L34" s="166"/>
      <c r="M34" s="166"/>
      <c r="N34" s="38"/>
      <c r="O34" s="206"/>
      <c r="P34" s="206"/>
      <c r="Q34" s="206"/>
      <c r="R34" s="206"/>
      <c r="S34" s="206"/>
      <c r="T34" s="207"/>
      <c r="U34" s="16"/>
      <c r="V34" s="45"/>
      <c r="W34" s="30"/>
      <c r="X34" s="208"/>
      <c r="Y34" s="208"/>
      <c r="Z34" s="208"/>
      <c r="AA34" s="208"/>
      <c r="AB34" s="208"/>
    </row>
    <row r="35" spans="1:28" x14ac:dyDescent="0.25">
      <c r="A35" s="162" t="s">
        <v>21</v>
      </c>
      <c r="B35" s="187"/>
      <c r="C35" s="36">
        <f>Résultats!X$135/1000000</f>
        <v>0.92224344599999997</v>
      </c>
      <c r="D35" s="36">
        <f>'T energie usages'!I66*3.2*Résultats!X283</f>
        <v>16.617105620259945</v>
      </c>
      <c r="E35" s="36">
        <f>'T energie usages'!J66/'T energie usages'!J$72*(Résultats!X$192+Résultats!X$193+Résultats!X$194)/1000000</f>
        <v>3.6753238010439251</v>
      </c>
      <c r="F35" s="36">
        <f>('T energie usages'!K66-8)*2.394*Résultats!X284</f>
        <v>23.902523032528102</v>
      </c>
      <c r="G35" s="36">
        <v>0</v>
      </c>
      <c r="H35" s="163">
        <f>SUM(C35:G35)</f>
        <v>45.11719589983197</v>
      </c>
      <c r="I35" s="166"/>
      <c r="J35" s="166"/>
      <c r="K35" s="166"/>
      <c r="L35" s="166"/>
      <c r="M35" s="166"/>
      <c r="N35" s="38"/>
      <c r="O35" s="206"/>
      <c r="P35" s="206"/>
      <c r="Q35" s="206"/>
      <c r="R35" s="206"/>
      <c r="S35" s="206"/>
      <c r="T35" s="207"/>
      <c r="U35" s="75"/>
      <c r="V35" s="45"/>
      <c r="W35" s="82"/>
      <c r="X35" s="208"/>
      <c r="Y35" s="208"/>
      <c r="Z35" s="208"/>
      <c r="AA35" s="208"/>
      <c r="AB35" s="208"/>
    </row>
    <row r="36" spans="1:28" x14ac:dyDescent="0.25">
      <c r="A36" s="162" t="s">
        <v>22</v>
      </c>
      <c r="B36" s="187"/>
      <c r="C36" s="36">
        <f>(Résultats!X$168+Résultats!X$169)/1000000</f>
        <v>0</v>
      </c>
      <c r="D36" s="36">
        <f>(Résultats!X$188+Résultats!X$189)/1000000</f>
        <v>6.0346362348999998</v>
      </c>
      <c r="E36" s="36">
        <f>'T energie usages'!J67/'T energie usages'!J$72*(Résultats!X$192+Résultats!X$193+Résultats!X$194)/1000000</f>
        <v>3.0109569628802024</v>
      </c>
      <c r="F36" s="36">
        <f>(Résultats!X$214+Résultats!X$215)/1000000</f>
        <v>17.626029241999998</v>
      </c>
      <c r="G36" s="36">
        <v>0</v>
      </c>
      <c r="H36" s="163">
        <f t="shared" ref="H36:H41" si="3">SUM(C36:G36)</f>
        <v>26.671622439780201</v>
      </c>
      <c r="I36" s="166"/>
      <c r="J36" s="166"/>
      <c r="K36" s="166"/>
      <c r="L36" s="166"/>
      <c r="M36" s="166"/>
      <c r="N36" s="38"/>
      <c r="O36" s="206"/>
      <c r="P36" s="206"/>
      <c r="Q36" s="206"/>
      <c r="R36" s="206"/>
      <c r="S36" s="206"/>
      <c r="T36" s="207"/>
      <c r="U36" s="75"/>
      <c r="V36" s="45"/>
      <c r="W36" s="82"/>
      <c r="X36" s="208"/>
      <c r="Y36" s="208"/>
      <c r="Z36" s="208"/>
      <c r="AA36" s="208"/>
      <c r="AB36" s="208"/>
    </row>
    <row r="37" spans="1:28" x14ac:dyDescent="0.25">
      <c r="A37" s="162" t="s">
        <v>23</v>
      </c>
      <c r="B37" s="187"/>
      <c r="C37" s="36">
        <f>C38+C39</f>
        <v>9.0662116726500006</v>
      </c>
      <c r="D37" s="36">
        <f>D38+D39</f>
        <v>39.055921247007433</v>
      </c>
      <c r="E37" s="36">
        <f>E38+E39</f>
        <v>3.151179664950897</v>
      </c>
      <c r="F37" s="36">
        <f>F38+F39</f>
        <v>17.371524623223973</v>
      </c>
      <c r="G37" s="36">
        <f>G38+G39</f>
        <v>14.500293579999999</v>
      </c>
      <c r="H37" s="163">
        <f t="shared" si="3"/>
        <v>83.145130787832301</v>
      </c>
      <c r="I37" s="166"/>
      <c r="J37" s="166"/>
      <c r="K37" s="166"/>
      <c r="L37" s="166"/>
      <c r="M37" s="166"/>
      <c r="N37" s="38"/>
      <c r="O37" s="206"/>
      <c r="P37" s="206"/>
      <c r="Q37" s="206"/>
      <c r="R37" s="206"/>
      <c r="S37" s="206"/>
      <c r="T37" s="207"/>
      <c r="U37" s="75"/>
      <c r="V37" s="45"/>
      <c r="W37" s="82"/>
      <c r="X37" s="208"/>
      <c r="Y37" s="208"/>
      <c r="Z37" s="208"/>
      <c r="AA37" s="208"/>
      <c r="AB37" s="208"/>
    </row>
    <row r="38" spans="1:28" x14ac:dyDescent="0.25">
      <c r="A38" s="149" t="s">
        <v>24</v>
      </c>
      <c r="B38" s="35"/>
      <c r="C38" s="16">
        <f>(Résultats!X$162+Résultats!X$163+Résultats!X$164+Résultats!X$165+Résultats!X$166+Résultats!X$167)/1000000</f>
        <v>9.0662116726500006</v>
      </c>
      <c r="D38" s="16">
        <f>(Résultats!X$171+Résultats!X$173+Résultats!X$174+Résultats!X$175+Résultats!X$176+Résultats!X$177+Résultats!X$178+Résultats!X$179+Résultats!X$180+Résultats!X$181+Résultats!X$182)/1000000</f>
        <v>32.141378212007432</v>
      </c>
      <c r="E38" s="16">
        <f>'T energie usages'!J69/'T energie usages'!J$72*(Résultats!X$192+Résultats!X$193+Résultats!X$194)/1000000</f>
        <v>3.0693641804610934</v>
      </c>
      <c r="F38" s="16">
        <f>(Résultats!X$197+Résultats!X$198+Résultats!X$199+Résultats!X$200+Résultats!X$201+Résultats!X$202+Résultats!X$203+Résultats!X$204+Résultats!X$205+Résultats!X$206+Résultats!X$207+Résultats!X$208+Résultats!X$216+Résultats!X$218)/1000000</f>
        <v>16.791127150523973</v>
      </c>
      <c r="G38" s="16">
        <f>Résultats!X$133/1000000</f>
        <v>14.500293579999999</v>
      </c>
      <c r="H38" s="95">
        <f t="shared" si="3"/>
        <v>75.568374795642498</v>
      </c>
      <c r="I38" s="166"/>
      <c r="J38" s="166"/>
      <c r="K38" s="166"/>
      <c r="L38" s="166"/>
      <c r="M38" s="166"/>
      <c r="N38" s="38"/>
      <c r="O38" s="206"/>
      <c r="P38" s="206"/>
      <c r="Q38" s="206"/>
      <c r="R38" s="206"/>
      <c r="S38" s="206"/>
      <c r="T38" s="207"/>
      <c r="U38" s="16"/>
      <c r="V38" s="45"/>
      <c r="W38" s="30"/>
      <c r="X38" s="208"/>
      <c r="Y38" s="208"/>
      <c r="Z38" s="208"/>
      <c r="AA38" s="208"/>
      <c r="AB38" s="208"/>
    </row>
    <row r="39" spans="1:28" x14ac:dyDescent="0.25">
      <c r="A39" s="149" t="s">
        <v>25</v>
      </c>
      <c r="B39" s="35"/>
      <c r="C39" s="16">
        <v>0</v>
      </c>
      <c r="D39" s="16">
        <f>(Résultats!X$172)/1000000</f>
        <v>6.9145430350000003</v>
      </c>
      <c r="E39" s="16">
        <f>'T energie usages'!J71/'T energie usages'!J$72*(Résultats!X$192+Résultats!X$193+Résultats!X$194)/1000000</f>
        <v>8.18154844898034E-2</v>
      </c>
      <c r="F39" s="16">
        <f>(Résultats!X$196)/1000000</f>
        <v>0.58039747270000008</v>
      </c>
      <c r="G39" s="16">
        <v>0</v>
      </c>
      <c r="H39" s="95">
        <f t="shared" si="3"/>
        <v>7.5767559921898044</v>
      </c>
      <c r="I39" s="166"/>
      <c r="J39" s="166"/>
      <c r="K39" s="166"/>
      <c r="L39" s="166"/>
      <c r="M39" s="166"/>
      <c r="N39" s="38"/>
      <c r="O39" s="206"/>
      <c r="P39" s="206"/>
      <c r="Q39" s="206"/>
      <c r="R39" s="206"/>
      <c r="S39" s="206"/>
      <c r="T39" s="207"/>
      <c r="U39" s="16"/>
      <c r="V39" s="45"/>
      <c r="W39" s="30"/>
      <c r="X39" s="208"/>
      <c r="Y39" s="208"/>
      <c r="Z39" s="208"/>
      <c r="AA39" s="208"/>
      <c r="AB39" s="208"/>
    </row>
    <row r="40" spans="1:28" x14ac:dyDescent="0.25">
      <c r="A40" s="48" t="s">
        <v>41</v>
      </c>
      <c r="B40" s="37"/>
      <c r="C40" s="37">
        <f>SUM(C35:C37)+C32</f>
        <v>9.9884551186500001</v>
      </c>
      <c r="D40" s="37">
        <f>SUM(D35:D37)+D32</f>
        <v>178.70835708453353</v>
      </c>
      <c r="E40" s="37">
        <f>SUM(E35:E37)+E32</f>
        <v>10.2971950387</v>
      </c>
      <c r="F40" s="37">
        <f>SUM(F35:F37)+F32</f>
        <v>59.519549561793639</v>
      </c>
      <c r="G40" s="37">
        <f>SUM(G35:G37)+G32</f>
        <v>14.500293579999999</v>
      </c>
      <c r="H40" s="167">
        <f t="shared" si="3"/>
        <v>273.01385038367715</v>
      </c>
      <c r="I40" s="166"/>
      <c r="J40" s="166"/>
      <c r="K40" s="166"/>
      <c r="L40" s="166"/>
      <c r="M40" s="166"/>
      <c r="N40" s="38"/>
      <c r="O40" s="206"/>
      <c r="P40" s="206"/>
      <c r="Q40" s="206"/>
      <c r="R40" s="206"/>
      <c r="S40" s="206"/>
      <c r="T40" s="207"/>
      <c r="U40" s="79"/>
      <c r="V40" s="45"/>
      <c r="W40" s="80"/>
      <c r="X40" s="208"/>
      <c r="Y40" s="208"/>
      <c r="Z40" s="208"/>
      <c r="AA40" s="208"/>
      <c r="AB40" s="208"/>
    </row>
    <row r="41" spans="1:28" x14ac:dyDescent="0.25">
      <c r="A41" s="164" t="s">
        <v>43</v>
      </c>
      <c r="B41" s="164"/>
      <c r="C41" s="165">
        <f>(Résultats!X$135+Résultats!X$162+Résultats!X$163+Résultats!X$164+Résultats!X$165+Résultats!X$166+Résultats!X$167+Résultats!X$168+Résultats!X$169)/1000000</f>
        <v>9.9884551186500001</v>
      </c>
      <c r="D41" s="165">
        <f>+(Résultats!X$137+Résultats!X$171+Résultats!X$172+Résultats!X$173+Résultats!X$174+Résultats!X$175+Résultats!X$176+Résultats!X$177+Résultats!X$178+Résultats!X$179+Résultats!X$180+Résultats!X$181+Résultats!X$182+Résultats!X$183+Résultats!X$184+Résultats!X$185+Résultats!X$186+Résultats!X$187+Résultats!X$188+Résultats!X$189)/1000000</f>
        <v>178.75684585580743</v>
      </c>
      <c r="E41" s="165">
        <f>(Résultats!X$192+Résultats!X$193+Résultats!X$194)/1000000</f>
        <v>10.2971950387</v>
      </c>
      <c r="F41" s="165">
        <f>(Résultats!X$139+Résultats!X$196+Résultats!X$197+Résultats!X$198+Résultats!X$199+Résultats!X$200+Résultats!X$201+Résultats!X$202+Résultats!X$203+Résultats!X$204+Résultats!X$205+Résultats!X$206+Résultats!X$207+Résultats!X$208+Résultats!X$209+Résultats!X$210+Résultats!X$211+Résultats!X$212+Résultats!X$213+Résultats!X$214+Résultats!X$215+Résultats!X$216+Résultats!X$218)/1000000</f>
        <v>59.688286053623962</v>
      </c>
      <c r="G41" s="165">
        <f>Résultats!X$133/1000000</f>
        <v>14.500293579999999</v>
      </c>
      <c r="H41" s="188">
        <f t="shared" si="3"/>
        <v>273.23107564678139</v>
      </c>
      <c r="I41" s="166"/>
      <c r="J41" s="166"/>
      <c r="K41" s="166"/>
      <c r="L41" s="166"/>
      <c r="M41" s="207"/>
      <c r="N41" s="45"/>
      <c r="O41" s="166"/>
      <c r="P41" s="166"/>
      <c r="Q41" s="166"/>
      <c r="R41" s="166"/>
      <c r="S41" s="207"/>
      <c r="T41" s="207"/>
      <c r="U41" s="45"/>
      <c r="V41" s="45"/>
      <c r="W41" s="45"/>
      <c r="X41" s="208"/>
      <c r="Y41" s="208"/>
      <c r="Z41" s="208"/>
      <c r="AA41" s="208"/>
      <c r="AB41" s="208"/>
    </row>
    <row r="42" spans="1:28" x14ac:dyDescent="0.25">
      <c r="A42" s="164"/>
      <c r="B42" s="164"/>
      <c r="C42" s="189"/>
      <c r="D42" s="189"/>
      <c r="E42" s="189"/>
      <c r="F42" s="189"/>
      <c r="G42" s="189"/>
      <c r="H42" s="165">
        <f>Résultats!X227/1000000</f>
        <v>273.23107519999996</v>
      </c>
      <c r="I42" s="166"/>
      <c r="J42" s="166"/>
      <c r="K42" s="166"/>
      <c r="L42" s="166"/>
      <c r="M42" s="207"/>
      <c r="N42" s="45"/>
      <c r="O42" s="166"/>
      <c r="P42" s="166"/>
      <c r="Q42" s="166"/>
      <c r="R42" s="166"/>
      <c r="S42" s="207"/>
      <c r="T42" s="207"/>
      <c r="U42" s="45"/>
      <c r="V42" s="45"/>
      <c r="W42" s="45"/>
      <c r="X42" s="208"/>
      <c r="Y42" s="208"/>
      <c r="Z42" s="208"/>
      <c r="AA42" s="208"/>
      <c r="AB42" s="208"/>
    </row>
    <row r="43" spans="1:28" x14ac:dyDescent="0.25">
      <c r="A43" s="3"/>
      <c r="B43" s="3"/>
      <c r="C43" s="75"/>
      <c r="D43" s="75"/>
      <c r="E43" s="75"/>
      <c r="F43" s="75"/>
      <c r="G43" s="75"/>
      <c r="H43" s="45"/>
      <c r="I43" s="166"/>
      <c r="J43" s="166"/>
      <c r="K43" s="166"/>
      <c r="L43" s="166"/>
      <c r="M43" s="207"/>
      <c r="N43" s="45"/>
      <c r="O43" s="166"/>
      <c r="P43" s="166"/>
      <c r="Q43" s="166"/>
      <c r="R43" s="166"/>
      <c r="S43" s="207"/>
      <c r="T43" s="207"/>
      <c r="U43" s="45"/>
      <c r="V43" s="45"/>
      <c r="W43" s="79"/>
      <c r="X43" s="208"/>
      <c r="Y43" s="208"/>
      <c r="Z43" s="208"/>
      <c r="AA43" s="208"/>
      <c r="AB43" s="208"/>
    </row>
    <row r="44" spans="1:28" ht="21" x14ac:dyDescent="0.35">
      <c r="A44" s="145">
        <v>2030</v>
      </c>
      <c r="B44" s="186"/>
      <c r="C44" s="27" t="s">
        <v>36</v>
      </c>
      <c r="D44" s="27" t="s">
        <v>37</v>
      </c>
      <c r="E44" s="27" t="s">
        <v>38</v>
      </c>
      <c r="F44" s="27" t="s">
        <v>39</v>
      </c>
      <c r="G44" s="27" t="s">
        <v>40</v>
      </c>
      <c r="H44" s="190" t="s">
        <v>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W44" s="19"/>
      <c r="X44" s="19"/>
      <c r="Y44" s="19"/>
      <c r="Z44" s="19"/>
      <c r="AA44" s="19"/>
      <c r="AB44" s="208"/>
    </row>
    <row r="45" spans="1:28" x14ac:dyDescent="0.25">
      <c r="A45" s="162" t="s">
        <v>18</v>
      </c>
      <c r="B45" s="187"/>
      <c r="C45" s="36">
        <f>C46+C47</f>
        <v>0</v>
      </c>
      <c r="D45" s="36">
        <f>D46+D47</f>
        <v>97.011390146173667</v>
      </c>
      <c r="E45" s="36">
        <f>E46+E47</f>
        <v>0.43388922066184848</v>
      </c>
      <c r="F45" s="36">
        <f>F46+F47</f>
        <v>0.75201276061087874</v>
      </c>
      <c r="G45" s="36">
        <f>G46+G47</f>
        <v>0</v>
      </c>
      <c r="H45" s="163">
        <f>SUM(C45:G45)</f>
        <v>98.197292127446403</v>
      </c>
      <c r="I45" s="166"/>
      <c r="J45" s="166"/>
      <c r="K45" s="166"/>
      <c r="L45" s="166"/>
      <c r="M45" s="166"/>
      <c r="N45" s="38"/>
      <c r="O45" s="206"/>
      <c r="P45" s="206"/>
      <c r="Q45" s="206"/>
      <c r="R45" s="206"/>
      <c r="S45" s="206"/>
      <c r="T45" s="207"/>
      <c r="U45" s="75"/>
      <c r="W45" s="82"/>
      <c r="X45" s="208"/>
      <c r="Y45" s="208"/>
      <c r="Z45" s="208"/>
      <c r="AA45" s="208"/>
      <c r="AB45" s="208"/>
    </row>
    <row r="46" spans="1:28" x14ac:dyDescent="0.25">
      <c r="A46" s="148" t="s">
        <v>19</v>
      </c>
      <c r="B46" s="35"/>
      <c r="C46" s="16">
        <v>0</v>
      </c>
      <c r="D46" s="16">
        <f>'T energie usages'!I77*3.2*Résultats!AC283</f>
        <v>49.995476021373662</v>
      </c>
      <c r="E46" s="16">
        <f>'T energie usages'!J77/'T energie usages'!J$85*(Résultats!AC$192+Résultats!AC$193+Résultats!AC$194)/1000000</f>
        <v>0.11589270375805009</v>
      </c>
      <c r="F46" s="16">
        <f>'T energie usages'!K77*2.394*Résultats!AC284</f>
        <v>3.0484730878640441E-5</v>
      </c>
      <c r="G46" s="16">
        <v>0</v>
      </c>
      <c r="H46" s="95">
        <f>SUM(C46:G46)</f>
        <v>50.11139920986259</v>
      </c>
      <c r="I46" s="166"/>
      <c r="J46" s="166"/>
      <c r="K46" s="166"/>
      <c r="L46" s="166"/>
      <c r="M46" s="166"/>
      <c r="N46" s="38"/>
      <c r="O46" s="206"/>
      <c r="P46" s="206"/>
      <c r="Q46" s="206"/>
      <c r="R46" s="206"/>
      <c r="S46" s="206"/>
      <c r="T46" s="207"/>
      <c r="U46" s="16"/>
      <c r="W46" s="30"/>
      <c r="X46" s="208"/>
      <c r="Y46" s="208"/>
      <c r="Z46" s="208"/>
      <c r="AA46" s="208"/>
      <c r="AB46" s="208"/>
    </row>
    <row r="47" spans="1:28" x14ac:dyDescent="0.25">
      <c r="A47" s="149" t="s">
        <v>20</v>
      </c>
      <c r="B47" s="35"/>
      <c r="C47" s="16">
        <v>0</v>
      </c>
      <c r="D47" s="16">
        <f>(Résultats!AC$183+Résultats!AC$184+Résultats!AC$185+Résultats!AC$186+Résultats!AC$187)/1000000</f>
        <v>47.015914124800005</v>
      </c>
      <c r="E47" s="16">
        <f>'T energie usages'!J78/'T energie usages'!J$85*(Résultats!AC$192+Résultats!AC$193+Résultats!AC$194)/1000000</f>
        <v>0.31799651690379838</v>
      </c>
      <c r="F47" s="16">
        <f>(Résultats!AC$209+Résultats!AC$210+Résultats!AC$211+Résultats!AC$212+Résultats!AC$213)/1000000</f>
        <v>0.75198227588000011</v>
      </c>
      <c r="G47" s="16">
        <v>0</v>
      </c>
      <c r="H47" s="95">
        <f>SUM(C47:G47)</f>
        <v>48.085892917583806</v>
      </c>
      <c r="I47" s="166"/>
      <c r="J47" s="166"/>
      <c r="K47" s="166"/>
      <c r="L47" s="166"/>
      <c r="M47" s="166"/>
      <c r="N47" s="38"/>
      <c r="O47" s="206"/>
      <c r="P47" s="206"/>
      <c r="Q47" s="206"/>
      <c r="R47" s="206"/>
      <c r="S47" s="206"/>
      <c r="T47" s="207"/>
      <c r="U47" s="16"/>
      <c r="W47" s="30"/>
      <c r="X47" s="208"/>
      <c r="Y47" s="208"/>
      <c r="Z47" s="208"/>
      <c r="AA47" s="208"/>
      <c r="AB47" s="208"/>
    </row>
    <row r="48" spans="1:28" x14ac:dyDescent="0.25">
      <c r="A48" s="162" t="s">
        <v>21</v>
      </c>
      <c r="B48" s="187"/>
      <c r="C48" s="36">
        <f>Résultats!AC$135/1000000</f>
        <v>0.77868472849999992</v>
      </c>
      <c r="D48" s="36">
        <f>'T energie usages'!I79*3.2*Résultats!AC283</f>
        <v>13.635746435585212</v>
      </c>
      <c r="E48" s="36">
        <f>'T energie usages'!J79/'T energie usages'!J$85*(Résultats!AC$192+Résultats!AC$193+Résultats!AC$194)/1000000</f>
        <v>2.065769236210254</v>
      </c>
      <c r="F48" s="36">
        <f>('T energie usages'!K79-8)*2.394*Résultats!AC284</f>
        <v>17.14878948068198</v>
      </c>
      <c r="G48" s="36">
        <v>0</v>
      </c>
      <c r="H48" s="163">
        <f>SUM(C48:G48)</f>
        <v>33.628989880977443</v>
      </c>
      <c r="I48" s="166"/>
      <c r="J48" s="166"/>
      <c r="K48" s="166"/>
      <c r="L48" s="166"/>
      <c r="M48" s="166"/>
      <c r="N48" s="38"/>
      <c r="O48" s="206"/>
      <c r="P48" s="206"/>
      <c r="Q48" s="206"/>
      <c r="R48" s="206"/>
      <c r="S48" s="206"/>
      <c r="T48" s="207"/>
      <c r="U48" s="75"/>
      <c r="W48" s="82"/>
      <c r="X48" s="208"/>
      <c r="Y48" s="208"/>
      <c r="Z48" s="208"/>
      <c r="AA48" s="208"/>
      <c r="AB48" s="208"/>
    </row>
    <row r="49" spans="1:28" x14ac:dyDescent="0.25">
      <c r="A49" s="162" t="s">
        <v>22</v>
      </c>
      <c r="B49" s="187"/>
      <c r="C49" s="36">
        <f>(Résultats!AC$168+Résultats!AC$169)/1000000</f>
        <v>0</v>
      </c>
      <c r="D49" s="36">
        <f>(Résultats!AC$188+Résultats!AC$189)/1000000</f>
        <v>3.6010382371</v>
      </c>
      <c r="E49" s="36">
        <f>'T energie usages'!J80/'T energie usages'!J$85*(Résultats!AC$192+Résultats!AC$193+Résultats!AC$194)/1000000</f>
        <v>1.3025194041427002</v>
      </c>
      <c r="F49" s="36">
        <f>(Résultats!AC$214+Résultats!AC$215)/1000000</f>
        <v>16.002060469</v>
      </c>
      <c r="G49" s="36">
        <v>0</v>
      </c>
      <c r="H49" s="163">
        <f t="shared" ref="H49:H54" si="4">SUM(C49:G49)</f>
        <v>20.905618110242699</v>
      </c>
      <c r="I49" s="166"/>
      <c r="J49" s="166"/>
      <c r="K49" s="166"/>
      <c r="L49" s="166"/>
      <c r="M49" s="166"/>
      <c r="N49" s="38"/>
      <c r="O49" s="206"/>
      <c r="P49" s="206"/>
      <c r="Q49" s="206"/>
      <c r="R49" s="206"/>
      <c r="S49" s="206"/>
      <c r="T49" s="207"/>
      <c r="U49" s="75"/>
      <c r="W49" s="82"/>
      <c r="X49" s="208"/>
      <c r="Y49" s="208"/>
      <c r="Z49" s="208"/>
      <c r="AA49" s="208"/>
      <c r="AB49" s="208"/>
    </row>
    <row r="50" spans="1:28" x14ac:dyDescent="0.25">
      <c r="A50" s="162" t="s">
        <v>23</v>
      </c>
      <c r="B50" s="187"/>
      <c r="C50" s="36">
        <f>C51+C52</f>
        <v>7.3999476604599996</v>
      </c>
      <c r="D50" s="36">
        <f>D51+D52</f>
        <v>31.725951820217979</v>
      </c>
      <c r="E50" s="36">
        <f>E51+E52</f>
        <v>2.3994977917851981</v>
      </c>
      <c r="F50" s="36">
        <f>F51+F52</f>
        <v>9.8412391007396511</v>
      </c>
      <c r="G50" s="36">
        <f>G51+G52</f>
        <v>15.108466099999999</v>
      </c>
      <c r="H50" s="163">
        <f t="shared" si="4"/>
        <v>66.475102473202824</v>
      </c>
      <c r="I50" s="166"/>
      <c r="J50" s="166"/>
      <c r="K50" s="166"/>
      <c r="L50" s="166"/>
      <c r="M50" s="166"/>
      <c r="N50" s="38"/>
      <c r="O50" s="206"/>
      <c r="P50" s="206"/>
      <c r="Q50" s="206"/>
      <c r="R50" s="206"/>
      <c r="S50" s="206"/>
      <c r="T50" s="207"/>
      <c r="U50" s="75"/>
      <c r="W50" s="82"/>
      <c r="X50" s="208"/>
      <c r="Y50" s="208"/>
      <c r="Z50" s="208"/>
      <c r="AA50" s="208"/>
      <c r="AB50" s="208"/>
    </row>
    <row r="51" spans="1:28" x14ac:dyDescent="0.25">
      <c r="A51" s="149" t="s">
        <v>24</v>
      </c>
      <c r="B51" s="35"/>
      <c r="C51" s="16">
        <f>(Résultats!AC$162+Résultats!AC$163+Résultats!AC$164+Résultats!AC$165+Résultats!AC$166+Résultats!AC$167)/1000000</f>
        <v>7.3999476604599996</v>
      </c>
      <c r="D51" s="16">
        <f>(Résultats!AC$171+Résultats!AC$173+Résultats!AC$174+Résultats!AC$175+Résultats!AC$176+Résultats!AC$177+Résultats!AC$178+Résultats!AC$179+Résultats!AC$180+Résultats!AC$181+Résultats!AC$182)/1000000</f>
        <v>24.734836587217977</v>
      </c>
      <c r="E51" s="16">
        <f>'T energie usages'!J82/'T energie usages'!J$85*(Résultats!AC$192+Résultats!AC$193+Résultats!AC$194)/1000000</f>
        <v>2.3514619055620019</v>
      </c>
      <c r="F51" s="16">
        <f>(Résultats!AC$197+Résultats!AC$198+Résultats!AC$199+Résultats!AC$200+Résultats!AC$201+Résultats!AC$202+Résultats!AC$203+Résultats!AC$204+Résultats!AC$205+Résultats!AC$206+Résultats!AC$207+Résultats!AC$208+Résultats!AC$216+Résultats!AC$218)/1000000</f>
        <v>9.3424938655396517</v>
      </c>
      <c r="G51" s="16">
        <f>Résultats!AC$133/1000000</f>
        <v>15.108466099999999</v>
      </c>
      <c r="H51" s="95">
        <f t="shared" si="4"/>
        <v>58.937206118779635</v>
      </c>
      <c r="I51" s="166"/>
      <c r="J51" s="166"/>
      <c r="K51" s="166"/>
      <c r="L51" s="166"/>
      <c r="M51" s="166"/>
      <c r="N51" s="38"/>
      <c r="O51" s="206"/>
      <c r="P51" s="206"/>
      <c r="Q51" s="206"/>
      <c r="R51" s="206"/>
      <c r="S51" s="206"/>
      <c r="T51" s="207"/>
      <c r="U51" s="16"/>
      <c r="W51" s="30"/>
      <c r="X51" s="208"/>
      <c r="Y51" s="208"/>
      <c r="Z51" s="208"/>
      <c r="AA51" s="208"/>
      <c r="AB51" s="208"/>
    </row>
    <row r="52" spans="1:28" x14ac:dyDescent="0.25">
      <c r="A52" s="149" t="s">
        <v>25</v>
      </c>
      <c r="B52" s="35"/>
      <c r="C52" s="16">
        <v>0</v>
      </c>
      <c r="D52" s="16">
        <f>(Résultats!AC$172)/1000000</f>
        <v>6.9911152330000004</v>
      </c>
      <c r="E52" s="16">
        <f>'T energie usages'!J84/'T energie usages'!J$85*(Résultats!AC$192+Résultats!AC$193+Résultats!AC$194)/1000000</f>
        <v>4.803588622319617E-2</v>
      </c>
      <c r="F52" s="16">
        <f>(Résultats!AC$196)/1000000</f>
        <v>0.49874523519999997</v>
      </c>
      <c r="G52" s="16">
        <v>0</v>
      </c>
      <c r="H52" s="95">
        <f t="shared" si="4"/>
        <v>7.5378963544231965</v>
      </c>
      <c r="I52" s="166"/>
      <c r="J52" s="166"/>
      <c r="K52" s="166"/>
      <c r="L52" s="166"/>
      <c r="M52" s="166"/>
      <c r="N52" s="38"/>
      <c r="O52" s="206"/>
      <c r="P52" s="206"/>
      <c r="Q52" s="206"/>
      <c r="R52" s="206"/>
      <c r="S52" s="206"/>
      <c r="T52" s="207"/>
      <c r="U52" s="16"/>
      <c r="W52" s="30"/>
      <c r="X52" s="208"/>
      <c r="Y52" s="208"/>
      <c r="Z52" s="208"/>
      <c r="AA52" s="208"/>
      <c r="AB52" s="208"/>
    </row>
    <row r="53" spans="1:28" x14ac:dyDescent="0.25">
      <c r="A53" s="48" t="s">
        <v>41</v>
      </c>
      <c r="B53" s="37"/>
      <c r="C53" s="37">
        <f>SUM(C48:C50)+C45</f>
        <v>8.1786323889599988</v>
      </c>
      <c r="D53" s="37">
        <f>SUM(D48:D50)+D45</f>
        <v>145.97412663907687</v>
      </c>
      <c r="E53" s="37">
        <f>SUM(E48:E50)+E45</f>
        <v>6.2016756528000005</v>
      </c>
      <c r="F53" s="37">
        <f>SUM(F48:F50)+F45</f>
        <v>43.744101811032515</v>
      </c>
      <c r="G53" s="37">
        <f>SUM(G48:G50)+G45</f>
        <v>15.108466099999999</v>
      </c>
      <c r="H53" s="167">
        <f t="shared" si="4"/>
        <v>219.20700259186938</v>
      </c>
      <c r="I53" s="166"/>
      <c r="J53" s="166"/>
      <c r="K53" s="166"/>
      <c r="L53" s="166"/>
      <c r="M53" s="166"/>
      <c r="N53" s="38"/>
      <c r="O53" s="206"/>
      <c r="P53" s="206"/>
      <c r="Q53" s="206"/>
      <c r="R53" s="206"/>
      <c r="S53" s="206"/>
      <c r="T53" s="207"/>
      <c r="U53" s="79"/>
      <c r="W53" s="80"/>
      <c r="X53" s="208"/>
      <c r="Y53" s="208"/>
      <c r="Z53" s="208"/>
      <c r="AA53" s="208"/>
      <c r="AB53" s="208"/>
    </row>
    <row r="54" spans="1:28" x14ac:dyDescent="0.25">
      <c r="A54" s="164" t="s">
        <v>43</v>
      </c>
      <c r="B54" s="164"/>
      <c r="C54" s="165">
        <f>(Résultats!AC$135+Résultats!AC$162+Résultats!AC$163+Résultats!AC$164+Résultats!AC$165+Résultats!AC$166+Résultats!AC$167+Résultats!AC$168+Résultats!AC$169)/1000000</f>
        <v>8.1786323889600006</v>
      </c>
      <c r="D54" s="165">
        <f>(Résultats!AC$137+Résultats!AC$171+Résultats!AC$172+Résultats!AC$173+Résultats!AC$174+Résultats!AC$175+Résultats!AC$176+Résultats!AC$177+Résultats!AC$178+Résultats!AC$179+Résultats!AC$180+Résultats!AC$181+Résultats!AC$182+Résultats!AC$183+Résultats!AC$184+Résultats!AC$185+Résultats!AC$186+Résultats!AC$187+Résultats!AC$188+Résultats!AC$189)/1000000</f>
        <v>146.01257909211796</v>
      </c>
      <c r="E54" s="165">
        <f>(Résultats!AC$192+Résultats!AC$193+Résultats!AC$194)/1000000</f>
        <v>6.2016756528000005</v>
      </c>
      <c r="F54" s="165">
        <f>(Résultats!AC$139+Résultats!AC$196+Résultats!AC$197+Résultats!AC$198+Résultats!AC$199+Résultats!AC$200+Résultats!AC$201+Résultats!AC$202+Résultats!AC$203+Résultats!AC$204+Résultats!AC$205+Résultats!AC$206+Résultats!AC$207+Résultats!AC$208+Résultats!AC$209+Résultats!AC$210+Résultats!AC$211+Résultats!AC$212+Résultats!AC$213+Résultats!AC$214+Résultats!AC$215+Résultats!AC$216+Résultats!AC$218)/1000000</f>
        <v>43.865161325619653</v>
      </c>
      <c r="G54" s="165">
        <f>Résultats!AC$133/1000000</f>
        <v>15.108466099999999</v>
      </c>
      <c r="H54" s="188">
        <f t="shared" si="4"/>
        <v>219.3665145594976</v>
      </c>
      <c r="I54" s="166"/>
      <c r="J54" s="166"/>
      <c r="K54" s="166"/>
      <c r="L54" s="166"/>
      <c r="M54" s="207"/>
      <c r="O54" s="166"/>
      <c r="P54" s="166"/>
      <c r="Q54" s="166"/>
      <c r="R54" s="166"/>
      <c r="S54" s="207"/>
      <c r="T54" s="207"/>
      <c r="X54" s="208"/>
      <c r="Y54" s="208"/>
      <c r="Z54" s="208"/>
      <c r="AA54" s="208"/>
      <c r="AB54" s="208"/>
    </row>
    <row r="55" spans="1:28" x14ac:dyDescent="0.25">
      <c r="A55" s="164"/>
      <c r="B55" s="164"/>
      <c r="C55" s="189"/>
      <c r="D55" s="189"/>
      <c r="E55" s="189"/>
      <c r="F55" s="189"/>
      <c r="G55" s="189"/>
      <c r="H55" s="165">
        <f>Résultats!AC227/1000000</f>
        <v>219.36651430000001</v>
      </c>
      <c r="I55" s="166"/>
      <c r="J55" s="166"/>
      <c r="K55" s="166"/>
      <c r="L55" s="166"/>
      <c r="M55" s="207"/>
      <c r="O55" s="166"/>
      <c r="P55" s="166"/>
      <c r="Q55" s="166"/>
      <c r="R55" s="166"/>
      <c r="S55" s="207"/>
      <c r="T55" s="207"/>
      <c r="W55" s="79"/>
      <c r="X55" s="208"/>
      <c r="Y55" s="208"/>
      <c r="Z55" s="208"/>
      <c r="AA55" s="208"/>
      <c r="AB55" s="208"/>
    </row>
    <row r="56" spans="1:28" x14ac:dyDescent="0.25">
      <c r="A56" s="3"/>
      <c r="B56" s="3"/>
      <c r="C56" s="75"/>
      <c r="D56" s="75"/>
      <c r="E56" s="75"/>
      <c r="F56" s="75"/>
      <c r="G56" s="75"/>
      <c r="H56" s="45"/>
      <c r="I56" s="166"/>
      <c r="J56" s="166"/>
      <c r="K56" s="166"/>
      <c r="L56" s="166"/>
      <c r="M56" s="207"/>
      <c r="O56" s="166"/>
      <c r="P56" s="166"/>
      <c r="Q56" s="166"/>
      <c r="R56" s="166"/>
      <c r="S56" s="207"/>
      <c r="T56" s="207"/>
      <c r="W56" s="210"/>
      <c r="X56" s="208"/>
      <c r="Y56" s="208"/>
      <c r="Z56" s="208"/>
      <c r="AA56" s="208"/>
      <c r="AB56" s="208"/>
    </row>
    <row r="57" spans="1:28" ht="21" x14ac:dyDescent="0.35">
      <c r="A57" s="145">
        <v>2035</v>
      </c>
      <c r="B57" s="186"/>
      <c r="C57" s="27" t="s">
        <v>36</v>
      </c>
      <c r="D57" s="27" t="s">
        <v>37</v>
      </c>
      <c r="E57" s="27" t="s">
        <v>38</v>
      </c>
      <c r="F57" s="27" t="s">
        <v>39</v>
      </c>
      <c r="G57" s="27" t="s">
        <v>40</v>
      </c>
      <c r="H57" s="190" t="s">
        <v>1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W57" s="19"/>
      <c r="X57" s="19"/>
      <c r="Y57" s="19"/>
      <c r="Z57" s="19"/>
      <c r="AA57" s="19"/>
      <c r="AB57" s="208"/>
    </row>
    <row r="58" spans="1:28" x14ac:dyDescent="0.25">
      <c r="A58" s="162" t="s">
        <v>18</v>
      </c>
      <c r="B58" s="187"/>
      <c r="C58" s="36">
        <f>C59+C60</f>
        <v>0</v>
      </c>
      <c r="D58" s="36">
        <f>D59+D60</f>
        <v>63.648640156292601</v>
      </c>
      <c r="E58" s="36">
        <f>E59+E60</f>
        <v>0.3055702632764471</v>
      </c>
      <c r="F58" s="36">
        <f>F59+F60</f>
        <v>0.6861013946476141</v>
      </c>
      <c r="G58" s="36">
        <f>G59+G60</f>
        <v>0</v>
      </c>
      <c r="H58" s="163">
        <f t="shared" ref="H58:H67" si="5">SUM(C58:G58)</f>
        <v>64.640311814216659</v>
      </c>
      <c r="I58" s="166"/>
      <c r="J58" s="166"/>
      <c r="K58" s="166"/>
      <c r="L58" s="166"/>
      <c r="M58" s="166"/>
      <c r="N58" s="38"/>
      <c r="O58" s="166"/>
      <c r="P58" s="166"/>
      <c r="Q58" s="166"/>
      <c r="R58" s="166"/>
      <c r="S58" s="166"/>
      <c r="T58" s="207"/>
      <c r="U58" s="75"/>
      <c r="W58" s="82"/>
      <c r="X58" s="208"/>
      <c r="Y58" s="208"/>
      <c r="Z58" s="208"/>
      <c r="AA58" s="208"/>
      <c r="AB58" s="208"/>
    </row>
    <row r="59" spans="1:28" x14ac:dyDescent="0.25">
      <c r="A59" s="148" t="s">
        <v>19</v>
      </c>
      <c r="B59" s="35"/>
      <c r="C59" s="16">
        <v>0</v>
      </c>
      <c r="D59" s="16">
        <f>'T energie usages'!I90*3.2*Résultats!AH283</f>
        <v>30.780199734192596</v>
      </c>
      <c r="E59" s="16">
        <f>'T energie usages'!J90/'T energie usages'!J$98*(Résultats!AH$192+Résultats!AH$193+Résultats!AH$194)/1000000</f>
        <v>9.8188195713439563E-2</v>
      </c>
      <c r="F59" s="16">
        <f>'T energie usages'!K90*2.394*Résultats!AH284</f>
        <v>1.4680267614155852E-5</v>
      </c>
      <c r="G59" s="16">
        <v>0</v>
      </c>
      <c r="H59" s="95">
        <f t="shared" si="5"/>
        <v>30.878402610173652</v>
      </c>
      <c r="I59" s="166"/>
      <c r="J59" s="166"/>
      <c r="K59" s="166"/>
      <c r="L59" s="166"/>
      <c r="M59" s="166"/>
      <c r="N59" s="38"/>
      <c r="O59" s="166"/>
      <c r="P59" s="166"/>
      <c r="Q59" s="166"/>
      <c r="R59" s="166"/>
      <c r="S59" s="166"/>
      <c r="T59" s="207"/>
      <c r="U59" s="16"/>
      <c r="W59" s="30"/>
      <c r="X59" s="208"/>
      <c r="Y59" s="208"/>
      <c r="Z59" s="208"/>
      <c r="AA59" s="208"/>
      <c r="AB59" s="208"/>
    </row>
    <row r="60" spans="1:28" x14ac:dyDescent="0.25">
      <c r="A60" s="149" t="s">
        <v>20</v>
      </c>
      <c r="B60" s="35"/>
      <c r="C60" s="16">
        <v>0</v>
      </c>
      <c r="D60" s="16">
        <f>(Résultats!AH$183+Résultats!AH$184+Résultats!AH$185+Résultats!AH$186+Résultats!AH$187)/1000000</f>
        <v>32.868440422100001</v>
      </c>
      <c r="E60" s="16">
        <f>'T energie usages'!J91/'T energie usages'!J$98*(Résultats!AH$192+Résultats!AH$193+Résultats!AH$194)/1000000</f>
        <v>0.2073820675630075</v>
      </c>
      <c r="F60" s="16">
        <f>(Résultats!AH$209+Résultats!AH$210+Résultats!AH$211+Résultats!AH$212+Résultats!AH$213)/1000000</f>
        <v>0.68608671437999991</v>
      </c>
      <c r="G60" s="16">
        <v>0</v>
      </c>
      <c r="H60" s="95">
        <f t="shared" si="5"/>
        <v>33.761909204043008</v>
      </c>
      <c r="I60" s="166"/>
      <c r="J60" s="166"/>
      <c r="K60" s="166"/>
      <c r="L60" s="166"/>
      <c r="M60" s="166"/>
      <c r="N60" s="38"/>
      <c r="O60" s="166"/>
      <c r="P60" s="166"/>
      <c r="Q60" s="166"/>
      <c r="R60" s="166"/>
      <c r="S60" s="166"/>
      <c r="T60" s="207"/>
      <c r="U60" s="16"/>
      <c r="W60" s="30"/>
      <c r="X60" s="208"/>
      <c r="Y60" s="208"/>
      <c r="Z60" s="208"/>
      <c r="AA60" s="208"/>
      <c r="AB60" s="208"/>
    </row>
    <row r="61" spans="1:28" x14ac:dyDescent="0.25">
      <c r="A61" s="162" t="s">
        <v>21</v>
      </c>
      <c r="B61" s="187"/>
      <c r="C61" s="36">
        <f>Résultats!AH$135/1000000</f>
        <v>0.65905648520000004</v>
      </c>
      <c r="D61" s="36">
        <f>'T energie usages'!I92*3.2*Résultats!AH283</f>
        <v>9.7167627882439671</v>
      </c>
      <c r="E61" s="36">
        <f>'T energie usages'!J92/'T energie usages'!J$98*(Résultats!AH$192+Résultats!AH$193+Résultats!AH$194)/1000000</f>
        <v>0.82056323787885477</v>
      </c>
      <c r="F61" s="36">
        <f>('T energie usages'!K92-8)*2.394*Résultats!AH284</f>
        <v>9.468782213412986</v>
      </c>
      <c r="G61" s="36">
        <v>0</v>
      </c>
      <c r="H61" s="163">
        <f t="shared" si="5"/>
        <v>20.66516472473581</v>
      </c>
      <c r="I61" s="166"/>
      <c r="J61" s="166"/>
      <c r="K61" s="166"/>
      <c r="L61" s="166"/>
      <c r="M61" s="166"/>
      <c r="N61" s="38"/>
      <c r="O61" s="166"/>
      <c r="P61" s="166"/>
      <c r="Q61" s="166"/>
      <c r="R61" s="166"/>
      <c r="S61" s="166"/>
      <c r="T61" s="207"/>
      <c r="U61" s="75"/>
      <c r="W61" s="82"/>
      <c r="X61" s="208"/>
      <c r="Y61" s="208"/>
      <c r="Z61" s="208"/>
      <c r="AA61" s="208"/>
      <c r="AB61" s="208"/>
    </row>
    <row r="62" spans="1:28" x14ac:dyDescent="0.25">
      <c r="A62" s="162" t="s">
        <v>22</v>
      </c>
      <c r="B62" s="187"/>
      <c r="C62" s="36">
        <f>(Résultats!AH$168+Résultats!AH$169)/1000000</f>
        <v>0</v>
      </c>
      <c r="D62" s="36">
        <f>(Résultats!AH$188+Résultats!AH$189)/1000000</f>
        <v>2.9119445501000003</v>
      </c>
      <c r="E62" s="36">
        <f>'T energie usages'!J93/'T energie usages'!J$98*(Résultats!AH$192+Résultats!AH$193+Résultats!AH$194)/1000000</f>
        <v>0.51665413223678058</v>
      </c>
      <c r="F62" s="36">
        <f>(Résultats!AH$214+Résultats!AH$215)/1000000</f>
        <v>8.9256761960000013</v>
      </c>
      <c r="G62" s="36">
        <v>0</v>
      </c>
      <c r="H62" s="163">
        <f t="shared" si="5"/>
        <v>12.354274878336781</v>
      </c>
      <c r="I62" s="166"/>
      <c r="J62" s="166"/>
      <c r="K62" s="166"/>
      <c r="L62" s="166"/>
      <c r="M62" s="166"/>
      <c r="N62" s="38"/>
      <c r="O62" s="166"/>
      <c r="P62" s="166"/>
      <c r="Q62" s="166"/>
      <c r="R62" s="166"/>
      <c r="S62" s="166"/>
      <c r="T62" s="207"/>
      <c r="U62" s="75"/>
      <c r="W62" s="82"/>
      <c r="X62" s="208"/>
      <c r="Y62" s="208"/>
      <c r="Z62" s="208"/>
      <c r="AA62" s="208"/>
      <c r="AB62" s="208"/>
    </row>
    <row r="63" spans="1:28" x14ac:dyDescent="0.25">
      <c r="A63" s="162" t="s">
        <v>23</v>
      </c>
      <c r="B63" s="187"/>
      <c r="C63" s="36">
        <f>C64+C65</f>
        <v>7.6243170116399996</v>
      </c>
      <c r="D63" s="36">
        <f>D64+D65</f>
        <v>27.445967380601012</v>
      </c>
      <c r="E63" s="36">
        <f>E64+E65</f>
        <v>1.0193127256079177</v>
      </c>
      <c r="F63" s="36">
        <f>F64+F65</f>
        <v>6.3372116942226553</v>
      </c>
      <c r="G63" s="36">
        <f>G64+G65</f>
        <v>15.37794474</v>
      </c>
      <c r="H63" s="163">
        <f t="shared" si="5"/>
        <v>57.804753552071588</v>
      </c>
      <c r="I63" s="166"/>
      <c r="J63" s="166"/>
      <c r="K63" s="166"/>
      <c r="L63" s="166"/>
      <c r="M63" s="166"/>
      <c r="N63" s="38"/>
      <c r="O63" s="166"/>
      <c r="P63" s="166"/>
      <c r="Q63" s="166"/>
      <c r="R63" s="166"/>
      <c r="S63" s="166"/>
      <c r="T63" s="207"/>
      <c r="U63" s="75"/>
      <c r="W63" s="82"/>
      <c r="X63" s="208"/>
      <c r="Y63" s="208"/>
      <c r="Z63" s="208"/>
      <c r="AA63" s="208"/>
      <c r="AB63" s="208"/>
    </row>
    <row r="64" spans="1:28" x14ac:dyDescent="0.25">
      <c r="A64" s="149" t="s">
        <v>24</v>
      </c>
      <c r="B64" s="35"/>
      <c r="C64" s="75">
        <f>(Résultats!AH$162+Résultats!AH$163+Résultats!AH$164+Résultats!AH$165+Résultats!AH$166+Résultats!AH$167)/1000000</f>
        <v>7.6243170116399996</v>
      </c>
      <c r="D64" s="16">
        <f>(Résultats!AH$171+Résultats!AH$173+Résultats!AH$174+Résultats!AH$175+Résultats!AH$176+Résultats!AH$177+Résultats!AH$178+Résultats!AH$179+Résultats!AH$180+Résultats!AH$181+Résultats!AH$182)/1000000</f>
        <v>21.265784581601011</v>
      </c>
      <c r="E64" s="16">
        <f>'T energie usages'!J95/'T energie usages'!J$98*(Résultats!AH$192+Résultats!AH$193+Résultats!AH$194)/1000000</f>
        <v>0.99842661592608506</v>
      </c>
      <c r="F64" s="16">
        <f>(Résultats!AH$197+Résultats!AH$198+Résultats!AH$199+Résultats!AH$200+Résultats!AH$201+Résultats!AH$202+Résultats!AH$203+Résultats!AH$204+Résultats!AH$205+Résultats!AH$206+Résultats!AH$207+Résultats!AH$208+Résultats!AH$216+Résultats!AH$218)/1000000</f>
        <v>6.0090838369226551</v>
      </c>
      <c r="G64" s="16">
        <f>Résultats!AH$133/1000000</f>
        <v>15.37794474</v>
      </c>
      <c r="H64" s="95">
        <f t="shared" si="5"/>
        <v>51.275556786089751</v>
      </c>
      <c r="I64" s="166"/>
      <c r="K64" s="166"/>
      <c r="L64" s="166"/>
      <c r="M64" s="166"/>
      <c r="N64" s="38"/>
      <c r="O64" s="166"/>
      <c r="P64" s="166"/>
      <c r="Q64" s="166"/>
      <c r="R64" s="166"/>
      <c r="S64" s="166"/>
      <c r="T64" s="207"/>
      <c r="U64" s="16"/>
      <c r="W64" s="30"/>
      <c r="X64" s="208"/>
      <c r="Y64" s="208"/>
      <c r="Z64" s="208"/>
      <c r="AA64" s="208"/>
      <c r="AB64" s="208"/>
    </row>
    <row r="65" spans="1:28" x14ac:dyDescent="0.25">
      <c r="A65" s="149" t="s">
        <v>25</v>
      </c>
      <c r="B65" s="35"/>
      <c r="C65" s="16">
        <v>0</v>
      </c>
      <c r="D65" s="16">
        <f>(Résultats!AH$172)/1000000</f>
        <v>6.1801827989999998</v>
      </c>
      <c r="E65" s="16">
        <f>'T energie usages'!J97/'T energie usages'!J$98*(Résultats!AH$192+Résultats!AH$193+Résultats!AH$194)/1000000</f>
        <v>2.0886109681832597E-2</v>
      </c>
      <c r="F65" s="16">
        <f>(Résultats!AH$196)/1000000</f>
        <v>0.32812785729999999</v>
      </c>
      <c r="G65" s="16">
        <v>0</v>
      </c>
      <c r="H65" s="95">
        <f t="shared" si="5"/>
        <v>6.5291967659818324</v>
      </c>
      <c r="I65" s="166"/>
      <c r="K65" s="166"/>
      <c r="L65" s="166"/>
      <c r="M65" s="166"/>
      <c r="N65" s="38"/>
      <c r="O65" s="166"/>
      <c r="P65" s="166"/>
      <c r="Q65" s="166"/>
      <c r="R65" s="166"/>
      <c r="S65" s="166"/>
      <c r="T65" s="207"/>
      <c r="U65" s="16"/>
      <c r="W65" s="30"/>
      <c r="X65" s="208"/>
      <c r="Y65" s="208"/>
      <c r="Z65" s="208"/>
      <c r="AA65" s="208"/>
      <c r="AB65" s="208"/>
    </row>
    <row r="66" spans="1:28" x14ac:dyDescent="0.25">
      <c r="A66" s="48" t="s">
        <v>41</v>
      </c>
      <c r="B66" s="37"/>
      <c r="C66" s="37">
        <f>SUM(C61:C63)+C58</f>
        <v>8.2833734968399995</v>
      </c>
      <c r="D66" s="37">
        <f>SUM(D61:D63)+D58</f>
        <v>103.72331487523758</v>
      </c>
      <c r="E66" s="37">
        <f>SUM(E61:E63)+E58</f>
        <v>2.6621003590000001</v>
      </c>
      <c r="F66" s="37">
        <f>SUM(F61:F63)+F58</f>
        <v>25.417771498283258</v>
      </c>
      <c r="G66" s="37">
        <f>SUM(G61:G63)+G58</f>
        <v>15.37794474</v>
      </c>
      <c r="H66" s="167">
        <f t="shared" si="5"/>
        <v>155.46450496936083</v>
      </c>
      <c r="I66" s="79"/>
      <c r="J66" s="211"/>
      <c r="K66" s="166"/>
      <c r="L66" s="166"/>
      <c r="M66" s="166"/>
      <c r="N66" s="38"/>
      <c r="O66" s="166"/>
      <c r="P66" s="166"/>
      <c r="Q66" s="166"/>
      <c r="R66" s="166"/>
      <c r="S66" s="166"/>
      <c r="T66" s="207"/>
      <c r="U66" s="79"/>
      <c r="W66" s="80"/>
      <c r="X66" s="208"/>
      <c r="Y66" s="208"/>
      <c r="Z66" s="208"/>
      <c r="AA66" s="208"/>
      <c r="AB66" s="208"/>
    </row>
    <row r="67" spans="1:28" x14ac:dyDescent="0.25">
      <c r="A67" s="164" t="s">
        <v>43</v>
      </c>
      <c r="B67" s="164"/>
      <c r="C67" s="165">
        <f>(Résultats!AH$135+Résultats!AH$162+Résultats!AH$163+Résultats!AH$164+Résultats!AH$165+Résultats!AH$166+Résultats!AH$167+Résultats!AH$168+Résultats!AH$169)/1000000</f>
        <v>8.2833734968399995</v>
      </c>
      <c r="D67" s="165">
        <f>(Résultats!AH$137+Résultats!AH$171+Résultats!AH$172+Résultats!AH$173+Résultats!AH$174+Résultats!AH$175+Résultats!AH$176+Résultats!AH$177+Résultats!AH$178+Résultats!AH$179+Résultats!AH$180+Résultats!AH$181+Résultats!AH$182+Résultats!AH$183+Résultats!AH$184+Résultats!AH$185+Résultats!AH$186+Résultats!AH$187+Résultats!AH$188+Résultats!AH$189)/1000000</f>
        <v>103.74778725280102</v>
      </c>
      <c r="E67" s="165">
        <f>(Résultats!AH$192+Résultats!AH$193+Résultats!AH$194)/1000000</f>
        <v>2.6621003590000001</v>
      </c>
      <c r="F67" s="165">
        <f>(Résultats!AH$139+Résultats!AH$196+Résultats!AH$197+Résultats!AH$198+Résultats!AH$199+Résultats!AH$200+Résultats!AH$201+Résultats!AH$202+Résultats!AH$203+Résultats!AH$204+Résultats!AH$205+Résultats!AH$206+Résultats!AH$207+Résultats!AH$208+Résultats!AH$209+Résultats!AH$210+Résultats!AH$211+Résultats!AH$212+Résultats!AH$213+Résultats!AH$214+Résultats!AH$215+Résultats!AH$216+Résultats!AH$218)/1000000</f>
        <v>25.484615051602653</v>
      </c>
      <c r="G67" s="165">
        <f>Résultats!AH$133/1000000</f>
        <v>15.37794474</v>
      </c>
      <c r="H67" s="188">
        <f t="shared" si="5"/>
        <v>155.55582090024367</v>
      </c>
      <c r="I67" s="45"/>
      <c r="K67" s="45"/>
      <c r="L67" s="166"/>
    </row>
    <row r="68" spans="1:28" x14ac:dyDescent="0.25">
      <c r="A68" s="164"/>
      <c r="B68" s="164"/>
      <c r="C68" s="165"/>
      <c r="D68" s="165"/>
      <c r="E68" s="165"/>
      <c r="F68" s="165"/>
      <c r="G68" s="165"/>
      <c r="H68" s="165">
        <f>Résultats!AH227/1000000</f>
        <v>155.55582080000002</v>
      </c>
      <c r="I68" s="45"/>
      <c r="K68" s="45"/>
      <c r="L68" s="166"/>
    </row>
    <row r="69" spans="1:28" x14ac:dyDescent="0.25">
      <c r="A69" s="3"/>
      <c r="B69" s="3"/>
      <c r="C69" s="45"/>
      <c r="D69" s="45"/>
      <c r="E69" s="45"/>
      <c r="F69" s="45"/>
      <c r="G69" s="45"/>
      <c r="H69" s="45"/>
      <c r="I69" s="45"/>
      <c r="K69" s="45"/>
      <c r="L69" s="166"/>
    </row>
    <row r="70" spans="1:28" ht="21" x14ac:dyDescent="0.35">
      <c r="A70" s="145">
        <v>2050</v>
      </c>
      <c r="B70" s="186"/>
      <c r="C70" s="27" t="s">
        <v>36</v>
      </c>
      <c r="D70" s="27" t="s">
        <v>37</v>
      </c>
      <c r="E70" s="27" t="s">
        <v>38</v>
      </c>
      <c r="F70" s="27" t="s">
        <v>39</v>
      </c>
      <c r="G70" s="27" t="s">
        <v>40</v>
      </c>
      <c r="H70" s="190" t="s">
        <v>1</v>
      </c>
      <c r="I70" s="3"/>
    </row>
    <row r="71" spans="1:28" x14ac:dyDescent="0.25">
      <c r="A71" s="162" t="s">
        <v>18</v>
      </c>
      <c r="B71" s="187"/>
      <c r="C71" s="36">
        <f>C72+C73</f>
        <v>5.3657804543075305E-6</v>
      </c>
      <c r="D71" s="36">
        <f>D72+D73</f>
        <v>9.5002602395909808</v>
      </c>
      <c r="E71" s="36">
        <f>E72+E73</f>
        <v>8.0673134131643232E-2</v>
      </c>
      <c r="F71" s="36">
        <f>F72+F73</f>
        <v>0.82713757394567999</v>
      </c>
      <c r="G71" s="36">
        <f>G72+G73</f>
        <v>0</v>
      </c>
      <c r="H71" s="163">
        <f t="shared" ref="H71:H80" si="6">SUM(C71:G71)</f>
        <v>10.40807631344876</v>
      </c>
      <c r="I71" s="3"/>
    </row>
    <row r="72" spans="1:28" x14ac:dyDescent="0.25">
      <c r="A72" s="148" t="s">
        <v>19</v>
      </c>
      <c r="B72" s="35"/>
      <c r="C72" s="16">
        <f>Résultats!AF$118/1000000</f>
        <v>5.3657804543075305E-6</v>
      </c>
      <c r="D72" s="16">
        <f>'T energie usages'!I116*3.2*Résultats!AW283</f>
        <v>3.4689398141209806</v>
      </c>
      <c r="E72" s="16">
        <f>'T energie usages'!J116/'T energie usages'!J$124*(Résultats!AW$192+Résultats!AW$193+Résultats!AW$194)/1000000</f>
        <v>2.4819004514231646E-2</v>
      </c>
      <c r="F72" s="16">
        <f>'T energie usages'!K116*2.394*Résultats!AW284</f>
        <v>3.2676956799165809E-6</v>
      </c>
      <c r="G72" s="16">
        <v>0</v>
      </c>
      <c r="H72" s="95">
        <f t="shared" si="6"/>
        <v>3.4937674521113462</v>
      </c>
      <c r="I72" s="3"/>
    </row>
    <row r="73" spans="1:28" x14ac:dyDescent="0.25">
      <c r="A73" s="149" t="s">
        <v>20</v>
      </c>
      <c r="B73" s="35"/>
      <c r="C73" s="16">
        <v>0</v>
      </c>
      <c r="D73" s="16">
        <f>(Résultats!AW$183+Résultats!AW$184+Résultats!AW$185+Résultats!AW$186+Résultats!AW$187)/1000000</f>
        <v>6.0313204254699997</v>
      </c>
      <c r="E73" s="16">
        <f>'T energie usages'!J117/'T energie usages'!J$124*(Résultats!AW$192+Résultats!AW$193+Résultats!AW$194)/1000000</f>
        <v>5.5854129617411583E-2</v>
      </c>
      <c r="F73" s="192">
        <f>(Résultats!AW$209+Résultats!AW$210+Résultats!AW$211+Résultats!AW$212+Résultats!AW$213)/1000000</f>
        <v>0.82713430625000006</v>
      </c>
      <c r="G73" s="16">
        <v>0</v>
      </c>
      <c r="H73" s="95">
        <f t="shared" si="6"/>
        <v>6.9143088613374122</v>
      </c>
      <c r="I73" s="3"/>
    </row>
    <row r="74" spans="1:28" x14ac:dyDescent="0.25">
      <c r="A74" s="162" t="s">
        <v>21</v>
      </c>
      <c r="B74" s="187"/>
      <c r="C74" s="36">
        <f>Résultats!AW$135/1000000</f>
        <v>0.4474484856</v>
      </c>
      <c r="D74" s="36">
        <f>'T energie usages'!I118*3.2*Résultats!AW283</f>
        <v>2.1899675634071194</v>
      </c>
      <c r="E74" s="36">
        <f>'T energie usages'!J118/'T energie usages'!J$124*(Résultats!AW$192+Résultats!AW$193+Résultats!AW$194)/1000000</f>
        <v>9.8211992275907933E-2</v>
      </c>
      <c r="F74" s="36">
        <f>('T energie usages'!K118-8)*2.394*Résultats!AW284</f>
        <v>4.4195958071764716</v>
      </c>
      <c r="G74" s="36">
        <v>0</v>
      </c>
      <c r="H74" s="163">
        <f t="shared" si="6"/>
        <v>7.1552238484594985</v>
      </c>
      <c r="I74" s="3"/>
    </row>
    <row r="75" spans="1:28" x14ac:dyDescent="0.25">
      <c r="A75" s="162" t="s">
        <v>22</v>
      </c>
      <c r="B75" s="187"/>
      <c r="C75" s="36">
        <f>(Résultats!AW$168+Résultats!AW$169)/1000000</f>
        <v>0</v>
      </c>
      <c r="D75" s="36">
        <f>(Résultats!AW$188+Résultats!AW$189)/1000000</f>
        <v>0.87011653524999999</v>
      </c>
      <c r="E75" s="36">
        <f>'T energie usages'!J119/'T energie usages'!J$124*(Résultats!AW$192+Résultats!AW$193+Résultats!AW$194)/1000000</f>
        <v>6.1933837996632116E-2</v>
      </c>
      <c r="F75" s="36">
        <f>(Résultats!AW$214+Résultats!AW$215)/1000000</f>
        <v>3.8135233250000002</v>
      </c>
      <c r="G75" s="36">
        <v>0</v>
      </c>
      <c r="H75" s="163">
        <f t="shared" si="6"/>
        <v>4.7455736982466323</v>
      </c>
      <c r="I75" s="3"/>
    </row>
    <row r="76" spans="1:28" x14ac:dyDescent="0.25">
      <c r="A76" s="162" t="s">
        <v>23</v>
      </c>
      <c r="B76" s="187"/>
      <c r="C76" s="36">
        <f>C77+C78</f>
        <v>8.5069395288999985</v>
      </c>
      <c r="D76" s="36">
        <f>D77+D78</f>
        <v>10.530874205674204</v>
      </c>
      <c r="E76" s="36">
        <f>E77+E78</f>
        <v>0.15402343757581669</v>
      </c>
      <c r="F76" s="36">
        <f>F77+F78</f>
        <v>4.8140053853054736</v>
      </c>
      <c r="G76" s="36">
        <f>G77+G78</f>
        <v>17.214773600000001</v>
      </c>
      <c r="H76" s="163">
        <f t="shared" si="6"/>
        <v>41.220616157455495</v>
      </c>
      <c r="I76" s="3"/>
    </row>
    <row r="77" spans="1:28" x14ac:dyDescent="0.25">
      <c r="A77" s="149" t="s">
        <v>24</v>
      </c>
      <c r="B77" s="35"/>
      <c r="C77" s="16">
        <f>(Résultats!AW$162+Résultats!AW$163+Résultats!AW$164+Résultats!AW$165+Résultats!AW$166+Résultats!AW$167)/1000000</f>
        <v>8.5069395288999985</v>
      </c>
      <c r="D77" s="16">
        <f>(Résultats!AW$171+Résultats!AW$173+Résultats!AW$174+Résultats!AW$175+Résultats!AW$176+Résultats!AW$177+Résultats!AW$178+Résultats!AW$179+Résultats!AW$180+Résultats!AW$181+Résultats!AW$182)/1000000</f>
        <v>8.1433536776742041</v>
      </c>
      <c r="E77" s="16">
        <f>'T energie usages'!J121/'T energie usages'!J$124*(Résultats!AW$192+Résultats!AW$193+Résultats!AW$194)/1000000</f>
        <v>0.15059136201755377</v>
      </c>
      <c r="F77" s="16">
        <f>(Résultats!AW$197+Résultats!AW$198+Résultats!AW$199+Résultats!AW$200+Résultats!AW$201+Résultats!AW$202+Résultats!AW$203+Résultats!AW$204+Résultats!AW$205+Résultats!AW$206+Résultats!AW$207+Résultats!AW$208+Résultats!AW$216+Résultats!AW$218)/1000000</f>
        <v>4.5746920638054736</v>
      </c>
      <c r="G77" s="16">
        <f>Résultats!AW$133/1000000</f>
        <v>17.214773600000001</v>
      </c>
      <c r="H77" s="95">
        <f t="shared" si="6"/>
        <v>38.590350232397235</v>
      </c>
      <c r="I77" s="3"/>
    </row>
    <row r="78" spans="1:28" x14ac:dyDescent="0.25">
      <c r="A78" s="149" t="s">
        <v>25</v>
      </c>
      <c r="B78" s="35"/>
      <c r="C78" s="16">
        <v>0</v>
      </c>
      <c r="D78" s="16">
        <f>(Résultats!AW$172)/1000000</f>
        <v>2.387520528</v>
      </c>
      <c r="E78" s="16">
        <f>'T energie usages'!J123/'T energie usages'!J$124*(Résultats!AW$192+Résultats!AW$193+Résultats!AW$194)/1000000</f>
        <v>3.4320755582629247E-3</v>
      </c>
      <c r="F78" s="16">
        <f>(Résultats!AW$196)/1000000</f>
        <v>0.23931332149999998</v>
      </c>
      <c r="G78" s="16">
        <v>0</v>
      </c>
      <c r="H78" s="95">
        <f t="shared" si="6"/>
        <v>2.630265925058263</v>
      </c>
      <c r="I78" s="3"/>
    </row>
    <row r="79" spans="1:28" x14ac:dyDescent="0.25">
      <c r="A79" s="48" t="s">
        <v>41</v>
      </c>
      <c r="B79" s="37"/>
      <c r="C79" s="37">
        <f>SUM(C74:C76)+C71</f>
        <v>8.9543933802804538</v>
      </c>
      <c r="D79" s="37">
        <f>SUM(D74:D76)+D71</f>
        <v>23.091218543922302</v>
      </c>
      <c r="E79" s="37">
        <f>SUM(E74:E76)+E71</f>
        <v>0.39484240197999998</v>
      </c>
      <c r="F79" s="37">
        <f>SUM(F74:F76)+F71</f>
        <v>13.874262091427628</v>
      </c>
      <c r="G79" s="37">
        <f>SUM(G74:G76)+G71</f>
        <v>17.214773600000001</v>
      </c>
      <c r="H79" s="167">
        <f t="shared" si="6"/>
        <v>63.529490017610385</v>
      </c>
      <c r="I79" s="3"/>
    </row>
    <row r="80" spans="1:28" x14ac:dyDescent="0.25">
      <c r="A80" s="164" t="s">
        <v>43</v>
      </c>
      <c r="B80" s="164"/>
      <c r="C80" s="165">
        <f>(Résultats!AW$135+Résultats!AW$162+Résultats!AW$163+Résultats!AW$164+Résultats!AW$165+Résultats!AW$166+Résultats!AW$167+Résultats!AW$168+Résultats!AW$169)/1000000</f>
        <v>8.9543880144999992</v>
      </c>
      <c r="D80" s="165">
        <f>(Résultats!AW$137+Résultats!AW$171+Résultats!AW$172+Résultats!AW$173+Résultats!AW$174+Résultats!AW$175+Résultats!AW$176+Résultats!AW$177+Résultats!AW$178+Résultats!AW$179+Résultats!AW$180+Résultats!AW$181+Résultats!AW$182+Résultats!AW$183+Résultats!AW$184+Résultats!AW$185+Résultats!AW$186+Résultats!AW$187+Résultats!AW$188+Résultats!AW$189)/1000000</f>
        <v>23.094638231394203</v>
      </c>
      <c r="E80" s="165">
        <f>(Résultats!AW$192+Résultats!AW$193+Résultats!AW$194)/1000000</f>
        <v>0.39484240197999998</v>
      </c>
      <c r="F80" s="165">
        <f>(Résultats!AW$139+Résultats!AW$196+Résultats!AW$197+Résultats!AW$198+Résultats!AW$199+Résultats!AW$200+Résultats!AW$201+Résultats!AW$202+Résultats!AW$203+Résultats!AW$204+Résultats!AW$205+Résultats!AW$206+Résultats!AW$207+Résultats!AW$208+Résultats!AW$209+Résultats!AW$210+Résultats!AW$211+Résultats!AW$212+Résultats!AW$213+Résultats!AW$214+Résultats!AW$215+Résultats!AW$216+Résultats!AW$218)/1000000</f>
        <v>13.90546158655547</v>
      </c>
      <c r="G80" s="165">
        <f>Résultats!AW133/1000000</f>
        <v>17.214773600000001</v>
      </c>
      <c r="H80" s="188">
        <f t="shared" si="6"/>
        <v>63.564103834429673</v>
      </c>
      <c r="I80" s="47"/>
    </row>
    <row r="81" spans="1:9" x14ac:dyDescent="0.25">
      <c r="A81" s="164"/>
      <c r="B81" s="164"/>
      <c r="C81" s="165"/>
      <c r="D81" s="165"/>
      <c r="E81" s="165"/>
      <c r="F81" s="165"/>
      <c r="G81" s="165"/>
      <c r="H81" s="165">
        <f>Résultats!AW227/1000000</f>
        <v>63.564103789999997</v>
      </c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s="3" customFormat="1" x14ac:dyDescent="0.25"/>
    <row r="85" spans="1:9" s="3" customFormat="1" x14ac:dyDescent="0.25">
      <c r="G85" s="45"/>
    </row>
    <row r="86" spans="1:9" s="3" customFormat="1" x14ac:dyDescent="0.25">
      <c r="H86" s="47"/>
    </row>
    <row r="87" spans="1:9" s="3" customFormat="1" x14ac:dyDescent="0.25">
      <c r="C87" s="45"/>
      <c r="H87" s="47"/>
    </row>
    <row r="88" spans="1:9" s="3" customFormat="1" x14ac:dyDescent="0.25">
      <c r="C88" s="45"/>
      <c r="H88" s="47"/>
    </row>
    <row r="89" spans="1:9" s="3" customFormat="1" x14ac:dyDescent="0.25">
      <c r="C89" s="45"/>
      <c r="H89" s="47"/>
    </row>
    <row r="90" spans="1:9" s="3" customFormat="1" x14ac:dyDescent="0.25">
      <c r="C90" s="45"/>
      <c r="H90" s="47"/>
    </row>
    <row r="91" spans="1:9" s="3" customFormat="1" x14ac:dyDescent="0.25">
      <c r="C91" s="45"/>
      <c r="H91" s="47"/>
    </row>
    <row r="92" spans="1:9" s="3" customFormat="1" x14ac:dyDescent="0.25">
      <c r="C92" s="45"/>
    </row>
    <row r="93" spans="1:9" s="3" customFormat="1" x14ac:dyDescent="0.25">
      <c r="C93" s="45"/>
    </row>
    <row r="94" spans="1:9" s="3" customFormat="1" x14ac:dyDescent="0.25">
      <c r="C94" s="45"/>
    </row>
    <row r="95" spans="1:9" s="3" customFormat="1" x14ac:dyDescent="0.25">
      <c r="C95" s="45"/>
    </row>
    <row r="96" spans="1:9" s="3" customFormat="1" x14ac:dyDescent="0.25">
      <c r="C96" s="45"/>
    </row>
    <row r="97" spans="3:5" s="3" customFormat="1" x14ac:dyDescent="0.25">
      <c r="C97" s="45"/>
    </row>
    <row r="98" spans="3:5" s="3" customFormat="1" x14ac:dyDescent="0.25">
      <c r="C98" s="45"/>
    </row>
    <row r="99" spans="3:5" s="3" customFormat="1" x14ac:dyDescent="0.25">
      <c r="C99" s="45"/>
    </row>
    <row r="100" spans="3:5" s="3" customFormat="1" x14ac:dyDescent="0.25">
      <c r="C100" s="45"/>
    </row>
    <row r="101" spans="3:5" s="3" customFormat="1" x14ac:dyDescent="0.25">
      <c r="C101" s="45"/>
    </row>
    <row r="102" spans="3:5" s="3" customFormat="1" x14ac:dyDescent="0.25">
      <c r="C102" s="45"/>
    </row>
    <row r="103" spans="3:5" s="3" customFormat="1" x14ac:dyDescent="0.25"/>
    <row r="104" spans="3:5" s="3" customFormat="1" x14ac:dyDescent="0.25">
      <c r="C104" s="45"/>
    </row>
    <row r="105" spans="3:5" s="3" customFormat="1" x14ac:dyDescent="0.25">
      <c r="C105" s="45"/>
    </row>
    <row r="106" spans="3:5" s="3" customFormat="1" x14ac:dyDescent="0.25">
      <c r="C106" s="45"/>
    </row>
    <row r="107" spans="3:5" s="3" customFormat="1" x14ac:dyDescent="0.25">
      <c r="C107" s="45"/>
    </row>
    <row r="108" spans="3:5" s="3" customFormat="1" x14ac:dyDescent="0.25">
      <c r="C108" s="45"/>
    </row>
    <row r="109" spans="3:5" s="3" customFormat="1" x14ac:dyDescent="0.25">
      <c r="C109" s="45"/>
    </row>
    <row r="110" spans="3:5" s="3" customFormat="1" x14ac:dyDescent="0.25">
      <c r="C110" s="45"/>
    </row>
    <row r="111" spans="3:5" s="3" customFormat="1" x14ac:dyDescent="0.25">
      <c r="C111" s="45"/>
    </row>
    <row r="112" spans="3:5" s="3" customFormat="1" x14ac:dyDescent="0.25">
      <c r="C112" s="45"/>
      <c r="D112" s="212"/>
      <c r="E112" s="212"/>
    </row>
    <row r="113" spans="3:3" s="3" customFormat="1" x14ac:dyDescent="0.25">
      <c r="C113" s="45"/>
    </row>
    <row r="114" spans="3:3" s="3" customFormat="1" x14ac:dyDescent="0.25">
      <c r="C114" s="45"/>
    </row>
    <row r="115" spans="3:3" s="3" customFormat="1" x14ac:dyDescent="0.25">
      <c r="C115" s="45"/>
    </row>
    <row r="116" spans="3:3" s="3" customFormat="1" x14ac:dyDescent="0.25">
      <c r="C116" s="45"/>
    </row>
    <row r="117" spans="3:3" s="3" customFormat="1" x14ac:dyDescent="0.25">
      <c r="C117" s="45"/>
    </row>
    <row r="118" spans="3:3" s="3" customFormat="1" x14ac:dyDescent="0.25">
      <c r="C118" s="45"/>
    </row>
    <row r="119" spans="3:3" s="3" customFormat="1" x14ac:dyDescent="0.25">
      <c r="C119" s="45"/>
    </row>
    <row r="120" spans="3:3" s="3" customFormat="1" x14ac:dyDescent="0.25">
      <c r="C120" s="45"/>
    </row>
    <row r="121" spans="3:3" s="3" customFormat="1" x14ac:dyDescent="0.25">
      <c r="C121" s="45"/>
    </row>
    <row r="122" spans="3:3" s="3" customFormat="1" x14ac:dyDescent="0.25"/>
    <row r="123" spans="3:3" s="3" customFormat="1" x14ac:dyDescent="0.25"/>
    <row r="124" spans="3:3" s="3" customFormat="1" x14ac:dyDescent="0.25"/>
    <row r="125" spans="3:3" s="3" customFormat="1" x14ac:dyDescent="0.25"/>
    <row r="126" spans="3:3" s="3" customFormat="1" x14ac:dyDescent="0.25"/>
    <row r="127" spans="3:3" s="3" customFormat="1" x14ac:dyDescent="0.25"/>
    <row r="128" spans="3:3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6">
    <tabColor rgb="FF0070C0"/>
  </sheetPr>
  <dimension ref="A1:BD32"/>
  <sheetViews>
    <sheetView topLeftCell="A2" zoomScale="80" zoomScaleNormal="80" workbookViewId="0">
      <selection activeCell="G21" sqref="G21:G22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6" width="13.5703125" hidden="1" customWidth="1"/>
    <col min="7" max="8" width="7.140625" customWidth="1"/>
    <col min="9" max="18" width="7.140625" bestFit="1" customWidth="1"/>
    <col min="19" max="19" width="7.85546875" customWidth="1"/>
    <col min="20" max="22" width="7.140625" bestFit="1" customWidth="1"/>
    <col min="23" max="23" width="7.85546875" customWidth="1"/>
    <col min="30" max="30" width="19.7109375" hidden="1" customWidth="1"/>
    <col min="31" max="31" width="21.5703125" hidden="1" customWidth="1"/>
    <col min="32" max="34" width="13.5703125" hidden="1" customWidth="1"/>
    <col min="35" max="46" width="7.140625" hidden="1" customWidth="1"/>
    <col min="47" max="47" width="7.85546875" customWidth="1"/>
    <col min="48" max="50" width="7.140625" bestFit="1" customWidth="1"/>
    <col min="51" max="51" width="7.85546875" customWidth="1"/>
  </cols>
  <sheetData>
    <row r="1" spans="1:56" s="3" customFormat="1" ht="23.25" x14ac:dyDescent="0.35">
      <c r="A1" s="46" t="s">
        <v>99</v>
      </c>
      <c r="AC1" s="46" t="s">
        <v>99</v>
      </c>
    </row>
    <row r="2" spans="1:56" s="3" customFormat="1" ht="23.25" x14ac:dyDescent="0.35">
      <c r="A2" s="46"/>
      <c r="D2" s="7"/>
      <c r="E2" s="235">
        <f>'T energie vecteurs'!E5</f>
        <v>4</v>
      </c>
      <c r="F2" s="235">
        <f>E2+9</f>
        <v>13</v>
      </c>
      <c r="G2" s="235">
        <f>F2+3</f>
        <v>16</v>
      </c>
      <c r="H2" s="235">
        <f t="shared" ref="H2:S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>S2+5</f>
        <v>33</v>
      </c>
      <c r="U2" s="235">
        <f>T2+5</f>
        <v>38</v>
      </c>
      <c r="V2" s="235">
        <f>U2+5</f>
        <v>43</v>
      </c>
      <c r="W2" s="235">
        <f>V2+5</f>
        <v>48</v>
      </c>
      <c r="AC2" s="46"/>
      <c r="AF2" s="7"/>
      <c r="AG2" s="235">
        <v>3</v>
      </c>
      <c r="AH2" s="235">
        <v>12</v>
      </c>
      <c r="AI2" s="235">
        <v>15</v>
      </c>
      <c r="AJ2" s="235">
        <v>16</v>
      </c>
      <c r="AK2" s="235">
        <v>17</v>
      </c>
      <c r="AL2" s="235">
        <v>18</v>
      </c>
      <c r="AM2" s="235">
        <v>19</v>
      </c>
      <c r="AN2" s="235">
        <v>20</v>
      </c>
      <c r="AO2" s="235">
        <v>21</v>
      </c>
      <c r="AP2" s="235">
        <v>22</v>
      </c>
      <c r="AQ2" s="235">
        <v>23</v>
      </c>
      <c r="AR2" s="235">
        <v>24</v>
      </c>
      <c r="AS2" s="235">
        <v>25</v>
      </c>
      <c r="AT2" s="235">
        <v>26</v>
      </c>
      <c r="AU2" s="235">
        <v>27</v>
      </c>
      <c r="AV2" s="235">
        <v>32</v>
      </c>
      <c r="AW2" s="235">
        <v>37</v>
      </c>
      <c r="AX2" s="235">
        <v>42</v>
      </c>
      <c r="AY2" s="235">
        <v>47</v>
      </c>
    </row>
    <row r="3" spans="1:56" ht="23.25" x14ac:dyDescent="0.35">
      <c r="A3" s="228"/>
      <c r="B3" s="3"/>
      <c r="C3" s="42"/>
      <c r="D3" s="11"/>
      <c r="E3" s="238">
        <v>2006</v>
      </c>
      <c r="F3" s="49">
        <v>2015</v>
      </c>
      <c r="G3" s="20">
        <v>2018</v>
      </c>
      <c r="H3" s="4">
        <v>2019</v>
      </c>
      <c r="I3" s="190">
        <v>2020</v>
      </c>
      <c r="J3" s="91">
        <v>2021</v>
      </c>
      <c r="K3" s="27">
        <v>2022</v>
      </c>
      <c r="L3" s="4">
        <v>2023</v>
      </c>
      <c r="M3" s="27">
        <v>2024</v>
      </c>
      <c r="N3" s="83">
        <v>2025</v>
      </c>
      <c r="O3" s="91">
        <v>2026</v>
      </c>
      <c r="P3" s="4">
        <v>2027</v>
      </c>
      <c r="Q3" s="27">
        <v>2028</v>
      </c>
      <c r="R3" s="27">
        <v>2029</v>
      </c>
      <c r="S3" s="83">
        <v>2030</v>
      </c>
      <c r="T3" s="93">
        <v>2035</v>
      </c>
      <c r="U3" s="93">
        <v>2040</v>
      </c>
      <c r="V3" s="4">
        <v>2045</v>
      </c>
      <c r="W3" s="93">
        <v>2050</v>
      </c>
      <c r="X3" s="3"/>
      <c r="AC3" s="228"/>
      <c r="AD3" s="3"/>
      <c r="AE3" s="42"/>
      <c r="AF3" s="11"/>
      <c r="AG3" s="238">
        <v>2006</v>
      </c>
      <c r="AH3" s="49">
        <v>2015</v>
      </c>
      <c r="AI3" s="20">
        <v>2018</v>
      </c>
      <c r="AJ3" s="4">
        <v>2019</v>
      </c>
      <c r="AK3" s="190">
        <v>2020</v>
      </c>
      <c r="AL3" s="91">
        <v>2021</v>
      </c>
      <c r="AM3" s="27">
        <v>2022</v>
      </c>
      <c r="AN3" s="4">
        <v>2023</v>
      </c>
      <c r="AO3" s="27">
        <v>2024</v>
      </c>
      <c r="AP3" s="83">
        <v>2025</v>
      </c>
      <c r="AQ3" s="91">
        <v>2026</v>
      </c>
      <c r="AR3" s="4">
        <v>2027</v>
      </c>
      <c r="AS3" s="27">
        <v>2028</v>
      </c>
      <c r="AT3" s="27">
        <v>2029</v>
      </c>
      <c r="AU3" s="83">
        <v>2030</v>
      </c>
      <c r="AV3" s="93">
        <v>2035</v>
      </c>
      <c r="AW3" s="93">
        <v>2040</v>
      </c>
      <c r="AX3" s="4">
        <v>2045</v>
      </c>
      <c r="AY3" s="93">
        <v>2050</v>
      </c>
      <c r="AZ3" s="3"/>
    </row>
    <row r="4" spans="1:56" ht="23.25" x14ac:dyDescent="0.35">
      <c r="A4" s="161" t="str">
        <f>Résultats!B1</f>
        <v>SNBC3</v>
      </c>
      <c r="B4" s="229" t="s">
        <v>100</v>
      </c>
      <c r="C4" s="5" t="s">
        <v>92</v>
      </c>
      <c r="D4" s="12" t="s">
        <v>190</v>
      </c>
      <c r="E4" s="18">
        <f>VLOOKUP($D4,Résultats!$B$2:$AX$212,E$2,FALSE)</f>
        <v>2393165780</v>
      </c>
      <c r="F4" s="18">
        <f>VLOOKUP($D4,Résultats!$B$2:$AX$212,F$2,FALSE)</f>
        <v>2623669000</v>
      </c>
      <c r="G4" s="106">
        <f>VLOOKUP($D4,Résultats!$B$2:$AX$212,G$2,FALSE)/1000000</f>
        <v>2715.6825130000002</v>
      </c>
      <c r="H4" s="18">
        <f>VLOOKUP($D4,Résultats!$B$2:$AX$212,H$2,FALSE)/1000000</f>
        <v>2745.4671250000001</v>
      </c>
      <c r="I4" s="114">
        <f>VLOOKUP($D4,Résultats!$B$2:$AX$212,I$2,FALSE)/1000000</f>
        <v>2775.1517399999998</v>
      </c>
      <c r="J4" s="106">
        <f>VLOOKUP($D4,Résultats!$B$2:$AX$212,J$2,FALSE)/1000000</f>
        <v>2804.2295709999999</v>
      </c>
      <c r="K4" s="18">
        <f>VLOOKUP($D4,Résultats!$B$2:$AX$212,K$2,FALSE)/1000000</f>
        <v>2833.057577</v>
      </c>
      <c r="L4" s="18">
        <f>VLOOKUP($D4,Résultats!$B$2:$AX$212,L$2,FALSE)/1000000</f>
        <v>2863.7831890000002</v>
      </c>
      <c r="M4" s="18">
        <f>VLOOKUP($D4,Résultats!$B$2:$AX$212,M$2,FALSE)/1000000</f>
        <v>2893.2943919999998</v>
      </c>
      <c r="N4" s="107">
        <f>VLOOKUP($D4,Résultats!$B$2:$AX$212,N$2,FALSE)/1000000</f>
        <v>2920.6834960000001</v>
      </c>
      <c r="O4" s="106">
        <f>VLOOKUP($D4,Résultats!$B$2:$AX$212,O$2,FALSE)/1000000</f>
        <v>2946.0163050000001</v>
      </c>
      <c r="P4" s="18">
        <f>VLOOKUP($D4,Résultats!$B$2:$AX$212,P$2,FALSE)/1000000</f>
        <v>2969.1923109999998</v>
      </c>
      <c r="Q4" s="18">
        <f>VLOOKUP($D4,Résultats!$B$2:$AX$212,Q$2,FALSE)/1000000</f>
        <v>2990.3332730000002</v>
      </c>
      <c r="R4" s="18">
        <f>VLOOKUP($D4,Résultats!$B$2:$AX$212,R$2,FALSE)/1000000</f>
        <v>3009.2612450000001</v>
      </c>
      <c r="S4" s="107">
        <f>VLOOKUP($D4,Résultats!$B$2:$AX$212,S$2,FALSE)/1000000</f>
        <v>3025.8887220000001</v>
      </c>
      <c r="T4" s="114">
        <f>VLOOKUP($D4,Résultats!$B$2:$AX$212,T$2,FALSE)/1000000</f>
        <v>3096.9837219999999</v>
      </c>
      <c r="U4" s="114">
        <f>VLOOKUP($D4,Résultats!$B$2:$AX$212,U$2,FALSE)/1000000</f>
        <v>3145.2756850000001</v>
      </c>
      <c r="V4" s="18">
        <f>VLOOKUP($D4,Résultats!$B$2:$AX$212,V$2,FALSE)/1000000</f>
        <v>3179.3241320000002</v>
      </c>
      <c r="W4" s="114">
        <f>VLOOKUP($D4,Résultats!$B$2:$AX$212,W$2,FALSE)/1000000</f>
        <v>3207.035723</v>
      </c>
      <c r="X4" s="3"/>
      <c r="AC4" s="161" t="s">
        <v>464</v>
      </c>
      <c r="AD4" s="229" t="s">
        <v>100</v>
      </c>
      <c r="AE4" s="5" t="s">
        <v>92</v>
      </c>
      <c r="AF4" s="12" t="s">
        <v>190</v>
      </c>
      <c r="AG4" s="18">
        <v>2355349875.8831902</v>
      </c>
      <c r="AH4" s="18">
        <v>2596998398</v>
      </c>
      <c r="AI4" s="106">
        <v>2655.7572249999998</v>
      </c>
      <c r="AJ4" s="18">
        <v>2671.9482079999998</v>
      </c>
      <c r="AK4" s="114">
        <v>2688.2378990000002</v>
      </c>
      <c r="AL4" s="106">
        <v>2704.626902</v>
      </c>
      <c r="AM4" s="18">
        <v>2721.2510619999998</v>
      </c>
      <c r="AN4" s="18">
        <v>2733.314965</v>
      </c>
      <c r="AO4" s="18">
        <v>2745.2011419999999</v>
      </c>
      <c r="AP4" s="107">
        <v>2756.950288</v>
      </c>
      <c r="AQ4" s="106">
        <v>2768.561725</v>
      </c>
      <c r="AR4" s="18">
        <v>2779.993097</v>
      </c>
      <c r="AS4" s="18">
        <v>2791.5774529999999</v>
      </c>
      <c r="AT4" s="18">
        <v>2802.855591</v>
      </c>
      <c r="AU4" s="107">
        <v>2814.3284440000002</v>
      </c>
      <c r="AV4" s="114">
        <v>2869.6227979999999</v>
      </c>
      <c r="AW4" s="114">
        <v>2921.4190490000001</v>
      </c>
      <c r="AX4" s="18">
        <v>2966.1644070000002</v>
      </c>
      <c r="AY4" s="114">
        <v>3002.7028059999998</v>
      </c>
      <c r="AZ4" s="3"/>
    </row>
    <row r="5" spans="1:56" x14ac:dyDescent="0.25">
      <c r="A5" s="3"/>
      <c r="B5" s="230"/>
      <c r="C5" s="35" t="s">
        <v>27</v>
      </c>
      <c r="D5" s="13" t="s">
        <v>191</v>
      </c>
      <c r="E5" s="25">
        <f>VLOOKUP($D5,Résultats!$B$2:$AX$212,E$2,FALSE)</f>
        <v>661127</v>
      </c>
      <c r="F5" s="25">
        <f>VLOOKUP($D5,Résultats!$B$2:$AX$212,F$2,FALSE)</f>
        <v>12281020.18</v>
      </c>
      <c r="G5" s="101">
        <f>VLOOKUP($D5,Résultats!$B$2:$AX$212,G$2,FALSE)/1000000</f>
        <v>17.875445679999999</v>
      </c>
      <c r="H5" s="25">
        <f>VLOOKUP($D5,Résultats!$B$2:$AX$212,H$2,FALSE)/1000000</f>
        <v>21.583434899999997</v>
      </c>
      <c r="I5" s="102">
        <f>VLOOKUP($D5,Résultats!$B$2:$AX$212,I$2,FALSE)/1000000</f>
        <v>26.206909239999998</v>
      </c>
      <c r="J5" s="101">
        <f>VLOOKUP($D5,Résultats!$B$2:$AX$212,J$2,FALSE)/1000000</f>
        <v>31.919520420000001</v>
      </c>
      <c r="K5" s="25">
        <f>VLOOKUP($D5,Résultats!$B$2:$AX$212,K$2,FALSE)/1000000</f>
        <v>38.387718490000005</v>
      </c>
      <c r="L5" s="25">
        <f>VLOOKUP($D5,Résultats!$B$2:$AX$212,L$2,FALSE)/1000000</f>
        <v>45.366787770000002</v>
      </c>
      <c r="M5" s="25">
        <f>VLOOKUP($D5,Résultats!$B$2:$AX$212,M$2,FALSE)/1000000</f>
        <v>53.147431500000003</v>
      </c>
      <c r="N5" s="102">
        <f>VLOOKUP($D5,Résultats!$B$2:$AX$212,N$2,FALSE)/1000000</f>
        <v>63.216470549999997</v>
      </c>
      <c r="O5" s="101">
        <f>VLOOKUP($D5,Résultats!$B$2:$AX$212,O$2,FALSE)/1000000</f>
        <v>76.012462049999996</v>
      </c>
      <c r="P5" s="25">
        <f>VLOOKUP($D5,Résultats!$B$2:$AX$212,P$2,FALSE)/1000000</f>
        <v>90.907750919999998</v>
      </c>
      <c r="Q5" s="25">
        <f>VLOOKUP($D5,Résultats!$B$2:$AX$212,Q$2,FALSE)/1000000</f>
        <v>107.38625979999999</v>
      </c>
      <c r="R5" s="25">
        <f>VLOOKUP($D5,Résultats!$B$2:$AX$212,R$2,FALSE)/1000000</f>
        <v>124.97050709999999</v>
      </c>
      <c r="S5" s="102">
        <f>VLOOKUP($D5,Résultats!$B$2:$AX$212,S$2,FALSE)/1000000</f>
        <v>143.59468180000002</v>
      </c>
      <c r="T5" s="105">
        <f>VLOOKUP($D5,Résultats!$B$2:$AX$212,T$2,FALSE)/1000000</f>
        <v>253.7044665</v>
      </c>
      <c r="U5" s="105">
        <f>VLOOKUP($D5,Résultats!$B$2:$AX$212,U$2,FALSE)/1000000</f>
        <v>379.49928839999995</v>
      </c>
      <c r="V5" s="25">
        <f>VLOOKUP($D5,Résultats!$B$2:$AX$212,V$2,FALSE)/1000000</f>
        <v>522.81245869999998</v>
      </c>
      <c r="W5" s="105">
        <f>VLOOKUP($D5,Résultats!$B$2:$AX$212,W$2,FALSE)/1000000</f>
        <v>677.89231560000007</v>
      </c>
      <c r="X5" s="3"/>
      <c r="AC5" s="3"/>
      <c r="AD5" s="230"/>
      <c r="AE5" s="35" t="s">
        <v>27</v>
      </c>
      <c r="AF5" s="13" t="s">
        <v>191</v>
      </c>
      <c r="AG5" s="25">
        <v>650680.12020171306</v>
      </c>
      <c r="AH5" s="25">
        <v>43187152.149999999</v>
      </c>
      <c r="AI5" s="101">
        <v>50.412683960000003</v>
      </c>
      <c r="AJ5" s="25">
        <v>52.585453389999998</v>
      </c>
      <c r="AK5" s="102">
        <v>55.248827470000002</v>
      </c>
      <c r="AL5" s="101">
        <v>58.446187070000001</v>
      </c>
      <c r="AM5" s="25">
        <v>61.862481409999994</v>
      </c>
      <c r="AN5" s="25">
        <v>65.420231920000006</v>
      </c>
      <c r="AO5" s="25">
        <v>69.449230379999989</v>
      </c>
      <c r="AP5" s="102">
        <v>74.034006009999999</v>
      </c>
      <c r="AQ5" s="101">
        <v>79.004304869999999</v>
      </c>
      <c r="AR5" s="25">
        <v>83.804995500000004</v>
      </c>
      <c r="AS5" s="25">
        <v>87.363160239999999</v>
      </c>
      <c r="AT5" s="25">
        <v>89.222456459999904</v>
      </c>
      <c r="AU5" s="102">
        <v>90.697099290000011</v>
      </c>
      <c r="AV5" s="105">
        <v>97.114109620000008</v>
      </c>
      <c r="AW5" s="105">
        <v>103.08508359999999</v>
      </c>
      <c r="AX5" s="25">
        <v>108.2989291</v>
      </c>
      <c r="AY5" s="105">
        <v>112.66037159999999</v>
      </c>
      <c r="AZ5" s="3"/>
    </row>
    <row r="6" spans="1:56" x14ac:dyDescent="0.25">
      <c r="A6" s="3"/>
      <c r="B6" s="230"/>
      <c r="C6" s="35" t="s">
        <v>28</v>
      </c>
      <c r="D6" s="13" t="s">
        <v>192</v>
      </c>
      <c r="E6" s="25">
        <f>VLOOKUP($D6,Résultats!$B$2:$AX$212,E$2,FALSE)</f>
        <v>42391824</v>
      </c>
      <c r="F6" s="25">
        <f>VLOOKUP($D6,Résultats!$B$2:$AX$212,F$2,FALSE)</f>
        <v>89967966.540000007</v>
      </c>
      <c r="G6" s="101">
        <f>VLOOKUP($D6,Résultats!$B$2:$AX$212,G$2,FALSE)/1000000</f>
        <v>109.2527018</v>
      </c>
      <c r="H6" s="25">
        <f>VLOOKUP($D6,Résultats!$B$2:$AX$212,H$2,FALSE)/1000000</f>
        <v>122.75438659999999</v>
      </c>
      <c r="I6" s="102">
        <f>VLOOKUP($D6,Résultats!$B$2:$AX$212,I$2,FALSE)/1000000</f>
        <v>138.3900501</v>
      </c>
      <c r="J6" s="101">
        <f>VLOOKUP($D6,Résultats!$B$2:$AX$212,J$2,FALSE)/1000000</f>
        <v>157.6816804</v>
      </c>
      <c r="K6" s="25">
        <f>VLOOKUP($D6,Résultats!$B$2:$AX$212,K$2,FALSE)/1000000</f>
        <v>177.48452700000001</v>
      </c>
      <c r="L6" s="25">
        <f>VLOOKUP($D6,Résultats!$B$2:$AX$212,L$2,FALSE)/1000000</f>
        <v>198.0683453</v>
      </c>
      <c r="M6" s="25">
        <f>VLOOKUP($D6,Résultats!$B$2:$AX$212,M$2,FALSE)/1000000</f>
        <v>219.76932959999999</v>
      </c>
      <c r="N6" s="102">
        <f>VLOOKUP($D6,Résultats!$B$2:$AX$212,N$2,FALSE)/1000000</f>
        <v>246.20208259999998</v>
      </c>
      <c r="O6" s="101">
        <f>VLOOKUP($D6,Résultats!$B$2:$AX$212,O$2,FALSE)/1000000</f>
        <v>276.30487499999998</v>
      </c>
      <c r="P6" s="25">
        <f>VLOOKUP($D6,Résultats!$B$2:$AX$212,P$2,FALSE)/1000000</f>
        <v>308.39593200000002</v>
      </c>
      <c r="Q6" s="25">
        <f>VLOOKUP($D6,Résultats!$B$2:$AX$212,Q$2,FALSE)/1000000</f>
        <v>340.82931330000002</v>
      </c>
      <c r="R6" s="25">
        <f>VLOOKUP($D6,Résultats!$B$2:$AX$212,R$2,FALSE)/1000000</f>
        <v>372.31145289999995</v>
      </c>
      <c r="S6" s="102">
        <f>VLOOKUP($D6,Résultats!$B$2:$AX$212,S$2,FALSE)/1000000</f>
        <v>402.98095789999996</v>
      </c>
      <c r="T6" s="105">
        <f>VLOOKUP($D6,Résultats!$B$2:$AX$212,T$2,FALSE)/1000000</f>
        <v>542.68816529999992</v>
      </c>
      <c r="U6" s="105">
        <f>VLOOKUP($D6,Résultats!$B$2:$AX$212,U$2,FALSE)/1000000</f>
        <v>648.0087747</v>
      </c>
      <c r="V6" s="25">
        <f>VLOOKUP($D6,Résultats!$B$2:$AX$212,V$2,FALSE)/1000000</f>
        <v>727.71626600000002</v>
      </c>
      <c r="W6" s="105">
        <f>VLOOKUP($D6,Résultats!$B$2:$AX$212,W$2,FALSE)/1000000</f>
        <v>784.75313080000001</v>
      </c>
      <c r="X6" s="3"/>
      <c r="AC6" s="3"/>
      <c r="AD6" s="230"/>
      <c r="AE6" s="35" t="s">
        <v>28</v>
      </c>
      <c r="AF6" s="13" t="s">
        <v>192</v>
      </c>
      <c r="AG6" s="25">
        <v>41721964.366740197</v>
      </c>
      <c r="AH6" s="25">
        <v>181120567.69999999</v>
      </c>
      <c r="AI6" s="101">
        <v>215.590058</v>
      </c>
      <c r="AJ6" s="25">
        <v>228.76262990000001</v>
      </c>
      <c r="AK6" s="102">
        <v>245.54528809999999</v>
      </c>
      <c r="AL6" s="101">
        <v>266.69365629999999</v>
      </c>
      <c r="AM6" s="25">
        <v>288.86536289999998</v>
      </c>
      <c r="AN6" s="25">
        <v>307.95133449999997</v>
      </c>
      <c r="AO6" s="25">
        <v>327.0308915</v>
      </c>
      <c r="AP6" s="102">
        <v>345.91796049999999</v>
      </c>
      <c r="AQ6" s="101">
        <v>364.40862630000004</v>
      </c>
      <c r="AR6" s="25">
        <v>382.0194525</v>
      </c>
      <c r="AS6" s="25">
        <v>398.17266369999999</v>
      </c>
      <c r="AT6" s="25">
        <v>412.14001530000002</v>
      </c>
      <c r="AU6" s="102">
        <v>424.70792360000002</v>
      </c>
      <c r="AV6" s="105">
        <v>482.66274469999996</v>
      </c>
      <c r="AW6" s="105">
        <v>537.15071260000002</v>
      </c>
      <c r="AX6" s="25">
        <v>585.07997970000008</v>
      </c>
      <c r="AY6" s="105">
        <v>625.4614967</v>
      </c>
      <c r="AZ6" s="3"/>
    </row>
    <row r="7" spans="1:56" x14ac:dyDescent="0.25">
      <c r="A7" s="3"/>
      <c r="B7" s="230"/>
      <c r="C7" s="35" t="s">
        <v>29</v>
      </c>
      <c r="D7" s="13" t="s">
        <v>193</v>
      </c>
      <c r="E7" s="25">
        <f>VLOOKUP($D7,Résultats!$B$2:$AX$212,E$2,FALSE)</f>
        <v>300942006</v>
      </c>
      <c r="F7" s="25">
        <f>VLOOKUP($D7,Résultats!$B$2:$AX$212,F$2,FALSE)</f>
        <v>506208653.5</v>
      </c>
      <c r="G7" s="101">
        <f>VLOOKUP($D7,Résultats!$B$2:$AX$212,G$2,FALSE)/1000000</f>
        <v>548.55413899999996</v>
      </c>
      <c r="H7" s="25">
        <f>VLOOKUP($D7,Résultats!$B$2:$AX$212,H$2,FALSE)/1000000</f>
        <v>569.96298850000005</v>
      </c>
      <c r="I7" s="102">
        <f>VLOOKUP($D7,Résultats!$B$2:$AX$212,I$2,FALSE)/1000000</f>
        <v>593.08378029999994</v>
      </c>
      <c r="J7" s="101">
        <f>VLOOKUP($D7,Résultats!$B$2:$AX$212,J$2,FALSE)/1000000</f>
        <v>618.80034330000001</v>
      </c>
      <c r="K7" s="25">
        <f>VLOOKUP($D7,Résultats!$B$2:$AX$212,K$2,FALSE)/1000000</f>
        <v>643.88767510000002</v>
      </c>
      <c r="L7" s="25">
        <f>VLOOKUP($D7,Résultats!$B$2:$AX$212,L$2,FALSE)/1000000</f>
        <v>669.03014089999999</v>
      </c>
      <c r="M7" s="25">
        <f>VLOOKUP($D7,Résultats!$B$2:$AX$212,M$2,FALSE)/1000000</f>
        <v>693.27104399999996</v>
      </c>
      <c r="N7" s="102">
        <f>VLOOKUP($D7,Résultats!$B$2:$AX$212,N$2,FALSE)/1000000</f>
        <v>718.64450079999995</v>
      </c>
      <c r="O7" s="101">
        <f>VLOOKUP($D7,Résultats!$B$2:$AX$212,O$2,FALSE)/1000000</f>
        <v>743.44089579999991</v>
      </c>
      <c r="P7" s="25">
        <f>VLOOKUP($D7,Résultats!$B$2:$AX$212,P$2,FALSE)/1000000</f>
        <v>765.80900429999997</v>
      </c>
      <c r="Q7" s="25">
        <f>VLOOKUP($D7,Résultats!$B$2:$AX$212,Q$2,FALSE)/1000000</f>
        <v>784.93639780000001</v>
      </c>
      <c r="R7" s="25">
        <f>VLOOKUP($D7,Résultats!$B$2:$AX$212,R$2,FALSE)/1000000</f>
        <v>800.59828760000005</v>
      </c>
      <c r="S7" s="102">
        <f>VLOOKUP($D7,Résultats!$B$2:$AX$212,S$2,FALSE)/1000000</f>
        <v>813.83377629999995</v>
      </c>
      <c r="T7" s="105">
        <f>VLOOKUP($D7,Résultats!$B$2:$AX$212,T$2,FALSE)/1000000</f>
        <v>850.28402779999999</v>
      </c>
      <c r="U7" s="105">
        <f>VLOOKUP($D7,Résultats!$B$2:$AX$212,U$2,FALSE)/1000000</f>
        <v>840.72444410000003</v>
      </c>
      <c r="V7" s="25">
        <f>VLOOKUP($D7,Résultats!$B$2:$AX$212,V$2,FALSE)/1000000</f>
        <v>806.7728992000001</v>
      </c>
      <c r="W7" s="105">
        <f>VLOOKUP($D7,Résultats!$B$2:$AX$212,W$2,FALSE)/1000000</f>
        <v>761.85691550000001</v>
      </c>
      <c r="X7" s="3"/>
      <c r="AC7" s="3"/>
      <c r="AD7" s="230"/>
      <c r="AE7" s="35" t="s">
        <v>29</v>
      </c>
      <c r="AF7" s="13" t="s">
        <v>193</v>
      </c>
      <c r="AG7" s="25">
        <v>296186633.79021603</v>
      </c>
      <c r="AH7" s="25">
        <v>569035477.39999998</v>
      </c>
      <c r="AI7" s="101">
        <v>632.75076910000007</v>
      </c>
      <c r="AJ7" s="25">
        <v>645.57478270000001</v>
      </c>
      <c r="AK7" s="102">
        <v>657.42506470000001</v>
      </c>
      <c r="AL7" s="101">
        <v>667.32190209999999</v>
      </c>
      <c r="AM7" s="25">
        <v>679.26979920000008</v>
      </c>
      <c r="AN7" s="25">
        <v>692.50705210000001</v>
      </c>
      <c r="AO7" s="25">
        <v>704.80679639999994</v>
      </c>
      <c r="AP7" s="102">
        <v>715.45919620000006</v>
      </c>
      <c r="AQ7" s="101">
        <v>724.50526070000001</v>
      </c>
      <c r="AR7" s="25">
        <v>732.1551892</v>
      </c>
      <c r="AS7" s="25">
        <v>738.47130540000001</v>
      </c>
      <c r="AT7" s="25">
        <v>743.1869147000001</v>
      </c>
      <c r="AU7" s="102">
        <v>744.57653449999998</v>
      </c>
      <c r="AV7" s="105">
        <v>744.73285629999998</v>
      </c>
      <c r="AW7" s="105">
        <v>744.52864450000004</v>
      </c>
      <c r="AX7" s="25">
        <v>744.18700850000005</v>
      </c>
      <c r="AY7" s="105">
        <v>743.80258720000006</v>
      </c>
      <c r="AZ7" s="3"/>
    </row>
    <row r="8" spans="1:56" x14ac:dyDescent="0.25">
      <c r="A8" s="3"/>
      <c r="B8" s="230"/>
      <c r="C8" s="35" t="s">
        <v>30</v>
      </c>
      <c r="D8" s="13" t="s">
        <v>194</v>
      </c>
      <c r="E8" s="25">
        <f>VLOOKUP($D8,Résultats!$B$2:$AX$212,E$2,FALSE)</f>
        <v>661409532</v>
      </c>
      <c r="F8" s="25">
        <f>VLOOKUP($D8,Résultats!$B$2:$AX$212,F$2,FALSE)</f>
        <v>883954354.89999998</v>
      </c>
      <c r="G8" s="101">
        <f>VLOOKUP($D8,Résultats!$B$2:$AX$212,G$2,FALSE)/1000000</f>
        <v>939.57031370000004</v>
      </c>
      <c r="H8" s="25">
        <f>VLOOKUP($D8,Résultats!$B$2:$AX$212,H$2,FALSE)/1000000</f>
        <v>954.21449289999998</v>
      </c>
      <c r="I8" s="102">
        <f>VLOOKUP($D8,Résultats!$B$2:$AX$212,I$2,FALSE)/1000000</f>
        <v>967.73755520000009</v>
      </c>
      <c r="J8" s="101">
        <f>VLOOKUP($D8,Résultats!$B$2:$AX$212,J$2,FALSE)/1000000</f>
        <v>978.32152659999997</v>
      </c>
      <c r="K8" s="25">
        <f>VLOOKUP($D8,Résultats!$B$2:$AX$212,K$2,FALSE)/1000000</f>
        <v>987.90517150000005</v>
      </c>
      <c r="L8" s="25">
        <f>VLOOKUP($D8,Résultats!$B$2:$AX$212,L$2,FALSE)/1000000</f>
        <v>997.45693679999999</v>
      </c>
      <c r="M8" s="25">
        <f>VLOOKUP($D8,Résultats!$B$2:$AX$212,M$2,FALSE)/1000000</f>
        <v>1004.236597</v>
      </c>
      <c r="N8" s="102">
        <f>VLOOKUP($D8,Résultats!$B$2:$AX$212,N$2,FALSE)/1000000</f>
        <v>1004.5099729999999</v>
      </c>
      <c r="O8" s="101">
        <f>VLOOKUP($D8,Résultats!$B$2:$AX$212,O$2,FALSE)/1000000</f>
        <v>998.74736589999998</v>
      </c>
      <c r="P8" s="25">
        <f>VLOOKUP($D8,Résultats!$B$2:$AX$212,P$2,FALSE)/1000000</f>
        <v>988.03691920000006</v>
      </c>
      <c r="Q8" s="25">
        <f>VLOOKUP($D8,Résultats!$B$2:$AX$212,Q$2,FALSE)/1000000</f>
        <v>974.12670739999999</v>
      </c>
      <c r="R8" s="25">
        <f>VLOOKUP($D8,Résultats!$B$2:$AX$212,R$2,FALSE)/1000000</f>
        <v>958.50518699999998</v>
      </c>
      <c r="S8" s="102">
        <f>VLOOKUP($D8,Résultats!$B$2:$AX$212,S$2,FALSE)/1000000</f>
        <v>941.67800410000007</v>
      </c>
      <c r="T8" s="105">
        <f>VLOOKUP($D8,Résultats!$B$2:$AX$212,T$2,FALSE)/1000000</f>
        <v>851.34008529999994</v>
      </c>
      <c r="U8" s="105">
        <f>VLOOKUP($D8,Résultats!$B$2:$AX$212,U$2,FALSE)/1000000</f>
        <v>759.66052779999995</v>
      </c>
      <c r="V8" s="25">
        <f>VLOOKUP($D8,Résultats!$B$2:$AX$212,V$2,FALSE)/1000000</f>
        <v>668.76670449999995</v>
      </c>
      <c r="W8" s="105">
        <f>VLOOKUP($D8,Résultats!$B$2:$AX$212,W$2,FALSE)/1000000</f>
        <v>584.56922899999995</v>
      </c>
      <c r="X8" s="3"/>
      <c r="AC8" s="3"/>
      <c r="AD8" s="230"/>
      <c r="AE8" s="35" t="s">
        <v>30</v>
      </c>
      <c r="AF8" s="13" t="s">
        <v>194</v>
      </c>
      <c r="AG8" s="25">
        <v>650958187.73748195</v>
      </c>
      <c r="AH8" s="25">
        <v>633667547</v>
      </c>
      <c r="AI8" s="101">
        <v>628.52988640000001</v>
      </c>
      <c r="AJ8" s="25">
        <v>627.05710270000009</v>
      </c>
      <c r="AK8" s="102">
        <v>626.0079624</v>
      </c>
      <c r="AL8" s="101">
        <v>625.30736860000002</v>
      </c>
      <c r="AM8" s="25">
        <v>624.74556860000007</v>
      </c>
      <c r="AN8" s="25">
        <v>623.84060450000004</v>
      </c>
      <c r="AO8" s="25">
        <v>622.26125309999998</v>
      </c>
      <c r="AP8" s="102">
        <v>619.89497360000007</v>
      </c>
      <c r="AQ8" s="101">
        <v>616.94481870000004</v>
      </c>
      <c r="AR8" s="25">
        <v>613.84423860000004</v>
      </c>
      <c r="AS8" s="25">
        <v>611.24747579999996</v>
      </c>
      <c r="AT8" s="25">
        <v>609.73983529999998</v>
      </c>
      <c r="AU8" s="102">
        <v>609.83384439999998</v>
      </c>
      <c r="AV8" s="105">
        <v>612.04639099999997</v>
      </c>
      <c r="AW8" s="105">
        <v>613.18375549999996</v>
      </c>
      <c r="AX8" s="25">
        <v>613.83096479999995</v>
      </c>
      <c r="AY8" s="105">
        <v>614.26554610000005</v>
      </c>
      <c r="AZ8" s="3"/>
    </row>
    <row r="9" spans="1:56" x14ac:dyDescent="0.25">
      <c r="A9" s="3"/>
      <c r="B9" s="230"/>
      <c r="C9" s="35" t="s">
        <v>31</v>
      </c>
      <c r="D9" s="13" t="s">
        <v>195</v>
      </c>
      <c r="E9" s="25">
        <f>VLOOKUP($D9,Résultats!$B$2:$AX$212,E$2,FALSE)</f>
        <v>786713699</v>
      </c>
      <c r="F9" s="25">
        <f>VLOOKUP($D9,Résultats!$B$2:$AX$212,F$2,FALSE)</f>
        <v>617987009</v>
      </c>
      <c r="G9" s="101">
        <f>VLOOKUP($D9,Résultats!$B$2:$AX$212,G$2,FALSE)/1000000</f>
        <v>592.5707774</v>
      </c>
      <c r="H9" s="25">
        <f>VLOOKUP($D9,Résultats!$B$2:$AX$212,H$2,FALSE)/1000000</f>
        <v>577.38669070000003</v>
      </c>
      <c r="I9" s="102">
        <f>VLOOKUP($D9,Résultats!$B$2:$AX$212,I$2,FALSE)/1000000</f>
        <v>560.4606771</v>
      </c>
      <c r="J9" s="101">
        <f>VLOOKUP($D9,Résultats!$B$2:$AX$212,J$2,FALSE)/1000000</f>
        <v>541.08765460000006</v>
      </c>
      <c r="K9" s="25">
        <f>VLOOKUP($D9,Résultats!$B$2:$AX$212,K$2,FALSE)/1000000</f>
        <v>521.98153669999999</v>
      </c>
      <c r="L9" s="25">
        <f>VLOOKUP($D9,Résultats!$B$2:$AX$212,L$2,FALSE)/1000000</f>
        <v>503.35825249999999</v>
      </c>
      <c r="M9" s="25">
        <f>VLOOKUP($D9,Résultats!$B$2:$AX$212,M$2,FALSE)/1000000</f>
        <v>485.13357480000002</v>
      </c>
      <c r="N9" s="102">
        <f>VLOOKUP($D9,Résultats!$B$2:$AX$212,N$2,FALSE)/1000000</f>
        <v>465.02365780000002</v>
      </c>
      <c r="O9" s="101">
        <f>VLOOKUP($D9,Résultats!$B$2:$AX$212,O$2,FALSE)/1000000</f>
        <v>444.03385589999999</v>
      </c>
      <c r="P9" s="25">
        <f>VLOOKUP($D9,Résultats!$B$2:$AX$212,P$2,FALSE)/1000000</f>
        <v>423.70363639999999</v>
      </c>
      <c r="Q9" s="25">
        <f>VLOOKUP($D9,Résultats!$B$2:$AX$212,Q$2,FALSE)/1000000</f>
        <v>404.76535080000002</v>
      </c>
      <c r="R9" s="25">
        <f>VLOOKUP($D9,Résultats!$B$2:$AX$212,R$2,FALSE)/1000000</f>
        <v>387.4358163</v>
      </c>
      <c r="S9" s="102">
        <f>VLOOKUP($D9,Résultats!$B$2:$AX$212,S$2,FALSE)/1000000</f>
        <v>370.92122000000001</v>
      </c>
      <c r="T9" s="105">
        <f>VLOOKUP($D9,Résultats!$B$2:$AX$212,T$2,FALSE)/1000000</f>
        <v>301.34481010000002</v>
      </c>
      <c r="U9" s="105">
        <f>VLOOKUP($D9,Résultats!$B$2:$AX$212,U$2,FALSE)/1000000</f>
        <v>256.01457529999999</v>
      </c>
      <c r="V9" s="25">
        <f>VLOOKUP($D9,Résultats!$B$2:$AX$212,V$2,FALSE)/1000000</f>
        <v>221.27193119999998</v>
      </c>
      <c r="W9" s="105">
        <f>VLOOKUP($D9,Résultats!$B$2:$AX$212,W$2,FALSE)/1000000</f>
        <v>192.59994880000002</v>
      </c>
      <c r="X9" s="3"/>
      <c r="AC9" s="3"/>
      <c r="AD9" s="230"/>
      <c r="AE9" s="35" t="s">
        <v>31</v>
      </c>
      <c r="AF9" s="13" t="s">
        <v>195</v>
      </c>
      <c r="AG9" s="25">
        <v>774282345.494367</v>
      </c>
      <c r="AH9" s="25">
        <v>688439089.5</v>
      </c>
      <c r="AI9" s="101">
        <v>670.45152770000004</v>
      </c>
      <c r="AJ9" s="25">
        <v>665.95475250000004</v>
      </c>
      <c r="AK9" s="102">
        <v>659.88800020000008</v>
      </c>
      <c r="AL9" s="101">
        <v>652.34777539999993</v>
      </c>
      <c r="AM9" s="25">
        <v>643.27403679999998</v>
      </c>
      <c r="AN9" s="25">
        <v>632.84907470000007</v>
      </c>
      <c r="AO9" s="25">
        <v>622.61724920000006</v>
      </c>
      <c r="AP9" s="102">
        <v>613.00283739999998</v>
      </c>
      <c r="AQ9" s="101">
        <v>604.12207049999995</v>
      </c>
      <c r="AR9" s="25">
        <v>596.24764210000001</v>
      </c>
      <c r="AS9" s="25">
        <v>590.12780510000005</v>
      </c>
      <c r="AT9" s="25">
        <v>586.09317070000009</v>
      </c>
      <c r="AU9" s="102">
        <v>584.34791289999998</v>
      </c>
      <c r="AV9" s="105">
        <v>581.87145939999994</v>
      </c>
      <c r="AW9" s="105">
        <v>578.55799479999996</v>
      </c>
      <c r="AX9" s="25">
        <v>574.87388099999998</v>
      </c>
      <c r="AY9" s="105">
        <v>571.04697310000006</v>
      </c>
      <c r="AZ9" s="3"/>
    </row>
    <row r="10" spans="1:56" x14ac:dyDescent="0.25">
      <c r="A10" s="3"/>
      <c r="B10" s="230"/>
      <c r="C10" s="35" t="s">
        <v>32</v>
      </c>
      <c r="D10" s="13" t="s">
        <v>196</v>
      </c>
      <c r="E10" s="25">
        <f>VLOOKUP($D10,Résultats!$B$2:$AX$212,E$2,FALSE)</f>
        <v>412154138</v>
      </c>
      <c r="F10" s="25">
        <f>VLOOKUP($D10,Résultats!$B$2:$AX$212,F$2,FALSE)</f>
        <v>305196594.69999999</v>
      </c>
      <c r="G10" s="101">
        <f>VLOOKUP($D10,Résultats!$B$2:$AX$212,G$2,FALSE)/1000000</f>
        <v>290.68866880000002</v>
      </c>
      <c r="H10" s="25">
        <f>VLOOKUP($D10,Résultats!$B$2:$AX$212,H$2,FALSE)/1000000</f>
        <v>282.98471130000001</v>
      </c>
      <c r="I10" s="102">
        <f>VLOOKUP($D10,Résultats!$B$2:$AX$212,I$2,FALSE)/1000000</f>
        <v>274.61689160000003</v>
      </c>
      <c r="J10" s="101">
        <f>VLOOKUP($D10,Résultats!$B$2:$AX$212,J$2,FALSE)/1000000</f>
        <v>265.31245660000002</v>
      </c>
      <c r="K10" s="25">
        <f>VLOOKUP($D10,Résultats!$B$2:$AX$212,K$2,FALSE)/1000000</f>
        <v>256.23009259999998</v>
      </c>
      <c r="L10" s="25">
        <f>VLOOKUP($D10,Résultats!$B$2:$AX$212,L$2,FALSE)/1000000</f>
        <v>247.4851329</v>
      </c>
      <c r="M10" s="25">
        <f>VLOOKUP($D10,Résultats!$B$2:$AX$212,M$2,FALSE)/1000000</f>
        <v>239.0376129</v>
      </c>
      <c r="N10" s="102">
        <f>VLOOKUP($D10,Résultats!$B$2:$AX$212,N$2,FALSE)/1000000</f>
        <v>229.9148874</v>
      </c>
      <c r="O10" s="101">
        <f>VLOOKUP($D10,Résultats!$B$2:$AX$212,O$2,FALSE)/1000000</f>
        <v>220.5603844</v>
      </c>
      <c r="P10" s="25">
        <f>VLOOKUP($D10,Résultats!$B$2:$AX$212,P$2,FALSE)/1000000</f>
        <v>211.68522669999999</v>
      </c>
      <c r="Q10" s="25">
        <f>VLOOKUP($D10,Résultats!$B$2:$AX$212,Q$2,FALSE)/1000000</f>
        <v>203.55818919999999</v>
      </c>
      <c r="R10" s="25">
        <f>VLOOKUP($D10,Résultats!$B$2:$AX$212,R$2,FALSE)/1000000</f>
        <v>196.2077669</v>
      </c>
      <c r="S10" s="102">
        <f>VLOOKUP($D10,Résultats!$B$2:$AX$212,S$2,FALSE)/1000000</f>
        <v>189.20348609999999</v>
      </c>
      <c r="T10" s="105">
        <f>VLOOKUP($D10,Résultats!$B$2:$AX$212,T$2,FALSE)/1000000</f>
        <v>159.64516880000002</v>
      </c>
      <c r="U10" s="105">
        <f>VLOOKUP($D10,Résultats!$B$2:$AX$212,U$2,FALSE)/1000000</f>
        <v>140.78726409999999</v>
      </c>
      <c r="V10" s="25">
        <f>VLOOKUP($D10,Résultats!$B$2:$AX$212,V$2,FALSE)/1000000</f>
        <v>126.0311238</v>
      </c>
      <c r="W10" s="105">
        <f>VLOOKUP($D10,Résultats!$B$2:$AX$212,W$2,FALSE)/1000000</f>
        <v>112.9080644</v>
      </c>
      <c r="X10" s="3"/>
      <c r="Y10">
        <f>(K10+K11-S10-S11)*10</f>
        <v>1105.3086669999996</v>
      </c>
      <c r="AC10" s="3"/>
      <c r="AD10" s="230"/>
      <c r="AE10" s="35" t="s">
        <v>32</v>
      </c>
      <c r="AF10" s="13" t="s">
        <v>196</v>
      </c>
      <c r="AG10" s="25">
        <v>405641433.57550502</v>
      </c>
      <c r="AH10" s="25">
        <v>358699989.39999998</v>
      </c>
      <c r="AI10" s="101">
        <v>349.78984839999998</v>
      </c>
      <c r="AJ10" s="25">
        <v>347.84470189999996</v>
      </c>
      <c r="AK10" s="102">
        <v>344.37584369999996</v>
      </c>
      <c r="AL10" s="101">
        <v>339.4637755</v>
      </c>
      <c r="AM10" s="25">
        <v>333.12609300000003</v>
      </c>
      <c r="AN10" s="25">
        <v>325.73093399999999</v>
      </c>
      <c r="AO10" s="25">
        <v>318.93370930000003</v>
      </c>
      <c r="AP10" s="102">
        <v>313.19780250000002</v>
      </c>
      <c r="AQ10" s="101">
        <v>308.52180600000003</v>
      </c>
      <c r="AR10" s="25">
        <v>304.94413470000001</v>
      </c>
      <c r="AS10" s="25">
        <v>302.85805119999998</v>
      </c>
      <c r="AT10" s="25">
        <v>302.32541989999999</v>
      </c>
      <c r="AU10" s="102">
        <v>302.79875079999999</v>
      </c>
      <c r="AV10" s="105">
        <v>303.19194399999998</v>
      </c>
      <c r="AW10" s="105">
        <v>301.2874711</v>
      </c>
      <c r="AX10" s="25">
        <v>298.19526869999999</v>
      </c>
      <c r="AY10" s="105">
        <v>294.5149955</v>
      </c>
      <c r="AZ10" s="3"/>
    </row>
    <row r="11" spans="1:56" x14ac:dyDescent="0.25">
      <c r="A11" s="3"/>
      <c r="B11" s="230"/>
      <c r="C11" s="56" t="s">
        <v>33</v>
      </c>
      <c r="D11" s="26" t="s">
        <v>197</v>
      </c>
      <c r="E11" s="17">
        <f>VLOOKUP($D11,Résultats!$B$2:$AX$212,E$2,FALSE)</f>
        <v>188893454</v>
      </c>
      <c r="F11" s="17">
        <f>VLOOKUP($D11,Résultats!$B$2:$AX$212,F$2,FALSE)</f>
        <v>208073401.19999999</v>
      </c>
      <c r="G11" s="88">
        <f>VLOOKUP($D11,Résultats!$B$2:$AX$212,G$2,FALSE)/1000000</f>
        <v>217.17046630000002</v>
      </c>
      <c r="H11" s="17">
        <f>VLOOKUP($D11,Résultats!$B$2:$AX$212,H$2,FALSE)/1000000</f>
        <v>216.58042040000001</v>
      </c>
      <c r="I11" s="89">
        <f>VLOOKUP($D11,Résultats!$B$2:$AX$212,I$2,FALSE)/1000000</f>
        <v>214.65587619999999</v>
      </c>
      <c r="J11" s="88">
        <f>VLOOKUP($D11,Résultats!$B$2:$AX$212,J$2,FALSE)/1000000</f>
        <v>211.10638940000001</v>
      </c>
      <c r="K11" s="17">
        <f>VLOOKUP($D11,Résultats!$B$2:$AX$212,K$2,FALSE)/1000000</f>
        <v>207.18085550000001</v>
      </c>
      <c r="L11" s="17">
        <f>VLOOKUP($D11,Résultats!$B$2:$AX$212,L$2,FALSE)/1000000</f>
        <v>203.01759330000002</v>
      </c>
      <c r="M11" s="17">
        <f>VLOOKUP($D11,Résultats!$B$2:$AX$212,M$2,FALSE)/1000000</f>
        <v>198.698802</v>
      </c>
      <c r="N11" s="89">
        <f>VLOOKUP($D11,Résultats!$B$2:$AX$212,N$2,FALSE)/1000000</f>
        <v>193.1719238</v>
      </c>
      <c r="O11" s="88">
        <f>VLOOKUP($D11,Résultats!$B$2:$AX$212,O$2,FALSE)/1000000</f>
        <v>186.91646640000002</v>
      </c>
      <c r="P11" s="17">
        <f>VLOOKUP($D11,Résultats!$B$2:$AX$212,P$2,FALSE)/1000000</f>
        <v>180.65384180000001</v>
      </c>
      <c r="Q11" s="17">
        <f>VLOOKUP($D11,Résultats!$B$2:$AX$212,Q$2,FALSE)/1000000</f>
        <v>174.73105459999999</v>
      </c>
      <c r="R11" s="17">
        <f>VLOOKUP($D11,Résultats!$B$2:$AX$212,R$2,FALSE)/1000000</f>
        <v>169.23222759999999</v>
      </c>
      <c r="S11" s="89">
        <f>VLOOKUP($D11,Résultats!$B$2:$AX$212,S$2,FALSE)/1000000</f>
        <v>163.6765953</v>
      </c>
      <c r="T11" s="97">
        <f>VLOOKUP($D11,Résultats!$B$2:$AX$212,T$2,FALSE)/1000000</f>
        <v>137.9769987</v>
      </c>
      <c r="U11" s="97">
        <f>VLOOKUP($D11,Résultats!$B$2:$AX$212,U$2,FALSE)/1000000</f>
        <v>120.5808105</v>
      </c>
      <c r="V11" s="17">
        <f>VLOOKUP($D11,Résultats!$B$2:$AX$212,V$2,FALSE)/1000000</f>
        <v>105.9527484</v>
      </c>
      <c r="W11" s="97">
        <f>VLOOKUP($D11,Résultats!$B$2:$AX$212,W$2,FALSE)/1000000</f>
        <v>93.087655730000009</v>
      </c>
      <c r="X11" s="3"/>
      <c r="AC11" s="3"/>
      <c r="AD11" s="230"/>
      <c r="AE11" s="56" t="s">
        <v>33</v>
      </c>
      <c r="AF11" s="26" t="s">
        <v>197</v>
      </c>
      <c r="AG11" s="17">
        <v>185908630.79867601</v>
      </c>
      <c r="AH11" s="17">
        <v>122848574.7</v>
      </c>
      <c r="AI11" s="88">
        <v>108.23245179999999</v>
      </c>
      <c r="AJ11" s="17">
        <v>104.1687845</v>
      </c>
      <c r="AK11" s="89">
        <v>99.74691254999999</v>
      </c>
      <c r="AL11" s="88">
        <v>95.046236530000002</v>
      </c>
      <c r="AM11" s="17">
        <v>90.107720040000004</v>
      </c>
      <c r="AN11" s="17">
        <v>85.015733400000002</v>
      </c>
      <c r="AO11" s="17">
        <v>80.102011930000003</v>
      </c>
      <c r="AP11" s="89">
        <v>75.443511400000006</v>
      </c>
      <c r="AQ11" s="88">
        <v>71.054838119999999</v>
      </c>
      <c r="AR11" s="17">
        <v>66.977444469999995</v>
      </c>
      <c r="AS11" s="17">
        <v>63.336991279999999</v>
      </c>
      <c r="AT11" s="17">
        <v>60.147778989999999</v>
      </c>
      <c r="AU11" s="89">
        <v>57.366378259999998</v>
      </c>
      <c r="AV11" s="97">
        <v>48.003292939999994</v>
      </c>
      <c r="AW11" s="97">
        <v>43.625386599999999</v>
      </c>
      <c r="AX11" s="17">
        <v>41.698375349999999</v>
      </c>
      <c r="AY11" s="97">
        <v>40.95083563</v>
      </c>
      <c r="AZ11" s="3"/>
    </row>
    <row r="12" spans="1:5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</row>
    <row r="13" spans="1:5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</row>
    <row r="14" spans="1:56" x14ac:dyDescent="0.25">
      <c r="A14" s="3"/>
      <c r="B14" s="3"/>
      <c r="C14" s="42"/>
      <c r="D14" s="11"/>
      <c r="E14" s="237">
        <v>2006</v>
      </c>
      <c r="F14" s="24">
        <v>2015</v>
      </c>
      <c r="G14" s="20">
        <v>2018</v>
      </c>
      <c r="H14" s="4">
        <v>2019</v>
      </c>
      <c r="I14" s="190">
        <v>2020</v>
      </c>
      <c r="J14" s="91">
        <v>2021</v>
      </c>
      <c r="K14" s="27">
        <v>2022</v>
      </c>
      <c r="L14" s="4">
        <v>2023</v>
      </c>
      <c r="M14" s="27">
        <v>2024</v>
      </c>
      <c r="N14" s="83">
        <v>2025</v>
      </c>
      <c r="O14" s="91">
        <v>2026</v>
      </c>
      <c r="P14" s="4">
        <v>2027</v>
      </c>
      <c r="Q14" s="27">
        <v>2028</v>
      </c>
      <c r="R14" s="27">
        <v>2029</v>
      </c>
      <c r="S14" s="83">
        <v>2030</v>
      </c>
      <c r="T14" s="4">
        <v>2035</v>
      </c>
      <c r="U14" s="93">
        <v>2040</v>
      </c>
      <c r="V14" s="4">
        <v>2045</v>
      </c>
      <c r="W14" s="93">
        <v>2050</v>
      </c>
      <c r="X14" s="3"/>
      <c r="AC14" s="3"/>
      <c r="AD14" s="3"/>
      <c r="AE14" s="42"/>
      <c r="AF14" s="11"/>
      <c r="AG14" s="237">
        <v>2006</v>
      </c>
      <c r="AH14" s="24">
        <v>2015</v>
      </c>
      <c r="AI14" s="20">
        <v>2018</v>
      </c>
      <c r="AJ14" s="4">
        <v>2019</v>
      </c>
      <c r="AK14" s="190">
        <v>2020</v>
      </c>
      <c r="AL14" s="91">
        <v>2021</v>
      </c>
      <c r="AM14" s="27">
        <v>2022</v>
      </c>
      <c r="AN14" s="4">
        <v>2023</v>
      </c>
      <c r="AO14" s="27">
        <v>2024</v>
      </c>
      <c r="AP14" s="83">
        <v>2025</v>
      </c>
      <c r="AQ14" s="91">
        <v>2026</v>
      </c>
      <c r="AR14" s="4">
        <v>2027</v>
      </c>
      <c r="AS14" s="27">
        <v>2028</v>
      </c>
      <c r="AT14" s="27">
        <v>2029</v>
      </c>
      <c r="AU14" s="83">
        <v>2030</v>
      </c>
      <c r="AV14" s="4">
        <v>2035</v>
      </c>
      <c r="AW14" s="93">
        <v>2040</v>
      </c>
      <c r="AX14" s="4">
        <v>2045</v>
      </c>
      <c r="AY14" s="93">
        <v>2050</v>
      </c>
      <c r="AZ14" s="3"/>
    </row>
    <row r="15" spans="1:56" ht="15.75" thickBot="1" x14ac:dyDescent="0.3">
      <c r="A15" s="3"/>
      <c r="B15" s="229" t="s">
        <v>101</v>
      </c>
      <c r="C15" s="5" t="s">
        <v>44</v>
      </c>
      <c r="D15" s="12" t="s">
        <v>190</v>
      </c>
      <c r="E15" s="18">
        <f>E4/100</f>
        <v>23931657.800000001</v>
      </c>
      <c r="F15" s="18">
        <f>F4/100</f>
        <v>26236690</v>
      </c>
      <c r="G15" s="106">
        <f>G4*1000/100</f>
        <v>27156.825130000001</v>
      </c>
      <c r="H15" s="18">
        <f t="shared" ref="H15:W15" si="1">H4*1000/100</f>
        <v>27454.671249999999</v>
      </c>
      <c r="I15" s="233">
        <f t="shared" si="1"/>
        <v>27751.517399999997</v>
      </c>
      <c r="J15" s="106">
        <f t="shared" si="1"/>
        <v>28042.295709999999</v>
      </c>
      <c r="K15" s="18">
        <f t="shared" si="1"/>
        <v>28330.575769999999</v>
      </c>
      <c r="L15" s="18">
        <f t="shared" si="1"/>
        <v>28637.831890000001</v>
      </c>
      <c r="M15" s="18">
        <f t="shared" si="1"/>
        <v>28932.943920000002</v>
      </c>
      <c r="N15" s="107">
        <f t="shared" si="1"/>
        <v>29206.834960000004</v>
      </c>
      <c r="O15" s="106">
        <f t="shared" si="1"/>
        <v>29460.163050000003</v>
      </c>
      <c r="P15" s="18">
        <f t="shared" si="1"/>
        <v>29691.923109999996</v>
      </c>
      <c r="Q15" s="18">
        <f t="shared" si="1"/>
        <v>29903.332730000002</v>
      </c>
      <c r="R15" s="18">
        <f t="shared" si="1"/>
        <v>30092.612450000001</v>
      </c>
      <c r="S15" s="107">
        <f t="shared" si="1"/>
        <v>30258.887220000001</v>
      </c>
      <c r="T15" s="18">
        <f t="shared" si="1"/>
        <v>30969.837220000001</v>
      </c>
      <c r="U15" s="114">
        <f t="shared" si="1"/>
        <v>31452.756850000002</v>
      </c>
      <c r="V15" s="18">
        <f t="shared" si="1"/>
        <v>31793.241320000001</v>
      </c>
      <c r="W15" s="114">
        <f t="shared" si="1"/>
        <v>32070.357229999998</v>
      </c>
      <c r="X15" s="3"/>
      <c r="Y15" s="33" t="s">
        <v>102</v>
      </c>
      <c r="AC15" s="3"/>
      <c r="AD15" s="229" t="s">
        <v>101</v>
      </c>
      <c r="AE15" s="5" t="s">
        <v>44</v>
      </c>
      <c r="AF15" s="12" t="s">
        <v>190</v>
      </c>
      <c r="AG15" s="18">
        <v>23553498.758831903</v>
      </c>
      <c r="AH15" s="18">
        <v>25969983.98</v>
      </c>
      <c r="AI15" s="106">
        <v>26557.572249999997</v>
      </c>
      <c r="AJ15" s="18">
        <v>26719.482079999998</v>
      </c>
      <c r="AK15" s="233">
        <v>26882.378990000001</v>
      </c>
      <c r="AL15" s="106">
        <v>27046.269019999996</v>
      </c>
      <c r="AM15" s="18">
        <v>27212.510620000001</v>
      </c>
      <c r="AN15" s="18">
        <v>27333.149649999999</v>
      </c>
      <c r="AO15" s="18">
        <v>27452.011419999999</v>
      </c>
      <c r="AP15" s="107">
        <v>27569.50288</v>
      </c>
      <c r="AQ15" s="106">
        <v>27685.617249999999</v>
      </c>
      <c r="AR15" s="18">
        <v>27799.930970000001</v>
      </c>
      <c r="AS15" s="18">
        <v>27915.774529999999</v>
      </c>
      <c r="AT15" s="18">
        <v>28028.555909999999</v>
      </c>
      <c r="AU15" s="107">
        <v>28143.284440000003</v>
      </c>
      <c r="AV15" s="18">
        <v>28696.22798</v>
      </c>
      <c r="AW15" s="114">
        <v>29214.190490000001</v>
      </c>
      <c r="AX15" s="18">
        <v>29661.644070000002</v>
      </c>
      <c r="AY15" s="114">
        <v>30027.028059999997</v>
      </c>
      <c r="AZ15" s="3"/>
      <c r="BA15" s="33" t="s">
        <v>102</v>
      </c>
    </row>
    <row r="16" spans="1:56" x14ac:dyDescent="0.25">
      <c r="A16" s="3"/>
      <c r="B16" s="230"/>
      <c r="C16" s="35" t="s">
        <v>27</v>
      </c>
      <c r="D16" s="13" t="s">
        <v>191</v>
      </c>
      <c r="E16" s="74">
        <f>E5/E$4</f>
        <v>2.7625624832392512E-4</v>
      </c>
      <c r="F16" s="74">
        <f>F5/F$4</f>
        <v>4.6808572956420951E-3</v>
      </c>
      <c r="G16" s="108">
        <f>G5/G$4</f>
        <v>6.5823031942909586E-3</v>
      </c>
      <c r="H16" s="74">
        <f t="shared" ref="H16:W16" si="2">H5/H$4</f>
        <v>7.8614800022418756E-3</v>
      </c>
      <c r="I16" s="109">
        <f t="shared" si="2"/>
        <v>9.443414881522838E-3</v>
      </c>
      <c r="J16" s="108">
        <f t="shared" si="2"/>
        <v>1.1382634556776808E-2</v>
      </c>
      <c r="K16" s="74">
        <f t="shared" si="2"/>
        <v>1.3549925282722202E-2</v>
      </c>
      <c r="L16" s="74">
        <f t="shared" si="2"/>
        <v>1.5841558098482155E-2</v>
      </c>
      <c r="M16" s="74">
        <f t="shared" si="2"/>
        <v>1.8369175168262659E-2</v>
      </c>
      <c r="N16" s="109">
        <f t="shared" si="2"/>
        <v>2.1644409822761567E-2</v>
      </c>
      <c r="O16" s="108">
        <f t="shared" si="2"/>
        <v>2.5801779141884279E-2</v>
      </c>
      <c r="P16" s="74">
        <f t="shared" si="2"/>
        <v>3.0616996609890521E-2</v>
      </c>
      <c r="Q16" s="74">
        <f t="shared" si="2"/>
        <v>3.5911134310546794E-2</v>
      </c>
      <c r="R16" s="74">
        <f t="shared" si="2"/>
        <v>4.1528633417136231E-2</v>
      </c>
      <c r="S16" s="109">
        <f t="shared" si="2"/>
        <v>4.7455374269378042E-2</v>
      </c>
      <c r="T16" s="74">
        <f t="shared" si="2"/>
        <v>8.1919857924264539E-2</v>
      </c>
      <c r="U16" s="115">
        <f t="shared" si="2"/>
        <v>0.12065692371891398</v>
      </c>
      <c r="V16" s="74">
        <f t="shared" si="2"/>
        <v>0.16444138344935505</v>
      </c>
      <c r="W16" s="115">
        <f t="shared" si="2"/>
        <v>0.21137660261728244</v>
      </c>
      <c r="X16" s="3"/>
      <c r="Y16" s="133"/>
      <c r="Z16" s="134">
        <v>2020</v>
      </c>
      <c r="AA16" s="134">
        <v>2030</v>
      </c>
      <c r="AB16" s="135">
        <v>2050</v>
      </c>
      <c r="AC16" s="3"/>
      <c r="AD16" s="230"/>
      <c r="AE16" s="35" t="s">
        <v>27</v>
      </c>
      <c r="AF16" s="13" t="s">
        <v>191</v>
      </c>
      <c r="AG16" s="74">
        <v>2.7625624832392523E-4</v>
      </c>
      <c r="AH16" s="74">
        <v>1.6629641428835412E-2</v>
      </c>
      <c r="AI16" s="108">
        <v>1.898241431311554E-2</v>
      </c>
      <c r="AJ16" s="74">
        <v>1.9680566124955369E-2</v>
      </c>
      <c r="AK16" s="109">
        <v>2.055206032566986E-2</v>
      </c>
      <c r="AL16" s="108">
        <v>2.160970410624127E-2</v>
      </c>
      <c r="AM16" s="74">
        <v>2.2733103267779265E-2</v>
      </c>
      <c r="AN16" s="74">
        <v>2.393439203227719E-2</v>
      </c>
      <c r="AO16" s="74">
        <v>2.529841231575591E-2</v>
      </c>
      <c r="AP16" s="109">
        <v>2.6853587579088043E-2</v>
      </c>
      <c r="AQ16" s="108">
        <v>2.8536226646707685E-2</v>
      </c>
      <c r="AR16" s="74">
        <v>3.0145756689265623E-2</v>
      </c>
      <c r="AS16" s="74">
        <v>3.1295266461661024E-2</v>
      </c>
      <c r="AT16" s="74">
        <v>3.1832698318990882E-2</v>
      </c>
      <c r="AU16" s="109">
        <v>3.2226906380938385E-2</v>
      </c>
      <c r="AV16" s="74">
        <v>3.3842116701778453E-2</v>
      </c>
      <c r="AW16" s="115">
        <v>3.528596270202522E-2</v>
      </c>
      <c r="AX16" s="74">
        <v>3.6511438423446764E-2</v>
      </c>
      <c r="AY16" s="115">
        <v>3.7519654417640692E-2</v>
      </c>
      <c r="AZ16" s="3"/>
      <c r="BA16" s="133"/>
      <c r="BB16" s="134">
        <v>2020</v>
      </c>
      <c r="BC16" s="134">
        <v>2030</v>
      </c>
      <c r="BD16" s="135">
        <v>2050</v>
      </c>
    </row>
    <row r="17" spans="1:56" x14ac:dyDescent="0.25">
      <c r="A17" s="3"/>
      <c r="B17" s="230"/>
      <c r="C17" s="35" t="s">
        <v>28</v>
      </c>
      <c r="D17" s="13" t="s">
        <v>192</v>
      </c>
      <c r="E17" s="68">
        <f t="shared" ref="E17:G22" si="3">E6/E$4</f>
        <v>1.77137013884596E-2</v>
      </c>
      <c r="F17" s="68">
        <f t="shared" si="3"/>
        <v>3.4290898181134892E-2</v>
      </c>
      <c r="G17" s="110">
        <f t="shared" si="3"/>
        <v>4.023029248706584E-2</v>
      </c>
      <c r="H17" s="68">
        <f t="shared" ref="H17:W17" si="4">H6/H$4</f>
        <v>4.4711657802130843E-2</v>
      </c>
      <c r="I17" s="111">
        <f t="shared" si="4"/>
        <v>4.9867561512149966E-2</v>
      </c>
      <c r="J17" s="110">
        <f t="shared" si="4"/>
        <v>5.6229947088023202E-2</v>
      </c>
      <c r="K17" s="68">
        <f t="shared" si="4"/>
        <v>6.2647694999528783E-2</v>
      </c>
      <c r="L17" s="68">
        <f t="shared" si="4"/>
        <v>6.9163177596961584E-2</v>
      </c>
      <c r="M17" s="68">
        <f t="shared" si="4"/>
        <v>7.5958163886697919E-2</v>
      </c>
      <c r="N17" s="111">
        <f t="shared" si="4"/>
        <v>8.4296050200983491E-2</v>
      </c>
      <c r="O17" s="110">
        <f t="shared" si="4"/>
        <v>9.3789323070294403E-2</v>
      </c>
      <c r="P17" s="68">
        <f t="shared" si="4"/>
        <v>0.1038652602115</v>
      </c>
      <c r="Q17" s="68">
        <f t="shared" si="4"/>
        <v>0.11397703271985764</v>
      </c>
      <c r="R17" s="68">
        <f t="shared" si="4"/>
        <v>0.12372187809171083</v>
      </c>
      <c r="S17" s="111">
        <f t="shared" si="4"/>
        <v>0.13317771898552982</v>
      </c>
      <c r="T17" s="68">
        <f t="shared" si="4"/>
        <v>0.17523119719516561</v>
      </c>
      <c r="U17" s="116">
        <f t="shared" si="4"/>
        <v>0.20602606562928361</v>
      </c>
      <c r="V17" s="68">
        <f t="shared" si="4"/>
        <v>0.2288902407513321</v>
      </c>
      <c r="W17" s="116">
        <f t="shared" si="4"/>
        <v>0.24469734626651055</v>
      </c>
      <c r="X17" s="3"/>
      <c r="Y17" s="136" t="s">
        <v>54</v>
      </c>
      <c r="Z17" s="137">
        <f>I16+I17</f>
        <v>5.9310976393672804E-2</v>
      </c>
      <c r="AA17" s="137">
        <f>S16+S17</f>
        <v>0.18063309325490787</v>
      </c>
      <c r="AB17" s="138">
        <f>W16+W17</f>
        <v>0.45607394888379299</v>
      </c>
      <c r="AC17" s="3"/>
      <c r="AD17" s="230"/>
      <c r="AE17" s="35" t="s">
        <v>28</v>
      </c>
      <c r="AF17" s="13" t="s">
        <v>192</v>
      </c>
      <c r="AG17" s="68">
        <v>1.7713701388459593E-2</v>
      </c>
      <c r="AH17" s="68">
        <v>6.9742271631543756E-2</v>
      </c>
      <c r="AI17" s="110">
        <v>8.1178375783200599E-2</v>
      </c>
      <c r="AJ17" s="68">
        <v>8.5616416222091693E-2</v>
      </c>
      <c r="AK17" s="111">
        <v>9.1340609471855363E-2</v>
      </c>
      <c r="AL17" s="110">
        <v>9.8606449600418852E-2</v>
      </c>
      <c r="AM17" s="68">
        <v>0.10615167668053996</v>
      </c>
      <c r="AN17" s="68">
        <v>0.1126658795064988</v>
      </c>
      <c r="AO17" s="68">
        <v>0.11912820758253932</v>
      </c>
      <c r="AP17" s="111">
        <v>0.12547123609941566</v>
      </c>
      <c r="AQ17" s="110">
        <v>0.13162380416134664</v>
      </c>
      <c r="AR17" s="68">
        <v>0.13741741046488648</v>
      </c>
      <c r="AS17" s="68">
        <v>0.14263357202290744</v>
      </c>
      <c r="AT17" s="68">
        <v>0.14704290032757525</v>
      </c>
      <c r="AU17" s="111">
        <v>0.15090915365811511</v>
      </c>
      <c r="AV17" s="68">
        <v>0.16819727841456883</v>
      </c>
      <c r="AW17" s="116">
        <v>0.18386636890858446</v>
      </c>
      <c r="AX17" s="68">
        <v>0.19725136554104705</v>
      </c>
      <c r="AY17" s="116">
        <v>0.20829950118613239</v>
      </c>
      <c r="AZ17" s="3"/>
      <c r="BA17" s="136" t="s">
        <v>54</v>
      </c>
      <c r="BB17" s="137">
        <v>0.11189266979752523</v>
      </c>
      <c r="BC17" s="137">
        <v>0.1831360600390535</v>
      </c>
      <c r="BD17" s="138">
        <v>0.24581915560377307</v>
      </c>
    </row>
    <row r="18" spans="1:56" x14ac:dyDescent="0.25">
      <c r="A18" s="3"/>
      <c r="B18" s="230"/>
      <c r="C18" s="35" t="s">
        <v>29</v>
      </c>
      <c r="D18" s="13" t="s">
        <v>193</v>
      </c>
      <c r="E18" s="68">
        <f t="shared" si="3"/>
        <v>0.12575058882882739</v>
      </c>
      <c r="F18" s="68">
        <f t="shared" si="3"/>
        <v>0.19293922118224516</v>
      </c>
      <c r="G18" s="110">
        <f t="shared" si="3"/>
        <v>0.20199494468667292</v>
      </c>
      <c r="H18" s="68">
        <f t="shared" ref="H18:W18" si="5">H7/H$4</f>
        <v>0.20760146180952724</v>
      </c>
      <c r="I18" s="111">
        <f t="shared" si="5"/>
        <v>0.21371219877872336</v>
      </c>
      <c r="J18" s="110">
        <f t="shared" si="5"/>
        <v>0.22066679194147903</v>
      </c>
      <c r="K18" s="68">
        <f t="shared" si="5"/>
        <v>0.2272765934329615</v>
      </c>
      <c r="L18" s="68">
        <f t="shared" si="5"/>
        <v>0.23361759488979245</v>
      </c>
      <c r="M18" s="68">
        <f t="shared" si="5"/>
        <v>0.23961303278259699</v>
      </c>
      <c r="N18" s="111">
        <f t="shared" si="5"/>
        <v>0.24605353568238875</v>
      </c>
      <c r="O18" s="110">
        <f t="shared" si="5"/>
        <v>0.25235464397743712</v>
      </c>
      <c r="P18" s="68">
        <f t="shared" si="5"/>
        <v>0.25791829025789231</v>
      </c>
      <c r="Q18" s="68">
        <f t="shared" si="5"/>
        <v>0.26249127643639736</v>
      </c>
      <c r="R18" s="68">
        <f t="shared" si="5"/>
        <v>0.2660447938610262</v>
      </c>
      <c r="S18" s="111">
        <f t="shared" si="5"/>
        <v>0.26895694160295691</v>
      </c>
      <c r="T18" s="68">
        <f t="shared" si="5"/>
        <v>0.27455230770502576</v>
      </c>
      <c r="U18" s="116">
        <f t="shared" si="5"/>
        <v>0.26729753709967718</v>
      </c>
      <c r="V18" s="68">
        <f t="shared" si="5"/>
        <v>0.25375610214756172</v>
      </c>
      <c r="W18" s="116">
        <f t="shared" si="5"/>
        <v>0.23755797605750587</v>
      </c>
      <c r="X18" s="3"/>
      <c r="Y18" s="136" t="s">
        <v>55</v>
      </c>
      <c r="Z18" s="137">
        <f>I18+I19+I20</f>
        <v>0.76438415313463193</v>
      </c>
      <c r="AA18" s="137">
        <f>S18+S19+S20</f>
        <v>0.70274659637665293</v>
      </c>
      <c r="AB18" s="138">
        <f>W18+W19+W20</f>
        <v>0.47989053637990919</v>
      </c>
      <c r="AC18" s="3"/>
      <c r="AD18" s="230"/>
      <c r="AE18" s="35" t="s">
        <v>29</v>
      </c>
      <c r="AF18" s="13" t="s">
        <v>193</v>
      </c>
      <c r="AG18" s="68">
        <v>0.12575058882882711</v>
      </c>
      <c r="AH18" s="68">
        <v>0.21911275641841962</v>
      </c>
      <c r="AI18" s="110">
        <v>0.23825625442852749</v>
      </c>
      <c r="AJ18" s="68">
        <v>0.24161201207684488</v>
      </c>
      <c r="AK18" s="111">
        <v>0.24455613282758795</v>
      </c>
      <c r="AL18" s="110">
        <v>0.24673344098091057</v>
      </c>
      <c r="AM18" s="68">
        <v>0.24961673279082403</v>
      </c>
      <c r="AN18" s="68">
        <v>0.25335794116943272</v>
      </c>
      <c r="AO18" s="68">
        <v>0.2567414043426039</v>
      </c>
      <c r="AP18" s="111">
        <v>0.25951109793823024</v>
      </c>
      <c r="AQ18" s="110">
        <v>0.26169012384941498</v>
      </c>
      <c r="AR18" s="68">
        <v>0.26336582993321006</v>
      </c>
      <c r="AS18" s="68">
        <v>0.264535488566292</v>
      </c>
      <c r="AT18" s="68">
        <v>0.2651534802885962</v>
      </c>
      <c r="AU18" s="111">
        <v>0.26456632525865909</v>
      </c>
      <c r="AV18" s="68">
        <v>0.25952290901056607</v>
      </c>
      <c r="AW18" s="116">
        <v>0.25485171144990371</v>
      </c>
      <c r="AX18" s="68">
        <v>0.25089202970130575</v>
      </c>
      <c r="AY18" s="116">
        <v>0.24771102411924817</v>
      </c>
      <c r="AZ18" s="3"/>
      <c r="BA18" s="136" t="s">
        <v>55</v>
      </c>
      <c r="BB18" s="137">
        <v>0.72289771229804389</v>
      </c>
      <c r="BC18" s="137">
        <v>0.68888842591678678</v>
      </c>
      <c r="BD18" s="138">
        <v>0.64245955428730506</v>
      </c>
    </row>
    <row r="19" spans="1:56" ht="15.75" thickBot="1" x14ac:dyDescent="0.3">
      <c r="A19" s="3"/>
      <c r="B19" s="230"/>
      <c r="C19" s="35" t="s">
        <v>30</v>
      </c>
      <c r="D19" s="13" t="s">
        <v>194</v>
      </c>
      <c r="E19" s="68">
        <f t="shared" si="3"/>
        <v>0.27637430617113368</v>
      </c>
      <c r="F19" s="68">
        <f t="shared" si="3"/>
        <v>0.33691534827754566</v>
      </c>
      <c r="G19" s="110">
        <f t="shared" si="3"/>
        <v>0.34597943949716775</v>
      </c>
      <c r="H19" s="68">
        <f t="shared" ref="H19:W19" si="6">H8/H$4</f>
        <v>0.34755997775788333</v>
      </c>
      <c r="I19" s="111">
        <f t="shared" si="6"/>
        <v>0.34871518600276619</v>
      </c>
      <c r="J19" s="110">
        <f t="shared" si="6"/>
        <v>0.34887355041018503</v>
      </c>
      <c r="K19" s="68">
        <f t="shared" si="6"/>
        <v>0.34870635158291385</v>
      </c>
      <c r="L19" s="68">
        <f t="shared" si="6"/>
        <v>0.34830043720883086</v>
      </c>
      <c r="M19" s="68">
        <f t="shared" si="6"/>
        <v>0.34709105294529602</v>
      </c>
      <c r="N19" s="111">
        <f t="shared" si="6"/>
        <v>0.3439297597208732</v>
      </c>
      <c r="O19" s="110">
        <f t="shared" si="6"/>
        <v>0.33901623837075129</v>
      </c>
      <c r="P19" s="68">
        <f t="shared" si="6"/>
        <v>0.33276285794611843</v>
      </c>
      <c r="Q19" s="68">
        <f t="shared" si="6"/>
        <v>0.32575857553921544</v>
      </c>
      <c r="R19" s="68">
        <f t="shared" si="6"/>
        <v>0.31851843657395718</v>
      </c>
      <c r="S19" s="111">
        <f t="shared" si="6"/>
        <v>0.31120708347714315</v>
      </c>
      <c r="T19" s="68">
        <f t="shared" si="6"/>
        <v>0.27489330320090072</v>
      </c>
      <c r="U19" s="116">
        <f t="shared" si="6"/>
        <v>0.24152430625489033</v>
      </c>
      <c r="V19" s="68">
        <f t="shared" si="6"/>
        <v>0.21034870203035969</v>
      </c>
      <c r="W19" s="116">
        <f t="shared" si="6"/>
        <v>0.18227711802759983</v>
      </c>
      <c r="X19" s="3"/>
      <c r="Y19" s="139" t="s">
        <v>60</v>
      </c>
      <c r="Z19" s="140">
        <f>I21+I22</f>
        <v>0.17630487037800679</v>
      </c>
      <c r="AA19" s="140">
        <f>S21+S22</f>
        <v>0.11662031020319853</v>
      </c>
      <c r="AB19" s="272">
        <f>W21+W22</f>
        <v>6.4232437029826006E-2</v>
      </c>
      <c r="AC19" s="3"/>
      <c r="AD19" s="230"/>
      <c r="AE19" s="35" t="s">
        <v>30</v>
      </c>
      <c r="AF19" s="13" t="s">
        <v>194</v>
      </c>
      <c r="AG19" s="68">
        <v>0.27637430617113345</v>
      </c>
      <c r="AH19" s="68">
        <v>0.24399997608315813</v>
      </c>
      <c r="AI19" s="110">
        <v>0.2366669213900002</v>
      </c>
      <c r="AJ19" s="68">
        <v>0.23468160828213183</v>
      </c>
      <c r="AK19" s="111">
        <v>0.23286925708207196</v>
      </c>
      <c r="AL19" s="110">
        <v>0.23119912330148079</v>
      </c>
      <c r="AM19" s="68">
        <v>0.22958027552990262</v>
      </c>
      <c r="AN19" s="68">
        <v>0.22823590127309021</v>
      </c>
      <c r="AO19" s="68">
        <v>0.22667237149939959</v>
      </c>
      <c r="AP19" s="111">
        <v>0.22484807807314372</v>
      </c>
      <c r="AQ19" s="110">
        <v>0.22283946683543782</v>
      </c>
      <c r="AR19" s="68">
        <v>0.22080782835843135</v>
      </c>
      <c r="AS19" s="68">
        <v>0.21896131706577443</v>
      </c>
      <c r="AT19" s="68">
        <v>0.21754236545681527</v>
      </c>
      <c r="AU19" s="111">
        <v>0.21668893895456073</v>
      </c>
      <c r="AV19" s="68">
        <v>0.21328461407073057</v>
      </c>
      <c r="AW19" s="116">
        <v>0.20989243419559833</v>
      </c>
      <c r="AX19" s="68">
        <v>0.2069443498652298</v>
      </c>
      <c r="AY19" s="116">
        <v>0.20457087690216122</v>
      </c>
      <c r="AZ19" s="3"/>
      <c r="BA19" s="139" t="s">
        <v>60</v>
      </c>
      <c r="BB19" s="140">
        <v>0.16520961794906971</v>
      </c>
      <c r="BC19" s="140">
        <v>0.12797551395532852</v>
      </c>
      <c r="BD19" s="272">
        <v>0.11172129005230631</v>
      </c>
    </row>
    <row r="20" spans="1:56" x14ac:dyDescent="0.25">
      <c r="A20" s="3"/>
      <c r="B20" s="230"/>
      <c r="C20" s="35" t="s">
        <v>31</v>
      </c>
      <c r="D20" s="13" t="s">
        <v>195</v>
      </c>
      <c r="E20" s="68">
        <f t="shared" si="3"/>
        <v>0.32873347328240671</v>
      </c>
      <c r="F20" s="68">
        <f t="shared" si="3"/>
        <v>0.23554305402091499</v>
      </c>
      <c r="G20" s="110">
        <f t="shared" si="3"/>
        <v>0.21820325997731974</v>
      </c>
      <c r="H20" s="68">
        <f t="shared" ref="H20:W20" si="7">H9/H$4</f>
        <v>0.21030544691005906</v>
      </c>
      <c r="I20" s="111">
        <f t="shared" si="7"/>
        <v>0.20195676835314239</v>
      </c>
      <c r="J20" s="110">
        <f t="shared" si="7"/>
        <v>0.19295412194339209</v>
      </c>
      <c r="K20" s="68">
        <f t="shared" si="7"/>
        <v>0.18424670961073092</v>
      </c>
      <c r="L20" s="68">
        <f t="shared" si="7"/>
        <v>0.17576688571726928</v>
      </c>
      <c r="M20" s="68">
        <f t="shared" si="7"/>
        <v>0.16767515125367169</v>
      </c>
      <c r="N20" s="111">
        <f t="shared" si="7"/>
        <v>0.15921740867741049</v>
      </c>
      <c r="O20" s="110">
        <f t="shared" si="7"/>
        <v>0.15072348891836834</v>
      </c>
      <c r="P20" s="68">
        <f t="shared" si="7"/>
        <v>0.14269996417217584</v>
      </c>
      <c r="Q20" s="68">
        <f t="shared" si="7"/>
        <v>0.13535793968340062</v>
      </c>
      <c r="R20" s="68">
        <f t="shared" si="7"/>
        <v>0.12874781707428662</v>
      </c>
      <c r="S20" s="111">
        <f t="shared" si="7"/>
        <v>0.12258257129655278</v>
      </c>
      <c r="T20" s="68">
        <f t="shared" si="7"/>
        <v>9.7302678073294707E-2</v>
      </c>
      <c r="U20" s="116">
        <f t="shared" si="7"/>
        <v>8.1396545466888057E-2</v>
      </c>
      <c r="V20" s="68">
        <f t="shared" si="7"/>
        <v>6.9597160280982631E-2</v>
      </c>
      <c r="W20" s="116">
        <f t="shared" si="7"/>
        <v>6.0055442294803529E-2</v>
      </c>
      <c r="X20" s="3"/>
      <c r="Y20" s="173" t="s">
        <v>92</v>
      </c>
      <c r="Z20" s="174">
        <f>SUM(Z17:Z19)</f>
        <v>0.9999999999063115</v>
      </c>
      <c r="AA20" s="174">
        <f t="shared" ref="AA20:AB20" si="8">SUM(AA17:AA19)</f>
        <v>0.99999999983475929</v>
      </c>
      <c r="AB20" s="174">
        <f t="shared" si="8"/>
        <v>1.0001969222935281</v>
      </c>
      <c r="AC20" s="3"/>
      <c r="AD20" s="230"/>
      <c r="AE20" s="35" t="s">
        <v>31</v>
      </c>
      <c r="AF20" s="13" t="s">
        <v>195</v>
      </c>
      <c r="AG20" s="68">
        <v>0.32873347328240687</v>
      </c>
      <c r="AH20" s="68">
        <v>0.26509030195404842</v>
      </c>
      <c r="AI20" s="110">
        <v>0.25245211474478813</v>
      </c>
      <c r="AJ20" s="68">
        <v>0.24923939412675924</v>
      </c>
      <c r="AK20" s="111">
        <v>0.24547232238838398</v>
      </c>
      <c r="AL20" s="110">
        <v>0.24119695582322501</v>
      </c>
      <c r="AM20" s="68">
        <v>0.23638908066322328</v>
      </c>
      <c r="AN20" s="68">
        <v>0.23153170520178237</v>
      </c>
      <c r="AO20" s="68">
        <v>0.22680205092235828</v>
      </c>
      <c r="AP20" s="111">
        <v>0.22234816495175047</v>
      </c>
      <c r="AQ20" s="110">
        <v>0.21820791100476547</v>
      </c>
      <c r="AR20" s="68">
        <v>0.21447810166990497</v>
      </c>
      <c r="AS20" s="68">
        <v>0.21139582011805283</v>
      </c>
      <c r="AT20" s="68">
        <v>0.20910573223320947</v>
      </c>
      <c r="AU20" s="111">
        <v>0.20763316170356694</v>
      </c>
      <c r="AV20" s="68">
        <v>0.20276931860366407</v>
      </c>
      <c r="AW20" s="116">
        <v>0.19804005693672738</v>
      </c>
      <c r="AX20" s="68">
        <v>0.19381052501450233</v>
      </c>
      <c r="AY20" s="116">
        <v>0.1901776532658957</v>
      </c>
      <c r="AZ20" s="3"/>
      <c r="BA20" s="173" t="s">
        <v>92</v>
      </c>
      <c r="BB20" s="174">
        <v>1.0000000000446387</v>
      </c>
      <c r="BC20" s="174">
        <v>0.99999999991116884</v>
      </c>
      <c r="BD20" s="174">
        <v>0.99999999994338451</v>
      </c>
    </row>
    <row r="21" spans="1:56" x14ac:dyDescent="0.25">
      <c r="A21" s="3"/>
      <c r="B21" s="230"/>
      <c r="C21" s="35" t="s">
        <v>32</v>
      </c>
      <c r="D21" s="13" t="s">
        <v>196</v>
      </c>
      <c r="E21" s="68">
        <f t="shared" si="3"/>
        <v>0.1722213067913749</v>
      </c>
      <c r="F21" s="68">
        <f t="shared" si="3"/>
        <v>0.11632435139493587</v>
      </c>
      <c r="G21" s="110">
        <f t="shared" si="3"/>
        <v>0.10704074110595416</v>
      </c>
      <c r="H21" s="68">
        <f t="shared" ref="H21:W21" si="9">H10/H$4</f>
        <v>0.10307342918921311</v>
      </c>
      <c r="I21" s="111">
        <f t="shared" si="9"/>
        <v>9.8955631017134962E-2</v>
      </c>
      <c r="J21" s="110">
        <f t="shared" si="9"/>
        <v>9.4611532288131642E-2</v>
      </c>
      <c r="K21" s="68">
        <f t="shared" si="9"/>
        <v>9.0442952758951284E-2</v>
      </c>
      <c r="L21" s="68">
        <f t="shared" si="9"/>
        <v>8.6418948840334145E-2</v>
      </c>
      <c r="M21" s="68">
        <f t="shared" si="9"/>
        <v>8.2617798437982115E-2</v>
      </c>
      <c r="N21" s="111">
        <f t="shared" si="9"/>
        <v>7.871954893944455E-2</v>
      </c>
      <c r="O21" s="110">
        <f t="shared" si="9"/>
        <v>7.486733322747173E-2</v>
      </c>
      <c r="P21" s="68">
        <f t="shared" si="9"/>
        <v>7.1293875413784208E-2</v>
      </c>
      <c r="Q21" s="68">
        <f t="shared" si="9"/>
        <v>6.8072074453354739E-2</v>
      </c>
      <c r="R21" s="68">
        <f t="shared" si="9"/>
        <v>6.5201307206546627E-2</v>
      </c>
      <c r="S21" s="111">
        <f t="shared" si="9"/>
        <v>6.2528236654698754E-2</v>
      </c>
      <c r="T21" s="68">
        <f t="shared" si="9"/>
        <v>5.1548597968381578E-2</v>
      </c>
      <c r="U21" s="116">
        <f t="shared" si="9"/>
        <v>4.4761502074817328E-2</v>
      </c>
      <c r="V21" s="68">
        <f t="shared" si="9"/>
        <v>3.9640854020353784E-2</v>
      </c>
      <c r="W21" s="116">
        <f t="shared" si="9"/>
        <v>3.5206363181505482E-2</v>
      </c>
      <c r="X21" s="3"/>
      <c r="AC21" s="3"/>
      <c r="AD21" s="230"/>
      <c r="AE21" s="35" t="s">
        <v>32</v>
      </c>
      <c r="AF21" s="13" t="s">
        <v>196</v>
      </c>
      <c r="AG21" s="68">
        <v>0.17222130679137462</v>
      </c>
      <c r="AH21" s="68">
        <v>0.13812098986131141</v>
      </c>
      <c r="AI21" s="110">
        <v>0.13171002420976188</v>
      </c>
      <c r="AJ21" s="68">
        <v>0.13018392379707383</v>
      </c>
      <c r="AK21" s="111">
        <v>0.12810467549323093</v>
      </c>
      <c r="AL21" s="110">
        <v>0.12551223802772041</v>
      </c>
      <c r="AM21" s="68">
        <v>0.12241652291911904</v>
      </c>
      <c r="AN21" s="68">
        <v>0.11917065474377191</v>
      </c>
      <c r="AO21" s="68">
        <v>0.11617863056389478</v>
      </c>
      <c r="AP21" s="111">
        <v>0.11360299235834463</v>
      </c>
      <c r="AQ21" s="110">
        <v>0.11143757540749792</v>
      </c>
      <c r="AR21" s="68">
        <v>0.10969240716067864</v>
      </c>
      <c r="AS21" s="68">
        <v>0.10848993312885881</v>
      </c>
      <c r="AT21" s="68">
        <v>0.10786335937918821</v>
      </c>
      <c r="AU21" s="111">
        <v>0.107591831168658</v>
      </c>
      <c r="AV21" s="68">
        <v>0.1056556785830219</v>
      </c>
      <c r="AW21" s="116">
        <v>0.10313052186167217</v>
      </c>
      <c r="AX21" s="68">
        <v>0.10053227932891177</v>
      </c>
      <c r="AY21" s="116">
        <v>9.8083298457476459E-2</v>
      </c>
      <c r="AZ21" s="3"/>
    </row>
    <row r="22" spans="1:56" x14ac:dyDescent="0.25">
      <c r="A22" s="3"/>
      <c r="B22" s="230"/>
      <c r="C22" s="56" t="s">
        <v>33</v>
      </c>
      <c r="D22" s="26" t="s">
        <v>197</v>
      </c>
      <c r="E22" s="70">
        <f t="shared" si="3"/>
        <v>7.893036728947378E-2</v>
      </c>
      <c r="F22" s="70">
        <f t="shared" si="3"/>
        <v>7.9306269655204209E-2</v>
      </c>
      <c r="G22" s="112">
        <f t="shared" si="3"/>
        <v>7.9969018933694472E-2</v>
      </c>
      <c r="H22" s="70">
        <f t="shared" ref="H22:W22" si="10">H11/H$4</f>
        <v>7.8886546638215524E-2</v>
      </c>
      <c r="I22" s="113">
        <f t="shared" si="10"/>
        <v>7.7349239360871846E-2</v>
      </c>
      <c r="J22" s="112">
        <f t="shared" si="10"/>
        <v>7.5281421886125605E-2</v>
      </c>
      <c r="K22" s="70">
        <f t="shared" si="10"/>
        <v>7.3129772293364162E-2</v>
      </c>
      <c r="L22" s="70">
        <f t="shared" si="10"/>
        <v>7.089139781244802E-2</v>
      </c>
      <c r="M22" s="70">
        <f t="shared" si="10"/>
        <v>6.8675625456367323E-2</v>
      </c>
      <c r="N22" s="113">
        <f t="shared" si="10"/>
        <v>6.6139286939018604E-2</v>
      </c>
      <c r="O22" s="112">
        <f t="shared" si="10"/>
        <v>6.3447193446541372E-2</v>
      </c>
      <c r="P22" s="70">
        <f t="shared" si="10"/>
        <v>6.0842755496412174E-2</v>
      </c>
      <c r="Q22" s="70">
        <f t="shared" si="10"/>
        <v>5.8431966823786194E-2</v>
      </c>
      <c r="R22" s="70">
        <f t="shared" si="10"/>
        <v>5.6237133908259261E-2</v>
      </c>
      <c r="S22" s="113">
        <f t="shared" si="10"/>
        <v>5.4092073548499778E-2</v>
      </c>
      <c r="T22" s="70">
        <f t="shared" si="10"/>
        <v>4.4552058094414482E-2</v>
      </c>
      <c r="U22" s="117">
        <f t="shared" si="10"/>
        <v>3.8337119723735755E-2</v>
      </c>
      <c r="V22" s="70">
        <f t="shared" si="10"/>
        <v>3.3325557257148516E-2</v>
      </c>
      <c r="W22" s="117">
        <f t="shared" si="10"/>
        <v>2.9026073848320524E-2</v>
      </c>
      <c r="X22" s="3"/>
      <c r="AC22" s="3"/>
      <c r="AD22" s="230"/>
      <c r="AE22" s="56" t="s">
        <v>33</v>
      </c>
      <c r="AF22" s="26" t="s">
        <v>197</v>
      </c>
      <c r="AG22" s="70">
        <v>7.8930367289473502E-2</v>
      </c>
      <c r="AH22" s="70">
        <v>4.7304062564924233E-2</v>
      </c>
      <c r="AI22" s="112">
        <v>4.0753895266160862E-2</v>
      </c>
      <c r="AJ22" s="70">
        <v>3.8986079216697153E-2</v>
      </c>
      <c r="AK22" s="113">
        <v>3.7104942455838792E-2</v>
      </c>
      <c r="AL22" s="112">
        <v>3.5142087975134698E-2</v>
      </c>
      <c r="AM22" s="70">
        <v>3.311260813023801E-2</v>
      </c>
      <c r="AN22" s="70">
        <v>3.1103526117049595E-2</v>
      </c>
      <c r="AO22" s="70">
        <v>2.9178922704236585E-2</v>
      </c>
      <c r="AP22" s="113">
        <v>2.7364842858566628E-2</v>
      </c>
      <c r="AQ22" s="112">
        <v>2.5664892163457183E-2</v>
      </c>
      <c r="AR22" s="70">
        <v>2.4092665748802755E-2</v>
      </c>
      <c r="AS22" s="70">
        <v>2.2688602536151806E-2</v>
      </c>
      <c r="AT22" s="70">
        <v>2.1459464120497387E-2</v>
      </c>
      <c r="AU22" s="113">
        <v>2.0383682786670507E-2</v>
      </c>
      <c r="AV22" s="70">
        <v>1.6728084601730989E-2</v>
      </c>
      <c r="AW22" s="117">
        <v>1.4932943842798909E-2</v>
      </c>
      <c r="AX22" s="70">
        <v>1.4058012176126823E-2</v>
      </c>
      <c r="AY22" s="117">
        <v>1.3637991594829849E-2</v>
      </c>
      <c r="AZ22" s="3"/>
    </row>
    <row r="23" spans="1:56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</row>
    <row r="24" spans="1:5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295">
        <v>2023</v>
      </c>
      <c r="M24" s="295">
        <v>2024</v>
      </c>
      <c r="N24" s="295">
        <v>2025</v>
      </c>
      <c r="O24" s="295">
        <v>2026</v>
      </c>
      <c r="P24" s="295">
        <v>2027</v>
      </c>
      <c r="Q24" s="295">
        <v>2028</v>
      </c>
      <c r="R24" s="295">
        <v>2029</v>
      </c>
      <c r="S24" s="296">
        <v>2030</v>
      </c>
      <c r="T24" s="295">
        <v>2035</v>
      </c>
      <c r="U24" s="295">
        <v>2040</v>
      </c>
      <c r="V24" s="295">
        <v>2045</v>
      </c>
      <c r="W24" s="295">
        <v>2050</v>
      </c>
      <c r="X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</row>
    <row r="25" spans="1:56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295">
        <v>27409.152760000001</v>
      </c>
      <c r="M25" s="295">
        <v>27534.384159999998</v>
      </c>
      <c r="N25" s="295">
        <v>27700.864130000002</v>
      </c>
      <c r="O25" s="295">
        <v>27827.24728</v>
      </c>
      <c r="P25" s="295">
        <v>27954.14676</v>
      </c>
      <c r="Q25" s="295">
        <v>28081.564560000003</v>
      </c>
      <c r="R25" s="295">
        <v>28209.502670000002</v>
      </c>
      <c r="S25" s="297">
        <v>28379.33238</v>
      </c>
      <c r="T25" s="295">
        <v>28988.170300000002</v>
      </c>
      <c r="U25" s="295">
        <v>29523.746120000003</v>
      </c>
      <c r="V25" s="295">
        <v>30025.638859999999</v>
      </c>
      <c r="W25" s="295">
        <v>30354.287279999997</v>
      </c>
      <c r="X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</row>
    <row r="26" spans="1:56" x14ac:dyDescent="0.25">
      <c r="B26" s="3"/>
      <c r="C26" s="3"/>
      <c r="D26" s="3"/>
      <c r="E26" s="3"/>
      <c r="F26" s="3"/>
      <c r="G26" s="3"/>
      <c r="H26" s="3"/>
      <c r="I26" s="3"/>
      <c r="J26" s="3"/>
      <c r="K26" s="3"/>
      <c r="L26" s="295">
        <v>4.1624116914148641E-2</v>
      </c>
      <c r="M26" s="295">
        <v>5.2596252256255291E-2</v>
      </c>
      <c r="N26" s="295">
        <v>6.5747814416647232E-2</v>
      </c>
      <c r="O26" s="295">
        <v>7.9997070734335318E-2</v>
      </c>
      <c r="P26" s="295">
        <v>9.530484041860271E-2</v>
      </c>
      <c r="Q26" s="295">
        <v>0.11128804035554064</v>
      </c>
      <c r="R26" s="295">
        <v>0.1277171678688088</v>
      </c>
      <c r="S26" s="295">
        <v>0.144310124817672</v>
      </c>
      <c r="T26" s="295">
        <v>0.23039888057370769</v>
      </c>
      <c r="U26" s="295">
        <v>0.31790028036591178</v>
      </c>
      <c r="V26" s="295">
        <v>0.40549770104042343</v>
      </c>
      <c r="W26" s="295">
        <v>0.47588868639053089</v>
      </c>
      <c r="X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</row>
    <row r="27" spans="1:56" x14ac:dyDescent="0.25">
      <c r="L27" s="298">
        <v>7.5898692499388284E-2</v>
      </c>
      <c r="M27" s="298">
        <v>8.7239713154347157E-2</v>
      </c>
      <c r="N27" s="298">
        <v>0.10006509916050045</v>
      </c>
      <c r="O27" s="298">
        <v>0.11371798001286168</v>
      </c>
      <c r="P27" s="298">
        <v>0.1274660875036488</v>
      </c>
      <c r="Q27" s="298">
        <v>0.14072834010214422</v>
      </c>
      <c r="R27" s="298">
        <v>0.15318021985532579</v>
      </c>
      <c r="S27" s="298">
        <v>0.16456568482531725</v>
      </c>
      <c r="T27" s="298">
        <v>0.20721591048469865</v>
      </c>
      <c r="U27" s="298">
        <v>0.22820456318840612</v>
      </c>
      <c r="V27" s="298">
        <v>0.23319455071871201</v>
      </c>
      <c r="W27" s="298">
        <v>0.22857891325195365</v>
      </c>
    </row>
    <row r="28" spans="1:56" x14ac:dyDescent="0.25">
      <c r="L28" s="298">
        <v>0.26241690854073663</v>
      </c>
      <c r="M28" s="298">
        <v>0.27026887864122834</v>
      </c>
      <c r="N28" s="298">
        <v>0.27839092335925619</v>
      </c>
      <c r="O28" s="298">
        <v>0.28610080486552525</v>
      </c>
      <c r="P28" s="298">
        <v>0.29266041443648771</v>
      </c>
      <c r="Q28" s="298">
        <v>0.29772521175365735</v>
      </c>
      <c r="R28" s="298">
        <v>0.30120146258501901</v>
      </c>
      <c r="S28" s="298">
        <v>0.30323983675052191</v>
      </c>
      <c r="T28" s="298">
        <v>0.29498535614715909</v>
      </c>
      <c r="U28" s="298">
        <v>0.26827909015361767</v>
      </c>
      <c r="V28" s="298">
        <v>0.23329132171544412</v>
      </c>
      <c r="W28" s="298">
        <v>0.20267551921910915</v>
      </c>
    </row>
    <row r="29" spans="1:56" x14ac:dyDescent="0.25">
      <c r="L29" s="298">
        <v>0.31103555008243167</v>
      </c>
      <c r="M29" s="298">
        <v>0.30726089883972912</v>
      </c>
      <c r="N29" s="298">
        <v>0.30173638121086294</v>
      </c>
      <c r="O29" s="298">
        <v>0.2935316151759873</v>
      </c>
      <c r="P29" s="298">
        <v>0.28335135949611795</v>
      </c>
      <c r="Q29" s="298">
        <v>0.27192376089603459</v>
      </c>
      <c r="R29" s="298">
        <v>0.25983147135716589</v>
      </c>
      <c r="S29" s="298">
        <v>0.24783389389937438</v>
      </c>
      <c r="T29" s="298">
        <v>0.18863571541112406</v>
      </c>
      <c r="U29" s="298">
        <v>0.13973920214024654</v>
      </c>
      <c r="V29" s="298">
        <v>0.10072426615471522</v>
      </c>
      <c r="W29" s="298">
        <v>7.4843140444838016E-2</v>
      </c>
    </row>
    <row r="30" spans="1:56" x14ac:dyDescent="0.25">
      <c r="L30" s="298">
        <v>0.19282409942685141</v>
      </c>
      <c r="M30" s="298">
        <v>0.18053517021170232</v>
      </c>
      <c r="N30" s="298">
        <v>0.16652767539494082</v>
      </c>
      <c r="O30" s="298">
        <v>0.15239289579490162</v>
      </c>
      <c r="P30" s="298">
        <v>0.13860999544240785</v>
      </c>
      <c r="Q30" s="298">
        <v>0.1257152202989647</v>
      </c>
      <c r="R30" s="298">
        <v>0.11391359910139104</v>
      </c>
      <c r="S30" s="298">
        <v>0.103079395238402</v>
      </c>
      <c r="T30" s="298">
        <v>6.3467552762376311E-2</v>
      </c>
      <c r="U30" s="298">
        <v>3.9545033860357556E-2</v>
      </c>
      <c r="V30" s="298">
        <v>2.4676156279460425E-2</v>
      </c>
      <c r="W30" s="298">
        <v>1.6744166140737666E-2</v>
      </c>
    </row>
    <row r="31" spans="1:56" x14ac:dyDescent="0.25">
      <c r="L31" s="298">
        <v>9.2131982375072877E-2</v>
      </c>
      <c r="M31" s="298">
        <v>8.1418386152131025E-2</v>
      </c>
      <c r="N31" s="298">
        <v>7.0011436534922269E-2</v>
      </c>
      <c r="O31" s="298">
        <v>5.9489629762617326E-2</v>
      </c>
      <c r="P31" s="298">
        <v>5.0197046650977808E-2</v>
      </c>
      <c r="Q31" s="298">
        <v>4.2209707883882945E-2</v>
      </c>
      <c r="R31" s="298">
        <v>3.5432382332034926E-2</v>
      </c>
      <c r="S31" s="298">
        <v>2.9674727658269173E-2</v>
      </c>
      <c r="T31" s="298">
        <v>1.2288807106945967E-2</v>
      </c>
      <c r="U31" s="298">
        <v>5.089130118830598E-3</v>
      </c>
      <c r="V31" s="298">
        <v>2.1033528640129659E-3</v>
      </c>
      <c r="W31" s="298">
        <v>1.0223712098306266E-3</v>
      </c>
    </row>
    <row r="32" spans="1:56" x14ac:dyDescent="0.25">
      <c r="L32" s="298">
        <v>2.4068650205151396E-2</v>
      </c>
      <c r="M32" s="298">
        <v>2.0680700846297775E-2</v>
      </c>
      <c r="N32" s="298">
        <v>1.7520670016729908E-2</v>
      </c>
      <c r="O32" s="298">
        <v>1.4770003520808185E-2</v>
      </c>
      <c r="P32" s="298">
        <v>1.2410255987366076E-2</v>
      </c>
      <c r="Q32" s="298">
        <v>1.0409718652798595E-2</v>
      </c>
      <c r="R32" s="298">
        <v>8.7236969569729744E-3</v>
      </c>
      <c r="S32" s="298">
        <v>7.2963369126303589E-3</v>
      </c>
      <c r="T32" s="298">
        <v>3.007777410842653E-3</v>
      </c>
      <c r="U32" s="298">
        <v>1.2427002258072527E-3</v>
      </c>
      <c r="V32" s="298">
        <v>5.126512452165023E-4</v>
      </c>
      <c r="W32" s="298">
        <v>2.4720344861940046E-4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0070C0"/>
    <pageSetUpPr fitToPage="1"/>
  </sheetPr>
  <dimension ref="A1:CF648"/>
  <sheetViews>
    <sheetView topLeftCell="W1" zoomScale="80" zoomScaleNormal="80" workbookViewId="0">
      <selection activeCell="AM7" sqref="AM7"/>
    </sheetView>
  </sheetViews>
  <sheetFormatPr baseColWidth="10" defaultRowHeight="15" x14ac:dyDescent="0.25"/>
  <cols>
    <col min="1" max="1" width="11.42578125" style="3"/>
    <col min="2" max="2" width="17.140625" style="3" customWidth="1"/>
    <col min="3" max="3" width="28.140625" customWidth="1"/>
    <col min="4" max="4" width="41" hidden="1" customWidth="1"/>
    <col min="5" max="8" width="20.140625" hidden="1" customWidth="1"/>
    <col min="9" max="39" width="20.140625" customWidth="1"/>
    <col min="40" max="40" width="13" style="3" customWidth="1"/>
    <col min="41" max="84" width="11.42578125" style="3"/>
  </cols>
  <sheetData>
    <row r="1" spans="1:39" s="3" customFormat="1" ht="23.25" x14ac:dyDescent="0.35">
      <c r="A1" s="228" t="s">
        <v>69</v>
      </c>
      <c r="C1" s="228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39" s="3" customFormat="1" ht="23.25" x14ac:dyDescent="0.35">
      <c r="A2" s="46"/>
      <c r="E2" s="235">
        <f>Résultats!E1</f>
        <v>4</v>
      </c>
      <c r="F2" s="235">
        <f>Résultats!N1</f>
        <v>13</v>
      </c>
      <c r="G2" s="235">
        <f>F2+3</f>
        <v>16</v>
      </c>
      <c r="H2" s="235">
        <f t="shared" ref="H2:AA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 t="shared" si="0"/>
        <v>29</v>
      </c>
      <c r="U2" s="235">
        <f t="shared" si="0"/>
        <v>30</v>
      </c>
      <c r="V2" s="235">
        <f t="shared" si="0"/>
        <v>31</v>
      </c>
      <c r="W2" s="235">
        <f t="shared" si="0"/>
        <v>32</v>
      </c>
      <c r="X2" s="235">
        <f>S2+5</f>
        <v>33</v>
      </c>
      <c r="Y2" s="235">
        <f t="shared" si="0"/>
        <v>34</v>
      </c>
      <c r="Z2" s="235">
        <f t="shared" ref="Z2" si="1">U2+5</f>
        <v>35</v>
      </c>
      <c r="AA2" s="235">
        <f t="shared" si="0"/>
        <v>36</v>
      </c>
      <c r="AB2" s="235">
        <f t="shared" ref="AB2" si="2">W2+5</f>
        <v>37</v>
      </c>
      <c r="AC2" s="235">
        <f>X2+5</f>
        <v>38</v>
      </c>
      <c r="AD2" s="235">
        <f t="shared" ref="AD2:AG2" si="3">Y2+5</f>
        <v>39</v>
      </c>
      <c r="AE2" s="235">
        <f t="shared" si="3"/>
        <v>40</v>
      </c>
      <c r="AF2" s="235">
        <f t="shared" si="3"/>
        <v>41</v>
      </c>
      <c r="AG2" s="235">
        <f t="shared" si="3"/>
        <v>42</v>
      </c>
      <c r="AH2" s="235">
        <f>AC2+5</f>
        <v>43</v>
      </c>
      <c r="AI2" s="235">
        <f t="shared" ref="AI2:AL2" si="4">AD2+5</f>
        <v>44</v>
      </c>
      <c r="AJ2" s="235">
        <f t="shared" si="4"/>
        <v>45</v>
      </c>
      <c r="AK2" s="235">
        <f t="shared" si="4"/>
        <v>46</v>
      </c>
      <c r="AL2" s="235">
        <f t="shared" si="4"/>
        <v>47</v>
      </c>
      <c r="AM2" s="236">
        <f>AH2+5</f>
        <v>48</v>
      </c>
    </row>
    <row r="3" spans="1:39" ht="23.25" x14ac:dyDescent="0.35">
      <c r="B3" s="46"/>
      <c r="D3" s="146"/>
      <c r="E3" s="92">
        <v>2006</v>
      </c>
      <c r="F3" s="92">
        <v>2015</v>
      </c>
      <c r="G3" s="92">
        <v>2018</v>
      </c>
      <c r="H3" s="92">
        <v>2019</v>
      </c>
      <c r="I3" s="92">
        <v>2020</v>
      </c>
      <c r="J3" s="20">
        <v>2021</v>
      </c>
      <c r="K3" s="4">
        <v>2022</v>
      </c>
      <c r="L3" s="4">
        <v>2023</v>
      </c>
      <c r="M3" s="4">
        <v>2024</v>
      </c>
      <c r="N3" s="92">
        <v>2025</v>
      </c>
      <c r="O3" s="20">
        <v>2026</v>
      </c>
      <c r="P3" s="4">
        <v>2027</v>
      </c>
      <c r="Q3" s="4">
        <v>2028</v>
      </c>
      <c r="R3" s="4">
        <v>2029</v>
      </c>
      <c r="S3" s="92">
        <v>2030</v>
      </c>
      <c r="T3" s="4">
        <v>2031</v>
      </c>
      <c r="U3" s="92">
        <v>2032</v>
      </c>
      <c r="V3" s="4">
        <v>2033</v>
      </c>
      <c r="W3" s="92">
        <v>2034</v>
      </c>
      <c r="X3" s="4">
        <v>2035</v>
      </c>
      <c r="Y3" s="92">
        <v>2036</v>
      </c>
      <c r="Z3" s="4">
        <v>2037</v>
      </c>
      <c r="AA3" s="92">
        <v>2038</v>
      </c>
      <c r="AB3" s="4">
        <v>2039</v>
      </c>
      <c r="AC3" s="93">
        <v>2040</v>
      </c>
      <c r="AD3" s="4">
        <v>2041</v>
      </c>
      <c r="AE3" s="93">
        <v>2042</v>
      </c>
      <c r="AF3" s="4">
        <v>2043</v>
      </c>
      <c r="AG3" s="93">
        <v>2044</v>
      </c>
      <c r="AH3" s="4">
        <v>2045</v>
      </c>
      <c r="AI3" s="93">
        <v>2046</v>
      </c>
      <c r="AJ3" s="4">
        <v>2047</v>
      </c>
      <c r="AK3" s="93">
        <v>2048</v>
      </c>
      <c r="AL3" s="4">
        <v>2049</v>
      </c>
      <c r="AM3" s="93">
        <v>2050</v>
      </c>
    </row>
    <row r="4" spans="1:39" x14ac:dyDescent="0.25">
      <c r="A4" s="152" t="str">
        <f>Résultats!B1</f>
        <v>SNBC3</v>
      </c>
      <c r="C4" s="175" t="s">
        <v>71</v>
      </c>
      <c r="D4" s="58" t="s">
        <v>130</v>
      </c>
      <c r="E4" s="59">
        <f t="shared" ref="E4:H4" si="5">E43</f>
        <v>32001.800439999999</v>
      </c>
      <c r="F4" s="59">
        <f t="shared" si="5"/>
        <v>35911.307350000003</v>
      </c>
      <c r="G4" s="59">
        <f t="shared" si="5"/>
        <v>36708.886160000002</v>
      </c>
      <c r="H4" s="59">
        <f t="shared" si="5"/>
        <v>37113.743849999999</v>
      </c>
      <c r="I4" s="59">
        <f t="shared" ref="I4:AM4" si="6">I43</f>
        <v>37179.48702</v>
      </c>
      <c r="J4" s="59">
        <f t="shared" si="6"/>
        <v>37014.663189999999</v>
      </c>
      <c r="K4" s="59">
        <f t="shared" si="6"/>
        <v>36688.159140000003</v>
      </c>
      <c r="L4" s="59">
        <f t="shared" si="6"/>
        <v>36318.789250000002</v>
      </c>
      <c r="M4" s="59">
        <f t="shared" si="6"/>
        <v>36457.487150000001</v>
      </c>
      <c r="N4" s="59">
        <f t="shared" si="6"/>
        <v>36763.716890000003</v>
      </c>
      <c r="O4" s="59">
        <f t="shared" si="6"/>
        <v>36639.481160000003</v>
      </c>
      <c r="P4" s="59">
        <f t="shared" si="6"/>
        <v>36315.633170000001</v>
      </c>
      <c r="Q4" s="59">
        <f t="shared" si="6"/>
        <v>35898.810440000001</v>
      </c>
      <c r="R4" s="59">
        <f t="shared" si="6"/>
        <v>35416.42828</v>
      </c>
      <c r="S4" s="59">
        <f t="shared" si="6"/>
        <v>34895.548940000001</v>
      </c>
      <c r="T4" s="59">
        <f t="shared" si="6"/>
        <v>34355.081859999998</v>
      </c>
      <c r="U4" s="59">
        <f t="shared" si="6"/>
        <v>33819.292099999999</v>
      </c>
      <c r="V4" s="59">
        <f t="shared" si="6"/>
        <v>33292.62343</v>
      </c>
      <c r="W4" s="59">
        <f t="shared" si="6"/>
        <v>32779.233679999998</v>
      </c>
      <c r="X4" s="59">
        <f t="shared" si="6"/>
        <v>32279.545880000001</v>
      </c>
      <c r="Y4" s="59">
        <f t="shared" si="6"/>
        <v>31835.165280000001</v>
      </c>
      <c r="Z4" s="59">
        <f t="shared" si="6"/>
        <v>31429.478179999998</v>
      </c>
      <c r="AA4" s="59">
        <f t="shared" si="6"/>
        <v>31042.617269999999</v>
      </c>
      <c r="AB4" s="59">
        <f t="shared" si="6"/>
        <v>30670.763180000002</v>
      </c>
      <c r="AC4" s="59">
        <f t="shared" si="6"/>
        <v>30304.074820000002</v>
      </c>
      <c r="AD4" s="59">
        <f t="shared" si="6"/>
        <v>29948.167249999999</v>
      </c>
      <c r="AE4" s="59">
        <f t="shared" si="6"/>
        <v>29600.77953</v>
      </c>
      <c r="AF4" s="59">
        <f t="shared" si="6"/>
        <v>29260.05156</v>
      </c>
      <c r="AG4" s="59">
        <f t="shared" si="6"/>
        <v>28923.65005</v>
      </c>
      <c r="AH4" s="59">
        <f t="shared" si="6"/>
        <v>28519.4025</v>
      </c>
      <c r="AI4" s="59">
        <f t="shared" si="6"/>
        <v>28143.878560000001</v>
      </c>
      <c r="AJ4" s="59">
        <f t="shared" si="6"/>
        <v>27785.605250000001</v>
      </c>
      <c r="AK4" s="59">
        <f t="shared" si="6"/>
        <v>27441.713029999999</v>
      </c>
      <c r="AL4" s="59">
        <f t="shared" si="6"/>
        <v>27107.77678</v>
      </c>
      <c r="AM4" s="103">
        <f t="shared" si="6"/>
        <v>26765.189910000001</v>
      </c>
    </row>
    <row r="5" spans="1:39" x14ac:dyDescent="0.25">
      <c r="C5" s="175" t="s">
        <v>72</v>
      </c>
      <c r="D5" s="58" t="s">
        <v>422</v>
      </c>
      <c r="E5" s="154"/>
      <c r="F5" s="154"/>
      <c r="G5" s="154">
        <f t="shared" ref="G5:AM5" si="7">G4/1000</f>
        <v>36.708886159999999</v>
      </c>
      <c r="H5" s="154">
        <f t="shared" si="7"/>
        <v>37.113743849999999</v>
      </c>
      <c r="I5" s="154">
        <f t="shared" si="7"/>
        <v>37.179487020000003</v>
      </c>
      <c r="J5" s="154">
        <f t="shared" si="7"/>
        <v>37.01466319</v>
      </c>
      <c r="K5" s="154">
        <f t="shared" si="7"/>
        <v>36.688159140000003</v>
      </c>
      <c r="L5" s="154">
        <f t="shared" si="7"/>
        <v>36.318789250000002</v>
      </c>
      <c r="M5" s="154">
        <f t="shared" si="7"/>
        <v>36.457487149999999</v>
      </c>
      <c r="N5" s="154">
        <f t="shared" si="7"/>
        <v>36.763716890000005</v>
      </c>
      <c r="O5" s="154">
        <f t="shared" si="7"/>
        <v>36.639481160000003</v>
      </c>
      <c r="P5" s="154">
        <f t="shared" si="7"/>
        <v>36.315633169999998</v>
      </c>
      <c r="Q5" s="154">
        <f t="shared" si="7"/>
        <v>35.898810439999998</v>
      </c>
      <c r="R5" s="154">
        <f t="shared" si="7"/>
        <v>35.416428279999998</v>
      </c>
      <c r="S5" s="154">
        <f t="shared" si="7"/>
        <v>34.895548939999998</v>
      </c>
      <c r="T5" s="154">
        <f t="shared" si="7"/>
        <v>34.355081859999999</v>
      </c>
      <c r="U5" s="154">
        <f t="shared" si="7"/>
        <v>33.819292099999998</v>
      </c>
      <c r="V5" s="154">
        <f t="shared" si="7"/>
        <v>33.292623429999999</v>
      </c>
      <c r="W5" s="154">
        <f t="shared" si="7"/>
        <v>32.779233679999997</v>
      </c>
      <c r="X5" s="154">
        <f t="shared" si="7"/>
        <v>32.279545880000001</v>
      </c>
      <c r="Y5" s="154">
        <f t="shared" si="7"/>
        <v>31.835165280000002</v>
      </c>
      <c r="Z5" s="154">
        <f t="shared" si="7"/>
        <v>31.429478179999997</v>
      </c>
      <c r="AA5" s="154">
        <f t="shared" si="7"/>
        <v>31.042617269999997</v>
      </c>
      <c r="AB5" s="154">
        <f t="shared" si="7"/>
        <v>30.670763180000002</v>
      </c>
      <c r="AC5" s="154">
        <f t="shared" si="7"/>
        <v>30.30407482</v>
      </c>
      <c r="AD5" s="154">
        <f t="shared" si="7"/>
        <v>29.948167249999997</v>
      </c>
      <c r="AE5" s="154">
        <f t="shared" si="7"/>
        <v>29.600779530000001</v>
      </c>
      <c r="AF5" s="154">
        <f t="shared" si="7"/>
        <v>29.260051560000001</v>
      </c>
      <c r="AG5" s="154">
        <f t="shared" si="7"/>
        <v>28.923650049999999</v>
      </c>
      <c r="AH5" s="154">
        <f t="shared" si="7"/>
        <v>28.519402500000002</v>
      </c>
      <c r="AI5" s="154">
        <f t="shared" si="7"/>
        <v>28.143878560000001</v>
      </c>
      <c r="AJ5" s="154">
        <f t="shared" si="7"/>
        <v>27.78560525</v>
      </c>
      <c r="AK5" s="154">
        <f t="shared" si="7"/>
        <v>27.441713029999999</v>
      </c>
      <c r="AL5" s="154">
        <f t="shared" si="7"/>
        <v>27.107776780000002</v>
      </c>
      <c r="AM5" s="176">
        <f t="shared" si="7"/>
        <v>26.76518991</v>
      </c>
    </row>
    <row r="6" spans="1:39" x14ac:dyDescent="0.25">
      <c r="C6" s="157" t="s">
        <v>73</v>
      </c>
      <c r="D6" s="3" t="s">
        <v>423</v>
      </c>
      <c r="E6" s="155"/>
      <c r="F6" s="155"/>
      <c r="G6" s="155">
        <f>G91</f>
        <v>9.7944144759090131E-3</v>
      </c>
      <c r="H6" s="155">
        <f t="shared" ref="H6:AM6" si="8">H91</f>
        <v>1.2771048167914755E-2</v>
      </c>
      <c r="I6" s="155">
        <f t="shared" si="8"/>
        <v>1.5950631566836501E-2</v>
      </c>
      <c r="J6" s="155">
        <f t="shared" si="8"/>
        <v>1.9447703727707485E-2</v>
      </c>
      <c r="K6" s="155">
        <f t="shared" si="8"/>
        <v>2.3879847935592006E-2</v>
      </c>
      <c r="L6" s="155">
        <f t="shared" si="8"/>
        <v>2.9477021704406074E-2</v>
      </c>
      <c r="M6" s="155">
        <f t="shared" si="8"/>
        <v>3.7894789959488473E-2</v>
      </c>
      <c r="N6" s="155">
        <f t="shared" si="8"/>
        <v>4.8268223322182155E-2</v>
      </c>
      <c r="O6" s="155">
        <f t="shared" si="8"/>
        <v>5.8862133325034233E-2</v>
      </c>
      <c r="P6" s="155">
        <f t="shared" si="8"/>
        <v>7.1682829893503955E-2</v>
      </c>
      <c r="Q6" s="155">
        <f t="shared" si="8"/>
        <v>8.8520607815438246E-2</v>
      </c>
      <c r="R6" s="155">
        <f t="shared" si="8"/>
        <v>0.10971938828157857</v>
      </c>
      <c r="S6" s="155">
        <f t="shared" si="8"/>
        <v>0.13521673586831959</v>
      </c>
      <c r="T6" s="155">
        <f t="shared" si="8"/>
        <v>0.16434541640763245</v>
      </c>
      <c r="U6" s="155">
        <f t="shared" si="8"/>
        <v>0.19620438492265191</v>
      </c>
      <c r="V6" s="155">
        <f t="shared" si="8"/>
        <v>0.22950507724527491</v>
      </c>
      <c r="W6" s="155">
        <f t="shared" si="8"/>
        <v>0.26321595166711659</v>
      </c>
      <c r="X6" s="155">
        <f t="shared" si="8"/>
        <v>0.2965995733208871</v>
      </c>
      <c r="Y6" s="155">
        <f t="shared" si="8"/>
        <v>0.33008772492856364</v>
      </c>
      <c r="Z6" s="155">
        <f t="shared" si="8"/>
        <v>0.36304787959416257</v>
      </c>
      <c r="AA6" s="155">
        <f t="shared" si="8"/>
        <v>0.39494040767780919</v>
      </c>
      <c r="AB6" s="155">
        <f t="shared" si="8"/>
        <v>0.42564849604110827</v>
      </c>
      <c r="AC6" s="155">
        <f t="shared" si="8"/>
        <v>0.4549937654226</v>
      </c>
      <c r="AD6" s="155">
        <f t="shared" si="8"/>
        <v>0.48296635380918013</v>
      </c>
      <c r="AE6" s="155">
        <f t="shared" si="8"/>
        <v>0.50958329407212066</v>
      </c>
      <c r="AF6" s="155">
        <f t="shared" si="8"/>
        <v>0.53487588830482569</v>
      </c>
      <c r="AG6" s="155">
        <f t="shared" si="8"/>
        <v>0.55887226550094427</v>
      </c>
      <c r="AH6" s="155">
        <f t="shared" si="8"/>
        <v>0.58244369740915858</v>
      </c>
      <c r="AI6" s="155">
        <f t="shared" si="8"/>
        <v>0.6050801606358267</v>
      </c>
      <c r="AJ6" s="155">
        <f t="shared" si="8"/>
        <v>0.62665514979199533</v>
      </c>
      <c r="AK6" s="155">
        <f t="shared" si="8"/>
        <v>0.64717790761038363</v>
      </c>
      <c r="AL6" s="155">
        <f t="shared" si="8"/>
        <v>0.66664270429336181</v>
      </c>
      <c r="AM6" s="177">
        <f t="shared" si="8"/>
        <v>0.68488406552090852</v>
      </c>
    </row>
    <row r="7" spans="1:39" x14ac:dyDescent="0.25">
      <c r="C7" s="178" t="s">
        <v>75</v>
      </c>
      <c r="D7" s="7" t="s">
        <v>424</v>
      </c>
      <c r="E7" s="179"/>
      <c r="F7" s="179"/>
      <c r="G7" s="179">
        <f>G99</f>
        <v>0.99020558541512549</v>
      </c>
      <c r="H7" s="179">
        <f t="shared" ref="H7:AM7" si="9">H99</f>
        <v>0.98722895184286297</v>
      </c>
      <c r="I7" s="179">
        <f t="shared" si="9"/>
        <v>0.98404936841433588</v>
      </c>
      <c r="J7" s="179">
        <f t="shared" si="9"/>
        <v>0.98055229636144636</v>
      </c>
      <c r="K7" s="179">
        <f t="shared" si="9"/>
        <v>0.97612015182727419</v>
      </c>
      <c r="L7" s="179">
        <f t="shared" si="9"/>
        <v>0.97052297826806</v>
      </c>
      <c r="M7" s="179">
        <f t="shared" si="9"/>
        <v>0.96210520998565296</v>
      </c>
      <c r="N7" s="179">
        <f t="shared" si="9"/>
        <v>0.95173177659621566</v>
      </c>
      <c r="O7" s="179">
        <f t="shared" si="9"/>
        <v>0.94113786681143063</v>
      </c>
      <c r="P7" s="179">
        <f t="shared" si="9"/>
        <v>0.9283171699688143</v>
      </c>
      <c r="Q7" s="179">
        <f t="shared" si="9"/>
        <v>0.91147939218456175</v>
      </c>
      <c r="R7" s="179">
        <f t="shared" si="9"/>
        <v>0.89028061160547955</v>
      </c>
      <c r="S7" s="179">
        <f t="shared" si="9"/>
        <v>0.86478326424630814</v>
      </c>
      <c r="T7" s="179">
        <f t="shared" si="9"/>
        <v>0.83565458370879864</v>
      </c>
      <c r="U7" s="179">
        <f t="shared" si="9"/>
        <v>0.80379561492950358</v>
      </c>
      <c r="V7" s="179">
        <f t="shared" si="9"/>
        <v>0.77049492251443163</v>
      </c>
      <c r="W7" s="179">
        <f t="shared" si="9"/>
        <v>0.73678404827186916</v>
      </c>
      <c r="X7" s="179">
        <f t="shared" si="9"/>
        <v>0.70340042652421597</v>
      </c>
      <c r="Y7" s="179">
        <f t="shared" si="9"/>
        <v>0.66991227507143636</v>
      </c>
      <c r="Z7" s="179">
        <f t="shared" si="9"/>
        <v>0.63695212040583737</v>
      </c>
      <c r="AA7" s="179">
        <f t="shared" si="9"/>
        <v>0.60505959232219086</v>
      </c>
      <c r="AB7" s="179">
        <f t="shared" si="9"/>
        <v>0.57435150395889167</v>
      </c>
      <c r="AC7" s="179">
        <f t="shared" si="9"/>
        <v>0.54500623457739994</v>
      </c>
      <c r="AD7" s="179">
        <f t="shared" si="9"/>
        <v>0.5170336458569097</v>
      </c>
      <c r="AE7" s="179">
        <f t="shared" si="9"/>
        <v>0.49041670592787934</v>
      </c>
      <c r="AF7" s="179">
        <f t="shared" si="9"/>
        <v>0.46512411169517437</v>
      </c>
      <c r="AG7" s="179">
        <f t="shared" si="9"/>
        <v>0.44112773449905568</v>
      </c>
      <c r="AH7" s="179">
        <f t="shared" si="9"/>
        <v>0.41755630259084148</v>
      </c>
      <c r="AI7" s="179">
        <f t="shared" si="9"/>
        <v>0.39491983936417324</v>
      </c>
      <c r="AJ7" s="179">
        <f t="shared" si="9"/>
        <v>0.37334485056790329</v>
      </c>
      <c r="AK7" s="179">
        <f t="shared" si="9"/>
        <v>0.35282209249893903</v>
      </c>
      <c r="AL7" s="179">
        <f t="shared" si="9"/>
        <v>0.3333572958173075</v>
      </c>
      <c r="AM7" s="180">
        <f t="shared" si="9"/>
        <v>0.31511593429228163</v>
      </c>
    </row>
    <row r="8" spans="1:39" s="3" customFormat="1" x14ac:dyDescent="0.25">
      <c r="C8" s="153" t="s">
        <v>70</v>
      </c>
      <c r="E8" s="231"/>
      <c r="F8" s="231"/>
      <c r="G8" s="231">
        <f>SUM(G6:G7)</f>
        <v>0.9999999998910345</v>
      </c>
      <c r="H8" s="231">
        <f t="shared" ref="H8:AM8" si="10">SUM(H6:H7)</f>
        <v>1.0000000000107778</v>
      </c>
      <c r="I8" s="231">
        <f t="shared" si="10"/>
        <v>0.99999999998117239</v>
      </c>
      <c r="J8" s="231">
        <f t="shared" si="10"/>
        <v>1.0000000000891538</v>
      </c>
      <c r="K8" s="231">
        <f t="shared" si="10"/>
        <v>0.99999999976286624</v>
      </c>
      <c r="L8" s="231">
        <f t="shared" si="10"/>
        <v>0.99999999997246602</v>
      </c>
      <c r="M8" s="231">
        <f t="shared" si="10"/>
        <v>0.99999999994514144</v>
      </c>
      <c r="N8" s="231">
        <f t="shared" si="10"/>
        <v>0.99999999991839783</v>
      </c>
      <c r="O8" s="231">
        <f t="shared" si="10"/>
        <v>1.0000000001364648</v>
      </c>
      <c r="P8" s="231">
        <f t="shared" si="10"/>
        <v>0.99999999986231825</v>
      </c>
      <c r="Q8" s="231">
        <f t="shared" si="10"/>
        <v>1</v>
      </c>
      <c r="R8" s="231">
        <f t="shared" si="10"/>
        <v>0.99999999988705812</v>
      </c>
      <c r="S8" s="231">
        <f t="shared" si="10"/>
        <v>1.0000000001146276</v>
      </c>
      <c r="T8" s="231">
        <f t="shared" si="10"/>
        <v>1.0000000001164311</v>
      </c>
      <c r="U8" s="231">
        <f t="shared" si="10"/>
        <v>0.99999999985215549</v>
      </c>
      <c r="V8" s="231">
        <f t="shared" si="10"/>
        <v>0.99999999975970655</v>
      </c>
      <c r="W8" s="231">
        <f t="shared" si="10"/>
        <v>0.9999999999389857</v>
      </c>
      <c r="X8" s="231">
        <f t="shared" si="10"/>
        <v>0.99999999984510302</v>
      </c>
      <c r="Y8" s="231">
        <f t="shared" si="10"/>
        <v>1</v>
      </c>
      <c r="Z8" s="231">
        <f t="shared" si="10"/>
        <v>1</v>
      </c>
      <c r="AA8" s="231">
        <f t="shared" si="10"/>
        <v>1</v>
      </c>
      <c r="AB8" s="231">
        <f t="shared" si="10"/>
        <v>1</v>
      </c>
      <c r="AC8" s="231">
        <f t="shared" si="10"/>
        <v>1</v>
      </c>
      <c r="AD8" s="231">
        <f t="shared" si="10"/>
        <v>0.99999999966608977</v>
      </c>
      <c r="AE8" s="231">
        <f t="shared" si="10"/>
        <v>1</v>
      </c>
      <c r="AF8" s="231">
        <f t="shared" si="10"/>
        <v>1</v>
      </c>
      <c r="AG8" s="231">
        <f t="shared" si="10"/>
        <v>1</v>
      </c>
      <c r="AH8" s="231">
        <f t="shared" si="10"/>
        <v>1</v>
      </c>
      <c r="AI8" s="231">
        <f t="shared" si="10"/>
        <v>1</v>
      </c>
      <c r="AJ8" s="231">
        <f t="shared" si="10"/>
        <v>1.0000000003598986</v>
      </c>
      <c r="AK8" s="231">
        <f t="shared" si="10"/>
        <v>1.0000000001093228</v>
      </c>
      <c r="AL8" s="231">
        <f t="shared" si="10"/>
        <v>1.0000000001106693</v>
      </c>
      <c r="AM8" s="231">
        <f t="shared" si="10"/>
        <v>0.9999999998131901</v>
      </c>
    </row>
    <row r="9" spans="1:39" s="3" customFormat="1" x14ac:dyDescent="0.25"/>
    <row r="10" spans="1:39" s="3" customFormat="1" x14ac:dyDescent="0.25"/>
    <row r="11" spans="1:39" s="3" customFormat="1" x14ac:dyDescent="0.25"/>
    <row r="12" spans="1:39" x14ac:dyDescent="0.25">
      <c r="C12" s="156"/>
      <c r="E12" s="20"/>
      <c r="F12" s="20"/>
      <c r="G12" s="20"/>
      <c r="H12" s="20"/>
      <c r="I12" s="20">
        <v>2020</v>
      </c>
      <c r="J12" s="93">
        <v>2030</v>
      </c>
      <c r="K12" s="93">
        <v>2050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C13" s="157" t="s">
        <v>73</v>
      </c>
      <c r="D13" s="3"/>
      <c r="E13" s="181"/>
      <c r="F13" s="181"/>
      <c r="G13" s="181"/>
      <c r="H13" s="181"/>
      <c r="I13" s="181">
        <f>I91</f>
        <v>1.5950631566836501E-2</v>
      </c>
      <c r="J13" s="182">
        <f>S91</f>
        <v>0.13521673586831959</v>
      </c>
      <c r="K13" s="182">
        <f>AM91</f>
        <v>0.68488406552090852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C14" s="158" t="s">
        <v>59</v>
      </c>
      <c r="D14" s="3"/>
      <c r="E14" s="183"/>
      <c r="F14" s="183"/>
      <c r="G14" s="183"/>
      <c r="H14" s="183"/>
      <c r="I14" s="183">
        <f>I91</f>
        <v>1.5950631566836501E-2</v>
      </c>
      <c r="J14" s="183">
        <f>S91</f>
        <v>0.13521673586831959</v>
      </c>
      <c r="K14" s="183">
        <f>AM91</f>
        <v>0.68488406552090852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C15" s="157" t="s">
        <v>74</v>
      </c>
      <c r="D15" s="3"/>
      <c r="E15" s="181"/>
      <c r="F15" s="181"/>
      <c r="G15" s="181"/>
      <c r="H15" s="181"/>
      <c r="I15" s="181">
        <f>I99</f>
        <v>0.98404936841433588</v>
      </c>
      <c r="J15" s="181">
        <f>S99</f>
        <v>0.86478326424630814</v>
      </c>
      <c r="K15" s="182">
        <f>AM99</f>
        <v>0.31511593429228163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C16" s="158" t="s">
        <v>56</v>
      </c>
      <c r="D16" s="3"/>
      <c r="E16" s="184"/>
      <c r="F16" s="184"/>
      <c r="G16" s="184"/>
      <c r="H16" s="184"/>
      <c r="I16" s="184">
        <f>I100+I101</f>
        <v>0.1403431373701616</v>
      </c>
      <c r="J16" s="184">
        <f>S100+S101</f>
        <v>0.16068665261409698</v>
      </c>
      <c r="K16" s="184">
        <f>AM100+AM101</f>
        <v>5.969755639592994E-2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C17" s="159" t="s">
        <v>57</v>
      </c>
      <c r="D17" s="3"/>
      <c r="E17" s="183"/>
      <c r="F17" s="183"/>
      <c r="G17" s="183"/>
      <c r="H17" s="183"/>
      <c r="I17" s="183">
        <f>I102+I103+I104</f>
        <v>0.71962549646280727</v>
      </c>
      <c r="J17" s="183">
        <f>S102+S103+S104</f>
        <v>0.62688159597697968</v>
      </c>
      <c r="K17" s="183">
        <f>AM102+AM103+AM104</f>
        <v>0.22804243158833615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C18" s="159" t="s">
        <v>58</v>
      </c>
      <c r="D18" s="3"/>
      <c r="E18" s="183"/>
      <c r="F18" s="183"/>
      <c r="G18" s="183"/>
      <c r="H18" s="183"/>
      <c r="I18" s="183">
        <f>I105+I106</f>
        <v>0.12408073482881528</v>
      </c>
      <c r="J18" s="183">
        <f>S105+S106</f>
        <v>7.721501562084325E-2</v>
      </c>
      <c r="K18" s="183">
        <f>AM105+AM106</f>
        <v>2.7375946296806977E-2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C19" s="160" t="s">
        <v>70</v>
      </c>
      <c r="E19" s="185"/>
      <c r="F19" s="185"/>
      <c r="G19" s="185"/>
      <c r="H19" s="185"/>
      <c r="I19" s="185">
        <f>SUM(I16:I18)</f>
        <v>0.98404936866178416</v>
      </c>
      <c r="J19" s="185">
        <f>SUM(J16:J18)</f>
        <v>0.86478326421191987</v>
      </c>
      <c r="K19" s="185">
        <f>SUM(K16:K18)</f>
        <v>0.31511593428107304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s="3" customFormat="1" x14ac:dyDescent="0.25"/>
    <row r="21" spans="1:39" s="3" customFormat="1" x14ac:dyDescent="0.25"/>
    <row r="22" spans="1:39" s="3" customFormat="1" x14ac:dyDescent="0.25"/>
    <row r="23" spans="1:39" s="3" customFormat="1" ht="23.25" x14ac:dyDescent="0.35">
      <c r="B23" s="46"/>
      <c r="C23" s="41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</row>
    <row r="24" spans="1:39" s="3" customFormat="1" ht="23.25" x14ac:dyDescent="0.35">
      <c r="A24" s="228" t="s">
        <v>76</v>
      </c>
      <c r="C24" s="228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</row>
    <row r="25" spans="1:39" x14ac:dyDescent="0.25">
      <c r="C25" s="11"/>
      <c r="D25" s="11"/>
      <c r="E25" s="93">
        <v>2006</v>
      </c>
      <c r="F25" s="93">
        <v>2015</v>
      </c>
      <c r="G25" s="93">
        <v>2018</v>
      </c>
      <c r="H25" s="93">
        <v>2019</v>
      </c>
      <c r="I25" s="93">
        <v>2020</v>
      </c>
      <c r="J25" s="20">
        <v>2021</v>
      </c>
      <c r="K25" s="4">
        <v>2022</v>
      </c>
      <c r="L25" s="4">
        <v>2023</v>
      </c>
      <c r="M25" s="4">
        <v>2024</v>
      </c>
      <c r="N25" s="92">
        <v>2025</v>
      </c>
      <c r="O25" s="20">
        <v>2026</v>
      </c>
      <c r="P25" s="4">
        <v>2027</v>
      </c>
      <c r="Q25" s="4">
        <v>2028</v>
      </c>
      <c r="R25" s="4">
        <v>2029</v>
      </c>
      <c r="S25" s="92">
        <v>2030</v>
      </c>
      <c r="T25" s="4">
        <v>2031</v>
      </c>
      <c r="U25" s="92">
        <v>2032</v>
      </c>
      <c r="V25" s="4">
        <v>2033</v>
      </c>
      <c r="W25" s="92">
        <v>2034</v>
      </c>
      <c r="X25" s="4">
        <v>2035</v>
      </c>
      <c r="Y25" s="92">
        <v>2036</v>
      </c>
      <c r="Z25" s="4">
        <v>2037</v>
      </c>
      <c r="AA25" s="92">
        <v>2038</v>
      </c>
      <c r="AB25" s="4">
        <v>2039</v>
      </c>
      <c r="AC25" s="93">
        <v>2040</v>
      </c>
      <c r="AD25" s="4">
        <v>2041</v>
      </c>
      <c r="AE25" s="93">
        <v>2042</v>
      </c>
      <c r="AF25" s="4">
        <v>2043</v>
      </c>
      <c r="AG25" s="93">
        <v>2044</v>
      </c>
      <c r="AH25" s="4">
        <v>2045</v>
      </c>
      <c r="AI25" s="93">
        <v>2046</v>
      </c>
      <c r="AJ25" s="4">
        <v>2047</v>
      </c>
      <c r="AK25" s="93">
        <v>2048</v>
      </c>
      <c r="AL25" s="4">
        <v>2049</v>
      </c>
      <c r="AM25" s="93">
        <v>2050</v>
      </c>
    </row>
    <row r="26" spans="1:39" x14ac:dyDescent="0.25">
      <c r="A26" s="152" t="str">
        <f>Résultats!B1</f>
        <v>SNBC3</v>
      </c>
      <c r="B26" s="60" t="s">
        <v>77</v>
      </c>
      <c r="C26" s="216" t="s">
        <v>51</v>
      </c>
      <c r="D26" s="50" t="s">
        <v>149</v>
      </c>
      <c r="E26" s="99">
        <f>VLOOKUP($D26,Résultats!$B$2:$AZ$251,E$2,FALSE)</f>
        <v>2373</v>
      </c>
      <c r="F26" s="99">
        <f>VLOOKUP($D26,Résultats!$B$2:$AZ$251,F$2,FALSE)</f>
        <v>1940.3869999999999</v>
      </c>
      <c r="G26" s="99">
        <f>VLOOKUP($D26,Résultats!$B$2:$AZ$251,G$2,FALSE)</f>
        <v>2203.7420000000002</v>
      </c>
      <c r="H26" s="99">
        <f>VLOOKUP($D26,Résultats!$B$2:$AZ$251,H$2,FALSE)</f>
        <v>2240.3020000000001</v>
      </c>
      <c r="I26" s="99">
        <f>VLOOKUP($D26,Résultats!$B$2:$AZ$251,I$2,FALSE)</f>
        <v>1921.430366</v>
      </c>
      <c r="J26" s="51">
        <f>VLOOKUP($D26,Résultats!$B$2:$AZ$251,J$2,FALSE)</f>
        <v>1694.150517</v>
      </c>
      <c r="K26" s="51">
        <f>VLOOKUP($D26,Résultats!$B$2:$AZ$251,K$2,FALSE)</f>
        <v>1729.8661139999999</v>
      </c>
      <c r="L26" s="51">
        <f>VLOOKUP($D26,Résultats!$B$2:$AZ$251,L$2,FALSE)</f>
        <v>1788.7571230000001</v>
      </c>
      <c r="M26" s="51">
        <f>VLOOKUP($D26,Résultats!$B$2:$AZ$251,M$2,FALSE)</f>
        <v>2275.0972959999999</v>
      </c>
      <c r="N26" s="51">
        <f>VLOOKUP($D26,Résultats!$B$2:$AZ$251,N$2,FALSE)</f>
        <v>2450.7878019999998</v>
      </c>
      <c r="O26" s="51">
        <f>VLOOKUP($D26,Résultats!$B$2:$AZ$251,O$2,FALSE)</f>
        <v>2046.8499179999999</v>
      </c>
      <c r="P26" s="51">
        <f>VLOOKUP($D26,Résultats!$B$2:$AZ$251,P$2,FALSE)</f>
        <v>1848.453262</v>
      </c>
      <c r="Q26" s="51">
        <f>VLOOKUP($D26,Résultats!$B$2:$AZ$251,Q$2,FALSE)</f>
        <v>1744.822107</v>
      </c>
      <c r="R26" s="51">
        <f>VLOOKUP($D26,Résultats!$B$2:$AZ$251,R$2,FALSE)</f>
        <v>1662.96507</v>
      </c>
      <c r="S26" s="51">
        <f>VLOOKUP($D26,Résultats!$B$2:$AZ$251,S$2,FALSE)</f>
        <v>1604.1063630000001</v>
      </c>
      <c r="T26" s="51">
        <f>VLOOKUP($D26,Résultats!$B$2:$AZ$251,T$2,FALSE)</f>
        <v>1561.674424</v>
      </c>
      <c r="U26" s="51">
        <f>VLOOKUP($D26,Résultats!$B$2:$AZ$251,U$2,FALSE)</f>
        <v>1542.138571</v>
      </c>
      <c r="V26" s="51">
        <f>VLOOKUP($D26,Résultats!$B$2:$AZ$251,V$2,FALSE)</f>
        <v>1527.134493</v>
      </c>
      <c r="W26" s="51">
        <f>VLOOKUP($D26,Résultats!$B$2:$AZ$251,W$2,FALSE)</f>
        <v>1516.648269</v>
      </c>
      <c r="X26" s="51">
        <f>VLOOKUP($D26,Résultats!$B$2:$AZ$251,X$2,FALSE)</f>
        <v>1507.2040509999999</v>
      </c>
      <c r="Y26" s="51">
        <f>VLOOKUP($D26,Résultats!$B$2:$AZ$251,Y$2,FALSE)</f>
        <v>1540.0177160000001</v>
      </c>
      <c r="Z26" s="51">
        <f>VLOOKUP($D26,Résultats!$B$2:$AZ$251,Z$2,FALSE)</f>
        <v>1559.446557</v>
      </c>
      <c r="AA26" s="51">
        <f>VLOOKUP($D26,Résultats!$B$2:$AZ$251,AA$2,FALSE)</f>
        <v>1561.247247</v>
      </c>
      <c r="AB26" s="51">
        <f>VLOOKUP($D26,Résultats!$B$2:$AZ$251,AB$2,FALSE)</f>
        <v>1560.25902</v>
      </c>
      <c r="AC26" s="51">
        <f>VLOOKUP($D26,Résultats!$B$2:$AZ$251,AC$2,FALSE)</f>
        <v>1550.234338</v>
      </c>
      <c r="AD26" s="51">
        <f>VLOOKUP($D26,Résultats!$B$2:$AZ$251,AD$2,FALSE)</f>
        <v>1538.097098</v>
      </c>
      <c r="AE26" s="51">
        <f>VLOOKUP($D26,Résultats!$B$2:$AZ$251,AE$2,FALSE)</f>
        <v>1524.3727389999999</v>
      </c>
      <c r="AF26" s="51">
        <f>VLOOKUP($D26,Résultats!$B$2:$AZ$251,AF$2,FALSE)</f>
        <v>1509.320747</v>
      </c>
      <c r="AG26" s="51">
        <f>VLOOKUP($D26,Résultats!$B$2:$AZ$251,AG$2,FALSE)</f>
        <v>1492.351719</v>
      </c>
      <c r="AH26" s="51">
        <f>VLOOKUP($D26,Résultats!$B$2:$AZ$251,AH$2,FALSE)</f>
        <v>1523.9957830000001</v>
      </c>
      <c r="AI26" s="51">
        <f>VLOOKUP($D26,Résultats!$B$2:$AZ$251,AI$2,FALSE)</f>
        <v>1525.769562</v>
      </c>
      <c r="AJ26" s="51">
        <f>VLOOKUP($D26,Résultats!$B$2:$AZ$251,AJ$2,FALSE)</f>
        <v>1517.985259</v>
      </c>
      <c r="AK26" s="51">
        <f>VLOOKUP($D26,Résultats!$B$2:$AZ$251,AK$2,FALSE)</f>
        <v>1508.481462</v>
      </c>
      <c r="AL26" s="51">
        <f>VLOOKUP($D26,Résultats!$B$2:$AZ$251,AL$2,FALSE)</f>
        <v>1495.5112859999999</v>
      </c>
      <c r="AM26" s="100">
        <f>VLOOKUP($D26,Résultats!$B$2:$AZ$251,AM$2,FALSE)</f>
        <v>1464.598246</v>
      </c>
    </row>
    <row r="27" spans="1:39" x14ac:dyDescent="0.25">
      <c r="C27" s="217" t="s">
        <v>462</v>
      </c>
      <c r="D27" s="52" t="s">
        <v>158</v>
      </c>
      <c r="E27" s="53">
        <f>VLOOKUP($D27,Résultats!$B$2:$AZ$251,E$2,FALSE)</f>
        <v>2.1781676650000001</v>
      </c>
      <c r="F27" s="53">
        <f>VLOOKUP($D27,Résultats!$B$2:$AZ$251,F$2,FALSE)</f>
        <v>42.371364139999997</v>
      </c>
      <c r="G27" s="53">
        <f>VLOOKUP($D27,Résultats!$B$2:$AZ$251,G$2,FALSE)</f>
        <v>102.623694</v>
      </c>
      <c r="H27" s="53">
        <f>VLOOKUP($D27,Résultats!$B$2:$AZ$251,H$2,FALSE)</f>
        <v>132.4164667</v>
      </c>
      <c r="I27" s="53">
        <f>VLOOKUP($D27,Résultats!$B$2:$AZ$251,I$2,FALSE)</f>
        <v>142.75395940000001</v>
      </c>
      <c r="J27" s="53">
        <f>VLOOKUP($D27,Résultats!$B$2:$AZ$251,J$2,FALSE)</f>
        <v>156.46571890000001</v>
      </c>
      <c r="K27" s="53">
        <f>VLOOKUP($D27,Résultats!$B$2:$AZ$251,K$2,FALSE)</f>
        <v>196.24913520000001</v>
      </c>
      <c r="L27" s="53">
        <f>VLOOKUP($D27,Résultats!$B$2:$AZ$251,L$2,FALSE)</f>
        <v>245.99782279999999</v>
      </c>
      <c r="M27" s="53">
        <f>VLOOKUP($D27,Résultats!$B$2:$AZ$251,M$2,FALSE)</f>
        <v>373.95376809999999</v>
      </c>
      <c r="N27" s="53">
        <f>VLOOKUP($D27,Résultats!$B$2:$AZ$251,N$2,FALSE)</f>
        <v>474.23805700000003</v>
      </c>
      <c r="O27" s="53">
        <f>VLOOKUP($D27,Résultats!$B$2:$AZ$251,O$2,FALSE)</f>
        <v>486.95317419999998</v>
      </c>
      <c r="P27" s="53">
        <f>VLOOKUP($D27,Résultats!$B$2:$AZ$251,P$2,FALSE)</f>
        <v>574.39561639999999</v>
      </c>
      <c r="Q27" s="53">
        <f>VLOOKUP($D27,Résultats!$B$2:$AZ$251,Q$2,FALSE)</f>
        <v>729.52998339999999</v>
      </c>
      <c r="R27" s="53">
        <f>VLOOKUP($D27,Résultats!$B$2:$AZ$251,R$2,FALSE)</f>
        <v>897.9917676</v>
      </c>
      <c r="S27" s="53">
        <f>VLOOKUP($D27,Résultats!$B$2:$AZ$251,S$2,FALSE)</f>
        <v>1065.7455090000001</v>
      </c>
      <c r="T27" s="53">
        <f>VLOOKUP($D27,Résultats!$B$2:$AZ$251,T$2,FALSE)</f>
        <v>1211.8827220000001</v>
      </c>
      <c r="U27" s="53">
        <f>VLOOKUP($D27,Résultats!$B$2:$AZ$251,U$2,FALSE)</f>
        <v>1330.8911680000001</v>
      </c>
      <c r="V27" s="53">
        <f>VLOOKUP($D27,Résultats!$B$2:$AZ$251,V$2,FALSE)</f>
        <v>1408.297894</v>
      </c>
      <c r="W27" s="53">
        <f>VLOOKUP($D27,Résultats!$B$2:$AZ$251,W$2,FALSE)</f>
        <v>1453.0951070000001</v>
      </c>
      <c r="X27" s="53">
        <f>VLOOKUP($D27,Résultats!$B$2:$AZ$251,X$2,FALSE)</f>
        <v>1474.3282979999999</v>
      </c>
      <c r="Y27" s="53">
        <f>VLOOKUP($D27,Résultats!$B$2:$AZ$251,Y$2,FALSE)</f>
        <v>1522.8694350000001</v>
      </c>
      <c r="Z27" s="53">
        <f>VLOOKUP($D27,Résultats!$B$2:$AZ$251,Z$2,FALSE)</f>
        <v>1550.6746270000001</v>
      </c>
      <c r="AA27" s="53">
        <f>VLOOKUP($D27,Résultats!$B$2:$AZ$251,AA$2,FALSE)</f>
        <v>1556.835049</v>
      </c>
      <c r="AB27" s="53">
        <f>VLOOKUP($D27,Résultats!$B$2:$AZ$251,AB$2,FALSE)</f>
        <v>1558.049841</v>
      </c>
      <c r="AC27" s="53">
        <f>VLOOKUP($D27,Résultats!$B$2:$AZ$251,AC$2,FALSE)</f>
        <v>1549.136154</v>
      </c>
      <c r="AD27" s="53">
        <f>VLOOKUP($D27,Résultats!$B$2:$AZ$251,AD$2,FALSE)</f>
        <v>1537.552351</v>
      </c>
      <c r="AE27" s="53">
        <f>VLOOKUP($D27,Résultats!$B$2:$AZ$251,AE$2,FALSE)</f>
        <v>1524.1029149999999</v>
      </c>
      <c r="AF27" s="53">
        <f>VLOOKUP($D27,Résultats!$B$2:$AZ$251,AF$2,FALSE)</f>
        <v>1509.1872519999999</v>
      </c>
      <c r="AG27" s="53">
        <f>VLOOKUP($D27,Résultats!$B$2:$AZ$251,AG$2,FALSE)</f>
        <v>1492.2857690000001</v>
      </c>
      <c r="AH27" s="53">
        <f>VLOOKUP($D27,Résultats!$B$2:$AZ$251,AH$2,FALSE)</f>
        <v>1523.962133</v>
      </c>
      <c r="AI27" s="53">
        <f>VLOOKUP($D27,Résultats!$B$2:$AZ$251,AI$2,FALSE)</f>
        <v>1525.752731</v>
      </c>
      <c r="AJ27" s="53">
        <f>VLOOKUP($D27,Résultats!$B$2:$AZ$251,AJ$2,FALSE)</f>
        <v>1517.976893</v>
      </c>
      <c r="AK27" s="53">
        <f>VLOOKUP($D27,Résultats!$B$2:$AZ$251,AK$2,FALSE)</f>
        <v>1508.477308</v>
      </c>
      <c r="AL27" s="53">
        <f>VLOOKUP($D27,Résultats!$B$2:$AZ$251,AL$2,FALSE)</f>
        <v>1495.509229</v>
      </c>
      <c r="AM27" s="213">
        <f>VLOOKUP($D27,Résultats!$B$2:$AZ$251,AM$2,FALSE)</f>
        <v>1464.5972389999999</v>
      </c>
    </row>
    <row r="28" spans="1:39" x14ac:dyDescent="0.25">
      <c r="C28" s="218" t="s">
        <v>27</v>
      </c>
      <c r="D28" s="54" t="s">
        <v>159</v>
      </c>
      <c r="E28" s="25">
        <f>VLOOKUP($D28,Résultats!$B$2:$AZ$251,E$2,FALSE)</f>
        <v>6.4870972799999996E-3</v>
      </c>
      <c r="F28" s="25">
        <f>VLOOKUP($D28,Résultats!$B$2:$AZ$251,F$2,FALSE)</f>
        <v>0.4662341746</v>
      </c>
      <c r="G28" s="25">
        <f>VLOOKUP($D28,Résultats!$B$2:$AZ$251,G$2,FALSE)</f>
        <v>0.62864350560000004</v>
      </c>
      <c r="H28" s="25">
        <f>VLOOKUP($D28,Résultats!$B$2:$AZ$251,H$2,FALSE)</f>
        <v>1.0656100019999999</v>
      </c>
      <c r="I28" s="25">
        <f>VLOOKUP($D28,Résultats!$B$2:$AZ$251,I$2,FALSE)</f>
        <v>1.5583526350000001</v>
      </c>
      <c r="J28" s="25">
        <f>VLOOKUP($D28,Résultats!$B$2:$AZ$251,J$2,FALSE)</f>
        <v>2.140185942</v>
      </c>
      <c r="K28" s="25">
        <f>VLOOKUP($D28,Résultats!$B$2:$AZ$251,K$2,FALSE)</f>
        <v>4.8221626850000003</v>
      </c>
      <c r="L28" s="25">
        <f>VLOOKUP($D28,Résultats!$B$2:$AZ$251,L$2,FALSE)</f>
        <v>7.7474756539999996</v>
      </c>
      <c r="M28" s="25">
        <f>VLOOKUP($D28,Résultats!$B$2:$AZ$251,M$2,FALSE)</f>
        <v>11.99637482</v>
      </c>
      <c r="N28" s="25">
        <f>VLOOKUP($D28,Résultats!$B$2:$AZ$251,N$2,FALSE)</f>
        <v>16.160145709999998</v>
      </c>
      <c r="O28" s="25">
        <f>VLOOKUP($D28,Résultats!$B$2:$AZ$251,O$2,FALSE)</f>
        <v>18.443371450000001</v>
      </c>
      <c r="P28" s="25">
        <f>VLOOKUP($D28,Résultats!$B$2:$AZ$251,P$2,FALSE)</f>
        <v>23.373719300000001</v>
      </c>
      <c r="Q28" s="25">
        <f>VLOOKUP($D28,Résultats!$B$2:$AZ$251,Q$2,FALSE)</f>
        <v>31.277938410000001</v>
      </c>
      <c r="R28" s="25">
        <f>VLOOKUP($D28,Résultats!$B$2:$AZ$251,R$2,FALSE)</f>
        <v>40.427914629999997</v>
      </c>
      <c r="S28" s="25">
        <f>VLOOKUP($D28,Résultats!$B$2:$AZ$251,S$2,FALSE)</f>
        <v>50.345535099999999</v>
      </c>
      <c r="T28" s="25">
        <f>VLOOKUP($D28,Résultats!$B$2:$AZ$251,T$2,FALSE)</f>
        <v>60.152743180000002</v>
      </c>
      <c r="U28" s="25">
        <f>VLOOKUP($D28,Résultats!$B$2:$AZ$251,U$2,FALSE)</f>
        <v>69.327608769999998</v>
      </c>
      <c r="V28" s="25">
        <f>VLOOKUP($D28,Résultats!$B$2:$AZ$251,V$2,FALSE)</f>
        <v>77.093485540000003</v>
      </c>
      <c r="W28" s="25">
        <f>VLOOKUP($D28,Résultats!$B$2:$AZ$251,W$2,FALSE)</f>
        <v>83.575358969999996</v>
      </c>
      <c r="X28" s="25">
        <f>VLOOKUP($D28,Résultats!$B$2:$AZ$251,X$2,FALSE)</f>
        <v>89.028613000000007</v>
      </c>
      <c r="Y28" s="25">
        <f>VLOOKUP($D28,Résultats!$B$2:$AZ$251,Y$2,FALSE)</f>
        <v>96.113315740000004</v>
      </c>
      <c r="Z28" s="25">
        <f>VLOOKUP($D28,Résultats!$B$2:$AZ$251,Z$2,FALSE)</f>
        <v>102.36108</v>
      </c>
      <c r="AA28" s="25">
        <f>VLOOKUP($D28,Résultats!$B$2:$AZ$251,AA$2,FALSE)</f>
        <v>107.5886531</v>
      </c>
      <c r="AB28" s="25">
        <f>VLOOKUP($D28,Résultats!$B$2:$AZ$251,AB$2,FALSE)</f>
        <v>112.5436758</v>
      </c>
      <c r="AC28" s="25">
        <f>VLOOKUP($D28,Résultats!$B$2:$AZ$251,AC$2,FALSE)</f>
        <v>116.9044282</v>
      </c>
      <c r="AD28" s="25">
        <f>VLOOKUP($D28,Résultats!$B$2:$AZ$251,AD$2,FALSE)</f>
        <v>120.3190419</v>
      </c>
      <c r="AE28" s="25">
        <f>VLOOKUP($D28,Résultats!$B$2:$AZ$251,AE$2,FALSE)</f>
        <v>123.5212732</v>
      </c>
      <c r="AF28" s="25">
        <f>VLOOKUP($D28,Résultats!$B$2:$AZ$251,AF$2,FALSE)</f>
        <v>126.601975</v>
      </c>
      <c r="AG28" s="25">
        <f>VLOOKUP($D28,Résultats!$B$2:$AZ$251,AG$2,FALSE)</f>
        <v>129.45617659999999</v>
      </c>
      <c r="AH28" s="25">
        <f>VLOOKUP($D28,Résultats!$B$2:$AZ$251,AH$2,FALSE)</f>
        <v>148.8578727</v>
      </c>
      <c r="AI28" s="25">
        <f>VLOOKUP($D28,Résultats!$B$2:$AZ$251,AI$2,FALSE)</f>
        <v>153.53299250000001</v>
      </c>
      <c r="AJ28" s="25">
        <f>VLOOKUP($D28,Résultats!$B$2:$AZ$251,AJ$2,FALSE)</f>
        <v>157.47012129999999</v>
      </c>
      <c r="AK28" s="25">
        <f>VLOOKUP($D28,Résultats!$B$2:$AZ$251,AK$2,FALSE)</f>
        <v>161.21119340000001</v>
      </c>
      <c r="AL28" s="25">
        <f>VLOOKUP($D28,Résultats!$B$2:$AZ$251,AL$2,FALSE)</f>
        <v>164.56887649999999</v>
      </c>
      <c r="AM28" s="102">
        <f>VLOOKUP($D28,Résultats!$B$2:$AZ$251,AM$2,FALSE)</f>
        <v>166.07137460000001</v>
      </c>
    </row>
    <row r="29" spans="1:39" x14ac:dyDescent="0.25">
      <c r="C29" s="218" t="s">
        <v>28</v>
      </c>
      <c r="D29" s="54" t="s">
        <v>160</v>
      </c>
      <c r="E29" s="25">
        <f>VLOOKUP($D29,Résultats!$B$2:$AZ$251,E$2,FALSE)</f>
        <v>1.4870423000000001E-2</v>
      </c>
      <c r="F29" s="25">
        <f>VLOOKUP($D29,Résultats!$B$2:$AZ$251,F$2,FALSE)</f>
        <v>0.52132919870000005</v>
      </c>
      <c r="G29" s="25">
        <f>VLOOKUP($D29,Résultats!$B$2:$AZ$251,G$2,FALSE)</f>
        <v>0.92369053619999997</v>
      </c>
      <c r="H29" s="25">
        <f>VLOOKUP($D29,Résultats!$B$2:$AZ$251,H$2,FALSE)</f>
        <v>1.36514333</v>
      </c>
      <c r="I29" s="25">
        <f>VLOOKUP($D29,Résultats!$B$2:$AZ$251,I$2,FALSE)</f>
        <v>1.7480674570000001</v>
      </c>
      <c r="J29" s="25">
        <f>VLOOKUP($D29,Résultats!$B$2:$AZ$251,J$2,FALSE)</f>
        <v>2.204492686</v>
      </c>
      <c r="K29" s="25">
        <f>VLOOKUP($D29,Résultats!$B$2:$AZ$251,K$2,FALSE)</f>
        <v>4.1542341580000004</v>
      </c>
      <c r="L29" s="25">
        <f>VLOOKUP($D29,Résultats!$B$2:$AZ$251,L$2,FALSE)</f>
        <v>6.2729704760000002</v>
      </c>
      <c r="M29" s="25">
        <f>VLOOKUP($D29,Résultats!$B$2:$AZ$251,M$2,FALSE)</f>
        <v>9.6706495229999998</v>
      </c>
      <c r="N29" s="25">
        <f>VLOOKUP($D29,Résultats!$B$2:$AZ$251,N$2,FALSE)</f>
        <v>12.84314519</v>
      </c>
      <c r="O29" s="25">
        <f>VLOOKUP($D29,Résultats!$B$2:$AZ$251,O$2,FALSE)</f>
        <v>14.303896440000001</v>
      </c>
      <c r="P29" s="25">
        <f>VLOOKUP($D29,Résultats!$B$2:$AZ$251,P$2,FALSE)</f>
        <v>17.83378042</v>
      </c>
      <c r="Q29" s="25">
        <f>VLOOKUP($D29,Résultats!$B$2:$AZ$251,Q$2,FALSE)</f>
        <v>23.58406651</v>
      </c>
      <c r="R29" s="25">
        <f>VLOOKUP($D29,Résultats!$B$2:$AZ$251,R$2,FALSE)</f>
        <v>30.148645129999998</v>
      </c>
      <c r="S29" s="25">
        <f>VLOOKUP($D29,Résultats!$B$2:$AZ$251,S$2,FALSE)</f>
        <v>37.138258899999997</v>
      </c>
      <c r="T29" s="25">
        <f>VLOOKUP($D29,Résultats!$B$2:$AZ$251,T$2,FALSE)</f>
        <v>43.877427879999999</v>
      </c>
      <c r="U29" s="25">
        <f>VLOOKUP($D29,Résultats!$B$2:$AZ$251,U$2,FALSE)</f>
        <v>50.015718130000003</v>
      </c>
      <c r="V29" s="25">
        <f>VLOOKUP($D29,Résultats!$B$2:$AZ$251,V$2,FALSE)</f>
        <v>54.986337249999998</v>
      </c>
      <c r="W29" s="25">
        <f>VLOOKUP($D29,Résultats!$B$2:$AZ$251,W$2,FALSE)</f>
        <v>58.927361859999998</v>
      </c>
      <c r="X29" s="25">
        <f>VLOOKUP($D29,Résultats!$B$2:$AZ$251,X$2,FALSE)</f>
        <v>62.054139229999997</v>
      </c>
      <c r="Y29" s="25">
        <f>VLOOKUP($D29,Résultats!$B$2:$AZ$251,Y$2,FALSE)</f>
        <v>66.285316330000001</v>
      </c>
      <c r="Z29" s="25">
        <f>VLOOKUP($D29,Résultats!$B$2:$AZ$251,Z$2,FALSE)</f>
        <v>69.823604840000002</v>
      </c>
      <c r="AA29" s="25">
        <f>VLOOKUP($D29,Résultats!$B$2:$AZ$251,AA$2,FALSE)</f>
        <v>72.554373170000005</v>
      </c>
      <c r="AB29" s="25">
        <f>VLOOKUP($D29,Résultats!$B$2:$AZ$251,AB$2,FALSE)</f>
        <v>75.042910570000004</v>
      </c>
      <c r="AC29" s="25">
        <f>VLOOKUP($D29,Résultats!$B$2:$AZ$251,AC$2,FALSE)</f>
        <v>77.062731909999997</v>
      </c>
      <c r="AD29" s="25">
        <f>VLOOKUP($D29,Résultats!$B$2:$AZ$251,AD$2,FALSE)</f>
        <v>78.545094800000001</v>
      </c>
      <c r="AE29" s="25">
        <f>VLOOKUP($D29,Résultats!$B$2:$AZ$251,AE$2,FALSE)</f>
        <v>79.863237080000005</v>
      </c>
      <c r="AF29" s="25">
        <f>VLOOKUP($D29,Résultats!$B$2:$AZ$251,AF$2,FALSE)</f>
        <v>81.065537699999894</v>
      </c>
      <c r="AG29" s="25">
        <f>VLOOKUP($D29,Résultats!$B$2:$AZ$251,AG$2,FALSE)</f>
        <v>82.095387680000002</v>
      </c>
      <c r="AH29" s="25">
        <f>VLOOKUP($D29,Résultats!$B$2:$AZ$251,AH$2,FALSE)</f>
        <v>91.033404110000006</v>
      </c>
      <c r="AI29" s="25">
        <f>VLOOKUP($D29,Résultats!$B$2:$AZ$251,AI$2,FALSE)</f>
        <v>92.987501170000002</v>
      </c>
      <c r="AJ29" s="25">
        <f>VLOOKUP($D29,Résultats!$B$2:$AZ$251,AJ$2,FALSE)</f>
        <v>94.406441779999994</v>
      </c>
      <c r="AK29" s="25">
        <f>VLOOKUP($D29,Résultats!$B$2:$AZ$251,AK$2,FALSE)</f>
        <v>95.665641919999999</v>
      </c>
      <c r="AL29" s="25">
        <f>VLOOKUP($D29,Résultats!$B$2:$AZ$251,AL$2,FALSE)</f>
        <v>96.653802929999998</v>
      </c>
      <c r="AM29" s="102">
        <f>VLOOKUP($D29,Résultats!$B$2:$AZ$251,AM$2,FALSE)</f>
        <v>96.478732739999998</v>
      </c>
    </row>
    <row r="30" spans="1:39" x14ac:dyDescent="0.25">
      <c r="C30" s="218" t="s">
        <v>29</v>
      </c>
      <c r="D30" s="54" t="s">
        <v>161</v>
      </c>
      <c r="E30" s="25">
        <f>VLOOKUP($D30,Résultats!$B$2:$AZ$251,E$2,FALSE)</f>
        <v>6.0878913E-2</v>
      </c>
      <c r="F30" s="25">
        <f>VLOOKUP($D30,Résultats!$B$2:$AZ$251,F$2,FALSE)</f>
        <v>1.2769720609999999</v>
      </c>
      <c r="G30" s="25">
        <f>VLOOKUP($D30,Résultats!$B$2:$AZ$251,G$2,FALSE)</f>
        <v>2.9638985880000002</v>
      </c>
      <c r="H30" s="25">
        <f>VLOOKUP($D30,Résultats!$B$2:$AZ$251,H$2,FALSE)</f>
        <v>3.8918591899999999</v>
      </c>
      <c r="I30" s="25">
        <f>VLOOKUP($D30,Résultats!$B$2:$AZ$251,I$2,FALSE)</f>
        <v>4.2992037359999999</v>
      </c>
      <c r="J30" s="25">
        <f>VLOOKUP($D30,Résultats!$B$2:$AZ$251,J$2,FALSE)</f>
        <v>4.8157866709999997</v>
      </c>
      <c r="K30" s="25">
        <f>VLOOKUP($D30,Résultats!$B$2:$AZ$251,K$2,FALSE)</f>
        <v>6.4850098249999997</v>
      </c>
      <c r="L30" s="25">
        <f>VLOOKUP($D30,Résultats!$B$2:$AZ$251,L$2,FALSE)</f>
        <v>8.4117188459999994</v>
      </c>
      <c r="M30" s="25">
        <f>VLOOKUP($D30,Résultats!$B$2:$AZ$251,M$2,FALSE)</f>
        <v>12.819546799999999</v>
      </c>
      <c r="N30" s="25">
        <f>VLOOKUP($D30,Résultats!$B$2:$AZ$251,N$2,FALSE)</f>
        <v>16.391893159999999</v>
      </c>
      <c r="O30" s="25">
        <f>VLOOKUP($D30,Résultats!$B$2:$AZ$251,O$2,FALSE)</f>
        <v>17.06864873</v>
      </c>
      <c r="P30" s="25">
        <f>VLOOKUP($D30,Résultats!$B$2:$AZ$251,P$2,FALSE)</f>
        <v>20.31570842</v>
      </c>
      <c r="Q30" s="25">
        <f>VLOOKUP($D30,Résultats!$B$2:$AZ$251,Q$2,FALSE)</f>
        <v>25.962654050000001</v>
      </c>
      <c r="R30" s="25">
        <f>VLOOKUP($D30,Résultats!$B$2:$AZ$251,R$2,FALSE)</f>
        <v>32.131847229999998</v>
      </c>
      <c r="S30" s="25">
        <f>VLOOKUP($D30,Résultats!$B$2:$AZ$251,S$2,FALSE)</f>
        <v>38.323313380000002</v>
      </c>
      <c r="T30" s="25">
        <f>VLOOKUP($D30,Résultats!$B$2:$AZ$251,T$2,FALSE)</f>
        <v>43.778420869999998</v>
      </c>
      <c r="U30" s="25">
        <f>VLOOKUP($D30,Résultats!$B$2:$AZ$251,U$2,FALSE)</f>
        <v>48.265256729999997</v>
      </c>
      <c r="V30" s="25">
        <f>VLOOKUP($D30,Résultats!$B$2:$AZ$251,V$2,FALSE)</f>
        <v>51.242034390000001</v>
      </c>
      <c r="W30" s="25">
        <f>VLOOKUP($D30,Résultats!$B$2:$AZ$251,W$2,FALSE)</f>
        <v>53.003822290000002</v>
      </c>
      <c r="X30" s="25">
        <f>VLOOKUP($D30,Résultats!$B$2:$AZ$251,X$2,FALSE)</f>
        <v>53.861128469999997</v>
      </c>
      <c r="Y30" s="25">
        <f>VLOOKUP($D30,Résultats!$B$2:$AZ$251,Y$2,FALSE)</f>
        <v>55.661948809999998</v>
      </c>
      <c r="Z30" s="25">
        <f>VLOOKUP($D30,Résultats!$B$2:$AZ$251,Z$2,FALSE)</f>
        <v>56.650009769999997</v>
      </c>
      <c r="AA30" s="25">
        <f>VLOOKUP($D30,Résultats!$B$2:$AZ$251,AA$2,FALSE)</f>
        <v>56.779107799999998</v>
      </c>
      <c r="AB30" s="25">
        <f>VLOOKUP($D30,Résultats!$B$2:$AZ$251,AB$2,FALSE)</f>
        <v>56.658334600000003</v>
      </c>
      <c r="AC30" s="25">
        <f>VLOOKUP($D30,Résultats!$B$2:$AZ$251,AC$2,FALSE)</f>
        <v>56.093981540000001</v>
      </c>
      <c r="AD30" s="25">
        <f>VLOOKUP($D30,Résultats!$B$2:$AZ$251,AD$2,FALSE)</f>
        <v>55.412141349999999</v>
      </c>
      <c r="AE30" s="25">
        <f>VLOOKUP($D30,Résultats!$B$2:$AZ$251,AE$2,FALSE)</f>
        <v>54.615834710000001</v>
      </c>
      <c r="AF30" s="25">
        <f>VLOOKUP($D30,Résultats!$B$2:$AZ$251,AF$2,FALSE)</f>
        <v>53.715710880000003</v>
      </c>
      <c r="AG30" s="25">
        <f>VLOOKUP($D30,Résultats!$B$2:$AZ$251,AG$2,FALSE)</f>
        <v>52.698881159999999</v>
      </c>
      <c r="AH30" s="25">
        <f>VLOOKUP($D30,Résultats!$B$2:$AZ$251,AH$2,FALSE)</f>
        <v>51.732117600000002</v>
      </c>
      <c r="AI30" s="25">
        <f>VLOOKUP($D30,Résultats!$B$2:$AZ$251,AI$2,FALSE)</f>
        <v>51.106921389999997</v>
      </c>
      <c r="AJ30" s="25">
        <f>VLOOKUP($D30,Résultats!$B$2:$AZ$251,AJ$2,FALSE)</f>
        <v>50.073101080000001</v>
      </c>
      <c r="AK30" s="25">
        <f>VLOOKUP($D30,Résultats!$B$2:$AZ$251,AK$2,FALSE)</f>
        <v>48.930813780000001</v>
      </c>
      <c r="AL30" s="25">
        <f>VLOOKUP($D30,Résultats!$B$2:$AZ$251,AL$2,FALSE)</f>
        <v>47.624360520000003</v>
      </c>
      <c r="AM30" s="102">
        <f>VLOOKUP($D30,Résultats!$B$2:$AZ$251,AM$2,FALSE)</f>
        <v>45.668005669999999</v>
      </c>
    </row>
    <row r="31" spans="1:39" x14ac:dyDescent="0.25">
      <c r="C31" s="218" t="s">
        <v>30</v>
      </c>
      <c r="D31" s="54" t="s">
        <v>162</v>
      </c>
      <c r="E31" s="25">
        <f>VLOOKUP($D31,Résultats!$B$2:$AZ$251,E$2,FALSE)</f>
        <v>1.430155447</v>
      </c>
      <c r="F31" s="25">
        <f>VLOOKUP($D31,Résultats!$B$2:$AZ$251,F$2,FALSE)</f>
        <v>27.719601749999999</v>
      </c>
      <c r="G31" s="25">
        <f>VLOOKUP($D31,Résultats!$B$2:$AZ$251,G$2,FALSE)</f>
        <v>67.383495089999997</v>
      </c>
      <c r="H31" s="25">
        <f>VLOOKUP($D31,Résultats!$B$2:$AZ$251,H$2,FALSE)</f>
        <v>86.827195329999995</v>
      </c>
      <c r="I31" s="25">
        <f>VLOOKUP($D31,Résultats!$B$2:$AZ$251,I$2,FALSE)</f>
        <v>93.396880049999893</v>
      </c>
      <c r="J31" s="25">
        <f>VLOOKUP($D31,Résultats!$B$2:$AZ$251,J$2,FALSE)</f>
        <v>102.14511469999999</v>
      </c>
      <c r="K31" s="25">
        <f>VLOOKUP($D31,Résultats!$B$2:$AZ$251,K$2,FALSE)</f>
        <v>126.9884129</v>
      </c>
      <c r="L31" s="25">
        <f>VLOOKUP($D31,Résultats!$B$2:$AZ$251,L$2,FALSE)</f>
        <v>158.25617500000001</v>
      </c>
      <c r="M31" s="25">
        <f>VLOOKUP($D31,Résultats!$B$2:$AZ$251,M$2,FALSE)</f>
        <v>240.45326900000001</v>
      </c>
      <c r="N31" s="25">
        <f>VLOOKUP($D31,Résultats!$B$2:$AZ$251,N$2,FALSE)</f>
        <v>304.41620699999999</v>
      </c>
      <c r="O31" s="25">
        <f>VLOOKUP($D31,Résultats!$B$2:$AZ$251,O$2,FALSE)</f>
        <v>311.5548728</v>
      </c>
      <c r="P31" s="25">
        <f>VLOOKUP($D31,Résultats!$B$2:$AZ$251,P$2,FALSE)</f>
        <v>366.59938890000001</v>
      </c>
      <c r="Q31" s="25">
        <f>VLOOKUP($D31,Résultats!$B$2:$AZ$251,Q$2,FALSE)</f>
        <v>464.72073139999998</v>
      </c>
      <c r="R31" s="25">
        <f>VLOOKUP($D31,Résultats!$B$2:$AZ$251,R$2,FALSE)</f>
        <v>570.95004340000003</v>
      </c>
      <c r="S31" s="25">
        <f>VLOOKUP($D31,Résultats!$B$2:$AZ$251,S$2,FALSE)</f>
        <v>676.27486950000002</v>
      </c>
      <c r="T31" s="25">
        <f>VLOOKUP($D31,Résultats!$B$2:$AZ$251,T$2,FALSE)</f>
        <v>767.36304089999999</v>
      </c>
      <c r="U31" s="25">
        <f>VLOOKUP($D31,Résultats!$B$2:$AZ$251,U$2,FALSE)</f>
        <v>840.86237200000005</v>
      </c>
      <c r="V31" s="25">
        <f>VLOOKUP($D31,Résultats!$B$2:$AZ$251,V$2,FALSE)</f>
        <v>887.63963049999995</v>
      </c>
      <c r="W31" s="25">
        <f>VLOOKUP($D31,Résultats!$B$2:$AZ$251,W$2,FALSE)</f>
        <v>913.57021450000002</v>
      </c>
      <c r="X31" s="25">
        <f>VLOOKUP($D31,Résultats!$B$2:$AZ$251,X$2,FALSE)</f>
        <v>924.49187159999997</v>
      </c>
      <c r="Y31" s="25">
        <f>VLOOKUP($D31,Résultats!$B$2:$AZ$251,Y$2,FALSE)</f>
        <v>952.54115490000004</v>
      </c>
      <c r="Z31" s="25">
        <f>VLOOKUP($D31,Résultats!$B$2:$AZ$251,Z$2,FALSE)</f>
        <v>967.34318889999997</v>
      </c>
      <c r="AA31" s="25">
        <f>VLOOKUP($D31,Résultats!$B$2:$AZ$251,AA$2,FALSE)</f>
        <v>968.40172310000003</v>
      </c>
      <c r="AB31" s="25">
        <f>VLOOKUP($D31,Résultats!$B$2:$AZ$251,AB$2,FALSE)</f>
        <v>966.33929009999997</v>
      </c>
      <c r="AC31" s="25">
        <f>VLOOKUP($D31,Résultats!$B$2:$AZ$251,AC$2,FALSE)</f>
        <v>957.91180399999996</v>
      </c>
      <c r="AD31" s="25">
        <f>VLOOKUP($D31,Résultats!$B$2:$AZ$251,AD$2,FALSE)</f>
        <v>948.26251860000002</v>
      </c>
      <c r="AE31" s="25">
        <f>VLOOKUP($D31,Résultats!$B$2:$AZ$251,AE$2,FALSE)</f>
        <v>937.4999894</v>
      </c>
      <c r="AF31" s="25">
        <f>VLOOKUP($D31,Résultats!$B$2:$AZ$251,AF$2,FALSE)</f>
        <v>925.83669729999997</v>
      </c>
      <c r="AG31" s="25">
        <f>VLOOKUP($D31,Résultats!$B$2:$AZ$251,AG$2,FALSE)</f>
        <v>912.99020589999998</v>
      </c>
      <c r="AH31" s="25">
        <f>VLOOKUP($D31,Résultats!$B$2:$AZ$251,AH$2,FALSE)</f>
        <v>922.72480440000004</v>
      </c>
      <c r="AI31" s="25">
        <f>VLOOKUP($D31,Résultats!$B$2:$AZ$251,AI$2,FALSE)</f>
        <v>921.20974880000006</v>
      </c>
      <c r="AJ31" s="25">
        <f>VLOOKUP($D31,Résultats!$B$2:$AZ$251,AJ$2,FALSE)</f>
        <v>913.7935698</v>
      </c>
      <c r="AK31" s="25">
        <f>VLOOKUP($D31,Résultats!$B$2:$AZ$251,AK$2,FALSE)</f>
        <v>905.35510160000001</v>
      </c>
      <c r="AL31" s="25">
        <f>VLOOKUP($D31,Résultats!$B$2:$AZ$251,AL$2,FALSE)</f>
        <v>894.84842209999999</v>
      </c>
      <c r="AM31" s="102">
        <f>VLOOKUP($D31,Résultats!$B$2:$AZ$251,AM$2,FALSE)</f>
        <v>873.54365310000003</v>
      </c>
    </row>
    <row r="32" spans="1:39" x14ac:dyDescent="0.25">
      <c r="C32" s="218" t="s">
        <v>31</v>
      </c>
      <c r="D32" s="54" t="s">
        <v>163</v>
      </c>
      <c r="E32" s="25">
        <f>VLOOKUP($D32,Résultats!$B$2:$AZ$251,E$2,FALSE)</f>
        <v>0.56367885309999999</v>
      </c>
      <c r="F32" s="25">
        <f>VLOOKUP($D32,Résultats!$B$2:$AZ$251,F$2,FALSE)</f>
        <v>10.74117805</v>
      </c>
      <c r="G32" s="25">
        <f>VLOOKUP($D32,Résultats!$B$2:$AZ$251,G$2,FALSE)</f>
        <v>26.384110459999999</v>
      </c>
      <c r="H32" s="25">
        <f>VLOOKUP($D32,Résultats!$B$2:$AZ$251,H$2,FALSE)</f>
        <v>33.859038300000002</v>
      </c>
      <c r="I32" s="25">
        <f>VLOOKUP($D32,Résultats!$B$2:$AZ$251,I$2,FALSE)</f>
        <v>36.197536339999999</v>
      </c>
      <c r="J32" s="25">
        <f>VLOOKUP($D32,Résultats!$B$2:$AZ$251,J$2,FALSE)</f>
        <v>39.351421600000002</v>
      </c>
      <c r="K32" s="25">
        <f>VLOOKUP($D32,Résultats!$B$2:$AZ$251,K$2,FALSE)</f>
        <v>47.749142249999998</v>
      </c>
      <c r="L32" s="25">
        <f>VLOOKUP($D32,Résultats!$B$2:$AZ$251,L$2,FALSE)</f>
        <v>58.56932844</v>
      </c>
      <c r="M32" s="25">
        <f>VLOOKUP($D32,Résultats!$B$2:$AZ$251,M$2,FALSE)</f>
        <v>88.869215850000003</v>
      </c>
      <c r="N32" s="25">
        <f>VLOOKUP($D32,Résultats!$B$2:$AZ$251,N$2,FALSE)</f>
        <v>111.98902440000001</v>
      </c>
      <c r="O32" s="25">
        <f>VLOOKUP($D32,Résultats!$B$2:$AZ$251,O$2,FALSE)</f>
        <v>113.60251460000001</v>
      </c>
      <c r="P32" s="25">
        <f>VLOOKUP($D32,Résultats!$B$2:$AZ$251,P$2,FALSE)</f>
        <v>132.79122140000001</v>
      </c>
      <c r="Q32" s="25">
        <f>VLOOKUP($D32,Résultats!$B$2:$AZ$251,Q$2,FALSE)</f>
        <v>167.469211</v>
      </c>
      <c r="R32" s="25">
        <f>VLOOKUP($D32,Résultats!$B$2:$AZ$251,R$2,FALSE)</f>
        <v>204.70873019999999</v>
      </c>
      <c r="S32" s="25">
        <f>VLOOKUP($D32,Résultats!$B$2:$AZ$251,S$2,FALSE)</f>
        <v>241.19965719999999</v>
      </c>
      <c r="T32" s="25">
        <f>VLOOKUP($D32,Résultats!$B$2:$AZ$251,T$2,FALSE)</f>
        <v>272.13426989999999</v>
      </c>
      <c r="U32" s="25">
        <f>VLOOKUP($D32,Résultats!$B$2:$AZ$251,U$2,FALSE)</f>
        <v>296.46396449999997</v>
      </c>
      <c r="V32" s="25">
        <f>VLOOKUP($D32,Résultats!$B$2:$AZ$251,V$2,FALSE)</f>
        <v>310.98858799999999</v>
      </c>
      <c r="W32" s="25">
        <f>VLOOKUP($D32,Résultats!$B$2:$AZ$251,W$2,FALSE)</f>
        <v>317.96918210000001</v>
      </c>
      <c r="X32" s="25">
        <f>VLOOKUP($D32,Résultats!$B$2:$AZ$251,X$2,FALSE)</f>
        <v>319.58332360000003</v>
      </c>
      <c r="Y32" s="25">
        <f>VLOOKUP($D32,Résultats!$B$2:$AZ$251,Y$2,FALSE)</f>
        <v>327.1567005</v>
      </c>
      <c r="Z32" s="25">
        <f>VLOOKUP($D32,Résultats!$B$2:$AZ$251,Z$2,FALSE)</f>
        <v>329.97218179999999</v>
      </c>
      <c r="AA32" s="25">
        <f>VLOOKUP($D32,Résultats!$B$2:$AZ$251,AA$2,FALSE)</f>
        <v>327.93326389999999</v>
      </c>
      <c r="AB32" s="25">
        <f>VLOOKUP($D32,Résultats!$B$2:$AZ$251,AB$2,FALSE)</f>
        <v>324.84749699999998</v>
      </c>
      <c r="AC32" s="25">
        <f>VLOOKUP($D32,Résultats!$B$2:$AZ$251,AC$2,FALSE)</f>
        <v>319.60343890000001</v>
      </c>
      <c r="AD32" s="25">
        <f>VLOOKUP($D32,Résultats!$B$2:$AZ$251,AD$2,FALSE)</f>
        <v>314.3528192</v>
      </c>
      <c r="AE32" s="25">
        <f>VLOOKUP($D32,Résultats!$B$2:$AZ$251,AE$2,FALSE)</f>
        <v>308.80391559999998</v>
      </c>
      <c r="AF32" s="25">
        <f>VLOOKUP($D32,Résultats!$B$2:$AZ$251,AF$2,FALSE)</f>
        <v>303.00065999999998</v>
      </c>
      <c r="AG32" s="25">
        <f>VLOOKUP($D32,Résultats!$B$2:$AZ$251,AG$2,FALSE)</f>
        <v>296.88016950000002</v>
      </c>
      <c r="AH32" s="25">
        <f>VLOOKUP($D32,Résultats!$B$2:$AZ$251,AH$2,FALSE)</f>
        <v>292.97290909999998</v>
      </c>
      <c r="AI32" s="25">
        <f>VLOOKUP($D32,Résultats!$B$2:$AZ$251,AI$2,FALSE)</f>
        <v>290.67799380000002</v>
      </c>
      <c r="AJ32" s="25">
        <f>VLOOKUP($D32,Résultats!$B$2:$AZ$251,AJ$2,FALSE)</f>
        <v>286.48527769999998</v>
      </c>
      <c r="AK32" s="25">
        <f>VLOOKUP($D32,Résultats!$B$2:$AZ$251,AK$2,FALSE)</f>
        <v>282.03616920000002</v>
      </c>
      <c r="AL32" s="25">
        <f>VLOOKUP($D32,Résultats!$B$2:$AZ$251,AL$2,FALSE)</f>
        <v>277.00614710000002</v>
      </c>
      <c r="AM32" s="102">
        <f>VLOOKUP($D32,Résultats!$B$2:$AZ$251,AM$2,FALSE)</f>
        <v>268.65199569999999</v>
      </c>
    </row>
    <row r="33" spans="2:39" x14ac:dyDescent="0.25">
      <c r="C33" s="218" t="s">
        <v>32</v>
      </c>
      <c r="D33" s="54" t="s">
        <v>164</v>
      </c>
      <c r="E33" s="25">
        <f>VLOOKUP($D33,Résultats!$B$2:$AZ$251,E$2,FALSE)</f>
        <v>7.6847152399999999E-3</v>
      </c>
      <c r="F33" s="25">
        <f>VLOOKUP($D33,Résultats!$B$2:$AZ$251,F$2,FALSE)</f>
        <v>4.2220987100000003E-2</v>
      </c>
      <c r="G33" s="25">
        <f>VLOOKUP($D33,Résultats!$B$2:$AZ$251,G$2,FALSE)</f>
        <v>0.1143388251</v>
      </c>
      <c r="H33" s="25">
        <f>VLOOKUP($D33,Résultats!$B$2:$AZ$251,H$2,FALSE)</f>
        <v>0.13223865870000001</v>
      </c>
      <c r="I33" s="25">
        <f>VLOOKUP($D33,Résultats!$B$2:$AZ$251,I$2,FALSE)</f>
        <v>0.1422565194</v>
      </c>
      <c r="J33" s="25">
        <f>VLOOKUP($D33,Résultats!$B$2:$AZ$251,J$2,FALSE)</f>
        <v>0.1556040266</v>
      </c>
      <c r="K33" s="25">
        <f>VLOOKUP($D33,Résultats!$B$2:$AZ$251,K$2,FALSE)</f>
        <v>0.1936798206</v>
      </c>
      <c r="L33" s="25">
        <f>VLOOKUP($D33,Résultats!$B$2:$AZ$251,L$2,FALSE)</f>
        <v>0.24167507699999999</v>
      </c>
      <c r="M33" s="25">
        <f>VLOOKUP($D33,Résultats!$B$2:$AZ$251,M$2,FALSE)</f>
        <v>0.36724545349999999</v>
      </c>
      <c r="N33" s="25">
        <f>VLOOKUP($D33,Résultats!$B$2:$AZ$251,N$2,FALSE)</f>
        <v>0.46514531260000003</v>
      </c>
      <c r="O33" s="25">
        <f>VLOOKUP($D33,Résultats!$B$2:$AZ$251,O$2,FALSE)</f>
        <v>0.47650365859999999</v>
      </c>
      <c r="P33" s="25">
        <f>VLOOKUP($D33,Résultats!$B$2:$AZ$251,P$2,FALSE)</f>
        <v>0.56112723610000004</v>
      </c>
      <c r="Q33" s="25">
        <f>VLOOKUP($D33,Résultats!$B$2:$AZ$251,Q$2,FALSE)</f>
        <v>0.7117747445</v>
      </c>
      <c r="R33" s="25">
        <f>VLOOKUP($D33,Résultats!$B$2:$AZ$251,R$2,FALSE)</f>
        <v>0.875067119</v>
      </c>
      <c r="S33" s="25">
        <f>VLOOKUP($D33,Résultats!$B$2:$AZ$251,S$2,FALSE)</f>
        <v>1.0372564019999999</v>
      </c>
      <c r="T33" s="25">
        <f>VLOOKUP($D33,Résultats!$B$2:$AZ$251,T$2,FALSE)</f>
        <v>1.177953024</v>
      </c>
      <c r="U33" s="25">
        <f>VLOOKUP($D33,Résultats!$B$2:$AZ$251,U$2,FALSE)</f>
        <v>1.291949928</v>
      </c>
      <c r="V33" s="25">
        <f>VLOOKUP($D33,Résultats!$B$2:$AZ$251,V$2,FALSE)</f>
        <v>1.3652289479999999</v>
      </c>
      <c r="W33" s="25">
        <f>VLOOKUP($D33,Résultats!$B$2:$AZ$251,W$2,FALSE)</f>
        <v>1.4067099649999999</v>
      </c>
      <c r="X33" s="25">
        <f>VLOOKUP($D33,Résultats!$B$2:$AZ$251,X$2,FALSE)</f>
        <v>1.4252912250000001</v>
      </c>
      <c r="Y33" s="25">
        <f>VLOOKUP($D33,Résultats!$B$2:$AZ$251,Y$2,FALSE)</f>
        <v>1.4703478539999999</v>
      </c>
      <c r="Z33" s="25">
        <f>VLOOKUP($D33,Résultats!$B$2:$AZ$251,Z$2,FALSE)</f>
        <v>1.4952440069999999</v>
      </c>
      <c r="AA33" s="25">
        <f>VLOOKUP($D33,Résultats!$B$2:$AZ$251,AA$2,FALSE)</f>
        <v>1.499173989</v>
      </c>
      <c r="AB33" s="25">
        <f>VLOOKUP($D33,Résultats!$B$2:$AZ$251,AB$2,FALSE)</f>
        <v>1.498397735</v>
      </c>
      <c r="AC33" s="25">
        <f>VLOOKUP($D33,Résultats!$B$2:$AZ$251,AC$2,FALSE)</f>
        <v>1.487913772</v>
      </c>
      <c r="AD33" s="25">
        <f>VLOOKUP($D33,Résultats!$B$2:$AZ$251,AD$2,FALSE)</f>
        <v>1.4752196769999999</v>
      </c>
      <c r="AE33" s="25">
        <f>VLOOKUP($D33,Résultats!$B$2:$AZ$251,AE$2,FALSE)</f>
        <v>1.460823057</v>
      </c>
      <c r="AF33" s="25">
        <f>VLOOKUP($D33,Résultats!$B$2:$AZ$251,AF$2,FALSE)</f>
        <v>1.445085084</v>
      </c>
      <c r="AG33" s="25">
        <f>VLOOKUP($D33,Résultats!$B$2:$AZ$251,AG$2,FALSE)</f>
        <v>1.4275279910000001</v>
      </c>
      <c r="AH33" s="25">
        <f>VLOOKUP($D33,Résultats!$B$2:$AZ$251,AH$2,FALSE)</f>
        <v>1.4530343219999999</v>
      </c>
      <c r="AI33" s="25">
        <f>VLOOKUP($D33,Résultats!$B$2:$AZ$251,AI$2,FALSE)</f>
        <v>1.4535897630000001</v>
      </c>
      <c r="AJ33" s="25">
        <f>VLOOKUP($D33,Résultats!$B$2:$AZ$251,AJ$2,FALSE)</f>
        <v>1.445035804</v>
      </c>
      <c r="AK33" s="25">
        <f>VLOOKUP($D33,Résultats!$B$2:$AZ$251,AK$2,FALSE)</f>
        <v>1.434906942</v>
      </c>
      <c r="AL33" s="25">
        <f>VLOOKUP($D33,Résultats!$B$2:$AZ$251,AL$2,FALSE)</f>
        <v>1.421542013</v>
      </c>
      <c r="AM33" s="102">
        <f>VLOOKUP($D33,Résultats!$B$2:$AZ$251,AM$2,FALSE)</f>
        <v>1.3911567119999999</v>
      </c>
    </row>
    <row r="34" spans="2:39" x14ac:dyDescent="0.25">
      <c r="C34" s="218" t="s">
        <v>33</v>
      </c>
      <c r="D34" s="54" t="s">
        <v>165</v>
      </c>
      <c r="E34" s="55">
        <f>VLOOKUP($D34,Résultats!$B$2:$AZ$251,E$2,FALSE)</f>
        <v>9.4412215800000004E-2</v>
      </c>
      <c r="F34" s="55">
        <f>VLOOKUP($D34,Résultats!$B$2:$AZ$251,F$2,FALSE)</f>
        <v>1.603827914</v>
      </c>
      <c r="G34" s="55">
        <f>VLOOKUP($D34,Résultats!$B$2:$AZ$251,G$2,FALSE)</f>
        <v>4.2255170289999997</v>
      </c>
      <c r="H34" s="55">
        <f>VLOOKUP($D34,Résultats!$B$2:$AZ$251,H$2,FALSE)</f>
        <v>5.2753819130000004</v>
      </c>
      <c r="I34" s="55">
        <f>VLOOKUP($D34,Résultats!$B$2:$AZ$251,I$2,FALSE)</f>
        <v>5.4116627050000004</v>
      </c>
      <c r="J34" s="55">
        <f>VLOOKUP($D34,Résultats!$B$2:$AZ$251,J$2,FALSE)</f>
        <v>5.6531133179999999</v>
      </c>
      <c r="K34" s="55">
        <f>VLOOKUP($D34,Résultats!$B$2:$AZ$251,K$2,FALSE)</f>
        <v>5.8564943490000001</v>
      </c>
      <c r="L34" s="55">
        <f>VLOOKUP($D34,Résultats!$B$2:$AZ$251,L$2,FALSE)</f>
        <v>6.4984793310000004</v>
      </c>
      <c r="M34" s="55">
        <f>VLOOKUP($D34,Résultats!$B$2:$AZ$251,M$2,FALSE)</f>
        <v>9.7774678050000006</v>
      </c>
      <c r="N34" s="55">
        <f>VLOOKUP($D34,Résultats!$B$2:$AZ$251,N$2,FALSE)</f>
        <v>11.972496250000001</v>
      </c>
      <c r="O34" s="55">
        <f>VLOOKUP($D34,Résultats!$B$2:$AZ$251,O$2,FALSE)</f>
        <v>11.503366509999999</v>
      </c>
      <c r="P34" s="55">
        <f>VLOOKUP($D34,Résultats!$B$2:$AZ$251,P$2,FALSE)</f>
        <v>12.92067065</v>
      </c>
      <c r="Q34" s="55">
        <f>VLOOKUP($D34,Résultats!$B$2:$AZ$251,Q$2,FALSE)</f>
        <v>15.803607319999999</v>
      </c>
      <c r="R34" s="55">
        <f>VLOOKUP($D34,Résultats!$B$2:$AZ$251,R$2,FALSE)</f>
        <v>18.74951995</v>
      </c>
      <c r="S34" s="55">
        <f>VLOOKUP($D34,Résultats!$B$2:$AZ$251,S$2,FALSE)</f>
        <v>21.42661816</v>
      </c>
      <c r="T34" s="55">
        <f>VLOOKUP($D34,Résultats!$B$2:$AZ$251,T$2,FALSE)</f>
        <v>23.398866640000001</v>
      </c>
      <c r="U34" s="55">
        <f>VLOOKUP($D34,Résultats!$B$2:$AZ$251,U$2,FALSE)</f>
        <v>24.664298599999999</v>
      </c>
      <c r="V34" s="55">
        <f>VLOOKUP($D34,Résultats!$B$2:$AZ$251,V$2,FALSE)</f>
        <v>24.982589099999998</v>
      </c>
      <c r="W34" s="55">
        <f>VLOOKUP($D34,Résultats!$B$2:$AZ$251,W$2,FALSE)</f>
        <v>24.64245704</v>
      </c>
      <c r="X34" s="55">
        <f>VLOOKUP($D34,Résultats!$B$2:$AZ$251,X$2,FALSE)</f>
        <v>23.883930620000001</v>
      </c>
      <c r="Y34" s="55">
        <f>VLOOKUP($D34,Résultats!$B$2:$AZ$251,Y$2,FALSE)</f>
        <v>23.640650260000001</v>
      </c>
      <c r="Z34" s="55">
        <f>VLOOKUP($D34,Résultats!$B$2:$AZ$251,Z$2,FALSE)</f>
        <v>23.029317720000002</v>
      </c>
      <c r="AA34" s="55">
        <f>VLOOKUP($D34,Résultats!$B$2:$AZ$251,AA$2,FALSE)</f>
        <v>22.078753930000001</v>
      </c>
      <c r="AB34" s="55">
        <f>VLOOKUP($D34,Résultats!$B$2:$AZ$251,AB$2,FALSE)</f>
        <v>21.119735039999998</v>
      </c>
      <c r="AC34" s="55">
        <f>VLOOKUP($D34,Résultats!$B$2:$AZ$251,AC$2,FALSE)</f>
        <v>20.071855320000001</v>
      </c>
      <c r="AD34" s="55">
        <f>VLOOKUP($D34,Résultats!$B$2:$AZ$251,AD$2,FALSE)</f>
        <v>19.185515500000001</v>
      </c>
      <c r="AE34" s="55">
        <f>VLOOKUP($D34,Résultats!$B$2:$AZ$251,AE$2,FALSE)</f>
        <v>18.337842479999999</v>
      </c>
      <c r="AF34" s="55">
        <f>VLOOKUP($D34,Résultats!$B$2:$AZ$251,AF$2,FALSE)</f>
        <v>17.521585600000002</v>
      </c>
      <c r="AG34" s="55">
        <f>VLOOKUP($D34,Résultats!$B$2:$AZ$251,AG$2,FALSE)</f>
        <v>16.73742039</v>
      </c>
      <c r="AH34" s="55">
        <f>VLOOKUP($D34,Résultats!$B$2:$AZ$251,AH$2,FALSE)</f>
        <v>15.187990940000001</v>
      </c>
      <c r="AI34" s="55">
        <f>VLOOKUP($D34,Résultats!$B$2:$AZ$251,AI$2,FALSE)</f>
        <v>14.78398355</v>
      </c>
      <c r="AJ34" s="55">
        <f>VLOOKUP($D34,Résultats!$B$2:$AZ$251,AJ$2,FALSE)</f>
        <v>14.30334564</v>
      </c>
      <c r="AK34" s="55">
        <f>VLOOKUP($D34,Résultats!$B$2:$AZ$251,AK$2,FALSE)</f>
        <v>13.84348125</v>
      </c>
      <c r="AL34" s="55">
        <f>VLOOKUP($D34,Résultats!$B$2:$AZ$251,AL$2,FALSE)</f>
        <v>13.386077630000001</v>
      </c>
      <c r="AM34" s="214">
        <f>VLOOKUP($D34,Résultats!$B$2:$AZ$251,AM$2,FALSE)</f>
        <v>12.79232094</v>
      </c>
    </row>
    <row r="35" spans="2:39" x14ac:dyDescent="0.25">
      <c r="C35" s="217" t="s">
        <v>46</v>
      </c>
      <c r="D35" s="52" t="s">
        <v>150</v>
      </c>
      <c r="E35" s="53">
        <f>VLOOKUP($D35,Résultats!$B$2:$AZ$251,E$2,FALSE)</f>
        <v>2370.8218320000001</v>
      </c>
      <c r="F35" s="53">
        <f>VLOOKUP($D35,Résultats!$B$2:$AZ$251,F$2,FALSE)</f>
        <v>1898.0156360000001</v>
      </c>
      <c r="G35" s="53">
        <f>VLOOKUP($D35,Résultats!$B$2:$AZ$251,G$2,FALSE)</f>
        <v>2101.1183059999998</v>
      </c>
      <c r="H35" s="53">
        <f>VLOOKUP($D35,Résultats!$B$2:$AZ$251,H$2,FALSE)</f>
        <v>2107.8855330000001</v>
      </c>
      <c r="I35" s="53">
        <f>VLOOKUP($D35,Résultats!$B$2:$AZ$251,I$2,FALSE)</f>
        <v>1778.676406</v>
      </c>
      <c r="J35" s="53">
        <f>VLOOKUP($D35,Résultats!$B$2:$AZ$251,J$2,FALSE)</f>
        <v>1537.684798</v>
      </c>
      <c r="K35" s="53">
        <f>VLOOKUP($D35,Résultats!$B$2:$AZ$251,K$2,FALSE)</f>
        <v>1533.6169789999999</v>
      </c>
      <c r="L35" s="53">
        <f>VLOOKUP($D35,Résultats!$B$2:$AZ$251,L$2,FALSE)</f>
        <v>1542.7592999999999</v>
      </c>
      <c r="M35" s="53">
        <f>VLOOKUP($D35,Résultats!$B$2:$AZ$251,M$2,FALSE)</f>
        <v>1901.1435280000001</v>
      </c>
      <c r="N35" s="53">
        <f>VLOOKUP($D35,Résultats!$B$2:$AZ$251,N$2,FALSE)</f>
        <v>1976.549745</v>
      </c>
      <c r="O35" s="53">
        <f>VLOOKUP($D35,Résultats!$B$2:$AZ$251,O$2,FALSE)</f>
        <v>1559.896743</v>
      </c>
      <c r="P35" s="53">
        <f>VLOOKUP($D35,Résultats!$B$2:$AZ$251,P$2,FALSE)</f>
        <v>1274.057646</v>
      </c>
      <c r="Q35" s="53">
        <f>VLOOKUP($D35,Résultats!$B$2:$AZ$251,Q$2,FALSE)</f>
        <v>1015.2921239999999</v>
      </c>
      <c r="R35" s="53">
        <f>VLOOKUP($D35,Résultats!$B$2:$AZ$251,R$2,FALSE)</f>
        <v>764.97330239999997</v>
      </c>
      <c r="S35" s="53">
        <f>VLOOKUP($D35,Résultats!$B$2:$AZ$251,S$2,FALSE)</f>
        <v>538.36085379999997</v>
      </c>
      <c r="T35" s="53">
        <f>VLOOKUP($D35,Résultats!$B$2:$AZ$251,T$2,FALSE)</f>
        <v>349.7917018</v>
      </c>
      <c r="U35" s="53">
        <f>VLOOKUP($D35,Résultats!$B$2:$AZ$251,U$2,FALSE)</f>
        <v>211.2474029</v>
      </c>
      <c r="V35" s="53">
        <f>VLOOKUP($D35,Résultats!$B$2:$AZ$251,V$2,FALSE)</f>
        <v>118.83659919999999</v>
      </c>
      <c r="W35" s="53">
        <f>VLOOKUP($D35,Résultats!$B$2:$AZ$251,W$2,FALSE)</f>
        <v>63.553162700000001</v>
      </c>
      <c r="X35" s="53">
        <f>VLOOKUP($D35,Résultats!$B$2:$AZ$251,X$2,FALSE)</f>
        <v>32.875753580000001</v>
      </c>
      <c r="Y35" s="53">
        <f>VLOOKUP($D35,Résultats!$B$2:$AZ$251,Y$2,FALSE)</f>
        <v>17.148281539999999</v>
      </c>
      <c r="Z35" s="53">
        <f>VLOOKUP($D35,Résultats!$B$2:$AZ$251,Z$2,FALSE)</f>
        <v>8.7719302520000006</v>
      </c>
      <c r="AA35" s="53">
        <f>VLOOKUP($D35,Résultats!$B$2:$AZ$251,AA$2,FALSE)</f>
        <v>4.4121983330000001</v>
      </c>
      <c r="AB35" s="53">
        <f>VLOOKUP($D35,Résultats!$B$2:$AZ$251,AB$2,FALSE)</f>
        <v>2.2091787510000001</v>
      </c>
      <c r="AC35" s="53">
        <f>VLOOKUP($D35,Résultats!$B$2:$AZ$251,AC$2,FALSE)</f>
        <v>1.0981842550000001</v>
      </c>
      <c r="AD35" s="53">
        <f>VLOOKUP($D35,Résultats!$B$2:$AZ$251,AD$2,FALSE)</f>
        <v>0.54474719959999995</v>
      </c>
      <c r="AE35" s="53">
        <f>VLOOKUP($D35,Résultats!$B$2:$AZ$251,AE$2,FALSE)</f>
        <v>0.26982334460000001</v>
      </c>
      <c r="AF35" s="53">
        <f>VLOOKUP($D35,Résultats!$B$2:$AZ$251,AF$2,FALSE)</f>
        <v>0.1334957302</v>
      </c>
      <c r="AG35" s="53">
        <f>VLOOKUP($D35,Résultats!$B$2:$AZ$251,AG$2,FALSE)</f>
        <v>6.5949829400000007E-2</v>
      </c>
      <c r="AH35" s="53">
        <f>VLOOKUP($D35,Résultats!$B$2:$AZ$251,AH$2,FALSE)</f>
        <v>3.3649221700000002E-2</v>
      </c>
      <c r="AI35" s="53">
        <f>VLOOKUP($D35,Résultats!$B$2:$AZ$251,AI$2,FALSE)</f>
        <v>1.6831234699999999E-2</v>
      </c>
      <c r="AJ35" s="53">
        <f>VLOOKUP($D35,Résultats!$B$2:$AZ$251,AJ$2,FALSE)</f>
        <v>8.3660547999999998E-3</v>
      </c>
      <c r="AK35" s="53">
        <f>VLOOKUP($D35,Résultats!$B$2:$AZ$251,AK$2,FALSE)</f>
        <v>4.1534984300000003E-3</v>
      </c>
      <c r="AL35" s="53">
        <f>VLOOKUP($D35,Résultats!$B$2:$AZ$251,AL$2,FALSE)</f>
        <v>2.05721723E-3</v>
      </c>
      <c r="AM35" s="213">
        <f>VLOOKUP($D35,Résultats!$B$2:$AZ$251,AM$2,FALSE)</f>
        <v>1.0065183300000001E-3</v>
      </c>
    </row>
    <row r="36" spans="2:39" x14ac:dyDescent="0.25">
      <c r="C36" s="218" t="s">
        <v>27</v>
      </c>
      <c r="D36" s="3" t="s">
        <v>151</v>
      </c>
      <c r="E36" s="25">
        <f>VLOOKUP($D36,Résultats!$B$2:$AZ$251,E$2,FALSE)</f>
        <v>1.1860039179999999</v>
      </c>
      <c r="F36" s="25">
        <f>VLOOKUP($D36,Résultats!$B$2:$AZ$251,F$2,FALSE)</f>
        <v>28.169555920000001</v>
      </c>
      <c r="G36" s="25">
        <f>VLOOKUP($D36,Résultats!$B$2:$AZ$251,G$2,FALSE)</f>
        <v>37.368813729999999</v>
      </c>
      <c r="H36" s="25">
        <f>VLOOKUP($D36,Résultats!$B$2:$AZ$251,H$2,FALSE)</f>
        <v>42.600515260000002</v>
      </c>
      <c r="I36" s="25">
        <f>VLOOKUP($D36,Résultats!$B$2:$AZ$251,I$2,FALSE)</f>
        <v>59.124876</v>
      </c>
      <c r="J36" s="25">
        <f>VLOOKUP($D36,Résultats!$B$2:$AZ$251,J$2,FALSE)</f>
        <v>51.199493230000002</v>
      </c>
      <c r="K36" s="25">
        <f>VLOOKUP($D36,Résultats!$B$2:$AZ$251,K$2,FALSE)</f>
        <v>75.603131090000005</v>
      </c>
      <c r="L36" s="25">
        <f>VLOOKUP($D36,Résultats!$B$2:$AZ$251,L$2,FALSE)</f>
        <v>89.052382269999995</v>
      </c>
      <c r="M36" s="25">
        <f>VLOOKUP($D36,Résultats!$B$2:$AZ$251,M$2,FALSE)</f>
        <v>113.42388750000001</v>
      </c>
      <c r="N36" s="25">
        <f>VLOOKUP($D36,Résultats!$B$2:$AZ$251,N$2,FALSE)</f>
        <v>125.2197168</v>
      </c>
      <c r="O36" s="25">
        <f>VLOOKUP($D36,Résultats!$B$2:$AZ$251,O$2,FALSE)</f>
        <v>106.23243050000001</v>
      </c>
      <c r="P36" s="25">
        <f>VLOOKUP($D36,Résultats!$B$2:$AZ$251,P$2,FALSE)</f>
        <v>91.198140960000003</v>
      </c>
      <c r="Q36" s="25">
        <f>VLOOKUP($D36,Résultats!$B$2:$AZ$251,Q$2,FALSE)</f>
        <v>75.38316442</v>
      </c>
      <c r="R36" s="25">
        <f>VLOOKUP($D36,Résultats!$B$2:$AZ$251,R$2,FALSE)</f>
        <v>59.631878110000002</v>
      </c>
      <c r="S36" s="25">
        <f>VLOOKUP($D36,Résultats!$B$2:$AZ$251,S$2,FALSE)</f>
        <v>44.15806894</v>
      </c>
      <c r="T36" s="25">
        <f>VLOOKUP($D36,Résultats!$B$2:$AZ$251,T$2,FALSE)</f>
        <v>29.852063430000001</v>
      </c>
      <c r="U36" s="25">
        <f>VLOOKUP($D36,Résultats!$B$2:$AZ$251,U$2,FALSE)</f>
        <v>18.696419599999999</v>
      </c>
      <c r="V36" s="25">
        <f>VLOOKUP($D36,Résultats!$B$2:$AZ$251,V$2,FALSE)</f>
        <v>10.9146015</v>
      </c>
      <c r="W36" s="25">
        <f>VLOOKUP($D36,Résultats!$B$2:$AZ$251,W$2,FALSE)</f>
        <v>6.059074216</v>
      </c>
      <c r="X36" s="25">
        <f>VLOOKUP($D36,Résultats!$B$2:$AZ$251,X$2,FALSE)</f>
        <v>3.2513920949999999</v>
      </c>
      <c r="Y36" s="25">
        <f>VLOOKUP($D36,Résultats!$B$2:$AZ$251,Y$2,FALSE)</f>
        <v>1.7493079549999999</v>
      </c>
      <c r="Z36" s="25">
        <f>VLOOKUP($D36,Résultats!$B$2:$AZ$251,Z$2,FALSE)</f>
        <v>0.92336227110000002</v>
      </c>
      <c r="AA36" s="25">
        <f>VLOOKUP($D36,Résultats!$B$2:$AZ$251,AA$2,FALSE)</f>
        <v>0.47992628180000002</v>
      </c>
      <c r="AB36" s="25">
        <f>VLOOKUP($D36,Résultats!$B$2:$AZ$251,AB$2,FALSE)</f>
        <v>0.2482017114</v>
      </c>
      <c r="AC36" s="25">
        <f>VLOOKUP($D36,Résultats!$B$2:$AZ$251,AC$2,FALSE)</f>
        <v>0.12735356349999999</v>
      </c>
      <c r="AD36" s="25">
        <f>VLOOKUP($D36,Résultats!$B$2:$AZ$251,AD$2,FALSE)</f>
        <v>6.5281891800000005E-2</v>
      </c>
      <c r="AE36" s="25">
        <f>VLOOKUP($D36,Résultats!$B$2:$AZ$251,AE$2,FALSE)</f>
        <v>3.3362452399999999E-2</v>
      </c>
      <c r="AF36" s="25">
        <f>VLOOKUP($D36,Résultats!$B$2:$AZ$251,AF$2,FALSE)</f>
        <v>1.7028883299999999E-2</v>
      </c>
      <c r="AG36" s="25">
        <f>VLOOKUP($D36,Résultats!$B$2:$AZ$251,AG$2,FALSE)</f>
        <v>8.6716306099999998E-3</v>
      </c>
      <c r="AH36" s="25">
        <f>VLOOKUP($D36,Résultats!$B$2:$AZ$251,AH$2,FALSE)</f>
        <v>4.8356184899999996E-3</v>
      </c>
      <c r="AI36" s="25">
        <f>VLOOKUP($D36,Résultats!$B$2:$AZ$251,AI$2,FALSE)</f>
        <v>2.4896034800000002E-3</v>
      </c>
      <c r="AJ36" s="25">
        <f>VLOOKUP($D36,Résultats!$B$2:$AZ$251,AJ$2,FALSE)</f>
        <v>1.27508132E-3</v>
      </c>
      <c r="AK36" s="25">
        <f>VLOOKUP($D36,Résultats!$B$2:$AZ$251,AK$2,FALSE)</f>
        <v>6.5170538400000002E-4</v>
      </c>
      <c r="AL36" s="25">
        <f>VLOOKUP($D36,Résultats!$B$2:$AZ$251,AL$2,FALSE)</f>
        <v>3.3210908400000002E-4</v>
      </c>
      <c r="AM36" s="102">
        <f>VLOOKUP($D36,Résultats!$B$2:$AZ$251,AM$2,FALSE)</f>
        <v>1.67243046E-4</v>
      </c>
    </row>
    <row r="37" spans="2:39" x14ac:dyDescent="0.25">
      <c r="C37" s="218" t="s">
        <v>28</v>
      </c>
      <c r="D37" s="3" t="s">
        <v>152</v>
      </c>
      <c r="E37" s="25">
        <f>VLOOKUP($D37,Résultats!$B$2:$AZ$251,E$2,FALSE)</f>
        <v>426.9614105</v>
      </c>
      <c r="F37" s="25">
        <f>VLOOKUP($D37,Résultats!$B$2:$AZ$251,F$2,FALSE)</f>
        <v>359.40925470000002</v>
      </c>
      <c r="G37" s="25">
        <f>VLOOKUP($D37,Résultats!$B$2:$AZ$251,G$2,FALSE)</f>
        <v>399.3408455</v>
      </c>
      <c r="H37" s="25">
        <f>VLOOKUP($D37,Résultats!$B$2:$AZ$251,H$2,FALSE)</f>
        <v>403.77472219999999</v>
      </c>
      <c r="I37" s="25">
        <f>VLOOKUP($D37,Résultats!$B$2:$AZ$251,I$2,FALSE)</f>
        <v>354.91739969999998</v>
      </c>
      <c r="J37" s="25">
        <f>VLOOKUP($D37,Résultats!$B$2:$AZ$251,J$2,FALSE)</f>
        <v>303.5128216</v>
      </c>
      <c r="K37" s="25">
        <f>VLOOKUP($D37,Résultats!$B$2:$AZ$251,K$2,FALSE)</f>
        <v>315.98450880000001</v>
      </c>
      <c r="L37" s="25">
        <f>VLOOKUP($D37,Résultats!$B$2:$AZ$251,L$2,FALSE)</f>
        <v>322.61628760000002</v>
      </c>
      <c r="M37" s="25">
        <f>VLOOKUP($D37,Résultats!$B$2:$AZ$251,M$2,FALSE)</f>
        <v>397.71463499999999</v>
      </c>
      <c r="N37" s="25">
        <f>VLOOKUP($D37,Résultats!$B$2:$AZ$251,N$2,FALSE)</f>
        <v>414.85318239999998</v>
      </c>
      <c r="O37" s="25">
        <f>VLOOKUP($D37,Résultats!$B$2:$AZ$251,O$2,FALSE)</f>
        <v>330.013418</v>
      </c>
      <c r="P37" s="25">
        <f>VLOOKUP($D37,Résultats!$B$2:$AZ$251,P$2,FALSE)</f>
        <v>270.99095360000001</v>
      </c>
      <c r="Q37" s="25">
        <f>VLOOKUP($D37,Résultats!$B$2:$AZ$251,Q$2,FALSE)</f>
        <v>216.7527565</v>
      </c>
      <c r="R37" s="25">
        <f>VLOOKUP($D37,Résultats!$B$2:$AZ$251,R$2,FALSE)</f>
        <v>163.7986942</v>
      </c>
      <c r="S37" s="25">
        <f>VLOOKUP($D37,Résultats!$B$2:$AZ$251,S$2,FALSE)</f>
        <v>115.6610065</v>
      </c>
      <c r="T37" s="25">
        <f>VLOOKUP($D37,Résultats!$B$2:$AZ$251,T$2,FALSE)</f>
        <v>75.437437160000002</v>
      </c>
      <c r="U37" s="25">
        <f>VLOOKUP($D37,Résultats!$B$2:$AZ$251,U$2,FALSE)</f>
        <v>45.723728719999997</v>
      </c>
      <c r="V37" s="25">
        <f>VLOOKUP($D37,Résultats!$B$2:$AZ$251,V$2,FALSE)</f>
        <v>25.8234633</v>
      </c>
      <c r="W37" s="25">
        <f>VLOOKUP($D37,Résultats!$B$2:$AZ$251,W$2,FALSE)</f>
        <v>13.86816636</v>
      </c>
      <c r="X37" s="25">
        <f>VLOOKUP($D37,Résultats!$B$2:$AZ$251,X$2,FALSE)</f>
        <v>7.2048766090000003</v>
      </c>
      <c r="Y37" s="25">
        <f>VLOOKUP($D37,Résultats!$B$2:$AZ$251,Y$2,FALSE)</f>
        <v>3.7734485100000001</v>
      </c>
      <c r="Z37" s="25">
        <f>VLOOKUP($D37,Résultats!$B$2:$AZ$251,Z$2,FALSE)</f>
        <v>1.9383801469999999</v>
      </c>
      <c r="AA37" s="25">
        <f>VLOOKUP($D37,Résultats!$B$2:$AZ$251,AA$2,FALSE)</f>
        <v>0.9793414319</v>
      </c>
      <c r="AB37" s="25">
        <f>VLOOKUP($D37,Résultats!$B$2:$AZ$251,AB$2,FALSE)</f>
        <v>0.49253867060000001</v>
      </c>
      <c r="AC37" s="25">
        <f>VLOOKUP($D37,Résultats!$B$2:$AZ$251,AC$2,FALSE)</f>
        <v>0.24591187019999999</v>
      </c>
      <c r="AD37" s="25">
        <f>VLOOKUP($D37,Résultats!$B$2:$AZ$251,AD$2,FALSE)</f>
        <v>0.1223481689</v>
      </c>
      <c r="AE37" s="25">
        <f>VLOOKUP($D37,Résultats!$B$2:$AZ$251,AE$2,FALSE)</f>
        <v>6.0764652500000002E-2</v>
      </c>
      <c r="AF37" s="25">
        <f>VLOOKUP($D37,Résultats!$B$2:$AZ$251,AF$2,FALSE)</f>
        <v>3.01440795E-2</v>
      </c>
      <c r="AG37" s="25">
        <f>VLOOKUP($D37,Résultats!$B$2:$AZ$251,AG$2,FALSE)</f>
        <v>1.4929883E-2</v>
      </c>
      <c r="AH37" s="25">
        <f>VLOOKUP($D37,Résultats!$B$2:$AZ$251,AH$2,FALSE)</f>
        <v>7.70583181E-3</v>
      </c>
      <c r="AI37" s="25">
        <f>VLOOKUP($D37,Résultats!$B$2:$AZ$251,AI$2,FALSE)</f>
        <v>3.8607911100000001E-3</v>
      </c>
      <c r="AJ37" s="25">
        <f>VLOOKUP($D37,Résultats!$B$2:$AZ$251,AJ$2,FALSE)</f>
        <v>1.9222707E-3</v>
      </c>
      <c r="AK37" s="25">
        <f>VLOOKUP($D37,Résultats!$B$2:$AZ$251,AK$2,FALSE)</f>
        <v>9.5574510400000005E-4</v>
      </c>
      <c r="AL37" s="25">
        <f>VLOOKUP($D37,Résultats!$B$2:$AZ$251,AL$2,FALSE)</f>
        <v>4.7398250000000002E-4</v>
      </c>
      <c r="AM37" s="102">
        <f>VLOOKUP($D37,Résultats!$B$2:$AZ$251,AM$2,FALSE)</f>
        <v>2.32181823E-4</v>
      </c>
    </row>
    <row r="38" spans="2:39" x14ac:dyDescent="0.25">
      <c r="C38" s="218" t="s">
        <v>29</v>
      </c>
      <c r="D38" s="3" t="s">
        <v>153</v>
      </c>
      <c r="E38" s="25">
        <f>VLOOKUP($D38,Résultats!$B$2:$AZ$251,E$2,FALSE)</f>
        <v>673.65022550000003</v>
      </c>
      <c r="F38" s="25">
        <f>VLOOKUP($D38,Résultats!$B$2:$AZ$251,F$2,FALSE)</f>
        <v>549.45773199999996</v>
      </c>
      <c r="G38" s="25">
        <f>VLOOKUP($D38,Résultats!$B$2:$AZ$251,G$2,FALSE)</f>
        <v>609.25703969999995</v>
      </c>
      <c r="H38" s="25">
        <f>VLOOKUP($D38,Résultats!$B$2:$AZ$251,H$2,FALSE)</f>
        <v>613.36990089999995</v>
      </c>
      <c r="I38" s="25">
        <f>VLOOKUP($D38,Résultats!$B$2:$AZ$251,I$2,FALSE)</f>
        <v>524.53150159999996</v>
      </c>
      <c r="J38" s="25">
        <f>VLOOKUP($D38,Résultats!$B$2:$AZ$251,J$2,FALSE)</f>
        <v>452.57182619999998</v>
      </c>
      <c r="K38" s="25">
        <f>VLOOKUP($D38,Résultats!$B$2:$AZ$251,K$2,FALSE)</f>
        <v>455.15551449999998</v>
      </c>
      <c r="L38" s="25">
        <f>VLOOKUP($D38,Résultats!$B$2:$AZ$251,L$2,FALSE)</f>
        <v>457.19673230000001</v>
      </c>
      <c r="M38" s="25">
        <f>VLOOKUP($D38,Résultats!$B$2:$AZ$251,M$2,FALSE)</f>
        <v>562.74041720000002</v>
      </c>
      <c r="N38" s="25">
        <f>VLOOKUP($D38,Résultats!$B$2:$AZ$251,N$2,FALSE)</f>
        <v>584.11433109999996</v>
      </c>
      <c r="O38" s="25">
        <f>VLOOKUP($D38,Résultats!$B$2:$AZ$251,O$2,FALSE)</f>
        <v>460.40238010000002</v>
      </c>
      <c r="P38" s="25">
        <f>VLOOKUP($D38,Résultats!$B$2:$AZ$251,P$2,FALSE)</f>
        <v>375.6109391</v>
      </c>
      <c r="Q38" s="25">
        <f>VLOOKUP($D38,Résultats!$B$2:$AZ$251,Q$2,FALSE)</f>
        <v>299.0177789</v>
      </c>
      <c r="R38" s="25">
        <f>VLOOKUP($D38,Résultats!$B$2:$AZ$251,R$2,FALSE)</f>
        <v>224.85134400000001</v>
      </c>
      <c r="S38" s="25">
        <f>VLOOKUP($D38,Résultats!$B$2:$AZ$251,S$2,FALSE)</f>
        <v>157.89107910000001</v>
      </c>
      <c r="T38" s="25">
        <f>VLOOKUP($D38,Résultats!$B$2:$AZ$251,T$2,FALSE)</f>
        <v>102.4190352</v>
      </c>
      <c r="U38" s="25">
        <f>VLOOKUP($D38,Résultats!$B$2:$AZ$251,U$2,FALSE)</f>
        <v>61.752218849999998</v>
      </c>
      <c r="V38" s="25">
        <f>VLOOKUP($D38,Résultats!$B$2:$AZ$251,V$2,FALSE)</f>
        <v>34.676922679999997</v>
      </c>
      <c r="W38" s="25">
        <f>VLOOKUP($D38,Résultats!$B$2:$AZ$251,W$2,FALSE)</f>
        <v>18.509297310000001</v>
      </c>
      <c r="X38" s="25">
        <f>VLOOKUP($D38,Résultats!$B$2:$AZ$251,X$2,FALSE)</f>
        <v>9.5551533000000006</v>
      </c>
      <c r="Y38" s="25">
        <f>VLOOKUP($D38,Résultats!$B$2:$AZ$251,Y$2,FALSE)</f>
        <v>4.9749850249999996</v>
      </c>
      <c r="Z38" s="25">
        <f>VLOOKUP($D38,Résultats!$B$2:$AZ$251,Z$2,FALSE)</f>
        <v>2.539794042</v>
      </c>
      <c r="AA38" s="25">
        <f>VLOOKUP($D38,Résultats!$B$2:$AZ$251,AA$2,FALSE)</f>
        <v>1.274596157</v>
      </c>
      <c r="AB38" s="25">
        <f>VLOOKUP($D38,Résultats!$B$2:$AZ$251,AB$2,FALSE)</f>
        <v>0.63663349940000002</v>
      </c>
      <c r="AC38" s="25">
        <f>VLOOKUP($D38,Résultats!$B$2:$AZ$251,AC$2,FALSE)</f>
        <v>0.3156500391</v>
      </c>
      <c r="AD38" s="25">
        <f>VLOOKUP($D38,Résultats!$B$2:$AZ$251,AD$2,FALSE)</f>
        <v>0.1560913531</v>
      </c>
      <c r="AE38" s="25">
        <f>VLOOKUP($D38,Résultats!$B$2:$AZ$251,AE$2,FALSE)</f>
        <v>7.7069849100000004E-2</v>
      </c>
      <c r="AF38" s="25">
        <f>VLOOKUP($D38,Résultats!$B$2:$AZ$251,AF$2,FALSE)</f>
        <v>3.80019812E-2</v>
      </c>
      <c r="AG38" s="25">
        <f>VLOOKUP($D38,Résultats!$B$2:$AZ$251,AG$2,FALSE)</f>
        <v>1.87081911E-2</v>
      </c>
      <c r="AH38" s="25">
        <f>VLOOKUP($D38,Résultats!$B$2:$AZ$251,AH$2,FALSE)</f>
        <v>9.4371857500000003E-3</v>
      </c>
      <c r="AI38" s="25">
        <f>VLOOKUP($D38,Résultats!$B$2:$AZ$251,AI$2,FALSE)</f>
        <v>4.7000810899999997E-3</v>
      </c>
      <c r="AJ38" s="25">
        <f>VLOOKUP($D38,Résultats!$B$2:$AZ$251,AJ$2,FALSE)</f>
        <v>2.3251416199999999E-3</v>
      </c>
      <c r="AK38" s="25">
        <f>VLOOKUP($D38,Résultats!$B$2:$AZ$251,AK$2,FALSE)</f>
        <v>1.14874812E-3</v>
      </c>
      <c r="AL38" s="25">
        <f>VLOOKUP($D38,Résultats!$B$2:$AZ$251,AL$2,FALSE)</f>
        <v>5.66106958E-4</v>
      </c>
      <c r="AM38" s="102">
        <f>VLOOKUP($D38,Résultats!$B$2:$AZ$251,AM$2,FALSE)</f>
        <v>2.7548269000000002E-4</v>
      </c>
    </row>
    <row r="39" spans="2:39" x14ac:dyDescent="0.25">
      <c r="C39" s="218" t="s">
        <v>30</v>
      </c>
      <c r="D39" s="3" t="s">
        <v>154</v>
      </c>
      <c r="E39" s="25">
        <f>VLOOKUP($D39,Résultats!$B$2:$AZ$251,E$2,FALSE)</f>
        <v>664.16219420000004</v>
      </c>
      <c r="F39" s="25">
        <f>VLOOKUP($D39,Résultats!$B$2:$AZ$251,F$2,FALSE)</f>
        <v>529.39721129999998</v>
      </c>
      <c r="G39" s="25">
        <f>VLOOKUP($D39,Résultats!$B$2:$AZ$251,G$2,FALSE)</f>
        <v>583.74305289999995</v>
      </c>
      <c r="H39" s="25">
        <f>VLOOKUP($D39,Résultats!$B$2:$AZ$251,H$2,FALSE)</f>
        <v>588.94545930000004</v>
      </c>
      <c r="I39" s="25">
        <f>VLOOKUP($D39,Résultats!$B$2:$AZ$251,I$2,FALSE)</f>
        <v>492.5354102</v>
      </c>
      <c r="J39" s="25">
        <f>VLOOKUP($D39,Résultats!$B$2:$AZ$251,J$2,FALSE)</f>
        <v>435.19867290000002</v>
      </c>
      <c r="K39" s="25">
        <f>VLOOKUP($D39,Résultats!$B$2:$AZ$251,K$2,FALSE)</f>
        <v>430.00007859999999</v>
      </c>
      <c r="L39" s="25">
        <f>VLOOKUP($D39,Résultats!$B$2:$AZ$251,L$2,FALSE)</f>
        <v>428.30663609999999</v>
      </c>
      <c r="M39" s="25">
        <f>VLOOKUP($D39,Résultats!$B$2:$AZ$251,M$2,FALSE)</f>
        <v>526.59659699999997</v>
      </c>
      <c r="N39" s="25">
        <f>VLOOKUP($D39,Résultats!$B$2:$AZ$251,N$2,FALSE)</f>
        <v>545.03002660000004</v>
      </c>
      <c r="O39" s="25">
        <f>VLOOKUP($D39,Résultats!$B$2:$AZ$251,O$2,FALSE)</f>
        <v>427.51159439999998</v>
      </c>
      <c r="P39" s="25">
        <f>VLOOKUP($D39,Résultats!$B$2:$AZ$251,P$2,FALSE)</f>
        <v>347.56102019999997</v>
      </c>
      <c r="Q39" s="25">
        <f>VLOOKUP($D39,Résultats!$B$2:$AZ$251,Q$2,FALSE)</f>
        <v>275.97265399999998</v>
      </c>
      <c r="R39" s="25">
        <f>VLOOKUP($D39,Résultats!$B$2:$AZ$251,R$2,FALSE)</f>
        <v>206.91108259999999</v>
      </c>
      <c r="S39" s="25">
        <f>VLOOKUP($D39,Résultats!$B$2:$AZ$251,S$2,FALSE)</f>
        <v>144.8145088</v>
      </c>
      <c r="T39" s="25">
        <f>VLOOKUP($D39,Résultats!$B$2:$AZ$251,T$2,FALSE)</f>
        <v>93.647012439999997</v>
      </c>
      <c r="U39" s="25">
        <f>VLOOKUP($D39,Résultats!$B$2:$AZ$251,U$2,FALSE)</f>
        <v>56.295870479999998</v>
      </c>
      <c r="V39" s="25">
        <f>VLOOKUP($D39,Résultats!$B$2:$AZ$251,V$2,FALSE)</f>
        <v>31.511438510000001</v>
      </c>
      <c r="W39" s="25">
        <f>VLOOKUP($D39,Résultats!$B$2:$AZ$251,W$2,FALSE)</f>
        <v>16.762157500000001</v>
      </c>
      <c r="X39" s="25">
        <f>VLOOKUP($D39,Résultats!$B$2:$AZ$251,X$2,FALSE)</f>
        <v>8.6225406660000008</v>
      </c>
      <c r="Y39" s="25">
        <f>VLOOKUP($D39,Résultats!$B$2:$AZ$251,Y$2,FALSE)</f>
        <v>4.4748340930000001</v>
      </c>
      <c r="Z39" s="25">
        <f>VLOOKUP($D39,Résultats!$B$2:$AZ$251,Z$2,FALSE)</f>
        <v>2.276650794</v>
      </c>
      <c r="AA39" s="25">
        <f>VLOOKUP($D39,Résultats!$B$2:$AZ$251,AA$2,FALSE)</f>
        <v>1.1383031990000001</v>
      </c>
      <c r="AB39" s="25">
        <f>VLOOKUP($D39,Résultats!$B$2:$AZ$251,AB$2,FALSE)</f>
        <v>0.56640250759999999</v>
      </c>
      <c r="AC39" s="25">
        <f>VLOOKUP($D39,Résultats!$B$2:$AZ$251,AC$2,FALSE)</f>
        <v>0.27975231490000002</v>
      </c>
      <c r="AD39" s="25">
        <f>VLOOKUP($D39,Résultats!$B$2:$AZ$251,AD$2,FALSE)</f>
        <v>0.1378540825</v>
      </c>
      <c r="AE39" s="25">
        <f>VLOOKUP($D39,Résultats!$B$2:$AZ$251,AE$2,FALSE)</f>
        <v>6.7834460400000005E-2</v>
      </c>
      <c r="AF39" s="25">
        <f>VLOOKUP($D39,Résultats!$B$2:$AZ$251,AF$2,FALSE)</f>
        <v>3.3331581899999997E-2</v>
      </c>
      <c r="AG39" s="25">
        <f>VLOOKUP($D39,Résultats!$B$2:$AZ$251,AG$2,FALSE)</f>
        <v>1.6351968599999999E-2</v>
      </c>
      <c r="AH39" s="25">
        <f>VLOOKUP($D39,Résultats!$B$2:$AZ$251,AH$2,FALSE)</f>
        <v>8.1461998099999905E-3</v>
      </c>
      <c r="AI39" s="25">
        <f>VLOOKUP($D39,Résultats!$B$2:$AZ$251,AI$2,FALSE)</f>
        <v>4.0432625200000002E-3</v>
      </c>
      <c r="AJ39" s="25">
        <f>VLOOKUP($D39,Résultats!$B$2:$AZ$251,AJ$2,FALSE)</f>
        <v>1.9929276399999999E-3</v>
      </c>
      <c r="AK39" s="25">
        <f>VLOOKUP($D39,Résultats!$B$2:$AZ$251,AK$2,FALSE)</f>
        <v>9.8110427499999999E-4</v>
      </c>
      <c r="AL39" s="25">
        <f>VLOOKUP($D39,Résultats!$B$2:$AZ$251,AL$2,FALSE)</f>
        <v>4.8178367199999998E-4</v>
      </c>
      <c r="AM39" s="102">
        <f>VLOOKUP($D39,Résultats!$B$2:$AZ$251,AM$2,FALSE)</f>
        <v>2.3359353700000001E-4</v>
      </c>
    </row>
    <row r="40" spans="2:39" x14ac:dyDescent="0.25">
      <c r="C40" s="218" t="s">
        <v>31</v>
      </c>
      <c r="D40" s="3" t="s">
        <v>155</v>
      </c>
      <c r="E40" s="25">
        <f>VLOOKUP($D40,Résultats!$B$2:$AZ$251,E$2,FALSE)</f>
        <v>426.9614105</v>
      </c>
      <c r="F40" s="25">
        <f>VLOOKUP($D40,Résultats!$B$2:$AZ$251,F$2,FALSE)</f>
        <v>324.79863649999999</v>
      </c>
      <c r="G40" s="25">
        <f>VLOOKUP($D40,Résultats!$B$2:$AZ$251,G$2,FALSE)</f>
        <v>350.57110949999998</v>
      </c>
      <c r="H40" s="25">
        <f>VLOOKUP($D40,Résultats!$B$2:$AZ$251,H$2,FALSE)</f>
        <v>346.85913590000001</v>
      </c>
      <c r="I40" s="25">
        <f>VLOOKUP($D40,Résultats!$B$2:$AZ$251,I$2,FALSE)</f>
        <v>272.54763209999999</v>
      </c>
      <c r="J40" s="25">
        <f>VLOOKUP($D40,Résultats!$B$2:$AZ$251,J$2,FALSE)</f>
        <v>251.79392899999999</v>
      </c>
      <c r="K40" s="25">
        <f>VLOOKUP($D40,Résultats!$B$2:$AZ$251,K$2,FALSE)</f>
        <v>227.812569</v>
      </c>
      <c r="L40" s="25">
        <f>VLOOKUP($D40,Résultats!$B$2:$AZ$251,L$2,FALSE)</f>
        <v>220.86566830000001</v>
      </c>
      <c r="M40" s="25">
        <f>VLOOKUP($D40,Résultats!$B$2:$AZ$251,M$2,FALSE)</f>
        <v>270.7900242</v>
      </c>
      <c r="N40" s="25">
        <f>VLOOKUP($D40,Résultats!$B$2:$AZ$251,N$2,FALSE)</f>
        <v>277.93901949999997</v>
      </c>
      <c r="O40" s="25">
        <f>VLOOKUP($D40,Résultats!$B$2:$AZ$251,O$2,FALSE)</f>
        <v>214.72868819999999</v>
      </c>
      <c r="P40" s="25">
        <f>VLOOKUP($D40,Résultats!$B$2:$AZ$251,P$2,FALSE)</f>
        <v>172.71995369999999</v>
      </c>
      <c r="Q40" s="25">
        <f>VLOOKUP($D40,Résultats!$B$2:$AZ$251,Q$2,FALSE)</f>
        <v>136.0886399</v>
      </c>
      <c r="R40" s="25">
        <f>VLOOKUP($D40,Résultats!$B$2:$AZ$251,R$2,FALSE)</f>
        <v>101.1987369</v>
      </c>
      <c r="S40" s="25">
        <f>VLOOKUP($D40,Résultats!$B$2:$AZ$251,S$2,FALSE)</f>
        <v>70.183837260000004</v>
      </c>
      <c r="T40" s="25">
        <f>VLOOKUP($D40,Résultats!$B$2:$AZ$251,T$2,FALSE)</f>
        <v>44.989325989999998</v>
      </c>
      <c r="U40" s="25">
        <f>VLOOKUP($D40,Résultats!$B$2:$AZ$251,U$2,FALSE)</f>
        <v>26.821073429999998</v>
      </c>
      <c r="V40" s="25">
        <f>VLOOKUP($D40,Résultats!$B$2:$AZ$251,V$2,FALSE)</f>
        <v>14.879551810000001</v>
      </c>
      <c r="W40" s="25">
        <f>VLOOKUP($D40,Résultats!$B$2:$AZ$251,W$2,FALSE)</f>
        <v>7.8410912750000001</v>
      </c>
      <c r="X40" s="25">
        <f>VLOOKUP($D40,Résultats!$B$2:$AZ$251,X$2,FALSE)</f>
        <v>3.995088333</v>
      </c>
      <c r="Y40" s="25">
        <f>VLOOKUP($D40,Résultats!$B$2:$AZ$251,Y$2,FALSE)</f>
        <v>2.0554285989999999</v>
      </c>
      <c r="Z40" s="25">
        <f>VLOOKUP($D40,Résultats!$B$2:$AZ$251,Z$2,FALSE)</f>
        <v>1.0364259039999999</v>
      </c>
      <c r="AA40" s="25">
        <f>VLOOKUP($D40,Résultats!$B$2:$AZ$251,AA$2,FALSE)</f>
        <v>0.5133216491</v>
      </c>
      <c r="AB40" s="25">
        <f>VLOOKUP($D40,Résultats!$B$2:$AZ$251,AB$2,FALSE)</f>
        <v>0.2530264867</v>
      </c>
      <c r="AC40" s="25">
        <f>VLOOKUP($D40,Résultats!$B$2:$AZ$251,AC$2,FALSE)</f>
        <v>0.1238235203</v>
      </c>
      <c r="AD40" s="25">
        <f>VLOOKUP($D40,Résultats!$B$2:$AZ$251,AD$2,FALSE)</f>
        <v>6.0538113900000003E-2</v>
      </c>
      <c r="AE40" s="25">
        <f>VLOOKUP($D40,Résultats!$B$2:$AZ$251,AE$2,FALSE)</f>
        <v>2.9571545000000001E-2</v>
      </c>
      <c r="AF40" s="25">
        <f>VLOOKUP($D40,Résultats!$B$2:$AZ$251,AF$2,FALSE)</f>
        <v>1.4424883100000001E-2</v>
      </c>
      <c r="AG40" s="25">
        <f>VLOOKUP($D40,Résultats!$B$2:$AZ$251,AG$2,FALSE)</f>
        <v>7.0272620999999999E-3</v>
      </c>
      <c r="AH40" s="25">
        <f>VLOOKUP($D40,Résultats!$B$2:$AZ$251,AH$2,FALSE)</f>
        <v>3.4182333899999999E-3</v>
      </c>
      <c r="AI40" s="25">
        <f>VLOOKUP($D40,Résultats!$B$2:$AZ$251,AI$2,FALSE)</f>
        <v>1.68740953E-3</v>
      </c>
      <c r="AJ40" s="25">
        <f>VLOOKUP($D40,Résultats!$B$2:$AZ$251,AJ$2,FALSE)</f>
        <v>8.2719292200000003E-4</v>
      </c>
      <c r="AK40" s="25">
        <f>VLOOKUP($D40,Résultats!$B$2:$AZ$251,AK$2,FALSE)</f>
        <v>4.0520146E-4</v>
      </c>
      <c r="AL40" s="25">
        <f>VLOOKUP($D40,Résultats!$B$2:$AZ$251,AL$2,FALSE)</f>
        <v>1.9807652500000001E-4</v>
      </c>
      <c r="AM40" s="102">
        <f>VLOOKUP($D40,Résultats!$B$2:$AZ$251,AM$2,FALSE)</f>
        <v>9.5624601000000002E-5</v>
      </c>
    </row>
    <row r="41" spans="2:39" x14ac:dyDescent="0.25">
      <c r="C41" s="218" t="s">
        <v>32</v>
      </c>
      <c r="D41" s="3" t="s">
        <v>156</v>
      </c>
      <c r="E41" s="25">
        <f>VLOOKUP($D41,Résultats!$B$2:$AZ$251,E$2,FALSE)</f>
        <v>142.32047019999999</v>
      </c>
      <c r="F41" s="25">
        <f>VLOOKUP($D41,Résultats!$B$2:$AZ$251,F$2,FALSE)</f>
        <v>90.252914840000003</v>
      </c>
      <c r="G41" s="25">
        <f>VLOOKUP($D41,Résultats!$B$2:$AZ$251,G$2,FALSE)</f>
        <v>102.0310163</v>
      </c>
      <c r="H41" s="25">
        <f>VLOOKUP($D41,Résultats!$B$2:$AZ$251,H$2,FALSE)</f>
        <v>97.606592649999996</v>
      </c>
      <c r="I41" s="25">
        <f>VLOOKUP($D41,Résultats!$B$2:$AZ$251,I$2,FALSE)</f>
        <v>67.520879129999997</v>
      </c>
      <c r="J41" s="25">
        <f>VLOOKUP($D41,Résultats!$B$2:$AZ$251,J$2,FALSE)</f>
        <v>42.034293890000001</v>
      </c>
      <c r="K41" s="25">
        <f>VLOOKUP($D41,Résultats!$B$2:$AZ$251,K$2,FALSE)</f>
        <v>29.061185590000001</v>
      </c>
      <c r="L41" s="25">
        <f>VLOOKUP($D41,Résultats!$B$2:$AZ$251,L$2,FALSE)</f>
        <v>24.721593670000001</v>
      </c>
      <c r="M41" s="25">
        <f>VLOOKUP($D41,Résultats!$B$2:$AZ$251,M$2,FALSE)</f>
        <v>29.877939009999999</v>
      </c>
      <c r="N41" s="25">
        <f>VLOOKUP($D41,Résultats!$B$2:$AZ$251,N$2,FALSE)</f>
        <v>29.393468559999999</v>
      </c>
      <c r="O41" s="25">
        <f>VLOOKUP($D41,Résultats!$B$2:$AZ$251,O$2,FALSE)</f>
        <v>21.008232209999999</v>
      </c>
      <c r="P41" s="25">
        <f>VLOOKUP($D41,Résultats!$B$2:$AZ$251,P$2,FALSE)</f>
        <v>15.97663852</v>
      </c>
      <c r="Q41" s="25">
        <f>VLOOKUP($D41,Résultats!$B$2:$AZ$251,Q$2,FALSE)</f>
        <v>12.077130049999999</v>
      </c>
      <c r="R41" s="25">
        <f>VLOOKUP($D41,Résultats!$B$2:$AZ$251,R$2,FALSE)</f>
        <v>8.5815666030000006</v>
      </c>
      <c r="S41" s="25">
        <f>VLOOKUP($D41,Résultats!$B$2:$AZ$251,S$2,FALSE)</f>
        <v>5.6523532190000001</v>
      </c>
      <c r="T41" s="25">
        <f>VLOOKUP($D41,Résultats!$B$2:$AZ$251,T$2,FALSE)</f>
        <v>3.4468274540000001</v>
      </c>
      <c r="U41" s="25">
        <f>VLOOKUP($D41,Résultats!$B$2:$AZ$251,U$2,FALSE)</f>
        <v>1.9580917879999999</v>
      </c>
      <c r="V41" s="25">
        <f>VLOOKUP($D41,Résultats!$B$2:$AZ$251,V$2,FALSE)</f>
        <v>1.030621359</v>
      </c>
      <c r="W41" s="25">
        <f>VLOOKUP($D41,Résultats!$B$2:$AZ$251,W$2,FALSE)</f>
        <v>0.51337603060000003</v>
      </c>
      <c r="X41" s="25">
        <f>VLOOKUP($D41,Résultats!$B$2:$AZ$251,X$2,FALSE)</f>
        <v>0.24670257209999999</v>
      </c>
      <c r="Y41" s="25">
        <f>VLOOKUP($D41,Résultats!$B$2:$AZ$251,Y$2,FALSE)</f>
        <v>0.1202773573</v>
      </c>
      <c r="Z41" s="25">
        <f>VLOOKUP($D41,Résultats!$B$2:$AZ$251,Z$2,FALSE)</f>
        <v>5.7317094399999997E-2</v>
      </c>
      <c r="AA41" s="25">
        <f>VLOOKUP($D41,Résultats!$B$2:$AZ$251,AA$2,FALSE)</f>
        <v>2.6709614600000001E-2</v>
      </c>
      <c r="AB41" s="25">
        <f>VLOOKUP($D41,Résultats!$B$2:$AZ$251,AB$2,FALSE)</f>
        <v>1.2375875600000001E-2</v>
      </c>
      <c r="AC41" s="25">
        <f>VLOOKUP($D41,Résultats!$B$2:$AZ$251,AC$2,FALSE)</f>
        <v>5.69294686E-3</v>
      </c>
      <c r="AD41" s="25">
        <f>VLOOKUP($D41,Résultats!$B$2:$AZ$251,AD$2,FALSE)</f>
        <v>2.6335894799999998E-3</v>
      </c>
      <c r="AE41" s="25">
        <f>VLOOKUP($D41,Résultats!$B$2:$AZ$251,AE$2,FALSE)</f>
        <v>1.22038528E-3</v>
      </c>
      <c r="AF41" s="25">
        <f>VLOOKUP($D41,Résultats!$B$2:$AZ$251,AF$2,FALSE)</f>
        <v>5.6432120600000005E-4</v>
      </c>
      <c r="AG41" s="25">
        <f>VLOOKUP($D41,Résultats!$B$2:$AZ$251,AG$2,FALSE)</f>
        <v>2.6089405100000003E-4</v>
      </c>
      <c r="AH41" s="25">
        <f>VLOOKUP($D41,Résultats!$B$2:$AZ$251,AH$2,FALSE)</f>
        <v>1.06152399E-4</v>
      </c>
      <c r="AI41" s="25">
        <f>VLOOKUP($D41,Résultats!$B$2:$AZ$251,AI$2,FALSE)</f>
        <v>5.0087006899999998E-5</v>
      </c>
      <c r="AJ41" s="25">
        <f>VLOOKUP($D41,Résultats!$B$2:$AZ$251,AJ$2,FALSE)</f>
        <v>2.3440599600000001E-5</v>
      </c>
      <c r="AK41" s="25">
        <f>VLOOKUP($D41,Résultats!$B$2:$AZ$251,AK$2,FALSE)</f>
        <v>1.09940872E-5</v>
      </c>
      <c r="AL41" s="25">
        <f>VLOOKUP($D41,Résultats!$B$2:$AZ$251,AL$2,FALSE)</f>
        <v>5.1584903999999997E-6</v>
      </c>
      <c r="AM41" s="102">
        <f>VLOOKUP($D41,Résultats!$B$2:$AZ$251,AM$2,FALSE)</f>
        <v>2.3926311299999998E-6</v>
      </c>
    </row>
    <row r="42" spans="2:39" x14ac:dyDescent="0.25">
      <c r="C42" s="219" t="s">
        <v>33</v>
      </c>
      <c r="D42" s="7" t="s">
        <v>157</v>
      </c>
      <c r="E42" s="57">
        <f>VLOOKUP($D42,Résultats!$B$2:$AZ$251,E$2,FALSE)</f>
        <v>35.580117540000003</v>
      </c>
      <c r="F42" s="57">
        <f>VLOOKUP($D42,Résultats!$B$2:$AZ$251,F$2,FALSE)</f>
        <v>16.53033065</v>
      </c>
      <c r="G42" s="57">
        <f>VLOOKUP($D42,Résultats!$B$2:$AZ$251,G$2,FALSE)</f>
        <v>18.806428319999998</v>
      </c>
      <c r="H42" s="57">
        <f>VLOOKUP($D42,Résultats!$B$2:$AZ$251,H$2,FALSE)</f>
        <v>14.72920702</v>
      </c>
      <c r="I42" s="57">
        <f>VLOOKUP($D42,Résultats!$B$2:$AZ$251,I$2,FALSE)</f>
        <v>7.4987083309999996</v>
      </c>
      <c r="J42" s="57">
        <f>VLOOKUP($D42,Résultats!$B$2:$AZ$251,J$2,FALSE)</f>
        <v>1.373761265</v>
      </c>
      <c r="K42" s="57">
        <f>VLOOKUP($D42,Résultats!$B$2:$AZ$251,K$2,FALSE)</f>
        <v>0</v>
      </c>
      <c r="L42" s="57">
        <f>VLOOKUP($D42,Résultats!$B$2:$AZ$251,L$2,FALSE)</f>
        <v>0</v>
      </c>
      <c r="M42" s="57">
        <f>VLOOKUP($D42,Résultats!$B$2:$AZ$251,M$2,FALSE)</f>
        <v>0</v>
      </c>
      <c r="N42" s="57">
        <f>VLOOKUP($D42,Résultats!$B$2:$AZ$251,N$2,FALSE)</f>
        <v>0</v>
      </c>
      <c r="O42" s="57">
        <f>VLOOKUP($D42,Résultats!$B$2:$AZ$251,O$2,FALSE)</f>
        <v>0</v>
      </c>
      <c r="P42" s="57">
        <f>VLOOKUP($D42,Résultats!$B$2:$AZ$251,P$2,FALSE)</f>
        <v>0</v>
      </c>
      <c r="Q42" s="57">
        <f>VLOOKUP($D42,Résultats!$B$2:$AZ$251,Q$2,FALSE)</f>
        <v>0</v>
      </c>
      <c r="R42" s="57">
        <f>VLOOKUP($D42,Résultats!$B$2:$AZ$251,R$2,FALSE)</f>
        <v>0</v>
      </c>
      <c r="S42" s="57">
        <f>VLOOKUP($D42,Résultats!$B$2:$AZ$251,S$2,FALSE)</f>
        <v>0</v>
      </c>
      <c r="T42" s="57">
        <f>VLOOKUP($D42,Résultats!$B$2:$AZ$251,T$2,FALSE)</f>
        <v>0</v>
      </c>
      <c r="U42" s="57">
        <f>VLOOKUP($D42,Résultats!$B$2:$AZ$251,U$2,FALSE)</f>
        <v>0</v>
      </c>
      <c r="V42" s="57">
        <f>VLOOKUP($D42,Résultats!$B$2:$AZ$251,V$2,FALSE)</f>
        <v>0</v>
      </c>
      <c r="W42" s="57">
        <f>VLOOKUP($D42,Résultats!$B$2:$AZ$251,W$2,FALSE)</f>
        <v>0</v>
      </c>
      <c r="X42" s="57">
        <f>VLOOKUP($D42,Résultats!$B$2:$AZ$251,X$2,FALSE)</f>
        <v>0</v>
      </c>
      <c r="Y42" s="57">
        <f>VLOOKUP($D42,Résultats!$B$2:$AZ$251,Y$2,FALSE)</f>
        <v>0</v>
      </c>
      <c r="Z42" s="57">
        <f>VLOOKUP($D42,Résultats!$B$2:$AZ$251,Z$2,FALSE)</f>
        <v>0</v>
      </c>
      <c r="AA42" s="57">
        <f>VLOOKUP($D42,Résultats!$B$2:$AZ$251,AA$2,FALSE)</f>
        <v>0</v>
      </c>
      <c r="AB42" s="57">
        <f>VLOOKUP($D42,Résultats!$B$2:$AZ$251,AB$2,FALSE)</f>
        <v>0</v>
      </c>
      <c r="AC42" s="57">
        <f>VLOOKUP($D42,Résultats!$B$2:$AZ$251,AC$2,FALSE)</f>
        <v>0</v>
      </c>
      <c r="AD42" s="57">
        <f>VLOOKUP($D42,Résultats!$B$2:$AZ$251,AD$2,FALSE)</f>
        <v>0</v>
      </c>
      <c r="AE42" s="57">
        <f>VLOOKUP($D42,Résultats!$B$2:$AZ$251,AE$2,FALSE)</f>
        <v>0</v>
      </c>
      <c r="AF42" s="57">
        <f>VLOOKUP($D42,Résultats!$B$2:$AZ$251,AF$2,FALSE)</f>
        <v>0</v>
      </c>
      <c r="AG42" s="57">
        <f>VLOOKUP($D42,Résultats!$B$2:$AZ$251,AG$2,FALSE)</f>
        <v>0</v>
      </c>
      <c r="AH42" s="57">
        <f>VLOOKUP($D42,Résultats!$B$2:$AZ$251,AH$2,FALSE)</f>
        <v>0</v>
      </c>
      <c r="AI42" s="57">
        <f>VLOOKUP($D42,Résultats!$B$2:$AZ$251,AI$2,FALSE)</f>
        <v>0</v>
      </c>
      <c r="AJ42" s="57">
        <f>VLOOKUP($D42,Résultats!$B$2:$AZ$251,AJ$2,FALSE)</f>
        <v>0</v>
      </c>
      <c r="AK42" s="57">
        <f>VLOOKUP($D42,Résultats!$B$2:$AZ$251,AK$2,FALSE)</f>
        <v>0</v>
      </c>
      <c r="AL42" s="57">
        <f>VLOOKUP($D42,Résultats!$B$2:$AZ$251,AL$2,FALSE)</f>
        <v>0</v>
      </c>
      <c r="AM42" s="215">
        <f>VLOOKUP($D42,Résultats!$B$2:$AZ$251,AM$2,FALSE)</f>
        <v>0</v>
      </c>
    </row>
    <row r="43" spans="2:39" x14ac:dyDescent="0.25">
      <c r="B43" s="229" t="s">
        <v>78</v>
      </c>
      <c r="C43" s="220" t="s">
        <v>463</v>
      </c>
      <c r="D43" s="58" t="s">
        <v>130</v>
      </c>
      <c r="E43" s="99">
        <f>VLOOKUP($D48,Résultats!$B$2:$AZ$212,E$2,FALSE)</f>
        <v>32001.800439999999</v>
      </c>
      <c r="F43" s="99">
        <f>VLOOKUP($D48,Résultats!$B$2:$AZ$212,F$2,FALSE)</f>
        <v>35911.307350000003</v>
      </c>
      <c r="G43" s="99">
        <f>VLOOKUP($D48,Résultats!$B$2:$AZ$212,G$2,FALSE)</f>
        <v>36708.886160000002</v>
      </c>
      <c r="H43" s="99">
        <f>VLOOKUP($D48,Résultats!$B$2:$AZ$212,H$2,FALSE)</f>
        <v>37113.743849999999</v>
      </c>
      <c r="I43" s="99">
        <f>VLOOKUP($D48,Résultats!$B$2:$AZ$212,I$2,FALSE)</f>
        <v>37179.48702</v>
      </c>
      <c r="J43" s="99">
        <f>VLOOKUP($D48,Résultats!$B$2:$AZ$212,J$2,FALSE)</f>
        <v>37014.663189999999</v>
      </c>
      <c r="K43" s="99">
        <f>VLOOKUP($D48,Résultats!$B$2:$AZ$212,K$2,FALSE)</f>
        <v>36688.159140000003</v>
      </c>
      <c r="L43" s="99">
        <f>VLOOKUP($D48,Résultats!$B$2:$AZ$212,L$2,FALSE)</f>
        <v>36318.789250000002</v>
      </c>
      <c r="M43" s="99">
        <f>VLOOKUP($D48,Résultats!$B$2:$AZ$212,M$2,FALSE)</f>
        <v>36457.487150000001</v>
      </c>
      <c r="N43" s="99">
        <f>VLOOKUP($D48,Résultats!$B$2:$AZ$212,N$2,FALSE)</f>
        <v>36763.716890000003</v>
      </c>
      <c r="O43" s="99">
        <f>VLOOKUP($D48,Résultats!$B$2:$AZ$212,O$2,FALSE)</f>
        <v>36639.481160000003</v>
      </c>
      <c r="P43" s="99">
        <f>VLOOKUP($D48,Résultats!$B$2:$AZ$212,P$2,FALSE)</f>
        <v>36315.633170000001</v>
      </c>
      <c r="Q43" s="99">
        <f>VLOOKUP($D48,Résultats!$B$2:$AZ$212,Q$2,FALSE)</f>
        <v>35898.810440000001</v>
      </c>
      <c r="R43" s="99">
        <f>VLOOKUP($D48,Résultats!$B$2:$AZ$212,R$2,FALSE)</f>
        <v>35416.42828</v>
      </c>
      <c r="S43" s="99">
        <f>VLOOKUP($D48,Résultats!$B$2:$AZ$212,S$2,FALSE)</f>
        <v>34895.548940000001</v>
      </c>
      <c r="T43" s="99">
        <f>VLOOKUP($D48,Résultats!$B$2:$AZ$212,T$2,FALSE)</f>
        <v>34355.081859999998</v>
      </c>
      <c r="U43" s="99">
        <f>VLOOKUP($D48,Résultats!$B$2:$AZ$212,U$2,FALSE)</f>
        <v>33819.292099999999</v>
      </c>
      <c r="V43" s="99">
        <f>VLOOKUP($D48,Résultats!$B$2:$AZ$212,V$2,FALSE)</f>
        <v>33292.62343</v>
      </c>
      <c r="W43" s="99">
        <f>VLOOKUP($D48,Résultats!$B$2:$AZ$212,W$2,FALSE)</f>
        <v>32779.233679999998</v>
      </c>
      <c r="X43" s="99">
        <f>VLOOKUP($D48,Résultats!$B$2:$AZ$212,X$2,FALSE)</f>
        <v>32279.545880000001</v>
      </c>
      <c r="Y43" s="99">
        <f>VLOOKUP($D48,Résultats!$B$2:$AZ$212,Y$2,FALSE)</f>
        <v>31835.165280000001</v>
      </c>
      <c r="Z43" s="99">
        <f>VLOOKUP($D48,Résultats!$B$2:$AZ$212,Z$2,FALSE)</f>
        <v>31429.478179999998</v>
      </c>
      <c r="AA43" s="99">
        <f>VLOOKUP($D48,Résultats!$B$2:$AZ$212,AA$2,FALSE)</f>
        <v>31042.617269999999</v>
      </c>
      <c r="AB43" s="99">
        <f>VLOOKUP($D48,Résultats!$B$2:$AZ$212,AB$2,FALSE)</f>
        <v>30670.763180000002</v>
      </c>
      <c r="AC43" s="99">
        <f>VLOOKUP($D48,Résultats!$B$2:$AZ$212,AC$2,FALSE)</f>
        <v>30304.074820000002</v>
      </c>
      <c r="AD43" s="99">
        <f>VLOOKUP($D48,Résultats!$B$2:$AZ$212,AD$2,FALSE)</f>
        <v>29948.167249999999</v>
      </c>
      <c r="AE43" s="99">
        <f>VLOOKUP($D48,Résultats!$B$2:$AZ$212,AE$2,FALSE)</f>
        <v>29600.77953</v>
      </c>
      <c r="AF43" s="99">
        <f>VLOOKUP($D48,Résultats!$B$2:$AZ$212,AF$2,FALSE)</f>
        <v>29260.05156</v>
      </c>
      <c r="AG43" s="99">
        <f>VLOOKUP($D48,Résultats!$B$2:$AZ$212,AG$2,FALSE)</f>
        <v>28923.65005</v>
      </c>
      <c r="AH43" s="99">
        <f>VLOOKUP($D48,Résultats!$B$2:$AZ$212,AH$2,FALSE)</f>
        <v>28519.4025</v>
      </c>
      <c r="AI43" s="99">
        <f>VLOOKUP($D48,Résultats!$B$2:$AZ$212,AI$2,FALSE)</f>
        <v>28143.878560000001</v>
      </c>
      <c r="AJ43" s="99">
        <f>VLOOKUP($D48,Résultats!$B$2:$AZ$212,AJ$2,FALSE)</f>
        <v>27785.605250000001</v>
      </c>
      <c r="AK43" s="99">
        <f>VLOOKUP($D48,Résultats!$B$2:$AZ$212,AK$2,FALSE)</f>
        <v>27441.713029999999</v>
      </c>
      <c r="AL43" s="99">
        <f>VLOOKUP($D48,Résultats!$B$2:$AZ$212,AL$2,FALSE)</f>
        <v>27107.77678</v>
      </c>
      <c r="AM43" s="104">
        <f>VLOOKUP($D48,Résultats!$B$2:$AZ$212,AM$2,FALSE)</f>
        <v>26765.189910000001</v>
      </c>
    </row>
    <row r="44" spans="2:39" x14ac:dyDescent="0.25">
      <c r="B44" s="230"/>
      <c r="C44" s="218" t="s">
        <v>8</v>
      </c>
      <c r="D44" s="54" t="s">
        <v>145</v>
      </c>
      <c r="E44" s="25">
        <f>VLOOKUP($D44,Résultats!$B$2:$AZ$212,E$2,FALSE)</f>
        <v>0</v>
      </c>
      <c r="F44" s="25">
        <f>VLOOKUP($D44,Résultats!$B$2:$AZ$212,F$2,FALSE)</f>
        <v>0</v>
      </c>
      <c r="G44" s="25">
        <f>VLOOKUP($D44,Résultats!$B$2:$AZ$212,G$2,FALSE)</f>
        <v>0</v>
      </c>
      <c r="H44" s="25">
        <f>VLOOKUP($D44,Résultats!$B$2:$AZ$212,H$2,FALSE)</f>
        <v>0</v>
      </c>
      <c r="I44" s="25">
        <f>VLOOKUP($D44,Résultats!$B$2:$AZ$212,I$2,FALSE)</f>
        <v>0</v>
      </c>
      <c r="J44" s="25">
        <f>VLOOKUP($D44,Résultats!$B$2:$AZ$212,J$2,FALSE)</f>
        <v>0</v>
      </c>
      <c r="K44" s="25">
        <f>VLOOKUP($D44,Résultats!$B$2:$AZ$212,K$2,FALSE)</f>
        <v>0</v>
      </c>
      <c r="L44" s="25">
        <f>VLOOKUP($D44,Résultats!$B$2:$AZ$212,L$2,FALSE)</f>
        <v>0</v>
      </c>
      <c r="M44" s="25">
        <f>VLOOKUP($D44,Résultats!$B$2:$AZ$212,M$2,FALSE)</f>
        <v>0</v>
      </c>
      <c r="N44" s="25">
        <f>VLOOKUP($D44,Résultats!$B$2:$AZ$212,N$2,FALSE)</f>
        <v>0</v>
      </c>
      <c r="O44" s="25">
        <f>VLOOKUP($D44,Résultats!$B$2:$AZ$212,O$2,FALSE)</f>
        <v>0</v>
      </c>
      <c r="P44" s="25">
        <f>VLOOKUP($D44,Résultats!$B$2:$AZ$212,P$2,FALSE)</f>
        <v>0</v>
      </c>
      <c r="Q44" s="25">
        <f>VLOOKUP($D44,Résultats!$B$2:$AZ$212,Q$2,FALSE)</f>
        <v>0</v>
      </c>
      <c r="R44" s="25">
        <f>VLOOKUP($D44,Résultats!$B$2:$AZ$212,R$2,FALSE)</f>
        <v>0</v>
      </c>
      <c r="S44" s="25">
        <f>VLOOKUP($D44,Résultats!$B$2:$AZ$212,S$2,FALSE)</f>
        <v>0</v>
      </c>
      <c r="T44" s="25">
        <f>VLOOKUP($D44,Résultats!$B$2:$AZ$212,T$2,FALSE)</f>
        <v>0</v>
      </c>
      <c r="U44" s="25">
        <f>VLOOKUP($D44,Résultats!$B$2:$AZ$212,U$2,FALSE)</f>
        <v>0</v>
      </c>
      <c r="V44" s="25">
        <f>VLOOKUP($D44,Résultats!$B$2:$AZ$212,V$2,FALSE)</f>
        <v>0</v>
      </c>
      <c r="W44" s="25">
        <f>VLOOKUP($D44,Résultats!$B$2:$AZ$212,W$2,FALSE)</f>
        <v>0</v>
      </c>
      <c r="X44" s="25">
        <f>VLOOKUP($D44,Résultats!$B$2:$AZ$212,X$2,FALSE)</f>
        <v>0</v>
      </c>
      <c r="Y44" s="25">
        <f>VLOOKUP($D44,Résultats!$B$2:$AZ$212,Y$2,FALSE)</f>
        <v>0</v>
      </c>
      <c r="Z44" s="25">
        <f>VLOOKUP($D44,Résultats!$B$2:$AZ$212,Z$2,FALSE)</f>
        <v>0</v>
      </c>
      <c r="AA44" s="25">
        <f>VLOOKUP($D44,Résultats!$B$2:$AZ$212,AA$2,FALSE)</f>
        <v>0</v>
      </c>
      <c r="AB44" s="25">
        <f>VLOOKUP($D44,Résultats!$B$2:$AZ$212,AB$2,FALSE)</f>
        <v>0</v>
      </c>
      <c r="AC44" s="25">
        <f>VLOOKUP($D44,Résultats!$B$2:$AZ$212,AC$2,FALSE)</f>
        <v>0</v>
      </c>
      <c r="AD44" s="25">
        <f>VLOOKUP($D44,Résultats!$B$2:$AZ$212,AD$2,FALSE)</f>
        <v>0</v>
      </c>
      <c r="AE44" s="25">
        <f>VLOOKUP($D44,Résultats!$B$2:$AZ$212,AE$2,FALSE)</f>
        <v>0</v>
      </c>
      <c r="AF44" s="25">
        <f>VLOOKUP($D44,Résultats!$B$2:$AZ$212,AF$2,FALSE)</f>
        <v>0</v>
      </c>
      <c r="AG44" s="25">
        <f>VLOOKUP($D44,Résultats!$B$2:$AZ$212,AG$2,FALSE)</f>
        <v>0</v>
      </c>
      <c r="AH44" s="25">
        <f>VLOOKUP($D44,Résultats!$B$2:$AZ$212,AH$2,FALSE)</f>
        <v>0</v>
      </c>
      <c r="AI44" s="25">
        <f>VLOOKUP($D44,Résultats!$B$2:$AZ$212,AI$2,FALSE)</f>
        <v>0</v>
      </c>
      <c r="AJ44" s="25">
        <f>VLOOKUP($D44,Résultats!$B$2:$AZ$212,AJ$2,FALSE)</f>
        <v>0</v>
      </c>
      <c r="AK44" s="25">
        <f>VLOOKUP($D44,Résultats!$B$2:$AZ$212,AK$2,FALSE)</f>
        <v>0</v>
      </c>
      <c r="AL44" s="25">
        <f>VLOOKUP($D44,Résultats!$B$2:$AZ$212,AL$2,FALSE)</f>
        <v>0</v>
      </c>
      <c r="AM44" s="102">
        <f>VLOOKUP($D44,Résultats!$B$2:$AZ$212,AM$2,FALSE)</f>
        <v>0</v>
      </c>
    </row>
    <row r="45" spans="2:39" x14ac:dyDescent="0.25">
      <c r="B45" s="230"/>
      <c r="C45" s="218" t="s">
        <v>6</v>
      </c>
      <c r="D45" s="3" t="s">
        <v>146</v>
      </c>
      <c r="E45" s="25">
        <f>VLOOKUP($D45,Résultats!$B$2:$AZ$212,E$2,FALSE)</f>
        <v>31999.388770000001</v>
      </c>
      <c r="F45" s="25">
        <f>VLOOKUP($D45,Résultats!$B$2:$AZ$212,F$2,FALSE)</f>
        <v>35757.96082</v>
      </c>
      <c r="G45" s="25">
        <f>VLOOKUP($D45,Résultats!$B$2:$AZ$212,G$2,FALSE)</f>
        <v>36349.344109999998</v>
      </c>
      <c r="H45" s="25">
        <f>VLOOKUP($D45,Résultats!$B$2:$AZ$212,H$2,FALSE)</f>
        <v>36639.762439999999</v>
      </c>
      <c r="I45" s="25">
        <f>VLOOKUP($D45,Résultats!$B$2:$AZ$212,I$2,FALSE)</f>
        <v>36586.450720000001</v>
      </c>
      <c r="J45" s="25">
        <f>VLOOKUP($D45,Résultats!$B$2:$AZ$212,J$2,FALSE)</f>
        <v>36294.812989999999</v>
      </c>
      <c r="K45" s="25">
        <f>VLOOKUP($D45,Résultats!$B$2:$AZ$212,K$2,FALSE)</f>
        <v>35812.051469999999</v>
      </c>
      <c r="L45" s="25">
        <f>VLOOKUP($D45,Résultats!$B$2:$AZ$212,L$2,FALSE)</f>
        <v>35248.219510000003</v>
      </c>
      <c r="M45" s="25">
        <f>VLOOKUP($D45,Résultats!$B$2:$AZ$212,M$2,FALSE)</f>
        <v>35075.938329999997</v>
      </c>
      <c r="N45" s="25">
        <f>VLOOKUP($D45,Résultats!$B$2:$AZ$212,N$2,FALSE)</f>
        <v>34989.197590000003</v>
      </c>
      <c r="O45" s="25">
        <f>VLOOKUP($D45,Résultats!$B$2:$AZ$212,O$2,FALSE)</f>
        <v>34482.803140000004</v>
      </c>
      <c r="P45" s="25">
        <f>VLOOKUP($D45,Résultats!$B$2:$AZ$212,P$2,FALSE)</f>
        <v>33712.425810000001</v>
      </c>
      <c r="Q45" s="25">
        <f>VLOOKUP($D45,Résultats!$B$2:$AZ$212,Q$2,FALSE)</f>
        <v>32721.02592</v>
      </c>
      <c r="R45" s="25">
        <f>VLOOKUP($D45,Résultats!$B$2:$AZ$212,R$2,FALSE)</f>
        <v>31530.559430000001</v>
      </c>
      <c r="S45" s="25">
        <f>VLOOKUP($D45,Résultats!$B$2:$AZ$212,S$2,FALSE)</f>
        <v>30177.086719999999</v>
      </c>
      <c r="T45" s="25">
        <f>VLOOKUP($D45,Résultats!$B$2:$AZ$212,T$2,FALSE)</f>
        <v>28708.981629999998</v>
      </c>
      <c r="U45" s="25">
        <f>VLOOKUP($D45,Résultats!$B$2:$AZ$212,U$2,FALSE)</f>
        <v>27183.79869</v>
      </c>
      <c r="V45" s="25">
        <f>VLOOKUP($D45,Résultats!$B$2:$AZ$212,V$2,FALSE)</f>
        <v>25651.797310000002</v>
      </c>
      <c r="W45" s="25">
        <f>VLOOKUP($D45,Résultats!$B$2:$AZ$212,W$2,FALSE)</f>
        <v>24151.216489999999</v>
      </c>
      <c r="X45" s="25">
        <f>VLOOKUP($D45,Résultats!$B$2:$AZ$212,X$2,FALSE)</f>
        <v>22705.446339999999</v>
      </c>
      <c r="Y45" s="25">
        <f>VLOOKUP($D45,Résultats!$B$2:$AZ$212,Y$2,FALSE)</f>
        <v>21326.768</v>
      </c>
      <c r="Z45" s="25">
        <f>VLOOKUP($D45,Résultats!$B$2:$AZ$212,Z$2,FALSE)</f>
        <v>20019.072769999999</v>
      </c>
      <c r="AA45" s="25">
        <f>VLOOKUP($D45,Résultats!$B$2:$AZ$212,AA$2,FALSE)</f>
        <v>18782.63335</v>
      </c>
      <c r="AB45" s="25">
        <f>VLOOKUP($D45,Résultats!$B$2:$AZ$212,AB$2,FALSE)</f>
        <v>17615.79896</v>
      </c>
      <c r="AC45" s="25">
        <f>VLOOKUP($D45,Résultats!$B$2:$AZ$212,AC$2,FALSE)</f>
        <v>16515.90971</v>
      </c>
      <c r="AD45" s="25">
        <f>VLOOKUP($D45,Résultats!$B$2:$AZ$212,AD$2,FALSE)</f>
        <v>15484.2101</v>
      </c>
      <c r="AE45" s="25">
        <f>VLOOKUP($D45,Résultats!$B$2:$AZ$212,AE$2,FALSE)</f>
        <v>14516.71679</v>
      </c>
      <c r="AF45" s="25">
        <f>VLOOKUP($D45,Résultats!$B$2:$AZ$212,AF$2,FALSE)</f>
        <v>13609.555490000001</v>
      </c>
      <c r="AG45" s="25">
        <f>VLOOKUP($D45,Résultats!$B$2:$AZ$212,AG$2,FALSE)</f>
        <v>12759.024219999999</v>
      </c>
      <c r="AH45" s="25">
        <f>VLOOKUP($D45,Résultats!$B$2:$AZ$212,AH$2,FALSE)</f>
        <v>11908.456260000001</v>
      </c>
      <c r="AI45" s="25">
        <f>VLOOKUP($D45,Résultats!$B$2:$AZ$212,AI$2,FALSE)</f>
        <v>11114.575999999999</v>
      </c>
      <c r="AJ45" s="25">
        <f>VLOOKUP($D45,Résultats!$B$2:$AZ$212,AJ$2,FALSE)</f>
        <v>10373.612639999999</v>
      </c>
      <c r="AK45" s="25">
        <f>VLOOKUP($D45,Résultats!$B$2:$AZ$212,AK$2,FALSE)</f>
        <v>9682.0426129999996</v>
      </c>
      <c r="AL45" s="25">
        <f>VLOOKUP($D45,Résultats!$B$2:$AZ$212,AL$2,FALSE)</f>
        <v>9036.5751629999995</v>
      </c>
      <c r="AM45" s="102">
        <f>VLOOKUP($D45,Résultats!$B$2:$AZ$212,AM$2,FALSE)</f>
        <v>8434.1378249999998</v>
      </c>
    </row>
    <row r="46" spans="2:39" x14ac:dyDescent="0.25">
      <c r="B46" s="230"/>
      <c r="C46" s="218" t="s">
        <v>34</v>
      </c>
      <c r="D46" s="3" t="s">
        <v>147</v>
      </c>
      <c r="E46" s="25">
        <f>VLOOKUP($D46,Résultats!$B$2:$AZ$212,E$2,FALSE)</f>
        <v>2.411668513</v>
      </c>
      <c r="F46" s="25">
        <f>VLOOKUP($D46,Résultats!$B$2:$AZ$212,F$2,FALSE)</f>
        <v>153.3465296</v>
      </c>
      <c r="G46" s="25">
        <f>VLOOKUP($D46,Résultats!$B$2:$AZ$212,G$2,FALSE)</f>
        <v>359.54204600000003</v>
      </c>
      <c r="H46" s="25">
        <f>VLOOKUP($D46,Résultats!$B$2:$AZ$212,H$2,FALSE)</f>
        <v>473.98141040000002</v>
      </c>
      <c r="I46" s="25">
        <f>VLOOKUP($D46,Résultats!$B$2:$AZ$212,I$2,FALSE)</f>
        <v>593.0362993</v>
      </c>
      <c r="J46" s="25">
        <f>VLOOKUP($D46,Résultats!$B$2:$AZ$212,J$2,FALSE)</f>
        <v>719.85020329999998</v>
      </c>
      <c r="K46" s="25">
        <f>VLOOKUP($D46,Résultats!$B$2:$AZ$212,K$2,FALSE)</f>
        <v>876.10766130000002</v>
      </c>
      <c r="L46" s="25">
        <f>VLOOKUP($D46,Résultats!$B$2:$AZ$212,L$2,FALSE)</f>
        <v>1070.569739</v>
      </c>
      <c r="M46" s="25">
        <f>VLOOKUP($D46,Résultats!$B$2:$AZ$212,M$2,FALSE)</f>
        <v>1381.548818</v>
      </c>
      <c r="N46" s="25">
        <f>VLOOKUP($D46,Résultats!$B$2:$AZ$212,N$2,FALSE)</f>
        <v>1774.5192970000001</v>
      </c>
      <c r="O46" s="25">
        <f>VLOOKUP($D46,Résultats!$B$2:$AZ$212,O$2,FALSE)</f>
        <v>2156.6780250000002</v>
      </c>
      <c r="P46" s="25">
        <f>VLOOKUP($D46,Résultats!$B$2:$AZ$212,P$2,FALSE)</f>
        <v>2603.207355</v>
      </c>
      <c r="Q46" s="25">
        <f>VLOOKUP($D46,Résultats!$B$2:$AZ$212,Q$2,FALSE)</f>
        <v>3177.7845200000002</v>
      </c>
      <c r="R46" s="25">
        <f>VLOOKUP($D46,Résultats!$B$2:$AZ$212,R$2,FALSE)</f>
        <v>3885.8688459999998</v>
      </c>
      <c r="S46" s="25">
        <f>VLOOKUP($D46,Résultats!$B$2:$AZ$212,S$2,FALSE)</f>
        <v>4718.4622239999999</v>
      </c>
      <c r="T46" s="25">
        <f>VLOOKUP($D46,Résultats!$B$2:$AZ$212,T$2,FALSE)</f>
        <v>5646.1002339999995</v>
      </c>
      <c r="U46" s="25">
        <f>VLOOKUP($D46,Résultats!$B$2:$AZ$212,U$2,FALSE)</f>
        <v>6635.4934050000002</v>
      </c>
      <c r="V46" s="25">
        <f>VLOOKUP($D46,Résultats!$B$2:$AZ$212,V$2,FALSE)</f>
        <v>7640.8261119999997</v>
      </c>
      <c r="W46" s="25">
        <f>VLOOKUP($D46,Résultats!$B$2:$AZ$212,W$2,FALSE)</f>
        <v>8628.0171879999998</v>
      </c>
      <c r="X46" s="25">
        <f>VLOOKUP($D46,Résultats!$B$2:$AZ$212,X$2,FALSE)</f>
        <v>9574.0995349999994</v>
      </c>
      <c r="Y46" s="25">
        <f>VLOOKUP($D46,Résultats!$B$2:$AZ$212,Y$2,FALSE)</f>
        <v>10508.397279999999</v>
      </c>
      <c r="Z46" s="25">
        <f>VLOOKUP($D46,Résultats!$B$2:$AZ$212,Z$2,FALSE)</f>
        <v>11410.405409999999</v>
      </c>
      <c r="AA46" s="25">
        <f>VLOOKUP($D46,Résultats!$B$2:$AZ$212,AA$2,FALSE)</f>
        <v>12259.983920000001</v>
      </c>
      <c r="AB46" s="25">
        <f>VLOOKUP($D46,Résultats!$B$2:$AZ$212,AB$2,FALSE)</f>
        <v>13054.96422</v>
      </c>
      <c r="AC46" s="25">
        <f>VLOOKUP($D46,Résultats!$B$2:$AZ$212,AC$2,FALSE)</f>
        <v>13788.16511</v>
      </c>
      <c r="AD46" s="25">
        <f>VLOOKUP($D46,Résultats!$B$2:$AZ$212,AD$2,FALSE)</f>
        <v>14463.95714</v>
      </c>
      <c r="AE46" s="25">
        <f>VLOOKUP($D46,Résultats!$B$2:$AZ$212,AE$2,FALSE)</f>
        <v>15084.062739999999</v>
      </c>
      <c r="AF46" s="25">
        <f>VLOOKUP($D46,Résultats!$B$2:$AZ$212,AF$2,FALSE)</f>
        <v>15650.496069999999</v>
      </c>
      <c r="AG46" s="25">
        <f>VLOOKUP($D46,Résultats!$B$2:$AZ$212,AG$2,FALSE)</f>
        <v>16164.625830000001</v>
      </c>
      <c r="AH46" s="25">
        <f>VLOOKUP($D46,Résultats!$B$2:$AZ$212,AH$2,FALSE)</f>
        <v>16610.946240000001</v>
      </c>
      <c r="AI46" s="25">
        <f>VLOOKUP($D46,Résultats!$B$2:$AZ$212,AI$2,FALSE)</f>
        <v>17029.30256</v>
      </c>
      <c r="AJ46" s="25">
        <f>VLOOKUP($D46,Résultats!$B$2:$AZ$212,AJ$2,FALSE)</f>
        <v>17411.992620000001</v>
      </c>
      <c r="AK46" s="25">
        <f>VLOOKUP($D46,Résultats!$B$2:$AZ$212,AK$2,FALSE)</f>
        <v>17759.670419999999</v>
      </c>
      <c r="AL46" s="25">
        <f>VLOOKUP($D46,Résultats!$B$2:$AZ$212,AL$2,FALSE)</f>
        <v>18071.20162</v>
      </c>
      <c r="AM46" s="102">
        <f>VLOOKUP($D46,Résultats!$B$2:$AZ$212,AM$2,FALSE)</f>
        <v>18331.052080000001</v>
      </c>
    </row>
    <row r="47" spans="2:39" x14ac:dyDescent="0.25">
      <c r="B47" s="230"/>
      <c r="C47" s="218" t="s">
        <v>35</v>
      </c>
      <c r="D47" s="3" t="s">
        <v>148</v>
      </c>
      <c r="E47" s="25">
        <f>VLOOKUP($D47,Résultats!$B$2:$AZ$212,E$2,FALSE)</f>
        <v>2.2615513600000001E-2</v>
      </c>
      <c r="F47" s="25">
        <f>VLOOKUP($D47,Résultats!$B$2:$AZ$212,F$2,FALSE)</f>
        <v>0.29013528989999998</v>
      </c>
      <c r="G47" s="25">
        <f>VLOOKUP($D47,Résultats!$B$2:$AZ$212,G$2,FALSE)</f>
        <v>0.3358464249</v>
      </c>
      <c r="H47" s="25">
        <f>VLOOKUP($D47,Résultats!$B$2:$AZ$212,H$2,FALSE)</f>
        <v>0.36758758590000001</v>
      </c>
      <c r="I47" s="25">
        <f>VLOOKUP($D47,Résultats!$B$2:$AZ$212,I$2,FALSE)</f>
        <v>0.4163619167</v>
      </c>
      <c r="J47" s="25">
        <f>VLOOKUP($D47,Résultats!$B$2:$AZ$212,J$2,FALSE)</f>
        <v>0.45369209500000002</v>
      </c>
      <c r="K47" s="25">
        <f>VLOOKUP($D47,Résultats!$B$2:$AZ$212,K$2,FALSE)</f>
        <v>0.51421875120000005</v>
      </c>
      <c r="L47" s="25">
        <f>VLOOKUP($D47,Résultats!$B$2:$AZ$212,L$2,FALSE)</f>
        <v>0.5849038459</v>
      </c>
      <c r="M47" s="25">
        <f>VLOOKUP($D47,Résultats!$B$2:$AZ$212,M$2,FALSE)</f>
        <v>0.67904081579999997</v>
      </c>
      <c r="N47" s="25">
        <f>VLOOKUP($D47,Résultats!$B$2:$AZ$212,N$2,FALSE)</f>
        <v>0.78098428529999997</v>
      </c>
      <c r="O47" s="25">
        <f>VLOOKUP($D47,Résultats!$B$2:$AZ$212,O$2,FALSE)</f>
        <v>0.85521369520000001</v>
      </c>
      <c r="P47" s="25">
        <f>VLOOKUP($D47,Résultats!$B$2:$AZ$212,P$2,FALSE)</f>
        <v>0.90781521730000003</v>
      </c>
      <c r="Q47" s="25">
        <f>VLOOKUP($D47,Résultats!$B$2:$AZ$212,Q$2,FALSE)</f>
        <v>0.93916262169999998</v>
      </c>
      <c r="R47" s="25">
        <f>VLOOKUP($D47,Résultats!$B$2:$AZ$212,R$2,FALSE)</f>
        <v>0.95057276359999998</v>
      </c>
      <c r="S47" s="25">
        <f>VLOOKUP($D47,Résultats!$B$2:$AZ$212,S$2,FALSE)</f>
        <v>0.94354347750000001</v>
      </c>
      <c r="T47" s="25">
        <f>VLOOKUP($D47,Résultats!$B$2:$AZ$212,T$2,FALSE)</f>
        <v>0.92050555909999998</v>
      </c>
      <c r="U47" s="25">
        <f>VLOOKUP($D47,Résultats!$B$2:$AZ$212,U$2,FALSE)</f>
        <v>0.88599860259999996</v>
      </c>
      <c r="V47" s="25">
        <f>VLOOKUP($D47,Résultats!$B$2:$AZ$212,V$2,FALSE)</f>
        <v>0.84455006889999995</v>
      </c>
      <c r="W47" s="25">
        <f>VLOOKUP($D47,Résultats!$B$2:$AZ$212,W$2,FALSE)</f>
        <v>0.79991247320000003</v>
      </c>
      <c r="X47" s="25">
        <f>VLOOKUP($D47,Résultats!$B$2:$AZ$212,X$2,FALSE)</f>
        <v>0.75461884079999997</v>
      </c>
      <c r="Y47" s="25">
        <f>VLOOKUP($D47,Résultats!$B$2:$AZ$212,Y$2,FALSE)</f>
        <v>0.71020846530000004</v>
      </c>
      <c r="Z47" s="25">
        <f>VLOOKUP($D47,Résultats!$B$2:$AZ$212,Z$2,FALSE)</f>
        <v>0.6674135819</v>
      </c>
      <c r="AA47" s="25">
        <f>VLOOKUP($D47,Résultats!$B$2:$AZ$212,AA$2,FALSE)</f>
        <v>0.62658816760000002</v>
      </c>
      <c r="AB47" s="25">
        <f>VLOOKUP($D47,Résultats!$B$2:$AZ$212,AB$2,FALSE)</f>
        <v>0.58786981279999995</v>
      </c>
      <c r="AC47" s="25">
        <f>VLOOKUP($D47,Résultats!$B$2:$AZ$212,AC$2,FALSE)</f>
        <v>0.55127207840000003</v>
      </c>
      <c r="AD47" s="25">
        <f>VLOOKUP($D47,Résultats!$B$2:$AZ$212,AD$2,FALSE)</f>
        <v>0.51689145079999999</v>
      </c>
      <c r="AE47" s="25">
        <f>VLOOKUP($D47,Résultats!$B$2:$AZ$212,AE$2,FALSE)</f>
        <v>0.48462348849999998</v>
      </c>
      <c r="AF47" s="25">
        <f>VLOOKUP($D47,Résultats!$B$2:$AZ$212,AF$2,FALSE)</f>
        <v>0.45435378970000001</v>
      </c>
      <c r="AG47" s="25">
        <f>VLOOKUP($D47,Résultats!$B$2:$AZ$212,AG$2,FALSE)</f>
        <v>0.42596648990000002</v>
      </c>
      <c r="AH47" s="25">
        <f>VLOOKUP($D47,Résultats!$B$2:$AZ$212,AH$2,FALSE)</f>
        <v>0.39757419490000001</v>
      </c>
      <c r="AI47" s="25">
        <f>VLOOKUP($D47,Résultats!$B$2:$AZ$212,AI$2,FALSE)</f>
        <v>0.37107206510000001</v>
      </c>
      <c r="AJ47" s="25">
        <f>VLOOKUP($D47,Résultats!$B$2:$AZ$212,AJ$2,FALSE)</f>
        <v>0.34633536990000002</v>
      </c>
      <c r="AK47" s="25">
        <f>VLOOKUP($D47,Résultats!$B$2:$AZ$212,AK$2,FALSE)</f>
        <v>0.3232470825</v>
      </c>
      <c r="AL47" s="25">
        <f>VLOOKUP($D47,Résultats!$B$2:$AZ$212,AL$2,FALSE)</f>
        <v>0.30169765269999999</v>
      </c>
      <c r="AM47" s="102">
        <f>VLOOKUP($D47,Résultats!$B$2:$AZ$212,AM$2,FALSE)</f>
        <v>0.28158466510000002</v>
      </c>
    </row>
    <row r="48" spans="2:39" x14ac:dyDescent="0.25">
      <c r="B48" s="230"/>
      <c r="C48" s="220" t="s">
        <v>463</v>
      </c>
      <c r="D48" s="58" t="s">
        <v>130</v>
      </c>
      <c r="E48" s="59">
        <f>VLOOKUP($D48,Résultats!$B$2:$AZ$212,E$2,FALSE)</f>
        <v>32001.800439999999</v>
      </c>
      <c r="F48" s="59">
        <f>VLOOKUP($D48,Résultats!$B$2:$AZ$212,F$2,FALSE)</f>
        <v>35911.307350000003</v>
      </c>
      <c r="G48" s="59">
        <f>VLOOKUP($D48,Résultats!$B$2:$AZ$212,G$2,FALSE)</f>
        <v>36708.886160000002</v>
      </c>
      <c r="H48" s="59">
        <f>VLOOKUP($D48,Résultats!$B$2:$AZ$212,H$2,FALSE)</f>
        <v>37113.743849999999</v>
      </c>
      <c r="I48" s="59">
        <f>VLOOKUP($D48,Résultats!$B$2:$AZ$212,I$2,FALSE)</f>
        <v>37179.48702</v>
      </c>
      <c r="J48" s="59">
        <f>VLOOKUP($D48,Résultats!$B$2:$AZ$212,J$2,FALSE)</f>
        <v>37014.663189999999</v>
      </c>
      <c r="K48" s="59">
        <f>VLOOKUP($D48,Résultats!$B$2:$AZ$212,K$2,FALSE)</f>
        <v>36688.159140000003</v>
      </c>
      <c r="L48" s="59">
        <f>VLOOKUP($D48,Résultats!$B$2:$AZ$212,L$2,FALSE)</f>
        <v>36318.789250000002</v>
      </c>
      <c r="M48" s="59">
        <f>VLOOKUP($D48,Résultats!$B$2:$AZ$212,M$2,FALSE)</f>
        <v>36457.487150000001</v>
      </c>
      <c r="N48" s="59">
        <f>VLOOKUP($D48,Résultats!$B$2:$AZ$212,N$2,FALSE)</f>
        <v>36763.716890000003</v>
      </c>
      <c r="O48" s="59">
        <f>VLOOKUP($D48,Résultats!$B$2:$AZ$212,O$2,FALSE)</f>
        <v>36639.481160000003</v>
      </c>
      <c r="P48" s="59">
        <f>VLOOKUP($D48,Résultats!$B$2:$AZ$212,P$2,FALSE)</f>
        <v>36315.633170000001</v>
      </c>
      <c r="Q48" s="59">
        <f>VLOOKUP($D48,Résultats!$B$2:$AZ$212,Q$2,FALSE)</f>
        <v>35898.810440000001</v>
      </c>
      <c r="R48" s="59">
        <f>VLOOKUP($D48,Résultats!$B$2:$AZ$212,R$2,FALSE)</f>
        <v>35416.42828</v>
      </c>
      <c r="S48" s="59">
        <f>VLOOKUP($D48,Résultats!$B$2:$AZ$212,S$2,FALSE)</f>
        <v>34895.548940000001</v>
      </c>
      <c r="T48" s="59">
        <f>VLOOKUP($D48,Résultats!$B$2:$AZ$212,T$2,FALSE)</f>
        <v>34355.081859999998</v>
      </c>
      <c r="U48" s="59">
        <f>VLOOKUP($D48,Résultats!$B$2:$AZ$212,U$2,FALSE)</f>
        <v>33819.292099999999</v>
      </c>
      <c r="V48" s="59">
        <f>VLOOKUP($D48,Résultats!$B$2:$AZ$212,V$2,FALSE)</f>
        <v>33292.62343</v>
      </c>
      <c r="W48" s="59">
        <f>VLOOKUP($D48,Résultats!$B$2:$AZ$212,W$2,FALSE)</f>
        <v>32779.233679999998</v>
      </c>
      <c r="X48" s="59">
        <f>VLOOKUP($D48,Résultats!$B$2:$AZ$212,X$2,FALSE)</f>
        <v>32279.545880000001</v>
      </c>
      <c r="Y48" s="59">
        <f>VLOOKUP($D48,Résultats!$B$2:$AZ$212,Y$2,FALSE)</f>
        <v>31835.165280000001</v>
      </c>
      <c r="Z48" s="59">
        <f>VLOOKUP($D48,Résultats!$B$2:$AZ$212,Z$2,FALSE)</f>
        <v>31429.478179999998</v>
      </c>
      <c r="AA48" s="59">
        <f>VLOOKUP($D48,Résultats!$B$2:$AZ$212,AA$2,FALSE)</f>
        <v>31042.617269999999</v>
      </c>
      <c r="AB48" s="59">
        <f>VLOOKUP($D48,Résultats!$B$2:$AZ$212,AB$2,FALSE)</f>
        <v>30670.763180000002</v>
      </c>
      <c r="AC48" s="59">
        <f>VLOOKUP($D48,Résultats!$B$2:$AZ$212,AC$2,FALSE)</f>
        <v>30304.074820000002</v>
      </c>
      <c r="AD48" s="59">
        <f>VLOOKUP($D48,Résultats!$B$2:$AZ$212,AD$2,FALSE)</f>
        <v>29948.167249999999</v>
      </c>
      <c r="AE48" s="59">
        <f>VLOOKUP($D48,Résultats!$B$2:$AZ$212,AE$2,FALSE)</f>
        <v>29600.77953</v>
      </c>
      <c r="AF48" s="59">
        <f>VLOOKUP($D48,Résultats!$B$2:$AZ$212,AF$2,FALSE)</f>
        <v>29260.05156</v>
      </c>
      <c r="AG48" s="59">
        <f>VLOOKUP($D48,Résultats!$B$2:$AZ$212,AG$2,FALSE)</f>
        <v>28923.65005</v>
      </c>
      <c r="AH48" s="59">
        <f>VLOOKUP($D48,Résultats!$B$2:$AZ$212,AH$2,FALSE)</f>
        <v>28519.4025</v>
      </c>
      <c r="AI48" s="59">
        <f>VLOOKUP($D48,Résultats!$B$2:$AZ$212,AI$2,FALSE)</f>
        <v>28143.878560000001</v>
      </c>
      <c r="AJ48" s="59">
        <f>VLOOKUP($D48,Résultats!$B$2:$AZ$212,AJ$2,FALSE)</f>
        <v>27785.605250000001</v>
      </c>
      <c r="AK48" s="59">
        <f>VLOOKUP($D48,Résultats!$B$2:$AZ$212,AK$2,FALSE)</f>
        <v>27441.713029999999</v>
      </c>
      <c r="AL48" s="59">
        <f>VLOOKUP($D48,Résultats!$B$2:$AZ$212,AL$2,FALSE)</f>
        <v>27107.77678</v>
      </c>
      <c r="AM48" s="103">
        <f>VLOOKUP($D48,Résultats!$B$2:$AZ$212,AM$2,FALSE)</f>
        <v>26765.189910000001</v>
      </c>
    </row>
    <row r="49" spans="2:40" x14ac:dyDescent="0.25">
      <c r="B49" s="230"/>
      <c r="C49" s="221" t="s">
        <v>462</v>
      </c>
      <c r="D49" s="3" t="s">
        <v>147</v>
      </c>
      <c r="E49" s="61">
        <f>VLOOKUP($D49,Résultats!$B$2:$AZ$212,E$2,FALSE)</f>
        <v>2.411668513</v>
      </c>
      <c r="F49" s="61">
        <f>VLOOKUP($D49,Résultats!$B$2:$AZ$212,F$2,FALSE)</f>
        <v>153.3465296</v>
      </c>
      <c r="G49" s="61">
        <f>VLOOKUP($D49,Résultats!$B$2:$AZ$212,G$2,FALSE)</f>
        <v>359.54204600000003</v>
      </c>
      <c r="H49" s="61">
        <f>VLOOKUP($D49,Résultats!$B$2:$AZ$212,H$2,FALSE)</f>
        <v>473.98141040000002</v>
      </c>
      <c r="I49" s="61">
        <f>VLOOKUP($D49,Résultats!$B$2:$AZ$212,I$2,FALSE)</f>
        <v>593.0362993</v>
      </c>
      <c r="J49" s="61">
        <f>VLOOKUP($D49,Résultats!$B$2:$AZ$212,J$2,FALSE)</f>
        <v>719.85020329999998</v>
      </c>
      <c r="K49" s="61">
        <f>VLOOKUP($D49,Résultats!$B$2:$AZ$212,K$2,FALSE)</f>
        <v>876.10766130000002</v>
      </c>
      <c r="L49" s="61">
        <f>VLOOKUP($D49,Résultats!$B$2:$AZ$212,L$2,FALSE)</f>
        <v>1070.569739</v>
      </c>
      <c r="M49" s="61">
        <f>VLOOKUP($D49,Résultats!$B$2:$AZ$212,M$2,FALSE)</f>
        <v>1381.548818</v>
      </c>
      <c r="N49" s="61">
        <f>VLOOKUP($D49,Résultats!$B$2:$AZ$212,N$2,FALSE)</f>
        <v>1774.5192970000001</v>
      </c>
      <c r="O49" s="61">
        <f>VLOOKUP($D49,Résultats!$B$2:$AZ$212,O$2,FALSE)</f>
        <v>2156.6780250000002</v>
      </c>
      <c r="P49" s="61">
        <f>VLOOKUP($D49,Résultats!$B$2:$AZ$212,P$2,FALSE)</f>
        <v>2603.207355</v>
      </c>
      <c r="Q49" s="61">
        <f>VLOOKUP($D49,Résultats!$B$2:$AZ$212,Q$2,FALSE)</f>
        <v>3177.7845200000002</v>
      </c>
      <c r="R49" s="61">
        <f>VLOOKUP($D49,Résultats!$B$2:$AZ$212,R$2,FALSE)</f>
        <v>3885.8688459999998</v>
      </c>
      <c r="S49" s="61">
        <f>VLOOKUP($D49,Résultats!$B$2:$AZ$212,S$2,FALSE)</f>
        <v>4718.4622239999999</v>
      </c>
      <c r="T49" s="61">
        <f>VLOOKUP($D49,Résultats!$B$2:$AZ$212,T$2,FALSE)</f>
        <v>5646.1002339999995</v>
      </c>
      <c r="U49" s="61">
        <f>VLOOKUP($D49,Résultats!$B$2:$AZ$212,U$2,FALSE)</f>
        <v>6635.4934050000002</v>
      </c>
      <c r="V49" s="61">
        <f>VLOOKUP($D49,Résultats!$B$2:$AZ$212,V$2,FALSE)</f>
        <v>7640.8261119999997</v>
      </c>
      <c r="W49" s="61">
        <f>VLOOKUP($D49,Résultats!$B$2:$AZ$212,W$2,FALSE)</f>
        <v>8628.0171879999998</v>
      </c>
      <c r="X49" s="61">
        <f>VLOOKUP($D49,Résultats!$B$2:$AZ$212,X$2,FALSE)</f>
        <v>9574.0995349999994</v>
      </c>
      <c r="Y49" s="61">
        <f>VLOOKUP($D49,Résultats!$B$2:$AZ$212,Y$2,FALSE)</f>
        <v>10508.397279999999</v>
      </c>
      <c r="Z49" s="61">
        <f>VLOOKUP($D49,Résultats!$B$2:$AZ$212,Z$2,FALSE)</f>
        <v>11410.405409999999</v>
      </c>
      <c r="AA49" s="61">
        <f>VLOOKUP($D49,Résultats!$B$2:$AZ$212,AA$2,FALSE)</f>
        <v>12259.983920000001</v>
      </c>
      <c r="AB49" s="61">
        <f>VLOOKUP($D49,Résultats!$B$2:$AZ$212,AB$2,FALSE)</f>
        <v>13054.96422</v>
      </c>
      <c r="AC49" s="61">
        <f>VLOOKUP($D49,Résultats!$B$2:$AZ$212,AC$2,FALSE)</f>
        <v>13788.16511</v>
      </c>
      <c r="AD49" s="61">
        <f>VLOOKUP($D49,Résultats!$B$2:$AZ$212,AD$2,FALSE)</f>
        <v>14463.95714</v>
      </c>
      <c r="AE49" s="61">
        <f>VLOOKUP($D49,Résultats!$B$2:$AZ$212,AE$2,FALSE)</f>
        <v>15084.062739999999</v>
      </c>
      <c r="AF49" s="61">
        <f>VLOOKUP($D49,Résultats!$B$2:$AZ$212,AF$2,FALSE)</f>
        <v>15650.496069999999</v>
      </c>
      <c r="AG49" s="61">
        <f>VLOOKUP($D49,Résultats!$B$2:$AZ$212,AG$2,FALSE)</f>
        <v>16164.625830000001</v>
      </c>
      <c r="AH49" s="61">
        <f>VLOOKUP($D49,Résultats!$B$2:$AZ$212,AH$2,FALSE)</f>
        <v>16610.946240000001</v>
      </c>
      <c r="AI49" s="61">
        <f>VLOOKUP($D49,Résultats!$B$2:$AZ$212,AI$2,FALSE)</f>
        <v>17029.30256</v>
      </c>
      <c r="AJ49" s="61">
        <f>VLOOKUP($D49,Résultats!$B$2:$AZ$212,AJ$2,FALSE)</f>
        <v>17411.992620000001</v>
      </c>
      <c r="AK49" s="61">
        <f>VLOOKUP($D49,Résultats!$B$2:$AZ$212,AK$2,FALSE)</f>
        <v>17759.670419999999</v>
      </c>
      <c r="AL49" s="61">
        <f>VLOOKUP($D49,Résultats!$B$2:$AZ$212,AL$2,FALSE)</f>
        <v>18071.20162</v>
      </c>
      <c r="AM49" s="225">
        <f>VLOOKUP($D49,Résultats!$B$2:$AZ$212,AM$2,FALSE)</f>
        <v>18331.052080000001</v>
      </c>
    </row>
    <row r="50" spans="2:40" x14ac:dyDescent="0.25">
      <c r="B50" s="230"/>
      <c r="C50" s="222" t="s">
        <v>27</v>
      </c>
      <c r="D50" s="63" t="s">
        <v>138</v>
      </c>
      <c r="E50" s="25">
        <f>VLOOKUP($D50,Résultats!$B$2:$AZ$212,E$2,FALSE)</f>
        <v>7.1825179100000001E-3</v>
      </c>
      <c r="F50" s="25">
        <f>VLOOKUP($D50,Résultats!$B$2:$AZ$212,F$2,FALSE)</f>
        <v>1.4272714230000001</v>
      </c>
      <c r="G50" s="25">
        <f>VLOOKUP($D50,Résultats!$B$2:$AZ$212,G$2,FALSE)</f>
        <v>2.811473865</v>
      </c>
      <c r="H50" s="25">
        <f>VLOOKUP($D50,Résultats!$B$2:$AZ$212,H$2,FALSE)</f>
        <v>3.7365101740000002</v>
      </c>
      <c r="I50" s="25">
        <f>VLOOKUP($D50,Résultats!$B$2:$AZ$212,I$2,FALSE)</f>
        <v>5.1080373000000003</v>
      </c>
      <c r="J50" s="25">
        <f>VLOOKUP($D50,Résultats!$B$2:$AZ$212,J$2,FALSE)</f>
        <v>6.9928213770000003</v>
      </c>
      <c r="K50" s="25">
        <f>VLOOKUP($D50,Résultats!$B$2:$AZ$212,K$2,FALSE)</f>
        <v>11.426493990000001</v>
      </c>
      <c r="L50" s="25">
        <f>VLOOKUP($D50,Résultats!$B$2:$AZ$212,L$2,FALSE)</f>
        <v>18.501822929999999</v>
      </c>
      <c r="M50" s="25">
        <f>VLOOKUP($D50,Résultats!$B$2:$AZ$212,M$2,FALSE)</f>
        <v>29.409855220000001</v>
      </c>
      <c r="N50" s="25">
        <f>VLOOKUP($D50,Résultats!$B$2:$AZ$212,N$2,FALSE)</f>
        <v>43.840009449999997</v>
      </c>
      <c r="O50" s="25">
        <f>VLOOKUP($D50,Résultats!$B$2:$AZ$212,O$2,FALSE)</f>
        <v>59.694403960000002</v>
      </c>
      <c r="P50" s="25">
        <f>VLOOKUP($D50,Résultats!$B$2:$AZ$212,P$2,FALSE)</f>
        <v>79.528929360000006</v>
      </c>
      <c r="Q50" s="25">
        <f>VLOOKUP($D50,Résultats!$B$2:$AZ$212,Q$2,FALSE)</f>
        <v>106.07300290000001</v>
      </c>
      <c r="R50" s="25">
        <f>VLOOKUP($D50,Résultats!$B$2:$AZ$212,R$2,FALSE)</f>
        <v>140.16189349999999</v>
      </c>
      <c r="S50" s="25">
        <f>VLOOKUP($D50,Résultats!$B$2:$AZ$212,S$2,FALSE)</f>
        <v>182.09771499999999</v>
      </c>
      <c r="T50" s="25">
        <f>VLOOKUP($D50,Résultats!$B$2:$AZ$212,T$2,FALSE)</f>
        <v>231.28071629999999</v>
      </c>
      <c r="U50" s="25">
        <f>VLOOKUP($D50,Résultats!$B$2:$AZ$212,U$2,FALSE)</f>
        <v>286.61957210000003</v>
      </c>
      <c r="V50" s="25">
        <f>VLOOKUP($D50,Résultats!$B$2:$AZ$212,V$2,FALSE)</f>
        <v>346.30701069999998</v>
      </c>
      <c r="W50" s="25">
        <f>VLOOKUP($D50,Résultats!$B$2:$AZ$212,W$2,FALSE)</f>
        <v>408.76608850000002</v>
      </c>
      <c r="X50" s="25">
        <f>VLOOKUP($D50,Résultats!$B$2:$AZ$212,X$2,FALSE)</f>
        <v>472.76820629999997</v>
      </c>
      <c r="Y50" s="25">
        <f>VLOOKUP($D50,Résultats!$B$2:$AZ$212,Y$2,FALSE)</f>
        <v>539.81790279999996</v>
      </c>
      <c r="Z50" s="25">
        <f>VLOOKUP($D50,Résultats!$B$2:$AZ$212,Z$2,FALSE)</f>
        <v>608.85689009999999</v>
      </c>
      <c r="AA50" s="25">
        <f>VLOOKUP($D50,Résultats!$B$2:$AZ$212,AA$2,FALSE)</f>
        <v>678.70647980000001</v>
      </c>
      <c r="AB50" s="25">
        <f>VLOOKUP($D50,Résultats!$B$2:$AZ$212,AB$2,FALSE)</f>
        <v>749.00701370000002</v>
      </c>
      <c r="AC50" s="25">
        <f>VLOOKUP($D50,Résultats!$B$2:$AZ$212,AC$2,FALSE)</f>
        <v>819.09850349999999</v>
      </c>
      <c r="AD50" s="25">
        <f>VLOOKUP($D50,Résultats!$B$2:$AZ$212,AD$2,FALSE)</f>
        <v>888.22388890000002</v>
      </c>
      <c r="AE50" s="25">
        <f>VLOOKUP($D50,Résultats!$B$2:$AZ$212,AE$2,FALSE)</f>
        <v>956.23116900000002</v>
      </c>
      <c r="AF50" s="25">
        <f>VLOOKUP($D50,Résultats!$B$2:$AZ$212,AF$2,FALSE)</f>
        <v>1023.068696</v>
      </c>
      <c r="AG50" s="25">
        <f>VLOOKUP($D50,Résultats!$B$2:$AZ$212,AG$2,FALSE)</f>
        <v>1088.583079</v>
      </c>
      <c r="AH50" s="25">
        <f>VLOOKUP($D50,Résultats!$B$2:$AZ$212,AH$2,FALSE)</f>
        <v>1164.868747</v>
      </c>
      <c r="AI50" s="25">
        <f>VLOOKUP($D50,Résultats!$B$2:$AZ$212,AI$2,FALSE)</f>
        <v>1240.743823</v>
      </c>
      <c r="AJ50" s="25">
        <f>VLOOKUP($D50,Résultats!$B$2:$AZ$212,AJ$2,FALSE)</f>
        <v>1315.497689</v>
      </c>
      <c r="AK50" s="25">
        <f>VLOOKUP($D50,Résultats!$B$2:$AZ$212,AK$2,FALSE)</f>
        <v>1389.009037</v>
      </c>
      <c r="AL50" s="25">
        <f>VLOOKUP($D50,Résultats!$B$2:$AZ$212,AL$2,FALSE)</f>
        <v>1460.9773110000001</v>
      </c>
      <c r="AM50" s="102">
        <f>VLOOKUP($D50,Résultats!$B$2:$AZ$212,AM$2,FALSE)</f>
        <v>1529.650198</v>
      </c>
    </row>
    <row r="51" spans="2:40" x14ac:dyDescent="0.25">
      <c r="B51" s="230"/>
      <c r="C51" s="218" t="s">
        <v>28</v>
      </c>
      <c r="D51" s="54" t="s">
        <v>139</v>
      </c>
      <c r="E51" s="25">
        <f>VLOOKUP($D51,Résultats!$B$2:$AZ$212,E$2,FALSE)</f>
        <v>1.6464540999999999E-2</v>
      </c>
      <c r="F51" s="25">
        <f>VLOOKUP($D51,Résultats!$B$2:$AZ$212,F$2,FALSE)</f>
        <v>1.7110724850000001</v>
      </c>
      <c r="G51" s="25">
        <f>VLOOKUP($D51,Résultats!$B$2:$AZ$212,G$2,FALSE)</f>
        <v>3.6476639390000001</v>
      </c>
      <c r="H51" s="25">
        <f>VLOOKUP($D51,Résultats!$B$2:$AZ$212,H$2,FALSE)</f>
        <v>4.8304240719999996</v>
      </c>
      <c r="I51" s="25">
        <f>VLOOKUP($D51,Résultats!$B$2:$AZ$212,I$2,FALSE)</f>
        <v>6.3369703250000002</v>
      </c>
      <c r="J51" s="25">
        <f>VLOOKUP($D51,Résultats!$B$2:$AZ$212,J$2,FALSE)</f>
        <v>8.2246144950000009</v>
      </c>
      <c r="K51" s="25">
        <f>VLOOKUP($D51,Résultats!$B$2:$AZ$212,K$2,FALSE)</f>
        <v>11.92192563</v>
      </c>
      <c r="L51" s="25">
        <f>VLOOKUP($D51,Résultats!$B$2:$AZ$212,L$2,FALSE)</f>
        <v>17.493606360000001</v>
      </c>
      <c r="M51" s="25">
        <f>VLOOKUP($D51,Résultats!$B$2:$AZ$212,M$2,FALSE)</f>
        <v>26.13522021</v>
      </c>
      <c r="N51" s="25">
        <f>VLOOKUP($D51,Résultats!$B$2:$AZ$212,N$2,FALSE)</f>
        <v>37.440999509999997</v>
      </c>
      <c r="O51" s="25">
        <f>VLOOKUP($D51,Résultats!$B$2:$AZ$212,O$2,FALSE)</f>
        <v>49.533813299999998</v>
      </c>
      <c r="P51" s="25">
        <f>VLOOKUP($D51,Résultats!$B$2:$AZ$212,P$2,FALSE)</f>
        <v>64.430806369999999</v>
      </c>
      <c r="Q51" s="25">
        <f>VLOOKUP($D51,Résultats!$B$2:$AZ$212,Q$2,FALSE)</f>
        <v>84.179705830000003</v>
      </c>
      <c r="R51" s="25">
        <f>VLOOKUP($D51,Résultats!$B$2:$AZ$212,R$2,FALSE)</f>
        <v>109.2976913</v>
      </c>
      <c r="S51" s="25">
        <f>VLOOKUP($D51,Résultats!$B$2:$AZ$212,S$2,FALSE)</f>
        <v>139.87808870000001</v>
      </c>
      <c r="T51" s="25">
        <f>VLOOKUP($D51,Résultats!$B$2:$AZ$212,T$2,FALSE)</f>
        <v>175.32912569999999</v>
      </c>
      <c r="U51" s="25">
        <f>VLOOKUP($D51,Résultats!$B$2:$AZ$212,U$2,FALSE)</f>
        <v>214.7402596</v>
      </c>
      <c r="V51" s="25">
        <f>VLOOKUP($D51,Résultats!$B$2:$AZ$212,V$2,FALSE)</f>
        <v>256.6856904</v>
      </c>
      <c r="W51" s="25">
        <f>VLOOKUP($D51,Résultats!$B$2:$AZ$212,W$2,FALSE)</f>
        <v>299.96148579999999</v>
      </c>
      <c r="X51" s="25">
        <f>VLOOKUP($D51,Résultats!$B$2:$AZ$212,X$2,FALSE)</f>
        <v>343.65063609999999</v>
      </c>
      <c r="Y51" s="25">
        <f>VLOOKUP($D51,Résultats!$B$2:$AZ$212,Y$2,FALSE)</f>
        <v>388.80988869999999</v>
      </c>
      <c r="Z51" s="25">
        <f>VLOOKUP($D51,Résultats!$B$2:$AZ$212,Z$2,FALSE)</f>
        <v>434.63288310000002</v>
      </c>
      <c r="AA51" s="25">
        <f>VLOOKUP($D51,Résultats!$B$2:$AZ$212,AA$2,FALSE)</f>
        <v>480.24720159999998</v>
      </c>
      <c r="AB51" s="25">
        <f>VLOOKUP($D51,Résultats!$B$2:$AZ$212,AB$2,FALSE)</f>
        <v>525.39920749999999</v>
      </c>
      <c r="AC51" s="25">
        <f>VLOOKUP($D51,Résultats!$B$2:$AZ$212,AC$2,FALSE)</f>
        <v>569.62448889999996</v>
      </c>
      <c r="AD51" s="25">
        <f>VLOOKUP($D51,Résultats!$B$2:$AZ$212,AD$2,FALSE)</f>
        <v>612.56805320000001</v>
      </c>
      <c r="AE51" s="25">
        <f>VLOOKUP($D51,Résultats!$B$2:$AZ$212,AE$2,FALSE)</f>
        <v>654.14578689999996</v>
      </c>
      <c r="AF51" s="25">
        <f>VLOOKUP($D51,Résultats!$B$2:$AZ$212,AF$2,FALSE)</f>
        <v>694.32721289999995</v>
      </c>
      <c r="AG51" s="25">
        <f>VLOOKUP($D51,Résultats!$B$2:$AZ$212,AG$2,FALSE)</f>
        <v>733.02714979999996</v>
      </c>
      <c r="AH51" s="25">
        <f>VLOOKUP($D51,Résultats!$B$2:$AZ$212,AH$2,FALSE)</f>
        <v>775.19207730000005</v>
      </c>
      <c r="AI51" s="25">
        <f>VLOOKUP($D51,Résultats!$B$2:$AZ$212,AI$2,FALSE)</f>
        <v>816.50010659999998</v>
      </c>
      <c r="AJ51" s="25">
        <f>VLOOKUP($D51,Résultats!$B$2:$AZ$212,AJ$2,FALSE)</f>
        <v>856.47320790000003</v>
      </c>
      <c r="AK51" s="25">
        <f>VLOOKUP($D51,Résultats!$B$2:$AZ$212,AK$2,FALSE)</f>
        <v>895.04063599999995</v>
      </c>
      <c r="AL51" s="25">
        <f>VLOOKUP($D51,Résultats!$B$2:$AZ$212,AL$2,FALSE)</f>
        <v>932.02506319999998</v>
      </c>
      <c r="AM51" s="102">
        <f>VLOOKUP($D51,Résultats!$B$2:$AZ$212,AM$2,FALSE)</f>
        <v>966.36879169999997</v>
      </c>
    </row>
    <row r="52" spans="2:40" x14ac:dyDescent="0.25">
      <c r="B52" s="230"/>
      <c r="C52" s="218" t="s">
        <v>29</v>
      </c>
      <c r="D52" s="54" t="s">
        <v>140</v>
      </c>
      <c r="E52" s="25">
        <f>VLOOKUP($D52,Résultats!$B$2:$AZ$212,E$2,FALSE)</f>
        <v>6.7405168000000001E-2</v>
      </c>
      <c r="F52" s="25">
        <f>VLOOKUP($D52,Résultats!$B$2:$AZ$212,F$2,FALSE)</f>
        <v>4.555161623</v>
      </c>
      <c r="G52" s="25">
        <f>VLOOKUP($D52,Résultats!$B$2:$AZ$212,G$2,FALSE)</f>
        <v>10.53783205</v>
      </c>
      <c r="H52" s="25">
        <f>VLOOKUP($D52,Résultats!$B$2:$AZ$212,H$2,FALSE)</f>
        <v>13.902799630000001</v>
      </c>
      <c r="I52" s="25">
        <f>VLOOKUP($D52,Résultats!$B$2:$AZ$212,I$2,FALSE)</f>
        <v>17.506863389999999</v>
      </c>
      <c r="J52" s="25">
        <f>VLOOKUP($D52,Résultats!$B$2:$AZ$212,J$2,FALSE)</f>
        <v>21.44730689</v>
      </c>
      <c r="K52" s="25">
        <f>VLOOKUP($D52,Résultats!$B$2:$AZ$212,K$2,FALSE)</f>
        <v>26.74079966</v>
      </c>
      <c r="L52" s="25">
        <f>VLOOKUP($D52,Résultats!$B$2:$AZ$212,L$2,FALSE)</f>
        <v>33.579530300000002</v>
      </c>
      <c r="M52" s="25">
        <f>VLOOKUP($D52,Résultats!$B$2:$AZ$212,M$2,FALSE)</f>
        <v>44.423810609999997</v>
      </c>
      <c r="N52" s="25">
        <f>VLOOKUP($D52,Résultats!$B$2:$AZ$212,N$2,FALSE)</f>
        <v>58.202538449999999</v>
      </c>
      <c r="O52" s="25">
        <f>VLOOKUP($D52,Résultats!$B$2:$AZ$212,O$2,FALSE)</f>
        <v>71.834029389999998</v>
      </c>
      <c r="P52" s="25">
        <f>VLOOKUP($D52,Résultats!$B$2:$AZ$212,P$2,FALSE)</f>
        <v>87.890803270000006</v>
      </c>
      <c r="Q52" s="25">
        <f>VLOOKUP($D52,Résultats!$B$2:$AZ$212,Q$2,FALSE)</f>
        <v>108.6218619</v>
      </c>
      <c r="R52" s="25">
        <f>VLOOKUP($D52,Résultats!$B$2:$AZ$212,R$2,FALSE)</f>
        <v>134.26236280000001</v>
      </c>
      <c r="S52" s="25">
        <f>VLOOKUP($D52,Résultats!$B$2:$AZ$212,S$2,FALSE)</f>
        <v>164.5299344</v>
      </c>
      <c r="T52" s="25">
        <f>VLOOKUP($D52,Résultats!$B$2:$AZ$212,T$2,FALSE)</f>
        <v>198.39691339999999</v>
      </c>
      <c r="U52" s="25">
        <f>VLOOKUP($D52,Résultats!$B$2:$AZ$212,U$2,FALSE)</f>
        <v>234.6623568</v>
      </c>
      <c r="V52" s="25">
        <f>VLOOKUP($D52,Résultats!$B$2:$AZ$212,V$2,FALSE)</f>
        <v>271.65364080000001</v>
      </c>
      <c r="W52" s="25">
        <f>VLOOKUP($D52,Résultats!$B$2:$AZ$212,W$2,FALSE)</f>
        <v>308.09321670000003</v>
      </c>
      <c r="X52" s="25">
        <f>VLOOKUP($D52,Résultats!$B$2:$AZ$212,X$2,FALSE)</f>
        <v>343.0914952</v>
      </c>
      <c r="Y52" s="25">
        <f>VLOOKUP($D52,Résultats!$B$2:$AZ$212,Y$2,FALSE)</f>
        <v>377.66175370000002</v>
      </c>
      <c r="Z52" s="25">
        <f>VLOOKUP($D52,Résultats!$B$2:$AZ$212,Z$2,FALSE)</f>
        <v>410.9993096</v>
      </c>
      <c r="AA52" s="25">
        <f>VLOOKUP($D52,Résultats!$B$2:$AZ$212,AA$2,FALSE)</f>
        <v>442.30325349999998</v>
      </c>
      <c r="AB52" s="25">
        <f>VLOOKUP($D52,Résultats!$B$2:$AZ$212,AB$2,FALSE)</f>
        <v>471.43234000000001</v>
      </c>
      <c r="AC52" s="25">
        <f>VLOOKUP($D52,Résultats!$B$2:$AZ$212,AC$2,FALSE)</f>
        <v>498.06180030000002</v>
      </c>
      <c r="AD52" s="25">
        <f>VLOOKUP($D52,Résultats!$B$2:$AZ$212,AD$2,FALSE)</f>
        <v>522.34507910000002</v>
      </c>
      <c r="AE52" s="25">
        <f>VLOOKUP($D52,Résultats!$B$2:$AZ$212,AE$2,FALSE)</f>
        <v>544.31434639999998</v>
      </c>
      <c r="AF52" s="25">
        <f>VLOOKUP($D52,Résultats!$B$2:$AZ$212,AF$2,FALSE)</f>
        <v>564.0104106</v>
      </c>
      <c r="AG52" s="25">
        <f>VLOOKUP($D52,Résultats!$B$2:$AZ$212,AG$2,FALSE)</f>
        <v>581.45864110000002</v>
      </c>
      <c r="AH52" s="25">
        <f>VLOOKUP($D52,Résultats!$B$2:$AZ$212,AH$2,FALSE)</f>
        <v>594.42684929999996</v>
      </c>
      <c r="AI52" s="25">
        <f>VLOOKUP($D52,Résultats!$B$2:$AZ$212,AI$2,FALSE)</f>
        <v>605.90531410000006</v>
      </c>
      <c r="AJ52" s="25">
        <f>VLOOKUP($D52,Résultats!$B$2:$AZ$212,AJ$2,FALSE)</f>
        <v>615.58472749999999</v>
      </c>
      <c r="AK52" s="25">
        <f>VLOOKUP($D52,Résultats!$B$2:$AZ$212,AK$2,FALSE)</f>
        <v>623.47655950000001</v>
      </c>
      <c r="AL52" s="25">
        <f>VLOOKUP($D52,Résultats!$B$2:$AZ$212,AL$2,FALSE)</f>
        <v>629.53581599999995</v>
      </c>
      <c r="AM52" s="102">
        <f>VLOOKUP($D52,Résultats!$B$2:$AZ$212,AM$2,FALSE)</f>
        <v>633.23476730000004</v>
      </c>
    </row>
    <row r="53" spans="2:40" x14ac:dyDescent="0.25">
      <c r="B53" s="230"/>
      <c r="C53" s="218" t="s">
        <v>30</v>
      </c>
      <c r="D53" s="54" t="s">
        <v>141</v>
      </c>
      <c r="E53" s="25">
        <f>VLOOKUP($D53,Résultats!$B$2:$AZ$212,E$2,FALSE)</f>
        <v>1.5834689479999999</v>
      </c>
      <c r="F53" s="25">
        <f>VLOOKUP($D53,Résultats!$B$2:$AZ$212,F$2,FALSE)</f>
        <v>100.4431309</v>
      </c>
      <c r="G53" s="25">
        <f>VLOOKUP($D53,Résultats!$B$2:$AZ$212,G$2,FALSE)</f>
        <v>235.72696930000001</v>
      </c>
      <c r="H53" s="25">
        <f>VLOOKUP($D53,Résultats!$B$2:$AZ$212,H$2,FALSE)</f>
        <v>310.76781620000003</v>
      </c>
      <c r="I53" s="25">
        <f>VLOOKUP($D53,Résultats!$B$2:$AZ$212,I$2,FALSE)</f>
        <v>388.62630539999998</v>
      </c>
      <c r="J53" s="25">
        <f>VLOOKUP($D53,Résultats!$B$2:$AZ$212,J$2,FALSE)</f>
        <v>471.34010480000001</v>
      </c>
      <c r="K53" s="25">
        <f>VLOOKUP($D53,Résultats!$B$2:$AZ$212,K$2,FALSE)</f>
        <v>572.14295630000004</v>
      </c>
      <c r="L53" s="25">
        <f>VLOOKUP($D53,Résultats!$B$2:$AZ$212,L$2,FALSE)</f>
        <v>696.74366329999998</v>
      </c>
      <c r="M53" s="25">
        <f>VLOOKUP($D53,Résultats!$B$2:$AZ$212,M$2,FALSE)</f>
        <v>896.2120109</v>
      </c>
      <c r="N53" s="25">
        <f>VLOOKUP($D53,Résultats!$B$2:$AZ$212,N$2,FALSE)</f>
        <v>1147.909864</v>
      </c>
      <c r="O53" s="25">
        <f>VLOOKUP($D53,Résultats!$B$2:$AZ$212,O$2,FALSE)</f>
        <v>1391.674784</v>
      </c>
      <c r="P53" s="25">
        <f>VLOOKUP($D53,Résultats!$B$2:$AZ$212,P$2,FALSE)</f>
        <v>1675.763811</v>
      </c>
      <c r="Q53" s="25">
        <f>VLOOKUP($D53,Résultats!$B$2:$AZ$212,Q$2,FALSE)</f>
        <v>2040.7366959999999</v>
      </c>
      <c r="R53" s="25">
        <f>VLOOKUP($D53,Résultats!$B$2:$AZ$212,R$2,FALSE)</f>
        <v>2489.7303630000001</v>
      </c>
      <c r="S53" s="25">
        <f>VLOOKUP($D53,Résultats!$B$2:$AZ$212,S$2,FALSE)</f>
        <v>3016.6214110000001</v>
      </c>
      <c r="T53" s="25">
        <f>VLOOKUP($D53,Résultats!$B$2:$AZ$212,T$2,FALSE)</f>
        <v>3602.2602710000001</v>
      </c>
      <c r="U53" s="25">
        <f>VLOOKUP($D53,Résultats!$B$2:$AZ$212,U$2,FALSE)</f>
        <v>4225.2439969999996</v>
      </c>
      <c r="V53" s="25">
        <f>VLOOKUP($D53,Résultats!$B$2:$AZ$212,V$2,FALSE)</f>
        <v>4856.289863</v>
      </c>
      <c r="W53" s="25">
        <f>VLOOKUP($D53,Résultats!$B$2:$AZ$212,W$2,FALSE)</f>
        <v>5473.7448420000001</v>
      </c>
      <c r="X53" s="25">
        <f>VLOOKUP($D53,Résultats!$B$2:$AZ$212,X$2,FALSE)</f>
        <v>6063.1094780000003</v>
      </c>
      <c r="Y53" s="25">
        <f>VLOOKUP($D53,Résultats!$B$2:$AZ$212,Y$2,FALSE)</f>
        <v>6642.9184930000001</v>
      </c>
      <c r="Z53" s="25">
        <f>VLOOKUP($D53,Résultats!$B$2:$AZ$212,Z$2,FALSE)</f>
        <v>7200.2049850000003</v>
      </c>
      <c r="AA53" s="25">
        <f>VLOOKUP($D53,Résultats!$B$2:$AZ$212,AA$2,FALSE)</f>
        <v>7722.3130099999998</v>
      </c>
      <c r="AB53" s="25">
        <f>VLOOKUP($D53,Résultats!$B$2:$AZ$212,AB$2,FALSE)</f>
        <v>8208.0104119999996</v>
      </c>
      <c r="AC53" s="25">
        <f>VLOOKUP($D53,Résultats!$B$2:$AZ$212,AC$2,FALSE)</f>
        <v>8652.9215650000006</v>
      </c>
      <c r="AD53" s="25">
        <f>VLOOKUP($D53,Résultats!$B$2:$AZ$212,AD$2,FALSE)</f>
        <v>9060.3764859999901</v>
      </c>
      <c r="AE53" s="25">
        <f>VLOOKUP($D53,Résultats!$B$2:$AZ$212,AE$2,FALSE)</f>
        <v>9431.6029450000005</v>
      </c>
      <c r="AF53" s="25">
        <f>VLOOKUP($D53,Résultats!$B$2:$AZ$212,AF$2,FALSE)</f>
        <v>9767.9644580000004</v>
      </c>
      <c r="AG53" s="25">
        <f>VLOOKUP($D53,Résultats!$B$2:$AZ$212,AG$2,FALSE)</f>
        <v>10070.456889999999</v>
      </c>
      <c r="AH53" s="25">
        <f>VLOOKUP($D53,Résultats!$B$2:$AZ$212,AH$2,FALSE)</f>
        <v>10321.8179</v>
      </c>
      <c r="AI53" s="25">
        <f>VLOOKUP($D53,Résultats!$B$2:$AZ$212,AI$2,FALSE)</f>
        <v>10554.90645</v>
      </c>
      <c r="AJ53" s="25">
        <f>VLOOKUP($D53,Résultats!$B$2:$AZ$212,AJ$2,FALSE)</f>
        <v>10765.03959</v>
      </c>
      <c r="AK53" s="25">
        <f>VLOOKUP($D53,Résultats!$B$2:$AZ$212,AK$2,FALSE)</f>
        <v>10952.72539</v>
      </c>
      <c r="AL53" s="25">
        <f>VLOOKUP($D53,Résultats!$B$2:$AZ$212,AL$2,FALSE)</f>
        <v>11117.39212</v>
      </c>
      <c r="AM53" s="102">
        <f>VLOOKUP($D53,Résultats!$B$2:$AZ$212,AM$2,FALSE)</f>
        <v>11249.7763</v>
      </c>
    </row>
    <row r="54" spans="2:40" x14ac:dyDescent="0.25">
      <c r="B54" s="230"/>
      <c r="C54" s="218" t="s">
        <v>31</v>
      </c>
      <c r="D54" s="54" t="s">
        <v>142</v>
      </c>
      <c r="E54" s="25">
        <f>VLOOKUP($D54,Résultats!$B$2:$AZ$212,E$2,FALSE)</f>
        <v>0.62410555599999995</v>
      </c>
      <c r="F54" s="25">
        <f>VLOOKUP($D54,Résultats!$B$2:$AZ$212,F$2,FALSE)</f>
        <v>39.063187390000003</v>
      </c>
      <c r="G54" s="25">
        <f>VLOOKUP($D54,Résultats!$B$2:$AZ$212,G$2,FALSE)</f>
        <v>91.967459489999996</v>
      </c>
      <c r="H54" s="25">
        <f>VLOOKUP($D54,Résultats!$B$2:$AZ$212,H$2,FALSE)</f>
        <v>121.2281248</v>
      </c>
      <c r="I54" s="25">
        <f>VLOOKUP($D54,Résultats!$B$2:$AZ$212,I$2,FALSE)</f>
        <v>151.36425489999999</v>
      </c>
      <c r="J54" s="25">
        <f>VLOOKUP($D54,Résultats!$B$2:$AZ$212,J$2,FALSE)</f>
        <v>183.1474638</v>
      </c>
      <c r="K54" s="25">
        <f>VLOOKUP($D54,Résultats!$B$2:$AZ$212,K$2,FALSE)</f>
        <v>220.7217469</v>
      </c>
      <c r="L54" s="25">
        <f>VLOOKUP($D54,Résultats!$B$2:$AZ$212,L$2,FALSE)</f>
        <v>266.30744320000002</v>
      </c>
      <c r="M54" s="25">
        <f>VLOOKUP($D54,Résultats!$B$2:$AZ$212,M$2,FALSE)</f>
        <v>339.51151529999999</v>
      </c>
      <c r="N54" s="25">
        <f>VLOOKUP($D54,Résultats!$B$2:$AZ$212,N$2,FALSE)</f>
        <v>431.52927410000001</v>
      </c>
      <c r="O54" s="25">
        <f>VLOOKUP($D54,Résultats!$B$2:$AZ$212,O$2,FALSE)</f>
        <v>519.64777649999996</v>
      </c>
      <c r="P54" s="25">
        <f>VLOOKUP($D54,Résultats!$B$2:$AZ$212,P$2,FALSE)</f>
        <v>621.62984119999999</v>
      </c>
      <c r="Q54" s="25">
        <f>VLOOKUP($D54,Résultats!$B$2:$AZ$212,Q$2,FALSE)</f>
        <v>752.0972759</v>
      </c>
      <c r="R54" s="25">
        <f>VLOOKUP($D54,Résultats!$B$2:$AZ$212,R$2,FALSE)</f>
        <v>911.85995379999997</v>
      </c>
      <c r="S54" s="25">
        <f>VLOOKUP($D54,Résultats!$B$2:$AZ$212,S$2,FALSE)</f>
        <v>1098.3480139999999</v>
      </c>
      <c r="T54" s="25">
        <f>VLOOKUP($D54,Résultats!$B$2:$AZ$212,T$2,FALSE)</f>
        <v>1304.3167410000001</v>
      </c>
      <c r="U54" s="25">
        <f>VLOOKUP($D54,Résultats!$B$2:$AZ$212,U$2,FALSE)</f>
        <v>1521.89058</v>
      </c>
      <c r="V54" s="25">
        <f>VLOOKUP($D54,Résultats!$B$2:$AZ$212,V$2,FALSE)</f>
        <v>1740.4566629999999</v>
      </c>
      <c r="W54" s="25">
        <f>VLOOKUP($D54,Résultats!$B$2:$AZ$212,W$2,FALSE)</f>
        <v>1952.3004390000001</v>
      </c>
      <c r="X54" s="25">
        <f>VLOOKUP($D54,Résultats!$B$2:$AZ$212,X$2,FALSE)</f>
        <v>2152.3551640000001</v>
      </c>
      <c r="Y54" s="25">
        <f>VLOOKUP($D54,Résultats!$B$2:$AZ$212,Y$2,FALSE)</f>
        <v>2347.1949490000002</v>
      </c>
      <c r="Z54" s="25">
        <f>VLOOKUP($D54,Résultats!$B$2:$AZ$212,Z$2,FALSE)</f>
        <v>2532.278554</v>
      </c>
      <c r="AA54" s="25">
        <f>VLOOKUP($D54,Résultats!$B$2:$AZ$212,AA$2,FALSE)</f>
        <v>2703.252403</v>
      </c>
      <c r="AB54" s="25">
        <f>VLOOKUP($D54,Résultats!$B$2:$AZ$212,AB$2,FALSE)</f>
        <v>2859.8476759999999</v>
      </c>
      <c r="AC54" s="25">
        <f>VLOOKUP($D54,Résultats!$B$2:$AZ$212,AC$2,FALSE)</f>
        <v>3000.7106349999999</v>
      </c>
      <c r="AD54" s="25">
        <f>VLOOKUP($D54,Résultats!$B$2:$AZ$212,AD$2,FALSE)</f>
        <v>3127.5190389999998</v>
      </c>
      <c r="AE54" s="25">
        <f>VLOOKUP($D54,Résultats!$B$2:$AZ$212,AE$2,FALSE)</f>
        <v>3240.8530150000001</v>
      </c>
      <c r="AF54" s="25">
        <f>VLOOKUP($D54,Résultats!$B$2:$AZ$212,AF$2,FALSE)</f>
        <v>3341.300362</v>
      </c>
      <c r="AG54" s="25">
        <f>VLOOKUP($D54,Résultats!$B$2:$AZ$212,AG$2,FALSE)</f>
        <v>3429.3492590000001</v>
      </c>
      <c r="AH54" s="25">
        <f>VLOOKUP($D54,Résultats!$B$2:$AZ$212,AH$2,FALSE)</f>
        <v>3493.6988839999999</v>
      </c>
      <c r="AI54" s="25">
        <f>VLOOKUP($D54,Résultats!$B$2:$AZ$212,AI$2,FALSE)</f>
        <v>3551.4636190000001</v>
      </c>
      <c r="AJ54" s="25">
        <f>VLOOKUP($D54,Résultats!$B$2:$AZ$212,AJ$2,FALSE)</f>
        <v>3601.184655</v>
      </c>
      <c r="AK54" s="25">
        <f>VLOOKUP($D54,Résultats!$B$2:$AZ$212,AK$2,FALSE)</f>
        <v>3643.1418469999999</v>
      </c>
      <c r="AL54" s="25">
        <f>VLOOKUP($D54,Résultats!$B$2:$AZ$212,AL$2,FALSE)</f>
        <v>3677.2718709999999</v>
      </c>
      <c r="AM54" s="102">
        <f>VLOOKUP($D54,Résultats!$B$2:$AZ$212,AM$2,FALSE)</f>
        <v>3700.7724090000002</v>
      </c>
    </row>
    <row r="55" spans="2:40" x14ac:dyDescent="0.25">
      <c r="B55" s="230"/>
      <c r="C55" s="218" t="s">
        <v>32</v>
      </c>
      <c r="D55" s="54" t="s">
        <v>143</v>
      </c>
      <c r="E55" s="25">
        <f>VLOOKUP($D55,Résultats!$B$2:$AZ$212,E$2,FALSE)</f>
        <v>8.5085212099999998E-3</v>
      </c>
      <c r="F55" s="25">
        <f>VLOOKUP($D55,Résultats!$B$2:$AZ$212,F$2,FALSE)</f>
        <v>0.16745906669999999</v>
      </c>
      <c r="G55" s="25">
        <f>VLOOKUP($D55,Résultats!$B$2:$AZ$212,G$2,FALSE)</f>
        <v>0.46276381389999999</v>
      </c>
      <c r="H55" s="25">
        <f>VLOOKUP($D55,Résultats!$B$2:$AZ$212,H$2,FALSE)</f>
        <v>0.57186428180000004</v>
      </c>
      <c r="I55" s="25">
        <f>VLOOKUP($D55,Résultats!$B$2:$AZ$212,I$2,FALSE)</f>
        <v>0.68552758719999995</v>
      </c>
      <c r="J55" s="25">
        <f>VLOOKUP($D55,Résultats!$B$2:$AZ$212,J$2,FALSE)</f>
        <v>0.80685523439999995</v>
      </c>
      <c r="K55" s="25">
        <f>VLOOKUP($D55,Résultats!$B$2:$AZ$212,K$2,FALSE)</f>
        <v>0.95570976429999999</v>
      </c>
      <c r="L55" s="25">
        <f>VLOOKUP($D55,Résultats!$B$2:$AZ$212,L$2,FALSE)</f>
        <v>1.1411666199999999</v>
      </c>
      <c r="M55" s="25">
        <f>VLOOKUP($D55,Résultats!$B$2:$AZ$212,M$2,FALSE)</f>
        <v>1.441284625</v>
      </c>
      <c r="N55" s="25">
        <f>VLOOKUP($D55,Résultats!$B$2:$AZ$212,N$2,FALSE)</f>
        <v>1.821648489</v>
      </c>
      <c r="O55" s="25">
        <f>VLOOKUP($D55,Résultats!$B$2:$AZ$212,O$2,FALSE)</f>
        <v>2.1905744810000001</v>
      </c>
      <c r="P55" s="25">
        <f>VLOOKUP($D55,Résultats!$B$2:$AZ$212,P$2,FALSE)</f>
        <v>2.6218257600000001</v>
      </c>
      <c r="Q55" s="25">
        <f>VLOOKUP($D55,Résultats!$B$2:$AZ$212,Q$2,FALSE)</f>
        <v>3.177539447</v>
      </c>
      <c r="R55" s="25">
        <f>VLOOKUP($D55,Résultats!$B$2:$AZ$212,R$2,FALSE)</f>
        <v>3.8627137710000001</v>
      </c>
      <c r="S55" s="25">
        <f>VLOOKUP($D55,Résultats!$B$2:$AZ$212,S$2,FALSE)</f>
        <v>4.668207346</v>
      </c>
      <c r="T55" s="25">
        <f>VLOOKUP($D55,Résultats!$B$2:$AZ$212,T$2,FALSE)</f>
        <v>5.5649430600000001</v>
      </c>
      <c r="U55" s="25">
        <f>VLOOKUP($D55,Résultats!$B$2:$AZ$212,U$2,FALSE)</f>
        <v>6.5203036900000004</v>
      </c>
      <c r="V55" s="25">
        <f>VLOOKUP($D55,Résultats!$B$2:$AZ$212,V$2,FALSE)</f>
        <v>7.4895627779999998</v>
      </c>
      <c r="W55" s="25">
        <f>VLOOKUP($D55,Résultats!$B$2:$AZ$212,W$2,FALSE)</f>
        <v>8.4395920859999904</v>
      </c>
      <c r="X55" s="25">
        <f>VLOOKUP($D55,Résultats!$B$2:$AZ$212,X$2,FALSE)</f>
        <v>9.3481735910000001</v>
      </c>
      <c r="Y55" s="25">
        <f>VLOOKUP($D55,Résultats!$B$2:$AZ$212,Y$2,FALSE)</f>
        <v>10.24383864</v>
      </c>
      <c r="Z55" s="25">
        <f>VLOOKUP($D55,Résultats!$B$2:$AZ$212,Z$2,FALSE)</f>
        <v>11.10674693</v>
      </c>
      <c r="AA55" s="25">
        <f>VLOOKUP($D55,Résultats!$B$2:$AZ$212,AA$2,FALSE)</f>
        <v>11.91748619</v>
      </c>
      <c r="AB55" s="25">
        <f>VLOOKUP($D55,Résultats!$B$2:$AZ$212,AB$2,FALSE)</f>
        <v>12.67413168</v>
      </c>
      <c r="AC55" s="25">
        <f>VLOOKUP($D55,Résultats!$B$2:$AZ$212,AC$2,FALSE)</f>
        <v>13.36991222</v>
      </c>
      <c r="AD55" s="25">
        <f>VLOOKUP($D55,Résultats!$B$2:$AZ$212,AD$2,FALSE)</f>
        <v>14.00951238</v>
      </c>
      <c r="AE55" s="25">
        <f>VLOOKUP($D55,Résultats!$B$2:$AZ$212,AE$2,FALSE)</f>
        <v>14.594740910000001</v>
      </c>
      <c r="AF55" s="25">
        <f>VLOOKUP($D55,Résultats!$B$2:$AZ$212,AF$2,FALSE)</f>
        <v>15.12765469</v>
      </c>
      <c r="AG55" s="25">
        <f>VLOOKUP($D55,Résultats!$B$2:$AZ$212,AG$2,FALSE)</f>
        <v>15.609704260000001</v>
      </c>
      <c r="AH55" s="25">
        <f>VLOOKUP($D55,Résultats!$B$2:$AZ$212,AH$2,FALSE)</f>
        <v>16.022091629999998</v>
      </c>
      <c r="AI55" s="25">
        <f>VLOOKUP($D55,Résultats!$B$2:$AZ$212,AI$2,FALSE)</f>
        <v>16.40754196</v>
      </c>
      <c r="AJ55" s="25">
        <f>VLOOKUP($D55,Résultats!$B$2:$AZ$212,AJ$2,FALSE)</f>
        <v>16.758741629999999</v>
      </c>
      <c r="AK55" s="25">
        <f>VLOOKUP($D55,Résultats!$B$2:$AZ$212,AK$2,FALSE)</f>
        <v>17.076399129999999</v>
      </c>
      <c r="AL55" s="25">
        <f>VLOOKUP($D55,Résultats!$B$2:$AZ$212,AL$2,FALSE)</f>
        <v>17.359514529999998</v>
      </c>
      <c r="AM55" s="102">
        <f>VLOOKUP($D55,Résultats!$B$2:$AZ$212,AM$2,FALSE)</f>
        <v>17.593370279999998</v>
      </c>
    </row>
    <row r="56" spans="2:40" x14ac:dyDescent="0.25">
      <c r="B56" s="230"/>
      <c r="C56" s="218" t="s">
        <v>33</v>
      </c>
      <c r="D56" s="54" t="s">
        <v>144</v>
      </c>
      <c r="E56" s="25">
        <f>VLOOKUP($D56,Résultats!$B$2:$AZ$212,E$2,FALSE)</f>
        <v>0.1045332606</v>
      </c>
      <c r="F56" s="25">
        <f>VLOOKUP($D56,Résultats!$B$2:$AZ$212,F$2,FALSE)</f>
        <v>5.9792467580000004</v>
      </c>
      <c r="G56" s="25">
        <f>VLOOKUP($D56,Résultats!$B$2:$AZ$212,G$2,FALSE)</f>
        <v>14.38788351</v>
      </c>
      <c r="H56" s="25">
        <f>VLOOKUP($D56,Résultats!$B$2:$AZ$212,H$2,FALSE)</f>
        <v>18.943871250000001</v>
      </c>
      <c r="I56" s="25">
        <f>VLOOKUP($D56,Résultats!$B$2:$AZ$212,I$2,FALSE)</f>
        <v>23.408340389999999</v>
      </c>
      <c r="J56" s="25">
        <f>VLOOKUP($D56,Résultats!$B$2:$AZ$212,J$2,FALSE)</f>
        <v>27.89103669</v>
      </c>
      <c r="K56" s="25">
        <f>VLOOKUP($D56,Résultats!$B$2:$AZ$212,K$2,FALSE)</f>
        <v>32.198028999999998</v>
      </c>
      <c r="L56" s="25">
        <f>VLOOKUP($D56,Résultats!$B$2:$AZ$212,L$2,FALSE)</f>
        <v>36.802506630000003</v>
      </c>
      <c r="M56" s="25">
        <f>VLOOKUP($D56,Résultats!$B$2:$AZ$212,M$2,FALSE)</f>
        <v>44.4151211</v>
      </c>
      <c r="N56" s="25">
        <f>VLOOKUP($D56,Résultats!$B$2:$AZ$212,N$2,FALSE)</f>
        <v>53.774963169999999</v>
      </c>
      <c r="O56" s="25">
        <f>VLOOKUP($D56,Résultats!$B$2:$AZ$212,O$2,FALSE)</f>
        <v>62.102642869999997</v>
      </c>
      <c r="P56" s="25">
        <f>VLOOKUP($D56,Résultats!$B$2:$AZ$212,P$2,FALSE)</f>
        <v>71.341338649999997</v>
      </c>
      <c r="Q56" s="25">
        <f>VLOOKUP($D56,Résultats!$B$2:$AZ$212,Q$2,FALSE)</f>
        <v>82.898437720000004</v>
      </c>
      <c r="R56" s="25">
        <f>VLOOKUP($D56,Résultats!$B$2:$AZ$212,R$2,FALSE)</f>
        <v>96.693867760000003</v>
      </c>
      <c r="S56" s="25">
        <f>VLOOKUP($D56,Résultats!$B$2:$AZ$212,S$2,FALSE)</f>
        <v>112.31885389999999</v>
      </c>
      <c r="T56" s="25">
        <f>VLOOKUP($D56,Résultats!$B$2:$AZ$212,T$2,FALSE)</f>
        <v>128.9515245</v>
      </c>
      <c r="U56" s="25">
        <f>VLOOKUP($D56,Résultats!$B$2:$AZ$212,U$2,FALSE)</f>
        <v>145.8163357</v>
      </c>
      <c r="V56" s="25">
        <f>VLOOKUP($D56,Résultats!$B$2:$AZ$212,V$2,FALSE)</f>
        <v>161.94368180000001</v>
      </c>
      <c r="W56" s="25">
        <f>VLOOKUP($D56,Résultats!$B$2:$AZ$212,W$2,FALSE)</f>
        <v>176.71152409999999</v>
      </c>
      <c r="X56" s="25">
        <f>VLOOKUP($D56,Résultats!$B$2:$AZ$212,X$2,FALSE)</f>
        <v>189.7763818</v>
      </c>
      <c r="Y56" s="25">
        <f>VLOOKUP($D56,Résultats!$B$2:$AZ$212,Y$2,FALSE)</f>
        <v>201.75045119999999</v>
      </c>
      <c r="Z56" s="25">
        <f>VLOOKUP($D56,Résultats!$B$2:$AZ$212,Z$2,FALSE)</f>
        <v>212.32603739999999</v>
      </c>
      <c r="AA56" s="25">
        <f>VLOOKUP($D56,Résultats!$B$2:$AZ$212,AA$2,FALSE)</f>
        <v>221.24408650000001</v>
      </c>
      <c r="AB56" s="25">
        <f>VLOOKUP($D56,Résultats!$B$2:$AZ$212,AB$2,FALSE)</f>
        <v>228.5934427</v>
      </c>
      <c r="AC56" s="25">
        <f>VLOOKUP($D56,Résultats!$B$2:$AZ$212,AC$2,FALSE)</f>
        <v>234.37820780000001</v>
      </c>
      <c r="AD56" s="25">
        <f>VLOOKUP($D56,Résultats!$B$2:$AZ$212,AD$2,FALSE)</f>
        <v>238.91508540000001</v>
      </c>
      <c r="AE56" s="25">
        <f>VLOOKUP($D56,Résultats!$B$2:$AZ$212,AE$2,FALSE)</f>
        <v>242.32073500000001</v>
      </c>
      <c r="AF56" s="25">
        <f>VLOOKUP($D56,Résultats!$B$2:$AZ$212,AF$2,FALSE)</f>
        <v>244.69727470000001</v>
      </c>
      <c r="AG56" s="25">
        <f>VLOOKUP($D56,Résultats!$B$2:$AZ$212,AG$2,FALSE)</f>
        <v>246.14111539999999</v>
      </c>
      <c r="AH56" s="25">
        <f>VLOOKUP($D56,Résultats!$B$2:$AZ$212,AH$2,FALSE)</f>
        <v>244.9196986</v>
      </c>
      <c r="AI56" s="25">
        <f>VLOOKUP($D56,Résultats!$B$2:$AZ$212,AI$2,FALSE)</f>
        <v>243.3757023</v>
      </c>
      <c r="AJ56" s="25">
        <f>VLOOKUP($D56,Résultats!$B$2:$AZ$212,AJ$2,FALSE)</f>
        <v>241.4540011</v>
      </c>
      <c r="AK56" s="25">
        <f>VLOOKUP($D56,Résultats!$B$2:$AZ$212,AK$2,FALSE)</f>
        <v>239.2005489</v>
      </c>
      <c r="AL56" s="25">
        <f>VLOOKUP($D56,Résultats!$B$2:$AZ$212,AL$2,FALSE)</f>
        <v>236.63992329999999</v>
      </c>
      <c r="AM56" s="102">
        <f>VLOOKUP($D56,Résultats!$B$2:$AZ$212,AM$2,FALSE)</f>
        <v>233.65624940000001</v>
      </c>
    </row>
    <row r="57" spans="2:40" x14ac:dyDescent="0.25">
      <c r="B57" s="230"/>
      <c r="C57" s="223" t="s">
        <v>46</v>
      </c>
      <c r="D57" s="52" t="s">
        <v>146</v>
      </c>
      <c r="E57" s="61">
        <f>VLOOKUP($D57,Résultats!$B$2:$AZ$212,E$2,FALSE)</f>
        <v>31999.388770000001</v>
      </c>
      <c r="F57" s="61">
        <f>VLOOKUP($D57,Résultats!$B$2:$AZ$212,F$2,FALSE)</f>
        <v>35757.96082</v>
      </c>
      <c r="G57" s="61">
        <f>VLOOKUP($D57,Résultats!$B$2:$AZ$212,G$2,FALSE)</f>
        <v>36349.344109999998</v>
      </c>
      <c r="H57" s="61">
        <f>VLOOKUP($D57,Résultats!$B$2:$AZ$212,H$2,FALSE)</f>
        <v>36639.762439999999</v>
      </c>
      <c r="I57" s="61">
        <f>VLOOKUP($D57,Résultats!$B$2:$AZ$212,I$2,FALSE)</f>
        <v>36586.450720000001</v>
      </c>
      <c r="J57" s="61">
        <f>VLOOKUP($D57,Résultats!$B$2:$AZ$212,J$2,FALSE)</f>
        <v>36294.812989999999</v>
      </c>
      <c r="K57" s="61">
        <f>VLOOKUP($D57,Résultats!$B$2:$AZ$212,K$2,FALSE)</f>
        <v>35812.051469999999</v>
      </c>
      <c r="L57" s="61">
        <f>VLOOKUP($D57,Résultats!$B$2:$AZ$212,L$2,FALSE)</f>
        <v>35248.219510000003</v>
      </c>
      <c r="M57" s="61">
        <f>VLOOKUP($D57,Résultats!$B$2:$AZ$212,M$2,FALSE)</f>
        <v>35075.938329999997</v>
      </c>
      <c r="N57" s="61">
        <f>VLOOKUP($D57,Résultats!$B$2:$AZ$212,N$2,FALSE)</f>
        <v>34989.197590000003</v>
      </c>
      <c r="O57" s="61">
        <f>VLOOKUP($D57,Résultats!$B$2:$AZ$212,O$2,FALSE)</f>
        <v>34482.803140000004</v>
      </c>
      <c r="P57" s="61">
        <f>VLOOKUP($D57,Résultats!$B$2:$AZ$212,P$2,FALSE)</f>
        <v>33712.425810000001</v>
      </c>
      <c r="Q57" s="61">
        <f>VLOOKUP($D57,Résultats!$B$2:$AZ$212,Q$2,FALSE)</f>
        <v>32721.02592</v>
      </c>
      <c r="R57" s="61">
        <f>VLOOKUP($D57,Résultats!$B$2:$AZ$212,R$2,FALSE)</f>
        <v>31530.559430000001</v>
      </c>
      <c r="S57" s="61">
        <f>VLOOKUP($D57,Résultats!$B$2:$AZ$212,S$2,FALSE)</f>
        <v>30177.086719999999</v>
      </c>
      <c r="T57" s="61">
        <f>VLOOKUP($D57,Résultats!$B$2:$AZ$212,T$2,FALSE)</f>
        <v>28708.981629999998</v>
      </c>
      <c r="U57" s="61">
        <f>VLOOKUP($D57,Résultats!$B$2:$AZ$212,U$2,FALSE)</f>
        <v>27183.79869</v>
      </c>
      <c r="V57" s="61">
        <f>VLOOKUP($D57,Résultats!$B$2:$AZ$212,V$2,FALSE)</f>
        <v>25651.797310000002</v>
      </c>
      <c r="W57" s="61">
        <f>VLOOKUP($D57,Résultats!$B$2:$AZ$212,W$2,FALSE)</f>
        <v>24151.216489999999</v>
      </c>
      <c r="X57" s="61">
        <f>VLOOKUP($D57,Résultats!$B$2:$AZ$212,X$2,FALSE)</f>
        <v>22705.446339999999</v>
      </c>
      <c r="Y57" s="61">
        <f>VLOOKUP($D57,Résultats!$B$2:$AZ$212,Y$2,FALSE)</f>
        <v>21326.768</v>
      </c>
      <c r="Z57" s="61">
        <f>VLOOKUP($D57,Résultats!$B$2:$AZ$212,Z$2,FALSE)</f>
        <v>20019.072769999999</v>
      </c>
      <c r="AA57" s="61">
        <f>VLOOKUP($D57,Résultats!$B$2:$AZ$212,AA$2,FALSE)</f>
        <v>18782.63335</v>
      </c>
      <c r="AB57" s="61">
        <f>VLOOKUP($D57,Résultats!$B$2:$AZ$212,AB$2,FALSE)</f>
        <v>17615.79896</v>
      </c>
      <c r="AC57" s="61">
        <f>VLOOKUP($D57,Résultats!$B$2:$AZ$212,AC$2,FALSE)</f>
        <v>16515.90971</v>
      </c>
      <c r="AD57" s="61">
        <f>VLOOKUP($D57,Résultats!$B$2:$AZ$212,AD$2,FALSE)</f>
        <v>15484.2101</v>
      </c>
      <c r="AE57" s="61">
        <f>VLOOKUP($D57,Résultats!$B$2:$AZ$212,AE$2,FALSE)</f>
        <v>14516.71679</v>
      </c>
      <c r="AF57" s="61">
        <f>VLOOKUP($D57,Résultats!$B$2:$AZ$212,AF$2,FALSE)</f>
        <v>13609.555490000001</v>
      </c>
      <c r="AG57" s="61">
        <f>VLOOKUP($D57,Résultats!$B$2:$AZ$212,AG$2,FALSE)</f>
        <v>12759.024219999999</v>
      </c>
      <c r="AH57" s="61">
        <f>VLOOKUP($D57,Résultats!$B$2:$AZ$212,AH$2,FALSE)</f>
        <v>11908.456260000001</v>
      </c>
      <c r="AI57" s="61">
        <f>VLOOKUP($D57,Résultats!$B$2:$AZ$212,AI$2,FALSE)</f>
        <v>11114.575999999999</v>
      </c>
      <c r="AJ57" s="61">
        <f>VLOOKUP($D57,Résultats!$B$2:$AZ$212,AJ$2,FALSE)</f>
        <v>10373.612639999999</v>
      </c>
      <c r="AK57" s="61">
        <f>VLOOKUP($D57,Résultats!$B$2:$AZ$212,AK$2,FALSE)</f>
        <v>9682.0426129999996</v>
      </c>
      <c r="AL57" s="61">
        <f>VLOOKUP($D57,Résultats!$B$2:$AZ$212,AL$2,FALSE)</f>
        <v>9036.5751629999995</v>
      </c>
      <c r="AM57" s="225">
        <f>VLOOKUP($D57,Résultats!$B$2:$AZ$212,AM$2,FALSE)</f>
        <v>8434.1378249999998</v>
      </c>
      <c r="AN57" s="212"/>
    </row>
    <row r="58" spans="2:40" x14ac:dyDescent="0.25">
      <c r="B58" s="230"/>
      <c r="C58" s="218" t="s">
        <v>27</v>
      </c>
      <c r="D58" s="54" t="s">
        <v>131</v>
      </c>
      <c r="E58" s="65">
        <f>VLOOKUP($D58,Résultats!$B$2:$AZ$212,E$2,FALSE)</f>
        <v>18.581072330000001</v>
      </c>
      <c r="F58" s="65">
        <f>VLOOKUP($D58,Résultats!$B$2:$AZ$212,F$2,FALSE)</f>
        <v>253.21861870000001</v>
      </c>
      <c r="G58" s="65">
        <f>VLOOKUP($D58,Résultats!$B$2:$AZ$212,G$2,FALSE)</f>
        <v>293.22813259999998</v>
      </c>
      <c r="H58" s="65">
        <f>VLOOKUP($D58,Résultats!$B$2:$AZ$212,H$2,FALSE)</f>
        <v>321.1672413</v>
      </c>
      <c r="I58" s="65">
        <f>VLOOKUP($D58,Résultats!$B$2:$AZ$212,I$2,FALSE)</f>
        <v>364.23375520000002</v>
      </c>
      <c r="J58" s="65">
        <f>VLOOKUP($D58,Résultats!$B$2:$AZ$212,J$2,FALSE)</f>
        <v>397.2215607</v>
      </c>
      <c r="K58" s="65">
        <f>VLOOKUP($D58,Résultats!$B$2:$AZ$212,K$2,FALSE)</f>
        <v>450.7568273</v>
      </c>
      <c r="L58" s="65">
        <f>VLOOKUP($D58,Résultats!$B$2:$AZ$212,L$2,FALSE)</f>
        <v>513.29410210000003</v>
      </c>
      <c r="M58" s="65">
        <f>VLOOKUP($D58,Résultats!$B$2:$AZ$212,M$2,FALSE)</f>
        <v>596.52421879999997</v>
      </c>
      <c r="N58" s="65">
        <f>VLOOKUP($D58,Résultats!$B$2:$AZ$212,N$2,FALSE)</f>
        <v>686.65427569999997</v>
      </c>
      <c r="O58" s="65">
        <f>VLOOKUP($D58,Résultats!$B$2:$AZ$212,O$2,FALSE)</f>
        <v>752.33625689999997</v>
      </c>
      <c r="P58" s="65">
        <f>VLOOKUP($D58,Résultats!$B$2:$AZ$212,P$2,FALSE)</f>
        <v>798.92948139999999</v>
      </c>
      <c r="Q58" s="65">
        <f>VLOOKUP($D58,Résultats!$B$2:$AZ$212,Q$2,FALSE)</f>
        <v>826.75731959999996</v>
      </c>
      <c r="R58" s="65">
        <f>VLOOKUP($D58,Résultats!$B$2:$AZ$212,R$2,FALSE)</f>
        <v>836.98138979999999</v>
      </c>
      <c r="S58" s="65">
        <f>VLOOKUP($D58,Résultats!$B$2:$AZ$212,S$2,FALSE)</f>
        <v>830.9205753</v>
      </c>
      <c r="T58" s="65">
        <f>VLOOKUP($D58,Résultats!$B$2:$AZ$212,T$2,FALSE)</f>
        <v>810.71718239999996</v>
      </c>
      <c r="U58" s="65">
        <f>VLOOKUP($D58,Résultats!$B$2:$AZ$212,U$2,FALSE)</f>
        <v>780.37828850000005</v>
      </c>
      <c r="V58" s="65">
        <f>VLOOKUP($D58,Résultats!$B$2:$AZ$212,V$2,FALSE)</f>
        <v>743.90149599999995</v>
      </c>
      <c r="W58" s="65">
        <f>VLOOKUP($D58,Résultats!$B$2:$AZ$212,W$2,FALSE)</f>
        <v>704.60072290000005</v>
      </c>
      <c r="X58" s="65">
        <f>VLOOKUP($D58,Résultats!$B$2:$AZ$212,X$2,FALSE)</f>
        <v>664.71329519999995</v>
      </c>
      <c r="Y58" s="65">
        <f>VLOOKUP($D58,Résultats!$B$2:$AZ$212,Y$2,FALSE)</f>
        <v>625.59908089999999</v>
      </c>
      <c r="Z58" s="65">
        <f>VLOOKUP($D58,Résultats!$B$2:$AZ$212,Z$2,FALSE)</f>
        <v>587.905216</v>
      </c>
      <c r="AA58" s="65">
        <f>VLOOKUP($D58,Résultats!$B$2:$AZ$212,AA$2,FALSE)</f>
        <v>551.94473630000005</v>
      </c>
      <c r="AB58" s="65">
        <f>VLOOKUP($D58,Résultats!$B$2:$AZ$212,AB$2,FALSE)</f>
        <v>517.83953120000001</v>
      </c>
      <c r="AC58" s="65">
        <f>VLOOKUP($D58,Résultats!$B$2:$AZ$212,AC$2,FALSE)</f>
        <v>485.60191409999999</v>
      </c>
      <c r="AD58" s="65">
        <f>VLOOKUP($D58,Résultats!$B$2:$AZ$212,AD$2,FALSE)</f>
        <v>455.3170763</v>
      </c>
      <c r="AE58" s="65">
        <f>VLOOKUP($D58,Résultats!$B$2:$AZ$212,AE$2,FALSE)</f>
        <v>426.89312150000001</v>
      </c>
      <c r="AF58" s="65">
        <f>VLOOKUP($D58,Résultats!$B$2:$AZ$212,AF$2,FALSE)</f>
        <v>400.22933030000002</v>
      </c>
      <c r="AG58" s="65">
        <f>VLOOKUP($D58,Résultats!$B$2:$AZ$212,AG$2,FALSE)</f>
        <v>375.22366879999998</v>
      </c>
      <c r="AH58" s="65">
        <f>VLOOKUP($D58,Résultats!$B$2:$AZ$212,AH$2,FALSE)</f>
        <v>350.21359319999999</v>
      </c>
      <c r="AI58" s="65">
        <f>VLOOKUP($D58,Résultats!$B$2:$AZ$212,AI$2,FALSE)</f>
        <v>326.86850989999999</v>
      </c>
      <c r="AJ58" s="65">
        <f>VLOOKUP($D58,Résultats!$B$2:$AZ$212,AJ$2,FALSE)</f>
        <v>305.078551</v>
      </c>
      <c r="AK58" s="65">
        <f>VLOOKUP($D58,Résultats!$B$2:$AZ$212,AK$2,FALSE)</f>
        <v>284.74063260000003</v>
      </c>
      <c r="AL58" s="65">
        <f>VLOOKUP($D58,Résultats!$B$2:$AZ$212,AL$2,FALSE)</f>
        <v>265.75825589999999</v>
      </c>
      <c r="AM58" s="226">
        <f>VLOOKUP($D58,Résultats!$B$2:$AZ$212,AM$2,FALSE)</f>
        <v>248.04120610000001</v>
      </c>
    </row>
    <row r="59" spans="2:40" x14ac:dyDescent="0.25">
      <c r="B59" s="230"/>
      <c r="C59" s="218" t="s">
        <v>28</v>
      </c>
      <c r="D59" s="54" t="s">
        <v>132</v>
      </c>
      <c r="E59" s="65">
        <f>VLOOKUP($D59,Résultats!$B$2:$AZ$212,E$2,FALSE)</f>
        <v>1622.772802</v>
      </c>
      <c r="F59" s="65">
        <f>VLOOKUP($D59,Résultats!$B$2:$AZ$212,F$2,FALSE)</f>
        <v>4051.0023719999999</v>
      </c>
      <c r="G59" s="65">
        <f>VLOOKUP($D59,Résultats!$B$2:$AZ$212,G$2,FALSE)</f>
        <v>4559.7215660000002</v>
      </c>
      <c r="H59" s="65">
        <f>VLOOKUP($D59,Résultats!$B$2:$AZ$212,H$2,FALSE)</f>
        <v>4735.5102100000004</v>
      </c>
      <c r="I59" s="65">
        <f>VLOOKUP($D59,Résultats!$B$2:$AZ$212,I$2,FALSE)</f>
        <v>4853.6520989999999</v>
      </c>
      <c r="J59" s="65">
        <f>VLOOKUP($D59,Résultats!$B$2:$AZ$212,J$2,FALSE)</f>
        <v>4914.4823159999996</v>
      </c>
      <c r="K59" s="65">
        <f>VLOOKUP($D59,Résultats!$B$2:$AZ$212,K$2,FALSE)</f>
        <v>4957.4400290000003</v>
      </c>
      <c r="L59" s="65">
        <f>VLOOKUP($D59,Résultats!$B$2:$AZ$212,L$2,FALSE)</f>
        <v>4988.4421970000003</v>
      </c>
      <c r="M59" s="65">
        <f>VLOOKUP($D59,Résultats!$B$2:$AZ$212,M$2,FALSE)</f>
        <v>5092.7190559999999</v>
      </c>
      <c r="N59" s="65">
        <f>VLOOKUP($D59,Résultats!$B$2:$AZ$212,N$2,FALSE)</f>
        <v>5208.0005289999999</v>
      </c>
      <c r="O59" s="65">
        <f>VLOOKUP($D59,Résultats!$B$2:$AZ$212,O$2,FALSE)</f>
        <v>5230.4548610000002</v>
      </c>
      <c r="P59" s="65">
        <f>VLOOKUP($D59,Résultats!$B$2:$AZ$212,P$2,FALSE)</f>
        <v>5191.3397949999999</v>
      </c>
      <c r="Q59" s="65">
        <f>VLOOKUP($D59,Résultats!$B$2:$AZ$212,Q$2,FALSE)</f>
        <v>5099.0842300000004</v>
      </c>
      <c r="R59" s="65">
        <f>VLOOKUP($D59,Résultats!$B$2:$AZ$212,R$2,FALSE)</f>
        <v>4958.1567750000004</v>
      </c>
      <c r="S59" s="65">
        <f>VLOOKUP($D59,Résultats!$B$2:$AZ$212,S$2,FALSE)</f>
        <v>4776.3283750000001</v>
      </c>
      <c r="T59" s="65">
        <f>VLOOKUP($D59,Résultats!$B$2:$AZ$212,T$2,FALSE)</f>
        <v>4564.0351870000004</v>
      </c>
      <c r="U59" s="65">
        <f>VLOOKUP($D59,Résultats!$B$2:$AZ$212,U$2,FALSE)</f>
        <v>4333.7084009999999</v>
      </c>
      <c r="V59" s="65">
        <f>VLOOKUP($D59,Résultats!$B$2:$AZ$212,V$2,FALSE)</f>
        <v>4096.3511920000001</v>
      </c>
      <c r="W59" s="65">
        <f>VLOOKUP($D59,Résultats!$B$2:$AZ$212,W$2,FALSE)</f>
        <v>3860.4418470000001</v>
      </c>
      <c r="X59" s="65">
        <f>VLOOKUP($D59,Résultats!$B$2:$AZ$212,X$2,FALSE)</f>
        <v>3631.2931410000001</v>
      </c>
      <c r="Y59" s="65">
        <f>VLOOKUP($D59,Résultats!$B$2:$AZ$212,Y$2,FALSE)</f>
        <v>3411.8313549999998</v>
      </c>
      <c r="Z59" s="65">
        <f>VLOOKUP($D59,Résultats!$B$2:$AZ$212,Z$2,FALSE)</f>
        <v>3203.1628620000001</v>
      </c>
      <c r="AA59" s="65">
        <f>VLOOKUP($D59,Résultats!$B$2:$AZ$212,AA$2,FALSE)</f>
        <v>3005.5990499999998</v>
      </c>
      <c r="AB59" s="65">
        <f>VLOOKUP($D59,Résultats!$B$2:$AZ$212,AB$2,FALSE)</f>
        <v>2819.0211089999998</v>
      </c>
      <c r="AC59" s="65">
        <f>VLOOKUP($D59,Résultats!$B$2:$AZ$212,AC$2,FALSE)</f>
        <v>2643.0782009999998</v>
      </c>
      <c r="AD59" s="65">
        <f>VLOOKUP($D59,Résultats!$B$2:$AZ$212,AD$2,FALSE)</f>
        <v>2478.0081620000001</v>
      </c>
      <c r="AE59" s="65">
        <f>VLOOKUP($D59,Résultats!$B$2:$AZ$212,AE$2,FALSE)</f>
        <v>2323.1934160000001</v>
      </c>
      <c r="AF59" s="65">
        <f>VLOOKUP($D59,Résultats!$B$2:$AZ$212,AF$2,FALSE)</f>
        <v>2178.023972</v>
      </c>
      <c r="AG59" s="65">
        <f>VLOOKUP($D59,Résultats!$B$2:$AZ$212,AG$2,FALSE)</f>
        <v>2041.9124039999999</v>
      </c>
      <c r="AH59" s="65">
        <f>VLOOKUP($D59,Résultats!$B$2:$AZ$212,AH$2,FALSE)</f>
        <v>1905.792616</v>
      </c>
      <c r="AI59" s="65">
        <f>VLOOKUP($D59,Résultats!$B$2:$AZ$212,AI$2,FALSE)</f>
        <v>1778.7436359999999</v>
      </c>
      <c r="AJ59" s="65">
        <f>VLOOKUP($D59,Résultats!$B$2:$AZ$212,AJ$2,FALSE)</f>
        <v>1660.1626490000001</v>
      </c>
      <c r="AK59" s="65">
        <f>VLOOKUP($D59,Résultats!$B$2:$AZ$212,AK$2,FALSE)</f>
        <v>1549.486095</v>
      </c>
      <c r="AL59" s="65">
        <f>VLOOKUP($D59,Résultats!$B$2:$AZ$212,AL$2,FALSE)</f>
        <v>1446.187496</v>
      </c>
      <c r="AM59" s="226">
        <f>VLOOKUP($D59,Résultats!$B$2:$AZ$212,AM$2,FALSE)</f>
        <v>1349.775228</v>
      </c>
    </row>
    <row r="60" spans="2:40" x14ac:dyDescent="0.25">
      <c r="B60" s="230"/>
      <c r="C60" s="218" t="s">
        <v>29</v>
      </c>
      <c r="D60" s="54" t="s">
        <v>133</v>
      </c>
      <c r="E60" s="65">
        <f>VLOOKUP($D60,Résultats!$B$2:$AZ$212,E$2,FALSE)</f>
        <v>3840.9962489999998</v>
      </c>
      <c r="F60" s="65">
        <f>VLOOKUP($D60,Résultats!$B$2:$AZ$212,F$2,FALSE)</f>
        <v>7001.1598130000002</v>
      </c>
      <c r="G60" s="65">
        <f>VLOOKUP($D60,Résultats!$B$2:$AZ$212,G$2,FALSE)</f>
        <v>7666.7847519999996</v>
      </c>
      <c r="H60" s="65">
        <f>VLOOKUP($D60,Résultats!$B$2:$AZ$212,H$2,FALSE)</f>
        <v>7896.815415</v>
      </c>
      <c r="I60" s="65">
        <f>VLOOKUP($D60,Résultats!$B$2:$AZ$212,I$2,FALSE)</f>
        <v>8026.5061459999997</v>
      </c>
      <c r="J60" s="65">
        <f>VLOOKUP($D60,Résultats!$B$2:$AZ$212,J$2,FALSE)</f>
        <v>8077.752665</v>
      </c>
      <c r="K60" s="65">
        <f>VLOOKUP($D60,Résultats!$B$2:$AZ$212,K$2,FALSE)</f>
        <v>8084.1441430000004</v>
      </c>
      <c r="L60" s="65">
        <f>VLOOKUP($D60,Résultats!$B$2:$AZ$212,L$2,FALSE)</f>
        <v>8065.8029839999999</v>
      </c>
      <c r="M60" s="65">
        <f>VLOOKUP($D60,Résultats!$B$2:$AZ$212,M$2,FALSE)</f>
        <v>8154.0844020000004</v>
      </c>
      <c r="N60" s="65">
        <f>VLOOKUP($D60,Résultats!$B$2:$AZ$212,N$2,FALSE)</f>
        <v>8258.5467100000005</v>
      </c>
      <c r="O60" s="65">
        <f>VLOOKUP($D60,Résultats!$B$2:$AZ$212,O$2,FALSE)</f>
        <v>8231.23963799999</v>
      </c>
      <c r="P60" s="65">
        <f>VLOOKUP($D60,Résultats!$B$2:$AZ$212,P$2,FALSE)</f>
        <v>8118.8324169999996</v>
      </c>
      <c r="Q60" s="65">
        <f>VLOOKUP($D60,Résultats!$B$2:$AZ$212,Q$2,FALSE)</f>
        <v>7934.586362</v>
      </c>
      <c r="R60" s="65">
        <f>VLOOKUP($D60,Résultats!$B$2:$AZ$212,R$2,FALSE)</f>
        <v>7685.2592379999996</v>
      </c>
      <c r="S60" s="65">
        <f>VLOOKUP($D60,Résultats!$B$2:$AZ$212,S$2,FALSE)</f>
        <v>7382.0347629999997</v>
      </c>
      <c r="T60" s="65">
        <f>VLOOKUP($D60,Résultats!$B$2:$AZ$212,T$2,FALSE)</f>
        <v>7039.7529080000004</v>
      </c>
      <c r="U60" s="65">
        <f>VLOOKUP($D60,Résultats!$B$2:$AZ$212,U$2,FALSE)</f>
        <v>6675.7136209999999</v>
      </c>
      <c r="V60" s="65">
        <f>VLOOKUP($D60,Résultats!$B$2:$AZ$212,V$2,FALSE)</f>
        <v>6304.9828340000004</v>
      </c>
      <c r="W60" s="65">
        <f>VLOOKUP($D60,Résultats!$B$2:$AZ$212,W$2,FALSE)</f>
        <v>5939.0419579999998</v>
      </c>
      <c r="X60" s="65">
        <f>VLOOKUP($D60,Résultats!$B$2:$AZ$212,X$2,FALSE)</f>
        <v>5584.9822979999999</v>
      </c>
      <c r="Y60" s="65">
        <f>VLOOKUP($D60,Résultats!$B$2:$AZ$212,Y$2,FALSE)</f>
        <v>5246.6182070000004</v>
      </c>
      <c r="Z60" s="65">
        <f>VLOOKUP($D60,Résultats!$B$2:$AZ$212,Z$2,FALSE)</f>
        <v>4925.2926799999996</v>
      </c>
      <c r="AA60" s="65">
        <f>VLOOKUP($D60,Résultats!$B$2:$AZ$212,AA$2,FALSE)</f>
        <v>4621.2805399999997</v>
      </c>
      <c r="AB60" s="65">
        <f>VLOOKUP($D60,Résultats!$B$2:$AZ$212,AB$2,FALSE)</f>
        <v>4334.2856039999997</v>
      </c>
      <c r="AC60" s="65">
        <f>VLOOKUP($D60,Résultats!$B$2:$AZ$212,AC$2,FALSE)</f>
        <v>4063.708404</v>
      </c>
      <c r="AD60" s="65">
        <f>VLOOKUP($D60,Résultats!$B$2:$AZ$212,AD$2,FALSE)</f>
        <v>3809.8827200000001</v>
      </c>
      <c r="AE60" s="65">
        <f>VLOOKUP($D60,Résultats!$B$2:$AZ$212,AE$2,FALSE)</f>
        <v>3571.8421199999998</v>
      </c>
      <c r="AF60" s="65">
        <f>VLOOKUP($D60,Résultats!$B$2:$AZ$212,AF$2,FALSE)</f>
        <v>3348.6399889999998</v>
      </c>
      <c r="AG60" s="65">
        <f>VLOOKUP($D60,Résultats!$B$2:$AZ$212,AG$2,FALSE)</f>
        <v>3139.3686980000002</v>
      </c>
      <c r="AH60" s="65">
        <f>VLOOKUP($D60,Résultats!$B$2:$AZ$212,AH$2,FALSE)</f>
        <v>2930.0868890000002</v>
      </c>
      <c r="AI60" s="65">
        <f>VLOOKUP($D60,Résultats!$B$2:$AZ$212,AI$2,FALSE)</f>
        <v>2734.7524629999998</v>
      </c>
      <c r="AJ60" s="65">
        <f>VLOOKUP($D60,Résultats!$B$2:$AZ$212,AJ$2,FALSE)</f>
        <v>2552.4379570000001</v>
      </c>
      <c r="AK60" s="65">
        <f>VLOOKUP($D60,Résultats!$B$2:$AZ$212,AK$2,FALSE)</f>
        <v>2382.2765760000002</v>
      </c>
      <c r="AL60" s="65">
        <f>VLOOKUP($D60,Résultats!$B$2:$AZ$212,AL$2,FALSE)</f>
        <v>2223.4587029999998</v>
      </c>
      <c r="AM60" s="226">
        <f>VLOOKUP($D60,Résultats!$B$2:$AZ$212,AM$2,FALSE)</f>
        <v>2075.2283990000001</v>
      </c>
    </row>
    <row r="61" spans="2:40" x14ac:dyDescent="0.25">
      <c r="B61" s="230"/>
      <c r="C61" s="218" t="s">
        <v>30</v>
      </c>
      <c r="D61" s="54" t="s">
        <v>134</v>
      </c>
      <c r="E61" s="65">
        <f>VLOOKUP($D61,Résultats!$B$2:$AZ$212,E$2,FALSE)</f>
        <v>5377.3855290000001</v>
      </c>
      <c r="F61" s="65">
        <f>VLOOKUP($D61,Résultats!$B$2:$AZ$212,F$2,FALSE)</f>
        <v>7827.0178880000003</v>
      </c>
      <c r="G61" s="65">
        <f>VLOOKUP($D61,Résultats!$B$2:$AZ$212,G$2,FALSE)</f>
        <v>8310.1081250000007</v>
      </c>
      <c r="H61" s="65">
        <f>VLOOKUP($D61,Résultats!$B$2:$AZ$212,H$2,FALSE)</f>
        <v>8483.54817799999</v>
      </c>
      <c r="I61" s="65">
        <f>VLOOKUP($D61,Résultats!$B$2:$AZ$212,I$2,FALSE)</f>
        <v>8551.9061789999996</v>
      </c>
      <c r="J61" s="65">
        <f>VLOOKUP($D61,Résultats!$B$2:$AZ$212,J$2,FALSE)</f>
        <v>8559.5095430000001</v>
      </c>
      <c r="K61" s="65">
        <f>VLOOKUP($D61,Résultats!$B$2:$AZ$212,K$2,FALSE)</f>
        <v>8513.9813140000006</v>
      </c>
      <c r="L61" s="65">
        <f>VLOOKUP($D61,Résultats!$B$2:$AZ$212,L$2,FALSE)</f>
        <v>8441.4655199999997</v>
      </c>
      <c r="M61" s="65">
        <f>VLOOKUP($D61,Résultats!$B$2:$AZ$212,M$2,FALSE)</f>
        <v>8471.5053210000005</v>
      </c>
      <c r="N61" s="65">
        <f>VLOOKUP($D61,Résultats!$B$2:$AZ$212,N$2,FALSE)</f>
        <v>8518.2115059999996</v>
      </c>
      <c r="O61" s="65">
        <f>VLOOKUP($D61,Résultats!$B$2:$AZ$212,O$2,FALSE)</f>
        <v>8442.6791130000001</v>
      </c>
      <c r="P61" s="65">
        <f>VLOOKUP($D61,Résultats!$B$2:$AZ$212,P$2,FALSE)</f>
        <v>8289.6860359999901</v>
      </c>
      <c r="Q61" s="65">
        <f>VLOOKUP($D61,Résultats!$B$2:$AZ$212,Q$2,FALSE)</f>
        <v>8072.2249970000003</v>
      </c>
      <c r="R61" s="65">
        <f>VLOOKUP($D61,Résultats!$B$2:$AZ$212,R$2,FALSE)</f>
        <v>7796.7321959999999</v>
      </c>
      <c r="S61" s="65">
        <f>VLOOKUP($D61,Résultats!$B$2:$AZ$212,S$2,FALSE)</f>
        <v>7473.7427729999999</v>
      </c>
      <c r="T61" s="65">
        <f>VLOOKUP($D61,Résultats!$B$2:$AZ$212,T$2,FALSE)</f>
        <v>7117.1643169999998</v>
      </c>
      <c r="U61" s="65">
        <f>VLOOKUP($D61,Résultats!$B$2:$AZ$212,U$2,FALSE)</f>
        <v>6742.9865390000004</v>
      </c>
      <c r="V61" s="65">
        <f>VLOOKUP($D61,Résultats!$B$2:$AZ$212,V$2,FALSE)</f>
        <v>6365.004868</v>
      </c>
      <c r="W61" s="65">
        <f>VLOOKUP($D61,Résultats!$B$2:$AZ$212,W$2,FALSE)</f>
        <v>5993.6569730000001</v>
      </c>
      <c r="X61" s="65">
        <f>VLOOKUP($D61,Résultats!$B$2:$AZ$212,X$2,FALSE)</f>
        <v>5635.3209230000002</v>
      </c>
      <c r="Y61" s="65">
        <f>VLOOKUP($D61,Résultats!$B$2:$AZ$212,Y$2,FALSE)</f>
        <v>5293.3620940000001</v>
      </c>
      <c r="Z61" s="65">
        <f>VLOOKUP($D61,Résultats!$B$2:$AZ$212,Z$2,FALSE)</f>
        <v>4968.8879980000002</v>
      </c>
      <c r="AA61" s="65">
        <f>VLOOKUP($D61,Résultats!$B$2:$AZ$212,AA$2,FALSE)</f>
        <v>4662.0373760000002</v>
      </c>
      <c r="AB61" s="65">
        <f>VLOOKUP($D61,Résultats!$B$2:$AZ$212,AB$2,FALSE)</f>
        <v>4372.435477</v>
      </c>
      <c r="AC61" s="65">
        <f>VLOOKUP($D61,Résultats!$B$2:$AZ$212,AC$2,FALSE)</f>
        <v>4099.4380119999996</v>
      </c>
      <c r="AD61" s="65">
        <f>VLOOKUP($D61,Résultats!$B$2:$AZ$212,AD$2,FALSE)</f>
        <v>3843.3609900000001</v>
      </c>
      <c r="AE61" s="65">
        <f>VLOOKUP($D61,Résultats!$B$2:$AZ$212,AE$2,FALSE)</f>
        <v>3603.2187629999999</v>
      </c>
      <c r="AF61" s="65">
        <f>VLOOKUP($D61,Résultats!$B$2:$AZ$212,AF$2,FALSE)</f>
        <v>3378.0509219999999</v>
      </c>
      <c r="AG61" s="65">
        <f>VLOOKUP($D61,Résultats!$B$2:$AZ$212,AG$2,FALSE)</f>
        <v>3166.9390910000002</v>
      </c>
      <c r="AH61" s="65">
        <f>VLOOKUP($D61,Résultats!$B$2:$AZ$212,AH$2,FALSE)</f>
        <v>2955.8179650000002</v>
      </c>
      <c r="AI61" s="65">
        <f>VLOOKUP($D61,Résultats!$B$2:$AZ$212,AI$2,FALSE)</f>
        <v>2758.7674769999999</v>
      </c>
      <c r="AJ61" s="65">
        <f>VLOOKUP($D61,Résultats!$B$2:$AZ$212,AJ$2,FALSE)</f>
        <v>2574.8516380000001</v>
      </c>
      <c r="AK61" s="65">
        <f>VLOOKUP($D61,Résultats!$B$2:$AZ$212,AK$2,FALSE)</f>
        <v>2403.195843</v>
      </c>
      <c r="AL61" s="65">
        <f>VLOOKUP($D61,Résultats!$B$2:$AZ$212,AL$2,FALSE)</f>
        <v>2242.9832689999998</v>
      </c>
      <c r="AM61" s="226">
        <f>VLOOKUP($D61,Résultats!$B$2:$AZ$212,AM$2,FALSE)</f>
        <v>2093.4512840000002</v>
      </c>
    </row>
    <row r="62" spans="2:40" x14ac:dyDescent="0.25">
      <c r="B62" s="230"/>
      <c r="C62" s="218" t="s">
        <v>31</v>
      </c>
      <c r="D62" s="54" t="s">
        <v>135</v>
      </c>
      <c r="E62" s="65">
        <f>VLOOKUP($D62,Résultats!$B$2:$AZ$212,E$2,FALSE)</f>
        <v>13959.64589</v>
      </c>
      <c r="F62" s="65">
        <f>VLOOKUP($D62,Résultats!$B$2:$AZ$212,F$2,FALSE)</f>
        <v>11272.30457</v>
      </c>
      <c r="G62" s="65">
        <f>VLOOKUP($D62,Résultats!$B$2:$AZ$212,G$2,FALSE)</f>
        <v>10609.23065</v>
      </c>
      <c r="H62" s="65">
        <f>VLOOKUP($D62,Résultats!$B$2:$AZ$212,H$2,FALSE)</f>
        <v>10425.628259999999</v>
      </c>
      <c r="I62" s="65">
        <f>VLOOKUP($D62,Résultats!$B$2:$AZ$212,I$2,FALSE)</f>
        <v>10176.894480000001</v>
      </c>
      <c r="J62" s="65">
        <f>VLOOKUP($D62,Résultats!$B$2:$AZ$212,J$2,FALSE)</f>
        <v>9919.8436799999999</v>
      </c>
      <c r="K62" s="65">
        <f>VLOOKUP($D62,Résultats!$B$2:$AZ$212,K$2,FALSE)</f>
        <v>9596.5538230000002</v>
      </c>
      <c r="L62" s="65">
        <f>VLOOKUP($D62,Résultats!$B$2:$AZ$212,L$2,FALSE)</f>
        <v>9252.9163250000001</v>
      </c>
      <c r="M62" s="65">
        <f>VLOOKUP($D62,Résultats!$B$2:$AZ$212,M$2,FALSE)</f>
        <v>8979.4171540000007</v>
      </c>
      <c r="N62" s="65">
        <f>VLOOKUP($D62,Résultats!$B$2:$AZ$212,N$2,FALSE)</f>
        <v>8729.1551639999998</v>
      </c>
      <c r="O62" s="65">
        <f>VLOOKUP($D62,Résultats!$B$2:$AZ$212,O$2,FALSE)</f>
        <v>8428.3825629999901</v>
      </c>
      <c r="P62" s="65">
        <f>VLOOKUP($D62,Résultats!$B$2:$AZ$212,P$2,FALSE)</f>
        <v>8101.396041</v>
      </c>
      <c r="Q62" s="65">
        <f>VLOOKUP($D62,Résultats!$B$2:$AZ$212,Q$2,FALSE)</f>
        <v>7755.258726</v>
      </c>
      <c r="R62" s="65">
        <f>VLOOKUP($D62,Résultats!$B$2:$AZ$212,R$2,FALSE)</f>
        <v>7392.9957860000004</v>
      </c>
      <c r="S62" s="65">
        <f>VLOOKUP($D62,Résultats!$B$2:$AZ$212,S$2,FALSE)</f>
        <v>7019.5998760000002</v>
      </c>
      <c r="T62" s="65">
        <f>VLOOKUP($D62,Résultats!$B$2:$AZ$212,T$2,FALSE)</f>
        <v>6641.7217389999996</v>
      </c>
      <c r="U62" s="65">
        <f>VLOOKUP($D62,Résultats!$B$2:$AZ$212,U$2,FALSE)</f>
        <v>6266.8257720000001</v>
      </c>
      <c r="V62" s="65">
        <f>VLOOKUP($D62,Résultats!$B$2:$AZ$212,V$2,FALSE)</f>
        <v>5901.1288599999998</v>
      </c>
      <c r="W62" s="65">
        <f>VLOOKUP($D62,Résultats!$B$2:$AZ$212,W$2,FALSE)</f>
        <v>5549.1450210000003</v>
      </c>
      <c r="X62" s="65">
        <f>VLOOKUP($D62,Résultats!$B$2:$AZ$212,X$2,FALSE)</f>
        <v>5213.3965369999996</v>
      </c>
      <c r="Y62" s="65">
        <f>VLOOKUP($D62,Résultats!$B$2:$AZ$212,Y$2,FALSE)</f>
        <v>4894.9562759999999</v>
      </c>
      <c r="Z62" s="65">
        <f>VLOOKUP($D62,Résultats!$B$2:$AZ$212,Z$2,FALSE)</f>
        <v>4593.8349070000004</v>
      </c>
      <c r="AA62" s="65">
        <f>VLOOKUP($D62,Résultats!$B$2:$AZ$212,AA$2,FALSE)</f>
        <v>4309.6063960000001</v>
      </c>
      <c r="AB62" s="65">
        <f>VLOOKUP($D62,Résultats!$B$2:$AZ$212,AB$2,FALSE)</f>
        <v>4041.626659</v>
      </c>
      <c r="AC62" s="65">
        <f>VLOOKUP($D62,Résultats!$B$2:$AZ$212,AC$2,FALSE)</f>
        <v>3789.1488169999998</v>
      </c>
      <c r="AD62" s="65">
        <f>VLOOKUP($D62,Résultats!$B$2:$AZ$212,AD$2,FALSE)</f>
        <v>3552.3875539999999</v>
      </c>
      <c r="AE62" s="65">
        <f>VLOOKUP($D62,Résultats!$B$2:$AZ$212,AE$2,FALSE)</f>
        <v>3330.3929029999999</v>
      </c>
      <c r="AF62" s="65">
        <f>VLOOKUP($D62,Résultats!$B$2:$AZ$212,AF$2,FALSE)</f>
        <v>3122.2577719999999</v>
      </c>
      <c r="AG62" s="65">
        <f>VLOOKUP($D62,Résultats!$B$2:$AZ$212,AG$2,FALSE)</f>
        <v>2927.1236880000001</v>
      </c>
      <c r="AH62" s="65">
        <f>VLOOKUP($D62,Résultats!$B$2:$AZ$212,AH$2,FALSE)</f>
        <v>2731.9855269999998</v>
      </c>
      <c r="AI62" s="65">
        <f>VLOOKUP($D62,Résultats!$B$2:$AZ$212,AI$2,FALSE)</f>
        <v>2549.8548460000002</v>
      </c>
      <c r="AJ62" s="65">
        <f>VLOOKUP($D62,Résultats!$B$2:$AZ$212,AJ$2,FALSE)</f>
        <v>2379.86535</v>
      </c>
      <c r="AK62" s="65">
        <f>VLOOKUP($D62,Résultats!$B$2:$AZ$212,AK$2,FALSE)</f>
        <v>2221.2080649999998</v>
      </c>
      <c r="AL62" s="65">
        <f>VLOOKUP($D62,Résultats!$B$2:$AZ$212,AL$2,FALSE)</f>
        <v>2073.1277260000002</v>
      </c>
      <c r="AM62" s="226">
        <f>VLOOKUP($D62,Résultats!$B$2:$AZ$212,AM$2,FALSE)</f>
        <v>1934.919306</v>
      </c>
    </row>
    <row r="63" spans="2:40" x14ac:dyDescent="0.25">
      <c r="B63" s="230"/>
      <c r="C63" s="218" t="s">
        <v>32</v>
      </c>
      <c r="D63" s="54" t="s">
        <v>136</v>
      </c>
      <c r="E63" s="65">
        <f>VLOOKUP($D63,Résultats!$B$2:$AZ$212,E$2,FALSE)</f>
        <v>4923.9468200000001</v>
      </c>
      <c r="F63" s="65">
        <f>VLOOKUP($D63,Résultats!$B$2:$AZ$212,F$2,FALSE)</f>
        <v>3830.9856650000002</v>
      </c>
      <c r="G63" s="65">
        <f>VLOOKUP($D63,Résultats!$B$2:$AZ$212,G$2,FALSE)</f>
        <v>3556.1364250000001</v>
      </c>
      <c r="H63" s="65">
        <f>VLOOKUP($D63,Résultats!$B$2:$AZ$212,H$2,FALSE)</f>
        <v>3475.936197</v>
      </c>
      <c r="I63" s="65">
        <f>VLOOKUP($D63,Résultats!$B$2:$AZ$212,I$2,FALSE)</f>
        <v>3369.6602659999999</v>
      </c>
      <c r="J63" s="65">
        <f>VLOOKUP($D63,Résultats!$B$2:$AZ$212,J$2,FALSE)</f>
        <v>3243.2115469999999</v>
      </c>
      <c r="K63" s="65">
        <f>VLOOKUP($D63,Résultats!$B$2:$AZ$212,K$2,FALSE)</f>
        <v>3092.0943130000001</v>
      </c>
      <c r="L63" s="65">
        <f>VLOOKUP($D63,Résultats!$B$2:$AZ$212,L$2,FALSE)</f>
        <v>2934.9280060000001</v>
      </c>
      <c r="M63" s="65">
        <f>VLOOKUP($D63,Résultats!$B$2:$AZ$212,M$2,FALSE)</f>
        <v>2792.163121</v>
      </c>
      <c r="N63" s="65">
        <f>VLOOKUP($D63,Résultats!$B$2:$AZ$212,N$2,FALSE)</f>
        <v>2657.3117000000002</v>
      </c>
      <c r="O63" s="65">
        <f>VLOOKUP($D63,Résultats!$B$2:$AZ$212,O$2,FALSE)</f>
        <v>2521.3920760000001</v>
      </c>
      <c r="P63" s="65">
        <f>VLOOKUP($D63,Résultats!$B$2:$AZ$212,P$2,FALSE)</f>
        <v>2387.879066</v>
      </c>
      <c r="Q63" s="65">
        <f>VLOOKUP($D63,Résultats!$B$2:$AZ$212,Q$2,FALSE)</f>
        <v>2257.8205370000001</v>
      </c>
      <c r="R63" s="65">
        <f>VLOOKUP($D63,Résultats!$B$2:$AZ$212,R$2,FALSE)</f>
        <v>2131.4725899999999</v>
      </c>
      <c r="S63" s="65">
        <f>VLOOKUP($D63,Résultats!$B$2:$AZ$212,S$2,FALSE)</f>
        <v>2009.2365870000001</v>
      </c>
      <c r="T63" s="65">
        <f>VLOOKUP($D63,Résultats!$B$2:$AZ$212,T$2,FALSE)</f>
        <v>1891.645066</v>
      </c>
      <c r="U63" s="65">
        <f>VLOOKUP($D63,Résultats!$B$2:$AZ$212,U$2,FALSE)</f>
        <v>1779.1891419999999</v>
      </c>
      <c r="V63" s="65">
        <f>VLOOKUP($D63,Résultats!$B$2:$AZ$212,V$2,FALSE)</f>
        <v>1672.17184</v>
      </c>
      <c r="W63" s="65">
        <f>VLOOKUP($D63,Résultats!$B$2:$AZ$212,W$2,FALSE)</f>
        <v>1570.723518</v>
      </c>
      <c r="X63" s="65">
        <f>VLOOKUP($D63,Résultats!$B$2:$AZ$212,X$2,FALSE)</f>
        <v>1474.8034749999999</v>
      </c>
      <c r="Y63" s="65">
        <f>VLOOKUP($D63,Résultats!$B$2:$AZ$212,Y$2,FALSE)</f>
        <v>1384.2596040000001</v>
      </c>
      <c r="Z63" s="65">
        <f>VLOOKUP($D63,Résultats!$B$2:$AZ$212,Z$2,FALSE)</f>
        <v>1298.8687970000001</v>
      </c>
      <c r="AA63" s="65">
        <f>VLOOKUP($D63,Résultats!$B$2:$AZ$212,AA$2,FALSE)</f>
        <v>1218.387111</v>
      </c>
      <c r="AB63" s="65">
        <f>VLOOKUP($D63,Résultats!$B$2:$AZ$212,AB$2,FALSE)</f>
        <v>1142.566264</v>
      </c>
      <c r="AC63" s="65">
        <f>VLOOKUP($D63,Résultats!$B$2:$AZ$212,AC$2,FALSE)</f>
        <v>1071.1615650000001</v>
      </c>
      <c r="AD63" s="65">
        <f>VLOOKUP($D63,Résultats!$B$2:$AZ$212,AD$2,FALSE)</f>
        <v>1004.216601</v>
      </c>
      <c r="AE63" s="65">
        <f>VLOOKUP($D63,Résultats!$B$2:$AZ$212,AE$2,FALSE)</f>
        <v>941.45428379999998</v>
      </c>
      <c r="AF63" s="65">
        <f>VLOOKUP($D63,Résultats!$B$2:$AZ$212,AF$2,FALSE)</f>
        <v>882.61395540000001</v>
      </c>
      <c r="AG63" s="65">
        <f>VLOOKUP($D63,Résultats!$B$2:$AZ$212,AG$2,FALSE)</f>
        <v>827.45084410000004</v>
      </c>
      <c r="AH63" s="65">
        <f>VLOOKUP($D63,Résultats!$B$2:$AZ$212,AH$2,FALSE)</f>
        <v>772.28756060000001</v>
      </c>
      <c r="AI63" s="65">
        <f>VLOOKUP($D63,Résultats!$B$2:$AZ$212,AI$2,FALSE)</f>
        <v>720.80177330000004</v>
      </c>
      <c r="AJ63" s="65">
        <f>VLOOKUP($D63,Résultats!$B$2:$AZ$212,AJ$2,FALSE)</f>
        <v>672.74834520000002</v>
      </c>
      <c r="AK63" s="65">
        <f>VLOOKUP($D63,Résultats!$B$2:$AZ$212,AK$2,FALSE)</f>
        <v>627.89846650000004</v>
      </c>
      <c r="AL63" s="65">
        <f>VLOOKUP($D63,Résultats!$B$2:$AZ$212,AL$2,FALSE)</f>
        <v>586.03857389999996</v>
      </c>
      <c r="AM63" s="226">
        <f>VLOOKUP($D63,Résultats!$B$2:$AZ$212,AM$2,FALSE)</f>
        <v>546.96933799999999</v>
      </c>
    </row>
    <row r="64" spans="2:40" x14ac:dyDescent="0.25">
      <c r="B64" s="230"/>
      <c r="C64" s="219" t="s">
        <v>33</v>
      </c>
      <c r="D64" s="54" t="s">
        <v>137</v>
      </c>
      <c r="E64" s="224">
        <f>VLOOKUP($D64,Résultats!$B$2:$AZ$212,E$2,FALSE)</f>
        <v>2256.0604069999999</v>
      </c>
      <c r="F64" s="224">
        <f>VLOOKUP($D64,Résultats!$B$2:$AZ$212,F$2,FALSE)</f>
        <v>1522.2718970000001</v>
      </c>
      <c r="G64" s="224">
        <f>VLOOKUP($D64,Résultats!$B$2:$AZ$212,G$2,FALSE)</f>
        <v>1354.134458</v>
      </c>
      <c r="H64" s="224">
        <f>VLOOKUP($D64,Résultats!$B$2:$AZ$212,H$2,FALSE)</f>
        <v>1301.1569420000001</v>
      </c>
      <c r="I64" s="224">
        <f>VLOOKUP($D64,Résultats!$B$2:$AZ$212,I$2,FALSE)</f>
        <v>1243.597804</v>
      </c>
      <c r="J64" s="224">
        <f>VLOOKUP($D64,Résultats!$B$2:$AZ$212,J$2,FALSE)</f>
        <v>1182.7916749999999</v>
      </c>
      <c r="K64" s="224">
        <f>VLOOKUP($D64,Résultats!$B$2:$AZ$212,K$2,FALSE)</f>
        <v>1117.0810260000001</v>
      </c>
      <c r="L64" s="224">
        <f>VLOOKUP($D64,Résultats!$B$2:$AZ$212,L$2,FALSE)</f>
        <v>1051.3703780000001</v>
      </c>
      <c r="M64" s="224">
        <f>VLOOKUP($D64,Résultats!$B$2:$AZ$212,M$2,FALSE)</f>
        <v>989.52506119999998</v>
      </c>
      <c r="N64" s="224">
        <f>VLOOKUP($D64,Résultats!$B$2:$AZ$212,N$2,FALSE)</f>
        <v>931.31770470000004</v>
      </c>
      <c r="O64" s="224">
        <f>VLOOKUP($D64,Résultats!$B$2:$AZ$212,O$2,FALSE)</f>
        <v>876.31862760000001</v>
      </c>
      <c r="P64" s="224">
        <f>VLOOKUP($D64,Résultats!$B$2:$AZ$212,P$2,FALSE)</f>
        <v>824.36297779999995</v>
      </c>
      <c r="Q64" s="224">
        <f>VLOOKUP($D64,Résultats!$B$2:$AZ$212,Q$2,FALSE)</f>
        <v>775.29375289999996</v>
      </c>
      <c r="R64" s="224">
        <f>VLOOKUP($D64,Résultats!$B$2:$AZ$212,R$2,FALSE)</f>
        <v>728.96145690000003</v>
      </c>
      <c r="S64" s="224">
        <f>VLOOKUP($D64,Résultats!$B$2:$AZ$212,S$2,FALSE)</f>
        <v>685.2237695</v>
      </c>
      <c r="T64" s="224">
        <f>VLOOKUP($D64,Résultats!$B$2:$AZ$212,T$2,FALSE)</f>
        <v>643.94522919999997</v>
      </c>
      <c r="U64" s="224">
        <f>VLOOKUP($D64,Résultats!$B$2:$AZ$212,U$2,FALSE)</f>
        <v>604.99692900000002</v>
      </c>
      <c r="V64" s="224">
        <f>VLOOKUP($D64,Résultats!$B$2:$AZ$212,V$2,FALSE)</f>
        <v>568.25622480000004</v>
      </c>
      <c r="W64" s="224">
        <f>VLOOKUP($D64,Résultats!$B$2:$AZ$212,W$2,FALSE)</f>
        <v>533.60645499999998</v>
      </c>
      <c r="X64" s="224">
        <f>VLOOKUP($D64,Résultats!$B$2:$AZ$212,X$2,FALSE)</f>
        <v>500.93667210000001</v>
      </c>
      <c r="Y64" s="224">
        <f>VLOOKUP($D64,Résultats!$B$2:$AZ$212,Y$2,FALSE)</f>
        <v>470.14138480000003</v>
      </c>
      <c r="Z64" s="224">
        <f>VLOOKUP($D64,Résultats!$B$2:$AZ$212,Z$2,FALSE)</f>
        <v>441.1203117</v>
      </c>
      <c r="AA64" s="224">
        <f>VLOOKUP($D64,Résultats!$B$2:$AZ$212,AA$2,FALSE)</f>
        <v>413.77814360000002</v>
      </c>
      <c r="AB64" s="224">
        <f>VLOOKUP($D64,Résultats!$B$2:$AZ$212,AB$2,FALSE)</f>
        <v>388.02431730000001</v>
      </c>
      <c r="AC64" s="224">
        <f>VLOOKUP($D64,Résultats!$B$2:$AZ$212,AC$2,FALSE)</f>
        <v>363.7727974</v>
      </c>
      <c r="AD64" s="224">
        <f>VLOOKUP($D64,Résultats!$B$2:$AZ$212,AD$2,FALSE)</f>
        <v>341.03699760000001</v>
      </c>
      <c r="AE64" s="224">
        <f>VLOOKUP($D64,Résultats!$B$2:$AZ$212,AE$2,FALSE)</f>
        <v>319.72218520000001</v>
      </c>
      <c r="AF64" s="224">
        <f>VLOOKUP($D64,Résultats!$B$2:$AZ$212,AF$2,FALSE)</f>
        <v>299.7395487</v>
      </c>
      <c r="AG64" s="224">
        <f>VLOOKUP($D64,Résultats!$B$2:$AZ$212,AG$2,FALSE)</f>
        <v>281.00582689999999</v>
      </c>
      <c r="AH64" s="224">
        <f>VLOOKUP($D64,Résultats!$B$2:$AZ$212,AH$2,FALSE)</f>
        <v>262.27210509999998</v>
      </c>
      <c r="AI64" s="224">
        <f>VLOOKUP($D64,Résultats!$B$2:$AZ$212,AI$2,FALSE)</f>
        <v>244.78729809999999</v>
      </c>
      <c r="AJ64" s="224">
        <f>VLOOKUP($D64,Résultats!$B$2:$AZ$212,AJ$2,FALSE)</f>
        <v>228.4681449</v>
      </c>
      <c r="AK64" s="224">
        <f>VLOOKUP($D64,Résultats!$B$2:$AZ$212,AK$2,FALSE)</f>
        <v>213.2369352</v>
      </c>
      <c r="AL64" s="224">
        <f>VLOOKUP($D64,Résultats!$B$2:$AZ$212,AL$2,FALSE)</f>
        <v>199.0211395</v>
      </c>
      <c r="AM64" s="227">
        <f>VLOOKUP($D64,Résultats!$B$2:$AZ$212,AM$2,FALSE)</f>
        <v>185.75306359999999</v>
      </c>
    </row>
    <row r="65" spans="2:39" s="3" customFormat="1" x14ac:dyDescent="0.25"/>
    <row r="66" spans="2:39" s="3" customFormat="1" x14ac:dyDescent="0.25"/>
    <row r="67" spans="2:39" x14ac:dyDescent="0.25">
      <c r="C67" s="11"/>
      <c r="D67" s="11"/>
      <c r="E67" s="93">
        <v>2006</v>
      </c>
      <c r="F67" s="93">
        <v>2015</v>
      </c>
      <c r="G67" s="93">
        <v>2018</v>
      </c>
      <c r="H67" s="93">
        <v>2019</v>
      </c>
      <c r="I67" s="93">
        <v>2020</v>
      </c>
      <c r="J67" s="20">
        <v>2021</v>
      </c>
      <c r="K67" s="4">
        <v>2022</v>
      </c>
      <c r="L67" s="4">
        <v>2023</v>
      </c>
      <c r="M67" s="4">
        <v>2024</v>
      </c>
      <c r="N67" s="92">
        <v>2025</v>
      </c>
      <c r="O67" s="20">
        <v>2026</v>
      </c>
      <c r="P67" s="4">
        <v>2027</v>
      </c>
      <c r="Q67" s="4">
        <v>2028</v>
      </c>
      <c r="R67" s="4">
        <v>2029</v>
      </c>
      <c r="S67" s="92">
        <v>2030</v>
      </c>
      <c r="T67" s="92">
        <v>2031</v>
      </c>
      <c r="U67" s="92">
        <v>2032</v>
      </c>
      <c r="V67" s="92">
        <v>2033</v>
      </c>
      <c r="W67" s="92">
        <v>2034</v>
      </c>
      <c r="X67" s="93">
        <v>2035</v>
      </c>
      <c r="Y67" s="93">
        <v>2036</v>
      </c>
      <c r="Z67" s="93">
        <v>2037</v>
      </c>
      <c r="AA67" s="93">
        <v>2038</v>
      </c>
      <c r="AB67" s="93">
        <v>2039</v>
      </c>
      <c r="AC67" s="93">
        <v>2040</v>
      </c>
      <c r="AD67" s="93">
        <v>2041</v>
      </c>
      <c r="AE67" s="93">
        <v>2042</v>
      </c>
      <c r="AF67" s="93">
        <v>2043</v>
      </c>
      <c r="AG67" s="93">
        <v>2044</v>
      </c>
      <c r="AH67" s="93">
        <v>2045</v>
      </c>
      <c r="AI67" s="93">
        <v>2046</v>
      </c>
      <c r="AJ67" s="93">
        <v>2047</v>
      </c>
      <c r="AK67" s="93">
        <v>2048</v>
      </c>
      <c r="AL67" s="93">
        <v>2049</v>
      </c>
      <c r="AM67" s="93">
        <v>2050</v>
      </c>
    </row>
    <row r="68" spans="2:39" x14ac:dyDescent="0.25">
      <c r="B68" s="229" t="s">
        <v>79</v>
      </c>
      <c r="C68" s="50" t="s">
        <v>51</v>
      </c>
      <c r="D68" s="50" t="s">
        <v>149</v>
      </c>
      <c r="E68" s="51">
        <f t="shared" ref="E68:AM68" si="11">E26</f>
        <v>2373</v>
      </c>
      <c r="F68" s="51">
        <f t="shared" si="11"/>
        <v>1940.3869999999999</v>
      </c>
      <c r="G68" s="51">
        <f t="shared" si="11"/>
        <v>2203.7420000000002</v>
      </c>
      <c r="H68" s="51">
        <f t="shared" si="11"/>
        <v>2240.3020000000001</v>
      </c>
      <c r="I68" s="51">
        <f t="shared" si="11"/>
        <v>1921.430366</v>
      </c>
      <c r="J68" s="51">
        <f t="shared" si="11"/>
        <v>1694.150517</v>
      </c>
      <c r="K68" s="51">
        <f t="shared" si="11"/>
        <v>1729.8661139999999</v>
      </c>
      <c r="L68" s="51">
        <f t="shared" si="11"/>
        <v>1788.7571230000001</v>
      </c>
      <c r="M68" s="51">
        <f t="shared" si="11"/>
        <v>2275.0972959999999</v>
      </c>
      <c r="N68" s="51">
        <f t="shared" si="11"/>
        <v>2450.7878019999998</v>
      </c>
      <c r="O68" s="51">
        <f t="shared" si="11"/>
        <v>2046.8499179999999</v>
      </c>
      <c r="P68" s="51">
        <f t="shared" si="11"/>
        <v>1848.453262</v>
      </c>
      <c r="Q68" s="51">
        <f t="shared" si="11"/>
        <v>1744.822107</v>
      </c>
      <c r="R68" s="51">
        <f t="shared" si="11"/>
        <v>1662.96507</v>
      </c>
      <c r="S68" s="51">
        <f t="shared" si="11"/>
        <v>1604.1063630000001</v>
      </c>
      <c r="T68" s="51">
        <f t="shared" si="11"/>
        <v>1561.674424</v>
      </c>
      <c r="U68" s="51">
        <f t="shared" si="11"/>
        <v>1542.138571</v>
      </c>
      <c r="V68" s="51">
        <f t="shared" si="11"/>
        <v>1527.134493</v>
      </c>
      <c r="W68" s="51">
        <f t="shared" si="11"/>
        <v>1516.648269</v>
      </c>
      <c r="X68" s="51">
        <f t="shared" si="11"/>
        <v>1507.2040509999999</v>
      </c>
      <c r="Y68" s="51">
        <f t="shared" si="11"/>
        <v>1540.0177160000001</v>
      </c>
      <c r="Z68" s="51">
        <f t="shared" si="11"/>
        <v>1559.446557</v>
      </c>
      <c r="AA68" s="51">
        <f t="shared" si="11"/>
        <v>1561.247247</v>
      </c>
      <c r="AB68" s="51">
        <f t="shared" si="11"/>
        <v>1560.25902</v>
      </c>
      <c r="AC68" s="51">
        <f t="shared" si="11"/>
        <v>1550.234338</v>
      </c>
      <c r="AD68" s="51">
        <f t="shared" si="11"/>
        <v>1538.097098</v>
      </c>
      <c r="AE68" s="51">
        <f t="shared" si="11"/>
        <v>1524.3727389999999</v>
      </c>
      <c r="AF68" s="51">
        <f t="shared" si="11"/>
        <v>1509.320747</v>
      </c>
      <c r="AG68" s="51">
        <f t="shared" si="11"/>
        <v>1492.351719</v>
      </c>
      <c r="AH68" s="51">
        <f t="shared" si="11"/>
        <v>1523.9957830000001</v>
      </c>
      <c r="AI68" s="51">
        <f t="shared" si="11"/>
        <v>1525.769562</v>
      </c>
      <c r="AJ68" s="51">
        <f t="shared" si="11"/>
        <v>1517.985259</v>
      </c>
      <c r="AK68" s="51">
        <f t="shared" si="11"/>
        <v>1508.481462</v>
      </c>
      <c r="AL68" s="51">
        <f t="shared" si="11"/>
        <v>1495.5112859999999</v>
      </c>
      <c r="AM68" s="100">
        <f t="shared" si="11"/>
        <v>1464.598246</v>
      </c>
    </row>
    <row r="69" spans="2:39" x14ac:dyDescent="0.25">
      <c r="B69" s="230"/>
      <c r="C69" s="52" t="s">
        <v>45</v>
      </c>
      <c r="D69" s="52" t="s">
        <v>425</v>
      </c>
      <c r="E69" s="124">
        <f t="shared" ref="E69:AM69" si="12">E27/E$26</f>
        <v>9.1789619258322809E-4</v>
      </c>
      <c r="F69" s="124">
        <f t="shared" si="12"/>
        <v>2.1836553295811609E-2</v>
      </c>
      <c r="G69" s="124">
        <f t="shared" si="12"/>
        <v>4.6567925827978043E-2</v>
      </c>
      <c r="H69" s="124">
        <f t="shared" si="12"/>
        <v>5.9106525236329741E-2</v>
      </c>
      <c r="I69" s="124">
        <f t="shared" si="12"/>
        <v>7.4295671561172782E-2</v>
      </c>
      <c r="J69" s="123">
        <f t="shared" si="12"/>
        <v>9.235644491439246E-2</v>
      </c>
      <c r="K69" s="67">
        <f t="shared" si="12"/>
        <v>0.11344758626793935</v>
      </c>
      <c r="L69" s="67">
        <f t="shared" si="12"/>
        <v>0.13752444065040348</v>
      </c>
      <c r="M69" s="67">
        <f t="shared" si="12"/>
        <v>0.16436825306657127</v>
      </c>
      <c r="N69" s="124">
        <f t="shared" si="12"/>
        <v>0.1935043322041147</v>
      </c>
      <c r="O69" s="123">
        <f t="shared" si="12"/>
        <v>0.23790370262017424</v>
      </c>
      <c r="P69" s="67">
        <f t="shared" si="12"/>
        <v>0.31074392207164175</v>
      </c>
      <c r="Q69" s="67">
        <f t="shared" si="12"/>
        <v>0.41811138251471042</v>
      </c>
      <c r="R69" s="67">
        <f t="shared" si="12"/>
        <v>0.53999436536571388</v>
      </c>
      <c r="S69" s="124">
        <f t="shared" si="12"/>
        <v>0.66438581230164973</v>
      </c>
      <c r="T69" s="124">
        <f t="shared" si="12"/>
        <v>0.77601496405117543</v>
      </c>
      <c r="U69" s="124">
        <f t="shared" si="12"/>
        <v>0.86301658815068971</v>
      </c>
      <c r="V69" s="124">
        <f t="shared" si="12"/>
        <v>0.92218327885021456</v>
      </c>
      <c r="W69" s="124">
        <f t="shared" si="12"/>
        <v>0.95809630795813749</v>
      </c>
      <c r="X69" s="118">
        <f t="shared" si="12"/>
        <v>0.97818758981029308</v>
      </c>
      <c r="Y69" s="118">
        <f t="shared" si="12"/>
        <v>0.98886488069465817</v>
      </c>
      <c r="Z69" s="118">
        <f t="shared" si="12"/>
        <v>0.99437497235116867</v>
      </c>
      <c r="AA69" s="118">
        <f t="shared" si="12"/>
        <v>0.99717392744264033</v>
      </c>
      <c r="AB69" s="118">
        <f t="shared" si="12"/>
        <v>0.99858409471012066</v>
      </c>
      <c r="AC69" s="118">
        <f t="shared" si="12"/>
        <v>0.99929160129337813</v>
      </c>
      <c r="AD69" s="118">
        <f t="shared" si="12"/>
        <v>0.99964583055210998</v>
      </c>
      <c r="AE69" s="118">
        <f t="shared" si="12"/>
        <v>0.99982299342339531</v>
      </c>
      <c r="AF69" s="118">
        <f t="shared" si="12"/>
        <v>0.99991155292851741</v>
      </c>
      <c r="AG69" s="118">
        <f t="shared" si="12"/>
        <v>0.99995580800480188</v>
      </c>
      <c r="AH69" s="118">
        <f t="shared" si="12"/>
        <v>0.99997791988640949</v>
      </c>
      <c r="AI69" s="118">
        <f t="shared" si="12"/>
        <v>0.99998896884534916</v>
      </c>
      <c r="AJ69" s="118">
        <f t="shared" si="12"/>
        <v>0.99999448874753527</v>
      </c>
      <c r="AK69" s="118">
        <f t="shared" si="12"/>
        <v>0.99999724623728925</v>
      </c>
      <c r="AL69" s="118">
        <f t="shared" si="12"/>
        <v>0.99999862455066757</v>
      </c>
      <c r="AM69" s="118">
        <f t="shared" si="12"/>
        <v>0.9999993124394333</v>
      </c>
    </row>
    <row r="70" spans="2:39" x14ac:dyDescent="0.25">
      <c r="B70" s="230"/>
      <c r="C70" s="35" t="s">
        <v>27</v>
      </c>
      <c r="D70" s="54" t="s">
        <v>426</v>
      </c>
      <c r="E70" s="111">
        <f t="shared" ref="E70:AM70" si="13">E28/E$26</f>
        <v>2.7337114538558786E-6</v>
      </c>
      <c r="F70" s="111">
        <f t="shared" si="13"/>
        <v>2.4027896218640921E-4</v>
      </c>
      <c r="G70" s="111">
        <f t="shared" si="13"/>
        <v>2.8526184353703837E-4</v>
      </c>
      <c r="H70" s="111">
        <f t="shared" si="13"/>
        <v>4.7565462245715082E-4</v>
      </c>
      <c r="I70" s="111">
        <f t="shared" si="13"/>
        <v>8.1103778860544984E-4</v>
      </c>
      <c r="J70" s="110">
        <f t="shared" si="13"/>
        <v>1.2632796912223827E-3</v>
      </c>
      <c r="K70" s="68">
        <f t="shared" si="13"/>
        <v>2.7875930084841241E-3</v>
      </c>
      <c r="L70" s="68">
        <f t="shared" si="13"/>
        <v>4.331206039312023E-3</v>
      </c>
      <c r="M70" s="68">
        <f t="shared" si="13"/>
        <v>5.2729062801365138E-3</v>
      </c>
      <c r="N70" s="111">
        <f t="shared" si="13"/>
        <v>6.5938575738023033E-3</v>
      </c>
      <c r="O70" s="110">
        <f t="shared" si="13"/>
        <v>9.0106124966999185E-3</v>
      </c>
      <c r="P70" s="68">
        <f t="shared" si="13"/>
        <v>1.2645015040688651E-2</v>
      </c>
      <c r="Q70" s="68">
        <f t="shared" si="13"/>
        <v>1.7926147476305446E-2</v>
      </c>
      <c r="R70" s="68">
        <f t="shared" si="13"/>
        <v>2.4310741914741477E-2</v>
      </c>
      <c r="S70" s="111">
        <f t="shared" si="13"/>
        <v>3.1385409509780741E-2</v>
      </c>
      <c r="T70" s="111">
        <f t="shared" si="13"/>
        <v>3.8518107395219783E-2</v>
      </c>
      <c r="U70" s="111">
        <f t="shared" si="13"/>
        <v>4.4955498859641715E-2</v>
      </c>
      <c r="V70" s="111">
        <f t="shared" si="13"/>
        <v>5.0482446630193432E-2</v>
      </c>
      <c r="W70" s="111">
        <f t="shared" si="13"/>
        <v>5.5105300733376564E-2</v>
      </c>
      <c r="X70" s="116">
        <f t="shared" si="13"/>
        <v>5.9068719289157488E-2</v>
      </c>
      <c r="Y70" s="116">
        <f t="shared" si="13"/>
        <v>6.2410526022805835E-2</v>
      </c>
      <c r="Z70" s="116">
        <f t="shared" si="13"/>
        <v>6.5639363875936912E-2</v>
      </c>
      <c r="AA70" s="116">
        <f t="shared" si="13"/>
        <v>6.8911988992605727E-2</v>
      </c>
      <c r="AB70" s="116">
        <f t="shared" si="13"/>
        <v>7.213140533550641E-2</v>
      </c>
      <c r="AC70" s="116">
        <f t="shared" si="13"/>
        <v>7.5410810697704986E-2</v>
      </c>
      <c r="AD70" s="116">
        <f t="shared" si="13"/>
        <v>7.8225907880882045E-2</v>
      </c>
      <c r="AE70" s="116">
        <f t="shared" si="13"/>
        <v>8.1030885714363329E-2</v>
      </c>
      <c r="AF70" s="116">
        <f t="shared" si="13"/>
        <v>8.3880099873827552E-2</v>
      </c>
      <c r="AG70" s="116">
        <f t="shared" si="13"/>
        <v>8.6746425089888612E-2</v>
      </c>
      <c r="AH70" s="116">
        <f t="shared" si="13"/>
        <v>9.7676039763687453E-2</v>
      </c>
      <c r="AI70" s="116">
        <f t="shared" si="13"/>
        <v>0.10062659285111628</v>
      </c>
      <c r="AJ70" s="116">
        <f t="shared" si="13"/>
        <v>0.10373626513589219</v>
      </c>
      <c r="AK70" s="116">
        <f t="shared" si="13"/>
        <v>0.10686985386367315</v>
      </c>
      <c r="AL70" s="116">
        <f t="shared" si="13"/>
        <v>0.11004188202428583</v>
      </c>
      <c r="AM70" s="116">
        <f t="shared" si="13"/>
        <v>0.11339039566212891</v>
      </c>
    </row>
    <row r="71" spans="2:39" x14ac:dyDescent="0.25">
      <c r="B71" s="230"/>
      <c r="C71" s="35" t="s">
        <v>28</v>
      </c>
      <c r="D71" s="54" t="s">
        <v>427</v>
      </c>
      <c r="E71" s="111">
        <f t="shared" ref="E71:AM71" si="14">E29/E$26</f>
        <v>6.2665077960387695E-6</v>
      </c>
      <c r="F71" s="111">
        <f t="shared" si="14"/>
        <v>2.6867279501460278E-4</v>
      </c>
      <c r="G71" s="111">
        <f t="shared" si="14"/>
        <v>4.1914640470617701E-4</v>
      </c>
      <c r="H71" s="111">
        <f t="shared" si="14"/>
        <v>6.0935683224850928E-4</v>
      </c>
      <c r="I71" s="111">
        <f t="shared" si="14"/>
        <v>9.0977403497535857E-4</v>
      </c>
      <c r="J71" s="110">
        <f t="shared" si="14"/>
        <v>1.3012377966886398E-3</v>
      </c>
      <c r="K71" s="68">
        <f t="shared" si="14"/>
        <v>2.40147727293998E-3</v>
      </c>
      <c r="L71" s="68">
        <f t="shared" si="14"/>
        <v>3.5068877687985593E-3</v>
      </c>
      <c r="M71" s="68">
        <f t="shared" si="14"/>
        <v>4.2506531654723572E-3</v>
      </c>
      <c r="N71" s="111">
        <f t="shared" si="14"/>
        <v>5.2404150124785061E-3</v>
      </c>
      <c r="O71" s="110">
        <f t="shared" si="14"/>
        <v>6.9882487788730987E-3</v>
      </c>
      <c r="P71" s="68">
        <f t="shared" si="14"/>
        <v>9.6479477120801557E-3</v>
      </c>
      <c r="Q71" s="68">
        <f t="shared" si="14"/>
        <v>1.3516602303113759E-2</v>
      </c>
      <c r="R71" s="68">
        <f t="shared" si="14"/>
        <v>1.81294518290754E-2</v>
      </c>
      <c r="S71" s="111">
        <f t="shared" si="14"/>
        <v>2.3151992758475202E-2</v>
      </c>
      <c r="T71" s="111">
        <f t="shared" si="14"/>
        <v>2.8096399099381036E-2</v>
      </c>
      <c r="U71" s="111">
        <f t="shared" si="14"/>
        <v>3.2432700323141071E-2</v>
      </c>
      <c r="V71" s="111">
        <f t="shared" si="14"/>
        <v>3.6006217855757645E-2</v>
      </c>
      <c r="W71" s="111">
        <f t="shared" si="14"/>
        <v>3.8853676929888087E-2</v>
      </c>
      <c r="X71" s="116">
        <f t="shared" si="14"/>
        <v>4.1171690846258213E-2</v>
      </c>
      <c r="Y71" s="116">
        <f t="shared" si="14"/>
        <v>4.3041918051545322E-2</v>
      </c>
      <c r="Z71" s="116">
        <f t="shared" si="14"/>
        <v>4.4774605789841118E-2</v>
      </c>
      <c r="AA71" s="116">
        <f t="shared" si="14"/>
        <v>4.6472058355533488E-2</v>
      </c>
      <c r="AB71" s="116">
        <f t="shared" si="14"/>
        <v>4.8096443992998041E-2</v>
      </c>
      <c r="AC71" s="116">
        <f t="shared" si="14"/>
        <v>4.9710376051546344E-2</v>
      </c>
      <c r="AD71" s="116">
        <f t="shared" si="14"/>
        <v>5.1066408552576312E-2</v>
      </c>
      <c r="AE71" s="116">
        <f t="shared" si="14"/>
        <v>5.2390885140330502E-2</v>
      </c>
      <c r="AF71" s="116">
        <f t="shared" si="14"/>
        <v>5.3709947246885555E-2</v>
      </c>
      <c r="AG71" s="116">
        <f t="shared" si="14"/>
        <v>5.5010750237223405E-2</v>
      </c>
      <c r="AH71" s="116">
        <f t="shared" si="14"/>
        <v>5.9733370082428898E-2</v>
      </c>
      <c r="AI71" s="116">
        <f t="shared" si="14"/>
        <v>6.0944656051540765E-2</v>
      </c>
      <c r="AJ71" s="116">
        <f t="shared" si="14"/>
        <v>6.2191935804562379E-2</v>
      </c>
      <c r="AK71" s="116">
        <f t="shared" si="14"/>
        <v>6.3418506842744346E-2</v>
      </c>
      <c r="AL71" s="116">
        <f t="shared" si="14"/>
        <v>6.4629270159850871E-2</v>
      </c>
      <c r="AM71" s="116">
        <f t="shared" si="14"/>
        <v>6.5873855170518886E-2</v>
      </c>
    </row>
    <row r="72" spans="2:39" x14ac:dyDescent="0.25">
      <c r="B72" s="230"/>
      <c r="C72" s="35" t="s">
        <v>29</v>
      </c>
      <c r="D72" s="54" t="s">
        <v>428</v>
      </c>
      <c r="E72" s="111">
        <f t="shared" ref="E72:AM72" si="15">E30/E$26</f>
        <v>2.5654830594184575E-5</v>
      </c>
      <c r="F72" s="111">
        <f t="shared" si="15"/>
        <v>6.5810174001371894E-4</v>
      </c>
      <c r="G72" s="111">
        <f t="shared" si="15"/>
        <v>1.344939011917003E-3</v>
      </c>
      <c r="H72" s="111">
        <f t="shared" si="15"/>
        <v>1.7372029262126265E-3</v>
      </c>
      <c r="I72" s="111">
        <f t="shared" si="15"/>
        <v>2.2375017133459832E-3</v>
      </c>
      <c r="J72" s="110">
        <f t="shared" si="15"/>
        <v>2.8425967012233305E-3</v>
      </c>
      <c r="K72" s="68">
        <f t="shared" si="15"/>
        <v>3.7488507188597371E-3</v>
      </c>
      <c r="L72" s="68">
        <f t="shared" si="15"/>
        <v>4.7025494617694945E-3</v>
      </c>
      <c r="M72" s="68">
        <f t="shared" si="15"/>
        <v>5.6347246434422377E-3</v>
      </c>
      <c r="N72" s="111">
        <f t="shared" si="15"/>
        <v>6.688417963653632E-3</v>
      </c>
      <c r="O72" s="110">
        <f t="shared" si="15"/>
        <v>8.3389840065450273E-3</v>
      </c>
      <c r="P72" s="68">
        <f t="shared" si="15"/>
        <v>1.0990653016575975E-2</v>
      </c>
      <c r="Q72" s="68">
        <f t="shared" si="15"/>
        <v>1.4879828691899993E-2</v>
      </c>
      <c r="R72" s="68">
        <f t="shared" si="15"/>
        <v>1.9322021736752414E-2</v>
      </c>
      <c r="S72" s="111">
        <f t="shared" si="15"/>
        <v>2.3890755790238083E-2</v>
      </c>
      <c r="T72" s="111">
        <f t="shared" si="15"/>
        <v>2.80330011154745E-2</v>
      </c>
      <c r="U72" s="111">
        <f t="shared" si="15"/>
        <v>3.1297613351764092E-2</v>
      </c>
      <c r="V72" s="111">
        <f t="shared" si="15"/>
        <v>3.3554369064991055E-2</v>
      </c>
      <c r="W72" s="111">
        <f t="shared" si="15"/>
        <v>3.4947999067013735E-2</v>
      </c>
      <c r="X72" s="116">
        <f t="shared" si="15"/>
        <v>3.5735790674304657E-2</v>
      </c>
      <c r="Y72" s="116">
        <f t="shared" si="15"/>
        <v>3.6143706810448144E-2</v>
      </c>
      <c r="Z72" s="116">
        <f t="shared" si="15"/>
        <v>3.632699659742171E-2</v>
      </c>
      <c r="AA72" s="116">
        <f t="shared" si="15"/>
        <v>3.6367787298970972E-2</v>
      </c>
      <c r="AB72" s="116">
        <f t="shared" si="15"/>
        <v>3.6313415832712193E-2</v>
      </c>
      <c r="AC72" s="116">
        <f t="shared" si="15"/>
        <v>3.618419497297963E-2</v>
      </c>
      <c r="AD72" s="116">
        <f t="shared" si="15"/>
        <v>3.6026426044267854E-2</v>
      </c>
      <c r="AE72" s="116">
        <f t="shared" si="15"/>
        <v>3.5828398995004597E-2</v>
      </c>
      <c r="AF72" s="116">
        <f t="shared" si="15"/>
        <v>3.5589327839538408E-2</v>
      </c>
      <c r="AG72" s="116">
        <f t="shared" si="15"/>
        <v>3.5312641443072577E-2</v>
      </c>
      <c r="AH72" s="116">
        <f t="shared" si="15"/>
        <v>3.3945052983128894E-2</v>
      </c>
      <c r="AI72" s="116">
        <f t="shared" si="15"/>
        <v>3.3495832308391531E-2</v>
      </c>
      <c r="AJ72" s="116">
        <f t="shared" si="15"/>
        <v>3.2986552921460223E-2</v>
      </c>
      <c r="AK72" s="116">
        <f t="shared" si="15"/>
        <v>3.243713297949697E-2</v>
      </c>
      <c r="AL72" s="116">
        <f t="shared" si="15"/>
        <v>3.1844868685263809E-2</v>
      </c>
      <c r="AM72" s="116">
        <f t="shared" si="15"/>
        <v>3.1181251100583389E-2</v>
      </c>
    </row>
    <row r="73" spans="2:39" x14ac:dyDescent="0.25">
      <c r="B73" s="230"/>
      <c r="C73" s="35" t="s">
        <v>30</v>
      </c>
      <c r="D73" s="54" t="s">
        <v>429</v>
      </c>
      <c r="E73" s="111">
        <f t="shared" ref="E73:AM73" si="16">E31/E$26</f>
        <v>6.026782330383481E-4</v>
      </c>
      <c r="F73" s="111">
        <f t="shared" si="16"/>
        <v>1.4285604753072454E-2</v>
      </c>
      <c r="G73" s="111">
        <f t="shared" si="16"/>
        <v>3.0576852957378855E-2</v>
      </c>
      <c r="H73" s="111">
        <f t="shared" si="16"/>
        <v>3.8756915509605395E-2</v>
      </c>
      <c r="I73" s="111">
        <f t="shared" si="16"/>
        <v>4.8607996262925661E-2</v>
      </c>
      <c r="J73" s="110">
        <f t="shared" si="16"/>
        <v>6.0292821490783743E-2</v>
      </c>
      <c r="K73" s="68">
        <f t="shared" si="16"/>
        <v>7.3409388086319846E-2</v>
      </c>
      <c r="L73" s="68">
        <f t="shared" si="16"/>
        <v>8.8472701500459661E-2</v>
      </c>
      <c r="M73" s="68">
        <f t="shared" si="16"/>
        <v>0.10568922455437704</v>
      </c>
      <c r="N73" s="111">
        <f t="shared" si="16"/>
        <v>0.12421157260191064</v>
      </c>
      <c r="O73" s="110">
        <f t="shared" si="16"/>
        <v>0.15221187936652619</v>
      </c>
      <c r="P73" s="68">
        <f t="shared" si="16"/>
        <v>0.198327648546193</v>
      </c>
      <c r="Q73" s="68">
        <f t="shared" si="16"/>
        <v>0.26634275754278941</v>
      </c>
      <c r="R73" s="68">
        <f t="shared" si="16"/>
        <v>0.34333255322073603</v>
      </c>
      <c r="S73" s="111">
        <f t="shared" si="16"/>
        <v>0.42158979298307292</v>
      </c>
      <c r="T73" s="111">
        <f t="shared" si="16"/>
        <v>0.49137197171642993</v>
      </c>
      <c r="U73" s="111">
        <f t="shared" si="16"/>
        <v>0.54525733796719889</v>
      </c>
      <c r="V73" s="111">
        <f t="shared" si="16"/>
        <v>0.58124522402494117</v>
      </c>
      <c r="W73" s="111">
        <f t="shared" si="16"/>
        <v>0.60236129442349962</v>
      </c>
      <c r="X73" s="116">
        <f t="shared" si="16"/>
        <v>0.61338202414372356</v>
      </c>
      <c r="Y73" s="116">
        <f t="shared" si="16"/>
        <v>0.61852610200751745</v>
      </c>
      <c r="Z73" s="116">
        <f t="shared" si="16"/>
        <v>0.62031185650948861</v>
      </c>
      <c r="AA73" s="116">
        <f t="shared" si="16"/>
        <v>0.62027441519004967</v>
      </c>
      <c r="AB73" s="116">
        <f t="shared" si="16"/>
        <v>0.61934542772263546</v>
      </c>
      <c r="AC73" s="116">
        <f t="shared" si="16"/>
        <v>0.61791419562788708</v>
      </c>
      <c r="AD73" s="116">
        <f t="shared" si="16"/>
        <v>0.61651668144555594</v>
      </c>
      <c r="AE73" s="116">
        <f t="shared" si="16"/>
        <v>0.61500705530525768</v>
      </c>
      <c r="AF73" s="116">
        <f t="shared" si="16"/>
        <v>0.61341282105890249</v>
      </c>
      <c r="AG73" s="116">
        <f t="shared" si="16"/>
        <v>0.61177951167689848</v>
      </c>
      <c r="AH73" s="116">
        <f t="shared" si="16"/>
        <v>0.60546414543458094</v>
      </c>
      <c r="AI73" s="116">
        <f t="shared" si="16"/>
        <v>0.60376728684537762</v>
      </c>
      <c r="AJ73" s="116">
        <f t="shared" si="16"/>
        <v>0.60197789430575754</v>
      </c>
      <c r="AK73" s="116">
        <f t="shared" si="16"/>
        <v>0.60017648503260168</v>
      </c>
      <c r="AL73" s="116">
        <f t="shared" si="16"/>
        <v>0.5983561812451611</v>
      </c>
      <c r="AM73" s="116">
        <f t="shared" si="16"/>
        <v>0.59643909548967189</v>
      </c>
    </row>
    <row r="74" spans="2:39" x14ac:dyDescent="0.25">
      <c r="B74" s="230"/>
      <c r="C74" s="35" t="s">
        <v>31</v>
      </c>
      <c r="D74" s="54" t="s">
        <v>430</v>
      </c>
      <c r="E74" s="111">
        <f t="shared" ref="E74:AM74" si="17">E32/E$26</f>
        <v>2.3753849688158449E-4</v>
      </c>
      <c r="F74" s="111">
        <f t="shared" si="17"/>
        <v>5.5355854527988496E-3</v>
      </c>
      <c r="G74" s="111">
        <f t="shared" si="17"/>
        <v>1.1972413494864642E-2</v>
      </c>
      <c r="H74" s="111">
        <f t="shared" si="17"/>
        <v>1.5113604460470061E-2</v>
      </c>
      <c r="I74" s="111">
        <f t="shared" si="17"/>
        <v>1.8838848901589596E-2</v>
      </c>
      <c r="J74" s="110">
        <f t="shared" si="17"/>
        <v>2.3227819019105492E-2</v>
      </c>
      <c r="K74" s="68">
        <f t="shared" si="17"/>
        <v>2.7602796461275732E-2</v>
      </c>
      <c r="L74" s="68">
        <f t="shared" si="17"/>
        <v>3.2743030167097759E-2</v>
      </c>
      <c r="M74" s="68">
        <f t="shared" si="17"/>
        <v>3.9061721011337355E-2</v>
      </c>
      <c r="N74" s="111">
        <f t="shared" si="17"/>
        <v>4.5695112530187147E-2</v>
      </c>
      <c r="O74" s="110">
        <f t="shared" si="17"/>
        <v>5.5501145248109986E-2</v>
      </c>
      <c r="P74" s="68">
        <f t="shared" si="17"/>
        <v>7.1839101442208939E-2</v>
      </c>
      <c r="Q74" s="68">
        <f t="shared" si="17"/>
        <v>9.5980679249841716E-2</v>
      </c>
      <c r="R74" s="68">
        <f t="shared" si="17"/>
        <v>0.12309863501823282</v>
      </c>
      <c r="S74" s="111">
        <f t="shared" si="17"/>
        <v>0.15036388032830214</v>
      </c>
      <c r="T74" s="111">
        <f t="shared" si="17"/>
        <v>0.17425800520121726</v>
      </c>
      <c r="U74" s="111">
        <f t="shared" si="17"/>
        <v>0.19224210461693975</v>
      </c>
      <c r="V74" s="111">
        <f t="shared" si="17"/>
        <v>0.20364191197664211</v>
      </c>
      <c r="W74" s="111">
        <f t="shared" si="17"/>
        <v>0.2096525533304123</v>
      </c>
      <c r="X74" s="116">
        <f t="shared" si="17"/>
        <v>0.21203719787507394</v>
      </c>
      <c r="Y74" s="116">
        <f t="shared" si="17"/>
        <v>0.21243697205623574</v>
      </c>
      <c r="Z74" s="116">
        <f t="shared" si="17"/>
        <v>0.21159569740869291</v>
      </c>
      <c r="AA74" s="116">
        <f t="shared" si="17"/>
        <v>0.21004569553614078</v>
      </c>
      <c r="AB74" s="116">
        <f t="shared" si="17"/>
        <v>0.20820100562533519</v>
      </c>
      <c r="AC74" s="116">
        <f t="shared" si="17"/>
        <v>0.20616459787126715</v>
      </c>
      <c r="AD74" s="116">
        <f t="shared" si="17"/>
        <v>0.20437774676823428</v>
      </c>
      <c r="AE74" s="116">
        <f t="shared" si="17"/>
        <v>0.20257769487702706</v>
      </c>
      <c r="AF74" s="116">
        <f t="shared" si="17"/>
        <v>0.20075299475095601</v>
      </c>
      <c r="AG74" s="116">
        <f t="shared" si="17"/>
        <v>0.19893445071979043</v>
      </c>
      <c r="AH74" s="116">
        <f t="shared" si="17"/>
        <v>0.19223997360627865</v>
      </c>
      <c r="AI74" s="116">
        <f t="shared" si="17"/>
        <v>0.19051238210505084</v>
      </c>
      <c r="AJ74" s="116">
        <f t="shared" si="17"/>
        <v>0.18872731207464247</v>
      </c>
      <c r="AK74" s="116">
        <f t="shared" si="17"/>
        <v>0.18696694411217102</v>
      </c>
      <c r="AL74" s="116">
        <f t="shared" si="17"/>
        <v>0.18522504623880187</v>
      </c>
      <c r="AM74" s="116">
        <f t="shared" si="17"/>
        <v>0.18343050487307491</v>
      </c>
    </row>
    <row r="75" spans="2:39" x14ac:dyDescent="0.25">
      <c r="B75" s="230"/>
      <c r="C75" s="35" t="s">
        <v>32</v>
      </c>
      <c r="D75" s="54" t="s">
        <v>431</v>
      </c>
      <c r="E75" s="111">
        <f t="shared" ref="E75:AM75" si="18">E33/E$26</f>
        <v>3.2383966455962915E-6</v>
      </c>
      <c r="F75" s="111">
        <f t="shared" si="18"/>
        <v>2.1759054817415292E-5</v>
      </c>
      <c r="G75" s="111">
        <f t="shared" si="18"/>
        <v>5.1883943356345701E-5</v>
      </c>
      <c r="H75" s="111">
        <f t="shared" si="18"/>
        <v>5.9027157365390917E-5</v>
      </c>
      <c r="I75" s="111">
        <f t="shared" si="18"/>
        <v>7.403678109665099E-5</v>
      </c>
      <c r="J75" s="110">
        <f t="shared" si="18"/>
        <v>9.1847816967021001E-5</v>
      </c>
      <c r="K75" s="68">
        <f t="shared" si="18"/>
        <v>1.1196231837396406E-4</v>
      </c>
      <c r="L75" s="68">
        <f t="shared" si="18"/>
        <v>1.3510782089559285E-4</v>
      </c>
      <c r="M75" s="68">
        <f t="shared" si="18"/>
        <v>1.6141966945575412E-4</v>
      </c>
      <c r="N75" s="111">
        <f t="shared" si="18"/>
        <v>1.8979420095873321E-4</v>
      </c>
      <c r="O75" s="110">
        <f t="shared" si="18"/>
        <v>2.3279853320442618E-4</v>
      </c>
      <c r="P75" s="68">
        <f t="shared" si="18"/>
        <v>3.0356582318606662E-4</v>
      </c>
      <c r="Q75" s="68">
        <f t="shared" si="18"/>
        <v>4.0793542312677727E-4</v>
      </c>
      <c r="R75" s="68">
        <f t="shared" si="18"/>
        <v>5.2620895939804681E-4</v>
      </c>
      <c r="S75" s="111">
        <f t="shared" si="18"/>
        <v>6.4662570134072829E-4</v>
      </c>
      <c r="T75" s="111">
        <f t="shared" si="18"/>
        <v>7.5428847773714963E-4</v>
      </c>
      <c r="U75" s="111">
        <f t="shared" si="18"/>
        <v>8.3776513492055051E-4</v>
      </c>
      <c r="V75" s="111">
        <f t="shared" si="18"/>
        <v>8.9398082111160845E-4</v>
      </c>
      <c r="W75" s="111">
        <f t="shared" si="18"/>
        <v>9.2751232685447374E-4</v>
      </c>
      <c r="X75" s="116">
        <f t="shared" si="18"/>
        <v>9.4565246427937054E-4</v>
      </c>
      <c r="Y75" s="116">
        <f t="shared" si="18"/>
        <v>9.5476035030235963E-4</v>
      </c>
      <c r="Z75" s="116">
        <f t="shared" si="18"/>
        <v>9.588299132715966E-4</v>
      </c>
      <c r="AA75" s="116">
        <f t="shared" si="18"/>
        <v>9.6024123781849647E-4</v>
      </c>
      <c r="AB75" s="116">
        <f t="shared" si="18"/>
        <v>9.6035191323553442E-4</v>
      </c>
      <c r="AC75" s="116">
        <f t="shared" si="18"/>
        <v>9.5979926100695108E-4</v>
      </c>
      <c r="AD75" s="116">
        <f t="shared" si="18"/>
        <v>9.5911999243626417E-4</v>
      </c>
      <c r="AE75" s="116">
        <f t="shared" si="18"/>
        <v>9.5831092988340311E-4</v>
      </c>
      <c r="AF75" s="116">
        <f t="shared" si="18"/>
        <v>9.5744068109599768E-4</v>
      </c>
      <c r="AG75" s="116">
        <f t="shared" si="18"/>
        <v>9.5656270088700186E-4</v>
      </c>
      <c r="AH75" s="116">
        <f t="shared" si="18"/>
        <v>9.5343723270656833E-4</v>
      </c>
      <c r="AI75" s="116">
        <f t="shared" si="18"/>
        <v>9.5269285690469173E-4</v>
      </c>
      <c r="AJ75" s="116">
        <f t="shared" si="18"/>
        <v>9.5194323886382349E-4</v>
      </c>
      <c r="AK75" s="116">
        <f t="shared" si="18"/>
        <v>9.5122610263804488E-4</v>
      </c>
      <c r="AL75" s="116">
        <f t="shared" si="18"/>
        <v>9.5053914089953588E-4</v>
      </c>
      <c r="AM75" s="116">
        <f t="shared" si="18"/>
        <v>9.4985550870310134E-4</v>
      </c>
    </row>
    <row r="76" spans="2:39" x14ac:dyDescent="0.25">
      <c r="B76" s="230"/>
      <c r="C76" s="35" t="s">
        <v>33</v>
      </c>
      <c r="D76" s="54" t="s">
        <v>432</v>
      </c>
      <c r="E76" s="126">
        <f t="shared" ref="E76:AM76" si="19">E34/E$26</f>
        <v>3.9786015929203542E-5</v>
      </c>
      <c r="F76" s="126">
        <f t="shared" si="19"/>
        <v>8.2655053553749847E-4</v>
      </c>
      <c r="G76" s="126">
        <f t="shared" si="19"/>
        <v>1.9174281876009076E-3</v>
      </c>
      <c r="H76" s="126">
        <f t="shared" si="19"/>
        <v>2.3547637385495351E-3</v>
      </c>
      <c r="I76" s="126">
        <f t="shared" si="19"/>
        <v>2.816476100700909E-3</v>
      </c>
      <c r="J76" s="125">
        <f t="shared" si="19"/>
        <v>3.3368424241374535E-3</v>
      </c>
      <c r="K76" s="69">
        <f t="shared" si="19"/>
        <v>3.3855188569813215E-3</v>
      </c>
      <c r="L76" s="69">
        <f t="shared" si="19"/>
        <v>3.6329579054875413E-3</v>
      </c>
      <c r="M76" s="69">
        <f t="shared" si="19"/>
        <v>4.2976042484822157E-3</v>
      </c>
      <c r="N76" s="126">
        <f t="shared" si="19"/>
        <v>4.8851623303452375E-3</v>
      </c>
      <c r="O76" s="125">
        <f t="shared" si="19"/>
        <v>5.6200341846460678E-3</v>
      </c>
      <c r="P76" s="69">
        <f t="shared" si="19"/>
        <v>6.9899904507296114E-3</v>
      </c>
      <c r="Q76" s="69">
        <f t="shared" si="19"/>
        <v>9.0574318474060927E-3</v>
      </c>
      <c r="R76" s="69">
        <f t="shared" si="19"/>
        <v>1.1274752722256517E-2</v>
      </c>
      <c r="S76" s="126">
        <f t="shared" si="19"/>
        <v>1.3357355007262693E-2</v>
      </c>
      <c r="T76" s="126">
        <f t="shared" si="19"/>
        <v>1.4983191298008989E-2</v>
      </c>
      <c r="U76" s="126">
        <f t="shared" si="19"/>
        <v>1.5993568323763818E-2</v>
      </c>
      <c r="V76" s="126">
        <f t="shared" si="19"/>
        <v>1.635912829846611E-2</v>
      </c>
      <c r="W76" s="126">
        <f t="shared" si="19"/>
        <v>1.6247970965771762E-2</v>
      </c>
      <c r="X76" s="119">
        <f t="shared" si="19"/>
        <v>1.5846514348308371E-2</v>
      </c>
      <c r="Y76" s="119">
        <f t="shared" si="19"/>
        <v>1.535089500230139E-2</v>
      </c>
      <c r="Z76" s="119">
        <f t="shared" si="19"/>
        <v>1.4767622280242081E-2</v>
      </c>
      <c r="AA76" s="119">
        <f t="shared" si="19"/>
        <v>1.4141740824475574E-2</v>
      </c>
      <c r="AB76" s="119">
        <f t="shared" si="19"/>
        <v>1.3536044188355341E-2</v>
      </c>
      <c r="AC76" s="119">
        <f t="shared" si="19"/>
        <v>1.2947626580053216E-2</v>
      </c>
      <c r="AD76" s="119">
        <f t="shared" si="19"/>
        <v>1.247353988571143E-2</v>
      </c>
      <c r="AE76" s="119">
        <f t="shared" si="19"/>
        <v>1.2029762807244744E-2</v>
      </c>
      <c r="AF76" s="119">
        <f t="shared" si="19"/>
        <v>1.1608921188439744E-2</v>
      </c>
      <c r="AG76" s="119">
        <f t="shared" si="19"/>
        <v>1.12154662851298E-2</v>
      </c>
      <c r="AH76" s="119">
        <f t="shared" si="19"/>
        <v>9.96590089645937E-3</v>
      </c>
      <c r="AI76" s="119">
        <f t="shared" si="19"/>
        <v>9.6895258092715847E-3</v>
      </c>
      <c r="AJ76" s="119">
        <f t="shared" si="19"/>
        <v>9.4225853348685242E-3</v>
      </c>
      <c r="AK76" s="119">
        <f t="shared" si="19"/>
        <v>9.1770973649525703E-3</v>
      </c>
      <c r="AL76" s="119">
        <f t="shared" si="19"/>
        <v>8.950836917990335E-3</v>
      </c>
      <c r="AM76" s="119">
        <f t="shared" si="19"/>
        <v>8.7343549501970388E-3</v>
      </c>
    </row>
    <row r="77" spans="2:39" x14ac:dyDescent="0.25">
      <c r="B77" s="230"/>
      <c r="C77" s="52" t="s">
        <v>46</v>
      </c>
      <c r="D77" s="52" t="s">
        <v>433</v>
      </c>
      <c r="E77" s="124">
        <f t="shared" ref="E77:AM77" si="20">E35/E$26</f>
        <v>0.99908210366624528</v>
      </c>
      <c r="F77" s="124">
        <f t="shared" si="20"/>
        <v>0.97816344677633904</v>
      </c>
      <c r="G77" s="124">
        <f t="shared" si="20"/>
        <v>0.9534320741720218</v>
      </c>
      <c r="H77" s="124">
        <f t="shared" si="20"/>
        <v>0.9408934746297597</v>
      </c>
      <c r="I77" s="124">
        <f t="shared" si="20"/>
        <v>0.92570432812655989</v>
      </c>
      <c r="J77" s="123">
        <f t="shared" si="20"/>
        <v>0.90764355502658089</v>
      </c>
      <c r="K77" s="67">
        <f t="shared" si="20"/>
        <v>0.88655241384767647</v>
      </c>
      <c r="L77" s="67">
        <f t="shared" si="20"/>
        <v>0.86247555923778696</v>
      </c>
      <c r="M77" s="67">
        <f t="shared" si="20"/>
        <v>0.83563174697738296</v>
      </c>
      <c r="N77" s="124">
        <f t="shared" si="20"/>
        <v>0.80649566779588544</v>
      </c>
      <c r="O77" s="123">
        <f t="shared" si="20"/>
        <v>0.76209629698898129</v>
      </c>
      <c r="P77" s="67">
        <f t="shared" si="20"/>
        <v>0.68925607814475542</v>
      </c>
      <c r="Q77" s="67">
        <f t="shared" si="20"/>
        <v>0.58188861771453926</v>
      </c>
      <c r="R77" s="67">
        <f t="shared" si="20"/>
        <v>0.46000563463428606</v>
      </c>
      <c r="S77" s="124">
        <f t="shared" si="20"/>
        <v>0.33561418757367023</v>
      </c>
      <c r="T77" s="124">
        <f t="shared" si="20"/>
        <v>0.22398503582075696</v>
      </c>
      <c r="U77" s="124">
        <f t="shared" si="20"/>
        <v>0.13698341178446538</v>
      </c>
      <c r="V77" s="124">
        <f t="shared" si="20"/>
        <v>7.7816721280749693E-2</v>
      </c>
      <c r="W77" s="124">
        <f t="shared" si="20"/>
        <v>4.190369250340667E-2</v>
      </c>
      <c r="X77" s="118">
        <f t="shared" si="20"/>
        <v>2.1812410574525456E-2</v>
      </c>
      <c r="Y77" s="118">
        <f t="shared" si="20"/>
        <v>1.1135119655987125E-2</v>
      </c>
      <c r="Z77" s="118">
        <f t="shared" si="20"/>
        <v>5.6250278104272352E-3</v>
      </c>
      <c r="AA77" s="118">
        <f t="shared" si="20"/>
        <v>2.8260727706506568E-3</v>
      </c>
      <c r="AB77" s="118">
        <f t="shared" si="20"/>
        <v>1.4159051302904823E-3</v>
      </c>
      <c r="AC77" s="118">
        <f t="shared" si="20"/>
        <v>7.0839887111312332E-4</v>
      </c>
      <c r="AD77" s="118">
        <f t="shared" si="20"/>
        <v>3.541695776608246E-4</v>
      </c>
      <c r="AE77" s="118">
        <f t="shared" si="20"/>
        <v>1.7700614665741541E-4</v>
      </c>
      <c r="AF77" s="118">
        <f t="shared" si="20"/>
        <v>8.8447555276333854E-5</v>
      </c>
      <c r="AG77" s="118">
        <f t="shared" si="20"/>
        <v>4.4191880881935717E-5</v>
      </c>
      <c r="AH77" s="118">
        <f t="shared" si="20"/>
        <v>2.2079602893494358E-5</v>
      </c>
      <c r="AI77" s="118">
        <f t="shared" si="20"/>
        <v>1.103130847487702E-5</v>
      </c>
      <c r="AJ77" s="118">
        <f t="shared" si="20"/>
        <v>5.5112885651546369E-6</v>
      </c>
      <c r="AK77" s="118">
        <f t="shared" si="20"/>
        <v>2.7534302108646003E-6</v>
      </c>
      <c r="AL77" s="118">
        <f t="shared" si="20"/>
        <v>1.375594587121023E-6</v>
      </c>
      <c r="AM77" s="118">
        <f t="shared" si="20"/>
        <v>6.8723169152286427E-7</v>
      </c>
    </row>
    <row r="78" spans="2:39" x14ac:dyDescent="0.25">
      <c r="B78" s="230"/>
      <c r="C78" s="35" t="s">
        <v>27</v>
      </c>
      <c r="D78" s="3" t="s">
        <v>434</v>
      </c>
      <c r="E78" s="111">
        <f t="shared" ref="E78:AM78" si="21">E36/E$26</f>
        <v>4.9979094732406236E-4</v>
      </c>
      <c r="F78" s="111">
        <f t="shared" si="21"/>
        <v>1.4517493634001878E-2</v>
      </c>
      <c r="G78" s="111">
        <f t="shared" si="21"/>
        <v>1.6956982137654952E-2</v>
      </c>
      <c r="H78" s="111">
        <f t="shared" si="21"/>
        <v>1.9015523469603651E-2</v>
      </c>
      <c r="I78" s="111">
        <f t="shared" si="21"/>
        <v>3.0771282189676813E-2</v>
      </c>
      <c r="J78" s="110">
        <f t="shared" si="21"/>
        <v>3.0221336720815107E-2</v>
      </c>
      <c r="K78" s="68">
        <f t="shared" si="21"/>
        <v>4.3704614176863409E-2</v>
      </c>
      <c r="L78" s="68">
        <f t="shared" si="21"/>
        <v>4.9784501833679065E-2</v>
      </c>
      <c r="M78" s="68">
        <f t="shared" si="21"/>
        <v>4.9854521694266921E-2</v>
      </c>
      <c r="N78" s="111">
        <f t="shared" si="21"/>
        <v>5.1093659229825075E-2</v>
      </c>
      <c r="O78" s="110">
        <f t="shared" si="21"/>
        <v>5.1900449351851313E-2</v>
      </c>
      <c r="P78" s="68">
        <f t="shared" si="21"/>
        <v>4.9337542276467902E-2</v>
      </c>
      <c r="Q78" s="68">
        <f t="shared" si="21"/>
        <v>4.3203925556406307E-2</v>
      </c>
      <c r="R78" s="68">
        <f t="shared" si="21"/>
        <v>3.5858767682955602E-2</v>
      </c>
      <c r="S78" s="111">
        <f t="shared" si="21"/>
        <v>2.7528142745731378E-2</v>
      </c>
      <c r="T78" s="111">
        <f t="shared" si="21"/>
        <v>1.9115420583976986E-2</v>
      </c>
      <c r="U78" s="111">
        <f t="shared" si="21"/>
        <v>1.2123696243377341E-2</v>
      </c>
      <c r="V78" s="111">
        <f t="shared" si="21"/>
        <v>7.1471121568072657E-3</v>
      </c>
      <c r="W78" s="111">
        <f t="shared" si="21"/>
        <v>3.9950424497533906E-3</v>
      </c>
      <c r="X78" s="116">
        <f t="shared" si="21"/>
        <v>2.1572341799657225E-3</v>
      </c>
      <c r="Y78" s="116">
        <f t="shared" si="21"/>
        <v>1.1359011892042414E-3</v>
      </c>
      <c r="Z78" s="116">
        <f t="shared" si="21"/>
        <v>5.9210895490790453E-4</v>
      </c>
      <c r="AA78" s="116">
        <f t="shared" si="21"/>
        <v>3.0739928139005392E-4</v>
      </c>
      <c r="AB78" s="116">
        <f t="shared" si="21"/>
        <v>1.5907724821228721E-4</v>
      </c>
      <c r="AC78" s="116">
        <f t="shared" si="21"/>
        <v>8.2151169264062571E-5</v>
      </c>
      <c r="AD78" s="116">
        <f t="shared" si="21"/>
        <v>4.2443283902483513E-5</v>
      </c>
      <c r="AE78" s="116">
        <f t="shared" si="21"/>
        <v>2.1886020096296148E-5</v>
      </c>
      <c r="AF78" s="116">
        <f t="shared" si="21"/>
        <v>1.1282481430038938E-5</v>
      </c>
      <c r="AG78" s="116">
        <f t="shared" si="21"/>
        <v>5.8107150610653067E-6</v>
      </c>
      <c r="AH78" s="116">
        <f t="shared" si="21"/>
        <v>3.172986791657021E-6</v>
      </c>
      <c r="AI78" s="116">
        <f t="shared" si="21"/>
        <v>1.631703464274509E-6</v>
      </c>
      <c r="AJ78" s="116">
        <f t="shared" si="21"/>
        <v>8.3998267601095325E-7</v>
      </c>
      <c r="AK78" s="116">
        <f t="shared" si="21"/>
        <v>4.3202743979097044E-7</v>
      </c>
      <c r="AL78" s="116">
        <f t="shared" si="21"/>
        <v>2.2207059693162358E-7</v>
      </c>
      <c r="AM78" s="116">
        <f t="shared" si="21"/>
        <v>1.1419039074828989E-7</v>
      </c>
    </row>
    <row r="79" spans="2:39" x14ac:dyDescent="0.25">
      <c r="B79" s="230"/>
      <c r="C79" s="35" t="s">
        <v>28</v>
      </c>
      <c r="D79" s="3" t="s">
        <v>435</v>
      </c>
      <c r="E79" s="111">
        <f t="shared" ref="E79:AM79" si="22">E37/E$26</f>
        <v>0.1799247410450906</v>
      </c>
      <c r="F79" s="111">
        <f t="shared" si="22"/>
        <v>0.18522555278921166</v>
      </c>
      <c r="G79" s="111">
        <f t="shared" si="22"/>
        <v>0.18121034381520157</v>
      </c>
      <c r="H79" s="111">
        <f t="shared" si="22"/>
        <v>0.18023227323816163</v>
      </c>
      <c r="I79" s="111">
        <f t="shared" si="22"/>
        <v>0.18471520278867082</v>
      </c>
      <c r="J79" s="110">
        <f t="shared" si="22"/>
        <v>0.17915339785597101</v>
      </c>
      <c r="K79" s="68">
        <f t="shared" si="22"/>
        <v>0.18266414160188585</v>
      </c>
      <c r="L79" s="68">
        <f t="shared" si="22"/>
        <v>0.18035779338165633</v>
      </c>
      <c r="M79" s="68">
        <f t="shared" si="22"/>
        <v>0.1748121435066749</v>
      </c>
      <c r="N79" s="111">
        <f t="shared" si="22"/>
        <v>0.16927339937853991</v>
      </c>
      <c r="O79" s="110">
        <f t="shared" si="22"/>
        <v>0.16122990508383722</v>
      </c>
      <c r="P79" s="68">
        <f t="shared" si="22"/>
        <v>0.14660416856133635</v>
      </c>
      <c r="Q79" s="68">
        <f t="shared" si="22"/>
        <v>0.12422627821507766</v>
      </c>
      <c r="R79" s="68">
        <f t="shared" si="22"/>
        <v>9.8497976388644173E-2</v>
      </c>
      <c r="S79" s="111">
        <f t="shared" si="22"/>
        <v>7.210307817973538E-2</v>
      </c>
      <c r="T79" s="111">
        <f t="shared" si="22"/>
        <v>4.8305482884696327E-2</v>
      </c>
      <c r="U79" s="111">
        <f t="shared" si="22"/>
        <v>2.9649559112155815E-2</v>
      </c>
      <c r="V79" s="111">
        <f t="shared" si="22"/>
        <v>1.6909750528436268E-2</v>
      </c>
      <c r="W79" s="111">
        <f t="shared" si="22"/>
        <v>9.1439568708596864E-3</v>
      </c>
      <c r="X79" s="116">
        <f t="shared" si="22"/>
        <v>4.7802927574535827E-3</v>
      </c>
      <c r="Y79" s="116">
        <f t="shared" si="22"/>
        <v>2.4502630526881549E-3</v>
      </c>
      <c r="Z79" s="116">
        <f t="shared" si="22"/>
        <v>1.2429923541137421E-3</v>
      </c>
      <c r="AA79" s="116">
        <f t="shared" si="22"/>
        <v>6.2728144679316121E-4</v>
      </c>
      <c r="AB79" s="116">
        <f t="shared" si="22"/>
        <v>3.1567750244443387E-4</v>
      </c>
      <c r="AC79" s="116">
        <f t="shared" si="22"/>
        <v>1.586288370552143E-4</v>
      </c>
      <c r="AD79" s="116">
        <f t="shared" si="22"/>
        <v>7.9545152941963359E-5</v>
      </c>
      <c r="AE79" s="116">
        <f t="shared" si="22"/>
        <v>3.9862069784757548E-5</v>
      </c>
      <c r="AF79" s="116">
        <f t="shared" si="22"/>
        <v>1.9971950667156635E-5</v>
      </c>
      <c r="AG79" s="116">
        <f t="shared" si="22"/>
        <v>1.0004265623122855E-5</v>
      </c>
      <c r="AH79" s="116">
        <f t="shared" si="22"/>
        <v>5.0563340764834649E-6</v>
      </c>
      <c r="AI79" s="116">
        <f t="shared" si="22"/>
        <v>2.5303893891677988E-6</v>
      </c>
      <c r="AJ79" s="116">
        <f t="shared" si="22"/>
        <v>1.2663302812744902E-6</v>
      </c>
      <c r="AK79" s="116">
        <f t="shared" si="22"/>
        <v>6.3358094088397889E-7</v>
      </c>
      <c r="AL79" s="116">
        <f t="shared" si="22"/>
        <v>3.1693675897809311E-7</v>
      </c>
      <c r="AM79" s="116">
        <f t="shared" si="22"/>
        <v>1.585293602761832E-7</v>
      </c>
    </row>
    <row r="80" spans="2:39" x14ac:dyDescent="0.25">
      <c r="B80" s="230"/>
      <c r="C80" s="35" t="s">
        <v>29</v>
      </c>
      <c r="D80" s="3" t="s">
        <v>436</v>
      </c>
      <c r="E80" s="111">
        <f t="shared" ref="E80:AM80" si="23">E38/E$26</f>
        <v>0.28388125811209441</v>
      </c>
      <c r="F80" s="111">
        <f t="shared" si="23"/>
        <v>0.28316914718558722</v>
      </c>
      <c r="G80" s="111">
        <f t="shared" si="23"/>
        <v>0.27646477659363022</v>
      </c>
      <c r="H80" s="111">
        <f t="shared" si="23"/>
        <v>0.27378893600059273</v>
      </c>
      <c r="I80" s="111">
        <f t="shared" si="23"/>
        <v>0.27299011761324476</v>
      </c>
      <c r="J80" s="110">
        <f t="shared" si="23"/>
        <v>0.26713790873871923</v>
      </c>
      <c r="K80" s="68">
        <f t="shared" si="23"/>
        <v>0.26311603586912047</v>
      </c>
      <c r="L80" s="68">
        <f t="shared" si="23"/>
        <v>0.25559463966422452</v>
      </c>
      <c r="M80" s="68">
        <f t="shared" si="23"/>
        <v>0.24734784670061866</v>
      </c>
      <c r="N80" s="111">
        <f t="shared" si="23"/>
        <v>0.23833737487322454</v>
      </c>
      <c r="O80" s="110">
        <f t="shared" si="23"/>
        <v>0.22493216334584237</v>
      </c>
      <c r="P80" s="68">
        <f t="shared" si="23"/>
        <v>0.20320283278009113</v>
      </c>
      <c r="Q80" s="68">
        <f t="shared" si="23"/>
        <v>0.17137436401131065</v>
      </c>
      <c r="R80" s="68">
        <f t="shared" si="23"/>
        <v>0.1352111045844156</v>
      </c>
      <c r="S80" s="111">
        <f t="shared" si="23"/>
        <v>9.8429307894965318E-2</v>
      </c>
      <c r="T80" s="111">
        <f t="shared" si="23"/>
        <v>6.558283444104096E-2</v>
      </c>
      <c r="U80" s="111">
        <f t="shared" si="23"/>
        <v>4.0043236069218321E-2</v>
      </c>
      <c r="V80" s="111">
        <f t="shared" si="23"/>
        <v>2.2707183184552688E-2</v>
      </c>
      <c r="W80" s="111">
        <f t="shared" si="23"/>
        <v>1.2204080331825441E-2</v>
      </c>
      <c r="X80" s="116">
        <f t="shared" si="23"/>
        <v>6.3396547359731064E-3</v>
      </c>
      <c r="Y80" s="116">
        <f t="shared" si="23"/>
        <v>3.2304725934724243E-3</v>
      </c>
      <c r="Z80" s="116">
        <f t="shared" si="23"/>
        <v>1.628650902205942E-3</v>
      </c>
      <c r="AA80" s="116">
        <f t="shared" si="23"/>
        <v>8.1639609578123401E-4</v>
      </c>
      <c r="AB80" s="116">
        <f t="shared" si="23"/>
        <v>4.0803064827018274E-4</v>
      </c>
      <c r="AC80" s="116">
        <f t="shared" si="23"/>
        <v>2.0361440290842016E-4</v>
      </c>
      <c r="AD80" s="116">
        <f t="shared" si="23"/>
        <v>1.0148341954676779E-4</v>
      </c>
      <c r="AE80" s="116">
        <f t="shared" si="23"/>
        <v>5.0558401582645995E-5</v>
      </c>
      <c r="AF80" s="116">
        <f t="shared" si="23"/>
        <v>2.5178201038801463E-5</v>
      </c>
      <c r="AG80" s="116">
        <f t="shared" si="23"/>
        <v>1.2536046872741265E-5</v>
      </c>
      <c r="AH80" s="116">
        <f t="shared" si="23"/>
        <v>6.1923962357840723E-6</v>
      </c>
      <c r="AI80" s="116">
        <f t="shared" si="23"/>
        <v>3.0804658888587791E-6</v>
      </c>
      <c r="AJ80" s="116">
        <f t="shared" si="23"/>
        <v>1.5317287214842445E-6</v>
      </c>
      <c r="AK80" s="116">
        <f t="shared" si="23"/>
        <v>7.6152617644829898E-7</v>
      </c>
      <c r="AL80" s="116">
        <f t="shared" si="23"/>
        <v>3.7853740275952693E-7</v>
      </c>
      <c r="AM80" s="116">
        <f t="shared" si="23"/>
        <v>1.8809437383417432E-7</v>
      </c>
    </row>
    <row r="81" spans="2:39" x14ac:dyDescent="0.25">
      <c r="B81" s="230"/>
      <c r="C81" s="35" t="s">
        <v>30</v>
      </c>
      <c r="D81" s="3" t="s">
        <v>437</v>
      </c>
      <c r="E81" s="111">
        <f t="shared" ref="E81:AM81" si="24">E39/E$26</f>
        <v>0.27988293055204383</v>
      </c>
      <c r="F81" s="111">
        <f t="shared" si="24"/>
        <v>0.2728307349513267</v>
      </c>
      <c r="G81" s="111">
        <f t="shared" si="24"/>
        <v>0.26488720226777901</v>
      </c>
      <c r="H81" s="111">
        <f t="shared" si="24"/>
        <v>0.26288663729265072</v>
      </c>
      <c r="I81" s="111">
        <f t="shared" si="24"/>
        <v>0.25633789228872839</v>
      </c>
      <c r="J81" s="110">
        <f t="shared" si="24"/>
        <v>0.25688312138324604</v>
      </c>
      <c r="K81" s="68">
        <f t="shared" si="24"/>
        <v>0.24857419607214759</v>
      </c>
      <c r="L81" s="68">
        <f t="shared" si="24"/>
        <v>0.23944370680222302</v>
      </c>
      <c r="M81" s="68">
        <f t="shared" si="24"/>
        <v>0.23146113264072027</v>
      </c>
      <c r="N81" s="111">
        <f t="shared" si="24"/>
        <v>0.22238972552222622</v>
      </c>
      <c r="O81" s="110">
        <f t="shared" si="24"/>
        <v>0.20886318563977879</v>
      </c>
      <c r="P81" s="68">
        <f t="shared" si="24"/>
        <v>0.18802802718633194</v>
      </c>
      <c r="Q81" s="68">
        <f t="shared" si="24"/>
        <v>0.15816664225701491</v>
      </c>
      <c r="R81" s="68">
        <f t="shared" si="24"/>
        <v>0.12442298779011636</v>
      </c>
      <c r="S81" s="111">
        <f t="shared" si="24"/>
        <v>9.0277373209322526E-2</v>
      </c>
      <c r="T81" s="111">
        <f t="shared" si="24"/>
        <v>5.9965771994995545E-2</v>
      </c>
      <c r="U81" s="111">
        <f t="shared" si="24"/>
        <v>3.6505066106669606E-2</v>
      </c>
      <c r="V81" s="111">
        <f t="shared" si="24"/>
        <v>2.0634357127312951E-2</v>
      </c>
      <c r="W81" s="111">
        <f t="shared" si="24"/>
        <v>1.105210604371184E-2</v>
      </c>
      <c r="X81" s="116">
        <f t="shared" si="24"/>
        <v>5.7208847470116052E-3</v>
      </c>
      <c r="Y81" s="116">
        <f t="shared" si="24"/>
        <v>2.9057029971205862E-3</v>
      </c>
      <c r="Z81" s="116">
        <f t="shared" si="24"/>
        <v>1.4599094683819935E-3</v>
      </c>
      <c r="AA81" s="116">
        <f t="shared" si="24"/>
        <v>7.2909861086211422E-4</v>
      </c>
      <c r="AB81" s="116">
        <f t="shared" si="24"/>
        <v>3.6301825552016357E-4</v>
      </c>
      <c r="AC81" s="116">
        <f t="shared" si="24"/>
        <v>1.8045808175099268E-4</v>
      </c>
      <c r="AD81" s="116">
        <f t="shared" si="24"/>
        <v>8.9626384887698426E-5</v>
      </c>
      <c r="AE81" s="116">
        <f t="shared" si="24"/>
        <v>4.4499917024559182E-5</v>
      </c>
      <c r="AF81" s="116">
        <f t="shared" si="24"/>
        <v>2.2083829408859242E-5</v>
      </c>
      <c r="AG81" s="116">
        <f t="shared" si="24"/>
        <v>1.0957181468559691E-5</v>
      </c>
      <c r="AH81" s="116">
        <f t="shared" si="24"/>
        <v>5.3452902566200803E-6</v>
      </c>
      <c r="AI81" s="116">
        <f t="shared" si="24"/>
        <v>2.6499824224439473E-6</v>
      </c>
      <c r="AJ81" s="116">
        <f t="shared" si="24"/>
        <v>1.3128768070599557E-6</v>
      </c>
      <c r="AK81" s="116">
        <f t="shared" si="24"/>
        <v>6.503919999780548E-7</v>
      </c>
      <c r="AL81" s="116">
        <f t="shared" si="24"/>
        <v>3.2215315023707552E-7</v>
      </c>
      <c r="AM81" s="116">
        <f t="shared" si="24"/>
        <v>1.5949325191257945E-7</v>
      </c>
    </row>
    <row r="82" spans="2:39" x14ac:dyDescent="0.25">
      <c r="B82" s="230"/>
      <c r="C82" s="35" t="s">
        <v>31</v>
      </c>
      <c r="D82" s="3" t="s">
        <v>438</v>
      </c>
      <c r="E82" s="111">
        <f t="shared" ref="E82:AM82" si="25">E40/E$26</f>
        <v>0.1799247410450906</v>
      </c>
      <c r="F82" s="111">
        <f t="shared" si="25"/>
        <v>0.16738858614286736</v>
      </c>
      <c r="G82" s="111">
        <f t="shared" si="25"/>
        <v>0.15907992382955896</v>
      </c>
      <c r="H82" s="111">
        <f t="shared" si="25"/>
        <v>0.15482695453559386</v>
      </c>
      <c r="I82" s="111">
        <f t="shared" si="25"/>
        <v>0.14184621879760589</v>
      </c>
      <c r="J82" s="110">
        <f t="shared" si="25"/>
        <v>0.14862547717771643</v>
      </c>
      <c r="K82" s="68">
        <f t="shared" si="25"/>
        <v>0.13169375777482858</v>
      </c>
      <c r="L82" s="68">
        <f t="shared" si="25"/>
        <v>0.12347437528554847</v>
      </c>
      <c r="M82" s="68">
        <f t="shared" si="25"/>
        <v>0.1190234917320213</v>
      </c>
      <c r="N82" s="111">
        <f t="shared" si="25"/>
        <v>0.11340803119437103</v>
      </c>
      <c r="O82" s="110">
        <f t="shared" si="25"/>
        <v>0.10490690417097792</v>
      </c>
      <c r="P82" s="68">
        <f t="shared" si="25"/>
        <v>9.3440260162769531E-2</v>
      </c>
      <c r="Q82" s="68">
        <f t="shared" si="25"/>
        <v>7.7995710481905303E-2</v>
      </c>
      <c r="R82" s="68">
        <f t="shared" si="25"/>
        <v>6.0854397200297179E-2</v>
      </c>
      <c r="S82" s="111">
        <f t="shared" si="25"/>
        <v>4.3752608230256111E-2</v>
      </c>
      <c r="T82" s="111">
        <f t="shared" si="25"/>
        <v>2.8808390083489E-2</v>
      </c>
      <c r="U82" s="111">
        <f t="shared" si="25"/>
        <v>1.7392129303015792E-2</v>
      </c>
      <c r="V82" s="111">
        <f t="shared" si="25"/>
        <v>9.7434455695972547E-3</v>
      </c>
      <c r="W82" s="111">
        <f t="shared" si="25"/>
        <v>5.1700130051709437E-3</v>
      </c>
      <c r="X82" s="116">
        <f t="shared" si="25"/>
        <v>2.6506618863911214E-3</v>
      </c>
      <c r="Y82" s="116">
        <f t="shared" si="25"/>
        <v>1.3346785414512724E-3</v>
      </c>
      <c r="Z82" s="116">
        <f t="shared" si="25"/>
        <v>6.6461136442779671E-4</v>
      </c>
      <c r="AA82" s="116">
        <f t="shared" si="25"/>
        <v>3.2878946629777466E-4</v>
      </c>
      <c r="AB82" s="116">
        <f t="shared" si="25"/>
        <v>1.6216953945249424E-4</v>
      </c>
      <c r="AC82" s="116">
        <f t="shared" si="25"/>
        <v>7.9874066303903531E-5</v>
      </c>
      <c r="AD82" s="116">
        <f t="shared" si="25"/>
        <v>3.9359097666017445E-5</v>
      </c>
      <c r="AE82" s="116">
        <f t="shared" si="25"/>
        <v>1.9399156284701836E-5</v>
      </c>
      <c r="AF82" s="116">
        <f t="shared" si="25"/>
        <v>9.5572018927531515E-6</v>
      </c>
      <c r="AG82" s="116">
        <f t="shared" si="25"/>
        <v>4.7088511444935048E-6</v>
      </c>
      <c r="AH82" s="116">
        <f t="shared" si="25"/>
        <v>2.2429415016301258E-6</v>
      </c>
      <c r="AI82" s="116">
        <f t="shared" si="25"/>
        <v>1.1059399610699536E-6</v>
      </c>
      <c r="AJ82" s="116">
        <f t="shared" si="25"/>
        <v>5.4492816520822353E-7</v>
      </c>
      <c r="AK82" s="116">
        <f t="shared" si="25"/>
        <v>2.6861547205410737E-7</v>
      </c>
      <c r="AL82" s="116">
        <f t="shared" si="25"/>
        <v>1.3244736221937146E-7</v>
      </c>
      <c r="AM82" s="116">
        <f t="shared" si="25"/>
        <v>6.5290670162389364E-8</v>
      </c>
    </row>
    <row r="83" spans="2:39" x14ac:dyDescent="0.25">
      <c r="B83" s="230"/>
      <c r="C83" s="35" t="s">
        <v>32</v>
      </c>
      <c r="D83" s="3" t="s">
        <v>439</v>
      </c>
      <c r="E83" s="111">
        <f t="shared" ref="E83:AM83" si="26">E41/E$26</f>
        <v>5.997491369574378E-2</v>
      </c>
      <c r="F83" s="111">
        <f t="shared" si="26"/>
        <v>4.6512842458746637E-2</v>
      </c>
      <c r="G83" s="111">
        <f t="shared" si="26"/>
        <v>4.6298984318490999E-2</v>
      </c>
      <c r="H83" s="111">
        <f t="shared" si="26"/>
        <v>4.3568497751642406E-2</v>
      </c>
      <c r="I83" s="111">
        <f t="shared" si="26"/>
        <v>3.5140945165014634E-2</v>
      </c>
      <c r="J83" s="110">
        <f t="shared" si="26"/>
        <v>2.4811428186696353E-2</v>
      </c>
      <c r="K83" s="68">
        <f t="shared" si="26"/>
        <v>1.679967331275211E-2</v>
      </c>
      <c r="L83" s="68">
        <f t="shared" si="26"/>
        <v>1.3820542404626946E-2</v>
      </c>
      <c r="M83" s="68">
        <f t="shared" si="26"/>
        <v>1.3132598356356185E-2</v>
      </c>
      <c r="N83" s="111">
        <f t="shared" si="26"/>
        <v>1.199347758137732E-2</v>
      </c>
      <c r="O83" s="110">
        <f t="shared" si="26"/>
        <v>1.0263689597001514E-2</v>
      </c>
      <c r="P83" s="68">
        <f t="shared" si="26"/>
        <v>8.6432472210379325E-3</v>
      </c>
      <c r="Q83" s="68">
        <f t="shared" si="26"/>
        <v>6.9216970610058871E-3</v>
      </c>
      <c r="R83" s="68">
        <f t="shared" si="26"/>
        <v>5.1604009956745522E-3</v>
      </c>
      <c r="S83" s="111">
        <f t="shared" si="26"/>
        <v>3.5236773255041317E-3</v>
      </c>
      <c r="T83" s="111">
        <f t="shared" si="26"/>
        <v>2.2071357518755139E-3</v>
      </c>
      <c r="U83" s="111">
        <f t="shared" si="26"/>
        <v>1.2697249292780966E-3</v>
      </c>
      <c r="V83" s="111">
        <f t="shared" si="26"/>
        <v>6.7487268719559988E-4</v>
      </c>
      <c r="W83" s="111">
        <f t="shared" si="26"/>
        <v>3.3849379654683797E-4</v>
      </c>
      <c r="X83" s="116">
        <f t="shared" si="26"/>
        <v>1.6368226447926394E-4</v>
      </c>
      <c r="Y83" s="116">
        <f t="shared" si="26"/>
        <v>7.8101281595906007E-5</v>
      </c>
      <c r="Z83" s="116">
        <f t="shared" si="26"/>
        <v>3.6754766710482403E-5</v>
      </c>
      <c r="AA83" s="116">
        <f t="shared" si="26"/>
        <v>1.7107869782523946E-5</v>
      </c>
      <c r="AB83" s="116">
        <f t="shared" si="26"/>
        <v>7.9319365831962953E-6</v>
      </c>
      <c r="AC83" s="116">
        <f t="shared" si="26"/>
        <v>3.6723137402211254E-6</v>
      </c>
      <c r="AD83" s="116">
        <f t="shared" si="26"/>
        <v>1.7122387679064458E-6</v>
      </c>
      <c r="AE83" s="116">
        <f t="shared" si="26"/>
        <v>8.0058193693530757E-7</v>
      </c>
      <c r="AF83" s="116">
        <f t="shared" si="26"/>
        <v>3.7389084269971947E-7</v>
      </c>
      <c r="AG83" s="116">
        <f t="shared" si="26"/>
        <v>1.7482075282817429E-7</v>
      </c>
      <c r="AH83" s="116">
        <f t="shared" si="26"/>
        <v>6.9653997854927134E-8</v>
      </c>
      <c r="AI83" s="116">
        <f t="shared" si="26"/>
        <v>3.2827373246550582E-8</v>
      </c>
      <c r="AJ83" s="116">
        <f t="shared" si="26"/>
        <v>1.5441915170798112E-8</v>
      </c>
      <c r="AK83" s="116">
        <f t="shared" si="26"/>
        <v>7.2881818417732733E-9</v>
      </c>
      <c r="AL83" s="116">
        <f t="shared" si="26"/>
        <v>3.4493155941318654E-9</v>
      </c>
      <c r="AM83" s="116">
        <f t="shared" si="26"/>
        <v>1.6336433124473371E-9</v>
      </c>
    </row>
    <row r="84" spans="2:39" x14ac:dyDescent="0.25">
      <c r="B84" s="230"/>
      <c r="C84" s="56" t="s">
        <v>33</v>
      </c>
      <c r="D84" s="7" t="s">
        <v>440</v>
      </c>
      <c r="E84" s="113">
        <f t="shared" ref="E84:AM84" si="27">E42/E$26</f>
        <v>1.4993728419721873E-2</v>
      </c>
      <c r="F84" s="113">
        <f t="shared" si="27"/>
        <v>8.5190895682149999E-3</v>
      </c>
      <c r="G84" s="113">
        <f t="shared" si="27"/>
        <v>8.5338611870173532E-3</v>
      </c>
      <c r="H84" s="113">
        <f t="shared" si="27"/>
        <v>6.574652444179401E-3</v>
      </c>
      <c r="I84" s="113">
        <f t="shared" si="27"/>
        <v>3.9026698358112654E-3</v>
      </c>
      <c r="J84" s="112">
        <f t="shared" si="27"/>
        <v>8.1088501358937985E-4</v>
      </c>
      <c r="K84" s="70">
        <f t="shared" si="27"/>
        <v>0</v>
      </c>
      <c r="L84" s="70">
        <f t="shared" si="27"/>
        <v>0</v>
      </c>
      <c r="M84" s="70">
        <f t="shared" si="27"/>
        <v>0</v>
      </c>
      <c r="N84" s="113">
        <f t="shared" si="27"/>
        <v>0</v>
      </c>
      <c r="O84" s="112">
        <f t="shared" si="27"/>
        <v>0</v>
      </c>
      <c r="P84" s="70">
        <f t="shared" si="27"/>
        <v>0</v>
      </c>
      <c r="Q84" s="70">
        <f t="shared" si="27"/>
        <v>0</v>
      </c>
      <c r="R84" s="70">
        <f t="shared" si="27"/>
        <v>0</v>
      </c>
      <c r="S84" s="113">
        <f t="shared" si="27"/>
        <v>0</v>
      </c>
      <c r="T84" s="113">
        <f t="shared" si="27"/>
        <v>0</v>
      </c>
      <c r="U84" s="113">
        <f t="shared" si="27"/>
        <v>0</v>
      </c>
      <c r="V84" s="113">
        <f t="shared" si="27"/>
        <v>0</v>
      </c>
      <c r="W84" s="113">
        <f t="shared" si="27"/>
        <v>0</v>
      </c>
      <c r="X84" s="117">
        <f t="shared" si="27"/>
        <v>0</v>
      </c>
      <c r="Y84" s="117">
        <f t="shared" si="27"/>
        <v>0</v>
      </c>
      <c r="Z84" s="117">
        <f t="shared" si="27"/>
        <v>0</v>
      </c>
      <c r="AA84" s="117">
        <f t="shared" si="27"/>
        <v>0</v>
      </c>
      <c r="AB84" s="117">
        <f t="shared" si="27"/>
        <v>0</v>
      </c>
      <c r="AC84" s="117">
        <f t="shared" si="27"/>
        <v>0</v>
      </c>
      <c r="AD84" s="117">
        <f t="shared" si="27"/>
        <v>0</v>
      </c>
      <c r="AE84" s="117">
        <f t="shared" si="27"/>
        <v>0</v>
      </c>
      <c r="AF84" s="117">
        <f t="shared" si="27"/>
        <v>0</v>
      </c>
      <c r="AG84" s="117">
        <f t="shared" si="27"/>
        <v>0</v>
      </c>
      <c r="AH84" s="117">
        <f t="shared" si="27"/>
        <v>0</v>
      </c>
      <c r="AI84" s="117">
        <f t="shared" si="27"/>
        <v>0</v>
      </c>
      <c r="AJ84" s="117">
        <f t="shared" si="27"/>
        <v>0</v>
      </c>
      <c r="AK84" s="117">
        <f t="shared" si="27"/>
        <v>0</v>
      </c>
      <c r="AL84" s="117">
        <f t="shared" si="27"/>
        <v>0</v>
      </c>
      <c r="AM84" s="117">
        <f t="shared" si="27"/>
        <v>0</v>
      </c>
    </row>
    <row r="85" spans="2:39" x14ac:dyDescent="0.25">
      <c r="B85" s="229" t="s">
        <v>80</v>
      </c>
      <c r="C85" s="58" t="s">
        <v>52</v>
      </c>
      <c r="D85" s="58" t="s">
        <v>130</v>
      </c>
      <c r="E85" s="100">
        <f t="shared" ref="E85:AM85" si="28">E43</f>
        <v>32001.800439999999</v>
      </c>
      <c r="F85" s="100">
        <f t="shared" si="28"/>
        <v>35911.307350000003</v>
      </c>
      <c r="G85" s="100">
        <f t="shared" si="28"/>
        <v>36708.886160000002</v>
      </c>
      <c r="H85" s="100">
        <f t="shared" si="28"/>
        <v>37113.743849999999</v>
      </c>
      <c r="I85" s="100">
        <f t="shared" si="28"/>
        <v>37179.48702</v>
      </c>
      <c r="J85" s="99">
        <f t="shared" si="28"/>
        <v>37014.663189999999</v>
      </c>
      <c r="K85" s="51">
        <f t="shared" si="28"/>
        <v>36688.159140000003</v>
      </c>
      <c r="L85" s="51">
        <f t="shared" si="28"/>
        <v>36318.789250000002</v>
      </c>
      <c r="M85" s="51">
        <f t="shared" si="28"/>
        <v>36457.487150000001</v>
      </c>
      <c r="N85" s="100">
        <f t="shared" si="28"/>
        <v>36763.716890000003</v>
      </c>
      <c r="O85" s="99">
        <f t="shared" si="28"/>
        <v>36639.481160000003</v>
      </c>
      <c r="P85" s="51">
        <f t="shared" si="28"/>
        <v>36315.633170000001</v>
      </c>
      <c r="Q85" s="51">
        <f t="shared" si="28"/>
        <v>35898.810440000001</v>
      </c>
      <c r="R85" s="51">
        <f t="shared" si="28"/>
        <v>35416.42828</v>
      </c>
      <c r="S85" s="100">
        <f t="shared" si="28"/>
        <v>34895.548940000001</v>
      </c>
      <c r="T85" s="100">
        <f t="shared" si="28"/>
        <v>34355.081859999998</v>
      </c>
      <c r="U85" s="100">
        <f t="shared" si="28"/>
        <v>33819.292099999999</v>
      </c>
      <c r="V85" s="100">
        <f t="shared" si="28"/>
        <v>33292.62343</v>
      </c>
      <c r="W85" s="100">
        <f t="shared" si="28"/>
        <v>32779.233679999998</v>
      </c>
      <c r="X85" s="104">
        <f t="shared" si="28"/>
        <v>32279.545880000001</v>
      </c>
      <c r="Y85" s="104">
        <f t="shared" si="28"/>
        <v>31835.165280000001</v>
      </c>
      <c r="Z85" s="104">
        <f t="shared" si="28"/>
        <v>31429.478179999998</v>
      </c>
      <c r="AA85" s="104">
        <f t="shared" si="28"/>
        <v>31042.617269999999</v>
      </c>
      <c r="AB85" s="104">
        <f t="shared" si="28"/>
        <v>30670.763180000002</v>
      </c>
      <c r="AC85" s="104">
        <f t="shared" si="28"/>
        <v>30304.074820000002</v>
      </c>
      <c r="AD85" s="104">
        <f t="shared" si="28"/>
        <v>29948.167249999999</v>
      </c>
      <c r="AE85" s="104">
        <f t="shared" si="28"/>
        <v>29600.77953</v>
      </c>
      <c r="AF85" s="104">
        <f t="shared" si="28"/>
        <v>29260.05156</v>
      </c>
      <c r="AG85" s="104">
        <f t="shared" si="28"/>
        <v>28923.65005</v>
      </c>
      <c r="AH85" s="104">
        <f t="shared" si="28"/>
        <v>28519.4025</v>
      </c>
      <c r="AI85" s="104">
        <f t="shared" si="28"/>
        <v>28143.878560000001</v>
      </c>
      <c r="AJ85" s="104">
        <f t="shared" si="28"/>
        <v>27785.605250000001</v>
      </c>
      <c r="AK85" s="104">
        <f t="shared" si="28"/>
        <v>27441.713029999999</v>
      </c>
      <c r="AL85" s="104">
        <f t="shared" si="28"/>
        <v>27107.77678</v>
      </c>
      <c r="AM85" s="104">
        <f t="shared" si="28"/>
        <v>26765.189910000001</v>
      </c>
    </row>
    <row r="86" spans="2:39" x14ac:dyDescent="0.25">
      <c r="B86" s="230"/>
      <c r="C86" s="35" t="s">
        <v>8</v>
      </c>
      <c r="D86" s="54" t="s">
        <v>441</v>
      </c>
      <c r="E86" s="111">
        <f t="shared" ref="E86:AM89" si="29">E44/E$43</f>
        <v>0</v>
      </c>
      <c r="F86" s="111">
        <f t="shared" si="29"/>
        <v>0</v>
      </c>
      <c r="G86" s="111">
        <f t="shared" si="29"/>
        <v>0</v>
      </c>
      <c r="H86" s="111">
        <f t="shared" si="29"/>
        <v>0</v>
      </c>
      <c r="I86" s="111">
        <f t="shared" si="29"/>
        <v>0</v>
      </c>
      <c r="J86" s="110">
        <f t="shared" si="29"/>
        <v>0</v>
      </c>
      <c r="K86" s="68">
        <f t="shared" si="29"/>
        <v>0</v>
      </c>
      <c r="L86" s="68">
        <f t="shared" si="29"/>
        <v>0</v>
      </c>
      <c r="M86" s="68">
        <f t="shared" si="29"/>
        <v>0</v>
      </c>
      <c r="N86" s="111">
        <f t="shared" si="29"/>
        <v>0</v>
      </c>
      <c r="O86" s="110">
        <f t="shared" si="29"/>
        <v>0</v>
      </c>
      <c r="P86" s="68">
        <f t="shared" si="29"/>
        <v>0</v>
      </c>
      <c r="Q86" s="68">
        <f t="shared" si="29"/>
        <v>0</v>
      </c>
      <c r="R86" s="68">
        <f t="shared" si="29"/>
        <v>0</v>
      </c>
      <c r="S86" s="111">
        <f t="shared" si="29"/>
        <v>0</v>
      </c>
      <c r="T86" s="111">
        <f t="shared" si="29"/>
        <v>0</v>
      </c>
      <c r="U86" s="111">
        <f t="shared" si="29"/>
        <v>0</v>
      </c>
      <c r="V86" s="111">
        <f t="shared" si="29"/>
        <v>0</v>
      </c>
      <c r="W86" s="111">
        <f t="shared" si="29"/>
        <v>0</v>
      </c>
      <c r="X86" s="116">
        <f t="shared" si="29"/>
        <v>0</v>
      </c>
      <c r="Y86" s="116">
        <f t="shared" si="29"/>
        <v>0</v>
      </c>
      <c r="Z86" s="116">
        <f t="shared" si="29"/>
        <v>0</v>
      </c>
      <c r="AA86" s="116">
        <f t="shared" si="29"/>
        <v>0</v>
      </c>
      <c r="AB86" s="116">
        <f t="shared" si="29"/>
        <v>0</v>
      </c>
      <c r="AC86" s="116">
        <f t="shared" si="29"/>
        <v>0</v>
      </c>
      <c r="AD86" s="116">
        <f t="shared" si="29"/>
        <v>0</v>
      </c>
      <c r="AE86" s="116">
        <f t="shared" si="29"/>
        <v>0</v>
      </c>
      <c r="AF86" s="116">
        <f t="shared" si="29"/>
        <v>0</v>
      </c>
      <c r="AG86" s="116">
        <f t="shared" si="29"/>
        <v>0</v>
      </c>
      <c r="AH86" s="116">
        <f t="shared" si="29"/>
        <v>0</v>
      </c>
      <c r="AI86" s="116">
        <f t="shared" si="29"/>
        <v>0</v>
      </c>
      <c r="AJ86" s="116">
        <f t="shared" si="29"/>
        <v>0</v>
      </c>
      <c r="AK86" s="116">
        <f t="shared" si="29"/>
        <v>0</v>
      </c>
      <c r="AL86" s="116">
        <f t="shared" si="29"/>
        <v>0</v>
      </c>
      <c r="AM86" s="116">
        <f t="shared" si="29"/>
        <v>0</v>
      </c>
    </row>
    <row r="87" spans="2:39" x14ac:dyDescent="0.25">
      <c r="B87" s="230"/>
      <c r="C87" s="35" t="s">
        <v>6</v>
      </c>
      <c r="D87" s="3" t="s">
        <v>424</v>
      </c>
      <c r="E87" s="111">
        <f t="shared" si="29"/>
        <v>0.9999246395525615</v>
      </c>
      <c r="F87" s="111">
        <f t="shared" si="29"/>
        <v>0.99572985387289159</v>
      </c>
      <c r="G87" s="111">
        <f t="shared" si="29"/>
        <v>0.99020558541512549</v>
      </c>
      <c r="H87" s="111">
        <f t="shared" si="29"/>
        <v>0.98722895184286297</v>
      </c>
      <c r="I87" s="111">
        <f t="shared" si="29"/>
        <v>0.98404936841433588</v>
      </c>
      <c r="J87" s="110">
        <f t="shared" si="29"/>
        <v>0.98055229636144636</v>
      </c>
      <c r="K87" s="68">
        <f t="shared" si="29"/>
        <v>0.97612015182727419</v>
      </c>
      <c r="L87" s="68">
        <f t="shared" si="29"/>
        <v>0.97052297826806</v>
      </c>
      <c r="M87" s="68">
        <f t="shared" si="29"/>
        <v>0.96210520998565296</v>
      </c>
      <c r="N87" s="111">
        <f t="shared" si="29"/>
        <v>0.95173177659621566</v>
      </c>
      <c r="O87" s="110">
        <f t="shared" si="29"/>
        <v>0.94113786681143063</v>
      </c>
      <c r="P87" s="68">
        <f t="shared" si="29"/>
        <v>0.9283171699688143</v>
      </c>
      <c r="Q87" s="68">
        <f t="shared" si="29"/>
        <v>0.91147939218456175</v>
      </c>
      <c r="R87" s="68">
        <f t="shared" si="29"/>
        <v>0.89028061160547955</v>
      </c>
      <c r="S87" s="111">
        <f t="shared" si="29"/>
        <v>0.86478326424630814</v>
      </c>
      <c r="T87" s="111">
        <f t="shared" si="29"/>
        <v>0.83565458370879864</v>
      </c>
      <c r="U87" s="111">
        <f t="shared" si="29"/>
        <v>0.80379561492950358</v>
      </c>
      <c r="V87" s="111">
        <f t="shared" si="29"/>
        <v>0.77049492251443163</v>
      </c>
      <c r="W87" s="111">
        <f t="shared" si="29"/>
        <v>0.73678404827186916</v>
      </c>
      <c r="X87" s="116">
        <f t="shared" si="29"/>
        <v>0.70340042652421597</v>
      </c>
      <c r="Y87" s="116">
        <f t="shared" si="29"/>
        <v>0.66991227507143636</v>
      </c>
      <c r="Z87" s="116">
        <f t="shared" si="29"/>
        <v>0.63695212040583737</v>
      </c>
      <c r="AA87" s="116">
        <f t="shared" si="29"/>
        <v>0.60505959232219086</v>
      </c>
      <c r="AB87" s="116">
        <f t="shared" si="29"/>
        <v>0.57435150395889167</v>
      </c>
      <c r="AC87" s="116">
        <f t="shared" si="29"/>
        <v>0.54500623457739994</v>
      </c>
      <c r="AD87" s="116">
        <f t="shared" si="29"/>
        <v>0.5170336458569097</v>
      </c>
      <c r="AE87" s="116">
        <f t="shared" si="29"/>
        <v>0.49041670592787934</v>
      </c>
      <c r="AF87" s="116">
        <f t="shared" si="29"/>
        <v>0.46512411169517437</v>
      </c>
      <c r="AG87" s="116">
        <f t="shared" si="29"/>
        <v>0.44112773449905568</v>
      </c>
      <c r="AH87" s="116">
        <f t="shared" si="29"/>
        <v>0.41755630259084148</v>
      </c>
      <c r="AI87" s="116">
        <f t="shared" si="29"/>
        <v>0.39491983936417324</v>
      </c>
      <c r="AJ87" s="116">
        <f t="shared" si="29"/>
        <v>0.37334485056790329</v>
      </c>
      <c r="AK87" s="116">
        <f t="shared" si="29"/>
        <v>0.35282209249893903</v>
      </c>
      <c r="AL87" s="116">
        <f t="shared" si="29"/>
        <v>0.3333572958173075</v>
      </c>
      <c r="AM87" s="116">
        <f t="shared" si="29"/>
        <v>0.31511593429228163</v>
      </c>
    </row>
    <row r="88" spans="2:39" x14ac:dyDescent="0.25">
      <c r="B88" s="230"/>
      <c r="C88" s="35" t="s">
        <v>34</v>
      </c>
      <c r="D88" s="3" t="s">
        <v>423</v>
      </c>
      <c r="E88" s="111">
        <f t="shared" si="29"/>
        <v>7.5360400972489787E-5</v>
      </c>
      <c r="F88" s="111">
        <f t="shared" si="29"/>
        <v>4.2701461159697935E-3</v>
      </c>
      <c r="G88" s="111">
        <f t="shared" si="29"/>
        <v>9.7944144759090131E-3</v>
      </c>
      <c r="H88" s="111">
        <f t="shared" si="29"/>
        <v>1.2771048167914755E-2</v>
      </c>
      <c r="I88" s="111">
        <f t="shared" si="29"/>
        <v>1.5950631566836501E-2</v>
      </c>
      <c r="J88" s="110">
        <f t="shared" si="29"/>
        <v>1.9447703727707485E-2</v>
      </c>
      <c r="K88" s="68">
        <f t="shared" si="29"/>
        <v>2.3879847935592006E-2</v>
      </c>
      <c r="L88" s="68">
        <f t="shared" si="29"/>
        <v>2.9477021704406074E-2</v>
      </c>
      <c r="M88" s="68">
        <f t="shared" si="29"/>
        <v>3.7894789959488473E-2</v>
      </c>
      <c r="N88" s="111">
        <f t="shared" si="29"/>
        <v>4.8268223322182155E-2</v>
      </c>
      <c r="O88" s="110">
        <f t="shared" si="29"/>
        <v>5.8862133325034233E-2</v>
      </c>
      <c r="P88" s="68">
        <f t="shared" si="29"/>
        <v>7.1682829893503955E-2</v>
      </c>
      <c r="Q88" s="68">
        <f t="shared" si="29"/>
        <v>8.8520607815438246E-2</v>
      </c>
      <c r="R88" s="68">
        <f t="shared" si="29"/>
        <v>0.10971938828157857</v>
      </c>
      <c r="S88" s="111">
        <f t="shared" si="29"/>
        <v>0.13521673586831959</v>
      </c>
      <c r="T88" s="111">
        <f t="shared" si="29"/>
        <v>0.16434541640763245</v>
      </c>
      <c r="U88" s="111">
        <f t="shared" si="29"/>
        <v>0.19620438492265191</v>
      </c>
      <c r="V88" s="111">
        <f t="shared" si="29"/>
        <v>0.22950507724527491</v>
      </c>
      <c r="W88" s="111">
        <f t="shared" si="29"/>
        <v>0.26321595166711659</v>
      </c>
      <c r="X88" s="116">
        <f t="shared" si="29"/>
        <v>0.2965995733208871</v>
      </c>
      <c r="Y88" s="116">
        <f t="shared" si="29"/>
        <v>0.33008772492856364</v>
      </c>
      <c r="Z88" s="116">
        <f t="shared" si="29"/>
        <v>0.36304787959416257</v>
      </c>
      <c r="AA88" s="116">
        <f t="shared" si="29"/>
        <v>0.39494040767780919</v>
      </c>
      <c r="AB88" s="116">
        <f t="shared" si="29"/>
        <v>0.42564849604110827</v>
      </c>
      <c r="AC88" s="116">
        <f t="shared" si="29"/>
        <v>0.4549937654226</v>
      </c>
      <c r="AD88" s="116">
        <f t="shared" si="29"/>
        <v>0.48296635380918013</v>
      </c>
      <c r="AE88" s="116">
        <f t="shared" si="29"/>
        <v>0.50958329407212066</v>
      </c>
      <c r="AF88" s="116">
        <f t="shared" si="29"/>
        <v>0.53487588830482569</v>
      </c>
      <c r="AG88" s="116">
        <f t="shared" si="29"/>
        <v>0.55887226550094427</v>
      </c>
      <c r="AH88" s="116">
        <f t="shared" si="29"/>
        <v>0.58244369740915858</v>
      </c>
      <c r="AI88" s="116">
        <f t="shared" si="29"/>
        <v>0.6050801606358267</v>
      </c>
      <c r="AJ88" s="116">
        <f t="shared" si="29"/>
        <v>0.62665514979199533</v>
      </c>
      <c r="AK88" s="116">
        <f t="shared" si="29"/>
        <v>0.64717790761038363</v>
      </c>
      <c r="AL88" s="116">
        <f t="shared" si="29"/>
        <v>0.66664270429336181</v>
      </c>
      <c r="AM88" s="116">
        <f t="shared" si="29"/>
        <v>0.68488406552090852</v>
      </c>
    </row>
    <row r="89" spans="2:39" x14ac:dyDescent="0.25">
      <c r="B89" s="230"/>
      <c r="C89" s="35" t="s">
        <v>35</v>
      </c>
      <c r="D89" s="3" t="s">
        <v>442</v>
      </c>
      <c r="E89" s="111">
        <f t="shared" si="29"/>
        <v>7.0669503868701714E-7</v>
      </c>
      <c r="F89" s="111">
        <f t="shared" si="29"/>
        <v>8.0792182549154665E-6</v>
      </c>
      <c r="G89" s="111">
        <f t="shared" si="29"/>
        <v>9.1489135201807497E-6</v>
      </c>
      <c r="H89" s="111">
        <f t="shared" si="29"/>
        <v>9.9043520746829762E-6</v>
      </c>
      <c r="I89" s="111">
        <f t="shared" si="29"/>
        <v>1.1198699876521319E-5</v>
      </c>
      <c r="J89" s="110">
        <f t="shared" si="29"/>
        <v>1.2257090998536249E-5</v>
      </c>
      <c r="K89" s="68">
        <f t="shared" si="29"/>
        <v>1.4015932204114398E-5</v>
      </c>
      <c r="L89" s="68">
        <f t="shared" si="29"/>
        <v>1.6104717640057341E-5</v>
      </c>
      <c r="M89" s="68">
        <f t="shared" si="29"/>
        <v>1.8625551810693017E-5</v>
      </c>
      <c r="N89" s="111">
        <f t="shared" si="29"/>
        <v>2.1243344018690159E-5</v>
      </c>
      <c r="O89" s="110">
        <f t="shared" si="29"/>
        <v>2.334131565524603E-5</v>
      </c>
      <c r="P89" s="68">
        <f t="shared" si="29"/>
        <v>2.4997917922850304E-5</v>
      </c>
      <c r="Q89" s="68">
        <f t="shared" si="29"/>
        <v>2.6161385577655368E-5</v>
      </c>
      <c r="R89" s="68">
        <f t="shared" si="29"/>
        <v>2.683988221750745E-5</v>
      </c>
      <c r="S89" s="111">
        <f t="shared" si="29"/>
        <v>2.703907822520129E-5</v>
      </c>
      <c r="T89" s="111">
        <f t="shared" si="29"/>
        <v>2.6793868891104427E-5</v>
      </c>
      <c r="U89" s="111">
        <f t="shared" si="29"/>
        <v>2.6198023305165515E-5</v>
      </c>
      <c r="V89" s="111">
        <f t="shared" si="29"/>
        <v>2.5367483300789552E-5</v>
      </c>
      <c r="W89" s="111">
        <f t="shared" si="29"/>
        <v>2.4403025433997885E-5</v>
      </c>
      <c r="X89" s="116">
        <f t="shared" si="29"/>
        <v>2.3377616389193142E-5</v>
      </c>
      <c r="Y89" s="116">
        <f t="shared" si="29"/>
        <v>2.2308929733943571E-5</v>
      </c>
      <c r="Z89" s="116">
        <f t="shared" si="29"/>
        <v>2.1235274034066068E-5</v>
      </c>
      <c r="AA89" s="116">
        <f t="shared" si="29"/>
        <v>2.0184772506458184E-5</v>
      </c>
      <c r="AB89" s="116">
        <f t="shared" si="29"/>
        <v>1.9167107428984424E-5</v>
      </c>
      <c r="AC89" s="116">
        <f t="shared" si="29"/>
        <v>1.8191351548411996E-5</v>
      </c>
      <c r="AD89" s="116">
        <f t="shared" si="29"/>
        <v>1.7259535332667144E-5</v>
      </c>
      <c r="AE89" s="116">
        <f t="shared" si="29"/>
        <v>1.6371983988085195E-5</v>
      </c>
      <c r="AF89" s="116">
        <f t="shared" si="29"/>
        <v>1.552812676246699E-5</v>
      </c>
      <c r="AG89" s="116">
        <f t="shared" si="29"/>
        <v>1.4727272981232879E-5</v>
      </c>
      <c r="AH89" s="116">
        <f t="shared" si="29"/>
        <v>1.3940481218005882E-5</v>
      </c>
      <c r="AI89" s="116">
        <f t="shared" si="29"/>
        <v>1.318482327547394E-5</v>
      </c>
      <c r="AJ89" s="116">
        <f t="shared" si="29"/>
        <v>1.2464560940237212E-5</v>
      </c>
      <c r="AK89" s="116">
        <f t="shared" si="29"/>
        <v>1.1779406123321013E-5</v>
      </c>
      <c r="AL89" s="116">
        <f t="shared" si="29"/>
        <v>1.1129560906027203E-5</v>
      </c>
      <c r="AM89" s="116">
        <f t="shared" si="29"/>
        <v>1.0520555469505354E-5</v>
      </c>
    </row>
    <row r="90" spans="2:39" x14ac:dyDescent="0.25">
      <c r="B90" s="230"/>
      <c r="C90" s="58" t="s">
        <v>52</v>
      </c>
      <c r="D90" s="58" t="s">
        <v>130</v>
      </c>
      <c r="E90" s="59">
        <f>E43</f>
        <v>32001.800439999999</v>
      </c>
      <c r="F90" s="59">
        <f t="shared" ref="F90:AM90" si="30">F43</f>
        <v>35911.307350000003</v>
      </c>
      <c r="G90" s="59">
        <f t="shared" si="30"/>
        <v>36708.886160000002</v>
      </c>
      <c r="H90" s="59">
        <f t="shared" si="30"/>
        <v>37113.743849999999</v>
      </c>
      <c r="I90" s="59">
        <f t="shared" si="30"/>
        <v>37179.48702</v>
      </c>
      <c r="J90" s="59">
        <f t="shared" si="30"/>
        <v>37014.663189999999</v>
      </c>
      <c r="K90" s="59">
        <f t="shared" si="30"/>
        <v>36688.159140000003</v>
      </c>
      <c r="L90" s="59">
        <f t="shared" si="30"/>
        <v>36318.789250000002</v>
      </c>
      <c r="M90" s="59">
        <f t="shared" si="30"/>
        <v>36457.487150000001</v>
      </c>
      <c r="N90" s="59">
        <f t="shared" si="30"/>
        <v>36763.716890000003</v>
      </c>
      <c r="O90" s="59">
        <f t="shared" si="30"/>
        <v>36639.481160000003</v>
      </c>
      <c r="P90" s="59">
        <f t="shared" si="30"/>
        <v>36315.633170000001</v>
      </c>
      <c r="Q90" s="59">
        <f t="shared" si="30"/>
        <v>35898.810440000001</v>
      </c>
      <c r="R90" s="59">
        <f t="shared" si="30"/>
        <v>35416.42828</v>
      </c>
      <c r="S90" s="59">
        <f t="shared" si="30"/>
        <v>34895.548940000001</v>
      </c>
      <c r="T90" s="59">
        <f t="shared" si="30"/>
        <v>34355.081859999998</v>
      </c>
      <c r="U90" s="59">
        <f t="shared" si="30"/>
        <v>33819.292099999999</v>
      </c>
      <c r="V90" s="59">
        <f t="shared" si="30"/>
        <v>33292.62343</v>
      </c>
      <c r="W90" s="59">
        <f t="shared" si="30"/>
        <v>32779.233679999998</v>
      </c>
      <c r="X90" s="59">
        <f t="shared" si="30"/>
        <v>32279.545880000001</v>
      </c>
      <c r="Y90" s="59">
        <f t="shared" si="30"/>
        <v>31835.165280000001</v>
      </c>
      <c r="Z90" s="59">
        <f t="shared" si="30"/>
        <v>31429.478179999998</v>
      </c>
      <c r="AA90" s="59">
        <f t="shared" si="30"/>
        <v>31042.617269999999</v>
      </c>
      <c r="AB90" s="59">
        <f t="shared" si="30"/>
        <v>30670.763180000002</v>
      </c>
      <c r="AC90" s="59">
        <f t="shared" si="30"/>
        <v>30304.074820000002</v>
      </c>
      <c r="AD90" s="59">
        <f t="shared" si="30"/>
        <v>29948.167249999999</v>
      </c>
      <c r="AE90" s="59">
        <f t="shared" si="30"/>
        <v>29600.77953</v>
      </c>
      <c r="AF90" s="59">
        <f t="shared" si="30"/>
        <v>29260.05156</v>
      </c>
      <c r="AG90" s="59">
        <f t="shared" si="30"/>
        <v>28923.65005</v>
      </c>
      <c r="AH90" s="59">
        <f t="shared" si="30"/>
        <v>28519.4025</v>
      </c>
      <c r="AI90" s="59">
        <f t="shared" si="30"/>
        <v>28143.878560000001</v>
      </c>
      <c r="AJ90" s="59">
        <f t="shared" si="30"/>
        <v>27785.605250000001</v>
      </c>
      <c r="AK90" s="59">
        <f t="shared" si="30"/>
        <v>27441.713029999999</v>
      </c>
      <c r="AL90" s="59">
        <f t="shared" si="30"/>
        <v>27107.77678</v>
      </c>
      <c r="AM90" s="59">
        <f t="shared" si="30"/>
        <v>26765.189910000001</v>
      </c>
    </row>
    <row r="91" spans="2:39" x14ac:dyDescent="0.25">
      <c r="B91" s="230"/>
      <c r="C91" s="60" t="s">
        <v>45</v>
      </c>
      <c r="D91" s="3" t="s">
        <v>423</v>
      </c>
      <c r="E91" s="128">
        <f t="shared" ref="E91:AM98" si="31">E49/E$48</f>
        <v>7.5360400972489787E-5</v>
      </c>
      <c r="F91" s="128">
        <f t="shared" si="31"/>
        <v>4.2701461159697935E-3</v>
      </c>
      <c r="G91" s="128">
        <f t="shared" si="31"/>
        <v>9.7944144759090131E-3</v>
      </c>
      <c r="H91" s="128">
        <f t="shared" si="31"/>
        <v>1.2771048167914755E-2</v>
      </c>
      <c r="I91" s="128">
        <f t="shared" si="31"/>
        <v>1.5950631566836501E-2</v>
      </c>
      <c r="J91" s="127">
        <f t="shared" si="31"/>
        <v>1.9447703727707485E-2</v>
      </c>
      <c r="K91" s="71">
        <f t="shared" si="31"/>
        <v>2.3879847935592006E-2</v>
      </c>
      <c r="L91" s="71">
        <f t="shared" si="31"/>
        <v>2.9477021704406074E-2</v>
      </c>
      <c r="M91" s="71">
        <f t="shared" si="31"/>
        <v>3.7894789959488473E-2</v>
      </c>
      <c r="N91" s="128">
        <f t="shared" si="31"/>
        <v>4.8268223322182155E-2</v>
      </c>
      <c r="O91" s="127">
        <f t="shared" si="31"/>
        <v>5.8862133325034233E-2</v>
      </c>
      <c r="P91" s="71">
        <f t="shared" si="31"/>
        <v>7.1682829893503955E-2</v>
      </c>
      <c r="Q91" s="71">
        <f t="shared" si="31"/>
        <v>8.8520607815438246E-2</v>
      </c>
      <c r="R91" s="71">
        <f t="shared" si="31"/>
        <v>0.10971938828157857</v>
      </c>
      <c r="S91" s="128">
        <f t="shared" si="31"/>
        <v>0.13521673586831959</v>
      </c>
      <c r="T91" s="128">
        <f t="shared" si="31"/>
        <v>0.16434541640763245</v>
      </c>
      <c r="U91" s="128">
        <f t="shared" si="31"/>
        <v>0.19620438492265191</v>
      </c>
      <c r="V91" s="128">
        <f t="shared" si="31"/>
        <v>0.22950507724527491</v>
      </c>
      <c r="W91" s="128">
        <f t="shared" si="31"/>
        <v>0.26321595166711659</v>
      </c>
      <c r="X91" s="120">
        <f t="shared" si="31"/>
        <v>0.2965995733208871</v>
      </c>
      <c r="Y91" s="120">
        <f t="shared" si="31"/>
        <v>0.33008772492856364</v>
      </c>
      <c r="Z91" s="120">
        <f t="shared" si="31"/>
        <v>0.36304787959416257</v>
      </c>
      <c r="AA91" s="120">
        <f t="shared" si="31"/>
        <v>0.39494040767780919</v>
      </c>
      <c r="AB91" s="120">
        <f t="shared" si="31"/>
        <v>0.42564849604110827</v>
      </c>
      <c r="AC91" s="120">
        <f t="shared" si="31"/>
        <v>0.4549937654226</v>
      </c>
      <c r="AD91" s="120">
        <f t="shared" si="31"/>
        <v>0.48296635380918013</v>
      </c>
      <c r="AE91" s="120">
        <f t="shared" si="31"/>
        <v>0.50958329407212066</v>
      </c>
      <c r="AF91" s="120">
        <f t="shared" si="31"/>
        <v>0.53487588830482569</v>
      </c>
      <c r="AG91" s="120">
        <f t="shared" si="31"/>
        <v>0.55887226550094427</v>
      </c>
      <c r="AH91" s="120">
        <f t="shared" si="31"/>
        <v>0.58244369740915858</v>
      </c>
      <c r="AI91" s="120">
        <f t="shared" si="31"/>
        <v>0.6050801606358267</v>
      </c>
      <c r="AJ91" s="120">
        <f t="shared" si="31"/>
        <v>0.62665514979199533</v>
      </c>
      <c r="AK91" s="120">
        <f t="shared" si="31"/>
        <v>0.64717790761038363</v>
      </c>
      <c r="AL91" s="120">
        <f t="shared" si="31"/>
        <v>0.66664270429336181</v>
      </c>
      <c r="AM91" s="120">
        <f t="shared" si="31"/>
        <v>0.68488406552090852</v>
      </c>
    </row>
    <row r="92" spans="2:39" x14ac:dyDescent="0.25">
      <c r="B92" s="230"/>
      <c r="C92" s="62" t="s">
        <v>27</v>
      </c>
      <c r="D92" s="63" t="s">
        <v>443</v>
      </c>
      <c r="E92" s="111">
        <f t="shared" si="31"/>
        <v>2.2444105679199093E-7</v>
      </c>
      <c r="F92" s="111">
        <f t="shared" si="31"/>
        <v>3.9744345954589701E-5</v>
      </c>
      <c r="G92" s="111">
        <f t="shared" si="31"/>
        <v>7.6588372982657664E-5</v>
      </c>
      <c r="H92" s="111">
        <f t="shared" si="31"/>
        <v>1.0067726363315945E-4</v>
      </c>
      <c r="I92" s="111">
        <f t="shared" si="31"/>
        <v>1.3738859003762554E-4</v>
      </c>
      <c r="J92" s="110">
        <f t="shared" si="31"/>
        <v>1.8892030277582544E-4</v>
      </c>
      <c r="K92" s="68">
        <f t="shared" si="31"/>
        <v>3.114490957803886E-4</v>
      </c>
      <c r="L92" s="68">
        <f t="shared" si="31"/>
        <v>5.0942840639986366E-4</v>
      </c>
      <c r="M92" s="68">
        <f t="shared" si="31"/>
        <v>8.0668903753559993E-4</v>
      </c>
      <c r="N92" s="111">
        <f t="shared" si="31"/>
        <v>1.1924803354669722E-3</v>
      </c>
      <c r="O92" s="110">
        <f t="shared" si="31"/>
        <v>1.6292371526584139E-3</v>
      </c>
      <c r="P92" s="68">
        <f t="shared" si="31"/>
        <v>2.1899364658661134E-3</v>
      </c>
      <c r="Q92" s="68">
        <f t="shared" si="31"/>
        <v>2.9547776541868054E-3</v>
      </c>
      <c r="R92" s="68">
        <f t="shared" si="31"/>
        <v>3.9575389249274116E-3</v>
      </c>
      <c r="S92" s="111">
        <f t="shared" si="31"/>
        <v>5.2183651076273914E-3</v>
      </c>
      <c r="T92" s="111">
        <f t="shared" si="31"/>
        <v>6.7320670997813191E-3</v>
      </c>
      <c r="U92" s="111">
        <f t="shared" si="31"/>
        <v>8.4750316846519697E-3</v>
      </c>
      <c r="V92" s="111">
        <f t="shared" si="31"/>
        <v>1.0401914148584114E-2</v>
      </c>
      <c r="W92" s="111">
        <f t="shared" si="31"/>
        <v>1.2470275921959871E-2</v>
      </c>
      <c r="X92" s="116">
        <f t="shared" si="31"/>
        <v>1.4646061256794855E-2</v>
      </c>
      <c r="Y92" s="116">
        <f t="shared" si="31"/>
        <v>1.6956654631824167E-2</v>
      </c>
      <c r="Z92" s="116">
        <f t="shared" si="31"/>
        <v>1.9372160320734921E-2</v>
      </c>
      <c r="AA92" s="116">
        <f t="shared" si="31"/>
        <v>2.1863700276842025E-2</v>
      </c>
      <c r="AB92" s="116">
        <f t="shared" si="31"/>
        <v>2.4420879562215052E-2</v>
      </c>
      <c r="AC92" s="116">
        <f t="shared" si="31"/>
        <v>2.7029318940283688E-2</v>
      </c>
      <c r="AD92" s="116">
        <f t="shared" si="31"/>
        <v>2.9658706039849568E-2</v>
      </c>
      <c r="AE92" s="116">
        <f t="shared" si="31"/>
        <v>3.2304256312941773E-2</v>
      </c>
      <c r="AF92" s="116">
        <f t="shared" si="31"/>
        <v>3.496469218115076E-2</v>
      </c>
      <c r="AG92" s="116">
        <f t="shared" si="31"/>
        <v>3.7636435135889774E-2</v>
      </c>
      <c r="AH92" s="116">
        <f t="shared" si="31"/>
        <v>4.0844780917131764E-2</v>
      </c>
      <c r="AI92" s="116">
        <f t="shared" si="31"/>
        <v>4.4085743916029742E-2</v>
      </c>
      <c r="AJ92" s="116">
        <f t="shared" si="31"/>
        <v>4.7344575623379667E-2</v>
      </c>
      <c r="AK92" s="116">
        <f t="shared" si="31"/>
        <v>5.0616702954421944E-2</v>
      </c>
      <c r="AL92" s="116">
        <f t="shared" si="31"/>
        <v>5.3895135807592413E-2</v>
      </c>
      <c r="AM92" s="116">
        <f t="shared" si="31"/>
        <v>5.7150732094319742E-2</v>
      </c>
    </row>
    <row r="93" spans="2:39" x14ac:dyDescent="0.25">
      <c r="B93" s="230"/>
      <c r="C93" s="35" t="s">
        <v>28</v>
      </c>
      <c r="D93" s="54" t="s">
        <v>444</v>
      </c>
      <c r="E93" s="111">
        <f t="shared" si="31"/>
        <v>5.1448795922808401E-7</v>
      </c>
      <c r="F93" s="111">
        <f t="shared" si="31"/>
        <v>4.7647178876655404E-5</v>
      </c>
      <c r="G93" s="111">
        <f t="shared" si="31"/>
        <v>9.9367328202256739E-5</v>
      </c>
      <c r="H93" s="111">
        <f t="shared" si="31"/>
        <v>1.301518944443542E-4</v>
      </c>
      <c r="I93" s="111">
        <f t="shared" si="31"/>
        <v>1.7044265085182985E-4</v>
      </c>
      <c r="J93" s="110">
        <f t="shared" si="31"/>
        <v>2.221988203102707E-4</v>
      </c>
      <c r="K93" s="68">
        <f t="shared" si="31"/>
        <v>3.2495295238190027E-4</v>
      </c>
      <c r="L93" s="68">
        <f t="shared" si="31"/>
        <v>4.81668214201276E-4</v>
      </c>
      <c r="M93" s="68">
        <f t="shared" si="31"/>
        <v>7.1686839256007251E-4</v>
      </c>
      <c r="N93" s="111">
        <f t="shared" si="31"/>
        <v>1.0184225828423845E-3</v>
      </c>
      <c r="O93" s="110">
        <f t="shared" si="31"/>
        <v>1.3519245287260501E-3</v>
      </c>
      <c r="P93" s="68">
        <f t="shared" si="31"/>
        <v>1.7741892608174508E-3</v>
      </c>
      <c r="Q93" s="68">
        <f t="shared" si="31"/>
        <v>2.3449163021904301E-3</v>
      </c>
      <c r="R93" s="68">
        <f t="shared" si="31"/>
        <v>3.0860732323400738E-3</v>
      </c>
      <c r="S93" s="111">
        <f t="shared" si="31"/>
        <v>4.0084793891767903E-3</v>
      </c>
      <c r="T93" s="111">
        <f t="shared" si="31"/>
        <v>5.1034407781207361E-3</v>
      </c>
      <c r="U93" s="111">
        <f t="shared" si="31"/>
        <v>6.3496379216051065E-3</v>
      </c>
      <c r="V93" s="111">
        <f t="shared" si="31"/>
        <v>7.7099868966379022E-3</v>
      </c>
      <c r="W93" s="111">
        <f t="shared" si="31"/>
        <v>9.1509609019023302E-3</v>
      </c>
      <c r="X93" s="116">
        <f t="shared" si="31"/>
        <v>1.0646080257062153E-2</v>
      </c>
      <c r="Y93" s="116">
        <f t="shared" si="31"/>
        <v>1.2213220358063112E-2</v>
      </c>
      <c r="Z93" s="116">
        <f t="shared" si="31"/>
        <v>1.3828829120573075E-2</v>
      </c>
      <c r="AA93" s="116">
        <f t="shared" si="31"/>
        <v>1.5470577027154129E-2</v>
      </c>
      <c r="AB93" s="116">
        <f t="shared" si="31"/>
        <v>1.713029455499842E-2</v>
      </c>
      <c r="AC93" s="116">
        <f t="shared" si="31"/>
        <v>1.8796960220150351E-2</v>
      </c>
      <c r="AD93" s="116">
        <f t="shared" si="31"/>
        <v>2.0454275151011121E-2</v>
      </c>
      <c r="AE93" s="116">
        <f t="shared" si="31"/>
        <v>2.2098937841722441E-2</v>
      </c>
      <c r="AF93" s="116">
        <f t="shared" si="31"/>
        <v>2.3729528004290363E-2</v>
      </c>
      <c r="AG93" s="116">
        <f t="shared" si="31"/>
        <v>2.5343521600241458E-2</v>
      </c>
      <c r="AH93" s="116">
        <f t="shared" si="31"/>
        <v>2.718121732389029E-2</v>
      </c>
      <c r="AI93" s="116">
        <f t="shared" si="31"/>
        <v>2.9011641194347165E-2</v>
      </c>
      <c r="AJ93" s="116">
        <f t="shared" si="31"/>
        <v>3.0824349521772609E-2</v>
      </c>
      <c r="AK93" s="116">
        <f t="shared" si="31"/>
        <v>3.2616062817270849E-2</v>
      </c>
      <c r="AL93" s="116">
        <f t="shared" si="31"/>
        <v>3.438220222794678E-2</v>
      </c>
      <c r="AM93" s="116">
        <f t="shared" si="31"/>
        <v>3.6105433772354652E-2</v>
      </c>
    </row>
    <row r="94" spans="2:39" x14ac:dyDescent="0.25">
      <c r="B94" s="230"/>
      <c r="C94" s="35" t="s">
        <v>29</v>
      </c>
      <c r="D94" s="54" t="s">
        <v>445</v>
      </c>
      <c r="E94" s="111">
        <f t="shared" si="31"/>
        <v>2.1062929920576682E-6</v>
      </c>
      <c r="F94" s="111">
        <f t="shared" si="31"/>
        <v>1.2684477283448161E-4</v>
      </c>
      <c r="G94" s="111">
        <f t="shared" si="31"/>
        <v>2.870648813496988E-4</v>
      </c>
      <c r="H94" s="111">
        <f t="shared" si="31"/>
        <v>3.7459976245430708E-4</v>
      </c>
      <c r="I94" s="111">
        <f t="shared" si="31"/>
        <v>4.7087425871643991E-4</v>
      </c>
      <c r="J94" s="110">
        <f t="shared" si="31"/>
        <v>5.7942731451881137E-4</v>
      </c>
      <c r="K94" s="68">
        <f t="shared" si="31"/>
        <v>7.2886730451529537E-4</v>
      </c>
      <c r="L94" s="68">
        <f t="shared" si="31"/>
        <v>9.2457736046363387E-4</v>
      </c>
      <c r="M94" s="68">
        <f t="shared" si="31"/>
        <v>1.2185099435741006E-3</v>
      </c>
      <c r="N94" s="111">
        <f t="shared" si="31"/>
        <v>1.5831516335561683E-3</v>
      </c>
      <c r="O94" s="110">
        <f t="shared" si="31"/>
        <v>1.9605634991475408E-3</v>
      </c>
      <c r="P94" s="68">
        <f t="shared" si="31"/>
        <v>2.4201919558600941E-3</v>
      </c>
      <c r="Q94" s="68">
        <f t="shared" si="31"/>
        <v>3.0257788647773363E-3</v>
      </c>
      <c r="R94" s="68">
        <f t="shared" si="31"/>
        <v>3.7909628192467747E-3</v>
      </c>
      <c r="S94" s="111">
        <f t="shared" si="31"/>
        <v>4.7149260979644017E-3</v>
      </c>
      <c r="T94" s="111">
        <f t="shared" si="31"/>
        <v>5.7748927570158322E-3</v>
      </c>
      <c r="U94" s="111">
        <f t="shared" si="31"/>
        <v>6.9387128537796924E-3</v>
      </c>
      <c r="V94" s="111">
        <f t="shared" si="31"/>
        <v>8.1595744886602348E-3</v>
      </c>
      <c r="W94" s="111">
        <f t="shared" si="31"/>
        <v>9.399036588459992E-3</v>
      </c>
      <c r="X94" s="116">
        <f t="shared" si="31"/>
        <v>1.0628758424156616E-2</v>
      </c>
      <c r="Y94" s="116">
        <f t="shared" si="31"/>
        <v>1.1863037316701502E-2</v>
      </c>
      <c r="Z94" s="116">
        <f t="shared" si="31"/>
        <v>1.307687347674571E-2</v>
      </c>
      <c r="AA94" s="116">
        <f t="shared" si="31"/>
        <v>1.4248259083728992E-2</v>
      </c>
      <c r="AB94" s="116">
        <f t="shared" si="31"/>
        <v>1.5370740442070733E-2</v>
      </c>
      <c r="AC94" s="116">
        <f t="shared" si="31"/>
        <v>1.6435472894598669E-2</v>
      </c>
      <c r="AD94" s="116">
        <f t="shared" si="31"/>
        <v>1.7441637571327509E-2</v>
      </c>
      <c r="AE94" s="116">
        <f t="shared" si="31"/>
        <v>1.8388513918977861E-2</v>
      </c>
      <c r="AF94" s="116">
        <f t="shared" si="31"/>
        <v>1.9275783210547424E-2</v>
      </c>
      <c r="AG94" s="116">
        <f t="shared" si="31"/>
        <v>2.0103224872892556E-2</v>
      </c>
      <c r="AH94" s="116">
        <f t="shared" si="31"/>
        <v>2.0842892809553072E-2</v>
      </c>
      <c r="AI94" s="116">
        <f t="shared" si="31"/>
        <v>2.152884908198666E-2</v>
      </c>
      <c r="AJ94" s="116">
        <f t="shared" si="31"/>
        <v>2.2154807209031374E-2</v>
      </c>
      <c r="AK94" s="116">
        <f t="shared" si="31"/>
        <v>2.2720030590597573E-2</v>
      </c>
      <c r="AL94" s="116">
        <f t="shared" si="31"/>
        <v>2.3223439572678965E-2</v>
      </c>
      <c r="AM94" s="116">
        <f t="shared" si="31"/>
        <v>2.3658893115621461E-2</v>
      </c>
    </row>
    <row r="95" spans="2:39" x14ac:dyDescent="0.25">
      <c r="B95" s="230"/>
      <c r="C95" s="35" t="s">
        <v>30</v>
      </c>
      <c r="D95" s="54" t="s">
        <v>446</v>
      </c>
      <c r="E95" s="111">
        <f t="shared" si="31"/>
        <v>4.9480620659729355E-5</v>
      </c>
      <c r="F95" s="111">
        <f t="shared" si="31"/>
        <v>2.7969778410197586E-3</v>
      </c>
      <c r="G95" s="111">
        <f t="shared" si="31"/>
        <v>6.4215233410394494E-3</v>
      </c>
      <c r="H95" s="111">
        <f t="shared" si="31"/>
        <v>8.3733890457402625E-3</v>
      </c>
      <c r="I95" s="111">
        <f t="shared" si="31"/>
        <v>1.0452707569390235E-2</v>
      </c>
      <c r="J95" s="110">
        <f t="shared" si="31"/>
        <v>1.2733875285601376E-2</v>
      </c>
      <c r="K95" s="68">
        <f t="shared" si="31"/>
        <v>1.5594757810462332E-2</v>
      </c>
      <c r="L95" s="68">
        <f t="shared" si="31"/>
        <v>1.918411042020075E-2</v>
      </c>
      <c r="M95" s="68">
        <f t="shared" si="31"/>
        <v>2.4582385703453509E-2</v>
      </c>
      <c r="N95" s="111">
        <f t="shared" si="31"/>
        <v>3.1223988244568377E-2</v>
      </c>
      <c r="O95" s="110">
        <f t="shared" si="31"/>
        <v>3.7982928249522187E-2</v>
      </c>
      <c r="P95" s="68">
        <f t="shared" si="31"/>
        <v>4.6144419488858938E-2</v>
      </c>
      <c r="Q95" s="68">
        <f t="shared" si="31"/>
        <v>5.6846916958733631E-2</v>
      </c>
      <c r="R95" s="68">
        <f t="shared" si="31"/>
        <v>7.0298742247985949E-2</v>
      </c>
      <c r="S95" s="111">
        <f t="shared" si="31"/>
        <v>8.6447168840554145E-2</v>
      </c>
      <c r="T95" s="111">
        <f t="shared" si="31"/>
        <v>0.10485378220548359</v>
      </c>
      <c r="U95" s="111">
        <f t="shared" si="31"/>
        <v>0.12493590890390044</v>
      </c>
      <c r="V95" s="111">
        <f t="shared" si="31"/>
        <v>0.14586684264190472</v>
      </c>
      <c r="W95" s="111">
        <f t="shared" si="31"/>
        <v>0.1669881881753619</v>
      </c>
      <c r="X95" s="116">
        <f t="shared" si="31"/>
        <v>0.18783131276195017</v>
      </c>
      <c r="Y95" s="116">
        <f t="shared" si="31"/>
        <v>0.20866605951542902</v>
      </c>
      <c r="Z95" s="116">
        <f t="shared" si="31"/>
        <v>0.22909082179995649</v>
      </c>
      <c r="AA95" s="116">
        <f t="shared" si="31"/>
        <v>0.24876488160883736</v>
      </c>
      <c r="AB95" s="116">
        <f t="shared" si="31"/>
        <v>0.26761676466376078</v>
      </c>
      <c r="AC95" s="116">
        <f t="shared" si="31"/>
        <v>0.28553656946785483</v>
      </c>
      <c r="AD95" s="116">
        <f t="shared" si="31"/>
        <v>0.30253525734533859</v>
      </c>
      <c r="AE95" s="116">
        <f t="shared" si="31"/>
        <v>0.3186268434397545</v>
      </c>
      <c r="AF95" s="116">
        <f t="shared" si="31"/>
        <v>0.33383278351270274</v>
      </c>
      <c r="AG95" s="116">
        <f t="shared" si="31"/>
        <v>0.34817379108761548</v>
      </c>
      <c r="AH95" s="116">
        <f t="shared" si="31"/>
        <v>0.36192265598832235</v>
      </c>
      <c r="AI95" s="116">
        <f t="shared" si="31"/>
        <v>0.37503382582816264</v>
      </c>
      <c r="AJ95" s="116">
        <f t="shared" si="31"/>
        <v>0.38743225109339663</v>
      </c>
      <c r="AK95" s="116">
        <f t="shared" si="31"/>
        <v>0.39912688315143424</v>
      </c>
      <c r="AL95" s="116">
        <f t="shared" si="31"/>
        <v>0.41011818159143038</v>
      </c>
      <c r="AM95" s="116">
        <f t="shared" si="31"/>
        <v>0.42031371112359872</v>
      </c>
    </row>
    <row r="96" spans="2:39" x14ac:dyDescent="0.25">
      <c r="B96" s="230"/>
      <c r="C96" s="35" t="s">
        <v>31</v>
      </c>
      <c r="D96" s="54" t="s">
        <v>447</v>
      </c>
      <c r="E96" s="111">
        <f t="shared" si="31"/>
        <v>1.950220135801834E-5</v>
      </c>
      <c r="F96" s="111">
        <f t="shared" si="31"/>
        <v>1.0877684571402829E-3</v>
      </c>
      <c r="G96" s="111">
        <f t="shared" si="31"/>
        <v>2.5053187146335358E-3</v>
      </c>
      <c r="H96" s="111">
        <f t="shared" si="31"/>
        <v>3.2663943925991183E-3</v>
      </c>
      <c r="I96" s="111">
        <f t="shared" si="31"/>
        <v>4.0711765285673914E-3</v>
      </c>
      <c r="J96" s="110">
        <f t="shared" si="31"/>
        <v>4.9479705612850127E-3</v>
      </c>
      <c r="K96" s="68">
        <f t="shared" si="31"/>
        <v>6.0161575852780711E-3</v>
      </c>
      <c r="L96" s="68">
        <f t="shared" si="31"/>
        <v>7.3324978254884973E-3</v>
      </c>
      <c r="M96" s="68">
        <f t="shared" si="31"/>
        <v>9.3125319883710089E-3</v>
      </c>
      <c r="N96" s="111">
        <f t="shared" si="31"/>
        <v>1.1737912012301973E-2</v>
      </c>
      <c r="O96" s="110">
        <f t="shared" si="31"/>
        <v>1.4182727485434728E-2</v>
      </c>
      <c r="P96" s="68">
        <f t="shared" si="31"/>
        <v>1.7117417126944725E-2</v>
      </c>
      <c r="Q96" s="68">
        <f t="shared" si="31"/>
        <v>2.0950479046012646E-2</v>
      </c>
      <c r="R96" s="68">
        <f t="shared" si="31"/>
        <v>2.5746807289286598E-2</v>
      </c>
      <c r="S96" s="111">
        <f t="shared" si="31"/>
        <v>3.1475304082148645E-2</v>
      </c>
      <c r="T96" s="111">
        <f t="shared" si="31"/>
        <v>3.79657584957942E-2</v>
      </c>
      <c r="U96" s="111">
        <f t="shared" si="31"/>
        <v>4.5000663393542764E-2</v>
      </c>
      <c r="V96" s="111">
        <f t="shared" si="31"/>
        <v>5.2277546305698266E-2</v>
      </c>
      <c r="W96" s="111">
        <f t="shared" si="31"/>
        <v>5.9559062852380884E-2</v>
      </c>
      <c r="X96" s="116">
        <f t="shared" si="31"/>
        <v>6.667860731379037E-2</v>
      </c>
      <c r="Y96" s="116">
        <f t="shared" si="31"/>
        <v>7.3729629746090639E-2</v>
      </c>
      <c r="Z96" s="116">
        <f t="shared" si="31"/>
        <v>8.0570174900689365E-2</v>
      </c>
      <c r="AA96" s="116">
        <f t="shared" si="31"/>
        <v>8.7081974418840621E-2</v>
      </c>
      <c r="AB96" s="116">
        <f t="shared" si="31"/>
        <v>9.3243446836199645E-2</v>
      </c>
      <c r="AC96" s="116">
        <f t="shared" si="31"/>
        <v>9.9020037827374924E-2</v>
      </c>
      <c r="AD96" s="116">
        <f t="shared" si="31"/>
        <v>0.10443106627835465</v>
      </c>
      <c r="AE96" s="116">
        <f t="shared" si="31"/>
        <v>0.10948539418414431</v>
      </c>
      <c r="AF96" s="116">
        <f t="shared" si="31"/>
        <v>0.11419324928899749</v>
      </c>
      <c r="AG96" s="116">
        <f t="shared" si="31"/>
        <v>0.11856557706484905</v>
      </c>
      <c r="AH96" s="116">
        <f t="shared" si="31"/>
        <v>0.12250252732328455</v>
      </c>
      <c r="AI96" s="116">
        <f t="shared" si="31"/>
        <v>0.12618955882106392</v>
      </c>
      <c r="AJ96" s="116">
        <f t="shared" si="31"/>
        <v>0.12960612599936078</v>
      </c>
      <c r="AK96" s="116">
        <f t="shared" si="31"/>
        <v>0.13275927209854654</v>
      </c>
      <c r="AL96" s="116">
        <f t="shared" si="31"/>
        <v>0.13565376094261905</v>
      </c>
      <c r="AM96" s="116">
        <f t="shared" si="31"/>
        <v>0.13826811696252223</v>
      </c>
    </row>
    <row r="97" spans="2:40" x14ac:dyDescent="0.25">
      <c r="B97" s="230"/>
      <c r="C97" s="35" t="s">
        <v>32</v>
      </c>
      <c r="D97" s="54" t="s">
        <v>448</v>
      </c>
      <c r="E97" s="111">
        <f t="shared" si="31"/>
        <v>2.6587632861321598E-7</v>
      </c>
      <c r="F97" s="111">
        <f t="shared" si="31"/>
        <v>4.6631292218883803E-6</v>
      </c>
      <c r="G97" s="111">
        <f t="shared" si="31"/>
        <v>1.2606315862676668E-5</v>
      </c>
      <c r="H97" s="111">
        <f t="shared" si="31"/>
        <v>1.5408423470056366E-5</v>
      </c>
      <c r="I97" s="111">
        <f t="shared" si="31"/>
        <v>1.8438328286542345E-5</v>
      </c>
      <c r="J97" s="110">
        <f t="shared" si="31"/>
        <v>2.1798259523754968E-5</v>
      </c>
      <c r="K97" s="68">
        <f t="shared" si="31"/>
        <v>2.6049542596374594E-5</v>
      </c>
      <c r="L97" s="68">
        <f t="shared" si="31"/>
        <v>3.1420833226151664E-5</v>
      </c>
      <c r="M97" s="68">
        <f t="shared" si="31"/>
        <v>3.9533295837697359E-5</v>
      </c>
      <c r="N97" s="111">
        <f t="shared" si="31"/>
        <v>4.9550171829755914E-5</v>
      </c>
      <c r="O97" s="110">
        <f t="shared" si="31"/>
        <v>5.9787268041106721E-5</v>
      </c>
      <c r="P97" s="68">
        <f t="shared" si="31"/>
        <v>7.2195512817490006E-5</v>
      </c>
      <c r="Q97" s="68">
        <f t="shared" si="31"/>
        <v>8.8513781043269581E-5</v>
      </c>
      <c r="R97" s="68">
        <f t="shared" si="31"/>
        <v>1.0906559352799876E-4</v>
      </c>
      <c r="S97" s="111">
        <f t="shared" si="31"/>
        <v>1.337765843439401E-4</v>
      </c>
      <c r="T97" s="111">
        <f t="shared" si="31"/>
        <v>1.6198311163040263E-4</v>
      </c>
      <c r="U97" s="111">
        <f t="shared" si="31"/>
        <v>1.9279834925935664E-4</v>
      </c>
      <c r="V97" s="111">
        <f t="shared" si="31"/>
        <v>2.2496162832428372E-4</v>
      </c>
      <c r="W97" s="111">
        <f t="shared" si="31"/>
        <v>2.574676445578209E-4</v>
      </c>
      <c r="X97" s="116">
        <f t="shared" si="31"/>
        <v>2.8960052987585586E-4</v>
      </c>
      <c r="Y97" s="116">
        <f t="shared" si="31"/>
        <v>3.2177746055037912E-4</v>
      </c>
      <c r="Z97" s="116">
        <f t="shared" si="31"/>
        <v>3.5338629761494822E-4</v>
      </c>
      <c r="AA97" s="116">
        <f t="shared" si="31"/>
        <v>3.8390726163148678E-4</v>
      </c>
      <c r="AB97" s="116">
        <f t="shared" si="31"/>
        <v>4.1323170230940433E-4</v>
      </c>
      <c r="AC97" s="116">
        <f t="shared" si="31"/>
        <v>4.4119189579007245E-4</v>
      </c>
      <c r="AD97" s="116">
        <f t="shared" si="31"/>
        <v>4.677919774873703E-4</v>
      </c>
      <c r="AE97" s="116">
        <f t="shared" si="31"/>
        <v>4.930525865107175E-4</v>
      </c>
      <c r="AF97" s="116">
        <f t="shared" si="31"/>
        <v>5.1700710981248863E-4</v>
      </c>
      <c r="AG97" s="116">
        <f t="shared" si="31"/>
        <v>5.3968652756535484E-4</v>
      </c>
      <c r="AH97" s="116">
        <f t="shared" si="31"/>
        <v>5.6179618875255182E-4</v>
      </c>
      <c r="AI97" s="116">
        <f t="shared" si="31"/>
        <v>5.8298794620722659E-4</v>
      </c>
      <c r="AJ97" s="116">
        <f t="shared" si="31"/>
        <v>6.031447391271061E-4</v>
      </c>
      <c r="AK97" s="116">
        <f t="shared" si="31"/>
        <v>6.2227890479474193E-4</v>
      </c>
      <c r="AL97" s="116">
        <f t="shared" si="31"/>
        <v>6.4038872205882157E-4</v>
      </c>
      <c r="AM97" s="116">
        <f t="shared" si="31"/>
        <v>6.5732282637108322E-4</v>
      </c>
    </row>
    <row r="98" spans="2:40" x14ac:dyDescent="0.25">
      <c r="B98" s="230"/>
      <c r="C98" s="35" t="s">
        <v>33</v>
      </c>
      <c r="D98" s="54" t="s">
        <v>449</v>
      </c>
      <c r="E98" s="111">
        <f t="shared" si="31"/>
        <v>3.2664806093016185E-6</v>
      </c>
      <c r="F98" s="111">
        <f t="shared" si="31"/>
        <v>1.6650039219471635E-4</v>
      </c>
      <c r="G98" s="111">
        <f t="shared" si="31"/>
        <v>3.9194552096428955E-4</v>
      </c>
      <c r="H98" s="111">
        <f t="shared" si="31"/>
        <v>5.1042738578366308E-4</v>
      </c>
      <c r="I98" s="111">
        <f t="shared" si="31"/>
        <v>6.2960364077664459E-4</v>
      </c>
      <c r="J98" s="110">
        <f t="shared" si="31"/>
        <v>7.5351318332501081E-4</v>
      </c>
      <c r="K98" s="68">
        <f t="shared" si="31"/>
        <v>8.7761364305944279E-4</v>
      </c>
      <c r="L98" s="68">
        <f t="shared" si="31"/>
        <v>1.013318653787447E-3</v>
      </c>
      <c r="M98" s="68">
        <f t="shared" si="31"/>
        <v>1.2182715971964624E-3</v>
      </c>
      <c r="N98" s="111">
        <f t="shared" si="31"/>
        <v>1.4627183462134423E-3</v>
      </c>
      <c r="O98" s="110">
        <f t="shared" ref="O98:AM106" si="32">O56/O$48</f>
        <v>1.6949651278850147E-3</v>
      </c>
      <c r="P98" s="68">
        <f t="shared" si="32"/>
        <v>1.9644800991363244E-3</v>
      </c>
      <c r="Q98" s="68">
        <f t="shared" si="32"/>
        <v>2.3092252000537321E-3</v>
      </c>
      <c r="R98" s="68">
        <f t="shared" si="32"/>
        <v>2.7301981723155287E-3</v>
      </c>
      <c r="S98" s="111">
        <f t="shared" si="32"/>
        <v>3.2187157764195927E-3</v>
      </c>
      <c r="T98" s="111">
        <f t="shared" si="32"/>
        <v>3.753491987749844E-3</v>
      </c>
      <c r="U98" s="111">
        <f t="shared" si="32"/>
        <v>4.3116318126599704E-3</v>
      </c>
      <c r="V98" s="111">
        <f t="shared" si="32"/>
        <v>4.8642511498229509E-3</v>
      </c>
      <c r="W98" s="111">
        <f t="shared" si="32"/>
        <v>5.390959588168139E-3</v>
      </c>
      <c r="X98" s="116">
        <f t="shared" si="32"/>
        <v>5.8791527769782859E-3</v>
      </c>
      <c r="Y98" s="116">
        <f t="shared" si="32"/>
        <v>6.3373458069258684E-3</v>
      </c>
      <c r="Z98" s="116">
        <f t="shared" si="32"/>
        <v>6.7556335547152889E-3</v>
      </c>
      <c r="AA98" s="116">
        <f t="shared" si="32"/>
        <v>7.1271080197807049E-3</v>
      </c>
      <c r="AB98" s="116">
        <f t="shared" si="32"/>
        <v>7.4531383962777543E-3</v>
      </c>
      <c r="AC98" s="116">
        <f t="shared" si="32"/>
        <v>7.7342142663044018E-3</v>
      </c>
      <c r="AD98" s="116">
        <f t="shared" si="32"/>
        <v>7.9776195787072748E-3</v>
      </c>
      <c r="AE98" s="116">
        <f t="shared" si="32"/>
        <v>8.1862957275976849E-3</v>
      </c>
      <c r="AF98" s="116">
        <f t="shared" si="32"/>
        <v>8.362844959388719E-3</v>
      </c>
      <c r="AG98" s="116">
        <f t="shared" si="32"/>
        <v>8.5100295078421474E-3</v>
      </c>
      <c r="AH98" s="116">
        <f t="shared" si="32"/>
        <v>8.5878271327739075E-3</v>
      </c>
      <c r="AI98" s="116">
        <f t="shared" si="32"/>
        <v>8.6475537400130115E-3</v>
      </c>
      <c r="AJ98" s="116">
        <f t="shared" si="32"/>
        <v>8.6898953226869149E-3</v>
      </c>
      <c r="AK98" s="116">
        <f t="shared" si="32"/>
        <v>8.7166770033087846E-3</v>
      </c>
      <c r="AL98" s="116">
        <f t="shared" si="32"/>
        <v>8.7295953932523124E-3</v>
      </c>
      <c r="AM98" s="116">
        <f t="shared" si="32"/>
        <v>8.7298558383365494E-3</v>
      </c>
    </row>
    <row r="99" spans="2:40" x14ac:dyDescent="0.25">
      <c r="B99" s="230"/>
      <c r="C99" s="64" t="s">
        <v>46</v>
      </c>
      <c r="D99" s="52" t="s">
        <v>424</v>
      </c>
      <c r="E99" s="128">
        <f t="shared" ref="E99:AM106" si="33">E57/E$48</f>
        <v>0.9999246395525615</v>
      </c>
      <c r="F99" s="128">
        <f t="shared" si="33"/>
        <v>0.99572985387289159</v>
      </c>
      <c r="G99" s="128">
        <f t="shared" si="33"/>
        <v>0.99020558541512549</v>
      </c>
      <c r="H99" s="128">
        <f t="shared" si="33"/>
        <v>0.98722895184286297</v>
      </c>
      <c r="I99" s="128">
        <f t="shared" si="33"/>
        <v>0.98404936841433588</v>
      </c>
      <c r="J99" s="127">
        <f t="shared" si="33"/>
        <v>0.98055229636144636</v>
      </c>
      <c r="K99" s="71">
        <f t="shared" si="33"/>
        <v>0.97612015182727419</v>
      </c>
      <c r="L99" s="71">
        <f t="shared" si="33"/>
        <v>0.97052297826806</v>
      </c>
      <c r="M99" s="71">
        <f t="shared" si="33"/>
        <v>0.96210520998565296</v>
      </c>
      <c r="N99" s="128">
        <f t="shared" si="33"/>
        <v>0.95173177659621566</v>
      </c>
      <c r="O99" s="127">
        <f t="shared" si="33"/>
        <v>0.94113786681143063</v>
      </c>
      <c r="P99" s="71">
        <f t="shared" si="33"/>
        <v>0.9283171699688143</v>
      </c>
      <c r="Q99" s="71">
        <f t="shared" si="33"/>
        <v>0.91147939218456175</v>
      </c>
      <c r="R99" s="71">
        <f t="shared" si="33"/>
        <v>0.89028061160547955</v>
      </c>
      <c r="S99" s="128">
        <f t="shared" si="33"/>
        <v>0.86478326424630814</v>
      </c>
      <c r="T99" s="128">
        <f t="shared" si="32"/>
        <v>0.83565458370879864</v>
      </c>
      <c r="U99" s="128">
        <f t="shared" si="32"/>
        <v>0.80379561492950358</v>
      </c>
      <c r="V99" s="128">
        <f t="shared" si="32"/>
        <v>0.77049492251443163</v>
      </c>
      <c r="W99" s="128">
        <f t="shared" si="32"/>
        <v>0.73678404827186916</v>
      </c>
      <c r="X99" s="120">
        <f t="shared" si="33"/>
        <v>0.70340042652421597</v>
      </c>
      <c r="Y99" s="120">
        <f t="shared" si="32"/>
        <v>0.66991227507143636</v>
      </c>
      <c r="Z99" s="120">
        <f t="shared" si="32"/>
        <v>0.63695212040583737</v>
      </c>
      <c r="AA99" s="120">
        <f t="shared" si="32"/>
        <v>0.60505959232219086</v>
      </c>
      <c r="AB99" s="120">
        <f t="shared" si="32"/>
        <v>0.57435150395889167</v>
      </c>
      <c r="AC99" s="120">
        <f t="shared" si="33"/>
        <v>0.54500623457739994</v>
      </c>
      <c r="AD99" s="120">
        <f t="shared" si="32"/>
        <v>0.5170336458569097</v>
      </c>
      <c r="AE99" s="120">
        <f t="shared" si="32"/>
        <v>0.49041670592787934</v>
      </c>
      <c r="AF99" s="120">
        <f t="shared" si="32"/>
        <v>0.46512411169517437</v>
      </c>
      <c r="AG99" s="120">
        <f t="shared" si="32"/>
        <v>0.44112773449905568</v>
      </c>
      <c r="AH99" s="120">
        <f t="shared" si="33"/>
        <v>0.41755630259084148</v>
      </c>
      <c r="AI99" s="120">
        <f t="shared" si="32"/>
        <v>0.39491983936417324</v>
      </c>
      <c r="AJ99" s="120">
        <f t="shared" si="32"/>
        <v>0.37334485056790329</v>
      </c>
      <c r="AK99" s="120">
        <f t="shared" si="32"/>
        <v>0.35282209249893903</v>
      </c>
      <c r="AL99" s="120">
        <f t="shared" si="32"/>
        <v>0.3333572958173075</v>
      </c>
      <c r="AM99" s="120">
        <f t="shared" si="33"/>
        <v>0.31511593429228163</v>
      </c>
      <c r="AN99" s="232"/>
    </row>
    <row r="100" spans="2:40" x14ac:dyDescent="0.25">
      <c r="B100" s="230"/>
      <c r="C100" s="35" t="s">
        <v>27</v>
      </c>
      <c r="D100" s="54" t="s">
        <v>450</v>
      </c>
      <c r="E100" s="130">
        <f t="shared" si="33"/>
        <v>5.806258421252752E-4</v>
      </c>
      <c r="F100" s="130">
        <f t="shared" si="33"/>
        <v>7.0512225086119011E-3</v>
      </c>
      <c r="G100" s="130">
        <f t="shared" si="33"/>
        <v>7.9879332574115877E-3</v>
      </c>
      <c r="H100" s="130">
        <f t="shared" si="33"/>
        <v>8.6535931971196169E-3</v>
      </c>
      <c r="I100" s="130">
        <f t="shared" si="33"/>
        <v>9.7966320784379675E-3</v>
      </c>
      <c r="J100" s="129">
        <f t="shared" si="33"/>
        <v>1.0731464951093075E-2</v>
      </c>
      <c r="K100" s="72">
        <f t="shared" si="33"/>
        <v>1.2286166378093179E-2</v>
      </c>
      <c r="L100" s="72">
        <f t="shared" si="33"/>
        <v>1.4133017997013764E-2</v>
      </c>
      <c r="M100" s="72">
        <f t="shared" si="33"/>
        <v>1.6362186904041738E-2</v>
      </c>
      <c r="N100" s="130">
        <f t="shared" si="33"/>
        <v>1.8677498734813044E-2</v>
      </c>
      <c r="O100" s="129">
        <f t="shared" si="33"/>
        <v>2.0533485548407254E-2</v>
      </c>
      <c r="P100" s="72">
        <f t="shared" si="33"/>
        <v>2.1999602145447047E-2</v>
      </c>
      <c r="Q100" s="72">
        <f t="shared" si="33"/>
        <v>2.3030214914274465E-2</v>
      </c>
      <c r="R100" s="72">
        <f t="shared" si="33"/>
        <v>2.3632574780914638E-2</v>
      </c>
      <c r="S100" s="130">
        <f t="shared" si="33"/>
        <v>2.3811649351861437E-2</v>
      </c>
      <c r="T100" s="130">
        <f t="shared" si="32"/>
        <v>2.3598173501776079E-2</v>
      </c>
      <c r="U100" s="130">
        <f t="shared" si="32"/>
        <v>2.3074944507782885E-2</v>
      </c>
      <c r="V100" s="130">
        <f t="shared" si="32"/>
        <v>2.2344333950254876E-2</v>
      </c>
      <c r="W100" s="130">
        <f t="shared" si="32"/>
        <v>2.1495338474917029E-2</v>
      </c>
      <c r="X100" s="121">
        <f t="shared" si="33"/>
        <v>2.0592399213764895E-2</v>
      </c>
      <c r="Y100" s="121">
        <f t="shared" si="32"/>
        <v>1.9651196260414075E-2</v>
      </c>
      <c r="Z100" s="121">
        <f t="shared" si="32"/>
        <v>1.8705535377743266E-2</v>
      </c>
      <c r="AA100" s="121">
        <f t="shared" si="32"/>
        <v>1.7780225536375982E-2</v>
      </c>
      <c r="AB100" s="121">
        <f t="shared" si="32"/>
        <v>1.6883816296350797E-2</v>
      </c>
      <c r="AC100" s="121">
        <f t="shared" si="33"/>
        <v>1.6024310822368805E-2</v>
      </c>
      <c r="AD100" s="121">
        <f t="shared" si="32"/>
        <v>1.5203503857151726E-2</v>
      </c>
      <c r="AE100" s="121">
        <f t="shared" si="32"/>
        <v>1.4421685113642006E-2</v>
      </c>
      <c r="AF100" s="121">
        <f t="shared" si="32"/>
        <v>1.3678353555847254E-2</v>
      </c>
      <c r="AG100" s="121">
        <f t="shared" si="32"/>
        <v>1.2972901696409508E-2</v>
      </c>
      <c r="AH100" s="121">
        <f t="shared" si="33"/>
        <v>1.2279836269360833E-2</v>
      </c>
      <c r="AI100" s="121">
        <f t="shared" si="32"/>
        <v>1.1614195577313491E-2</v>
      </c>
      <c r="AJ100" s="121">
        <f t="shared" si="32"/>
        <v>1.0979733867773135E-2</v>
      </c>
      <c r="AK100" s="121">
        <f t="shared" si="32"/>
        <v>1.0376197443968388E-2</v>
      </c>
      <c r="AL100" s="121">
        <f t="shared" si="32"/>
        <v>9.8037643609370159E-3</v>
      </c>
      <c r="AM100" s="121">
        <f t="shared" si="33"/>
        <v>9.2673060394511501E-3</v>
      </c>
    </row>
    <row r="101" spans="2:40" x14ac:dyDescent="0.25">
      <c r="B101" s="230"/>
      <c r="C101" s="35" t="s">
        <v>28</v>
      </c>
      <c r="D101" s="54" t="s">
        <v>451</v>
      </c>
      <c r="E101" s="130">
        <f t="shared" si="33"/>
        <v>5.070879699542305E-2</v>
      </c>
      <c r="F101" s="130">
        <f t="shared" si="33"/>
        <v>0.11280576149784755</v>
      </c>
      <c r="G101" s="130">
        <f t="shared" si="33"/>
        <v>0.12421301878040965</v>
      </c>
      <c r="H101" s="130">
        <f t="shared" si="33"/>
        <v>0.12759451671432498</v>
      </c>
      <c r="I101" s="130">
        <f t="shared" si="33"/>
        <v>0.13054650529172362</v>
      </c>
      <c r="J101" s="129">
        <f t="shared" si="33"/>
        <v>0.13277122881744097</v>
      </c>
      <c r="K101" s="72">
        <f t="shared" si="33"/>
        <v>0.13512370599142576</v>
      </c>
      <c r="L101" s="72">
        <f t="shared" si="33"/>
        <v>0.13735155548997274</v>
      </c>
      <c r="M101" s="72">
        <f t="shared" si="33"/>
        <v>0.13968925052477182</v>
      </c>
      <c r="N101" s="130">
        <f t="shared" si="33"/>
        <v>0.14166142516500049</v>
      </c>
      <c r="O101" s="129">
        <f t="shared" si="33"/>
        <v>0.14275461047494811</v>
      </c>
      <c r="P101" s="72">
        <f t="shared" si="33"/>
        <v>0.14295055164530399</v>
      </c>
      <c r="Q101" s="72">
        <f t="shared" si="33"/>
        <v>0.14204047898808317</v>
      </c>
      <c r="R101" s="72">
        <f t="shared" si="33"/>
        <v>0.13999595712478774</v>
      </c>
      <c r="S101" s="130">
        <f t="shared" si="33"/>
        <v>0.13687500326223553</v>
      </c>
      <c r="T101" s="130">
        <f t="shared" si="32"/>
        <v>0.13284891026017193</v>
      </c>
      <c r="U101" s="130">
        <f t="shared" si="32"/>
        <v>0.12814308437283936</v>
      </c>
      <c r="V101" s="130">
        <f t="shared" si="32"/>
        <v>0.12304080513849731</v>
      </c>
      <c r="W101" s="130">
        <f t="shared" si="32"/>
        <v>0.11777096086768556</v>
      </c>
      <c r="X101" s="121">
        <f t="shared" si="33"/>
        <v>0.11249517432802249</v>
      </c>
      <c r="Y101" s="121">
        <f t="shared" si="32"/>
        <v>0.10717178079623275</v>
      </c>
      <c r="Z101" s="121">
        <f t="shared" si="32"/>
        <v>0.10191587794283896</v>
      </c>
      <c r="AA101" s="121">
        <f t="shared" si="32"/>
        <v>9.6821702366721857E-2</v>
      </c>
      <c r="AB101" s="121">
        <f t="shared" si="32"/>
        <v>9.1912323552426178E-2</v>
      </c>
      <c r="AC101" s="121">
        <f t="shared" si="33"/>
        <v>8.7218574290729642E-2</v>
      </c>
      <c r="AD101" s="121">
        <f t="shared" si="32"/>
        <v>8.2743232375931119E-2</v>
      </c>
      <c r="AE101" s="121">
        <f t="shared" si="32"/>
        <v>7.8484197135601591E-2</v>
      </c>
      <c r="AF101" s="121">
        <f t="shared" si="32"/>
        <v>7.4436778333551237E-2</v>
      </c>
      <c r="AG101" s="121">
        <f t="shared" si="32"/>
        <v>7.0596636332902946E-2</v>
      </c>
      <c r="AH101" s="121">
        <f t="shared" si="33"/>
        <v>6.6824422987122531E-2</v>
      </c>
      <c r="AI101" s="121">
        <f t="shared" si="32"/>
        <v>6.320179474225246E-2</v>
      </c>
      <c r="AJ101" s="121">
        <f t="shared" si="32"/>
        <v>5.9749018747756094E-2</v>
      </c>
      <c r="AK101" s="121">
        <f t="shared" si="32"/>
        <v>5.6464627164713121E-2</v>
      </c>
      <c r="AL101" s="121">
        <f t="shared" si="32"/>
        <v>5.3349542743283573E-2</v>
      </c>
      <c r="AM101" s="121">
        <f t="shared" si="33"/>
        <v>5.0430250356478787E-2</v>
      </c>
    </row>
    <row r="102" spans="2:40" x14ac:dyDescent="0.25">
      <c r="B102" s="230"/>
      <c r="C102" s="35" t="s">
        <v>29</v>
      </c>
      <c r="D102" s="54" t="s">
        <v>452</v>
      </c>
      <c r="E102" s="130">
        <f t="shared" si="33"/>
        <v>0.1200243797595533</v>
      </c>
      <c r="F102" s="130">
        <f t="shared" si="33"/>
        <v>0.19495697399053336</v>
      </c>
      <c r="G102" s="130">
        <f t="shared" si="33"/>
        <v>0.20885364700479922</v>
      </c>
      <c r="H102" s="130">
        <f t="shared" si="33"/>
        <v>0.21277334474570936</v>
      </c>
      <c r="I102" s="130">
        <f t="shared" si="33"/>
        <v>0.21588533864607365</v>
      </c>
      <c r="J102" s="129">
        <f t="shared" si="33"/>
        <v>0.21823115405740912</v>
      </c>
      <c r="K102" s="72">
        <f t="shared" si="33"/>
        <v>0.22034749991547273</v>
      </c>
      <c r="L102" s="72">
        <f t="shared" si="33"/>
        <v>0.22208347664012504</v>
      </c>
      <c r="M102" s="72">
        <f t="shared" si="33"/>
        <v>0.22366007751579225</v>
      </c>
      <c r="N102" s="130">
        <f t="shared" si="33"/>
        <v>0.22463851342099703</v>
      </c>
      <c r="O102" s="129">
        <f t="shared" si="33"/>
        <v>0.22465491806653054</v>
      </c>
      <c r="P102" s="72">
        <f t="shared" si="33"/>
        <v>0.22356301428077233</v>
      </c>
      <c r="Q102" s="72">
        <f t="shared" si="33"/>
        <v>0.22102644251295139</v>
      </c>
      <c r="R102" s="72">
        <f t="shared" si="33"/>
        <v>0.2169970155443354</v>
      </c>
      <c r="S102" s="130">
        <f t="shared" si="33"/>
        <v>0.21154660084851495</v>
      </c>
      <c r="T102" s="130">
        <f t="shared" si="32"/>
        <v>0.20491154515910098</v>
      </c>
      <c r="U102" s="130">
        <f t="shared" si="32"/>
        <v>0.19739365334024836</v>
      </c>
      <c r="V102" s="130">
        <f t="shared" si="32"/>
        <v>0.18938077521156166</v>
      </c>
      <c r="W102" s="130">
        <f t="shared" si="32"/>
        <v>0.18118306291045666</v>
      </c>
      <c r="X102" s="121">
        <f t="shared" si="33"/>
        <v>0.17301923387529389</v>
      </c>
      <c r="Y102" s="121">
        <f t="shared" si="32"/>
        <v>0.16480574738200324</v>
      </c>
      <c r="Z102" s="121">
        <f t="shared" si="32"/>
        <v>0.1567093367504328</v>
      </c>
      <c r="AA102" s="121">
        <f t="shared" si="32"/>
        <v>0.14886890817888823</v>
      </c>
      <c r="AB102" s="121">
        <f t="shared" si="32"/>
        <v>0.14131652279283125</v>
      </c>
      <c r="AC102" s="121">
        <f t="shared" si="33"/>
        <v>0.1340977551084333</v>
      </c>
      <c r="AD102" s="121">
        <f t="shared" si="32"/>
        <v>0.12721588897898253</v>
      </c>
      <c r="AE102" s="121">
        <f t="shared" si="32"/>
        <v>0.12066716406505393</v>
      </c>
      <c r="AF102" s="121">
        <f t="shared" si="32"/>
        <v>0.11444409050795261</v>
      </c>
      <c r="AG102" s="121">
        <f t="shared" si="32"/>
        <v>0.10853985207859339</v>
      </c>
      <c r="AH102" s="121">
        <f t="shared" si="33"/>
        <v>0.10274012188719592</v>
      </c>
      <c r="AI102" s="121">
        <f t="shared" si="32"/>
        <v>9.7170418681624654E-2</v>
      </c>
      <c r="AJ102" s="121">
        <f t="shared" si="32"/>
        <v>9.186188078447563E-2</v>
      </c>
      <c r="AK102" s="121">
        <f t="shared" si="32"/>
        <v>8.6812239942733641E-2</v>
      </c>
      <c r="AL102" s="121">
        <f t="shared" si="32"/>
        <v>8.2022908814877726E-2</v>
      </c>
      <c r="AM102" s="121">
        <f t="shared" si="33"/>
        <v>7.7534603938104463E-2</v>
      </c>
    </row>
    <row r="103" spans="2:40" x14ac:dyDescent="0.25">
      <c r="B103" s="230"/>
      <c r="C103" s="35" t="s">
        <v>30</v>
      </c>
      <c r="D103" s="54" t="s">
        <v>453</v>
      </c>
      <c r="E103" s="130">
        <f t="shared" si="33"/>
        <v>0.16803384356708401</v>
      </c>
      <c r="F103" s="130">
        <f t="shared" si="33"/>
        <v>0.2179541338252059</v>
      </c>
      <c r="G103" s="130">
        <f t="shared" si="33"/>
        <v>0.22637865090156689</v>
      </c>
      <c r="H103" s="130">
        <f t="shared" si="33"/>
        <v>0.22858238749201235</v>
      </c>
      <c r="I103" s="130">
        <f t="shared" si="33"/>
        <v>0.23001678787014096</v>
      </c>
      <c r="J103" s="129">
        <f t="shared" si="33"/>
        <v>0.23124645222524853</v>
      </c>
      <c r="K103" s="72">
        <f t="shared" si="33"/>
        <v>0.23206346444124151</v>
      </c>
      <c r="L103" s="72">
        <f t="shared" si="33"/>
        <v>0.23242695294419816</v>
      </c>
      <c r="M103" s="72">
        <f t="shared" si="33"/>
        <v>0.23236668194231264</v>
      </c>
      <c r="N103" s="130">
        <f t="shared" si="33"/>
        <v>0.2317015858730273</v>
      </c>
      <c r="O103" s="129">
        <f t="shared" si="33"/>
        <v>0.23042572781344481</v>
      </c>
      <c r="P103" s="72">
        <f t="shared" si="33"/>
        <v>0.22826769940081951</v>
      </c>
      <c r="Q103" s="72">
        <f t="shared" si="33"/>
        <v>0.22486051482100308</v>
      </c>
      <c r="R103" s="72">
        <f t="shared" si="33"/>
        <v>0.2201445084851453</v>
      </c>
      <c r="S103" s="130">
        <f t="shared" si="33"/>
        <v>0.21417467270254095</v>
      </c>
      <c r="T103" s="130">
        <f t="shared" si="32"/>
        <v>0.20716481905073242</v>
      </c>
      <c r="U103" s="130">
        <f t="shared" si="32"/>
        <v>0.19938284098501283</v>
      </c>
      <c r="V103" s="130">
        <f t="shared" si="32"/>
        <v>0.19118363806273347</v>
      </c>
      <c r="W103" s="130">
        <f t="shared" si="32"/>
        <v>0.18284920970123181</v>
      </c>
      <c r="X103" s="121">
        <f t="shared" si="33"/>
        <v>0.17457869277186994</v>
      </c>
      <c r="Y103" s="121">
        <f t="shared" si="32"/>
        <v>0.16627405723963623</v>
      </c>
      <c r="Z103" s="121">
        <f t="shared" si="32"/>
        <v>0.15809642048597322</v>
      </c>
      <c r="AA103" s="121">
        <f t="shared" si="32"/>
        <v>0.15018183987035963</v>
      </c>
      <c r="AB103" s="121">
        <f t="shared" si="32"/>
        <v>0.14256037423454815</v>
      </c>
      <c r="AC103" s="121">
        <f t="shared" si="33"/>
        <v>0.13527679153215605</v>
      </c>
      <c r="AD103" s="121">
        <f t="shared" si="32"/>
        <v>0.12833376272800134</v>
      </c>
      <c r="AE103" s="121">
        <f t="shared" si="32"/>
        <v>0.12172715787258863</v>
      </c>
      <c r="AF103" s="121">
        <f t="shared" si="32"/>
        <v>0.11544924707576285</v>
      </c>
      <c r="AG103" s="121">
        <f t="shared" si="32"/>
        <v>0.10949306486302202</v>
      </c>
      <c r="AH103" s="121">
        <f t="shared" si="33"/>
        <v>0.10364235243006932</v>
      </c>
      <c r="AI103" s="121">
        <f t="shared" si="32"/>
        <v>9.8023713082707381E-2</v>
      </c>
      <c r="AJ103" s="121">
        <f t="shared" si="32"/>
        <v>9.2668545991093712E-2</v>
      </c>
      <c r="AK103" s="121">
        <f t="shared" si="32"/>
        <v>8.757455631041558E-2</v>
      </c>
      <c r="AL103" s="121">
        <f t="shared" si="32"/>
        <v>8.274316581560695E-2</v>
      </c>
      <c r="AM103" s="121">
        <f t="shared" si="33"/>
        <v>7.8215446669326477E-2</v>
      </c>
    </row>
    <row r="104" spans="2:40" x14ac:dyDescent="0.25">
      <c r="B104" s="230"/>
      <c r="C104" s="35" t="s">
        <v>31</v>
      </c>
      <c r="D104" s="54" t="s">
        <v>454</v>
      </c>
      <c r="E104" s="130">
        <f t="shared" si="33"/>
        <v>0.4362143910050581</v>
      </c>
      <c r="F104" s="130">
        <f t="shared" si="33"/>
        <v>0.31389290454222352</v>
      </c>
      <c r="G104" s="130">
        <f t="shared" si="33"/>
        <v>0.28900987634869713</v>
      </c>
      <c r="H104" s="130">
        <f t="shared" si="33"/>
        <v>0.2809101744662712</v>
      </c>
      <c r="I104" s="130">
        <f t="shared" si="33"/>
        <v>0.27372336994659269</v>
      </c>
      <c r="J104" s="129">
        <f t="shared" si="33"/>
        <v>0.26799767511270983</v>
      </c>
      <c r="K104" s="72">
        <f t="shared" si="33"/>
        <v>0.261570873217707</v>
      </c>
      <c r="L104" s="72">
        <f t="shared" si="33"/>
        <v>0.25476940492998401</v>
      </c>
      <c r="M104" s="72">
        <f t="shared" si="33"/>
        <v>0.246298301280482</v>
      </c>
      <c r="N104" s="130">
        <f t="shared" si="33"/>
        <v>0.23743940772143182</v>
      </c>
      <c r="O104" s="129">
        <f t="shared" si="33"/>
        <v>0.23003553260468684</v>
      </c>
      <c r="P104" s="72">
        <f t="shared" si="33"/>
        <v>0.22308288012151434</v>
      </c>
      <c r="Q104" s="72">
        <f t="shared" si="33"/>
        <v>0.21603107821530368</v>
      </c>
      <c r="R104" s="72">
        <f t="shared" si="33"/>
        <v>0.20874481547239751</v>
      </c>
      <c r="S104" s="130">
        <f t="shared" si="33"/>
        <v>0.20116032242592372</v>
      </c>
      <c r="T104" s="130">
        <f t="shared" si="32"/>
        <v>0.19332574336645753</v>
      </c>
      <c r="U104" s="130">
        <f t="shared" si="32"/>
        <v>0.18530328054974279</v>
      </c>
      <c r="V104" s="130">
        <f t="shared" si="32"/>
        <v>0.17725034112759314</v>
      </c>
      <c r="W104" s="130">
        <f t="shared" si="32"/>
        <v>0.16928843044874992</v>
      </c>
      <c r="X104" s="121">
        <f t="shared" si="33"/>
        <v>0.16150774104384641</v>
      </c>
      <c r="Y104" s="121">
        <f t="shared" si="32"/>
        <v>0.15375941142278876</v>
      </c>
      <c r="Z104" s="121">
        <f t="shared" si="32"/>
        <v>0.146163257330924</v>
      </c>
      <c r="AA104" s="121">
        <f t="shared" si="32"/>
        <v>0.13882870630772687</v>
      </c>
      <c r="AB104" s="121">
        <f t="shared" si="32"/>
        <v>0.13177457095803508</v>
      </c>
      <c r="AC104" s="121">
        <f t="shared" si="33"/>
        <v>0.12503760103242775</v>
      </c>
      <c r="AD104" s="121">
        <f t="shared" si="32"/>
        <v>0.11861786146529552</v>
      </c>
      <c r="AE104" s="121">
        <f t="shared" si="32"/>
        <v>0.11251031073775239</v>
      </c>
      <c r="AF104" s="121">
        <f t="shared" si="32"/>
        <v>0.10670718626717279</v>
      </c>
      <c r="AG104" s="121">
        <f t="shared" si="32"/>
        <v>0.10120173916293114</v>
      </c>
      <c r="AH104" s="121">
        <f t="shared" si="33"/>
        <v>9.5793925801916771E-2</v>
      </c>
      <c r="AI104" s="121">
        <f t="shared" si="32"/>
        <v>9.060069103709209E-2</v>
      </c>
      <c r="AJ104" s="121">
        <f t="shared" si="32"/>
        <v>8.5651017085546483E-2</v>
      </c>
      <c r="AK104" s="121">
        <f t="shared" si="32"/>
        <v>8.0942762668340607E-2</v>
      </c>
      <c r="AL104" s="121">
        <f t="shared" si="32"/>
        <v>7.6477231711954516E-2</v>
      </c>
      <c r="AM104" s="121">
        <f t="shared" si="33"/>
        <v>7.2292380980905208E-2</v>
      </c>
    </row>
    <row r="105" spans="2:40" x14ac:dyDescent="0.25">
      <c r="B105" s="230"/>
      <c r="C105" s="35" t="s">
        <v>32</v>
      </c>
      <c r="D105" s="54" t="s">
        <v>455</v>
      </c>
      <c r="E105" s="130">
        <f t="shared" si="33"/>
        <v>0.15386468112104759</v>
      </c>
      <c r="F105" s="130">
        <f t="shared" si="33"/>
        <v>0.10667909212166289</v>
      </c>
      <c r="G105" s="130">
        <f t="shared" si="33"/>
        <v>9.6873994201299399E-2</v>
      </c>
      <c r="H105" s="130">
        <f t="shared" si="33"/>
        <v>9.365630724425017E-2</v>
      </c>
      <c r="I105" s="130">
        <f t="shared" si="33"/>
        <v>9.0632242026022436E-2</v>
      </c>
      <c r="J105" s="129">
        <f t="shared" si="33"/>
        <v>8.7619642257779518E-2</v>
      </c>
      <c r="K105" s="72">
        <f t="shared" si="33"/>
        <v>8.4280443213319525E-2</v>
      </c>
      <c r="L105" s="72">
        <f t="shared" si="33"/>
        <v>8.0810183010161879E-2</v>
      </c>
      <c r="M105" s="72">
        <f t="shared" si="33"/>
        <v>7.6586823154102104E-2</v>
      </c>
      <c r="N105" s="130">
        <f t="shared" si="33"/>
        <v>7.2280822636919179E-2</v>
      </c>
      <c r="O105" s="129">
        <f t="shared" si="33"/>
        <v>6.8816260388333508E-2</v>
      </c>
      <c r="P105" s="72">
        <f t="shared" si="33"/>
        <v>6.5753474676371715E-2</v>
      </c>
      <c r="Q105" s="72">
        <f t="shared" si="33"/>
        <v>6.2894020980824458E-2</v>
      </c>
      <c r="R105" s="72">
        <f t="shared" si="33"/>
        <v>6.0183160570250478E-2</v>
      </c>
      <c r="S105" s="130">
        <f t="shared" si="33"/>
        <v>5.7578592342958E-2</v>
      </c>
      <c r="T105" s="130">
        <f t="shared" si="32"/>
        <v>5.5061579352615755E-2</v>
      </c>
      <c r="U105" s="130">
        <f t="shared" si="32"/>
        <v>5.2608704426430029E-2</v>
      </c>
      <c r="V105" s="130">
        <f t="shared" si="32"/>
        <v>5.0226496674732009E-2</v>
      </c>
      <c r="W105" s="130">
        <f t="shared" si="32"/>
        <v>4.7918250113283309E-2</v>
      </c>
      <c r="X105" s="121">
        <f t="shared" si="33"/>
        <v>4.5688482746399771E-2</v>
      </c>
      <c r="Y105" s="121">
        <f t="shared" si="32"/>
        <v>4.3482092579856711E-2</v>
      </c>
      <c r="Z105" s="121">
        <f t="shared" si="32"/>
        <v>4.1326451223950934E-2</v>
      </c>
      <c r="AA105" s="121">
        <f t="shared" si="32"/>
        <v>3.9248852646760091E-2</v>
      </c>
      <c r="AB105" s="121">
        <f t="shared" si="32"/>
        <v>3.7252619287447414E-2</v>
      </c>
      <c r="AC105" s="121">
        <f t="shared" si="33"/>
        <v>3.5347113263232102E-2</v>
      </c>
      <c r="AD105" s="121">
        <f t="shared" si="32"/>
        <v>3.35318215841739E-2</v>
      </c>
      <c r="AE105" s="121">
        <f t="shared" si="32"/>
        <v>3.1805050365171922E-2</v>
      </c>
      <c r="AF105" s="121">
        <f t="shared" si="32"/>
        <v>3.0164470270673715E-2</v>
      </c>
      <c r="AG105" s="121">
        <f t="shared" si="32"/>
        <v>2.8608105915733137E-2</v>
      </c>
      <c r="AH105" s="121">
        <f t="shared" si="33"/>
        <v>2.7079373791228621E-2</v>
      </c>
      <c r="AI105" s="121">
        <f t="shared" si="32"/>
        <v>2.561131621440595E-2</v>
      </c>
      <c r="AJ105" s="121">
        <f t="shared" si="32"/>
        <v>2.4212117718760147E-2</v>
      </c>
      <c r="AK105" s="121">
        <f t="shared" si="32"/>
        <v>2.2881168745317211E-2</v>
      </c>
      <c r="AL105" s="121">
        <f t="shared" si="32"/>
        <v>2.1618835755368056E-2</v>
      </c>
      <c r="AM105" s="121">
        <f t="shared" si="33"/>
        <v>2.0435847451082029E-2</v>
      </c>
    </row>
    <row r="106" spans="2:40" x14ac:dyDescent="0.25">
      <c r="B106" s="230"/>
      <c r="C106" s="56" t="s">
        <v>33</v>
      </c>
      <c r="D106" s="66" t="s">
        <v>456</v>
      </c>
      <c r="E106" s="132">
        <f t="shared" si="33"/>
        <v>7.0497921241333764E-2</v>
      </c>
      <c r="F106" s="132">
        <f t="shared" si="33"/>
        <v>4.2389765489838117E-2</v>
      </c>
      <c r="G106" s="132">
        <f t="shared" si="33"/>
        <v>3.6888464882803729E-2</v>
      </c>
      <c r="H106" s="132">
        <f t="shared" si="33"/>
        <v>3.5058628072090876E-2</v>
      </c>
      <c r="I106" s="132">
        <f t="shared" si="33"/>
        <v>3.3448492802792842E-2</v>
      </c>
      <c r="J106" s="131">
        <f t="shared" si="33"/>
        <v>3.195467885061147E-2</v>
      </c>
      <c r="K106" s="73">
        <f t="shared" si="33"/>
        <v>3.0447998814475269E-2</v>
      </c>
      <c r="L106" s="73">
        <f t="shared" si="33"/>
        <v>2.8948387314425686E-2</v>
      </c>
      <c r="M106" s="73">
        <f t="shared" si="33"/>
        <v>2.71418887738674E-2</v>
      </c>
      <c r="N106" s="132">
        <f t="shared" si="33"/>
        <v>2.5332523027706298E-2</v>
      </c>
      <c r="O106" s="131">
        <f t="shared" si="33"/>
        <v>2.3917331792260563E-2</v>
      </c>
      <c r="P106" s="73">
        <f t="shared" si="33"/>
        <v>2.269994781423771E-2</v>
      </c>
      <c r="Q106" s="73">
        <f t="shared" si="33"/>
        <v>2.1596641877473864E-2</v>
      </c>
      <c r="R106" s="73">
        <f t="shared" si="33"/>
        <v>2.0582579675648763E-2</v>
      </c>
      <c r="S106" s="132">
        <f t="shared" si="33"/>
        <v>1.963642327788525E-2</v>
      </c>
      <c r="T106" s="132">
        <f t="shared" si="32"/>
        <v>1.874381297719312E-2</v>
      </c>
      <c r="U106" s="132">
        <f t="shared" si="32"/>
        <v>1.7889106821369571E-2</v>
      </c>
      <c r="V106" s="132">
        <f t="shared" si="32"/>
        <v>1.7068532493235245E-2</v>
      </c>
      <c r="W106" s="132">
        <f t="shared" si="32"/>
        <v>1.6278795905029834E-2</v>
      </c>
      <c r="X106" s="122">
        <f t="shared" si="33"/>
        <v>1.551870258529176E-2</v>
      </c>
      <c r="Y106" s="122">
        <f t="shared" si="32"/>
        <v>1.4767989443904657E-2</v>
      </c>
      <c r="Z106" s="122">
        <f t="shared" si="32"/>
        <v>1.4035241348063643E-2</v>
      </c>
      <c r="AA106" s="122">
        <f t="shared" si="32"/>
        <v>1.3329357508778126E-2</v>
      </c>
      <c r="AB106" s="122">
        <f t="shared" si="32"/>
        <v>1.2651276886159309E-2</v>
      </c>
      <c r="AC106" s="122">
        <f t="shared" si="33"/>
        <v>1.2004088544551712E-2</v>
      </c>
      <c r="AD106" s="122">
        <f t="shared" si="32"/>
        <v>1.1387574897425486E-2</v>
      </c>
      <c r="AE106" s="122">
        <f t="shared" si="32"/>
        <v>1.08011407225261E-2</v>
      </c>
      <c r="AF106" s="122">
        <f t="shared" si="32"/>
        <v>1.0243985663708106E-2</v>
      </c>
      <c r="AG106" s="122">
        <f t="shared" si="32"/>
        <v>9.7154344771226402E-3</v>
      </c>
      <c r="AH106" s="122">
        <f t="shared" si="33"/>
        <v>9.1962692801856559E-3</v>
      </c>
      <c r="AI106" s="122">
        <f t="shared" si="32"/>
        <v>8.6977101460318403E-3</v>
      </c>
      <c r="AJ106" s="122">
        <f t="shared" si="32"/>
        <v>8.2225361961478227E-3</v>
      </c>
      <c r="AK106" s="122">
        <f t="shared" si="32"/>
        <v>7.7705402343827374E-3</v>
      </c>
      <c r="AL106" s="122">
        <f t="shared" si="32"/>
        <v>7.3418466263466108E-3</v>
      </c>
      <c r="AM106" s="122">
        <f t="shared" si="33"/>
        <v>6.9400988457249463E-3</v>
      </c>
    </row>
    <row r="107" spans="2:40" s="3" customFormat="1" x14ac:dyDescent="0.25"/>
    <row r="108" spans="2:40" s="3" customFormat="1" x14ac:dyDescent="0.25"/>
    <row r="109" spans="2:40" s="3" customFormat="1" x14ac:dyDescent="0.25"/>
    <row r="110" spans="2:40" s="3" customFormat="1" x14ac:dyDescent="0.25"/>
    <row r="111" spans="2:40" s="3" customFormat="1" x14ac:dyDescent="0.25"/>
    <row r="112" spans="2:40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</sheetData>
  <pageMargins left="0.7" right="0.7" top="0.75" bottom="0.75" header="0.3" footer="0.3"/>
  <pageSetup paperSize="9" scale="65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8"/>
  <dimension ref="B4:B11"/>
  <sheetViews>
    <sheetView workbookViewId="0">
      <selection activeCell="B4" sqref="B4"/>
    </sheetView>
  </sheetViews>
  <sheetFormatPr baseColWidth="10" defaultRowHeight="15" x14ac:dyDescent="0.25"/>
  <cols>
    <col min="2" max="2" width="68.5703125" customWidth="1"/>
  </cols>
  <sheetData>
    <row r="4" spans="2:2" x14ac:dyDescent="0.25">
      <c r="B4" t="str">
        <f>Résultats!B1&amp;" : Energie finale par usage et énergie primaire (Mtep)"</f>
        <v>SNBC3 : Energie finale par usage et énergie primaire (Mtep)</v>
      </c>
    </row>
    <row r="5" spans="2:2" x14ac:dyDescent="0.25">
      <c r="B5" t="str">
        <f>Résultats!B1&amp;" : Ventilation du mix énergie (Mtep)"</f>
        <v>SNBC3 : Ventilation du mix énergie (Mtep)</v>
      </c>
    </row>
    <row r="6" spans="2:2" x14ac:dyDescent="0.25">
      <c r="B6" t="str">
        <f>Résultats!B1&amp;" : Ventilation du mix electrique (%)"</f>
        <v>SNBC3 : Ventilation du mix electrique (%)</v>
      </c>
    </row>
    <row r="7" spans="2:2" x14ac:dyDescent="0.25">
      <c r="B7" t="str">
        <f>Résultats!B1&amp;" : Ventilation du mix carburant (%)"</f>
        <v>SNBC3 : Ventilation du mix carburant (%)</v>
      </c>
    </row>
    <row r="8" spans="2:2" x14ac:dyDescent="0.25">
      <c r="B8" t="str">
        <f>Résultats!B1&amp;" : Ventilation du mix gaz (%)"</f>
        <v>SNBC3 : Ventilation du mix gaz (%)</v>
      </c>
    </row>
    <row r="9" spans="2:2" x14ac:dyDescent="0.25">
      <c r="B9" t="str">
        <f>Résultats!B1&amp;" : Emissions CO2 (Mt.eqCO2)"</f>
        <v>SNBC3 : Emissions CO2 (Mt.eqCO2)</v>
      </c>
    </row>
    <row r="10" spans="2:2" x14ac:dyDescent="0.25">
      <c r="B10" t="str">
        <f>Résultats!B1&amp;" : Ventilation du parc auto (%)"</f>
        <v>SNBC3 : Ventilation du parc auto (%)</v>
      </c>
    </row>
    <row r="11" spans="2:2" x14ac:dyDescent="0.25">
      <c r="B11" t="str">
        <f>Résultats!B1&amp;" : Ventilation du parc de logements (%)"</f>
        <v>SNBC3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8</vt:i4>
      </vt:variant>
      <vt:variant>
        <vt:lpstr>Graphiques</vt:lpstr>
      </vt:variant>
      <vt:variant>
        <vt:i4>10</vt:i4>
      </vt:variant>
      <vt:variant>
        <vt:lpstr>Plages nommées</vt:lpstr>
      </vt:variant>
      <vt:variant>
        <vt:i4>2</vt:i4>
      </vt:variant>
    </vt:vector>
  </HeadingPairs>
  <TitlesOfParts>
    <vt:vector size="20" baseType="lpstr">
      <vt:lpstr>T energie vecteurs</vt:lpstr>
      <vt:lpstr>T energie usages</vt:lpstr>
      <vt:lpstr>T transport</vt:lpstr>
      <vt:lpstr>Résultats</vt:lpstr>
      <vt:lpstr>T CO2</vt:lpstr>
      <vt:lpstr>T logement</vt:lpstr>
      <vt:lpstr>T parc auto</vt:lpstr>
      <vt:lpstr>Table Graphs</vt:lpstr>
      <vt:lpstr>G energie</vt:lpstr>
      <vt:lpstr>G mix energie</vt:lpstr>
      <vt:lpstr>G mix élec</vt:lpstr>
      <vt:lpstr>G mix carb</vt:lpstr>
      <vt:lpstr>G mix gaz</vt:lpstr>
      <vt:lpstr>G CO2</vt:lpstr>
      <vt:lpstr>G parc auto total</vt:lpstr>
      <vt:lpstr>G parc elec</vt:lpstr>
      <vt:lpstr>G parc auto</vt:lpstr>
      <vt:lpstr>G parc logt</vt:lpstr>
      <vt:lpstr>'T parc auto'!Zone_d_impression</vt:lpstr>
      <vt:lpstr>'T transport'!Zone_d_impression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CALLONNEC Gaël</cp:lastModifiedBy>
  <cp:lastPrinted>2018-11-29T16:44:02Z</cp:lastPrinted>
  <dcterms:created xsi:type="dcterms:W3CDTF">2016-06-15T08:53:28Z</dcterms:created>
  <dcterms:modified xsi:type="dcterms:W3CDTF">2025-03-12T03:23:52Z</dcterms:modified>
</cp:coreProperties>
</file>