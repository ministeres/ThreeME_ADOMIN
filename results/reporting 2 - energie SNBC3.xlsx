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7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BA77BC32-9E27-4A46-BCB2-DF52B959D25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T energie vecteurs" sheetId="13" r:id="rId1"/>
    <sheet name="T energie usages" sheetId="16" r:id="rId2"/>
    <sheet name="T transport" sheetId="32" r:id="rId3"/>
    <sheet name="Résultats" sheetId="2" r:id="rId4"/>
    <sheet name="T CO2" sheetId="31" r:id="rId5"/>
    <sheet name="T logement" sheetId="14" r:id="rId6"/>
    <sheet name="G energie" sheetId="27" r:id="rId7"/>
    <sheet name="G mix energie" sheetId="30" r:id="rId8"/>
    <sheet name="G mix élec" sheetId="22" r:id="rId9"/>
    <sheet name="G mix carb" sheetId="23" r:id="rId10"/>
    <sheet name="G mix gaz" sheetId="24" r:id="rId11"/>
    <sheet name="G CO2" sheetId="26" r:id="rId12"/>
    <sheet name="T parc auto" sheetId="25" r:id="rId13"/>
    <sheet name="G parc auto total" sheetId="28" r:id="rId14"/>
    <sheet name="G parc elec" sheetId="29" r:id="rId15"/>
    <sheet name="G parc auto" sheetId="19" r:id="rId16"/>
    <sheet name="G parc logt" sheetId="20" r:id="rId17"/>
    <sheet name="Table Graphs" sheetId="33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xlnm.Print_Area" localSheetId="12">'T parc auto'!$C$26:$AM$107</definedName>
    <definedName name="_xlnm.Print_Area" localSheetId="2">'T transport'!$B$1:$AU$32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8" i="16" l="1"/>
  <c r="Q58" i="16"/>
  <c r="P58" i="16"/>
  <c r="O58" i="16"/>
  <c r="R57" i="16"/>
  <c r="P57" i="16"/>
  <c r="O57" i="16"/>
  <c r="S57" i="16" s="1"/>
  <c r="R56" i="16"/>
  <c r="R55" i="16" s="1"/>
  <c r="Q56" i="16"/>
  <c r="Q55" i="16" s="1"/>
  <c r="P56" i="16"/>
  <c r="P55" i="16" s="1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R42" i="16" s="1"/>
  <c r="Q43" i="16"/>
  <c r="Q42" i="16" s="1"/>
  <c r="P43" i="16"/>
  <c r="P42" i="16" s="1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K58" i="16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K53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K40" i="16"/>
  <c r="J40" i="16"/>
  <c r="I40" i="16"/>
  <c r="H40" i="16"/>
  <c r="K39" i="16"/>
  <c r="J39" i="16"/>
  <c r="I39" i="16"/>
  <c r="H39" i="16"/>
  <c r="K38" i="16"/>
  <c r="J38" i="16"/>
  <c r="I38" i="16"/>
  <c r="H38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K105" i="16"/>
  <c r="J105" i="16"/>
  <c r="I105" i="16"/>
  <c r="H105" i="16"/>
  <c r="K104" i="16"/>
  <c r="J104" i="16"/>
  <c r="I104" i="16"/>
  <c r="H104" i="16"/>
  <c r="K103" i="16"/>
  <c r="J103" i="16"/>
  <c r="I103" i="16"/>
  <c r="H103" i="16"/>
  <c r="AU20" i="32"/>
  <c r="AA20" i="32"/>
  <c r="Q20" i="32"/>
  <c r="AU17" i="32"/>
  <c r="AA17" i="32"/>
  <c r="Q17" i="32"/>
  <c r="BB10" i="32"/>
  <c r="BB9" i="32"/>
  <c r="BB8" i="32"/>
  <c r="BB7" i="32"/>
  <c r="S37" i="16" l="1"/>
  <c r="S41" i="16"/>
  <c r="S45" i="16"/>
  <c r="S54" i="16"/>
  <c r="H50" i="16"/>
  <c r="K102" i="16"/>
  <c r="I37" i="16"/>
  <c r="L110" i="16"/>
  <c r="L40" i="16"/>
  <c r="R59" i="16"/>
  <c r="Q46" i="16"/>
  <c r="S44" i="16"/>
  <c r="S58" i="16"/>
  <c r="S53" i="16"/>
  <c r="O55" i="16"/>
  <c r="S55" i="16" s="1"/>
  <c r="Q59" i="16"/>
  <c r="S43" i="16"/>
  <c r="R46" i="16"/>
  <c r="S56" i="16"/>
  <c r="L39" i="16"/>
  <c r="L54" i="16"/>
  <c r="L41" i="16"/>
  <c r="I102" i="16"/>
  <c r="L52" i="16"/>
  <c r="I107" i="16"/>
  <c r="L38" i="16"/>
  <c r="L45" i="16"/>
  <c r="L53" i="16"/>
  <c r="L57" i="16"/>
  <c r="I55" i="16"/>
  <c r="L51" i="16"/>
  <c r="L58" i="16"/>
  <c r="J37" i="16"/>
  <c r="J42" i="16"/>
  <c r="J50" i="16"/>
  <c r="K37" i="16"/>
  <c r="K42" i="16"/>
  <c r="L44" i="16"/>
  <c r="H55" i="16"/>
  <c r="J107" i="16"/>
  <c r="I42" i="16"/>
  <c r="H102" i="16"/>
  <c r="K107" i="16"/>
  <c r="J55" i="16"/>
  <c r="L105" i="16"/>
  <c r="H107" i="16"/>
  <c r="K50" i="16"/>
  <c r="K55" i="16"/>
  <c r="P59" i="16"/>
  <c r="S50" i="16"/>
  <c r="O59" i="16"/>
  <c r="P46" i="16"/>
  <c r="O42" i="16"/>
  <c r="S42" i="16" s="1"/>
  <c r="S40" i="16"/>
  <c r="I50" i="16"/>
  <c r="H42" i="16"/>
  <c r="L43" i="16"/>
  <c r="H37" i="16"/>
  <c r="L106" i="16"/>
  <c r="L56" i="16"/>
  <c r="J102" i="16"/>
  <c r="L109" i="16"/>
  <c r="L104" i="16"/>
  <c r="L103" i="16"/>
  <c r="L108" i="16"/>
  <c r="BD10" i="32"/>
  <c r="BD9" i="32"/>
  <c r="BD8" i="32"/>
  <c r="BD7" i="32"/>
  <c r="BC10" i="32"/>
  <c r="BC9" i="32"/>
  <c r="BC8" i="32"/>
  <c r="BC7" i="32"/>
  <c r="AU6" i="32"/>
  <c r="AA6" i="32"/>
  <c r="Q6" i="32"/>
  <c r="AU9" i="32"/>
  <c r="AA9" i="32"/>
  <c r="Q9" i="32"/>
  <c r="S59" i="16" l="1"/>
  <c r="I111" i="16"/>
  <c r="K111" i="16"/>
  <c r="H111" i="16"/>
  <c r="I46" i="16"/>
  <c r="J111" i="16"/>
  <c r="K46" i="16"/>
  <c r="L42" i="16"/>
  <c r="L107" i="16"/>
  <c r="I59" i="16"/>
  <c r="K59" i="16"/>
  <c r="J59" i="16"/>
  <c r="L102" i="16"/>
  <c r="J46" i="16"/>
  <c r="L55" i="16"/>
  <c r="H59" i="16"/>
  <c r="O46" i="16"/>
  <c r="S46" i="16" s="1"/>
  <c r="L50" i="16"/>
  <c r="L37" i="16"/>
  <c r="H46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A58" i="32"/>
  <c r="A36" i="32"/>
  <c r="A1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A4" i="32" s="1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U4" i="32" s="1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R6" i="32"/>
  <c r="S6" i="32"/>
  <c r="T6" i="32"/>
  <c r="U6" i="32"/>
  <c r="V6" i="32"/>
  <c r="W6" i="32"/>
  <c r="X6" i="32"/>
  <c r="Y6" i="32"/>
  <c r="Z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Q7" i="32" s="1"/>
  <c r="R8" i="32"/>
  <c r="S8" i="32"/>
  <c r="T8" i="32"/>
  <c r="U8" i="32"/>
  <c r="V8" i="32"/>
  <c r="W8" i="32"/>
  <c r="X8" i="32"/>
  <c r="Y8" i="32"/>
  <c r="Z8" i="32"/>
  <c r="AA8" i="32"/>
  <c r="AA7" i="32" s="1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U7" i="32" s="1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R9" i="32"/>
  <c r="S9" i="32"/>
  <c r="T9" i="32"/>
  <c r="U9" i="32"/>
  <c r="V9" i="32"/>
  <c r="W9" i="32"/>
  <c r="X9" i="32"/>
  <c r="Y9" i="32"/>
  <c r="Z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AR14" i="32"/>
  <c r="AS14" i="32"/>
  <c r="AT14" i="32"/>
  <c r="AU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AR15" i="32"/>
  <c r="AS15" i="32"/>
  <c r="AT15" i="32"/>
  <c r="AU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AR16" i="32"/>
  <c r="AS16" i="32"/>
  <c r="AT16" i="32"/>
  <c r="AU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R17" i="32"/>
  <c r="S17" i="32"/>
  <c r="T17" i="32"/>
  <c r="U17" i="32"/>
  <c r="V17" i="32"/>
  <c r="W17" i="32"/>
  <c r="X17" i="32"/>
  <c r="Y17" i="32"/>
  <c r="Z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AR17" i="32"/>
  <c r="AS17" i="32"/>
  <c r="AT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AR18" i="32"/>
  <c r="AS18" i="32"/>
  <c r="AT18" i="32"/>
  <c r="AU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AR19" i="32"/>
  <c r="AS19" i="32"/>
  <c r="AT19" i="32"/>
  <c r="AU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R20" i="32"/>
  <c r="S20" i="32"/>
  <c r="T20" i="32"/>
  <c r="U20" i="32"/>
  <c r="V20" i="32"/>
  <c r="W20" i="32"/>
  <c r="X20" i="32"/>
  <c r="Y20" i="32"/>
  <c r="Z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AR20" i="32"/>
  <c r="AS20" i="32"/>
  <c r="AT20" i="32"/>
  <c r="A23" i="32"/>
  <c r="H29" i="31"/>
  <c r="T2" i="14"/>
  <c r="X2" i="25"/>
  <c r="T2" i="25"/>
  <c r="L111" i="16" l="1"/>
  <c r="L59" i="16"/>
  <c r="L46" i="16"/>
  <c r="AJ7" i="32"/>
  <c r="AO4" i="32"/>
  <c r="AI7" i="32"/>
  <c r="AN4" i="32"/>
  <c r="AB4" i="32"/>
  <c r="AT7" i="32"/>
  <c r="AH7" i="32"/>
  <c r="V7" i="32"/>
  <c r="AM4" i="32"/>
  <c r="Z4" i="32"/>
  <c r="AS7" i="32"/>
  <c r="AG7" i="32"/>
  <c r="AL4" i="32"/>
  <c r="AR7" i="32"/>
  <c r="AF7" i="32"/>
  <c r="T7" i="32"/>
  <c r="AK4" i="32"/>
  <c r="Y4" i="32"/>
  <c r="X4" i="32"/>
  <c r="S7" i="32"/>
  <c r="X7" i="32"/>
  <c r="AC4" i="32"/>
  <c r="W7" i="32"/>
  <c r="AQ7" i="32"/>
  <c r="AE7" i="32"/>
  <c r="AJ4" i="32"/>
  <c r="AP7" i="32"/>
  <c r="AD7" i="32"/>
  <c r="AI4" i="32"/>
  <c r="W4" i="32"/>
  <c r="V4" i="32"/>
  <c r="Q4" i="32"/>
  <c r="AX3" i="32" s="1"/>
  <c r="Q10" i="32"/>
  <c r="U7" i="32"/>
  <c r="R7" i="32"/>
  <c r="AO7" i="32"/>
  <c r="AC7" i="32"/>
  <c r="AT4" i="32"/>
  <c r="AH4" i="32"/>
  <c r="AN7" i="32"/>
  <c r="AB7" i="32"/>
  <c r="AS4" i="32"/>
  <c r="AG4" i="32"/>
  <c r="U4" i="32"/>
  <c r="AM7" i="32"/>
  <c r="AR4" i="32"/>
  <c r="AF4" i="32"/>
  <c r="T4" i="32"/>
  <c r="AL7" i="32"/>
  <c r="Z7" i="32"/>
  <c r="AQ4" i="32"/>
  <c r="AE4" i="32"/>
  <c r="S4" i="32"/>
  <c r="AK7" i="32"/>
  <c r="Y7" i="32"/>
  <c r="AP4" i="32"/>
  <c r="AD4" i="32"/>
  <c r="R4" i="32"/>
  <c r="AP31" i="32"/>
  <c r="AD31" i="32"/>
  <c r="R31" i="32"/>
  <c r="F31" i="32"/>
  <c r="AM30" i="32"/>
  <c r="AA30" i="32"/>
  <c r="O30" i="32"/>
  <c r="C30" i="32"/>
  <c r="AS28" i="32"/>
  <c r="AG28" i="32"/>
  <c r="AP27" i="32"/>
  <c r="AD27" i="32"/>
  <c r="R27" i="32"/>
  <c r="F27" i="32"/>
  <c r="L25" i="32"/>
  <c r="AS25" i="32"/>
  <c r="AG25" i="32"/>
  <c r="U25" i="32"/>
  <c r="I25" i="32"/>
  <c r="AL31" i="32"/>
  <c r="Z31" i="32"/>
  <c r="Z10" i="32"/>
  <c r="D30" i="32"/>
  <c r="M31" i="32"/>
  <c r="V30" i="32"/>
  <c r="AK27" i="32"/>
  <c r="Y10" i="32"/>
  <c r="AE25" i="32"/>
  <c r="AD25" i="32"/>
  <c r="AT28" i="32"/>
  <c r="AH21" i="32"/>
  <c r="AG31" i="32"/>
  <c r="U31" i="32"/>
  <c r="AP30" i="32"/>
  <c r="AD30" i="32"/>
  <c r="R30" i="32"/>
  <c r="F30" i="32"/>
  <c r="X28" i="32"/>
  <c r="AS27" i="32"/>
  <c r="AG27" i="32"/>
  <c r="I27" i="32"/>
  <c r="AA25" i="32"/>
  <c r="O25" i="32"/>
  <c r="C25" i="32"/>
  <c r="AR31" i="32"/>
  <c r="AF31" i="32"/>
  <c r="T31" i="32"/>
  <c r="H31" i="32"/>
  <c r="AO30" i="32"/>
  <c r="AC30" i="32"/>
  <c r="Q30" i="32"/>
  <c r="AU28" i="32"/>
  <c r="AI28" i="32"/>
  <c r="W28" i="32"/>
  <c r="K28" i="32"/>
  <c r="AR27" i="32"/>
  <c r="AF27" i="32"/>
  <c r="AL25" i="32"/>
  <c r="Z25" i="32"/>
  <c r="N25" i="32"/>
  <c r="AS10" i="32"/>
  <c r="AG10" i="32"/>
  <c r="U10" i="32"/>
  <c r="I10" i="32"/>
  <c r="S31" i="32"/>
  <c r="AN30" i="32"/>
  <c r="AH28" i="32"/>
  <c r="V28" i="32"/>
  <c r="J28" i="32"/>
  <c r="AE27" i="32"/>
  <c r="AS31" i="32"/>
  <c r="I31" i="32"/>
  <c r="AM25" i="32"/>
  <c r="N31" i="32"/>
  <c r="AU30" i="32"/>
  <c r="AI30" i="32"/>
  <c r="W30" i="32"/>
  <c r="K30" i="32"/>
  <c r="AO28" i="32"/>
  <c r="N10" i="32"/>
  <c r="S21" i="32"/>
  <c r="G21" i="32"/>
  <c r="H21" i="32"/>
  <c r="T21" i="32"/>
  <c r="AC28" i="32"/>
  <c r="E28" i="32"/>
  <c r="AL27" i="32"/>
  <c r="Z27" i="32"/>
  <c r="AR25" i="32"/>
  <c r="AF25" i="32"/>
  <c r="T25" i="32"/>
  <c r="H25" i="32"/>
  <c r="S27" i="32"/>
  <c r="T27" i="32"/>
  <c r="N27" i="32"/>
  <c r="O28" i="32"/>
  <c r="AJ27" i="32"/>
  <c r="AP25" i="32"/>
  <c r="AG21" i="32"/>
  <c r="AE21" i="32"/>
  <c r="AK31" i="32"/>
  <c r="AT30" i="32"/>
  <c r="AB28" i="32"/>
  <c r="P28" i="32"/>
  <c r="G25" i="32"/>
  <c r="AS21" i="32"/>
  <c r="I21" i="32"/>
  <c r="H27" i="32"/>
  <c r="AJ28" i="32"/>
  <c r="U30" i="32"/>
  <c r="AA28" i="32"/>
  <c r="AJ21" i="32"/>
  <c r="AF21" i="32"/>
  <c r="AO25" i="32"/>
  <c r="Q25" i="32"/>
  <c r="E25" i="32"/>
  <c r="AU2" i="32"/>
  <c r="AI25" i="32"/>
  <c r="K2" i="32"/>
  <c r="K54" i="32" s="1"/>
  <c r="V25" i="32"/>
  <c r="J25" i="32"/>
  <c r="L30" i="32"/>
  <c r="AD28" i="32"/>
  <c r="O10" i="32"/>
  <c r="X30" i="32"/>
  <c r="AM27" i="32"/>
  <c r="AM10" i="32"/>
  <c r="AA27" i="32"/>
  <c r="AA10" i="32"/>
  <c r="C27" i="32"/>
  <c r="C10" i="32"/>
  <c r="C28" i="32"/>
  <c r="L21" i="32"/>
  <c r="AP13" i="32"/>
  <c r="F13" i="32"/>
  <c r="F25" i="32"/>
  <c r="AJ31" i="32"/>
  <c r="O27" i="32"/>
  <c r="AT21" i="32"/>
  <c r="V21" i="32"/>
  <c r="AL10" i="32"/>
  <c r="AO10" i="32"/>
  <c r="AC10" i="32"/>
  <c r="E10" i="32"/>
  <c r="AY3" i="32"/>
  <c r="AK25" i="32"/>
  <c r="Y25" i="32"/>
  <c r="M2" i="32"/>
  <c r="M55" i="32" s="1"/>
  <c r="M25" i="32"/>
  <c r="L27" i="32"/>
  <c r="AK10" i="32"/>
  <c r="M10" i="32"/>
  <c r="AN10" i="32"/>
  <c r="AB10" i="32"/>
  <c r="P10" i="32"/>
  <c r="D10" i="32"/>
  <c r="AJ25" i="32"/>
  <c r="X25" i="32"/>
  <c r="L2" i="32"/>
  <c r="L53" i="32" s="1"/>
  <c r="AM31" i="32"/>
  <c r="R28" i="32"/>
  <c r="AM28" i="32"/>
  <c r="AG30" i="32"/>
  <c r="O31" i="32"/>
  <c r="C31" i="32"/>
  <c r="AJ30" i="32"/>
  <c r="AP28" i="32"/>
  <c r="AN28" i="32"/>
  <c r="D28" i="32"/>
  <c r="Y27" i="32"/>
  <c r="M27" i="32"/>
  <c r="AQ13" i="32"/>
  <c r="AQ25" i="32"/>
  <c r="AE13" i="32"/>
  <c r="S13" i="32"/>
  <c r="S25" i="32"/>
  <c r="G13" i="32"/>
  <c r="F28" i="32"/>
  <c r="AA31" i="32"/>
  <c r="J30" i="32"/>
  <c r="J21" i="32"/>
  <c r="X31" i="32"/>
  <c r="L31" i="32"/>
  <c r="X21" i="32"/>
  <c r="X27" i="32"/>
  <c r="AD13" i="32"/>
  <c r="U21" i="32"/>
  <c r="R13" i="32"/>
  <c r="AZ14" i="32"/>
  <c r="AU21" i="32"/>
  <c r="AI21" i="32"/>
  <c r="W21" i="32"/>
  <c r="K21" i="32"/>
  <c r="AC13" i="32"/>
  <c r="AU31" i="32"/>
  <c r="AR21" i="32"/>
  <c r="Q31" i="32"/>
  <c r="Z21" i="32"/>
  <c r="AR28" i="32"/>
  <c r="T28" i="32"/>
  <c r="AC21" i="32"/>
  <c r="E21" i="32"/>
  <c r="K13" i="32"/>
  <c r="AH31" i="32"/>
  <c r="AQ30" i="32"/>
  <c r="Y28" i="32"/>
  <c r="AT27" i="32"/>
  <c r="V27" i="32"/>
  <c r="I30" i="32"/>
  <c r="AY14" i="32"/>
  <c r="AS13" i="32"/>
  <c r="AG13" i="32"/>
  <c r="U13" i="32"/>
  <c r="I13" i="32"/>
  <c r="AS30" i="32"/>
  <c r="E30" i="32"/>
  <c r="Q28" i="32"/>
  <c r="AQ27" i="32"/>
  <c r="AZ13" i="32"/>
  <c r="AR13" i="32"/>
  <c r="AF13" i="32"/>
  <c r="T13" i="32"/>
  <c r="H13" i="32"/>
  <c r="P30" i="32"/>
  <c r="AE31" i="32"/>
  <c r="I28" i="32"/>
  <c r="AZ2" i="32"/>
  <c r="AX13" i="32"/>
  <c r="AL13" i="32"/>
  <c r="Z13" i="32"/>
  <c r="N13" i="32"/>
  <c r="Y31" i="32"/>
  <c r="AH30" i="32"/>
  <c r="P13" i="32"/>
  <c r="AK13" i="32"/>
  <c r="Y13" i="32"/>
  <c r="M13" i="32"/>
  <c r="AM21" i="32"/>
  <c r="O21" i="32"/>
  <c r="AP21" i="32"/>
  <c r="R21" i="32"/>
  <c r="F21" i="32"/>
  <c r="AJ13" i="32"/>
  <c r="X13" i="32"/>
  <c r="W31" i="32"/>
  <c r="K31" i="32"/>
  <c r="AR30" i="32"/>
  <c r="AF30" i="32"/>
  <c r="T30" i="32"/>
  <c r="H30" i="32"/>
  <c r="AX2" i="32"/>
  <c r="AL28" i="32"/>
  <c r="Z28" i="32"/>
  <c r="N28" i="32"/>
  <c r="AZ3" i="32"/>
  <c r="AI27" i="32"/>
  <c r="W27" i="32"/>
  <c r="K27" i="32"/>
  <c r="AA21" i="32"/>
  <c r="C21" i="32"/>
  <c r="AD21" i="32"/>
  <c r="L13" i="32"/>
  <c r="AO31" i="32"/>
  <c r="AC31" i="32"/>
  <c r="AL21" i="32"/>
  <c r="N21" i="32"/>
  <c r="AF28" i="32"/>
  <c r="AO21" i="32"/>
  <c r="AX14" i="32"/>
  <c r="AI13" i="32"/>
  <c r="V31" i="32"/>
  <c r="AE30" i="32"/>
  <c r="G30" i="32"/>
  <c r="AK28" i="32"/>
  <c r="AH27" i="32"/>
  <c r="J27" i="32"/>
  <c r="R25" i="32"/>
  <c r="AI31" i="32"/>
  <c r="E31" i="32"/>
  <c r="H28" i="32"/>
  <c r="AU13" i="32"/>
  <c r="W13" i="32"/>
  <c r="AT31" i="32"/>
  <c r="J31" i="32"/>
  <c r="S30" i="32"/>
  <c r="M28" i="32"/>
  <c r="AB30" i="32"/>
  <c r="U28" i="32"/>
  <c r="G27" i="32"/>
  <c r="AQ21" i="32"/>
  <c r="AN31" i="32"/>
  <c r="AB31" i="32"/>
  <c r="P31" i="32"/>
  <c r="D31" i="32"/>
  <c r="AK21" i="32"/>
  <c r="Y21" i="32"/>
  <c r="M21" i="32"/>
  <c r="AQ28" i="32"/>
  <c r="AE28" i="32"/>
  <c r="S28" i="32"/>
  <c r="G28" i="32"/>
  <c r="AN21" i="32"/>
  <c r="AB21" i="32"/>
  <c r="P21" i="32"/>
  <c r="D21" i="32"/>
  <c r="AT13" i="32"/>
  <c r="AH13" i="32"/>
  <c r="V13" i="32"/>
  <c r="J13" i="32"/>
  <c r="AP10" i="32"/>
  <c r="AD10" i="32"/>
  <c r="R10" i="32"/>
  <c r="F10" i="32"/>
  <c r="AY2" i="32"/>
  <c r="L28" i="32"/>
  <c r="U27" i="32"/>
  <c r="AN25" i="32"/>
  <c r="AB25" i="32"/>
  <c r="P25" i="32"/>
  <c r="D25" i="32"/>
  <c r="AA2" i="32"/>
  <c r="O2" i="32"/>
  <c r="O44" i="32" s="1"/>
  <c r="C2" i="32"/>
  <c r="C40" i="32" s="1"/>
  <c r="AQ31" i="32"/>
  <c r="G31" i="32"/>
  <c r="AM13" i="32"/>
  <c r="AA13" i="32"/>
  <c r="O13" i="32"/>
  <c r="C13" i="32"/>
  <c r="N2" i="32"/>
  <c r="I2" i="32"/>
  <c r="I42" i="32" s="1"/>
  <c r="AJ10" i="32"/>
  <c r="X10" i="32"/>
  <c r="L10" i="32"/>
  <c r="H2" i="32"/>
  <c r="H50" i="32" s="1"/>
  <c r="G2" i="32"/>
  <c r="G41" i="32" s="1"/>
  <c r="F2" i="32"/>
  <c r="F41" i="32" s="1"/>
  <c r="E2" i="32"/>
  <c r="E54" i="32" s="1"/>
  <c r="P2" i="32"/>
  <c r="P55" i="32" s="1"/>
  <c r="D2" i="32"/>
  <c r="D42" i="32" s="1"/>
  <c r="AO13" i="32"/>
  <c r="J2" i="32"/>
  <c r="J40" i="32" s="1"/>
  <c r="AL30" i="32"/>
  <c r="Z30" i="32"/>
  <c r="N30" i="32"/>
  <c r="AO27" i="32"/>
  <c r="AC27" i="32"/>
  <c r="Q27" i="32"/>
  <c r="E27" i="32"/>
  <c r="AU25" i="32"/>
  <c r="W25" i="32"/>
  <c r="K25" i="32"/>
  <c r="AB13" i="32"/>
  <c r="D13" i="32"/>
  <c r="AK30" i="32"/>
  <c r="Y30" i="32"/>
  <c r="M30" i="32"/>
  <c r="AN27" i="32"/>
  <c r="AB27" i="32"/>
  <c r="P27" i="32"/>
  <c r="D27" i="32"/>
  <c r="AT25" i="32"/>
  <c r="AH25" i="32"/>
  <c r="Q21" i="32"/>
  <c r="AU10" i="32"/>
  <c r="AZ4" i="32" s="1"/>
  <c r="AI10" i="32"/>
  <c r="W10" i="32"/>
  <c r="K10" i="32"/>
  <c r="Q13" i="32"/>
  <c r="AN13" i="32"/>
  <c r="AY13" i="32"/>
  <c r="AT10" i="32"/>
  <c r="AH10" i="32"/>
  <c r="V10" i="32"/>
  <c r="J10" i="32"/>
  <c r="E13" i="32"/>
  <c r="AR10" i="32"/>
  <c r="AF10" i="32"/>
  <c r="T10" i="32"/>
  <c r="H10" i="32"/>
  <c r="AQ10" i="32"/>
  <c r="AE10" i="32"/>
  <c r="S10" i="32"/>
  <c r="G10" i="32"/>
  <c r="AU27" i="32"/>
  <c r="AC25" i="32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AN2" i="32" l="1"/>
  <c r="AN40" i="32" s="1"/>
  <c r="AB2" i="32"/>
  <c r="AB50" i="32" s="1"/>
  <c r="AZ7" i="32"/>
  <c r="AZ8" i="32"/>
  <c r="AE2" i="32"/>
  <c r="AE40" i="32" s="1"/>
  <c r="AL2" i="32"/>
  <c r="AL39" i="32" s="1"/>
  <c r="AT2" i="32"/>
  <c r="AT50" i="32" s="1"/>
  <c r="AM2" i="32"/>
  <c r="AM50" i="32" s="1"/>
  <c r="T2" i="32"/>
  <c r="T50" i="32" s="1"/>
  <c r="AO2" i="32"/>
  <c r="AO43" i="32" s="1"/>
  <c r="AJ2" i="32"/>
  <c r="AJ51" i="32" s="1"/>
  <c r="AK2" i="32"/>
  <c r="AK41" i="32" s="1"/>
  <c r="AS2" i="32"/>
  <c r="AS54" i="32" s="1"/>
  <c r="W2" i="32"/>
  <c r="W41" i="32" s="1"/>
  <c r="AH2" i="32"/>
  <c r="AH43" i="32" s="1"/>
  <c r="Z2" i="32"/>
  <c r="Z43" i="32" s="1"/>
  <c r="AI2" i="32"/>
  <c r="AI24" i="32" s="1"/>
  <c r="AF2" i="32"/>
  <c r="AF54" i="32" s="1"/>
  <c r="AR2" i="32"/>
  <c r="AR53" i="32" s="1"/>
  <c r="AC2" i="32"/>
  <c r="AC52" i="32" s="1"/>
  <c r="Y2" i="32"/>
  <c r="Y43" i="32" s="1"/>
  <c r="AG2" i="32"/>
  <c r="AG50" i="32" s="1"/>
  <c r="V2" i="32"/>
  <c r="V54" i="32" s="1"/>
  <c r="X2" i="32"/>
  <c r="X39" i="32" s="1"/>
  <c r="S2" i="32"/>
  <c r="S41" i="32" s="1"/>
  <c r="AQ2" i="32"/>
  <c r="AQ40" i="32" s="1"/>
  <c r="AP2" i="32"/>
  <c r="AP53" i="32" s="1"/>
  <c r="AD2" i="32"/>
  <c r="AD41" i="32" s="1"/>
  <c r="AX4" i="32"/>
  <c r="U2" i="32"/>
  <c r="U50" i="32" s="1"/>
  <c r="R2" i="32"/>
  <c r="R41" i="32" s="1"/>
  <c r="Q2" i="32"/>
  <c r="AX8" i="32" s="1"/>
  <c r="R26" i="32"/>
  <c r="AA42" i="32"/>
  <c r="AY9" i="32"/>
  <c r="AY8" i="32"/>
  <c r="AU44" i="32"/>
  <c r="AZ9" i="32"/>
  <c r="AY7" i="32"/>
  <c r="F26" i="32"/>
  <c r="AD26" i="32"/>
  <c r="C29" i="32"/>
  <c r="AG26" i="32"/>
  <c r="AS26" i="32"/>
  <c r="C32" i="32"/>
  <c r="K32" i="32"/>
  <c r="K29" i="32"/>
  <c r="O29" i="32"/>
  <c r="W26" i="32"/>
  <c r="AM29" i="32"/>
  <c r="F29" i="32"/>
  <c r="R29" i="32"/>
  <c r="AD29" i="32"/>
  <c r="AP32" i="32"/>
  <c r="AM32" i="32"/>
  <c r="AA29" i="32"/>
  <c r="AP26" i="32"/>
  <c r="F32" i="32"/>
  <c r="V29" i="32"/>
  <c r="H29" i="32"/>
  <c r="AK26" i="32"/>
  <c r="AU24" i="32"/>
  <c r="L41" i="32"/>
  <c r="K39" i="32"/>
  <c r="J26" i="32"/>
  <c r="AC29" i="32"/>
  <c r="AO29" i="32"/>
  <c r="R32" i="32"/>
  <c r="K45" i="32"/>
  <c r="AI29" i="32"/>
  <c r="AH26" i="32"/>
  <c r="AL26" i="32"/>
  <c r="Q29" i="32"/>
  <c r="D29" i="32"/>
  <c r="AN29" i="32"/>
  <c r="AT26" i="32"/>
  <c r="K42" i="32"/>
  <c r="E24" i="32"/>
  <c r="U29" i="32"/>
  <c r="K40" i="32"/>
  <c r="AF26" i="32"/>
  <c r="V26" i="32"/>
  <c r="AR32" i="32"/>
  <c r="N24" i="32"/>
  <c r="T29" i="32"/>
  <c r="AD32" i="32"/>
  <c r="L55" i="32"/>
  <c r="H26" i="32"/>
  <c r="AE26" i="32"/>
  <c r="AP29" i="32"/>
  <c r="Z26" i="32"/>
  <c r="AR26" i="32"/>
  <c r="S29" i="32"/>
  <c r="AJ26" i="32"/>
  <c r="H45" i="32"/>
  <c r="AF29" i="32"/>
  <c r="O26" i="32"/>
  <c r="G32" i="32"/>
  <c r="N26" i="32"/>
  <c r="W29" i="32"/>
  <c r="I26" i="32"/>
  <c r="AU29" i="32"/>
  <c r="AI32" i="32"/>
  <c r="AH29" i="32"/>
  <c r="S26" i="32"/>
  <c r="D51" i="32"/>
  <c r="P51" i="32"/>
  <c r="AT29" i="32"/>
  <c r="AH32" i="32"/>
  <c r="P29" i="32"/>
  <c r="T26" i="32"/>
  <c r="AJ29" i="32"/>
  <c r="AQ32" i="32"/>
  <c r="AF32" i="32"/>
  <c r="D56" i="32"/>
  <c r="AQ26" i="32"/>
  <c r="E50" i="32"/>
  <c r="K41" i="32"/>
  <c r="K55" i="32"/>
  <c r="M26" i="32"/>
  <c r="J56" i="32"/>
  <c r="J32" i="32"/>
  <c r="AA26" i="32"/>
  <c r="P50" i="32"/>
  <c r="K52" i="32"/>
  <c r="K43" i="32"/>
  <c r="K65" i="32" s="1"/>
  <c r="K50" i="32"/>
  <c r="G29" i="32"/>
  <c r="L24" i="32"/>
  <c r="K24" i="32"/>
  <c r="L43" i="32"/>
  <c r="K53" i="32"/>
  <c r="K56" i="32"/>
  <c r="K44" i="32"/>
  <c r="G26" i="32"/>
  <c r="AE29" i="32"/>
  <c r="K51" i="32"/>
  <c r="F55" i="32"/>
  <c r="P24" i="32"/>
  <c r="AU41" i="32"/>
  <c r="AU54" i="32"/>
  <c r="J42" i="32"/>
  <c r="AU42" i="32"/>
  <c r="AU55" i="32"/>
  <c r="AX55" i="32" s="1"/>
  <c r="W32" i="32"/>
  <c r="I44" i="32"/>
  <c r="M54" i="32"/>
  <c r="AU40" i="32"/>
  <c r="E44" i="32"/>
  <c r="M56" i="32"/>
  <c r="M53" i="32"/>
  <c r="E29" i="32"/>
  <c r="AU50" i="32"/>
  <c r="C54" i="32"/>
  <c r="M51" i="32"/>
  <c r="AU39" i="32"/>
  <c r="AI26" i="32"/>
  <c r="AU52" i="32"/>
  <c r="D52" i="32"/>
  <c r="AU43" i="32"/>
  <c r="D45" i="32"/>
  <c r="P44" i="32"/>
  <c r="C50" i="32"/>
  <c r="AU51" i="32"/>
  <c r="AE32" i="32"/>
  <c r="AB29" i="32"/>
  <c r="AU53" i="32"/>
  <c r="I43" i="32"/>
  <c r="AJ32" i="32"/>
  <c r="P40" i="32"/>
  <c r="C52" i="32"/>
  <c r="K26" i="32"/>
  <c r="C24" i="32"/>
  <c r="V32" i="32"/>
  <c r="AR29" i="32"/>
  <c r="C42" i="32"/>
  <c r="M41" i="32"/>
  <c r="E55" i="32"/>
  <c r="P42" i="32"/>
  <c r="F51" i="32"/>
  <c r="E51" i="32"/>
  <c r="F56" i="32"/>
  <c r="O32" i="32"/>
  <c r="E56" i="32"/>
  <c r="L29" i="32"/>
  <c r="E53" i="32"/>
  <c r="F53" i="32"/>
  <c r="M50" i="32"/>
  <c r="D50" i="32"/>
  <c r="AA32" i="32"/>
  <c r="AY4" i="32"/>
  <c r="AA45" i="32"/>
  <c r="H41" i="32"/>
  <c r="H39" i="32"/>
  <c r="H61" i="32" s="1"/>
  <c r="N41" i="32"/>
  <c r="D54" i="32"/>
  <c r="H42" i="32"/>
  <c r="D40" i="32"/>
  <c r="L26" i="32"/>
  <c r="L32" i="32"/>
  <c r="N39" i="32"/>
  <c r="D53" i="32"/>
  <c r="AA40" i="32"/>
  <c r="AU45" i="32"/>
  <c r="S32" i="32"/>
  <c r="P43" i="32"/>
  <c r="P39" i="32"/>
  <c r="P41" i="32"/>
  <c r="I40" i="32"/>
  <c r="P56" i="32"/>
  <c r="P54" i="32"/>
  <c r="E39" i="32"/>
  <c r="N42" i="32"/>
  <c r="J29" i="32"/>
  <c r="P52" i="32"/>
  <c r="AA41" i="32"/>
  <c r="N44" i="32"/>
  <c r="P45" i="32"/>
  <c r="P53" i="32"/>
  <c r="J50" i="32"/>
  <c r="AX15" i="32"/>
  <c r="AT32" i="32"/>
  <c r="U26" i="32"/>
  <c r="U32" i="32"/>
  <c r="J53" i="32"/>
  <c r="H52" i="32"/>
  <c r="N54" i="32"/>
  <c r="I52" i="32"/>
  <c r="L52" i="32"/>
  <c r="L42" i="32"/>
  <c r="L64" i="32" s="1"/>
  <c r="L54" i="32"/>
  <c r="L50" i="32"/>
  <c r="L48" i="32" s="1"/>
  <c r="L40" i="32"/>
  <c r="L44" i="32"/>
  <c r="AM26" i="32"/>
  <c r="O42" i="32"/>
  <c r="G43" i="32"/>
  <c r="J45" i="32"/>
  <c r="H32" i="32"/>
  <c r="L45" i="32"/>
  <c r="F43" i="32"/>
  <c r="N56" i="32"/>
  <c r="C56" i="32"/>
  <c r="I45" i="32"/>
  <c r="G51" i="32"/>
  <c r="H51" i="32"/>
  <c r="X26" i="32"/>
  <c r="X32" i="32"/>
  <c r="F42" i="32"/>
  <c r="M45" i="32"/>
  <c r="I54" i="32"/>
  <c r="E45" i="32"/>
  <c r="G50" i="32"/>
  <c r="AA53" i="32"/>
  <c r="AA43" i="32"/>
  <c r="AA39" i="32"/>
  <c r="AA51" i="32"/>
  <c r="AA55" i="32"/>
  <c r="AW55" i="32" s="1"/>
  <c r="AA52" i="32"/>
  <c r="AA24" i="32"/>
  <c r="D43" i="32"/>
  <c r="D39" i="32"/>
  <c r="D41" i="32"/>
  <c r="D55" i="32"/>
  <c r="D24" i="32"/>
  <c r="F24" i="32"/>
  <c r="E52" i="32"/>
  <c r="E41" i="32"/>
  <c r="F45" i="32"/>
  <c r="AA54" i="32"/>
  <c r="G55" i="32"/>
  <c r="E43" i="32"/>
  <c r="E65" i="32" s="1"/>
  <c r="H54" i="32"/>
  <c r="G53" i="32"/>
  <c r="M43" i="32"/>
  <c r="E40" i="32"/>
  <c r="G54" i="32"/>
  <c r="X29" i="32"/>
  <c r="J24" i="32"/>
  <c r="J41" i="32"/>
  <c r="J43" i="32"/>
  <c r="J39" i="32"/>
  <c r="G24" i="32"/>
  <c r="T32" i="32"/>
  <c r="AY15" i="32"/>
  <c r="AA56" i="32"/>
  <c r="J52" i="32"/>
  <c r="H40" i="32"/>
  <c r="G56" i="32"/>
  <c r="C44" i="32"/>
  <c r="J51" i="32"/>
  <c r="J62" i="32" s="1"/>
  <c r="H56" i="32"/>
  <c r="J54" i="32"/>
  <c r="G45" i="32"/>
  <c r="I24" i="32"/>
  <c r="I55" i="32"/>
  <c r="I51" i="32"/>
  <c r="I41" i="32"/>
  <c r="I39" i="32"/>
  <c r="I53" i="32"/>
  <c r="I64" i="32" s="1"/>
  <c r="I50" i="32"/>
  <c r="G52" i="32"/>
  <c r="G63" i="32" s="1"/>
  <c r="E42" i="32"/>
  <c r="I29" i="32"/>
  <c r="I32" i="32"/>
  <c r="AQ29" i="32"/>
  <c r="O52" i="32"/>
  <c r="M24" i="32"/>
  <c r="M42" i="32"/>
  <c r="M40" i="32"/>
  <c r="M44" i="32"/>
  <c r="M66" i="32" s="1"/>
  <c r="J55" i="32"/>
  <c r="AA44" i="32"/>
  <c r="O45" i="32"/>
  <c r="N55" i="32"/>
  <c r="N51" i="32"/>
  <c r="N40" i="32"/>
  <c r="F54" i="32"/>
  <c r="F50" i="32"/>
  <c r="F44" i="32"/>
  <c r="F40" i="32"/>
  <c r="F52" i="32"/>
  <c r="F63" i="32" s="1"/>
  <c r="H43" i="32"/>
  <c r="J44" i="32"/>
  <c r="O54" i="32"/>
  <c r="H55" i="32"/>
  <c r="G39" i="32"/>
  <c r="AZ15" i="32"/>
  <c r="AU56" i="32"/>
  <c r="I56" i="32"/>
  <c r="H53" i="32"/>
  <c r="H48" i="32" s="1"/>
  <c r="N45" i="32"/>
  <c r="N43" i="32"/>
  <c r="L39" i="32"/>
  <c r="O53" i="32"/>
  <c r="O43" i="32"/>
  <c r="O39" i="32"/>
  <c r="O55" i="32"/>
  <c r="O66" i="32" s="1"/>
  <c r="O51" i="32"/>
  <c r="O41" i="32"/>
  <c r="O50" i="32"/>
  <c r="O56" i="32"/>
  <c r="H44" i="32"/>
  <c r="M39" i="32"/>
  <c r="D44" i="32"/>
  <c r="L51" i="32"/>
  <c r="C45" i="32"/>
  <c r="G40" i="32"/>
  <c r="G42" i="32"/>
  <c r="G44" i="32"/>
  <c r="AS29" i="32"/>
  <c r="AS32" i="32"/>
  <c r="N50" i="32"/>
  <c r="N52" i="32"/>
  <c r="AG29" i="32"/>
  <c r="AG32" i="32"/>
  <c r="O24" i="32"/>
  <c r="H24" i="32"/>
  <c r="N53" i="32"/>
  <c r="O40" i="32"/>
  <c r="C53" i="32"/>
  <c r="C43" i="32"/>
  <c r="C39" i="32"/>
  <c r="C55" i="32"/>
  <c r="C51" i="32"/>
  <c r="C62" i="32" s="1"/>
  <c r="C41" i="32"/>
  <c r="F39" i="32"/>
  <c r="AA50" i="32"/>
  <c r="Y26" i="32"/>
  <c r="M52" i="32"/>
  <c r="L56" i="32"/>
  <c r="C26" i="32"/>
  <c r="AO32" i="32"/>
  <c r="AO26" i="32"/>
  <c r="N32" i="32"/>
  <c r="N29" i="32"/>
  <c r="AL32" i="32"/>
  <c r="AL29" i="32"/>
  <c r="D26" i="32"/>
  <c r="D32" i="32"/>
  <c r="P26" i="32"/>
  <c r="P32" i="32"/>
  <c r="AB32" i="32"/>
  <c r="AB26" i="32"/>
  <c r="AN32" i="32"/>
  <c r="AN26" i="32"/>
  <c r="M32" i="32"/>
  <c r="M29" i="32"/>
  <c r="Y32" i="32"/>
  <c r="Y29" i="32"/>
  <c r="Z32" i="32"/>
  <c r="Z29" i="32"/>
  <c r="AU26" i="32"/>
  <c r="AU32" i="32"/>
  <c r="AK32" i="32"/>
  <c r="AK29" i="32"/>
  <c r="E32" i="32"/>
  <c r="E26" i="32"/>
  <c r="Q32" i="32"/>
  <c r="Q26" i="32"/>
  <c r="AC32" i="32"/>
  <c r="AC26" i="32"/>
  <c r="Q120" i="16"/>
  <c r="P120" i="16"/>
  <c r="Q107" i="16"/>
  <c r="O107" i="16"/>
  <c r="Q94" i="16"/>
  <c r="Q81" i="16"/>
  <c r="P81" i="16"/>
  <c r="O81" i="16"/>
  <c r="Q68" i="16"/>
  <c r="O68" i="16"/>
  <c r="Q29" i="16"/>
  <c r="Q16" i="16"/>
  <c r="O16" i="16"/>
  <c r="F128" i="16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N39" i="32" l="1"/>
  <c r="AN43" i="32"/>
  <c r="AN42" i="32"/>
  <c r="AN44" i="32"/>
  <c r="AN52" i="32"/>
  <c r="AN54" i="32"/>
  <c r="AN24" i="32"/>
  <c r="AN41" i="32"/>
  <c r="AN55" i="32"/>
  <c r="AN56" i="32"/>
  <c r="AN53" i="32"/>
  <c r="AN45" i="32"/>
  <c r="AN50" i="32"/>
  <c r="AN61" i="32" s="1"/>
  <c r="AN51" i="32"/>
  <c r="AN62" i="32" s="1"/>
  <c r="AE39" i="32"/>
  <c r="AI52" i="32"/>
  <c r="AB24" i="32"/>
  <c r="AB52" i="32"/>
  <c r="AE50" i="32"/>
  <c r="AE43" i="32"/>
  <c r="AE42" i="32"/>
  <c r="AE53" i="32"/>
  <c r="AB40" i="32"/>
  <c r="AL55" i="32"/>
  <c r="AE55" i="32"/>
  <c r="T42" i="32"/>
  <c r="T51" i="32"/>
  <c r="AL50" i="32"/>
  <c r="AL61" i="32" s="1"/>
  <c r="AT45" i="32"/>
  <c r="AE24" i="32"/>
  <c r="AB54" i="32"/>
  <c r="T40" i="32"/>
  <c r="AB45" i="32"/>
  <c r="AL45" i="32"/>
  <c r="AB42" i="32"/>
  <c r="AB44" i="32"/>
  <c r="AB53" i="32"/>
  <c r="AB48" i="32" s="1"/>
  <c r="AB55" i="32"/>
  <c r="AB41" i="32"/>
  <c r="Y42" i="32"/>
  <c r="AB39" i="32"/>
  <c r="AB61" i="32" s="1"/>
  <c r="AB56" i="32"/>
  <c r="AB51" i="32"/>
  <c r="Y24" i="32"/>
  <c r="T52" i="32"/>
  <c r="AB43" i="32"/>
  <c r="AE44" i="32"/>
  <c r="AE54" i="32"/>
  <c r="AE41" i="32"/>
  <c r="AE51" i="32"/>
  <c r="AE62" i="32" s="1"/>
  <c r="AK45" i="32"/>
  <c r="AM42" i="32"/>
  <c r="AT44" i="32"/>
  <c r="AM55" i="32"/>
  <c r="AR56" i="32"/>
  <c r="AE52" i="32"/>
  <c r="AE45" i="32"/>
  <c r="AM39" i="32"/>
  <c r="AM61" i="32" s="1"/>
  <c r="AM53" i="32"/>
  <c r="AM48" i="32" s="1"/>
  <c r="AT40" i="32"/>
  <c r="AR54" i="32"/>
  <c r="AT39" i="32"/>
  <c r="AR50" i="32"/>
  <c r="AR48" i="32" s="1"/>
  <c r="AI53" i="32"/>
  <c r="AL44" i="32"/>
  <c r="AT43" i="32"/>
  <c r="AT54" i="32"/>
  <c r="AC55" i="32"/>
  <c r="AL54" i="32"/>
  <c r="AT53" i="32"/>
  <c r="AT48" i="32" s="1"/>
  <c r="AE56" i="32"/>
  <c r="AO56" i="32"/>
  <c r="T55" i="32"/>
  <c r="AL41" i="32"/>
  <c r="AO42" i="32"/>
  <c r="AO45" i="32"/>
  <c r="AG41" i="32"/>
  <c r="T54" i="32"/>
  <c r="Y39" i="32"/>
  <c r="AL24" i="32"/>
  <c r="AJ42" i="32"/>
  <c r="Q54" i="32"/>
  <c r="AT56" i="32"/>
  <c r="AT42" i="32"/>
  <c r="T56" i="32"/>
  <c r="AT55" i="32"/>
  <c r="AT52" i="32"/>
  <c r="AL43" i="32"/>
  <c r="AT41" i="32"/>
  <c r="T53" i="32"/>
  <c r="T48" i="32" s="1"/>
  <c r="AT24" i="32"/>
  <c r="Q43" i="32"/>
  <c r="AM44" i="32"/>
  <c r="AL40" i="32"/>
  <c r="AO50" i="32"/>
  <c r="AL56" i="32"/>
  <c r="AO54" i="32"/>
  <c r="AO65" i="32" s="1"/>
  <c r="AO53" i="32"/>
  <c r="AO41" i="32"/>
  <c r="AO44" i="32"/>
  <c r="AL53" i="32"/>
  <c r="AO40" i="32"/>
  <c r="T45" i="32"/>
  <c r="AO52" i="32"/>
  <c r="AO39" i="32"/>
  <c r="AL42" i="32"/>
  <c r="AL37" i="32" s="1"/>
  <c r="AO51" i="32"/>
  <c r="AG51" i="32"/>
  <c r="AL51" i="32"/>
  <c r="AL52" i="32"/>
  <c r="AM40" i="32"/>
  <c r="AM45" i="32"/>
  <c r="AM41" i="32"/>
  <c r="AC24" i="32"/>
  <c r="AM54" i="32"/>
  <c r="Q51" i="32"/>
  <c r="AC54" i="32"/>
  <c r="AC56" i="32"/>
  <c r="AM52" i="32"/>
  <c r="AM56" i="32"/>
  <c r="AK50" i="32"/>
  <c r="AC40" i="32"/>
  <c r="Q40" i="32"/>
  <c r="Q56" i="32"/>
  <c r="AS53" i="32"/>
  <c r="AK53" i="32"/>
  <c r="AS39" i="32"/>
  <c r="X40" i="32"/>
  <c r="AS45" i="32"/>
  <c r="AT51" i="32"/>
  <c r="AJ24" i="32"/>
  <c r="AJ52" i="32"/>
  <c r="T24" i="32"/>
  <c r="AJ41" i="32"/>
  <c r="AK40" i="32"/>
  <c r="AK51" i="32"/>
  <c r="AK44" i="32"/>
  <c r="AK42" i="32"/>
  <c r="AK43" i="32"/>
  <c r="Y53" i="32"/>
  <c r="AK24" i="32"/>
  <c r="AK55" i="32"/>
  <c r="AJ56" i="32"/>
  <c r="AG39" i="32"/>
  <c r="AG61" i="32" s="1"/>
  <c r="AJ53" i="32"/>
  <c r="Q39" i="32"/>
  <c r="AM43" i="32"/>
  <c r="AJ45" i="32"/>
  <c r="Y56" i="32"/>
  <c r="AJ55" i="32"/>
  <c r="AM24" i="32"/>
  <c r="AJ54" i="32"/>
  <c r="AG40" i="32"/>
  <c r="AJ39" i="32"/>
  <c r="AI40" i="32"/>
  <c r="AJ50" i="32"/>
  <c r="AJ43" i="32"/>
  <c r="AJ44" i="32"/>
  <c r="Y55" i="32"/>
  <c r="Y54" i="32"/>
  <c r="Y65" i="32" s="1"/>
  <c r="T44" i="32"/>
  <c r="Y40" i="32"/>
  <c r="AO55" i="32"/>
  <c r="AJ40" i="32"/>
  <c r="AJ62" i="32" s="1"/>
  <c r="AC53" i="32"/>
  <c r="AS52" i="32"/>
  <c r="T41" i="32"/>
  <c r="AM51" i="32"/>
  <c r="AS43" i="32"/>
  <c r="AS65" i="32" s="1"/>
  <c r="X53" i="32"/>
  <c r="AF44" i="32"/>
  <c r="AI43" i="32"/>
  <c r="AF53" i="32"/>
  <c r="U44" i="32"/>
  <c r="AI42" i="32"/>
  <c r="AI44" i="32"/>
  <c r="AP40" i="32"/>
  <c r="AF43" i="32"/>
  <c r="AF65" i="32" s="1"/>
  <c r="U24" i="32"/>
  <c r="AI45" i="32"/>
  <c r="AF56" i="32"/>
  <c r="AF45" i="32"/>
  <c r="AI55" i="32"/>
  <c r="AP51" i="32"/>
  <c r="AQ53" i="32"/>
  <c r="W40" i="32"/>
  <c r="U52" i="32"/>
  <c r="AI54" i="32"/>
  <c r="AI39" i="32"/>
  <c r="AI51" i="32"/>
  <c r="AI56" i="32"/>
  <c r="AH24" i="32"/>
  <c r="AF42" i="32"/>
  <c r="U53" i="32"/>
  <c r="U48" i="32" s="1"/>
  <c r="AI50" i="32"/>
  <c r="Z56" i="32"/>
  <c r="AH39" i="32"/>
  <c r="W43" i="32"/>
  <c r="Q44" i="32"/>
  <c r="AP24" i="32"/>
  <c r="Z40" i="32"/>
  <c r="AH45" i="32"/>
  <c r="AH40" i="32"/>
  <c r="AH50" i="32"/>
  <c r="AS55" i="32"/>
  <c r="Z45" i="32"/>
  <c r="Z41" i="32"/>
  <c r="T39" i="32"/>
  <c r="T61" i="32" s="1"/>
  <c r="AH41" i="32"/>
  <c r="T43" i="32"/>
  <c r="AR24" i="32"/>
  <c r="AP55" i="32"/>
  <c r="AK54" i="32"/>
  <c r="AO24" i="32"/>
  <c r="AP42" i="32"/>
  <c r="AP64" i="32" s="1"/>
  <c r="AH54" i="32"/>
  <c r="AH65" i="32" s="1"/>
  <c r="AH51" i="32"/>
  <c r="AS41" i="32"/>
  <c r="AH55" i="32"/>
  <c r="R52" i="32"/>
  <c r="R63" i="32" s="1"/>
  <c r="AS51" i="32"/>
  <c r="R40" i="32"/>
  <c r="AH52" i="32"/>
  <c r="R24" i="32"/>
  <c r="AS56" i="32"/>
  <c r="Z51" i="32"/>
  <c r="Z54" i="32"/>
  <c r="Z65" i="32" s="1"/>
  <c r="Z44" i="32"/>
  <c r="AP54" i="32"/>
  <c r="AQ54" i="32"/>
  <c r="AP43" i="32"/>
  <c r="AS24" i="32"/>
  <c r="R50" i="32"/>
  <c r="AR52" i="32"/>
  <c r="R53" i="32"/>
  <c r="W56" i="32"/>
  <c r="R39" i="32"/>
  <c r="Z53" i="32"/>
  <c r="AR40" i="32"/>
  <c r="AD54" i="32"/>
  <c r="AR42" i="32"/>
  <c r="AR64" i="32" s="1"/>
  <c r="Z52" i="32"/>
  <c r="AR41" i="32"/>
  <c r="Z42" i="32"/>
  <c r="Z39" i="32"/>
  <c r="AD45" i="32"/>
  <c r="AH44" i="32"/>
  <c r="AP56" i="32"/>
  <c r="AP50" i="32"/>
  <c r="AP48" i="32" s="1"/>
  <c r="W53" i="32"/>
  <c r="AH42" i="32"/>
  <c r="AS42" i="32"/>
  <c r="AP41" i="32"/>
  <c r="AP39" i="32"/>
  <c r="AQ43" i="32"/>
  <c r="AK56" i="32"/>
  <c r="U43" i="32"/>
  <c r="Z24" i="32"/>
  <c r="AH56" i="32"/>
  <c r="AP52" i="32"/>
  <c r="AF50" i="32"/>
  <c r="AS50" i="32"/>
  <c r="W42" i="32"/>
  <c r="AS44" i="32"/>
  <c r="AK39" i="32"/>
  <c r="W50" i="32"/>
  <c r="AS40" i="32"/>
  <c r="AQ52" i="32"/>
  <c r="AG54" i="32"/>
  <c r="AG43" i="32"/>
  <c r="AQ51" i="32"/>
  <c r="AQ62" i="32" s="1"/>
  <c r="W54" i="32"/>
  <c r="AQ24" i="32"/>
  <c r="AC42" i="32"/>
  <c r="U55" i="32"/>
  <c r="Z50" i="32"/>
  <c r="AH53" i="32"/>
  <c r="AK52" i="32"/>
  <c r="AK63" i="32" s="1"/>
  <c r="U56" i="32"/>
  <c r="AP44" i="32"/>
  <c r="AC41" i="32"/>
  <c r="AC63" i="32" s="1"/>
  <c r="AI41" i="32"/>
  <c r="W45" i="32"/>
  <c r="W44" i="32"/>
  <c r="Z55" i="32"/>
  <c r="AF51" i="32"/>
  <c r="AX40" i="32"/>
  <c r="AQ41" i="32"/>
  <c r="W51" i="32"/>
  <c r="W39" i="32"/>
  <c r="AQ45" i="32"/>
  <c r="W52" i="32"/>
  <c r="W63" i="32" s="1"/>
  <c r="W55" i="32"/>
  <c r="AQ42" i="32"/>
  <c r="W24" i="32"/>
  <c r="AG44" i="32"/>
  <c r="S44" i="32"/>
  <c r="X45" i="32"/>
  <c r="Y50" i="32"/>
  <c r="S42" i="32"/>
  <c r="S50" i="32"/>
  <c r="X51" i="32"/>
  <c r="U41" i="32"/>
  <c r="V50" i="32"/>
  <c r="AR39" i="32"/>
  <c r="AF41" i="32"/>
  <c r="Q24" i="32"/>
  <c r="Y44" i="32"/>
  <c r="AG24" i="32"/>
  <c r="V55" i="32"/>
  <c r="U51" i="32"/>
  <c r="AD55" i="32"/>
  <c r="U54" i="32"/>
  <c r="V45" i="32"/>
  <c r="AF40" i="32"/>
  <c r="S55" i="32"/>
  <c r="S51" i="32"/>
  <c r="S56" i="32"/>
  <c r="AP45" i="32"/>
  <c r="X50" i="32"/>
  <c r="X61" i="32" s="1"/>
  <c r="X54" i="32"/>
  <c r="S54" i="32"/>
  <c r="X42" i="32"/>
  <c r="X37" i="32" s="1"/>
  <c r="S52" i="32"/>
  <c r="S63" i="32" s="1"/>
  <c r="S24" i="32"/>
  <c r="X52" i="32"/>
  <c r="X55" i="32"/>
  <c r="X43" i="32"/>
  <c r="X41" i="32"/>
  <c r="S53" i="32"/>
  <c r="V39" i="32"/>
  <c r="X56" i="32"/>
  <c r="X24" i="32"/>
  <c r="V51" i="32"/>
  <c r="V40" i="32"/>
  <c r="V41" i="32"/>
  <c r="AU61" i="32"/>
  <c r="U45" i="32"/>
  <c r="S40" i="32"/>
  <c r="U42" i="32"/>
  <c r="AD50" i="32"/>
  <c r="AG53" i="32"/>
  <c r="AG48" i="32" s="1"/>
  <c r="U39" i="32"/>
  <c r="U61" i="32" s="1"/>
  <c r="AC43" i="32"/>
  <c r="V24" i="32"/>
  <c r="Q53" i="32"/>
  <c r="X44" i="32"/>
  <c r="Q41" i="32"/>
  <c r="AF55" i="32"/>
  <c r="AR44" i="32"/>
  <c r="S45" i="32"/>
  <c r="AD42" i="32"/>
  <c r="R42" i="32"/>
  <c r="R44" i="32"/>
  <c r="Q45" i="32"/>
  <c r="AC44" i="32"/>
  <c r="AC51" i="32"/>
  <c r="AF39" i="32"/>
  <c r="AR55" i="32"/>
  <c r="AQ50" i="32"/>
  <c r="AF24" i="32"/>
  <c r="AQ56" i="32"/>
  <c r="AD52" i="32"/>
  <c r="AD63" i="32" s="1"/>
  <c r="AG45" i="32"/>
  <c r="V44" i="32"/>
  <c r="Y41" i="32"/>
  <c r="AR43" i="32"/>
  <c r="Q55" i="32"/>
  <c r="AD40" i="32"/>
  <c r="AG56" i="32"/>
  <c r="R54" i="32"/>
  <c r="AC45" i="32"/>
  <c r="AR51" i="32"/>
  <c r="AG52" i="32"/>
  <c r="AC39" i="32"/>
  <c r="V53" i="32"/>
  <c r="Y45" i="32"/>
  <c r="Y67" i="32" s="1"/>
  <c r="AD44" i="32"/>
  <c r="V56" i="32"/>
  <c r="Q52" i="32"/>
  <c r="V52" i="32"/>
  <c r="AG42" i="32"/>
  <c r="V43" i="32"/>
  <c r="V65" i="32" s="1"/>
  <c r="AG55" i="32"/>
  <c r="S39" i="32"/>
  <c r="AR45" i="32"/>
  <c r="S43" i="32"/>
  <c r="AQ55" i="32"/>
  <c r="Y52" i="32"/>
  <c r="AF52" i="32"/>
  <c r="V42" i="32"/>
  <c r="AQ44" i="32"/>
  <c r="AD39" i="32"/>
  <c r="AC50" i="32"/>
  <c r="Y51" i="32"/>
  <c r="Q50" i="32"/>
  <c r="AQ39" i="32"/>
  <c r="AD53" i="32"/>
  <c r="AD24" i="32"/>
  <c r="AD51" i="32"/>
  <c r="R55" i="32"/>
  <c r="R56" i="32"/>
  <c r="R51" i="32"/>
  <c r="AD43" i="32"/>
  <c r="AD56" i="32"/>
  <c r="R45" i="32"/>
  <c r="R43" i="32"/>
  <c r="U40" i="32"/>
  <c r="Q42" i="32"/>
  <c r="AX44" i="32"/>
  <c r="AY10" i="32"/>
  <c r="AW42" i="32"/>
  <c r="AZ10" i="32"/>
  <c r="AX7" i="32"/>
  <c r="AX9" i="32"/>
  <c r="L66" i="32"/>
  <c r="K67" i="32"/>
  <c r="AX51" i="32"/>
  <c r="L63" i="32"/>
  <c r="M62" i="32"/>
  <c r="K62" i="32"/>
  <c r="J64" i="32"/>
  <c r="K37" i="32"/>
  <c r="L65" i="32"/>
  <c r="K61" i="32"/>
  <c r="I63" i="32"/>
  <c r="K64" i="32"/>
  <c r="H67" i="32"/>
  <c r="D48" i="32"/>
  <c r="AW56" i="32"/>
  <c r="P67" i="32"/>
  <c r="D62" i="32"/>
  <c r="C65" i="32"/>
  <c r="D67" i="32"/>
  <c r="C64" i="32"/>
  <c r="AU65" i="32"/>
  <c r="AU63" i="32"/>
  <c r="AX54" i="32"/>
  <c r="P48" i="32"/>
  <c r="AX56" i="32"/>
  <c r="M64" i="32"/>
  <c r="AW51" i="32"/>
  <c r="K63" i="32"/>
  <c r="C63" i="32"/>
  <c r="D63" i="32"/>
  <c r="P62" i="32"/>
  <c r="E48" i="32"/>
  <c r="M67" i="32"/>
  <c r="O48" i="32"/>
  <c r="G62" i="32"/>
  <c r="K66" i="32"/>
  <c r="H66" i="32"/>
  <c r="AU48" i="32"/>
  <c r="K48" i="32"/>
  <c r="H62" i="32"/>
  <c r="F67" i="32"/>
  <c r="E62" i="32"/>
  <c r="O64" i="32"/>
  <c r="M65" i="32"/>
  <c r="AX53" i="32"/>
  <c r="E67" i="32"/>
  <c r="J67" i="32"/>
  <c r="I65" i="32"/>
  <c r="N48" i="32"/>
  <c r="AU37" i="32"/>
  <c r="P66" i="32"/>
  <c r="I48" i="32"/>
  <c r="G48" i="32"/>
  <c r="F62" i="32"/>
  <c r="F66" i="32"/>
  <c r="F64" i="32"/>
  <c r="O65" i="32"/>
  <c r="F48" i="32"/>
  <c r="E64" i="32"/>
  <c r="AU62" i="32"/>
  <c r="C67" i="32"/>
  <c r="D65" i="32"/>
  <c r="AX50" i="32"/>
  <c r="E66" i="32"/>
  <c r="I66" i="32"/>
  <c r="N65" i="32"/>
  <c r="N62" i="32"/>
  <c r="AX39" i="32"/>
  <c r="M63" i="32"/>
  <c r="P65" i="32"/>
  <c r="C66" i="32"/>
  <c r="G64" i="32"/>
  <c r="D66" i="32"/>
  <c r="AX42" i="32"/>
  <c r="AW53" i="32"/>
  <c r="AA63" i="32"/>
  <c r="P64" i="32"/>
  <c r="N67" i="32"/>
  <c r="AU64" i="32"/>
  <c r="AX43" i="32"/>
  <c r="AU66" i="32"/>
  <c r="H65" i="32"/>
  <c r="AX52" i="32"/>
  <c r="I62" i="32"/>
  <c r="M48" i="32"/>
  <c r="F37" i="32"/>
  <c r="F61" i="32"/>
  <c r="AA66" i="32"/>
  <c r="AW44" i="32"/>
  <c r="L61" i="32"/>
  <c r="L37" i="32"/>
  <c r="J66" i="32"/>
  <c r="G67" i="32"/>
  <c r="J37" i="32"/>
  <c r="J61" i="32"/>
  <c r="N66" i="32"/>
  <c r="E61" i="32"/>
  <c r="E37" i="32"/>
  <c r="AU67" i="32"/>
  <c r="AX45" i="32"/>
  <c r="D64" i="32"/>
  <c r="AA48" i="32"/>
  <c r="AW50" i="32"/>
  <c r="G66" i="32"/>
  <c r="J65" i="32"/>
  <c r="H37" i="32"/>
  <c r="H64" i="32"/>
  <c r="C61" i="32"/>
  <c r="C37" i="32"/>
  <c r="J63" i="32"/>
  <c r="AW52" i="32"/>
  <c r="J48" i="32"/>
  <c r="O63" i="32"/>
  <c r="G37" i="32"/>
  <c r="G61" i="32"/>
  <c r="I61" i="32"/>
  <c r="AW39" i="32"/>
  <c r="AA37" i="32"/>
  <c r="AA61" i="32"/>
  <c r="F65" i="32"/>
  <c r="H63" i="32"/>
  <c r="AA64" i="32"/>
  <c r="M61" i="32"/>
  <c r="M37" i="32"/>
  <c r="AA65" i="32"/>
  <c r="AW43" i="32"/>
  <c r="N63" i="32"/>
  <c r="I37" i="32"/>
  <c r="D61" i="32"/>
  <c r="D37" i="32"/>
  <c r="L67" i="32"/>
  <c r="AW54" i="32"/>
  <c r="AW41" i="32"/>
  <c r="P63" i="32"/>
  <c r="AX41" i="32"/>
  <c r="O61" i="32"/>
  <c r="O37" i="32"/>
  <c r="G65" i="32"/>
  <c r="L62" i="32"/>
  <c r="P61" i="32"/>
  <c r="P37" i="32"/>
  <c r="N61" i="32"/>
  <c r="N37" i="32"/>
  <c r="AW45" i="32"/>
  <c r="AA67" i="32"/>
  <c r="AW40" i="32"/>
  <c r="AA62" i="32"/>
  <c r="O62" i="32"/>
  <c r="O67" i="32"/>
  <c r="I67" i="32"/>
  <c r="C48" i="32"/>
  <c r="N64" i="32"/>
  <c r="E63" i="32"/>
  <c r="P94" i="16"/>
  <c r="P98" i="16" s="1"/>
  <c r="P29" i="16"/>
  <c r="P33" i="16" s="1"/>
  <c r="O120" i="16"/>
  <c r="O124" i="16" s="1"/>
  <c r="P16" i="16"/>
  <c r="P20" i="16" s="1"/>
  <c r="P68" i="16"/>
  <c r="P72" i="16" s="1"/>
  <c r="Q98" i="16"/>
  <c r="R29" i="16"/>
  <c r="R33" i="16" s="1"/>
  <c r="S70" i="16"/>
  <c r="S122" i="16"/>
  <c r="P124" i="16"/>
  <c r="S66" i="16"/>
  <c r="S123" i="16"/>
  <c r="S32" i="16"/>
  <c r="R94" i="16"/>
  <c r="R98" i="16" s="1"/>
  <c r="O111" i="16"/>
  <c r="R81" i="16"/>
  <c r="S81" i="16" s="1"/>
  <c r="S92" i="16"/>
  <c r="S102" i="16"/>
  <c r="S97" i="16"/>
  <c r="S109" i="16"/>
  <c r="Q124" i="16"/>
  <c r="S67" i="16"/>
  <c r="R68" i="16"/>
  <c r="R72" i="16" s="1"/>
  <c r="S71" i="16"/>
  <c r="O85" i="16"/>
  <c r="S83" i="16"/>
  <c r="S95" i="16"/>
  <c r="Q111" i="16"/>
  <c r="S118" i="16"/>
  <c r="S119" i="16"/>
  <c r="R120" i="16"/>
  <c r="R124" i="16" s="1"/>
  <c r="P85" i="16"/>
  <c r="Q33" i="16"/>
  <c r="O72" i="16"/>
  <c r="S105" i="16"/>
  <c r="S108" i="16"/>
  <c r="S110" i="16"/>
  <c r="S121" i="16"/>
  <c r="S80" i="16"/>
  <c r="S93" i="16"/>
  <c r="O20" i="16"/>
  <c r="S84" i="16"/>
  <c r="S79" i="16"/>
  <c r="S89" i="16"/>
  <c r="S96" i="16"/>
  <c r="R107" i="16"/>
  <c r="R111" i="16" s="1"/>
  <c r="S69" i="16"/>
  <c r="Q72" i="16"/>
  <c r="Q85" i="16"/>
  <c r="S106" i="16"/>
  <c r="S63" i="16"/>
  <c r="S115" i="16"/>
  <c r="S76" i="16"/>
  <c r="S82" i="16"/>
  <c r="O94" i="16"/>
  <c r="P107" i="16"/>
  <c r="P111" i="16" s="1"/>
  <c r="S15" i="16"/>
  <c r="S18" i="16"/>
  <c r="S30" i="16"/>
  <c r="R16" i="16"/>
  <c r="R20" i="16" s="1"/>
  <c r="S19" i="16"/>
  <c r="S27" i="16"/>
  <c r="S28" i="16"/>
  <c r="O29" i="16"/>
  <c r="O33" i="16" s="1"/>
  <c r="S14" i="16"/>
  <c r="Q20" i="16"/>
  <c r="S17" i="16"/>
  <c r="S31" i="16"/>
  <c r="S24" i="16"/>
  <c r="S11" i="16"/>
  <c r="H16" i="31"/>
  <c r="H42" i="31"/>
  <c r="H55" i="31"/>
  <c r="H68" i="31"/>
  <c r="H81" i="31"/>
  <c r="G15" i="31"/>
  <c r="F15" i="31"/>
  <c r="E15" i="31"/>
  <c r="D15" i="31"/>
  <c r="C15" i="31"/>
  <c r="F13" i="31"/>
  <c r="D13" i="31"/>
  <c r="G12" i="31"/>
  <c r="F12" i="31"/>
  <c r="D12" i="31"/>
  <c r="C12" i="31"/>
  <c r="F10" i="31"/>
  <c r="D10" i="31"/>
  <c r="C10" i="31"/>
  <c r="C9" i="31"/>
  <c r="F8" i="31"/>
  <c r="D8" i="31"/>
  <c r="G28" i="31"/>
  <c r="F28" i="31"/>
  <c r="E28" i="31"/>
  <c r="D28" i="31"/>
  <c r="C28" i="31"/>
  <c r="F26" i="31"/>
  <c r="D26" i="31"/>
  <c r="G25" i="31"/>
  <c r="F25" i="31"/>
  <c r="D25" i="31"/>
  <c r="C25" i="31"/>
  <c r="F23" i="31"/>
  <c r="D23" i="31"/>
  <c r="C23" i="31"/>
  <c r="C22" i="31"/>
  <c r="F21" i="31"/>
  <c r="D21" i="31"/>
  <c r="G41" i="31"/>
  <c r="F41" i="31"/>
  <c r="E41" i="31"/>
  <c r="D41" i="31"/>
  <c r="C41" i="31"/>
  <c r="F39" i="31"/>
  <c r="D39" i="31"/>
  <c r="G38" i="31"/>
  <c r="F38" i="31"/>
  <c r="D38" i="31"/>
  <c r="C38" i="31"/>
  <c r="F36" i="31"/>
  <c r="D36" i="31"/>
  <c r="C36" i="31"/>
  <c r="C35" i="31"/>
  <c r="F34" i="31"/>
  <c r="D34" i="31"/>
  <c r="G54" i="31"/>
  <c r="F54" i="31"/>
  <c r="E54" i="31"/>
  <c r="D54" i="31"/>
  <c r="C54" i="31"/>
  <c r="F52" i="31"/>
  <c r="D52" i="31"/>
  <c r="G51" i="31"/>
  <c r="F51" i="31"/>
  <c r="D51" i="31"/>
  <c r="C51" i="31"/>
  <c r="F49" i="31"/>
  <c r="D49" i="31"/>
  <c r="C49" i="31"/>
  <c r="C48" i="31"/>
  <c r="F47" i="31"/>
  <c r="D47" i="31"/>
  <c r="G67" i="31"/>
  <c r="F67" i="31"/>
  <c r="E67" i="31"/>
  <c r="D67" i="31"/>
  <c r="C67" i="31"/>
  <c r="F65" i="31"/>
  <c r="D65" i="31"/>
  <c r="G64" i="31"/>
  <c r="F64" i="31"/>
  <c r="D64" i="31"/>
  <c r="C64" i="31"/>
  <c r="F62" i="31"/>
  <c r="D62" i="31"/>
  <c r="C62" i="31"/>
  <c r="C61" i="31"/>
  <c r="F60" i="31"/>
  <c r="D60" i="31"/>
  <c r="G80" i="31"/>
  <c r="F80" i="31"/>
  <c r="E80" i="31"/>
  <c r="D80" i="31"/>
  <c r="C80" i="31"/>
  <c r="F78" i="31"/>
  <c r="D78" i="31"/>
  <c r="G77" i="31"/>
  <c r="F77" i="31"/>
  <c r="D77" i="31"/>
  <c r="C77" i="31"/>
  <c r="F75" i="31"/>
  <c r="D75" i="31"/>
  <c r="C75" i="31"/>
  <c r="C74" i="31"/>
  <c r="F73" i="31"/>
  <c r="D73" i="31"/>
  <c r="AN66" i="32" l="1"/>
  <c r="AN64" i="32"/>
  <c r="AN63" i="32"/>
  <c r="AN37" i="32"/>
  <c r="AK64" i="32"/>
  <c r="AN65" i="32"/>
  <c r="AN67" i="32"/>
  <c r="AN48" i="32"/>
  <c r="T65" i="32"/>
  <c r="AE37" i="32"/>
  <c r="AE61" i="32"/>
  <c r="AI63" i="32"/>
  <c r="AE64" i="32"/>
  <c r="AE48" i="32"/>
  <c r="AK67" i="32"/>
  <c r="AE66" i="32"/>
  <c r="AL66" i="32"/>
  <c r="AB63" i="32"/>
  <c r="AG63" i="32"/>
  <c r="AT67" i="32"/>
  <c r="AB37" i="32"/>
  <c r="AE65" i="32"/>
  <c r="T62" i="32"/>
  <c r="AB62" i="32"/>
  <c r="AB67" i="32"/>
  <c r="AJ37" i="32"/>
  <c r="AB65" i="32"/>
  <c r="AT66" i="32"/>
  <c r="AT37" i="32"/>
  <c r="AT64" i="32"/>
  <c r="AL67" i="32"/>
  <c r="AB66" i="32"/>
  <c r="T63" i="32"/>
  <c r="AC65" i="32"/>
  <c r="AT65" i="32"/>
  <c r="AE63" i="32"/>
  <c r="AT61" i="32"/>
  <c r="AB64" i="32"/>
  <c r="AS61" i="32"/>
  <c r="AT62" i="32"/>
  <c r="AC66" i="32"/>
  <c r="AL65" i="32"/>
  <c r="AO67" i="32"/>
  <c r="Y37" i="32"/>
  <c r="AR67" i="32"/>
  <c r="AT63" i="32"/>
  <c r="S61" i="32"/>
  <c r="AL63" i="32"/>
  <c r="AL62" i="32"/>
  <c r="AG62" i="32"/>
  <c r="AM66" i="32"/>
  <c r="AJ64" i="32"/>
  <c r="AE67" i="32"/>
  <c r="AR65" i="32"/>
  <c r="Y64" i="32"/>
  <c r="Q67" i="32"/>
  <c r="AI64" i="32"/>
  <c r="AI48" i="32"/>
  <c r="AJ63" i="32"/>
  <c r="AM37" i="32"/>
  <c r="W64" i="32"/>
  <c r="AO48" i="32"/>
  <c r="AQ67" i="32"/>
  <c r="U67" i="32"/>
  <c r="AM64" i="32"/>
  <c r="Q65" i="32"/>
  <c r="AR61" i="32"/>
  <c r="U64" i="32"/>
  <c r="T66" i="32"/>
  <c r="AO63" i="32"/>
  <c r="AO62" i="32"/>
  <c r="AO61" i="32"/>
  <c r="AK66" i="32"/>
  <c r="AM63" i="32"/>
  <c r="AL64" i="32"/>
  <c r="Q62" i="32"/>
  <c r="AO64" i="32"/>
  <c r="AJ48" i="32"/>
  <c r="T67" i="32"/>
  <c r="Y61" i="32"/>
  <c r="AO37" i="32"/>
  <c r="AO66" i="32"/>
  <c r="AC67" i="32"/>
  <c r="T64" i="32"/>
  <c r="X62" i="32"/>
  <c r="AP61" i="32"/>
  <c r="AF67" i="32"/>
  <c r="AJ66" i="32"/>
  <c r="AL48" i="32"/>
  <c r="AK37" i="32"/>
  <c r="AF64" i="32"/>
  <c r="AJ65" i="32"/>
  <c r="AK48" i="32"/>
  <c r="AS37" i="32"/>
  <c r="AM62" i="32"/>
  <c r="AM67" i="32"/>
  <c r="AC48" i="32"/>
  <c r="X67" i="32"/>
  <c r="V48" i="32"/>
  <c r="AC64" i="32"/>
  <c r="R65" i="32"/>
  <c r="AG67" i="32"/>
  <c r="U66" i="32"/>
  <c r="AH37" i="32"/>
  <c r="AD67" i="32"/>
  <c r="AC62" i="32"/>
  <c r="AS48" i="32"/>
  <c r="AS67" i="32"/>
  <c r="AH63" i="32"/>
  <c r="Z37" i="32"/>
  <c r="AI65" i="32"/>
  <c r="AJ67" i="32"/>
  <c r="AS62" i="32"/>
  <c r="AR63" i="32"/>
  <c r="AP65" i="32"/>
  <c r="AM65" i="32"/>
  <c r="AK62" i="32"/>
  <c r="Z67" i="32"/>
  <c r="AG37" i="32"/>
  <c r="AF37" i="32"/>
  <c r="AH62" i="32"/>
  <c r="AI67" i="32"/>
  <c r="AD37" i="32"/>
  <c r="X65" i="32"/>
  <c r="S66" i="32"/>
  <c r="AJ61" i="32"/>
  <c r="AD65" i="32"/>
  <c r="AQ66" i="32"/>
  <c r="AF48" i="32"/>
  <c r="R61" i="32"/>
  <c r="AK65" i="32"/>
  <c r="R62" i="32"/>
  <c r="V37" i="32"/>
  <c r="W66" i="32"/>
  <c r="W65" i="32"/>
  <c r="AP63" i="32"/>
  <c r="AI66" i="32"/>
  <c r="AK61" i="32"/>
  <c r="Y48" i="32"/>
  <c r="AH61" i="32"/>
  <c r="Z64" i="32"/>
  <c r="AH67" i="32"/>
  <c r="AI62" i="32"/>
  <c r="T37" i="32"/>
  <c r="Q66" i="32"/>
  <c r="Y66" i="32"/>
  <c r="AI61" i="32"/>
  <c r="AP62" i="32"/>
  <c r="W67" i="32"/>
  <c r="V61" i="32"/>
  <c r="R48" i="32"/>
  <c r="AQ37" i="32"/>
  <c r="AF66" i="32"/>
  <c r="AS63" i="32"/>
  <c r="S37" i="32"/>
  <c r="Q61" i="32"/>
  <c r="W62" i="32"/>
  <c r="Y62" i="32"/>
  <c r="U37" i="32"/>
  <c r="AR66" i="32"/>
  <c r="V62" i="32"/>
  <c r="AQ63" i="32"/>
  <c r="Z61" i="32"/>
  <c r="AS66" i="32"/>
  <c r="Z66" i="32"/>
  <c r="AX10" i="32"/>
  <c r="AI37" i="32"/>
  <c r="X48" i="32"/>
  <c r="R64" i="32"/>
  <c r="AR37" i="32"/>
  <c r="AQ64" i="32"/>
  <c r="AG65" i="32"/>
  <c r="Z62" i="32"/>
  <c r="AF61" i="32"/>
  <c r="U63" i="32"/>
  <c r="AP66" i="32"/>
  <c r="AP67" i="32"/>
  <c r="AQ65" i="32"/>
  <c r="AH66" i="32"/>
  <c r="Z63" i="32"/>
  <c r="Q64" i="32"/>
  <c r="AR62" i="32"/>
  <c r="U65" i="32"/>
  <c r="W37" i="32"/>
  <c r="W48" i="32"/>
  <c r="AH64" i="32"/>
  <c r="X64" i="32"/>
  <c r="AF63" i="32"/>
  <c r="Z48" i="32"/>
  <c r="V66" i="32"/>
  <c r="AD61" i="32"/>
  <c r="X63" i="32"/>
  <c r="AS64" i="32"/>
  <c r="AP37" i="32"/>
  <c r="S65" i="32"/>
  <c r="AC61" i="32"/>
  <c r="AF62" i="32"/>
  <c r="AH48" i="32"/>
  <c r="R37" i="32"/>
  <c r="W61" i="32"/>
  <c r="Q63" i="32"/>
  <c r="V64" i="32"/>
  <c r="AD66" i="32"/>
  <c r="Y63" i="32"/>
  <c r="R66" i="32"/>
  <c r="S48" i="32"/>
  <c r="S67" i="32"/>
  <c r="S62" i="32"/>
  <c r="X66" i="32"/>
  <c r="AD48" i="32"/>
  <c r="S64" i="32"/>
  <c r="AD64" i="32"/>
  <c r="U62" i="32"/>
  <c r="AG66" i="32"/>
  <c r="AQ61" i="32"/>
  <c r="V63" i="32"/>
  <c r="AG64" i="32"/>
  <c r="V67" i="32"/>
  <c r="R67" i="32"/>
  <c r="AQ48" i="32"/>
  <c r="Q48" i="32"/>
  <c r="AC37" i="32"/>
  <c r="AD62" i="32"/>
  <c r="Q37" i="32"/>
  <c r="R85" i="16"/>
  <c r="S85" i="16" s="1"/>
  <c r="S120" i="16"/>
  <c r="S68" i="16"/>
  <c r="S94" i="16"/>
  <c r="S124" i="16"/>
  <c r="S33" i="16"/>
  <c r="S16" i="16"/>
  <c r="S20" i="16"/>
  <c r="S29" i="16"/>
  <c r="S111" i="16"/>
  <c r="S107" i="16"/>
  <c r="S72" i="16"/>
  <c r="O98" i="16"/>
  <c r="S98" i="16" s="1"/>
  <c r="H41" i="31"/>
  <c r="F126" i="16" l="1"/>
  <c r="C204" i="16" l="1"/>
  <c r="E5" i="13" l="1"/>
  <c r="F2" i="25" l="1"/>
  <c r="E2" i="25"/>
  <c r="E26" i="25" l="1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3" i="25"/>
  <c r="E27" i="25"/>
  <c r="E29" i="25"/>
  <c r="E31" i="25"/>
  <c r="E33" i="25"/>
  <c r="E35" i="25"/>
  <c r="E37" i="25"/>
  <c r="E39" i="25"/>
  <c r="E41" i="25"/>
  <c r="E43" i="25"/>
  <c r="E45" i="25"/>
  <c r="E47" i="25"/>
  <c r="E49" i="25"/>
  <c r="E51" i="25"/>
  <c r="E53" i="25"/>
  <c r="E55" i="25"/>
  <c r="E57" i="25"/>
  <c r="E59" i="25"/>
  <c r="E61" i="25"/>
  <c r="F63" i="25"/>
  <c r="F26" i="25"/>
  <c r="F28" i="25"/>
  <c r="F30" i="25"/>
  <c r="F32" i="25"/>
  <c r="F34" i="25"/>
  <c r="F36" i="25"/>
  <c r="F38" i="25"/>
  <c r="F40" i="25"/>
  <c r="F42" i="25"/>
  <c r="F44" i="25"/>
  <c r="F46" i="25"/>
  <c r="F48" i="25"/>
  <c r="F50" i="25"/>
  <c r="F52" i="25"/>
  <c r="F54" i="25"/>
  <c r="F56" i="25"/>
  <c r="F58" i="25"/>
  <c r="F60" i="25"/>
  <c r="F62" i="25"/>
  <c r="F64" i="25"/>
  <c r="F61" i="25"/>
  <c r="F59" i="25"/>
  <c r="F27" i="25"/>
  <c r="F29" i="25"/>
  <c r="F31" i="25"/>
  <c r="F33" i="25"/>
  <c r="F35" i="25"/>
  <c r="F37" i="25"/>
  <c r="F39" i="25"/>
  <c r="F41" i="25"/>
  <c r="F43" i="25"/>
  <c r="F45" i="25"/>
  <c r="F47" i="25"/>
  <c r="F49" i="25"/>
  <c r="F51" i="25"/>
  <c r="F53" i="25"/>
  <c r="F55" i="25"/>
  <c r="F57" i="25"/>
  <c r="B11" i="33"/>
  <c r="B10" i="33"/>
  <c r="B9" i="33"/>
  <c r="B8" i="33"/>
  <c r="B7" i="33"/>
  <c r="B6" i="33"/>
  <c r="B5" i="33"/>
  <c r="B4" i="33"/>
  <c r="A4" i="14"/>
  <c r="A26" i="25"/>
  <c r="A4" i="25"/>
  <c r="A3" i="31"/>
  <c r="A4" i="16"/>
  <c r="A31" i="13"/>
  <c r="A4" i="13"/>
  <c r="G76" i="31" l="1"/>
  <c r="G63" i="31"/>
  <c r="G50" i="31"/>
  <c r="G37" i="31"/>
  <c r="G24" i="31"/>
  <c r="C76" i="31"/>
  <c r="C50" i="31"/>
  <c r="C24" i="31"/>
  <c r="G11" i="31"/>
  <c r="C11" i="31"/>
  <c r="C19" i="31"/>
  <c r="G19" i="31"/>
  <c r="C72" i="31"/>
  <c r="C71" i="31" s="1"/>
  <c r="G71" i="31"/>
  <c r="G58" i="31"/>
  <c r="C58" i="31"/>
  <c r="G45" i="31"/>
  <c r="C45" i="31"/>
  <c r="G32" i="31"/>
  <c r="C32" i="31"/>
  <c r="G6" i="31"/>
  <c r="C6" i="31"/>
  <c r="G27" i="31" l="1"/>
  <c r="F63" i="31"/>
  <c r="F37" i="31"/>
  <c r="F76" i="31"/>
  <c r="G14" i="31"/>
  <c r="D24" i="31"/>
  <c r="G79" i="31"/>
  <c r="H80" i="31"/>
  <c r="D63" i="31"/>
  <c r="H54" i="31"/>
  <c r="F24" i="31"/>
  <c r="H67" i="31"/>
  <c r="D76" i="31"/>
  <c r="F50" i="31"/>
  <c r="C79" i="31"/>
  <c r="C53" i="31"/>
  <c r="H15" i="31"/>
  <c r="D37" i="31"/>
  <c r="G40" i="31"/>
  <c r="G53" i="31"/>
  <c r="H28" i="31"/>
  <c r="C14" i="31"/>
  <c r="F11" i="31"/>
  <c r="C27" i="31"/>
  <c r="G66" i="31"/>
  <c r="D11" i="31"/>
  <c r="C37" i="31"/>
  <c r="D50" i="31"/>
  <c r="C63" i="31"/>
  <c r="C40" i="31" l="1"/>
  <c r="C66" i="31"/>
  <c r="E70" i="25" l="1"/>
  <c r="E72" i="25"/>
  <c r="E79" i="25" l="1"/>
  <c r="E75" i="25"/>
  <c r="E78" i="25"/>
  <c r="E74" i="25"/>
  <c r="E91" i="25"/>
  <c r="E71" i="25"/>
  <c r="E82" i="25"/>
  <c r="E83" i="25"/>
  <c r="E81" i="25"/>
  <c r="E69" i="25"/>
  <c r="E106" i="25"/>
  <c r="E94" i="25"/>
  <c r="E105" i="25"/>
  <c r="E87" i="25"/>
  <c r="E95" i="25"/>
  <c r="F97" i="25"/>
  <c r="F80" i="25"/>
  <c r="G2" i="25"/>
  <c r="E103" i="25"/>
  <c r="E96" i="25"/>
  <c r="E100" i="25"/>
  <c r="E98" i="25"/>
  <c r="E93" i="25"/>
  <c r="E80" i="25"/>
  <c r="E76" i="25"/>
  <c r="E77" i="25"/>
  <c r="E101" i="25"/>
  <c r="E92" i="25"/>
  <c r="E99" i="25"/>
  <c r="E104" i="25"/>
  <c r="E102" i="25"/>
  <c r="E97" i="25"/>
  <c r="E68" i="25"/>
  <c r="E73" i="25"/>
  <c r="E84" i="25"/>
  <c r="E89" i="25" l="1"/>
  <c r="E4" i="25"/>
  <c r="F71" i="25"/>
  <c r="F95" i="25"/>
  <c r="G48" i="25"/>
  <c r="G43" i="25"/>
  <c r="G46" i="25"/>
  <c r="G51" i="25"/>
  <c r="G55" i="25"/>
  <c r="G59" i="25"/>
  <c r="G63" i="25"/>
  <c r="G47" i="25"/>
  <c r="G52" i="25"/>
  <c r="G56" i="25"/>
  <c r="G60" i="25"/>
  <c r="G64" i="25"/>
  <c r="G49" i="25"/>
  <c r="G57" i="25"/>
  <c r="G44" i="25"/>
  <c r="G50" i="25"/>
  <c r="G58" i="25"/>
  <c r="G61" i="25"/>
  <c r="G30" i="25"/>
  <c r="G34" i="25"/>
  <c r="G38" i="25"/>
  <c r="G42" i="25"/>
  <c r="G36" i="25"/>
  <c r="G40" i="25"/>
  <c r="G29" i="25"/>
  <c r="G33" i="25"/>
  <c r="G45" i="25"/>
  <c r="G62" i="25"/>
  <c r="G27" i="25"/>
  <c r="G31" i="25"/>
  <c r="G35" i="25"/>
  <c r="G39" i="25"/>
  <c r="G26" i="25"/>
  <c r="G53" i="25"/>
  <c r="G28" i="25"/>
  <c r="G32" i="25"/>
  <c r="G54" i="25"/>
  <c r="G37" i="25"/>
  <c r="G41" i="25"/>
  <c r="F74" i="25"/>
  <c r="F92" i="25"/>
  <c r="F82" i="25"/>
  <c r="F78" i="25"/>
  <c r="F75" i="25"/>
  <c r="F72" i="25"/>
  <c r="F100" i="25"/>
  <c r="F101" i="25"/>
  <c r="F105" i="25"/>
  <c r="F103" i="25"/>
  <c r="F98" i="25"/>
  <c r="F93" i="25"/>
  <c r="F96" i="25"/>
  <c r="F104" i="25"/>
  <c r="F91" i="25"/>
  <c r="F70" i="25"/>
  <c r="F83" i="25"/>
  <c r="F77" i="25"/>
  <c r="F69" i="25"/>
  <c r="F76" i="25"/>
  <c r="F79" i="25"/>
  <c r="F102" i="25"/>
  <c r="F73" i="25"/>
  <c r="F81" i="25"/>
  <c r="F84" i="25"/>
  <c r="F106" i="25"/>
  <c r="E90" i="25"/>
  <c r="E85" i="25"/>
  <c r="H2" i="25"/>
  <c r="F68" i="25"/>
  <c r="F99" i="25"/>
  <c r="F94" i="25"/>
  <c r="E88" i="25"/>
  <c r="E86" i="25"/>
  <c r="G4" i="25" l="1"/>
  <c r="G5" i="25" s="1"/>
  <c r="F86" i="25"/>
  <c r="F4" i="25"/>
  <c r="G78" i="25"/>
  <c r="F88" i="25"/>
  <c r="F87" i="25"/>
  <c r="F89" i="25"/>
  <c r="G75" i="25"/>
  <c r="H43" i="25"/>
  <c r="H44" i="25"/>
  <c r="H45" i="25"/>
  <c r="H46" i="25"/>
  <c r="H47" i="25"/>
  <c r="H48" i="25"/>
  <c r="H50" i="25"/>
  <c r="H51" i="25"/>
  <c r="H52" i="25"/>
  <c r="H53" i="25"/>
  <c r="H49" i="25"/>
  <c r="H26" i="25"/>
  <c r="H30" i="25"/>
  <c r="H34" i="25"/>
  <c r="H38" i="25"/>
  <c r="H42" i="25"/>
  <c r="H32" i="25"/>
  <c r="H40" i="25"/>
  <c r="H33" i="25"/>
  <c r="H54" i="25"/>
  <c r="H55" i="25"/>
  <c r="H56" i="25"/>
  <c r="H57" i="25"/>
  <c r="H58" i="25"/>
  <c r="H59" i="25"/>
  <c r="H60" i="25"/>
  <c r="H61" i="25"/>
  <c r="H62" i="25"/>
  <c r="H63" i="25"/>
  <c r="H64" i="25"/>
  <c r="H27" i="25"/>
  <c r="H31" i="25"/>
  <c r="H35" i="25"/>
  <c r="H39" i="25"/>
  <c r="H28" i="25"/>
  <c r="H36" i="25"/>
  <c r="H29" i="25"/>
  <c r="H37" i="25"/>
  <c r="H41" i="25"/>
  <c r="G97" i="25"/>
  <c r="G71" i="25"/>
  <c r="G81" i="25"/>
  <c r="G82" i="25"/>
  <c r="G69" i="25"/>
  <c r="G94" i="25"/>
  <c r="G84" i="25"/>
  <c r="G102" i="25"/>
  <c r="G92" i="25"/>
  <c r="G83" i="25"/>
  <c r="G99" i="25"/>
  <c r="G73" i="25"/>
  <c r="G80" i="25"/>
  <c r="G86" i="25"/>
  <c r="G105" i="25"/>
  <c r="G96" i="25"/>
  <c r="G103" i="25"/>
  <c r="G68" i="25"/>
  <c r="G77" i="25"/>
  <c r="G93" i="25"/>
  <c r="G106" i="25"/>
  <c r="G100" i="25"/>
  <c r="G91" i="25"/>
  <c r="G6" i="25" s="1"/>
  <c r="G70" i="25"/>
  <c r="I2" i="25"/>
  <c r="G72" i="25"/>
  <c r="G74" i="25"/>
  <c r="G76" i="25"/>
  <c r="G79" i="25"/>
  <c r="G98" i="25"/>
  <c r="G101" i="25"/>
  <c r="G88" i="25"/>
  <c r="G104" i="25"/>
  <c r="G95" i="25"/>
  <c r="F85" i="25"/>
  <c r="F90" i="25"/>
  <c r="H102" i="25" l="1"/>
  <c r="H4" i="25"/>
  <c r="H5" i="25" s="1"/>
  <c r="H91" i="25"/>
  <c r="H6" i="25" s="1"/>
  <c r="I43" i="25"/>
  <c r="I4" i="25" s="1"/>
  <c r="I5" i="25" s="1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44" i="25"/>
  <c r="I45" i="25"/>
  <c r="I46" i="25"/>
  <c r="I47" i="25"/>
  <c r="I48" i="25"/>
  <c r="I27" i="25"/>
  <c r="I32" i="25"/>
  <c r="I36" i="25"/>
  <c r="I49" i="25"/>
  <c r="I26" i="25"/>
  <c r="I31" i="25"/>
  <c r="I35" i="25"/>
  <c r="I39" i="25"/>
  <c r="I34" i="25"/>
  <c r="I29" i="25"/>
  <c r="I28" i="25"/>
  <c r="I33" i="25"/>
  <c r="I42" i="25"/>
  <c r="I30" i="25"/>
  <c r="I38" i="25"/>
  <c r="I41" i="25"/>
  <c r="I37" i="25"/>
  <c r="I40" i="25"/>
  <c r="G7" i="25"/>
  <c r="G8" i="25" s="1"/>
  <c r="G89" i="25"/>
  <c r="H95" i="25"/>
  <c r="H103" i="25"/>
  <c r="H72" i="25"/>
  <c r="H73" i="25"/>
  <c r="H80" i="25"/>
  <c r="H71" i="25"/>
  <c r="H81" i="25"/>
  <c r="H98" i="25"/>
  <c r="H105" i="25"/>
  <c r="H96" i="25"/>
  <c r="H79" i="25"/>
  <c r="H94" i="25"/>
  <c r="H99" i="25"/>
  <c r="H7" i="25" s="1"/>
  <c r="G87" i="25"/>
  <c r="H76" i="25"/>
  <c r="J2" i="25"/>
  <c r="H83" i="25"/>
  <c r="H70" i="25"/>
  <c r="H87" i="25"/>
  <c r="H93" i="25"/>
  <c r="H84" i="25"/>
  <c r="H100" i="25"/>
  <c r="H89" i="25"/>
  <c r="H86" i="25"/>
  <c r="H75" i="25"/>
  <c r="H69" i="25"/>
  <c r="H74" i="25"/>
  <c r="H97" i="25"/>
  <c r="H88" i="25"/>
  <c r="H104" i="25"/>
  <c r="H68" i="25"/>
  <c r="H78" i="25"/>
  <c r="H77" i="25"/>
  <c r="H82" i="25"/>
  <c r="H106" i="25"/>
  <c r="H101" i="25"/>
  <c r="H92" i="25"/>
  <c r="G85" i="25"/>
  <c r="G90" i="25"/>
  <c r="H8" i="25" l="1"/>
  <c r="I96" i="25"/>
  <c r="I103" i="25"/>
  <c r="J44" i="25"/>
  <c r="J45" i="25"/>
  <c r="J46" i="25"/>
  <c r="J47" i="25"/>
  <c r="J48" i="25"/>
  <c r="J49" i="25"/>
  <c r="J43" i="25"/>
  <c r="J4" i="25" s="1"/>
  <c r="J5" i="25" s="1"/>
  <c r="J26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28" i="25"/>
  <c r="J29" i="25"/>
  <c r="J33" i="25"/>
  <c r="J37" i="25"/>
  <c r="J27" i="25"/>
  <c r="J32" i="25"/>
  <c r="J36" i="25"/>
  <c r="J35" i="25"/>
  <c r="J40" i="25"/>
  <c r="J30" i="25"/>
  <c r="J34" i="25"/>
  <c r="J31" i="25"/>
  <c r="J39" i="25"/>
  <c r="J42" i="25"/>
  <c r="J38" i="25"/>
  <c r="J41" i="25"/>
  <c r="I91" i="25"/>
  <c r="I99" i="25"/>
  <c r="I94" i="25"/>
  <c r="I100" i="25"/>
  <c r="I104" i="25"/>
  <c r="I102" i="25"/>
  <c r="I97" i="25"/>
  <c r="I68" i="25"/>
  <c r="I73" i="25"/>
  <c r="I89" i="25"/>
  <c r="K2" i="25"/>
  <c r="I84" i="25"/>
  <c r="I82" i="25"/>
  <c r="I106" i="25"/>
  <c r="I101" i="25"/>
  <c r="I81" i="25"/>
  <c r="I80" i="25"/>
  <c r="I77" i="25"/>
  <c r="I74" i="25"/>
  <c r="I83" i="25"/>
  <c r="I87" i="25"/>
  <c r="I105" i="25"/>
  <c r="I69" i="25"/>
  <c r="I76" i="25"/>
  <c r="I78" i="25"/>
  <c r="I71" i="25"/>
  <c r="H85" i="25"/>
  <c r="H90" i="25"/>
  <c r="I79" i="25"/>
  <c r="I72" i="25"/>
  <c r="I70" i="25"/>
  <c r="I75" i="25"/>
  <c r="I92" i="25"/>
  <c r="I95" i="25"/>
  <c r="I98" i="25"/>
  <c r="I93" i="25"/>
  <c r="I18" i="25" l="1"/>
  <c r="J100" i="25"/>
  <c r="J95" i="25"/>
  <c r="J101" i="25"/>
  <c r="J97" i="25"/>
  <c r="J102" i="25"/>
  <c r="J91" i="25"/>
  <c r="J6" i="25" s="1"/>
  <c r="I16" i="25"/>
  <c r="I17" i="25"/>
  <c r="I7" i="25"/>
  <c r="I15" i="25"/>
  <c r="I6" i="25"/>
  <c r="I14" i="25"/>
  <c r="I13" i="25"/>
  <c r="J77" i="25"/>
  <c r="J73" i="25"/>
  <c r="J80" i="25"/>
  <c r="K44" i="25"/>
  <c r="K45" i="25"/>
  <c r="K46" i="25"/>
  <c r="K47" i="25"/>
  <c r="K48" i="25"/>
  <c r="K49" i="25"/>
  <c r="K27" i="25"/>
  <c r="K43" i="25"/>
  <c r="K4" i="25" s="1"/>
  <c r="K5" i="25" s="1"/>
  <c r="K26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30" i="25"/>
  <c r="K34" i="25"/>
  <c r="K38" i="25"/>
  <c r="K28" i="25"/>
  <c r="K29" i="25"/>
  <c r="K33" i="25"/>
  <c r="K37" i="25"/>
  <c r="K36" i="25"/>
  <c r="K41" i="25"/>
  <c r="K31" i="25"/>
  <c r="K35" i="25"/>
  <c r="K40" i="25"/>
  <c r="K32" i="25"/>
  <c r="K39" i="25"/>
  <c r="K42" i="25"/>
  <c r="I88" i="25"/>
  <c r="J78" i="25"/>
  <c r="J96" i="25"/>
  <c r="J93" i="25"/>
  <c r="J104" i="25"/>
  <c r="J92" i="25"/>
  <c r="J105" i="25"/>
  <c r="J68" i="25"/>
  <c r="J106" i="25"/>
  <c r="J89" i="25"/>
  <c r="J82" i="25"/>
  <c r="J74" i="25"/>
  <c r="J84" i="25"/>
  <c r="J72" i="25"/>
  <c r="J83" i="25"/>
  <c r="J99" i="25"/>
  <c r="J7" i="25" s="1"/>
  <c r="J94" i="25"/>
  <c r="I90" i="25"/>
  <c r="I85" i="25"/>
  <c r="J70" i="25"/>
  <c r="J81" i="25"/>
  <c r="L2" i="25"/>
  <c r="J75" i="25"/>
  <c r="J69" i="25"/>
  <c r="J71" i="25"/>
  <c r="J76" i="25"/>
  <c r="J79" i="25"/>
  <c r="J103" i="25"/>
  <c r="J98" i="25"/>
  <c r="I86" i="25"/>
  <c r="J8" i="25" l="1"/>
  <c r="I19" i="25"/>
  <c r="I8" i="25"/>
  <c r="K101" i="25"/>
  <c r="L43" i="25"/>
  <c r="L4" i="25" s="1"/>
  <c r="L5" i="25" s="1"/>
  <c r="L44" i="25"/>
  <c r="L45" i="25"/>
  <c r="L46" i="25"/>
  <c r="L47" i="25"/>
  <c r="L48" i="25"/>
  <c r="L49" i="25"/>
  <c r="L28" i="25"/>
  <c r="L31" i="25"/>
  <c r="L35" i="25"/>
  <c r="L3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30" i="25"/>
  <c r="L34" i="25"/>
  <c r="L38" i="25"/>
  <c r="L29" i="25"/>
  <c r="L37" i="25"/>
  <c r="L42" i="25"/>
  <c r="L32" i="25"/>
  <c r="L36" i="25"/>
  <c r="L41" i="25"/>
  <c r="L26" i="25"/>
  <c r="L27" i="25"/>
  <c r="L33" i="25"/>
  <c r="L40" i="25"/>
  <c r="K97" i="25"/>
  <c r="K104" i="25"/>
  <c r="K95" i="25"/>
  <c r="K93" i="25"/>
  <c r="K78" i="25"/>
  <c r="K72" i="25"/>
  <c r="K84" i="25"/>
  <c r="J87" i="25"/>
  <c r="K75" i="25"/>
  <c r="K76" i="25"/>
  <c r="K70" i="25"/>
  <c r="K81" i="25"/>
  <c r="K88" i="25"/>
  <c r="K98" i="25"/>
  <c r="K92" i="25"/>
  <c r="K83" i="25"/>
  <c r="K99" i="25"/>
  <c r="K7" i="25" s="1"/>
  <c r="J86" i="25"/>
  <c r="K68" i="25"/>
  <c r="K82" i="25"/>
  <c r="K74" i="25"/>
  <c r="K69" i="25"/>
  <c r="K106" i="25"/>
  <c r="K94" i="25"/>
  <c r="K102" i="25"/>
  <c r="K96" i="25"/>
  <c r="K103" i="25"/>
  <c r="K71" i="25"/>
  <c r="K77" i="25"/>
  <c r="J85" i="25"/>
  <c r="J90" i="25"/>
  <c r="M2" i="25"/>
  <c r="K79" i="25"/>
  <c r="K73" i="25"/>
  <c r="K80" i="25"/>
  <c r="K105" i="25"/>
  <c r="K100" i="25"/>
  <c r="K91" i="25"/>
  <c r="K6" i="25" s="1"/>
  <c r="J88" i="25"/>
  <c r="M43" i="25" l="1"/>
  <c r="M4" i="25" s="1"/>
  <c r="M5" i="25" s="1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49" i="25"/>
  <c r="M45" i="25"/>
  <c r="M47" i="25"/>
  <c r="M32" i="25"/>
  <c r="M36" i="25"/>
  <c r="M31" i="25"/>
  <c r="M35" i="25"/>
  <c r="M46" i="25"/>
  <c r="M30" i="25"/>
  <c r="M38" i="25"/>
  <c r="M39" i="25"/>
  <c r="M26" i="25"/>
  <c r="M27" i="25"/>
  <c r="M33" i="25"/>
  <c r="M40" i="25"/>
  <c r="M29" i="25"/>
  <c r="M37" i="25"/>
  <c r="M42" i="25"/>
  <c r="M44" i="25"/>
  <c r="M48" i="25"/>
  <c r="M28" i="25"/>
  <c r="M34" i="25"/>
  <c r="M41" i="25"/>
  <c r="K8" i="25"/>
  <c r="L78" i="25"/>
  <c r="L77" i="25"/>
  <c r="L74" i="25"/>
  <c r="L81" i="25"/>
  <c r="K89" i="25"/>
  <c r="L105" i="25"/>
  <c r="L96" i="25"/>
  <c r="K87" i="25"/>
  <c r="L68" i="25"/>
  <c r="L80" i="25"/>
  <c r="L71" i="25"/>
  <c r="L73" i="25"/>
  <c r="L79" i="25"/>
  <c r="L91" i="25"/>
  <c r="L6" i="25" s="1"/>
  <c r="L87" i="25"/>
  <c r="L93" i="25"/>
  <c r="L84" i="25"/>
  <c r="L72" i="25"/>
  <c r="L95" i="25"/>
  <c r="L75" i="25"/>
  <c r="N2" i="25"/>
  <c r="L83" i="25"/>
  <c r="L99" i="25"/>
  <c r="L7" i="25" s="1"/>
  <c r="L94" i="25"/>
  <c r="L97" i="25"/>
  <c r="L88" i="25"/>
  <c r="L104" i="25"/>
  <c r="L76" i="25"/>
  <c r="L69" i="25"/>
  <c r="L82" i="25"/>
  <c r="L70" i="25"/>
  <c r="L98" i="25"/>
  <c r="L102" i="25"/>
  <c r="L103" i="25"/>
  <c r="L101" i="25"/>
  <c r="L92" i="25"/>
  <c r="K85" i="25"/>
  <c r="K90" i="25"/>
  <c r="L106" i="25"/>
  <c r="L100" i="25"/>
  <c r="K86" i="25"/>
  <c r="M93" i="25" l="1"/>
  <c r="M69" i="25"/>
  <c r="M98" i="25"/>
  <c r="M94" i="25"/>
  <c r="M74" i="25"/>
  <c r="M70" i="25"/>
  <c r="N43" i="25"/>
  <c r="N4" i="25" s="1"/>
  <c r="N5" i="25" s="1"/>
  <c r="N50" i="25"/>
  <c r="N51" i="25"/>
  <c r="N52" i="25"/>
  <c r="N26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27" i="25"/>
  <c r="N29" i="25"/>
  <c r="N33" i="25"/>
  <c r="N37" i="25"/>
  <c r="N45" i="25"/>
  <c r="N47" i="25"/>
  <c r="N32" i="25"/>
  <c r="N36" i="25"/>
  <c r="N31" i="25"/>
  <c r="N40" i="25"/>
  <c r="N42" i="25"/>
  <c r="N48" i="25"/>
  <c r="N34" i="25"/>
  <c r="N41" i="25"/>
  <c r="N46" i="25"/>
  <c r="N30" i="25"/>
  <c r="N38" i="25"/>
  <c r="N39" i="25"/>
  <c r="N49" i="25"/>
  <c r="N35" i="25"/>
  <c r="N44" i="25"/>
  <c r="N28" i="25"/>
  <c r="M91" i="25"/>
  <c r="M6" i="25" s="1"/>
  <c r="M80" i="25"/>
  <c r="M75" i="25"/>
  <c r="M99" i="25"/>
  <c r="M7" i="25" s="1"/>
  <c r="L8" i="25"/>
  <c r="M77" i="25"/>
  <c r="M83" i="25"/>
  <c r="M96" i="25"/>
  <c r="M103" i="25"/>
  <c r="M95" i="25"/>
  <c r="M92" i="25"/>
  <c r="M100" i="25"/>
  <c r="M82" i="25"/>
  <c r="M84" i="25"/>
  <c r="M72" i="25"/>
  <c r="M87" i="25"/>
  <c r="M104" i="25"/>
  <c r="M102" i="25"/>
  <c r="M97" i="25"/>
  <c r="L85" i="25"/>
  <c r="L90" i="25"/>
  <c r="M68" i="25"/>
  <c r="M79" i="25"/>
  <c r="O2" i="25"/>
  <c r="M106" i="25"/>
  <c r="M101" i="25"/>
  <c r="L86" i="25"/>
  <c r="L89" i="25"/>
  <c r="M73" i="25"/>
  <c r="M76" i="25"/>
  <c r="M81" i="25"/>
  <c r="M71" i="25"/>
  <c r="M78" i="25"/>
  <c r="M105" i="25"/>
  <c r="N77" i="25" l="1"/>
  <c r="N81" i="25"/>
  <c r="N71" i="25"/>
  <c r="N95" i="25"/>
  <c r="N91" i="25"/>
  <c r="N6" i="25" s="1"/>
  <c r="N105" i="25"/>
  <c r="N96" i="25"/>
  <c r="N93" i="25"/>
  <c r="O44" i="25"/>
  <c r="O45" i="25"/>
  <c r="O46" i="25"/>
  <c r="O47" i="25"/>
  <c r="O48" i="25"/>
  <c r="O49" i="25"/>
  <c r="O27" i="25"/>
  <c r="O50" i="25"/>
  <c r="O51" i="25"/>
  <c r="O52" i="25"/>
  <c r="O26" i="25"/>
  <c r="O43" i="25"/>
  <c r="O4" i="25" s="1"/>
  <c r="O5" i="25" s="1"/>
  <c r="O28" i="25"/>
  <c r="O30" i="25"/>
  <c r="O34" i="25"/>
  <c r="O38" i="25"/>
  <c r="O29" i="25"/>
  <c r="O33" i="25"/>
  <c r="O37" i="25"/>
  <c r="O32" i="25"/>
  <c r="O41" i="25"/>
  <c r="O35" i="25"/>
  <c r="O42" i="25"/>
  <c r="O31" i="25"/>
  <c r="O40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36" i="25"/>
  <c r="O39" i="25"/>
  <c r="M8" i="25"/>
  <c r="M89" i="25"/>
  <c r="M88" i="25"/>
  <c r="N84" i="25"/>
  <c r="N78" i="25"/>
  <c r="N70" i="25"/>
  <c r="N69" i="25"/>
  <c r="N76" i="25"/>
  <c r="N83" i="25"/>
  <c r="N75" i="25"/>
  <c r="N74" i="25"/>
  <c r="N92" i="25"/>
  <c r="N101" i="25"/>
  <c r="N97" i="25"/>
  <c r="N99" i="25"/>
  <c r="N7" i="25" s="1"/>
  <c r="N100" i="25"/>
  <c r="N72" i="25"/>
  <c r="N79" i="25"/>
  <c r="N104" i="25"/>
  <c r="N103" i="25"/>
  <c r="N98" i="25"/>
  <c r="N89" i="25"/>
  <c r="N102" i="25"/>
  <c r="M90" i="25"/>
  <c r="M85" i="25"/>
  <c r="P2" i="25"/>
  <c r="N73" i="25"/>
  <c r="N80" i="25"/>
  <c r="N106" i="25"/>
  <c r="M86" i="25"/>
  <c r="N87" i="25"/>
  <c r="N68" i="25"/>
  <c r="N82" i="25"/>
  <c r="N94" i="25"/>
  <c r="O84" i="25" l="1"/>
  <c r="O71" i="25"/>
  <c r="O76" i="25"/>
  <c r="N8" i="25"/>
  <c r="O83" i="25"/>
  <c r="O77" i="25"/>
  <c r="O94" i="25"/>
  <c r="O72" i="25"/>
  <c r="P44" i="25"/>
  <c r="P45" i="25"/>
  <c r="P46" i="25"/>
  <c r="P47" i="25"/>
  <c r="P48" i="25"/>
  <c r="P49" i="25"/>
  <c r="P28" i="25"/>
  <c r="P26" i="25"/>
  <c r="P31" i="25"/>
  <c r="P35" i="25"/>
  <c r="P39" i="25"/>
  <c r="P43" i="25"/>
  <c r="P4" i="25" s="1"/>
  <c r="P5" i="25" s="1"/>
  <c r="P27" i="25"/>
  <c r="P30" i="25"/>
  <c r="P34" i="25"/>
  <c r="P38" i="25"/>
  <c r="P50" i="25"/>
  <c r="P52" i="25"/>
  <c r="P33" i="25"/>
  <c r="P42" i="25"/>
  <c r="P36" i="25"/>
  <c r="P32" i="25"/>
  <c r="P41" i="25"/>
  <c r="P51" i="25"/>
  <c r="P29" i="25"/>
  <c r="P37" i="25"/>
  <c r="P40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O70" i="25"/>
  <c r="O78" i="25"/>
  <c r="Q2" i="25"/>
  <c r="O101" i="25"/>
  <c r="O103" i="25"/>
  <c r="N90" i="25"/>
  <c r="N85" i="25"/>
  <c r="O99" i="25"/>
  <c r="O7" i="25" s="1"/>
  <c r="O102" i="25"/>
  <c r="O96" i="25"/>
  <c r="O82" i="25"/>
  <c r="O75" i="25"/>
  <c r="O74" i="25"/>
  <c r="O69" i="25"/>
  <c r="O97" i="25"/>
  <c r="O105" i="25"/>
  <c r="O106" i="25"/>
  <c r="O100" i="25"/>
  <c r="O91" i="25"/>
  <c r="O6" i="25" s="1"/>
  <c r="N86" i="25"/>
  <c r="O92" i="25"/>
  <c r="O98" i="25"/>
  <c r="O68" i="25"/>
  <c r="O79" i="25"/>
  <c r="O81" i="25"/>
  <c r="O73" i="25"/>
  <c r="O80" i="25"/>
  <c r="O93" i="25"/>
  <c r="O104" i="25"/>
  <c r="O95" i="25"/>
  <c r="N88" i="25"/>
  <c r="P91" i="25" l="1"/>
  <c r="P6" i="25" s="1"/>
  <c r="P94" i="25"/>
  <c r="O8" i="25"/>
  <c r="Q43" i="25"/>
  <c r="Q4" i="25" s="1"/>
  <c r="Q5" i="25" s="1"/>
  <c r="Q50" i="25"/>
  <c r="Q51" i="25"/>
  <c r="Q52" i="25"/>
  <c r="Q44" i="25"/>
  <c r="Q45" i="25"/>
  <c r="Q46" i="25"/>
  <c r="Q47" i="25"/>
  <c r="Q48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32" i="25"/>
  <c r="Q36" i="25"/>
  <c r="Q26" i="25"/>
  <c r="Q28" i="25"/>
  <c r="Q31" i="25"/>
  <c r="Q35" i="25"/>
  <c r="Q27" i="25"/>
  <c r="Q34" i="25"/>
  <c r="Q37" i="25"/>
  <c r="Q39" i="25"/>
  <c r="Q33" i="25"/>
  <c r="Q42" i="25"/>
  <c r="Q30" i="25"/>
  <c r="Q38" i="25"/>
  <c r="Q41" i="25"/>
  <c r="Q49" i="25"/>
  <c r="Q29" i="25"/>
  <c r="Q40" i="25"/>
  <c r="P92" i="25"/>
  <c r="P98" i="25"/>
  <c r="P106" i="25"/>
  <c r="P101" i="25"/>
  <c r="O85" i="25"/>
  <c r="O90" i="25"/>
  <c r="P86" i="25"/>
  <c r="P80" i="25"/>
  <c r="P74" i="25"/>
  <c r="P95" i="25"/>
  <c r="P99" i="25"/>
  <c r="P7" i="25" s="1"/>
  <c r="P105" i="25"/>
  <c r="P96" i="25"/>
  <c r="P70" i="25"/>
  <c r="O86" i="25"/>
  <c r="O89" i="25"/>
  <c r="O87" i="25"/>
  <c r="P75" i="25"/>
  <c r="O88" i="25"/>
  <c r="P73" i="25"/>
  <c r="P76" i="25"/>
  <c r="P79" i="25"/>
  <c r="R2" i="25"/>
  <c r="P83" i="25"/>
  <c r="P102" i="25"/>
  <c r="P93" i="25"/>
  <c r="P84" i="25"/>
  <c r="P100" i="25"/>
  <c r="P68" i="25"/>
  <c r="P78" i="25"/>
  <c r="P69" i="25"/>
  <c r="P72" i="25"/>
  <c r="P77" i="25"/>
  <c r="P82" i="25"/>
  <c r="P71" i="25"/>
  <c r="P81" i="25"/>
  <c r="P103" i="25"/>
  <c r="P97" i="25"/>
  <c r="P104" i="25"/>
  <c r="P8" i="25" l="1"/>
  <c r="Q92" i="25"/>
  <c r="Q103" i="25"/>
  <c r="Q73" i="25"/>
  <c r="Q69" i="25"/>
  <c r="R43" i="25"/>
  <c r="R4" i="25" s="1"/>
  <c r="R5" i="25" s="1"/>
  <c r="R44" i="25"/>
  <c r="R45" i="25"/>
  <c r="R46" i="25"/>
  <c r="R47" i="25"/>
  <c r="R48" i="25"/>
  <c r="R49" i="25"/>
  <c r="R26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29" i="25"/>
  <c r="R33" i="25"/>
  <c r="R37" i="25"/>
  <c r="R32" i="25"/>
  <c r="R36" i="25"/>
  <c r="R28" i="25"/>
  <c r="R35" i="25"/>
  <c r="R39" i="25"/>
  <c r="R40" i="25"/>
  <c r="R51" i="25"/>
  <c r="R38" i="25"/>
  <c r="R50" i="25"/>
  <c r="R52" i="25"/>
  <c r="R27" i="25"/>
  <c r="R34" i="25"/>
  <c r="R31" i="25"/>
  <c r="R42" i="25"/>
  <c r="R30" i="25"/>
  <c r="R41" i="25"/>
  <c r="Q70" i="25"/>
  <c r="Q100" i="25"/>
  <c r="Q94" i="25"/>
  <c r="Q91" i="25"/>
  <c r="Q6" i="25" s="1"/>
  <c r="Q96" i="25"/>
  <c r="Q99" i="25"/>
  <c r="Q7" i="25" s="1"/>
  <c r="Q104" i="25"/>
  <c r="Q76" i="25"/>
  <c r="Q77" i="25"/>
  <c r="Q80" i="25"/>
  <c r="Q83" i="25"/>
  <c r="Q74" i="25"/>
  <c r="Q71" i="25"/>
  <c r="Q84" i="25"/>
  <c r="Q95" i="25"/>
  <c r="Q102" i="25"/>
  <c r="Q97" i="25"/>
  <c r="P87" i="25"/>
  <c r="Q68" i="25"/>
  <c r="Q75" i="25"/>
  <c r="Q106" i="25"/>
  <c r="Q101" i="25"/>
  <c r="P85" i="25"/>
  <c r="P90" i="25"/>
  <c r="Q72" i="25"/>
  <c r="Q79" i="25"/>
  <c r="Q78" i="25"/>
  <c r="Q105" i="25"/>
  <c r="P88" i="25"/>
  <c r="S2" i="25"/>
  <c r="Q81" i="25"/>
  <c r="Q82" i="25"/>
  <c r="Q87" i="25"/>
  <c r="Q98" i="25"/>
  <c r="Q93" i="25"/>
  <c r="P89" i="25"/>
  <c r="R73" i="25" l="1"/>
  <c r="R81" i="25"/>
  <c r="R93" i="25"/>
  <c r="R74" i="25"/>
  <c r="R78" i="25"/>
  <c r="R92" i="25"/>
  <c r="R96" i="25"/>
  <c r="R100" i="25"/>
  <c r="R97" i="25"/>
  <c r="R95" i="25"/>
  <c r="R91" i="25"/>
  <c r="R6" i="25" s="1"/>
  <c r="R69" i="25"/>
  <c r="R80" i="25"/>
  <c r="Q8" i="25"/>
  <c r="R70" i="25"/>
  <c r="R71" i="25"/>
  <c r="R82" i="25"/>
  <c r="S44" i="25"/>
  <c r="S45" i="25"/>
  <c r="S46" i="25"/>
  <c r="S47" i="25"/>
  <c r="S48" i="25"/>
  <c r="S49" i="25"/>
  <c r="S43" i="25"/>
  <c r="S4" i="25" s="1"/>
  <c r="S5" i="25" s="1"/>
  <c r="S50" i="25"/>
  <c r="S51" i="25"/>
  <c r="S52" i="25"/>
  <c r="S27" i="25"/>
  <c r="S26" i="25"/>
  <c r="S68" i="25" s="1"/>
  <c r="S53" i="25"/>
  <c r="S54" i="25"/>
  <c r="S55" i="25"/>
  <c r="S56" i="25"/>
  <c r="S57" i="25"/>
  <c r="S58" i="25"/>
  <c r="S59" i="25"/>
  <c r="S60" i="25"/>
  <c r="S61" i="25"/>
  <c r="S62" i="25"/>
  <c r="S63" i="25"/>
  <c r="S64" i="25"/>
  <c r="S30" i="25"/>
  <c r="S34" i="25"/>
  <c r="S38" i="25"/>
  <c r="S29" i="25"/>
  <c r="S33" i="25"/>
  <c r="S37" i="25"/>
  <c r="S36" i="25"/>
  <c r="S41" i="25"/>
  <c r="S28" i="25"/>
  <c r="S35" i="25"/>
  <c r="S39" i="25"/>
  <c r="S40" i="25"/>
  <c r="S32" i="25"/>
  <c r="S31" i="25"/>
  <c r="S42" i="25"/>
  <c r="R75" i="25"/>
  <c r="R79" i="25"/>
  <c r="Q89" i="25"/>
  <c r="R99" i="25"/>
  <c r="R7" i="25" s="1"/>
  <c r="R104" i="25"/>
  <c r="R101" i="25"/>
  <c r="R94" i="25"/>
  <c r="R105" i="25"/>
  <c r="Q90" i="25"/>
  <c r="Q85" i="25"/>
  <c r="R68" i="25"/>
  <c r="R84" i="25"/>
  <c r="R103" i="25"/>
  <c r="R98" i="25"/>
  <c r="R83" i="25"/>
  <c r="R72" i="25"/>
  <c r="R89" i="25"/>
  <c r="R102" i="25"/>
  <c r="Q86" i="25"/>
  <c r="R77" i="25"/>
  <c r="R88" i="25"/>
  <c r="R76" i="25"/>
  <c r="R106" i="25"/>
  <c r="Q88" i="25"/>
  <c r="S70" i="25" l="1"/>
  <c r="S71" i="25"/>
  <c r="S69" i="25"/>
  <c r="S79" i="25"/>
  <c r="R8" i="25"/>
  <c r="S75" i="25"/>
  <c r="T43" i="25"/>
  <c r="T4" i="25" s="1"/>
  <c r="T5" i="25" s="1"/>
  <c r="T28" i="25"/>
  <c r="T44" i="25"/>
  <c r="T45" i="25"/>
  <c r="T46" i="25"/>
  <c r="T47" i="25"/>
  <c r="T48" i="25"/>
  <c r="T49" i="25"/>
  <c r="T50" i="25"/>
  <c r="T51" i="25"/>
  <c r="T52" i="25"/>
  <c r="T27" i="25"/>
  <c r="T31" i="25"/>
  <c r="T35" i="25"/>
  <c r="T39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30" i="25"/>
  <c r="T34" i="25"/>
  <c r="T38" i="25"/>
  <c r="T26" i="25"/>
  <c r="T29" i="25"/>
  <c r="T37" i="25"/>
  <c r="T42" i="25"/>
  <c r="T36" i="25"/>
  <c r="T41" i="25"/>
  <c r="T33" i="25"/>
  <c r="T40" i="25"/>
  <c r="T32" i="25"/>
  <c r="X43" i="25"/>
  <c r="X4" i="25" s="1"/>
  <c r="X5" i="25" s="1"/>
  <c r="X49" i="25"/>
  <c r="X50" i="25"/>
  <c r="X51" i="25"/>
  <c r="X52" i="25"/>
  <c r="X44" i="25"/>
  <c r="X46" i="25"/>
  <c r="X48" i="25"/>
  <c r="X26" i="25"/>
  <c r="X31" i="25"/>
  <c r="X35" i="25"/>
  <c r="X39" i="25"/>
  <c r="X30" i="25"/>
  <c r="X34" i="25"/>
  <c r="X38" i="25"/>
  <c r="X47" i="25"/>
  <c r="X33" i="25"/>
  <c r="X42" i="25"/>
  <c r="X28" i="25"/>
  <c r="X53" i="25"/>
  <c r="X54" i="25"/>
  <c r="X55" i="25"/>
  <c r="X56" i="25"/>
  <c r="X57" i="25"/>
  <c r="X58" i="25"/>
  <c r="X59" i="25"/>
  <c r="X60" i="25"/>
  <c r="X61" i="25"/>
  <c r="X62" i="25"/>
  <c r="X63" i="25"/>
  <c r="X64" i="25"/>
  <c r="X32" i="25"/>
  <c r="X41" i="25"/>
  <c r="X45" i="25"/>
  <c r="X29" i="25"/>
  <c r="X37" i="25"/>
  <c r="X40" i="25"/>
  <c r="X27" i="25"/>
  <c r="X36" i="25"/>
  <c r="S101" i="25"/>
  <c r="S93" i="25"/>
  <c r="S72" i="25"/>
  <c r="S78" i="25"/>
  <c r="S82" i="25"/>
  <c r="S94" i="25"/>
  <c r="S102" i="25"/>
  <c r="S92" i="25"/>
  <c r="S83" i="25"/>
  <c r="S99" i="25"/>
  <c r="S89" i="25"/>
  <c r="S84" i="25"/>
  <c r="S105" i="25"/>
  <c r="S96" i="25"/>
  <c r="S103" i="25"/>
  <c r="R85" i="25"/>
  <c r="R90" i="25"/>
  <c r="S73" i="25"/>
  <c r="S97" i="25"/>
  <c r="S106" i="25"/>
  <c r="S100" i="25"/>
  <c r="S91" i="25"/>
  <c r="S6" i="25" s="1"/>
  <c r="Y2" i="25"/>
  <c r="AC2" i="25"/>
  <c r="R86" i="25"/>
  <c r="R87" i="25"/>
  <c r="U2" i="25"/>
  <c r="S81" i="25"/>
  <c r="S74" i="25"/>
  <c r="S76" i="25"/>
  <c r="S77" i="25"/>
  <c r="S80" i="25"/>
  <c r="S98" i="25"/>
  <c r="S88" i="25"/>
  <c r="S104" i="25"/>
  <c r="S95" i="25"/>
  <c r="X105" i="25" l="1"/>
  <c r="T104" i="25"/>
  <c r="X91" i="25"/>
  <c r="X6" i="25" s="1"/>
  <c r="X102" i="25"/>
  <c r="X94" i="25"/>
  <c r="AC43" i="25"/>
  <c r="AC4" i="25" s="1"/>
  <c r="AC5" i="25" s="1"/>
  <c r="AC49" i="25"/>
  <c r="AC50" i="25"/>
  <c r="AC51" i="25"/>
  <c r="AC52" i="25"/>
  <c r="AC44" i="25"/>
  <c r="AC45" i="25"/>
  <c r="AC46" i="25"/>
  <c r="AC47" i="25"/>
  <c r="AC48" i="25"/>
  <c r="AC53" i="25"/>
  <c r="AC54" i="25"/>
  <c r="AC55" i="25"/>
  <c r="AC56" i="25"/>
  <c r="AC57" i="25"/>
  <c r="AC58" i="25"/>
  <c r="AC59" i="25"/>
  <c r="AC60" i="25"/>
  <c r="AC61" i="25"/>
  <c r="AC62" i="25"/>
  <c r="AC63" i="25"/>
  <c r="AC64" i="25"/>
  <c r="AC28" i="25"/>
  <c r="AC32" i="25"/>
  <c r="AC36" i="25"/>
  <c r="AC31" i="25"/>
  <c r="AC35" i="25"/>
  <c r="AC30" i="25"/>
  <c r="AC38" i="25"/>
  <c r="AC39" i="25"/>
  <c r="AC41" i="25"/>
  <c r="AC33" i="25"/>
  <c r="AC40" i="25"/>
  <c r="AC27" i="25"/>
  <c r="AC29" i="25"/>
  <c r="AC37" i="25"/>
  <c r="AC42" i="25"/>
  <c r="AC34" i="25"/>
  <c r="AC26" i="25"/>
  <c r="Y43" i="25"/>
  <c r="Y4" i="25" s="1"/>
  <c r="Y5" i="25" s="1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27" i="25"/>
  <c r="Y28" i="25"/>
  <c r="Y32" i="25"/>
  <c r="Y36" i="25"/>
  <c r="Y44" i="25"/>
  <c r="Y46" i="25"/>
  <c r="Y48" i="25"/>
  <c r="Y26" i="25"/>
  <c r="Y31" i="25"/>
  <c r="Y35" i="25"/>
  <c r="Y34" i="25"/>
  <c r="Y45" i="25"/>
  <c r="Y29" i="25"/>
  <c r="Y47" i="25"/>
  <c r="Y33" i="25"/>
  <c r="Y39" i="25"/>
  <c r="Y42" i="25"/>
  <c r="Y30" i="25"/>
  <c r="Y38" i="25"/>
  <c r="Y41" i="25"/>
  <c r="Y37" i="25"/>
  <c r="Y40" i="25"/>
  <c r="J16" i="25"/>
  <c r="U43" i="25"/>
  <c r="U4" i="25" s="1"/>
  <c r="U5" i="25" s="1"/>
  <c r="U44" i="25"/>
  <c r="U45" i="25"/>
  <c r="U46" i="25"/>
  <c r="U47" i="25"/>
  <c r="U48" i="25"/>
  <c r="U49" i="25"/>
  <c r="U50" i="25"/>
  <c r="U51" i="25"/>
  <c r="U52" i="25"/>
  <c r="U53" i="25"/>
  <c r="U54" i="25"/>
  <c r="U55" i="25"/>
  <c r="U56" i="25"/>
  <c r="U57" i="25"/>
  <c r="U58" i="25"/>
  <c r="U59" i="25"/>
  <c r="U60" i="25"/>
  <c r="U61" i="25"/>
  <c r="U62" i="25"/>
  <c r="U63" i="25"/>
  <c r="U64" i="25"/>
  <c r="U28" i="25"/>
  <c r="U32" i="25"/>
  <c r="U36" i="25"/>
  <c r="U27" i="25"/>
  <c r="U31" i="25"/>
  <c r="U35" i="25"/>
  <c r="U30" i="25"/>
  <c r="U38" i="25"/>
  <c r="U41" i="25"/>
  <c r="U40" i="25"/>
  <c r="U26" i="25"/>
  <c r="U29" i="25"/>
  <c r="U37" i="25"/>
  <c r="U42" i="25"/>
  <c r="U34" i="25"/>
  <c r="U39" i="25"/>
  <c r="U33" i="25"/>
  <c r="J15" i="25"/>
  <c r="S7" i="25"/>
  <c r="S8" i="25" s="1"/>
  <c r="T91" i="25"/>
  <c r="T6" i="25" s="1"/>
  <c r="T94" i="25"/>
  <c r="T97" i="25"/>
  <c r="T102" i="25"/>
  <c r="X96" i="25"/>
  <c r="X75" i="25"/>
  <c r="X82" i="25"/>
  <c r="J17" i="25"/>
  <c r="T103" i="25"/>
  <c r="T68" i="25"/>
  <c r="T75" i="25"/>
  <c r="T72" i="25"/>
  <c r="T73" i="25"/>
  <c r="T89" i="25"/>
  <c r="T70" i="25"/>
  <c r="T95" i="25"/>
  <c r="T99" i="25"/>
  <c r="T7" i="25" s="1"/>
  <c r="T106" i="25"/>
  <c r="T101" i="25"/>
  <c r="T92" i="25"/>
  <c r="X68" i="25"/>
  <c r="X69" i="25"/>
  <c r="X78" i="25"/>
  <c r="X71" i="25"/>
  <c r="X95" i="25"/>
  <c r="X99" i="25"/>
  <c r="X7" i="25" s="1"/>
  <c r="X93" i="25"/>
  <c r="X84" i="25"/>
  <c r="X100" i="25"/>
  <c r="J18" i="25"/>
  <c r="T105" i="25"/>
  <c r="T96" i="25"/>
  <c r="X72" i="25"/>
  <c r="X79" i="25"/>
  <c r="X80" i="25"/>
  <c r="X70" i="25"/>
  <c r="X77" i="25"/>
  <c r="X103" i="25"/>
  <c r="X97" i="25"/>
  <c r="X88" i="25"/>
  <c r="X104" i="25"/>
  <c r="S85" i="25"/>
  <c r="S90" i="25"/>
  <c r="T82" i="25"/>
  <c r="T80" i="25"/>
  <c r="AD2" i="25"/>
  <c r="X89" i="25"/>
  <c r="T76" i="25"/>
  <c r="Z2" i="25"/>
  <c r="V2" i="25"/>
  <c r="T69" i="25"/>
  <c r="T74" i="25"/>
  <c r="T81" i="25"/>
  <c r="T98" i="25"/>
  <c r="T79" i="25"/>
  <c r="T71" i="25"/>
  <c r="T77" i="25"/>
  <c r="T78" i="25"/>
  <c r="T83" i="25"/>
  <c r="T93" i="25"/>
  <c r="T84" i="25"/>
  <c r="T100" i="25"/>
  <c r="X83" i="25"/>
  <c r="X76" i="25"/>
  <c r="AH2" i="25"/>
  <c r="X73" i="25"/>
  <c r="X74" i="25"/>
  <c r="X81" i="25"/>
  <c r="X98" i="25"/>
  <c r="X106" i="25"/>
  <c r="X101" i="25"/>
  <c r="X92" i="25"/>
  <c r="J13" i="25"/>
  <c r="J14" i="25"/>
  <c r="S87" i="25"/>
  <c r="S86" i="25"/>
  <c r="X8" i="25" l="1"/>
  <c r="AC91" i="25"/>
  <c r="AC6" i="25" s="1"/>
  <c r="AC92" i="25"/>
  <c r="U92" i="25"/>
  <c r="U99" i="25"/>
  <c r="U7" i="25" s="1"/>
  <c r="U73" i="25"/>
  <c r="Y99" i="25"/>
  <c r="Y7" i="25" s="1"/>
  <c r="Y77" i="25"/>
  <c r="Y73" i="25"/>
  <c r="AC95" i="25"/>
  <c r="V44" i="25"/>
  <c r="V45" i="25"/>
  <c r="V46" i="25"/>
  <c r="V47" i="25"/>
  <c r="V48" i="25"/>
  <c r="V26" i="25"/>
  <c r="V43" i="25"/>
  <c r="V4" i="25" s="1"/>
  <c r="V5" i="25" s="1"/>
  <c r="V53" i="25"/>
  <c r="V54" i="25"/>
  <c r="V55" i="25"/>
  <c r="V56" i="25"/>
  <c r="V57" i="25"/>
  <c r="V58" i="25"/>
  <c r="V59" i="25"/>
  <c r="V60" i="25"/>
  <c r="V61" i="25"/>
  <c r="V62" i="25"/>
  <c r="V63" i="25"/>
  <c r="V64" i="25"/>
  <c r="V49" i="25"/>
  <c r="V50" i="25"/>
  <c r="V51" i="25"/>
  <c r="V52" i="25"/>
  <c r="V29" i="25"/>
  <c r="V33" i="25"/>
  <c r="V37" i="25"/>
  <c r="V28" i="25"/>
  <c r="V32" i="25"/>
  <c r="V36" i="25"/>
  <c r="V31" i="25"/>
  <c r="V40" i="25"/>
  <c r="V42" i="25"/>
  <c r="V41" i="25"/>
  <c r="V30" i="25"/>
  <c r="V38" i="25"/>
  <c r="V27" i="25"/>
  <c r="V35" i="25"/>
  <c r="V34" i="25"/>
  <c r="V39" i="25"/>
  <c r="AD43" i="25"/>
  <c r="AD4" i="25" s="1"/>
  <c r="AD5" i="25" s="1"/>
  <c r="AD49" i="25"/>
  <c r="AD50" i="25"/>
  <c r="AD51" i="25"/>
  <c r="AD52" i="25"/>
  <c r="AD26" i="25"/>
  <c r="AD44" i="25"/>
  <c r="AD45" i="25"/>
  <c r="AD46" i="25"/>
  <c r="AD47" i="25"/>
  <c r="AD48" i="25"/>
  <c r="AD53" i="25"/>
  <c r="AD54" i="25"/>
  <c r="AD55" i="25"/>
  <c r="AD56" i="25"/>
  <c r="AD57" i="25"/>
  <c r="AD58" i="25"/>
  <c r="AD59" i="25"/>
  <c r="AD60" i="25"/>
  <c r="AD61" i="25"/>
  <c r="AD62" i="25"/>
  <c r="AD63" i="25"/>
  <c r="AD64" i="25"/>
  <c r="AD27" i="25"/>
  <c r="AD29" i="25"/>
  <c r="AD33" i="25"/>
  <c r="AD37" i="25"/>
  <c r="AD28" i="25"/>
  <c r="AD32" i="25"/>
  <c r="AD36" i="25"/>
  <c r="AD31" i="25"/>
  <c r="AD40" i="25"/>
  <c r="AD42" i="25"/>
  <c r="AD34" i="25"/>
  <c r="AD41" i="25"/>
  <c r="AD30" i="25"/>
  <c r="AD38" i="25"/>
  <c r="AD39" i="25"/>
  <c r="AD35" i="25"/>
  <c r="Y84" i="25"/>
  <c r="T8" i="25"/>
  <c r="AH43" i="25"/>
  <c r="AH4" i="25" s="1"/>
  <c r="AH5" i="25" s="1"/>
  <c r="AH26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45" i="25"/>
  <c r="AH47" i="25"/>
  <c r="AH29" i="25"/>
  <c r="AH33" i="25"/>
  <c r="AH37" i="25"/>
  <c r="AH49" i="25"/>
  <c r="AH50" i="25"/>
  <c r="AH51" i="25"/>
  <c r="AH52" i="25"/>
  <c r="AH28" i="25"/>
  <c r="AH32" i="25"/>
  <c r="AH36" i="25"/>
  <c r="AH44" i="25"/>
  <c r="AH35" i="25"/>
  <c r="AH40" i="25"/>
  <c r="AH27" i="25"/>
  <c r="AH38" i="25"/>
  <c r="AH48" i="25"/>
  <c r="AH34" i="25"/>
  <c r="AH39" i="25"/>
  <c r="AH46" i="25"/>
  <c r="AH31" i="25"/>
  <c r="AH42" i="25"/>
  <c r="AH30" i="25"/>
  <c r="AH41" i="25"/>
  <c r="Z44" i="25"/>
  <c r="Z45" i="25"/>
  <c r="Z46" i="25"/>
  <c r="Z47" i="25"/>
  <c r="Z48" i="25"/>
  <c r="Z26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29" i="25"/>
  <c r="Z33" i="25"/>
  <c r="Z37" i="25"/>
  <c r="Z27" i="25"/>
  <c r="Z28" i="25"/>
  <c r="Z32" i="25"/>
  <c r="Z36" i="25"/>
  <c r="Z43" i="25"/>
  <c r="Z4" i="25" s="1"/>
  <c r="Z5" i="25" s="1"/>
  <c r="Z35" i="25"/>
  <c r="Z40" i="25"/>
  <c r="Z30" i="25"/>
  <c r="Z34" i="25"/>
  <c r="Z31" i="25"/>
  <c r="Z39" i="25"/>
  <c r="Z42" i="25"/>
  <c r="Z38" i="25"/>
  <c r="Z41" i="25"/>
  <c r="Y69" i="25"/>
  <c r="J19" i="25"/>
  <c r="T87" i="25"/>
  <c r="U103" i="25"/>
  <c r="U94" i="25"/>
  <c r="U105" i="25"/>
  <c r="Y95" i="25"/>
  <c r="U95" i="25"/>
  <c r="U96" i="25"/>
  <c r="U100" i="25"/>
  <c r="U98" i="25"/>
  <c r="U93" i="25"/>
  <c r="Y96" i="25"/>
  <c r="Y91" i="25"/>
  <c r="Y6" i="25" s="1"/>
  <c r="AC99" i="25"/>
  <c r="AC7" i="25" s="1"/>
  <c r="AC94" i="25"/>
  <c r="AC105" i="25"/>
  <c r="U80" i="25"/>
  <c r="U77" i="25"/>
  <c r="U76" i="25"/>
  <c r="U84" i="25"/>
  <c r="U71" i="25"/>
  <c r="U82" i="25"/>
  <c r="U83" i="25"/>
  <c r="Y72" i="25"/>
  <c r="Y80" i="25"/>
  <c r="Y83" i="25"/>
  <c r="Y94" i="25"/>
  <c r="Y105" i="25"/>
  <c r="T86" i="25"/>
  <c r="AC96" i="25"/>
  <c r="U91" i="25"/>
  <c r="U6" i="25" s="1"/>
  <c r="T88" i="25"/>
  <c r="AC68" i="25"/>
  <c r="AC71" i="25"/>
  <c r="AC73" i="25"/>
  <c r="AC76" i="25"/>
  <c r="AC74" i="25"/>
  <c r="AC75" i="25"/>
  <c r="AC82" i="25"/>
  <c r="AC103" i="25"/>
  <c r="AC100" i="25"/>
  <c r="AC98" i="25"/>
  <c r="AC93" i="25"/>
  <c r="U79" i="25"/>
  <c r="U72" i="25"/>
  <c r="U75" i="25"/>
  <c r="U88" i="25"/>
  <c r="U104" i="25"/>
  <c r="U102" i="25"/>
  <c r="U97" i="25"/>
  <c r="Y79" i="25"/>
  <c r="Y76" i="25"/>
  <c r="AI2" i="25"/>
  <c r="Y92" i="25"/>
  <c r="Y104" i="25"/>
  <c r="Y98" i="25"/>
  <c r="Y93" i="25"/>
  <c r="X85" i="25"/>
  <c r="X90" i="25"/>
  <c r="AC69" i="25"/>
  <c r="Y86" i="25"/>
  <c r="AC70" i="25"/>
  <c r="AC89" i="25"/>
  <c r="AC80" i="25"/>
  <c r="AC72" i="25"/>
  <c r="AC77" i="25"/>
  <c r="AC87" i="25"/>
  <c r="AC84" i="25"/>
  <c r="AC104" i="25"/>
  <c r="AC102" i="25"/>
  <c r="AC97" i="25"/>
  <c r="U69" i="25"/>
  <c r="U74" i="25"/>
  <c r="U81" i="25"/>
  <c r="W2" i="25"/>
  <c r="U87" i="25"/>
  <c r="U106" i="25"/>
  <c r="U101" i="25"/>
  <c r="Y74" i="25"/>
  <c r="Y81" i="25"/>
  <c r="Y70" i="25"/>
  <c r="Y71" i="25"/>
  <c r="Y78" i="25"/>
  <c r="Y100" i="25"/>
  <c r="Y103" i="25"/>
  <c r="Y102" i="25"/>
  <c r="Y97" i="25"/>
  <c r="X86" i="25"/>
  <c r="T85" i="25"/>
  <c r="T90" i="25"/>
  <c r="AC78" i="25"/>
  <c r="AC79" i="25"/>
  <c r="AC81" i="25"/>
  <c r="AC83" i="25"/>
  <c r="AM2" i="25"/>
  <c r="AC88" i="25"/>
  <c r="AC106" i="25"/>
  <c r="AC101" i="25"/>
  <c r="U68" i="25"/>
  <c r="U70" i="25"/>
  <c r="AA2" i="25"/>
  <c r="AE2" i="25"/>
  <c r="U78" i="25"/>
  <c r="U89" i="25"/>
  <c r="Y68" i="25"/>
  <c r="Y75" i="25"/>
  <c r="Y82" i="25"/>
  <c r="Y106" i="25"/>
  <c r="Y101" i="25"/>
  <c r="X87" i="25"/>
  <c r="AC8" i="25" l="1"/>
  <c r="V100" i="25"/>
  <c r="V96" i="25"/>
  <c r="Z101" i="25"/>
  <c r="Z97" i="25"/>
  <c r="AD81" i="25"/>
  <c r="AD78" i="25"/>
  <c r="Z80" i="25"/>
  <c r="Z69" i="25"/>
  <c r="U8" i="25"/>
  <c r="Z70" i="25"/>
  <c r="V93" i="25"/>
  <c r="V105" i="25"/>
  <c r="AH80" i="25"/>
  <c r="AD97" i="25"/>
  <c r="V77" i="25"/>
  <c r="Y8" i="25"/>
  <c r="AD74" i="25"/>
  <c r="AD105" i="25"/>
  <c r="AH97" i="25"/>
  <c r="AD71" i="25"/>
  <c r="AD70" i="25"/>
  <c r="AD69" i="25"/>
  <c r="AH100" i="25"/>
  <c r="AH104" i="25"/>
  <c r="AH96" i="25"/>
  <c r="AH101" i="25"/>
  <c r="AD77" i="25"/>
  <c r="AD73" i="25"/>
  <c r="AH92" i="25"/>
  <c r="AD101" i="25"/>
  <c r="AD92" i="25"/>
  <c r="V75" i="25"/>
  <c r="V74" i="25"/>
  <c r="AD91" i="25"/>
  <c r="AD6" i="25" s="1"/>
  <c r="Z74" i="25"/>
  <c r="AH99" i="25"/>
  <c r="AH7" i="25" s="1"/>
  <c r="AD104" i="25"/>
  <c r="AD100" i="25"/>
  <c r="AD96" i="25"/>
  <c r="V95" i="25"/>
  <c r="AD93" i="25"/>
  <c r="Z81" i="25"/>
  <c r="Z77" i="25"/>
  <c r="Z71" i="25"/>
  <c r="AH93" i="25"/>
  <c r="AD95" i="25"/>
  <c r="V70" i="25"/>
  <c r="AE44" i="25"/>
  <c r="AE45" i="25"/>
  <c r="AE46" i="25"/>
  <c r="AE47" i="25"/>
  <c r="AE48" i="25"/>
  <c r="AE43" i="25"/>
  <c r="AE4" i="25" s="1"/>
  <c r="AE5" i="25" s="1"/>
  <c r="AE27" i="25"/>
  <c r="AE49" i="25"/>
  <c r="AE50" i="25"/>
  <c r="AE51" i="25"/>
  <c r="AE52" i="25"/>
  <c r="AE26" i="25"/>
  <c r="AE30" i="25"/>
  <c r="AE34" i="25"/>
  <c r="AE38" i="25"/>
  <c r="AE29" i="25"/>
  <c r="AE33" i="25"/>
  <c r="AE37" i="25"/>
  <c r="AE32" i="25"/>
  <c r="AE41" i="25"/>
  <c r="AE35" i="25"/>
  <c r="AE42" i="25"/>
  <c r="AE31" i="25"/>
  <c r="AE40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28" i="25"/>
  <c r="AE36" i="25"/>
  <c r="AE39" i="25"/>
  <c r="AM44" i="25"/>
  <c r="AM45" i="25"/>
  <c r="AM46" i="25"/>
  <c r="AM47" i="25"/>
  <c r="AM48" i="25"/>
  <c r="AM43" i="25"/>
  <c r="AM4" i="25" s="1"/>
  <c r="AM5" i="25" s="1"/>
  <c r="AM27" i="25"/>
  <c r="AM26" i="25"/>
  <c r="AM30" i="25"/>
  <c r="AM34" i="25"/>
  <c r="AM38" i="25"/>
  <c r="AM29" i="25"/>
  <c r="AM33" i="25"/>
  <c r="AM37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32" i="25"/>
  <c r="AM41" i="25"/>
  <c r="AM49" i="25"/>
  <c r="AM42" i="25"/>
  <c r="AM50" i="25"/>
  <c r="AM52" i="25"/>
  <c r="AM31" i="25"/>
  <c r="AM40" i="25"/>
  <c r="AM28" i="25"/>
  <c r="AM36" i="25"/>
  <c r="AM39" i="25"/>
  <c r="AM51" i="25"/>
  <c r="AM35" i="25"/>
  <c r="AI44" i="25"/>
  <c r="AI45" i="25"/>
  <c r="AI46" i="25"/>
  <c r="AI47" i="25"/>
  <c r="AI48" i="25"/>
  <c r="AI43" i="25"/>
  <c r="AI4" i="25" s="1"/>
  <c r="AI5" i="25" s="1"/>
  <c r="AI49" i="25"/>
  <c r="AI50" i="25"/>
  <c r="AI51" i="25"/>
  <c r="AI52" i="25"/>
  <c r="AI27" i="25"/>
  <c r="AI26" i="25"/>
  <c r="AI53" i="25"/>
  <c r="AI54" i="25"/>
  <c r="AI55" i="25"/>
  <c r="AI56" i="25"/>
  <c r="AI57" i="25"/>
  <c r="AI58" i="25"/>
  <c r="AI59" i="25"/>
  <c r="AI60" i="25"/>
  <c r="AI61" i="25"/>
  <c r="AI62" i="25"/>
  <c r="AI63" i="25"/>
  <c r="AI64" i="25"/>
  <c r="AI30" i="25"/>
  <c r="AI34" i="25"/>
  <c r="AI38" i="25"/>
  <c r="AI29" i="25"/>
  <c r="AI33" i="25"/>
  <c r="AI37" i="25"/>
  <c r="AI28" i="25"/>
  <c r="AI36" i="25"/>
  <c r="AI41" i="25"/>
  <c r="AI35" i="25"/>
  <c r="AI40" i="25"/>
  <c r="AI32" i="25"/>
  <c r="AI39" i="25"/>
  <c r="AI31" i="25"/>
  <c r="AI42" i="25"/>
  <c r="AA44" i="25"/>
  <c r="AA45" i="25"/>
  <c r="AA46" i="25"/>
  <c r="AA47" i="25"/>
  <c r="AA48" i="25"/>
  <c r="AA27" i="25"/>
  <c r="AA26" i="25"/>
  <c r="AA53" i="25"/>
  <c r="AA54" i="25"/>
  <c r="AA55" i="25"/>
  <c r="AA56" i="25"/>
  <c r="AA57" i="25"/>
  <c r="AA58" i="25"/>
  <c r="AA59" i="25"/>
  <c r="AA60" i="25"/>
  <c r="AA61" i="25"/>
  <c r="AA62" i="25"/>
  <c r="AA63" i="25"/>
  <c r="AA64" i="25"/>
  <c r="AA30" i="25"/>
  <c r="AA34" i="25"/>
  <c r="AA38" i="25"/>
  <c r="AA29" i="25"/>
  <c r="AA33" i="25"/>
  <c r="AA37" i="25"/>
  <c r="AA49" i="25"/>
  <c r="AA51" i="25"/>
  <c r="AA28" i="25"/>
  <c r="AA36" i="25"/>
  <c r="AA41" i="25"/>
  <c r="AA31" i="25"/>
  <c r="AA39" i="25"/>
  <c r="AA43" i="25"/>
  <c r="AA4" i="25" s="1"/>
  <c r="AA5" i="25" s="1"/>
  <c r="AA35" i="25"/>
  <c r="AA40" i="25"/>
  <c r="AA50" i="25"/>
  <c r="AA52" i="25"/>
  <c r="AA32" i="25"/>
  <c r="AA42" i="25"/>
  <c r="W44" i="25"/>
  <c r="W45" i="25"/>
  <c r="W46" i="25"/>
  <c r="W47" i="25"/>
  <c r="W48" i="25"/>
  <c r="W43" i="25"/>
  <c r="W4" i="25" s="1"/>
  <c r="W5" i="25" s="1"/>
  <c r="W27" i="25"/>
  <c r="W26" i="25"/>
  <c r="W30" i="25"/>
  <c r="W34" i="25"/>
  <c r="W38" i="25"/>
  <c r="W49" i="25"/>
  <c r="W50" i="25"/>
  <c r="W51" i="25"/>
  <c r="W52" i="25"/>
  <c r="W29" i="25"/>
  <c r="W33" i="25"/>
  <c r="W37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32" i="25"/>
  <c r="W39" i="25"/>
  <c r="W41" i="25"/>
  <c r="W42" i="25"/>
  <c r="W31" i="25"/>
  <c r="W40" i="25"/>
  <c r="W28" i="25"/>
  <c r="W36" i="25"/>
  <c r="W35" i="25"/>
  <c r="Y87" i="25"/>
  <c r="V92" i="25"/>
  <c r="Z75" i="25"/>
  <c r="Z73" i="25"/>
  <c r="Z78" i="25"/>
  <c r="V82" i="25"/>
  <c r="V71" i="25"/>
  <c r="V76" i="25"/>
  <c r="V79" i="25"/>
  <c r="V104" i="25"/>
  <c r="V103" i="25"/>
  <c r="V98" i="25"/>
  <c r="Z82" i="25"/>
  <c r="Z84" i="25"/>
  <c r="Z72" i="25"/>
  <c r="Z79" i="25"/>
  <c r="AH74" i="25"/>
  <c r="AH69" i="25"/>
  <c r="AH71" i="25"/>
  <c r="AH76" i="25"/>
  <c r="AH91" i="25"/>
  <c r="AH6" i="25" s="1"/>
  <c r="AH82" i="25"/>
  <c r="AH98" i="25"/>
  <c r="V91" i="25"/>
  <c r="V6" i="25" s="1"/>
  <c r="AD75" i="25"/>
  <c r="AD76" i="25"/>
  <c r="AD79" i="25"/>
  <c r="AD103" i="25"/>
  <c r="AD98" i="25"/>
  <c r="AD80" i="25"/>
  <c r="Z106" i="25"/>
  <c r="AB2" i="25"/>
  <c r="AJ2" i="25"/>
  <c r="Z68" i="25"/>
  <c r="Z93" i="25"/>
  <c r="Z83" i="25"/>
  <c r="Z104" i="25"/>
  <c r="Z99" i="25"/>
  <c r="Z7" i="25" s="1"/>
  <c r="Z94" i="25"/>
  <c r="AH81" i="25"/>
  <c r="AH78" i="25"/>
  <c r="AH73" i="25"/>
  <c r="AH83" i="25"/>
  <c r="AH77" i="25"/>
  <c r="AH95" i="25"/>
  <c r="AH102" i="25"/>
  <c r="V73" i="25"/>
  <c r="V69" i="25"/>
  <c r="V81" i="25"/>
  <c r="V84" i="25"/>
  <c r="V87" i="25"/>
  <c r="V102" i="25"/>
  <c r="Y90" i="25"/>
  <c r="Y85" i="25"/>
  <c r="AD83" i="25"/>
  <c r="AD88" i="25"/>
  <c r="AD102" i="25"/>
  <c r="U90" i="25"/>
  <c r="U85" i="25"/>
  <c r="AF2" i="25"/>
  <c r="Z92" i="25"/>
  <c r="Z105" i="25"/>
  <c r="Z103" i="25"/>
  <c r="Z98" i="25"/>
  <c r="AH68" i="25"/>
  <c r="AH79" i="25"/>
  <c r="AH106" i="25"/>
  <c r="V68" i="25"/>
  <c r="V83" i="25"/>
  <c r="V106" i="25"/>
  <c r="AC90" i="25"/>
  <c r="AC85" i="25"/>
  <c r="AD89" i="25"/>
  <c r="AD68" i="25"/>
  <c r="AD82" i="25"/>
  <c r="AD106" i="25"/>
  <c r="U86" i="25"/>
  <c r="Z95" i="25"/>
  <c r="AD87" i="25"/>
  <c r="Z96" i="25"/>
  <c r="Z76" i="25"/>
  <c r="Z100" i="25"/>
  <c r="Z91" i="25"/>
  <c r="Z6" i="25" s="1"/>
  <c r="Z86" i="25"/>
  <c r="Z102" i="25"/>
  <c r="AH70" i="25"/>
  <c r="AH75" i="25"/>
  <c r="AH72" i="25"/>
  <c r="AH84" i="25"/>
  <c r="AH105" i="25"/>
  <c r="AH103" i="25"/>
  <c r="AH94" i="25"/>
  <c r="V80" i="25"/>
  <c r="V78" i="25"/>
  <c r="V72" i="25"/>
  <c r="V101" i="25"/>
  <c r="V97" i="25"/>
  <c r="V99" i="25"/>
  <c r="V7" i="25" s="1"/>
  <c r="V94" i="25"/>
  <c r="AC86" i="25"/>
  <c r="Y88" i="25"/>
  <c r="AD72" i="25"/>
  <c r="AD84" i="25"/>
  <c r="AD99" i="25"/>
  <c r="AD7" i="25" s="1"/>
  <c r="AD94" i="25"/>
  <c r="Y89" i="25"/>
  <c r="AE82" i="25" l="1"/>
  <c r="AI71" i="25"/>
  <c r="AE92" i="25"/>
  <c r="AD8" i="25"/>
  <c r="AE93" i="25"/>
  <c r="AE81" i="25"/>
  <c r="AH8" i="25"/>
  <c r="AE102" i="25"/>
  <c r="V8" i="25"/>
  <c r="Z8" i="25"/>
  <c r="AE77" i="25"/>
  <c r="AF44" i="25"/>
  <c r="AF45" i="25"/>
  <c r="AF46" i="25"/>
  <c r="AF47" i="25"/>
  <c r="AF48" i="25"/>
  <c r="AF43" i="25"/>
  <c r="AF4" i="25" s="1"/>
  <c r="AF5" i="25" s="1"/>
  <c r="AF49" i="25"/>
  <c r="AF50" i="25"/>
  <c r="AF51" i="25"/>
  <c r="AF52" i="25"/>
  <c r="AF26" i="25"/>
  <c r="AF31" i="25"/>
  <c r="AF35" i="25"/>
  <c r="AF27" i="25"/>
  <c r="AF30" i="25"/>
  <c r="AF34" i="25"/>
  <c r="AF38" i="25"/>
  <c r="AF33" i="25"/>
  <c r="AF42" i="25"/>
  <c r="AF53" i="25"/>
  <c r="AF54" i="25"/>
  <c r="AF55" i="25"/>
  <c r="AF56" i="25"/>
  <c r="AF57" i="25"/>
  <c r="AF58" i="25"/>
  <c r="AF59" i="25"/>
  <c r="AF60" i="25"/>
  <c r="AF61" i="25"/>
  <c r="AF62" i="25"/>
  <c r="AF63" i="25"/>
  <c r="AF64" i="25"/>
  <c r="AF36" i="25"/>
  <c r="AF32" i="25"/>
  <c r="AF41" i="25"/>
  <c r="AF29" i="25"/>
  <c r="AF37" i="25"/>
  <c r="AF40" i="25"/>
  <c r="AF28" i="25"/>
  <c r="AF39" i="25"/>
  <c r="AJ48" i="25"/>
  <c r="AJ49" i="25"/>
  <c r="AJ50" i="25"/>
  <c r="AJ51" i="25"/>
  <c r="AJ52" i="25"/>
  <c r="AJ43" i="25"/>
  <c r="AJ4" i="25" s="1"/>
  <c r="AJ5" i="25" s="1"/>
  <c r="AJ27" i="25"/>
  <c r="AJ31" i="25"/>
  <c r="AJ35" i="25"/>
  <c r="AJ45" i="25"/>
  <c r="AJ47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30" i="25"/>
  <c r="AJ34" i="25"/>
  <c r="AJ38" i="25"/>
  <c r="AJ26" i="25"/>
  <c r="AJ29" i="25"/>
  <c r="AJ37" i="25"/>
  <c r="AJ42" i="25"/>
  <c r="AJ39" i="25"/>
  <c r="AJ44" i="25"/>
  <c r="AJ28" i="25"/>
  <c r="AJ36" i="25"/>
  <c r="AJ41" i="25"/>
  <c r="AJ33" i="25"/>
  <c r="AJ40" i="25"/>
  <c r="AJ46" i="25"/>
  <c r="AJ32" i="25"/>
  <c r="AE72" i="25"/>
  <c r="AB43" i="25"/>
  <c r="AB4" i="25" s="1"/>
  <c r="AB5" i="25" s="1"/>
  <c r="AB44" i="25"/>
  <c r="AB45" i="25"/>
  <c r="AB46" i="25"/>
  <c r="AB47" i="25"/>
  <c r="AB48" i="25"/>
  <c r="AB31" i="25"/>
  <c r="AB35" i="25"/>
  <c r="AB39" i="25"/>
  <c r="AB53" i="25"/>
  <c r="AB54" i="25"/>
  <c r="AB55" i="25"/>
  <c r="AB56" i="25"/>
  <c r="AB57" i="25"/>
  <c r="AB58" i="25"/>
  <c r="AB59" i="25"/>
  <c r="AB60" i="25"/>
  <c r="AB61" i="25"/>
  <c r="AB62" i="25"/>
  <c r="AB63" i="25"/>
  <c r="AB64" i="25"/>
  <c r="AB30" i="25"/>
  <c r="AB34" i="25"/>
  <c r="AB38" i="25"/>
  <c r="AB27" i="25"/>
  <c r="AB29" i="25"/>
  <c r="AB37" i="25"/>
  <c r="AB42" i="25"/>
  <c r="AB52" i="25"/>
  <c r="AB32" i="25"/>
  <c r="AB49" i="25"/>
  <c r="AB51" i="25"/>
  <c r="AB28" i="25"/>
  <c r="AB36" i="25"/>
  <c r="AB41" i="25"/>
  <c r="AB26" i="25"/>
  <c r="AB33" i="25"/>
  <c r="AB40" i="25"/>
  <c r="AB50" i="25"/>
  <c r="AA97" i="25"/>
  <c r="AA93" i="25"/>
  <c r="AE94" i="25"/>
  <c r="AM97" i="25"/>
  <c r="AE97" i="25"/>
  <c r="AE105" i="25"/>
  <c r="AM94" i="25"/>
  <c r="AE79" i="25"/>
  <c r="AD86" i="25"/>
  <c r="AI75" i="25"/>
  <c r="AI76" i="25"/>
  <c r="AI82" i="25"/>
  <c r="AI70" i="25"/>
  <c r="W71" i="25"/>
  <c r="W76" i="25"/>
  <c r="W72" i="25"/>
  <c r="W77" i="25"/>
  <c r="AM102" i="25"/>
  <c r="AM92" i="25"/>
  <c r="AM99" i="25"/>
  <c r="AM7" i="25" s="1"/>
  <c r="AA98" i="25"/>
  <c r="AA104" i="25"/>
  <c r="AA95" i="25"/>
  <c r="AE84" i="25"/>
  <c r="AE76" i="25"/>
  <c r="AE80" i="25"/>
  <c r="AE83" i="25"/>
  <c r="AE99" i="25"/>
  <c r="AE7" i="25" s="1"/>
  <c r="AI81" i="25"/>
  <c r="AI79" i="25"/>
  <c r="AI93" i="25"/>
  <c r="AI69" i="25"/>
  <c r="AI101" i="25"/>
  <c r="AI97" i="25"/>
  <c r="AI106" i="25"/>
  <c r="AI100" i="25"/>
  <c r="AI91" i="25"/>
  <c r="AI6" i="25" s="1"/>
  <c r="AA68" i="25"/>
  <c r="AA79" i="25"/>
  <c r="AA73" i="25"/>
  <c r="V85" i="25"/>
  <c r="V90" i="25"/>
  <c r="AH85" i="25"/>
  <c r="AH90" i="25"/>
  <c r="AM68" i="25"/>
  <c r="AM73" i="25"/>
  <c r="AM84" i="25"/>
  <c r="V89" i="25"/>
  <c r="AH87" i="25"/>
  <c r="AH89" i="25"/>
  <c r="AA72" i="25"/>
  <c r="AK2" i="25"/>
  <c r="AA101" i="25"/>
  <c r="AA81" i="25"/>
  <c r="AA94" i="25"/>
  <c r="AA102" i="25"/>
  <c r="AA92" i="25"/>
  <c r="AA83" i="25"/>
  <c r="AA99" i="25"/>
  <c r="AA7" i="25" s="1"/>
  <c r="V86" i="25"/>
  <c r="AH86" i="25"/>
  <c r="AE71" i="25"/>
  <c r="AE70" i="25"/>
  <c r="AE69" i="25"/>
  <c r="AE101" i="25"/>
  <c r="AE96" i="25"/>
  <c r="AE103" i="25"/>
  <c r="AI84" i="25"/>
  <c r="AI74" i="25"/>
  <c r="AI72" i="25"/>
  <c r="AI73" i="25"/>
  <c r="AI80" i="25"/>
  <c r="AI98" i="25"/>
  <c r="AI104" i="25"/>
  <c r="AI95" i="25"/>
  <c r="W75" i="25"/>
  <c r="W70" i="25"/>
  <c r="W81" i="25"/>
  <c r="W79" i="25"/>
  <c r="W98" i="25"/>
  <c r="W93" i="25"/>
  <c r="W104" i="25"/>
  <c r="W95" i="25"/>
  <c r="AM72" i="25"/>
  <c r="AM75" i="25"/>
  <c r="AM77" i="25"/>
  <c r="AM82" i="25"/>
  <c r="AM86" i="25"/>
  <c r="AM105" i="25"/>
  <c r="AM96" i="25"/>
  <c r="AM103" i="25"/>
  <c r="AA89" i="25"/>
  <c r="V88" i="25"/>
  <c r="W87" i="25"/>
  <c r="W91" i="25"/>
  <c r="W6" i="25" s="1"/>
  <c r="AM74" i="25"/>
  <c r="AM80" i="25"/>
  <c r="AM83" i="25"/>
  <c r="AA76" i="25"/>
  <c r="AA71" i="25"/>
  <c r="AA74" i="25"/>
  <c r="AA70" i="25"/>
  <c r="AA80" i="25"/>
  <c r="AA105" i="25"/>
  <c r="AA96" i="25"/>
  <c r="AA103" i="25"/>
  <c r="AE75" i="25"/>
  <c r="AE74" i="25"/>
  <c r="AE73" i="25"/>
  <c r="AE98" i="25"/>
  <c r="AE106" i="25"/>
  <c r="AE100" i="25"/>
  <c r="AE91" i="25"/>
  <c r="AE6" i="25" s="1"/>
  <c r="AI68" i="25"/>
  <c r="AI78" i="25"/>
  <c r="AI77" i="25"/>
  <c r="AI89" i="25"/>
  <c r="AI94" i="25"/>
  <c r="AI102" i="25"/>
  <c r="AI92" i="25"/>
  <c r="AI83" i="25"/>
  <c r="AI99" i="25"/>
  <c r="AI7" i="25" s="1"/>
  <c r="W97" i="25"/>
  <c r="W78" i="25"/>
  <c r="W74" i="25"/>
  <c r="W69" i="25"/>
  <c r="W94" i="25"/>
  <c r="W102" i="25"/>
  <c r="W101" i="25"/>
  <c r="W92" i="25"/>
  <c r="W83" i="25"/>
  <c r="W99" i="25"/>
  <c r="W7" i="25" s="1"/>
  <c r="AM76" i="25"/>
  <c r="AM78" i="25"/>
  <c r="AM81" i="25"/>
  <c r="AM79" i="25"/>
  <c r="AM93" i="25"/>
  <c r="AM106" i="25"/>
  <c r="AM100" i="25"/>
  <c r="AM91" i="25"/>
  <c r="AM6" i="25" s="1"/>
  <c r="AA82" i="25"/>
  <c r="AE86" i="25"/>
  <c r="W106" i="25"/>
  <c r="W100" i="25"/>
  <c r="AM71" i="25"/>
  <c r="AH88" i="25"/>
  <c r="Z85" i="25"/>
  <c r="Z90" i="25"/>
  <c r="Z89" i="25"/>
  <c r="Z88" i="25"/>
  <c r="AA78" i="25"/>
  <c r="AA75" i="25"/>
  <c r="AA77" i="25"/>
  <c r="AA69" i="25"/>
  <c r="AA84" i="25"/>
  <c r="AA106" i="25"/>
  <c r="AA100" i="25"/>
  <c r="AA91" i="25"/>
  <c r="AA6" i="25" s="1"/>
  <c r="AD90" i="25"/>
  <c r="AD85" i="25"/>
  <c r="AE68" i="25"/>
  <c r="AE78" i="25"/>
  <c r="AE88" i="25"/>
  <c r="AE104" i="25"/>
  <c r="AE95" i="25"/>
  <c r="AI105" i="25"/>
  <c r="AI96" i="25"/>
  <c r="AI103" i="25"/>
  <c r="AG2" i="25"/>
  <c r="W68" i="25"/>
  <c r="W82" i="25"/>
  <c r="W73" i="25"/>
  <c r="W80" i="25"/>
  <c r="W84" i="25"/>
  <c r="W105" i="25"/>
  <c r="W96" i="25"/>
  <c r="W103" i="25"/>
  <c r="AM70" i="25"/>
  <c r="AM69" i="25"/>
  <c r="AM98" i="25"/>
  <c r="AM101" i="25"/>
  <c r="AM88" i="25"/>
  <c r="AM104" i="25"/>
  <c r="AM95" i="25"/>
  <c r="Z87" i="25"/>
  <c r="K15" i="25" l="1"/>
  <c r="K17" i="25"/>
  <c r="AF102" i="25"/>
  <c r="AF91" i="25"/>
  <c r="AF6" i="25" s="1"/>
  <c r="AF94" i="25"/>
  <c r="AM8" i="25"/>
  <c r="AK43" i="25"/>
  <c r="AK4" i="25" s="1"/>
  <c r="AK5" i="25" s="1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28" i="25"/>
  <c r="AK32" i="25"/>
  <c r="AK36" i="25"/>
  <c r="AK27" i="25"/>
  <c r="AK31" i="25"/>
  <c r="AK35" i="25"/>
  <c r="AK30" i="25"/>
  <c r="AK38" i="25"/>
  <c r="AK39" i="25"/>
  <c r="AK41" i="25"/>
  <c r="AK40" i="25"/>
  <c r="AK26" i="25"/>
  <c r="AK29" i="25"/>
  <c r="AK37" i="25"/>
  <c r="AK42" i="25"/>
  <c r="AK34" i="25"/>
  <c r="AK33" i="25"/>
  <c r="W8" i="25"/>
  <c r="AA8" i="25"/>
  <c r="AG43" i="25"/>
  <c r="AG4" i="25" s="1"/>
  <c r="AG5" i="25" s="1"/>
  <c r="AG49" i="25"/>
  <c r="AG50" i="25"/>
  <c r="AG51" i="25"/>
  <c r="AG52" i="25"/>
  <c r="AG44" i="25"/>
  <c r="AG45" i="25"/>
  <c r="AG46" i="25"/>
  <c r="AG47" i="25"/>
  <c r="AG53" i="25"/>
  <c r="AG54" i="25"/>
  <c r="AG55" i="25"/>
  <c r="AG56" i="25"/>
  <c r="AG57" i="25"/>
  <c r="AG58" i="25"/>
  <c r="AG59" i="25"/>
  <c r="AG60" i="25"/>
  <c r="AG61" i="25"/>
  <c r="AG62" i="25"/>
  <c r="AG63" i="25"/>
  <c r="AG64" i="25"/>
  <c r="AG28" i="25"/>
  <c r="AG32" i="25"/>
  <c r="AG36" i="25"/>
  <c r="AG26" i="25"/>
  <c r="AG31" i="25"/>
  <c r="AG35" i="25"/>
  <c r="AG48" i="25"/>
  <c r="AG34" i="25"/>
  <c r="AG39" i="25"/>
  <c r="AG37" i="25"/>
  <c r="AG33" i="25"/>
  <c r="AG42" i="25"/>
  <c r="AG27" i="25"/>
  <c r="AG30" i="25"/>
  <c r="AG38" i="25"/>
  <c r="AG41" i="25"/>
  <c r="AG29" i="25"/>
  <c r="AG40" i="25"/>
  <c r="AE8" i="25"/>
  <c r="AI8" i="25"/>
  <c r="AM89" i="25"/>
  <c r="AM87" i="25"/>
  <c r="AF98" i="25"/>
  <c r="AF95" i="25"/>
  <c r="AF99" i="25"/>
  <c r="AF7" i="25" s="1"/>
  <c r="AJ105" i="25"/>
  <c r="AJ96" i="25"/>
  <c r="AF72" i="25"/>
  <c r="AF69" i="25"/>
  <c r="AF70" i="25"/>
  <c r="AF77" i="25"/>
  <c r="AF93" i="25"/>
  <c r="AF84" i="25"/>
  <c r="AF100" i="25"/>
  <c r="AB72" i="25"/>
  <c r="AB83" i="25"/>
  <c r="AB71" i="25"/>
  <c r="AB79" i="25"/>
  <c r="K18" i="25"/>
  <c r="AF103" i="25"/>
  <c r="AB99" i="25"/>
  <c r="AB7" i="25" s="1"/>
  <c r="AB92" i="25"/>
  <c r="AI85" i="25"/>
  <c r="AI90" i="25"/>
  <c r="W85" i="25"/>
  <c r="W90" i="25"/>
  <c r="AJ69" i="25"/>
  <c r="W89" i="25"/>
  <c r="AB69" i="25"/>
  <c r="AB76" i="25"/>
  <c r="AB95" i="25"/>
  <c r="AB75" i="25"/>
  <c r="AL2" i="25"/>
  <c r="AB77" i="25"/>
  <c r="AB89" i="25"/>
  <c r="AB105" i="25"/>
  <c r="AB96" i="25"/>
  <c r="AI87" i="25"/>
  <c r="AE85" i="25"/>
  <c r="AE90" i="25"/>
  <c r="K13" i="25"/>
  <c r="K14" i="25"/>
  <c r="AI86" i="25"/>
  <c r="W86" i="25"/>
  <c r="AJ73" i="25"/>
  <c r="AJ72" i="25"/>
  <c r="AJ71" i="25"/>
  <c r="AJ70" i="25"/>
  <c r="AJ82" i="25"/>
  <c r="AJ83" i="25"/>
  <c r="AJ94" i="25"/>
  <c r="AJ93" i="25"/>
  <c r="AJ84" i="25"/>
  <c r="AJ100" i="25"/>
  <c r="AM85" i="25"/>
  <c r="AM90" i="25"/>
  <c r="W88" i="25"/>
  <c r="AF76" i="25"/>
  <c r="AF75" i="25"/>
  <c r="AF78" i="25"/>
  <c r="AF74" i="25"/>
  <c r="AF81" i="25"/>
  <c r="AF83" i="25"/>
  <c r="AF97" i="25"/>
  <c r="AF104" i="25"/>
  <c r="AB101" i="25"/>
  <c r="AJ86" i="25"/>
  <c r="AA85" i="25"/>
  <c r="AA90" i="25"/>
  <c r="AB73" i="25"/>
  <c r="AB78" i="25"/>
  <c r="AB98" i="25"/>
  <c r="AB82" i="25"/>
  <c r="AB70" i="25"/>
  <c r="AB81" i="25"/>
  <c r="AB94" i="25"/>
  <c r="AB93" i="25"/>
  <c r="AB84" i="25"/>
  <c r="AB100" i="25"/>
  <c r="K16" i="25"/>
  <c r="AA87" i="25"/>
  <c r="AJ76" i="25"/>
  <c r="AJ75" i="25"/>
  <c r="AJ74" i="25"/>
  <c r="AJ95" i="25"/>
  <c r="AJ91" i="25"/>
  <c r="AJ6" i="25" s="1"/>
  <c r="AJ102" i="25"/>
  <c r="AJ97" i="25"/>
  <c r="AJ104" i="25"/>
  <c r="AF82" i="25"/>
  <c r="AF79" i="25"/>
  <c r="AF80" i="25"/>
  <c r="AF87" i="25"/>
  <c r="AF106" i="25"/>
  <c r="AF101" i="25"/>
  <c r="AF92" i="25"/>
  <c r="AB106" i="25"/>
  <c r="AJ68" i="25"/>
  <c r="AJ80" i="25"/>
  <c r="AJ81" i="25"/>
  <c r="AB68" i="25"/>
  <c r="AB80" i="25"/>
  <c r="AB103" i="25"/>
  <c r="AB87" i="25"/>
  <c r="AB74" i="25"/>
  <c r="AB91" i="25"/>
  <c r="AB6" i="25" s="1"/>
  <c r="AB102" i="25"/>
  <c r="AB97" i="25"/>
  <c r="AB88" i="25"/>
  <c r="AB104" i="25"/>
  <c r="AA88" i="25"/>
  <c r="AJ106" i="25"/>
  <c r="AJ79" i="25"/>
  <c r="AJ98" i="25"/>
  <c r="AJ78" i="25"/>
  <c r="AJ77" i="25"/>
  <c r="AJ99" i="25"/>
  <c r="AJ7" i="25" s="1"/>
  <c r="AJ103" i="25"/>
  <c r="AJ101" i="25"/>
  <c r="AJ92" i="25"/>
  <c r="AA86" i="25"/>
  <c r="AI88" i="25"/>
  <c r="AE87" i="25"/>
  <c r="AE89" i="25"/>
  <c r="AF68" i="25"/>
  <c r="AF73" i="25"/>
  <c r="AF71" i="25"/>
  <c r="AF105" i="25"/>
  <c r="AF96" i="25"/>
  <c r="AF8" i="25" l="1"/>
  <c r="AK103" i="25"/>
  <c r="AK91" i="25"/>
  <c r="AK6" i="25" s="1"/>
  <c r="AG91" i="25"/>
  <c r="AG6" i="25" s="1"/>
  <c r="AG100" i="25"/>
  <c r="AG99" i="25"/>
  <c r="AG7" i="25" s="1"/>
  <c r="AG94" i="25"/>
  <c r="K19" i="25"/>
  <c r="AG104" i="25"/>
  <c r="AG96" i="25"/>
  <c r="AG92" i="25"/>
  <c r="AB8" i="25"/>
  <c r="AJ8" i="25"/>
  <c r="AL44" i="25"/>
  <c r="AL45" i="25"/>
  <c r="AL46" i="25"/>
  <c r="AL47" i="25"/>
  <c r="AL26" i="25"/>
  <c r="AL48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29" i="25"/>
  <c r="AL33" i="25"/>
  <c r="AL37" i="25"/>
  <c r="AL43" i="25"/>
  <c r="AL4" i="25" s="1"/>
  <c r="AL5" i="25" s="1"/>
  <c r="AL28" i="25"/>
  <c r="AL32" i="25"/>
  <c r="AL36" i="25"/>
  <c r="AL50" i="25"/>
  <c r="AL52" i="25"/>
  <c r="AL27" i="25"/>
  <c r="AL31" i="25"/>
  <c r="AL40" i="25"/>
  <c r="AL42" i="25"/>
  <c r="AL41" i="25"/>
  <c r="AL30" i="25"/>
  <c r="AL38" i="25"/>
  <c r="AL39" i="25"/>
  <c r="AL49" i="25"/>
  <c r="AL51" i="25"/>
  <c r="AL35" i="25"/>
  <c r="AL34" i="25"/>
  <c r="AK99" i="25"/>
  <c r="AK7" i="25" s="1"/>
  <c r="AK100" i="25"/>
  <c r="AJ88" i="25"/>
  <c r="AK95" i="25"/>
  <c r="AK92" i="25"/>
  <c r="AK96" i="25"/>
  <c r="AK104" i="25"/>
  <c r="AJ89" i="25"/>
  <c r="AG103" i="25"/>
  <c r="AG102" i="25"/>
  <c r="AG97" i="25"/>
  <c r="AJ87" i="25"/>
  <c r="AK98" i="25"/>
  <c r="AK93" i="25"/>
  <c r="AF89" i="25"/>
  <c r="AF86" i="25"/>
  <c r="AK102" i="25"/>
  <c r="AK77" i="25"/>
  <c r="AG77" i="25"/>
  <c r="AK76" i="25"/>
  <c r="AK78" i="25"/>
  <c r="AK83" i="25"/>
  <c r="AK97" i="25"/>
  <c r="AB85" i="25"/>
  <c r="AB90" i="25"/>
  <c r="AG72" i="25"/>
  <c r="AG79" i="25"/>
  <c r="AG78" i="25"/>
  <c r="AG106" i="25"/>
  <c r="AG101" i="25"/>
  <c r="AK80" i="25"/>
  <c r="AK84" i="25"/>
  <c r="AG80" i="25"/>
  <c r="AG75" i="25"/>
  <c r="AK70" i="25"/>
  <c r="AK69" i="25"/>
  <c r="AK79" i="25"/>
  <c r="AK72" i="25"/>
  <c r="AK87" i="25"/>
  <c r="AK106" i="25"/>
  <c r="AK101" i="25"/>
  <c r="AB86" i="25"/>
  <c r="AG69" i="25"/>
  <c r="AG74" i="25"/>
  <c r="AG70" i="25"/>
  <c r="AG81" i="25"/>
  <c r="AG82" i="25"/>
  <c r="AG87" i="25"/>
  <c r="AG105" i="25"/>
  <c r="AK68" i="25"/>
  <c r="AK75" i="25"/>
  <c r="AG68" i="25"/>
  <c r="AF85" i="25"/>
  <c r="AF90" i="25"/>
  <c r="AK74" i="25"/>
  <c r="AK73" i="25"/>
  <c r="AK82" i="25"/>
  <c r="AK81" i="25"/>
  <c r="AK71" i="25"/>
  <c r="AK88" i="25"/>
  <c r="AK94" i="25"/>
  <c r="AK89" i="25"/>
  <c r="AK105" i="25"/>
  <c r="AJ85" i="25"/>
  <c r="AJ90" i="25"/>
  <c r="AF88" i="25"/>
  <c r="AG73" i="25"/>
  <c r="AG76" i="25"/>
  <c r="AG71" i="25"/>
  <c r="AG83" i="25"/>
  <c r="AG84" i="25"/>
  <c r="AG95" i="25"/>
  <c r="AG98" i="25"/>
  <c r="AG93" i="25"/>
  <c r="AK8" i="25" l="1"/>
  <c r="AG8" i="25"/>
  <c r="AL80" i="25"/>
  <c r="AL93" i="25"/>
  <c r="AL105" i="25"/>
  <c r="AL104" i="25"/>
  <c r="AL74" i="25"/>
  <c r="AL83" i="25"/>
  <c r="AL75" i="25"/>
  <c r="AL71" i="25"/>
  <c r="AL95" i="25"/>
  <c r="AL77" i="25"/>
  <c r="AG89" i="25"/>
  <c r="AL100" i="25"/>
  <c r="AL96" i="25"/>
  <c r="AL91" i="25"/>
  <c r="AL6" i="25" s="1"/>
  <c r="AL92" i="25"/>
  <c r="AL101" i="25"/>
  <c r="AL97" i="25"/>
  <c r="AL99" i="25"/>
  <c r="AL7" i="25" s="1"/>
  <c r="AL73" i="25"/>
  <c r="AL69" i="25"/>
  <c r="AL81" i="25"/>
  <c r="AL84" i="25"/>
  <c r="AL82" i="25"/>
  <c r="AL98" i="25"/>
  <c r="AG90" i="25"/>
  <c r="AG85" i="25"/>
  <c r="AL68" i="25"/>
  <c r="AL102" i="25"/>
  <c r="AK90" i="25"/>
  <c r="AK85" i="25"/>
  <c r="AG88" i="25"/>
  <c r="AG86" i="25"/>
  <c r="AL72" i="25"/>
  <c r="AL106" i="25"/>
  <c r="AK86" i="25"/>
  <c r="AL70" i="25"/>
  <c r="AL78" i="25"/>
  <c r="AL76" i="25"/>
  <c r="AL79" i="25"/>
  <c r="AL103" i="25"/>
  <c r="AL94" i="25"/>
  <c r="AL8" i="25" l="1"/>
  <c r="AL85" i="25"/>
  <c r="AL90" i="25"/>
  <c r="AL86" i="25"/>
  <c r="AL88" i="25"/>
  <c r="AL87" i="25"/>
  <c r="AL89" i="25"/>
  <c r="E2" i="14" l="1"/>
  <c r="F2" i="14" s="1"/>
  <c r="G2" i="14" s="1"/>
  <c r="H2" i="14" l="1"/>
  <c r="G11" i="14"/>
  <c r="G7" i="14"/>
  <c r="G10" i="14"/>
  <c r="G6" i="14"/>
  <c r="G9" i="14"/>
  <c r="G5" i="14"/>
  <c r="G8" i="14"/>
  <c r="G15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E11" i="13"/>
  <c r="E15" i="13"/>
  <c r="E20" i="13"/>
  <c r="E24" i="13"/>
  <c r="E12" i="13"/>
  <c r="E16" i="13"/>
  <c r="E21" i="13"/>
  <c r="E25" i="13"/>
  <c r="E8" i="13"/>
  <c r="E13" i="13"/>
  <c r="E17" i="13"/>
  <c r="E22" i="13"/>
  <c r="E26" i="13"/>
  <c r="E9" i="13"/>
  <c r="E14" i="13"/>
  <c r="E18" i="13"/>
  <c r="E23" i="13"/>
  <c r="F5" i="13"/>
  <c r="E5" i="14"/>
  <c r="E4" i="14"/>
  <c r="E33" i="13" l="1"/>
  <c r="G5" i="13"/>
  <c r="G44" i="13" s="1"/>
  <c r="K14" i="16"/>
  <c r="F9" i="31" s="1"/>
  <c r="G19" i="14"/>
  <c r="G21" i="14"/>
  <c r="G16" i="14"/>
  <c r="G18" i="14"/>
  <c r="G20" i="14"/>
  <c r="G22" i="14"/>
  <c r="G17" i="14"/>
  <c r="I2" i="14"/>
  <c r="H15" i="14"/>
  <c r="H8" i="14"/>
  <c r="H7" i="14"/>
  <c r="H11" i="14"/>
  <c r="H6" i="14"/>
  <c r="H10" i="14"/>
  <c r="H5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J14" i="16"/>
  <c r="H17" i="16"/>
  <c r="H14" i="16"/>
  <c r="I14" i="16"/>
  <c r="D9" i="31" s="1"/>
  <c r="K13" i="16"/>
  <c r="I17" i="16"/>
  <c r="J13" i="16"/>
  <c r="J15" i="16"/>
  <c r="K19" i="16"/>
  <c r="H19" i="16"/>
  <c r="E7" i="13"/>
  <c r="E19" i="13"/>
  <c r="E10" i="13"/>
  <c r="E16" i="14"/>
  <c r="E15" i="14"/>
  <c r="H13" i="16"/>
  <c r="K15" i="16"/>
  <c r="J19" i="16"/>
  <c r="H15" i="16"/>
  <c r="I19" i="16"/>
  <c r="J17" i="16"/>
  <c r="K18" i="16"/>
  <c r="I13" i="16"/>
  <c r="I12" i="16"/>
  <c r="D7" i="31" s="1"/>
  <c r="J12" i="16"/>
  <c r="K17" i="16"/>
  <c r="I18" i="16"/>
  <c r="F20" i="13"/>
  <c r="F11" i="13"/>
  <c r="H12" i="16"/>
  <c r="J18" i="16"/>
  <c r="F26" i="13"/>
  <c r="F25" i="13"/>
  <c r="F23" i="13"/>
  <c r="K12" i="16"/>
  <c r="F7" i="31" s="1"/>
  <c r="F6" i="31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6" i="16" l="1"/>
  <c r="K16" i="16"/>
  <c r="J16" i="16"/>
  <c r="I16" i="16"/>
  <c r="G15" i="13"/>
  <c r="G39" i="13"/>
  <c r="G17" i="13"/>
  <c r="G16" i="13"/>
  <c r="G48" i="13"/>
  <c r="G14" i="13"/>
  <c r="G51" i="13"/>
  <c r="G24" i="13"/>
  <c r="G11" i="13"/>
  <c r="G47" i="13"/>
  <c r="G13" i="13"/>
  <c r="G12" i="13"/>
  <c r="G23" i="13"/>
  <c r="G9" i="13"/>
  <c r="G35" i="13"/>
  <c r="G26" i="13"/>
  <c r="G41" i="13"/>
  <c r="G22" i="13"/>
  <c r="G8" i="13"/>
  <c r="G49" i="13"/>
  <c r="G34" i="13"/>
  <c r="H5" i="13"/>
  <c r="H37" i="13" s="1"/>
  <c r="G25" i="13"/>
  <c r="G46" i="13"/>
  <c r="G21" i="13"/>
  <c r="G20" i="13"/>
  <c r="G43" i="13"/>
  <c r="G18" i="13"/>
  <c r="G38" i="13"/>
  <c r="G52" i="13"/>
  <c r="G50" i="13"/>
  <c r="G40" i="13"/>
  <c r="G37" i="13"/>
  <c r="G42" i="13"/>
  <c r="F14" i="31"/>
  <c r="H17" i="14"/>
  <c r="H16" i="14"/>
  <c r="H18" i="14"/>
  <c r="H21" i="14"/>
  <c r="H19" i="14"/>
  <c r="H20" i="14"/>
  <c r="H22" i="14"/>
  <c r="J2" i="14"/>
  <c r="I5" i="14"/>
  <c r="I9" i="14"/>
  <c r="I15" i="14"/>
  <c r="I8" i="14"/>
  <c r="I7" i="14"/>
  <c r="I11" i="14"/>
  <c r="I6" i="14"/>
  <c r="I10" i="14"/>
  <c r="H50" i="13"/>
  <c r="H35" i="13"/>
  <c r="H25" i="13"/>
  <c r="H11" i="13"/>
  <c r="H15" i="13"/>
  <c r="D6" i="31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E27" i="13"/>
  <c r="F7" i="13"/>
  <c r="I11" i="16"/>
  <c r="L17" i="16"/>
  <c r="L19" i="16"/>
  <c r="L13" i="16"/>
  <c r="H11" i="16"/>
  <c r="L12" i="16"/>
  <c r="F19" i="13"/>
  <c r="L15" i="16"/>
  <c r="L18" i="16"/>
  <c r="F10" i="13"/>
  <c r="I20" i="16" l="1"/>
  <c r="H20" i="16"/>
  <c r="J20" i="16"/>
  <c r="K20" i="16"/>
  <c r="L16" i="16"/>
  <c r="G7" i="13"/>
  <c r="G45" i="13"/>
  <c r="G33" i="13"/>
  <c r="G10" i="13"/>
  <c r="G19" i="13"/>
  <c r="H40" i="13"/>
  <c r="H43" i="13"/>
  <c r="H52" i="13"/>
  <c r="H24" i="13"/>
  <c r="H34" i="13"/>
  <c r="H33" i="13" s="1"/>
  <c r="H41" i="13"/>
  <c r="H22" i="13"/>
  <c r="H38" i="13"/>
  <c r="H42" i="13"/>
  <c r="H20" i="13"/>
  <c r="H44" i="13"/>
  <c r="H46" i="13"/>
  <c r="H13" i="13"/>
  <c r="H9" i="13"/>
  <c r="H47" i="13"/>
  <c r="H21" i="13"/>
  <c r="H17" i="13"/>
  <c r="H26" i="13"/>
  <c r="H8" i="13"/>
  <c r="H51" i="13"/>
  <c r="H14" i="13"/>
  <c r="H16" i="13"/>
  <c r="H23" i="13"/>
  <c r="H39" i="13"/>
  <c r="H48" i="13"/>
  <c r="I5" i="13"/>
  <c r="I42" i="13" s="1"/>
  <c r="H12" i="13"/>
  <c r="H18" i="13"/>
  <c r="H49" i="13"/>
  <c r="G36" i="13"/>
  <c r="I17" i="14"/>
  <c r="I22" i="14"/>
  <c r="I20" i="14"/>
  <c r="I18" i="14"/>
  <c r="I16" i="14"/>
  <c r="I21" i="14"/>
  <c r="I19" i="14"/>
  <c r="J5" i="13"/>
  <c r="I51" i="13"/>
  <c r="I47" i="13"/>
  <c r="I38" i="13"/>
  <c r="I49" i="13"/>
  <c r="I52" i="13"/>
  <c r="I48" i="13"/>
  <c r="I43" i="13"/>
  <c r="I39" i="13"/>
  <c r="I34" i="13"/>
  <c r="I44" i="13"/>
  <c r="I41" i="13"/>
  <c r="I37" i="13"/>
  <c r="I46" i="13"/>
  <c r="I50" i="13"/>
  <c r="I40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K2" i="14"/>
  <c r="J6" i="14"/>
  <c r="J10" i="14"/>
  <c r="J5" i="14"/>
  <c r="J9" i="14"/>
  <c r="J15" i="14"/>
  <c r="J8" i="14"/>
  <c r="J7" i="14"/>
  <c r="J11" i="14"/>
  <c r="D14" i="31"/>
  <c r="F53" i="13"/>
  <c r="F17" i="14"/>
  <c r="F22" i="14"/>
  <c r="F21" i="14"/>
  <c r="F16" i="14"/>
  <c r="F19" i="14"/>
  <c r="F18" i="14"/>
  <c r="F20" i="14"/>
  <c r="L11" i="16"/>
  <c r="F27" i="13"/>
  <c r="L20" i="16" l="1"/>
  <c r="L21" i="16"/>
  <c r="G27" i="13"/>
  <c r="G53" i="13"/>
  <c r="H45" i="13"/>
  <c r="H7" i="13"/>
  <c r="H10" i="13"/>
  <c r="H36" i="13"/>
  <c r="H19" i="13"/>
  <c r="I35" i="13"/>
  <c r="I33" i="13" s="1"/>
  <c r="AA47" i="13" s="1"/>
  <c r="K27" i="16"/>
  <c r="F22" i="31" s="1"/>
  <c r="H31" i="16"/>
  <c r="H28" i="16"/>
  <c r="I31" i="16"/>
  <c r="K30" i="16"/>
  <c r="J30" i="16"/>
  <c r="J27" i="16"/>
  <c r="I25" i="16"/>
  <c r="D20" i="31" s="1"/>
  <c r="J28" i="16"/>
  <c r="H26" i="16"/>
  <c r="H30" i="16"/>
  <c r="H32" i="16"/>
  <c r="I32" i="16"/>
  <c r="I27" i="16"/>
  <c r="D22" i="31" s="1"/>
  <c r="J31" i="16"/>
  <c r="K28" i="16"/>
  <c r="H25" i="16"/>
  <c r="I28" i="16"/>
  <c r="J25" i="16"/>
  <c r="K26" i="16"/>
  <c r="H27" i="16"/>
  <c r="I30" i="16"/>
  <c r="K25" i="16"/>
  <c r="F20" i="31" s="1"/>
  <c r="J32" i="16"/>
  <c r="K31" i="16"/>
  <c r="J26" i="16"/>
  <c r="K32" i="16"/>
  <c r="I26" i="16"/>
  <c r="E7" i="31"/>
  <c r="E8" i="31"/>
  <c r="H8" i="31" s="1"/>
  <c r="E12" i="31"/>
  <c r="E10" i="31"/>
  <c r="H10" i="31" s="1"/>
  <c r="E13" i="31"/>
  <c r="H13" i="31" s="1"/>
  <c r="E9" i="31"/>
  <c r="H9" i="31" s="1"/>
  <c r="Z17" i="14"/>
  <c r="J18" i="14"/>
  <c r="Z18" i="14"/>
  <c r="Z19" i="14"/>
  <c r="J16" i="14"/>
  <c r="J22" i="14"/>
  <c r="J20" i="14"/>
  <c r="L2" i="14"/>
  <c r="K7" i="14"/>
  <c r="K11" i="14"/>
  <c r="K6" i="14"/>
  <c r="K10" i="14"/>
  <c r="K5" i="14"/>
  <c r="K9" i="14"/>
  <c r="K15" i="14"/>
  <c r="K8" i="14"/>
  <c r="AK34" i="13"/>
  <c r="I7" i="13"/>
  <c r="AA46" i="13"/>
  <c r="AK33" i="13"/>
  <c r="I45" i="13"/>
  <c r="AA48" i="13"/>
  <c r="AA45" i="13"/>
  <c r="J19" i="14"/>
  <c r="J21" i="14"/>
  <c r="I36" i="13"/>
  <c r="AA44" i="13" s="1"/>
  <c r="J17" i="14"/>
  <c r="I19" i="13"/>
  <c r="I10" i="13"/>
  <c r="K5" i="13"/>
  <c r="J52" i="13"/>
  <c r="J48" i="13"/>
  <c r="J43" i="13"/>
  <c r="J39" i="13"/>
  <c r="J34" i="13"/>
  <c r="J50" i="13"/>
  <c r="J41" i="13"/>
  <c r="J49" i="13"/>
  <c r="J44" i="13"/>
  <c r="J40" i="13"/>
  <c r="J35" i="13"/>
  <c r="J46" i="13"/>
  <c r="J42" i="13"/>
  <c r="J51" i="13"/>
  <c r="J38" i="13"/>
  <c r="J47" i="13"/>
  <c r="J37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H53" i="13" l="1"/>
  <c r="H27" i="13"/>
  <c r="J24" i="16"/>
  <c r="J29" i="16"/>
  <c r="L27" i="16"/>
  <c r="K29" i="16"/>
  <c r="L25" i="16"/>
  <c r="H24" i="16"/>
  <c r="K24" i="16"/>
  <c r="F19" i="31"/>
  <c r="F27" i="31" s="1"/>
  <c r="L30" i="16"/>
  <c r="H29" i="16"/>
  <c r="I29" i="16"/>
  <c r="L26" i="16"/>
  <c r="L28" i="16"/>
  <c r="L31" i="16"/>
  <c r="D19" i="31"/>
  <c r="D27" i="31" s="1"/>
  <c r="I24" i="16"/>
  <c r="L32" i="16"/>
  <c r="AA33" i="13"/>
  <c r="Z20" i="14"/>
  <c r="K19" i="14"/>
  <c r="AA49" i="13"/>
  <c r="AF33" i="13"/>
  <c r="J36" i="13"/>
  <c r="I27" i="13"/>
  <c r="AA8" i="13" s="1"/>
  <c r="K20" i="14"/>
  <c r="J33" i="13"/>
  <c r="AA37" i="13"/>
  <c r="AA38" i="13"/>
  <c r="K22" i="14"/>
  <c r="J19" i="13"/>
  <c r="J10" i="13"/>
  <c r="J45" i="13"/>
  <c r="L5" i="13"/>
  <c r="K49" i="13"/>
  <c r="K44" i="13"/>
  <c r="K40" i="13"/>
  <c r="K35" i="13"/>
  <c r="K51" i="13"/>
  <c r="K50" i="13"/>
  <c r="K46" i="13"/>
  <c r="K41" i="13"/>
  <c r="K37" i="13"/>
  <c r="K47" i="13"/>
  <c r="K42" i="13"/>
  <c r="K43" i="13"/>
  <c r="K34" i="13"/>
  <c r="K39" i="13"/>
  <c r="K48" i="13"/>
  <c r="K38" i="13"/>
  <c r="K52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6" i="13"/>
  <c r="K25" i="13"/>
  <c r="AA34" i="13"/>
  <c r="AF34" i="13"/>
  <c r="K16" i="14"/>
  <c r="K18" i="14"/>
  <c r="I53" i="13"/>
  <c r="K21" i="14"/>
  <c r="M2" i="14"/>
  <c r="L15" i="14"/>
  <c r="L8" i="14"/>
  <c r="L7" i="14"/>
  <c r="L11" i="14"/>
  <c r="L6" i="14"/>
  <c r="L10" i="14"/>
  <c r="L5" i="14"/>
  <c r="L9" i="14"/>
  <c r="J7" i="13"/>
  <c r="AA35" i="13"/>
  <c r="AK35" i="13"/>
  <c r="AA36" i="13"/>
  <c r="K17" i="14"/>
  <c r="E6" i="31"/>
  <c r="H7" i="31"/>
  <c r="E11" i="31"/>
  <c r="H11" i="31" s="1"/>
  <c r="H12" i="31"/>
  <c r="K33" i="16" l="1"/>
  <c r="J33" i="16"/>
  <c r="I33" i="16"/>
  <c r="L29" i="16"/>
  <c r="H33" i="16"/>
  <c r="L24" i="16"/>
  <c r="J27" i="13"/>
  <c r="AF35" i="13"/>
  <c r="L17" i="14"/>
  <c r="K33" i="13"/>
  <c r="L20" i="14"/>
  <c r="L22" i="14"/>
  <c r="L16" i="14"/>
  <c r="L18" i="14"/>
  <c r="AA39" i="13"/>
  <c r="L21" i="14"/>
  <c r="L19" i="14"/>
  <c r="J53" i="13"/>
  <c r="N2" i="14"/>
  <c r="M5" i="14"/>
  <c r="M9" i="14"/>
  <c r="M15" i="14"/>
  <c r="M8" i="14"/>
  <c r="M7" i="14"/>
  <c r="M11" i="14"/>
  <c r="M6" i="14"/>
  <c r="M10" i="14"/>
  <c r="K7" i="13"/>
  <c r="K36" i="13"/>
  <c r="K19" i="13"/>
  <c r="K10" i="13"/>
  <c r="M5" i="13"/>
  <c r="L50" i="13"/>
  <c r="L46" i="13"/>
  <c r="L41" i="13"/>
  <c r="L37" i="13"/>
  <c r="L43" i="13"/>
  <c r="L51" i="13"/>
  <c r="L47" i="13"/>
  <c r="L42" i="13"/>
  <c r="L38" i="13"/>
  <c r="L52" i="13"/>
  <c r="L48" i="13"/>
  <c r="L44" i="13"/>
  <c r="L35" i="13"/>
  <c r="L40" i="13"/>
  <c r="L49" i="13"/>
  <c r="L39" i="13"/>
  <c r="L34" i="13"/>
  <c r="L8" i="13"/>
  <c r="L9" i="13"/>
  <c r="L13" i="13"/>
  <c r="L17" i="13"/>
  <c r="L22" i="13"/>
  <c r="L11" i="13"/>
  <c r="L15" i="13"/>
  <c r="L25" i="13"/>
  <c r="L12" i="13"/>
  <c r="L16" i="13"/>
  <c r="L21" i="13"/>
  <c r="L26" i="13"/>
  <c r="L14" i="13"/>
  <c r="L18" i="13"/>
  <c r="L23" i="13"/>
  <c r="L20" i="13"/>
  <c r="L24" i="13"/>
  <c r="K45" i="13"/>
  <c r="E14" i="31"/>
  <c r="H14" i="31" s="1"/>
  <c r="H6" i="31"/>
  <c r="L33" i="16" l="1"/>
  <c r="E22" i="31"/>
  <c r="H22" i="31" s="1"/>
  <c r="L9" i="31" s="1"/>
  <c r="E25" i="31"/>
  <c r="E23" i="31"/>
  <c r="H23" i="31" s="1"/>
  <c r="L10" i="31" s="1"/>
  <c r="E26" i="31"/>
  <c r="H26" i="31" s="1"/>
  <c r="E21" i="31"/>
  <c r="H21" i="31" s="1"/>
  <c r="E20" i="31"/>
  <c r="L33" i="13"/>
  <c r="K53" i="13"/>
  <c r="M17" i="14"/>
  <c r="L7" i="13"/>
  <c r="K27" i="13"/>
  <c r="L36" i="13"/>
  <c r="N5" i="13"/>
  <c r="K66" i="16" s="1"/>
  <c r="F35" i="31" s="1"/>
  <c r="M51" i="13"/>
  <c r="M47" i="13"/>
  <c r="M42" i="13"/>
  <c r="M38" i="13"/>
  <c r="M44" i="13"/>
  <c r="M52" i="13"/>
  <c r="M48" i="13"/>
  <c r="M43" i="13"/>
  <c r="M39" i="13"/>
  <c r="M34" i="13"/>
  <c r="M49" i="13"/>
  <c r="M46" i="13"/>
  <c r="M37" i="13"/>
  <c r="M50" i="13"/>
  <c r="M40" i="13"/>
  <c r="M41" i="13"/>
  <c r="M35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L10" i="13"/>
  <c r="M22" i="14"/>
  <c r="M20" i="14"/>
  <c r="L45" i="13"/>
  <c r="M18" i="14"/>
  <c r="M16" i="14"/>
  <c r="L19" i="13"/>
  <c r="M21" i="14"/>
  <c r="M19" i="14"/>
  <c r="O2" i="14"/>
  <c r="N6" i="14"/>
  <c r="N10" i="14"/>
  <c r="N5" i="14"/>
  <c r="N9" i="14"/>
  <c r="N15" i="14"/>
  <c r="N8" i="14"/>
  <c r="N7" i="14"/>
  <c r="N11" i="14"/>
  <c r="E19" i="31" l="1"/>
  <c r="H19" i="31" s="1"/>
  <c r="L8" i="31" s="1"/>
  <c r="H20" i="31"/>
  <c r="H25" i="31"/>
  <c r="E24" i="31"/>
  <c r="L53" i="13"/>
  <c r="L27" i="13"/>
  <c r="N18" i="14"/>
  <c r="N22" i="14"/>
  <c r="N20" i="14"/>
  <c r="P2" i="14"/>
  <c r="O7" i="14"/>
  <c r="O11" i="14"/>
  <c r="O6" i="14"/>
  <c r="O10" i="14"/>
  <c r="O5" i="14"/>
  <c r="O9" i="14"/>
  <c r="O15" i="14"/>
  <c r="O8" i="14"/>
  <c r="M7" i="13"/>
  <c r="M33" i="13"/>
  <c r="N16" i="14"/>
  <c r="M36" i="13"/>
  <c r="N19" i="14"/>
  <c r="N21" i="14"/>
  <c r="M19" i="13"/>
  <c r="M10" i="13"/>
  <c r="M45" i="13"/>
  <c r="O5" i="13"/>
  <c r="N52" i="13"/>
  <c r="N48" i="13"/>
  <c r="N43" i="13"/>
  <c r="N39" i="13"/>
  <c r="N34" i="13"/>
  <c r="N46" i="13"/>
  <c r="N49" i="13"/>
  <c r="N44" i="13"/>
  <c r="N40" i="13"/>
  <c r="N35" i="13"/>
  <c r="N50" i="13"/>
  <c r="N41" i="13"/>
  <c r="N47" i="13"/>
  <c r="N38" i="13"/>
  <c r="N42" i="13"/>
  <c r="N51" i="13"/>
  <c r="N37" i="13"/>
  <c r="N25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6" i="13"/>
  <c r="H71" i="16"/>
  <c r="H70" i="16"/>
  <c r="H66" i="16"/>
  <c r="K69" i="16"/>
  <c r="K64" i="16"/>
  <c r="F33" i="31" s="1"/>
  <c r="J69" i="16"/>
  <c r="I71" i="16"/>
  <c r="I65" i="16"/>
  <c r="J64" i="16"/>
  <c r="H69" i="16"/>
  <c r="H67" i="16"/>
  <c r="I69" i="16"/>
  <c r="K70" i="16"/>
  <c r="K65" i="16"/>
  <c r="I67" i="16"/>
  <c r="J71" i="16"/>
  <c r="K67" i="16"/>
  <c r="K71" i="16"/>
  <c r="H65" i="16"/>
  <c r="H64" i="16"/>
  <c r="I70" i="16"/>
  <c r="J67" i="16"/>
  <c r="I64" i="16"/>
  <c r="D33" i="31" s="1"/>
  <c r="J65" i="16"/>
  <c r="J66" i="16"/>
  <c r="I66" i="16"/>
  <c r="D35" i="31" s="1"/>
  <c r="J70" i="16"/>
  <c r="N17" i="14"/>
  <c r="H24" i="31" l="1"/>
  <c r="L11" i="31" s="1"/>
  <c r="L12" i="31" s="1"/>
  <c r="E27" i="31"/>
  <c r="H27" i="31" s="1"/>
  <c r="M27" i="13"/>
  <c r="N7" i="13"/>
  <c r="M53" i="13"/>
  <c r="J63" i="16"/>
  <c r="F32" i="31"/>
  <c r="F40" i="31" s="1"/>
  <c r="K63" i="16"/>
  <c r="L71" i="16"/>
  <c r="O17" i="14"/>
  <c r="I68" i="16"/>
  <c r="N45" i="13"/>
  <c r="O20" i="14"/>
  <c r="O22" i="14"/>
  <c r="I63" i="16"/>
  <c r="H63" i="16"/>
  <c r="L64" i="16"/>
  <c r="K68" i="16"/>
  <c r="L65" i="16"/>
  <c r="L67" i="16"/>
  <c r="L66" i="16"/>
  <c r="N19" i="13"/>
  <c r="N10" i="13"/>
  <c r="N36" i="13"/>
  <c r="N33" i="13"/>
  <c r="O16" i="14"/>
  <c r="O18" i="14"/>
  <c r="L69" i="16"/>
  <c r="H68" i="16"/>
  <c r="J68" i="16"/>
  <c r="L70" i="16"/>
  <c r="P5" i="13"/>
  <c r="O49" i="13"/>
  <c r="O44" i="13"/>
  <c r="O40" i="13"/>
  <c r="O35" i="13"/>
  <c r="O47" i="13"/>
  <c r="O42" i="13"/>
  <c r="O50" i="13"/>
  <c r="O46" i="13"/>
  <c r="O41" i="13"/>
  <c r="O37" i="13"/>
  <c r="O51" i="13"/>
  <c r="O48" i="13"/>
  <c r="O39" i="13"/>
  <c r="O52" i="13"/>
  <c r="O34" i="13"/>
  <c r="O43" i="13"/>
  <c r="O38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9" i="14"/>
  <c r="O21" i="14"/>
  <c r="Q2" i="14"/>
  <c r="P15" i="14"/>
  <c r="P8" i="14"/>
  <c r="P7" i="14"/>
  <c r="P11" i="14"/>
  <c r="P6" i="14"/>
  <c r="P10" i="14"/>
  <c r="P5" i="14"/>
  <c r="P9" i="14"/>
  <c r="O33" i="13" l="1"/>
  <c r="N27" i="13"/>
  <c r="P17" i="14"/>
  <c r="P16" i="14"/>
  <c r="N53" i="13"/>
  <c r="I72" i="16"/>
  <c r="O7" i="13"/>
  <c r="O36" i="13"/>
  <c r="L63" i="16"/>
  <c r="H72" i="16"/>
  <c r="K72" i="16"/>
  <c r="P20" i="14"/>
  <c r="P22" i="14"/>
  <c r="R2" i="14"/>
  <c r="Q5" i="14"/>
  <c r="Q9" i="14"/>
  <c r="Q15" i="14"/>
  <c r="Q8" i="14"/>
  <c r="Q7" i="14"/>
  <c r="Q11" i="14"/>
  <c r="Q6" i="14"/>
  <c r="Q10" i="14"/>
  <c r="P18" i="14"/>
  <c r="O19" i="13"/>
  <c r="O10" i="13"/>
  <c r="O45" i="13"/>
  <c r="Q5" i="13"/>
  <c r="P50" i="13"/>
  <c r="P46" i="13"/>
  <c r="P41" i="13"/>
  <c r="P37" i="13"/>
  <c r="P52" i="13"/>
  <c r="P48" i="13"/>
  <c r="P51" i="13"/>
  <c r="P47" i="13"/>
  <c r="P42" i="13"/>
  <c r="P38" i="13"/>
  <c r="P43" i="13"/>
  <c r="P49" i="13"/>
  <c r="P40" i="13"/>
  <c r="P44" i="13"/>
  <c r="P39" i="13"/>
  <c r="P34" i="13"/>
  <c r="P35" i="13"/>
  <c r="P8" i="13"/>
  <c r="P9" i="13"/>
  <c r="P14" i="13"/>
  <c r="P18" i="13"/>
  <c r="P23" i="13"/>
  <c r="P25" i="13"/>
  <c r="P16" i="13"/>
  <c r="P21" i="13"/>
  <c r="P13" i="13"/>
  <c r="P17" i="13"/>
  <c r="P22" i="13"/>
  <c r="P12" i="13"/>
  <c r="P11" i="13"/>
  <c r="P15" i="13"/>
  <c r="P20" i="13"/>
  <c r="P24" i="13"/>
  <c r="P26" i="13"/>
  <c r="L68" i="16"/>
  <c r="D32" i="31"/>
  <c r="P21" i="14"/>
  <c r="P19" i="14"/>
  <c r="J72" i="16"/>
  <c r="E34" i="31" l="1"/>
  <c r="H34" i="31" s="1"/>
  <c r="E35" i="31"/>
  <c r="E36" i="31"/>
  <c r="H36" i="31" s="1"/>
  <c r="E39" i="31"/>
  <c r="H39" i="31" s="1"/>
  <c r="E38" i="31"/>
  <c r="E33" i="31"/>
  <c r="Q17" i="14"/>
  <c r="Q18" i="14"/>
  <c r="O27" i="13"/>
  <c r="Q22" i="14"/>
  <c r="Q21" i="14"/>
  <c r="O53" i="13"/>
  <c r="Q20" i="14"/>
  <c r="P19" i="13"/>
  <c r="P33" i="13"/>
  <c r="P36" i="13"/>
  <c r="R5" i="13"/>
  <c r="Q51" i="13"/>
  <c r="Q47" i="13"/>
  <c r="Q42" i="13"/>
  <c r="Q38" i="13"/>
  <c r="Q49" i="13"/>
  <c r="Q52" i="13"/>
  <c r="Q48" i="13"/>
  <c r="Q43" i="13"/>
  <c r="Q39" i="13"/>
  <c r="Q34" i="13"/>
  <c r="Q44" i="13"/>
  <c r="Q50" i="13"/>
  <c r="Q41" i="13"/>
  <c r="Q46" i="13"/>
  <c r="Q40" i="13"/>
  <c r="Q35" i="13"/>
  <c r="Q37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16" i="14"/>
  <c r="D40" i="31"/>
  <c r="Q19" i="14"/>
  <c r="S2" i="14"/>
  <c r="R6" i="14"/>
  <c r="R10" i="14"/>
  <c r="R5" i="14"/>
  <c r="R9" i="14"/>
  <c r="R15" i="14"/>
  <c r="R8" i="14"/>
  <c r="R7" i="14"/>
  <c r="R11" i="14"/>
  <c r="L72" i="16"/>
  <c r="P10" i="13"/>
  <c r="P7" i="13"/>
  <c r="P45" i="13"/>
  <c r="P53" i="13" l="1"/>
  <c r="P27" i="13"/>
  <c r="Q7" i="13"/>
  <c r="Q45" i="13"/>
  <c r="Q36" i="13"/>
  <c r="R17" i="14"/>
  <c r="Q33" i="13"/>
  <c r="R22" i="14"/>
  <c r="R20" i="14"/>
  <c r="S15" i="14"/>
  <c r="S8" i="14"/>
  <c r="S5" i="14"/>
  <c r="S9" i="14"/>
  <c r="S6" i="14"/>
  <c r="S10" i="14"/>
  <c r="S7" i="14"/>
  <c r="S11" i="14"/>
  <c r="E37" i="31"/>
  <c r="H37" i="31" s="1"/>
  <c r="H38" i="31"/>
  <c r="E32" i="31"/>
  <c r="H32" i="31" s="1"/>
  <c r="H33" i="31"/>
  <c r="R18" i="14"/>
  <c r="R16" i="14"/>
  <c r="Q19" i="13"/>
  <c r="Q10" i="13"/>
  <c r="S5" i="13"/>
  <c r="K79" i="16" s="1"/>
  <c r="F48" i="31" s="1"/>
  <c r="R52" i="13"/>
  <c r="R48" i="13"/>
  <c r="R43" i="13"/>
  <c r="R39" i="13"/>
  <c r="R34" i="13"/>
  <c r="R50" i="13"/>
  <c r="R49" i="13"/>
  <c r="R44" i="13"/>
  <c r="R40" i="13"/>
  <c r="R35" i="13"/>
  <c r="R46" i="13"/>
  <c r="R41" i="13"/>
  <c r="R51" i="13"/>
  <c r="R37" i="13"/>
  <c r="R42" i="13"/>
  <c r="R38" i="13"/>
  <c r="R47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H35" i="31"/>
  <c r="Y10" i="14" l="1"/>
  <c r="S17" i="14"/>
  <c r="S21" i="14"/>
  <c r="S22" i="14"/>
  <c r="E40" i="31"/>
  <c r="H40" i="31" s="1"/>
  <c r="S18" i="14"/>
  <c r="S19" i="14"/>
  <c r="S20" i="14"/>
  <c r="Q27" i="13"/>
  <c r="Q53" i="13"/>
  <c r="R45" i="13"/>
  <c r="R19" i="13"/>
  <c r="R10" i="13"/>
  <c r="S49" i="13"/>
  <c r="S44" i="13"/>
  <c r="S40" i="13"/>
  <c r="S35" i="13"/>
  <c r="S51" i="13"/>
  <c r="S42" i="13"/>
  <c r="S50" i="13"/>
  <c r="S46" i="13"/>
  <c r="S41" i="13"/>
  <c r="S37" i="13"/>
  <c r="S47" i="13"/>
  <c r="S52" i="13"/>
  <c r="S34" i="13"/>
  <c r="S43" i="13"/>
  <c r="S38" i="13"/>
  <c r="S39" i="13"/>
  <c r="S48" i="13"/>
  <c r="I84" i="16"/>
  <c r="J80" i="16"/>
  <c r="I78" i="16"/>
  <c r="I79" i="16"/>
  <c r="D48" i="31" s="1"/>
  <c r="K84" i="16"/>
  <c r="S25" i="13"/>
  <c r="K82" i="16"/>
  <c r="S9" i="13"/>
  <c r="K80" i="16"/>
  <c r="S12" i="13"/>
  <c r="S14" i="13"/>
  <c r="S17" i="13"/>
  <c r="T5" i="13"/>
  <c r="K92" i="16" s="1"/>
  <c r="F61" i="31" s="1"/>
  <c r="H78" i="16"/>
  <c r="H83" i="16"/>
  <c r="H84" i="16"/>
  <c r="S20" i="13"/>
  <c r="K83" i="16"/>
  <c r="K78" i="16"/>
  <c r="S13" i="13"/>
  <c r="K77" i="16"/>
  <c r="F46" i="31" s="1"/>
  <c r="S15" i="13"/>
  <c r="S21" i="13"/>
  <c r="I83" i="16"/>
  <c r="H82" i="16"/>
  <c r="S16" i="13"/>
  <c r="S24" i="13"/>
  <c r="J83" i="16"/>
  <c r="H79" i="16"/>
  <c r="I80" i="16"/>
  <c r="J84" i="16"/>
  <c r="I82" i="16"/>
  <c r="S18" i="13"/>
  <c r="S23" i="13"/>
  <c r="J78" i="16"/>
  <c r="H80" i="16"/>
  <c r="I77" i="16"/>
  <c r="D46" i="31" s="1"/>
  <c r="J77" i="16"/>
  <c r="H77" i="16"/>
  <c r="S22" i="13"/>
  <c r="J82" i="16"/>
  <c r="S11" i="13"/>
  <c r="J79" i="16"/>
  <c r="S26" i="13"/>
  <c r="S8" i="13"/>
  <c r="U2" i="14"/>
  <c r="U4" i="14" s="1"/>
  <c r="T6" i="14"/>
  <c r="T10" i="14"/>
  <c r="T7" i="14"/>
  <c r="T11" i="14"/>
  <c r="T15" i="14"/>
  <c r="T8" i="14"/>
  <c r="T5" i="14"/>
  <c r="T9" i="14"/>
  <c r="R7" i="13"/>
  <c r="R36" i="13"/>
  <c r="S16" i="14"/>
  <c r="R33" i="13"/>
  <c r="AA19" i="14" l="1"/>
  <c r="AA18" i="14"/>
  <c r="S19" i="13"/>
  <c r="AA17" i="14"/>
  <c r="I81" i="16"/>
  <c r="R27" i="13"/>
  <c r="AL34" i="13"/>
  <c r="T22" i="14"/>
  <c r="T16" i="14"/>
  <c r="T18" i="14"/>
  <c r="S7" i="13"/>
  <c r="AB45" i="13"/>
  <c r="T20" i="14"/>
  <c r="T19" i="14"/>
  <c r="T21" i="14"/>
  <c r="L80" i="16"/>
  <c r="L84" i="16"/>
  <c r="U5" i="13"/>
  <c r="T44" i="13"/>
  <c r="T46" i="13"/>
  <c r="T42" i="13"/>
  <c r="T43" i="13"/>
  <c r="K95" i="16"/>
  <c r="I91" i="16"/>
  <c r="I95" i="16"/>
  <c r="I93" i="16"/>
  <c r="I92" i="16"/>
  <c r="D61" i="31" s="1"/>
  <c r="T20" i="13"/>
  <c r="H97" i="16"/>
  <c r="T26" i="13"/>
  <c r="J93" i="16"/>
  <c r="T24" i="13"/>
  <c r="T9" i="13"/>
  <c r="T40" i="13"/>
  <c r="T41" i="13"/>
  <c r="T38" i="13"/>
  <c r="T52" i="13"/>
  <c r="K96" i="16"/>
  <c r="I97" i="16"/>
  <c r="K91" i="16"/>
  <c r="T14" i="13"/>
  <c r="H95" i="16"/>
  <c r="H93" i="16"/>
  <c r="T8" i="13"/>
  <c r="H92" i="16"/>
  <c r="T13" i="13"/>
  <c r="T16" i="13"/>
  <c r="T23" i="13"/>
  <c r="T25" i="13"/>
  <c r="T34" i="13"/>
  <c r="T37" i="13"/>
  <c r="T51" i="13"/>
  <c r="T48" i="13"/>
  <c r="J97" i="16"/>
  <c r="I90" i="16"/>
  <c r="D59" i="31" s="1"/>
  <c r="J91" i="16"/>
  <c r="K93" i="16"/>
  <c r="I96" i="16"/>
  <c r="T17" i="13"/>
  <c r="H91" i="16"/>
  <c r="H90" i="16"/>
  <c r="T12" i="13"/>
  <c r="H96" i="16"/>
  <c r="T18" i="13"/>
  <c r="T15" i="13"/>
  <c r="T50" i="13"/>
  <c r="T47" i="13"/>
  <c r="J92" i="16"/>
  <c r="K90" i="16"/>
  <c r="F59" i="31" s="1"/>
  <c r="J90" i="16"/>
  <c r="T21" i="13"/>
  <c r="T22" i="13"/>
  <c r="T49" i="13"/>
  <c r="T35" i="13"/>
  <c r="T39" i="13"/>
  <c r="K97" i="16"/>
  <c r="J95" i="16"/>
  <c r="J96" i="16"/>
  <c r="T11" i="13"/>
  <c r="S36" i="13"/>
  <c r="AB44" i="13" s="1"/>
  <c r="R53" i="13"/>
  <c r="T17" i="14"/>
  <c r="H76" i="16"/>
  <c r="L77" i="16"/>
  <c r="S33" i="13"/>
  <c r="AB47" i="13" s="1"/>
  <c r="S10" i="13"/>
  <c r="J76" i="16"/>
  <c r="L83" i="16"/>
  <c r="K81" i="16"/>
  <c r="AB48" i="13"/>
  <c r="AL33" i="13"/>
  <c r="AB46" i="13"/>
  <c r="S45" i="13"/>
  <c r="V2" i="14"/>
  <c r="V4" i="14" s="1"/>
  <c r="U15" i="14"/>
  <c r="U8" i="14"/>
  <c r="U5" i="14"/>
  <c r="U9" i="14"/>
  <c r="U6" i="14"/>
  <c r="U10" i="14"/>
  <c r="U7" i="14"/>
  <c r="U11" i="14"/>
  <c r="J81" i="16"/>
  <c r="I76" i="16"/>
  <c r="L79" i="16"/>
  <c r="H81" i="16"/>
  <c r="L82" i="16"/>
  <c r="F45" i="31"/>
  <c r="F53" i="31" s="1"/>
  <c r="K76" i="16"/>
  <c r="L78" i="16"/>
  <c r="S27" i="13" l="1"/>
  <c r="AB8" i="13" s="1"/>
  <c r="AA20" i="14"/>
  <c r="I85" i="16"/>
  <c r="T7" i="13"/>
  <c r="AL35" i="13"/>
  <c r="U21" i="14"/>
  <c r="U19" i="14"/>
  <c r="U17" i="14"/>
  <c r="U22" i="14"/>
  <c r="AB33" i="13"/>
  <c r="U20" i="14"/>
  <c r="L81" i="16"/>
  <c r="K85" i="16"/>
  <c r="T10" i="13"/>
  <c r="L96" i="16"/>
  <c r="U18" i="14"/>
  <c r="U16" i="14"/>
  <c r="AG34" i="13"/>
  <c r="AB36" i="13"/>
  <c r="S53" i="13"/>
  <c r="AB37" i="13"/>
  <c r="AB35" i="13"/>
  <c r="L93" i="16"/>
  <c r="T19" i="13"/>
  <c r="T45" i="13"/>
  <c r="AB38" i="13"/>
  <c r="J85" i="16"/>
  <c r="AG33" i="13"/>
  <c r="AB34" i="13"/>
  <c r="J89" i="16"/>
  <c r="T33" i="13"/>
  <c r="H94" i="16"/>
  <c r="L95" i="16"/>
  <c r="K94" i="16"/>
  <c r="W2" i="14"/>
  <c r="W4" i="14" s="1"/>
  <c r="V5" i="14"/>
  <c r="V9" i="14"/>
  <c r="V6" i="14"/>
  <c r="V10" i="14"/>
  <c r="V7" i="14"/>
  <c r="V11" i="14"/>
  <c r="V8" i="14"/>
  <c r="V15" i="14"/>
  <c r="AB49" i="13"/>
  <c r="J94" i="16"/>
  <c r="F58" i="31"/>
  <c r="F66" i="31" s="1"/>
  <c r="K89" i="16"/>
  <c r="L90" i="16"/>
  <c r="H89" i="16"/>
  <c r="L92" i="16"/>
  <c r="V5" i="13"/>
  <c r="U50" i="13"/>
  <c r="U46" i="13"/>
  <c r="U41" i="13"/>
  <c r="U37" i="13"/>
  <c r="U43" i="13"/>
  <c r="U51" i="13"/>
  <c r="U47" i="13"/>
  <c r="U42" i="13"/>
  <c r="U38" i="13"/>
  <c r="U52" i="13"/>
  <c r="U48" i="13"/>
  <c r="U35" i="13"/>
  <c r="U44" i="13"/>
  <c r="U49" i="13"/>
  <c r="U34" i="13"/>
  <c r="U39" i="13"/>
  <c r="U40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I89" i="16"/>
  <c r="T36" i="13"/>
  <c r="D45" i="31"/>
  <c r="H85" i="16"/>
  <c r="L76" i="16"/>
  <c r="L91" i="16"/>
  <c r="L97" i="16"/>
  <c r="I94" i="16"/>
  <c r="E48" i="31" l="1"/>
  <c r="E46" i="31"/>
  <c r="E47" i="31"/>
  <c r="H47" i="31" s="1"/>
  <c r="E51" i="31"/>
  <c r="E52" i="31"/>
  <c r="H52" i="31" s="1"/>
  <c r="E49" i="31"/>
  <c r="H49" i="31" s="1"/>
  <c r="M10" i="31" s="1"/>
  <c r="L85" i="16"/>
  <c r="T53" i="13"/>
  <c r="T27" i="13"/>
  <c r="V22" i="14"/>
  <c r="V20" i="14"/>
  <c r="AB39" i="13"/>
  <c r="I98" i="16"/>
  <c r="V18" i="14"/>
  <c r="V16" i="14"/>
  <c r="AG35" i="13"/>
  <c r="U19" i="13"/>
  <c r="U10" i="13"/>
  <c r="U33" i="13"/>
  <c r="K98" i="16"/>
  <c r="U36" i="13"/>
  <c r="W5" i="13"/>
  <c r="K118" i="16" s="1"/>
  <c r="V51" i="13"/>
  <c r="V47" i="13"/>
  <c r="V42" i="13"/>
  <c r="V38" i="13"/>
  <c r="V44" i="13"/>
  <c r="V52" i="13"/>
  <c r="V48" i="13"/>
  <c r="V43" i="13"/>
  <c r="V39" i="13"/>
  <c r="V34" i="13"/>
  <c r="V49" i="13"/>
  <c r="V37" i="13"/>
  <c r="V35" i="13"/>
  <c r="V41" i="13"/>
  <c r="V40" i="13"/>
  <c r="V46" i="13"/>
  <c r="V50" i="13"/>
  <c r="V8" i="13"/>
  <c r="V11" i="13"/>
  <c r="V13" i="13"/>
  <c r="V15" i="13"/>
  <c r="V17" i="13"/>
  <c r="V20" i="13"/>
  <c r="V22" i="13"/>
  <c r="V24" i="13"/>
  <c r="V26" i="13"/>
  <c r="V9" i="13"/>
  <c r="V12" i="13"/>
  <c r="V14" i="13"/>
  <c r="V16" i="13"/>
  <c r="V18" i="13"/>
  <c r="V21" i="13"/>
  <c r="V23" i="13"/>
  <c r="V25" i="13"/>
  <c r="L94" i="16"/>
  <c r="J98" i="16"/>
  <c r="D58" i="31"/>
  <c r="D53" i="31"/>
  <c r="U7" i="13"/>
  <c r="U45" i="13"/>
  <c r="V21" i="14"/>
  <c r="W5" i="14"/>
  <c r="W9" i="14"/>
  <c r="W6" i="14"/>
  <c r="W10" i="14"/>
  <c r="W7" i="14"/>
  <c r="W11" i="14"/>
  <c r="W8" i="14"/>
  <c r="W15" i="14"/>
  <c r="L89" i="16"/>
  <c r="H98" i="16"/>
  <c r="V19" i="14"/>
  <c r="V17" i="14"/>
  <c r="F74" i="31" l="1"/>
  <c r="K133" i="16"/>
  <c r="R133" i="16"/>
  <c r="E62" i="31"/>
  <c r="H62" i="31" s="1"/>
  <c r="E61" i="31"/>
  <c r="E59" i="31"/>
  <c r="E60" i="31"/>
  <c r="H60" i="31" s="1"/>
  <c r="E65" i="31"/>
  <c r="H65" i="31" s="1"/>
  <c r="E64" i="31"/>
  <c r="U27" i="13"/>
  <c r="L98" i="16"/>
  <c r="W18" i="14"/>
  <c r="W16" i="14"/>
  <c r="U53" i="13"/>
  <c r="W22" i="14"/>
  <c r="V7" i="13"/>
  <c r="V33" i="13"/>
  <c r="W21" i="14"/>
  <c r="D66" i="31"/>
  <c r="H48" i="31"/>
  <c r="M9" i="31" s="1"/>
  <c r="W19" i="14"/>
  <c r="W17" i="14"/>
  <c r="V45" i="13"/>
  <c r="V36" i="13"/>
  <c r="W43" i="13"/>
  <c r="X43" i="13" s="1"/>
  <c r="W40" i="13"/>
  <c r="X40" i="13" s="1"/>
  <c r="W50" i="13"/>
  <c r="X50" i="13" s="1"/>
  <c r="W42" i="13"/>
  <c r="X42" i="13" s="1"/>
  <c r="H117" i="16"/>
  <c r="J123" i="16"/>
  <c r="J121" i="16"/>
  <c r="H116" i="16"/>
  <c r="W25" i="13"/>
  <c r="X25" i="13" s="1"/>
  <c r="H123" i="16"/>
  <c r="W8" i="13"/>
  <c r="X8" i="13" s="1"/>
  <c r="I116" i="16"/>
  <c r="W15" i="13"/>
  <c r="X15" i="13" s="1"/>
  <c r="J118" i="16"/>
  <c r="I117" i="16"/>
  <c r="I118" i="16"/>
  <c r="W14" i="13"/>
  <c r="X14" i="13" s="1"/>
  <c r="W18" i="13"/>
  <c r="X18" i="13" s="1"/>
  <c r="W39" i="13"/>
  <c r="X39" i="13" s="1"/>
  <c r="W34" i="13"/>
  <c r="X34" i="13" s="1"/>
  <c r="W46" i="13"/>
  <c r="X46" i="13" s="1"/>
  <c r="W51" i="13"/>
  <c r="X51" i="13" s="1"/>
  <c r="H118" i="16"/>
  <c r="J117" i="16"/>
  <c r="K119" i="16"/>
  <c r="J116" i="16"/>
  <c r="W24" i="13"/>
  <c r="X24" i="13" s="1"/>
  <c r="I121" i="16"/>
  <c r="J122" i="16"/>
  <c r="H121" i="16"/>
  <c r="W13" i="13"/>
  <c r="X13" i="13" s="1"/>
  <c r="H122" i="16"/>
  <c r="W12" i="13"/>
  <c r="X12" i="13" s="1"/>
  <c r="W20" i="13"/>
  <c r="X20" i="13" s="1"/>
  <c r="W52" i="13"/>
  <c r="W49" i="13"/>
  <c r="X49" i="13" s="1"/>
  <c r="W41" i="13"/>
  <c r="X41" i="13" s="1"/>
  <c r="W37" i="13"/>
  <c r="X37" i="13" s="1"/>
  <c r="W38" i="13"/>
  <c r="X38" i="13" s="1"/>
  <c r="J119" i="16"/>
  <c r="H119" i="16"/>
  <c r="K121" i="16"/>
  <c r="K116" i="16"/>
  <c r="I122" i="16"/>
  <c r="W22" i="13"/>
  <c r="X22" i="13" s="1"/>
  <c r="W23" i="13"/>
  <c r="X23" i="13" s="1"/>
  <c r="W17" i="13"/>
  <c r="X17" i="13" s="1"/>
  <c r="I119" i="16"/>
  <c r="W9" i="13"/>
  <c r="X9" i="13" s="1"/>
  <c r="W48" i="13"/>
  <c r="X48" i="13" s="1"/>
  <c r="W44" i="13"/>
  <c r="X44" i="13" s="1"/>
  <c r="W47" i="13"/>
  <c r="X47" i="13" s="1"/>
  <c r="W35" i="13"/>
  <c r="X35" i="13" s="1"/>
  <c r="I123" i="16"/>
  <c r="K123" i="16"/>
  <c r="K117" i="16"/>
  <c r="K122" i="16"/>
  <c r="W26" i="13"/>
  <c r="W21" i="13"/>
  <c r="X21" i="13" s="1"/>
  <c r="W11" i="13"/>
  <c r="X11" i="13" s="1"/>
  <c r="W16" i="13"/>
  <c r="X16" i="13" s="1"/>
  <c r="E45" i="31"/>
  <c r="H45" i="31" s="1"/>
  <c r="M8" i="31" s="1"/>
  <c r="H46" i="31"/>
  <c r="E50" i="31"/>
  <c r="H50" i="31" s="1"/>
  <c r="M11" i="31" s="1"/>
  <c r="H51" i="31"/>
  <c r="W20" i="14"/>
  <c r="V19" i="13"/>
  <c r="V10" i="13"/>
  <c r="P134" i="16" l="1"/>
  <c r="I134" i="16"/>
  <c r="J132" i="16"/>
  <c r="Q132" i="16"/>
  <c r="D72" i="31"/>
  <c r="I131" i="16"/>
  <c r="P131" i="16"/>
  <c r="O133" i="16"/>
  <c r="H133" i="16"/>
  <c r="K132" i="16"/>
  <c r="R132" i="16"/>
  <c r="I137" i="16"/>
  <c r="P137" i="16"/>
  <c r="H137" i="16"/>
  <c r="O137" i="16"/>
  <c r="H131" i="16"/>
  <c r="O131" i="16"/>
  <c r="K138" i="16"/>
  <c r="R138" i="16"/>
  <c r="F72" i="31"/>
  <c r="F71" i="31" s="1"/>
  <c r="F79" i="31" s="1"/>
  <c r="R131" i="16"/>
  <c r="K131" i="16"/>
  <c r="Q136" i="16"/>
  <c r="J136" i="16"/>
  <c r="J138" i="16"/>
  <c r="Q138" i="16"/>
  <c r="I138" i="16"/>
  <c r="P138" i="16"/>
  <c r="H136" i="16"/>
  <c r="O136" i="16"/>
  <c r="O134" i="16"/>
  <c r="H134" i="16"/>
  <c r="H132" i="16"/>
  <c r="O132" i="16"/>
  <c r="R136" i="16"/>
  <c r="K136" i="16"/>
  <c r="H138" i="16"/>
  <c r="O138" i="16"/>
  <c r="R137" i="16"/>
  <c r="K137" i="16"/>
  <c r="J137" i="16"/>
  <c r="Q137" i="16"/>
  <c r="Q134" i="16"/>
  <c r="J134" i="16"/>
  <c r="P136" i="16"/>
  <c r="I136" i="16"/>
  <c r="D74" i="31"/>
  <c r="P133" i="16"/>
  <c r="I133" i="16"/>
  <c r="I132" i="16"/>
  <c r="P132" i="16"/>
  <c r="J131" i="16"/>
  <c r="Q131" i="16"/>
  <c r="J133" i="16"/>
  <c r="Q133" i="16"/>
  <c r="R134" i="16"/>
  <c r="K134" i="16"/>
  <c r="L117" i="16"/>
  <c r="AM34" i="13"/>
  <c r="L116" i="16"/>
  <c r="AB17" i="14"/>
  <c r="M12" i="31"/>
  <c r="AB19" i="14"/>
  <c r="V27" i="13"/>
  <c r="K120" i="16"/>
  <c r="W7" i="13"/>
  <c r="V53" i="13"/>
  <c r="AB18" i="14"/>
  <c r="J120" i="16"/>
  <c r="H120" i="16"/>
  <c r="L121" i="16"/>
  <c r="L119" i="16"/>
  <c r="AM33" i="13"/>
  <c r="W45" i="13"/>
  <c r="AC46" i="13"/>
  <c r="L123" i="16"/>
  <c r="E63" i="31"/>
  <c r="H63" i="31" s="1"/>
  <c r="H64" i="31"/>
  <c r="E53" i="31"/>
  <c r="H53" i="31" s="1"/>
  <c r="W19" i="13"/>
  <c r="W10" i="13"/>
  <c r="AC45" i="13"/>
  <c r="L122" i="16"/>
  <c r="I120" i="16"/>
  <c r="W33" i="13"/>
  <c r="AC47" i="13" s="1"/>
  <c r="H61" i="31"/>
  <c r="E58" i="31"/>
  <c r="H58" i="31" s="1"/>
  <c r="H59" i="31"/>
  <c r="W36" i="13"/>
  <c r="AC44" i="13" s="1"/>
  <c r="J115" i="16"/>
  <c r="K115" i="16"/>
  <c r="AC48" i="13"/>
  <c r="L118" i="16"/>
  <c r="I115" i="16"/>
  <c r="H115" i="16"/>
  <c r="L120" i="16" l="1"/>
  <c r="L133" i="16"/>
  <c r="S133" i="16"/>
  <c r="L132" i="16"/>
  <c r="S132" i="16"/>
  <c r="Q135" i="16"/>
  <c r="J135" i="16"/>
  <c r="R130" i="16"/>
  <c r="K130" i="16"/>
  <c r="Q130" i="16"/>
  <c r="J130" i="16"/>
  <c r="R135" i="16"/>
  <c r="K135" i="16"/>
  <c r="L138" i="16"/>
  <c r="S138" i="16"/>
  <c r="H130" i="16"/>
  <c r="O130" i="16"/>
  <c r="P135" i="16"/>
  <c r="I135" i="16"/>
  <c r="L134" i="16"/>
  <c r="S134" i="16"/>
  <c r="S131" i="16"/>
  <c r="L131" i="16"/>
  <c r="O135" i="16"/>
  <c r="H135" i="16"/>
  <c r="P130" i="16"/>
  <c r="I130" i="16"/>
  <c r="S137" i="16"/>
  <c r="L137" i="16"/>
  <c r="S136" i="16"/>
  <c r="L136" i="16"/>
  <c r="AM35" i="13"/>
  <c r="AC38" i="13"/>
  <c r="W27" i="13"/>
  <c r="AC8" i="13" s="1"/>
  <c r="AB20" i="14"/>
  <c r="J124" i="16"/>
  <c r="AC36" i="13"/>
  <c r="AC33" i="13"/>
  <c r="AC34" i="13"/>
  <c r="K124" i="16"/>
  <c r="I124" i="16"/>
  <c r="AC35" i="13"/>
  <c r="AC37" i="13"/>
  <c r="AC49" i="13"/>
  <c r="D71" i="31"/>
  <c r="W53" i="13"/>
  <c r="L115" i="16"/>
  <c r="H124" i="16"/>
  <c r="E66" i="31"/>
  <c r="H66" i="31" s="1"/>
  <c r="AH33" i="13"/>
  <c r="AH34" i="13"/>
  <c r="O139" i="16" l="1"/>
  <c r="H139" i="16"/>
  <c r="S130" i="16"/>
  <c r="L130" i="16"/>
  <c r="J139" i="16"/>
  <c r="Q139" i="16"/>
  <c r="S135" i="16"/>
  <c r="L135" i="16"/>
  <c r="P139" i="16"/>
  <c r="I139" i="16"/>
  <c r="K139" i="16"/>
  <c r="R139" i="16"/>
  <c r="E75" i="31"/>
  <c r="H75" i="31" s="1"/>
  <c r="N10" i="31" s="1"/>
  <c r="E74" i="31"/>
  <c r="H74" i="31" s="1"/>
  <c r="N9" i="31" s="1"/>
  <c r="E73" i="31"/>
  <c r="H73" i="31" s="1"/>
  <c r="E78" i="31"/>
  <c r="H78" i="31" s="1"/>
  <c r="E77" i="31"/>
  <c r="E72" i="31"/>
  <c r="H72" i="31" s="1"/>
  <c r="L124" i="16"/>
  <c r="AC39" i="13"/>
  <c r="AH35" i="13"/>
  <c r="D79" i="31"/>
  <c r="L139" i="16" l="1"/>
  <c r="S139" i="16"/>
  <c r="E76" i="31"/>
  <c r="H76" i="31" s="1"/>
  <c r="N11" i="31" s="1"/>
  <c r="H77" i="31"/>
  <c r="E71" i="31"/>
  <c r="H71" i="31" s="1"/>
  <c r="N8" i="31" s="1"/>
  <c r="N12" i="31" l="1"/>
  <c r="E79" i="31"/>
  <c r="H79" i="3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6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<sst xmlns="http://schemas.openxmlformats.org/spreadsheetml/2006/main" count="1877" uniqueCount="543">
  <si>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</si>
  <si>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</si>
  <si>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</si>
  <si>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</si>
  <si>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</si>
  <si>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</si>
  <si>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</si>
  <si>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</si>
  <si>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</si>
  <si>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</si>
  <si>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</si>
  <si>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</si>
  <si>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</si>
  <si>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</si>
  <si>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</si>
  <si>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</si>
  <si>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</si>
  <si>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</si>
  <si>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</si>
  <si>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</si>
  <si>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</si>
  <si>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</si>
  <si>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</si>
  <si>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</si>
  <si>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</si>
  <si>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</si>
  <si>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</si>
  <si>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</si>
  <si>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</si>
  <si>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</si>
  <si>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</si>
  <si>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</si>
  <si>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</si>
  <si>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</si>
  <si>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</si>
  <si>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</si>
  <si>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</si>
  <si>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</si>
  <si>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</si>
  <si>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</si>
  <si>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</si>
  <si>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</si>
  <si>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</si>
  <si>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</si>
  <si>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</si>
  <si>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</si>
  <si>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</si>
  <si>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</si>
  <si>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</si>
  <si>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</si>
  <si>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</si>
  <si>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</si>
  <si>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</si>
  <si>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</si>
  <si>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</si>
  <si>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</si>
  <si>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</si>
  <si>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</si>
  <si>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</si>
  <si>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</si>
  <si>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</si>
  <si>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</si>
  <si>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</si>
  <si>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</si>
  <si>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</si>
  <si>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</si>
  <si>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</si>
  <si>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</si>
  <si>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</si>
  <si>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</si>
  <si>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</si>
  <si>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</si>
  <si>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</si>
  <si>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</si>
  <si>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</si>
  <si>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</si>
  <si>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</si>
  <si>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</si>
  <si>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</si>
  <si>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</si>
  <si>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</si>
  <si>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</si>
  <si>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</si>
  <si>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</si>
  <si>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</si>
  <si>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</si>
  <si>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</si>
  <si>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</si>
  <si>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</si>
  <si>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</si>
  <si>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</si>
  <si>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</si>
  <si>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</si>
  <si>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</si>
  <si>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</si>
  <si>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</si>
  <si>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</si>
  <si>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</si>
  <si>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</si>
  <si>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</si>
  <si>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</si>
  <si>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</si>
  <si>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</si>
  <si>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ER_OIL_2</t>
  </si>
  <si>
    <t>ER_OIL_2201_2</t>
  </si>
  <si>
    <t>ER_OIL_2202_2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</si>
  <si>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</si>
  <si>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</si>
  <si>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</si>
  <si>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</si>
  <si>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</si>
  <si>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</si>
  <si>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</si>
  <si>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</si>
  <si>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ER_ELEC_2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</si>
  <si>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</si>
  <si>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</si>
  <si>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</si>
  <si>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</si>
  <si>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</si>
  <si>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</si>
  <si>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</si>
  <si>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</si>
  <si>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</si>
  <si>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ER_AGRICULTURE_2</t>
  </si>
  <si>
    <t>ER_INDUS_2</t>
  </si>
  <si>
    <t>ER_RESIDENTIAL_2</t>
  </si>
  <si>
    <t>ER_TERTIARY_2</t>
  </si>
  <si>
    <t>ER_TRANS_PRIVATE_2</t>
  </si>
  <si>
    <t>ER_TRANS_PUBLIC_2</t>
  </si>
  <si>
    <t>ER_AUTO_2</t>
  </si>
  <si>
    <t>ER_AUTO_TH_A_2</t>
  </si>
  <si>
    <t>ER_AUTO_TH_B_2</t>
  </si>
  <si>
    <t>ER_AUTO_TH_C_2</t>
  </si>
  <si>
    <t>ER_AUTO_TH_D_2</t>
  </si>
  <si>
    <t>ER_AUTO_TH_E_2</t>
  </si>
  <si>
    <t>ER_AUTO_TH_F_2</t>
  </si>
  <si>
    <t>ER_AUTO_TH_G_2</t>
  </si>
  <si>
    <t>ER_AUTO_ELEC_A_2</t>
  </si>
  <si>
    <t>ER_AUTO_ELEC_B_2</t>
  </si>
  <si>
    <t>ER_AUTO_ELEC_C_2</t>
  </si>
  <si>
    <t>ER_AUTO_ELEC_D_2</t>
  </si>
  <si>
    <t>ER_AUTO_ELEC_E_2</t>
  </si>
  <si>
    <t>ER_AUTO_ELEC_F_2</t>
  </si>
  <si>
    <t>ER_AUTO_ELEC_G_2</t>
  </si>
  <si>
    <t>ER_AUTO_COAL_2</t>
  </si>
  <si>
    <t>ER_AUTO_TH_2</t>
  </si>
  <si>
    <t>ER_AUTO_ELEC_2</t>
  </si>
  <si>
    <t>ER_AUTO_GAS_2</t>
  </si>
  <si>
    <t>ER_NEWAUTO_2</t>
  </si>
  <si>
    <t>ER_NEWAUTO_TH_2</t>
  </si>
  <si>
    <t>ER_NEWAUTO_TH_A_2</t>
  </si>
  <si>
    <t>ER_NEWAUTO_TH_B_2</t>
  </si>
  <si>
    <t>ER_NEWAUTO_TH_C_2</t>
  </si>
  <si>
    <t>ER_NEWAUTO_TH_D_2</t>
  </si>
  <si>
    <t>ER_NEWAUTO_TH_E_2</t>
  </si>
  <si>
    <t>ER_NEWAUTO_TH_F_2</t>
  </si>
  <si>
    <t>ER_NEWAUTO_TH_G_2</t>
  </si>
  <si>
    <t>ER_NEWAUTO_ELEC_2</t>
  </si>
  <si>
    <t>ER_NEWAUTO_ELEC_A_2</t>
  </si>
  <si>
    <t>ER_NEWAUTO_ELEC_B_2</t>
  </si>
  <si>
    <t>ER_NEWAUTO_ELEC_C_2</t>
  </si>
  <si>
    <t>ER_NEWAUTO_ELEC_D_2</t>
  </si>
  <si>
    <t>ER_NEWAUTO_ELEC_E_2</t>
  </si>
  <si>
    <t>ER_NEWAUTO_ELEC_F_2</t>
  </si>
  <si>
    <t>ER_NEWAUTO_ELEC_G_2</t>
  </si>
  <si>
    <t>ER_AGRICULTURE_COAL_2</t>
  </si>
  <si>
    <t>ER_INDUS_COAL_2</t>
  </si>
  <si>
    <t>ER_RESIDENTIAL_COAL_2</t>
  </si>
  <si>
    <t>ER_TERTIARY_COAL_2</t>
  </si>
  <si>
    <t>ER_TRANS_PRIVATE_COAL_2</t>
  </si>
  <si>
    <t>ER_TRANS_PUBLIC_COAL_2</t>
  </si>
  <si>
    <t>ER_AGRICULTURE_OIL_2</t>
  </si>
  <si>
    <t>ER_INDUS_OIL_2</t>
  </si>
  <si>
    <t>ER_RESIDENTIAL_OIL_2</t>
  </si>
  <si>
    <t>ER_TERTIARY_OIL_2</t>
  </si>
  <si>
    <t>ER_TRANS_PRIVATE_OIL_2</t>
  </si>
  <si>
    <t>ER_TRANS_PUBLIC_OIL_2</t>
  </si>
  <si>
    <t>ER_AGRICULTURE_ELEC_2</t>
  </si>
  <si>
    <t>ER_INDUS_ELEC_2</t>
  </si>
  <si>
    <t>ER_RESIDENTIAL_ELEC_2</t>
  </si>
  <si>
    <t>ER_TERTIARY_ELEC_2</t>
  </si>
  <si>
    <t>ER_TRANS_PRIVATE_ELEC_2</t>
  </si>
  <si>
    <t>ER_TRANS_PUBLIC_ELEC_2</t>
  </si>
  <si>
    <t>ER_AGRICULTURE_GAS_2</t>
  </si>
  <si>
    <t>ER_INDUS_GAS_2</t>
  </si>
  <si>
    <t>ER_RESIDENTIAL_GAS_2</t>
  </si>
  <si>
    <t>ER_TERTIARY_GAS_2</t>
  </si>
  <si>
    <t>ER_TRANS_PRIVATE_GAS_2</t>
  </si>
  <si>
    <t>ER_TRANS_PUBLIC_GAS_2</t>
  </si>
  <si>
    <t>ER_BUIL_2</t>
  </si>
  <si>
    <t>ER_BUIL_A_2</t>
  </si>
  <si>
    <t>ER_BUIL_B_2</t>
  </si>
  <si>
    <t>ER_BUIL_C_2</t>
  </si>
  <si>
    <t>ER_BUIL_D_2</t>
  </si>
  <si>
    <t>ER_BUIL_E_2</t>
  </si>
  <si>
    <t>ER_BUIL_F_2</t>
  </si>
  <si>
    <t>ER_BUIL_G_2</t>
  </si>
  <si>
    <t>TTCO_VOL_SIGNAL_2</t>
  </si>
  <si>
    <t>PGDP_2</t>
  </si>
  <si>
    <t>100*(GDP_2/@ELEM(GDP_2,"2006"))</t>
  </si>
  <si>
    <t>100*(EMS_TOT_2/@ELEM(EMS_TOT_2,"2006"))</t>
  </si>
  <si>
    <t>EMS_DC_04_2</t>
  </si>
  <si>
    <t>EMS_DC_05_2</t>
  </si>
  <si>
    <t>EMS_DC_2</t>
  </si>
  <si>
    <t>EMS_HH_2</t>
  </si>
  <si>
    <t>EMS_HH_21_2</t>
  </si>
  <si>
    <t>EMS_HH_21_H01_2</t>
  </si>
  <si>
    <t>EMS_HH_22_2</t>
  </si>
  <si>
    <t>EMS_HH_22_H01_2</t>
  </si>
  <si>
    <t>EMS_HH_24_2</t>
  </si>
  <si>
    <t>EMS_HH_24_H01_2</t>
  </si>
  <si>
    <t>EMS_SEC_TOT_01_2</t>
  </si>
  <si>
    <t>EMS_SEC_TOT_02_2</t>
  </si>
  <si>
    <t>EMS_SEC_TOT_03_2</t>
  </si>
  <si>
    <t>EMS_SEC_TOT_04_2</t>
  </si>
  <si>
    <t>EMS_SEC_TOT_05_2</t>
  </si>
  <si>
    <t>EMS_SEC_TOT_06_2</t>
  </si>
  <si>
    <t>EMS_SEC_TOT_07_2</t>
  </si>
  <si>
    <t>EMS_SEC_TOT_08_2</t>
  </si>
  <si>
    <t>EMS_SEC_TOT_09_2</t>
  </si>
  <si>
    <t>EMS_SEC_TOT_10_2</t>
  </si>
  <si>
    <t>EMS_SEC_TOT_11_2</t>
  </si>
  <si>
    <t>EMS_SEC_TOT_12_2</t>
  </si>
  <si>
    <t>EMS_SEC_TOT_13_2</t>
  </si>
  <si>
    <t>EMS_SEC_TOT_14_2</t>
  </si>
  <si>
    <t>EMS_SEC_TOT_15_2</t>
  </si>
  <si>
    <t>EMS_SEC_TOT_16_2</t>
  </si>
  <si>
    <t>EMS_SEC_TOT_17_2</t>
  </si>
  <si>
    <t>EMS_SEC_TOT_18_2</t>
  </si>
  <si>
    <t>EMS_SEC_TOT_19_2</t>
  </si>
  <si>
    <t>EMS_SEC_TOT_2</t>
  </si>
  <si>
    <t>EMS_SEC_TOT_20_2</t>
  </si>
  <si>
    <t>EMS_SEC_TOT_21_05_2</t>
  </si>
  <si>
    <t>EMS_SEC_TOT_21_06_2</t>
  </si>
  <si>
    <t>EMS_SEC_TOT_21_07_2</t>
  </si>
  <si>
    <t>EMS_SEC_TOT_21_08_2</t>
  </si>
  <si>
    <t>EMS_SEC_TOT_21_10_2</t>
  </si>
  <si>
    <t>EMS_SEC_TOT_21_12_2</t>
  </si>
  <si>
    <t>EMS_SEC_TOT_21_19_2</t>
  </si>
  <si>
    <t>EMS_SEC_TOT_21_20_2</t>
  </si>
  <si>
    <t>EMS_SEC_TOT_21_2304_2</t>
  </si>
  <si>
    <t>EMS_SEC_TOT_2201_2</t>
  </si>
  <si>
    <t>EMS_SEC_TOT_22_01_2</t>
  </si>
  <si>
    <t>EMS_SEC_TOT_22_02_2</t>
  </si>
  <si>
    <t>EMS_SEC_TOT_22_03_2</t>
  </si>
  <si>
    <t>EMS_SEC_TOT_22_04_2</t>
  </si>
  <si>
    <t>EMS_SEC_TOT_22_05_2</t>
  </si>
  <si>
    <t>EMS_SEC_TOT_22_06_2</t>
  </si>
  <si>
    <t>EMS_SEC_TOT_22_07_2</t>
  </si>
  <si>
    <t>EMS_SEC_TOT_22_08_2</t>
  </si>
  <si>
    <t>EMS_SEC_TOT_22_09_2</t>
  </si>
  <si>
    <t>EMS_SEC_TOT_22_12_2</t>
  </si>
  <si>
    <t>EMS_SEC_TOT_22_13_2</t>
  </si>
  <si>
    <t>EMS_SEC_TOT_22_14_2</t>
  </si>
  <si>
    <t>EMS_SEC_TOT_22_15_2</t>
  </si>
  <si>
    <t>EMS_SEC_TOT_22_16_2</t>
  </si>
  <si>
    <t>EMS_SEC_TOT_22_17_2</t>
  </si>
  <si>
    <t>EMS_SEC_TOT_22_18_2</t>
  </si>
  <si>
    <t>EMS_SEC_TOT_22_19_2</t>
  </si>
  <si>
    <t>EMS_SEC_TOT_22_20_2</t>
  </si>
  <si>
    <t>EMS_SEC_TOT_22_2201_2</t>
  </si>
  <si>
    <t>EMS_SEC_TOT_22_2302_2</t>
  </si>
  <si>
    <t>EMS_SEC_TOT_2302_2</t>
  </si>
  <si>
    <t>EMS_SEC_TOT_2303_2</t>
  </si>
  <si>
    <t>EMS_SEC_TOT_2304_2</t>
  </si>
  <si>
    <t>EMS_SEC_TOT_2401_2</t>
  </si>
  <si>
    <t>EMS_SEC_TOT_24_01_2</t>
  </si>
  <si>
    <t>EMS_SEC_TOT_24_02_2</t>
  </si>
  <si>
    <t>EMS_SEC_TOT_24_03_2</t>
  </si>
  <si>
    <t>EMS_SEC_TOT_24_04_2</t>
  </si>
  <si>
    <t>EMS_SEC_TOT_24_05_2</t>
  </si>
  <si>
    <t>EMS_SEC_TOT_24_06_2</t>
  </si>
  <si>
    <t>EMS_SEC_TOT_24_07_2</t>
  </si>
  <si>
    <t>EMS_SEC_TOT_24_08_2</t>
  </si>
  <si>
    <t>EMS_SEC_TOT_24_09_2</t>
  </si>
  <si>
    <t>EMS_SEC_TOT_24_10_2</t>
  </si>
  <si>
    <t>EMS_SEC_TOT_24_11_2</t>
  </si>
  <si>
    <t>EMS_SEC_TOT_24_12_2</t>
  </si>
  <si>
    <t>EMS_SEC_TOT_24_13_2</t>
  </si>
  <si>
    <t>EMS_SEC_TOT_24_14_2</t>
  </si>
  <si>
    <t>EMS_SEC_TOT_24_15_2</t>
  </si>
  <si>
    <t>EMS_SEC_TOT_24_16_2</t>
  </si>
  <si>
    <t>EMS_SEC_TOT_24_17_2</t>
  </si>
  <si>
    <t>EMS_SEC_TOT_24_18_2</t>
  </si>
  <si>
    <t>EMS_SEC_TOT_24_19_2</t>
  </si>
  <si>
    <t>EMS_SEC_TOT_24_20_2</t>
  </si>
  <si>
    <t>EMS_SEC_TOT_24_2201_2</t>
  </si>
  <si>
    <t>EMS_SEC_TOT_24_2303_2</t>
  </si>
  <si>
    <t>EMS_SEC_TOT_24_2401_2</t>
  </si>
  <si>
    <t>EMS_SECSOU_2</t>
  </si>
  <si>
    <t>EMS_SECSOU_21_2</t>
  </si>
  <si>
    <t>EMS_SECSOU_22_2</t>
  </si>
  <si>
    <t>EMS_SECSOU_24_2</t>
  </si>
  <si>
    <t>EMS_SOU_2</t>
  </si>
  <si>
    <t>EMS_SOU_21_2</t>
  </si>
  <si>
    <t>EMS_SOU_22_2</t>
  </si>
  <si>
    <t>EMS_SOU_24_2</t>
  </si>
  <si>
    <t>EMS_TOT_2</t>
  </si>
  <si>
    <t>Q_MTEP_EP_2</t>
  </si>
  <si>
    <t>Q_MTEP_EP_21_2</t>
  </si>
  <si>
    <t>Q_MTEP_EP_21_21_2</t>
  </si>
  <si>
    <t>Q_MTEP_EP_2201_2</t>
  </si>
  <si>
    <t>Q_MTEP_EP_2202_2</t>
  </si>
  <si>
    <t>Q_MTEP_EP_22_2201_2</t>
  </si>
  <si>
    <t>Q_MTEP_EP_22_2202_2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</si>
  <si>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</si>
  <si>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</si>
  <si>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</si>
  <si>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</si>
  <si>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</si>
  <si>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</si>
  <si>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</si>
  <si>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</si>
  <si>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Q_MTEP_EP_23_2301_2</t>
  </si>
  <si>
    <t>Q_MTEP_EP_23_2302_2</t>
  </si>
  <si>
    <t>Q_MTEP_EP_23_2303_2</t>
  </si>
  <si>
    <t>Q_MTEP_EP_23_2304_2</t>
  </si>
  <si>
    <t>Q_MTEP_EP_23_2305_2</t>
  </si>
  <si>
    <t>Q_MTEP_EP_23_2306_2</t>
  </si>
  <si>
    <t>Q_MTEP_EP_23_2307_2</t>
  </si>
  <si>
    <t>Q_MTEP_EP_23_2308_2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</si>
  <si>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</si>
  <si>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</si>
  <si>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</si>
  <si>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</si>
  <si>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</si>
  <si>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</si>
  <si>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</si>
  <si>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</si>
  <si>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</si>
  <si>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</si>
  <si>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</si>
  <si>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</si>
  <si>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</si>
  <si>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</si>
  <si>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</si>
  <si>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</si>
  <si>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</si>
  <si>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</si>
  <si>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</si>
  <si>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</si>
  <si>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</si>
  <si>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</si>
  <si>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</si>
  <si>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</si>
  <si>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</si>
  <si>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</si>
  <si>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</si>
  <si>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</si>
  <si>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</si>
  <si>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</si>
  <si>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</si>
  <si>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</si>
  <si>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</si>
  <si>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</si>
  <si>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Q_Mtep_ep_2201_2</t>
  </si>
  <si>
    <t>Q_Mtep_ep_2202_2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</si>
  <si>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</si>
  <si>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</si>
  <si>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</si>
  <si>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</si>
  <si>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</si>
  <si>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</si>
  <si>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</si>
  <si>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</si>
  <si>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</si>
  <si>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</si>
  <si>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</si>
  <si>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</si>
  <si>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</si>
  <si>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</si>
  <si>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Q_Mtep_ep_21_2</t>
  </si>
  <si>
    <t>ER_Oil_2</t>
  </si>
  <si>
    <t>ER_oil_2201_2</t>
  </si>
  <si>
    <t>ER_oil_2202_2</t>
  </si>
  <si>
    <t>ER_elec_2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</si>
  <si>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</si>
  <si>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</si>
  <si>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</si>
  <si>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</si>
  <si>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</si>
  <si>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</si>
  <si>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</si>
  <si>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</si>
  <si>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</si>
  <si>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</si>
  <si>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</si>
  <si>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</si>
  <si>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</si>
  <si>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</si>
  <si>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</si>
  <si>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</si>
  <si>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</si>
  <si>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</si>
  <si>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</si>
  <si>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</si>
  <si>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</si>
  <si>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</si>
  <si>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</si>
  <si>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</si>
  <si>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</si>
  <si>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</si>
  <si>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</si>
  <si>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</si>
  <si>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</si>
  <si>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</si>
  <si>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</si>
  <si>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</si>
  <si>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</si>
  <si>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</si>
  <si>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</si>
  <si>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</si>
  <si>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</si>
  <si>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</si>
  <si>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</si>
  <si>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</si>
  <si>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</si>
  <si>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</si>
  <si>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</si>
  <si>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</si>
  <si>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</si>
  <si>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ER_AUTO_2/1000</t>
  </si>
  <si>
    <t>ER_AUTO_ELEC_2/ER_AUTO_2</t>
  </si>
  <si>
    <t>ER_AUTO_TH_2/ER_AUTO_2</t>
  </si>
  <si>
    <t>ER_NEWAUTO_ELEC_2/ER_NEWAUTO_2</t>
  </si>
  <si>
    <t>ER_NEWAUTO_ELEC_A_2/ER_NEWAUTO_2</t>
  </si>
  <si>
    <t>ER_NEWAUTO_ELEC_B_2/ER_NEWAUTO_2</t>
  </si>
  <si>
    <t>ER_NEWAUTO_ELEC_C_2/ER_NEWAUTO_2</t>
  </si>
  <si>
    <t>ER_NEWAUTO_ELEC_D_2/ER_NEWAUTO_2</t>
  </si>
  <si>
    <t>ER_NEWAUTO_ELEC_E_2/ER_NEWAUTO_2</t>
  </si>
  <si>
    <t>ER_NEWAUTO_ELEC_F_2/ER_NEWAUTO_2</t>
  </si>
  <si>
    <t>ER_NEWAUTO_ELEC_G_2/ER_NEWAUTO_2</t>
  </si>
  <si>
    <t>ER_NEWAUTO_TH_2/ER_NEWAUTO_2</t>
  </si>
  <si>
    <t>ER_NEWAUTO_TH_A_2/ER_NEWAUTO_2</t>
  </si>
  <si>
    <t>ER_NEWAUTO_TH_B_2/ER_NEWAUTO_2</t>
  </si>
  <si>
    <t>ER_NEWAUTO_TH_C_2/ER_NEWAUTO_2</t>
  </si>
  <si>
    <t>ER_NEWAUTO_TH_D_2/ER_NEWAUTO_2</t>
  </si>
  <si>
    <t>ER_NEWAUTO_TH_E_2/ER_NEWAUTO_2</t>
  </si>
  <si>
    <t>ER_NEWAUTO_TH_F_2/ER_NEWAUTO_2</t>
  </si>
  <si>
    <t>ER_NEWAUTO_TH_G_2/ER_NEWAUTO_2</t>
  </si>
  <si>
    <t>ER_AUTO_COAL_2/ER_AUTO_2</t>
  </si>
  <si>
    <t>ER_AUTO_GAS_2/ER_AUTO_2</t>
  </si>
  <si>
    <t>ER_AUTO_ELEC_A_2/ER_AUTO_2</t>
  </si>
  <si>
    <t>ER_AUTO_ELEC_B_2/ER_AUTO_2</t>
  </si>
  <si>
    <t>ER_AUTO_ELEC_C_2/ER_AUTO_2</t>
  </si>
  <si>
    <t>ER_AUTO_ELEC_D_2/ER_AUTO_2</t>
  </si>
  <si>
    <t>ER_AUTO_ELEC_E_2/ER_AUTO_2</t>
  </si>
  <si>
    <t>ER_AUTO_ELEC_F_2/ER_AUTO_2</t>
  </si>
  <si>
    <t>ER_AUTO_ELEC_G_2/ER_AUTO_2</t>
  </si>
  <si>
    <t>ER_AUTO_TH_A_2/ER_AUTO_2</t>
  </si>
  <si>
    <t>ER_AUTO_TH_B_2/ER_AUTO_2</t>
  </si>
  <si>
    <t>ER_AUTO_TH_C_2/ER_AUTO_2</t>
  </si>
  <si>
    <t>ER_AUTO_TH_D_2/ER_AUTO_2</t>
  </si>
  <si>
    <t>ER_AUTO_TH_E_2/ER_AUTO_2</t>
  </si>
  <si>
    <t>ER_AUTO_TH_F_2/ER_AUTO_2</t>
  </si>
  <si>
    <t>ER_AUTO_TH_G_2/ER_AUTO_2</t>
  </si>
  <si>
    <t>Cf. onglet "G mix energie"</t>
  </si>
  <si>
    <t>electricité</t>
  </si>
  <si>
    <t>chaleur (bois…)</t>
  </si>
  <si>
    <t>gaz</t>
  </si>
  <si>
    <t>carburant</t>
  </si>
  <si>
    <t>Electric</t>
  </si>
  <si>
    <t>Stock of vehicles</t>
  </si>
  <si>
    <t>S1</t>
  </si>
  <si>
    <t>Transport (milliers de km voyageurs)</t>
  </si>
  <si>
    <t>Avion (France + RDM)</t>
  </si>
  <si>
    <t>Longue Distance (LD)</t>
  </si>
  <si>
    <t xml:space="preserve">    voiture LD</t>
  </si>
  <si>
    <t xml:space="preserve">    train</t>
  </si>
  <si>
    <t>Courte Distance (CD)</t>
  </si>
  <si>
    <t xml:space="preserve">    voiture CD</t>
  </si>
  <si>
    <t xml:space="preserve">    bus</t>
  </si>
  <si>
    <t>Voiture CD+LD</t>
  </si>
  <si>
    <t>TEND</t>
  </si>
  <si>
    <t>Ecarts de transport 
(milliers de km voyageurs)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</si>
  <si>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</si>
  <si>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</si>
  <si>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</si>
  <si>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</si>
  <si>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</si>
  <si>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</si>
  <si>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</si>
  <si>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</si>
  <si>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1) Copier-coller sorties Eviews en B2
2) veillez à ce que les données commencent en 2004
3) modifier le scénario si besoin en B1</t>
  </si>
  <si>
    <t>Energie finale</t>
  </si>
  <si>
    <t>EMS_TOT_2/@ELEM(EMS_TOT,"2006")*100</t>
  </si>
  <si>
    <t>c</t>
  </si>
  <si>
    <t>Différences en 2050 résultant des modifs de chocs</t>
  </si>
  <si>
    <t>Ecarts par rapport à la cible</t>
  </si>
  <si>
    <t>Industry</t>
  </si>
  <si>
    <t>Industry energetic uses</t>
  </si>
  <si>
    <t>SNBC3</t>
  </si>
  <si>
    <t>Part modale hors avion</t>
  </si>
  <si>
    <t>voiture CD</t>
  </si>
  <si>
    <t>voiture LD</t>
  </si>
  <si>
    <t>voiture CD+LD</t>
  </si>
  <si>
    <t>Transport (parts modales en %)</t>
  </si>
  <si>
    <t>2030/2019</t>
  </si>
  <si>
    <t>2050/2019</t>
  </si>
  <si>
    <t>Total hors avion</t>
  </si>
  <si>
    <t>Ecarts de transport 
(points de %)</t>
  </si>
  <si>
    <t>Avion</t>
  </si>
  <si>
    <t>train</t>
  </si>
  <si>
    <t>bus</t>
  </si>
  <si>
    <t>route</t>
  </si>
  <si>
    <t>Cibles DGEC</t>
  </si>
  <si>
    <t>TTCO_VOL_SIGNAL_1</t>
  </si>
  <si>
    <t>PGDP_1</t>
  </si>
  <si>
    <t>(GDP_2/GDP_1-1)*100</t>
  </si>
  <si>
    <t>(CH_2/CH_1-1)*100</t>
  </si>
  <si>
    <t>(I_2/I_1-1)*100</t>
  </si>
  <si>
    <t>(X_2/X_1-1)*100</t>
  </si>
  <si>
    <t>(M_2/M_1-1)*100</t>
  </si>
  <si>
    <t>(DC_VAL_2/(PGDP_2*GDP_2)-DC_VAL_1/(PGDP_1*GDP_1))*100</t>
  </si>
  <si>
    <t>(UNR_TOT_2-UNR_TOT_1)*100</t>
  </si>
  <si>
    <t>(L_2/L_1-1)*100</t>
  </si>
  <si>
    <t>((W_S_2/PCH_2)/(W_S_1/PCH_1)-1)*100</t>
  </si>
  <si>
    <t>INFL_FR_2-INFL_FR_1</t>
  </si>
  <si>
    <t>R_2-R_1</t>
  </si>
  <si>
    <t>(DEBT_G_VAL_2/(PGDP_2*GDP_2)-DEBT_G_VAL_1/(PGDP_1*GDP_1))*100</t>
  </si>
  <si>
    <t>(DP_G_VAL_2-DP_G_VAL_1)*100</t>
  </si>
  <si>
    <t>100*(GDP_2/GDP_1-1)</t>
  </si>
  <si>
    <t>100*(CH_2/CH_1-1)</t>
  </si>
  <si>
    <t>100*(I_2/I_1-1)</t>
  </si>
  <si>
    <t>100*(X_2/X_1-1)</t>
  </si>
  <si>
    <t>100*(M_2/M_1-1)</t>
  </si>
  <si>
    <t>100*(UNR_TOT_2-UNR_TOT_1)</t>
  </si>
  <si>
    <t>100*(L_2/L_1-1)</t>
  </si>
  <si>
    <t>100*((W_2/PCH_2)/(W_1/PCH_1)-1)</t>
  </si>
  <si>
    <t>100*(PCH_2/PCH_1-1)</t>
  </si>
  <si>
    <t>100*(R_2-R_1)</t>
  </si>
  <si>
    <t>100*(DEBT_G_VAL_2/(PGDP_2*GDP_2)-DEBT_G_VAL_1/(PGDP_1*GDP_1))</t>
  </si>
  <si>
    <t>100*(DP_G_VAL_2-DP_G_VAL_1)</t>
  </si>
  <si>
    <t>100*(EMS_TOT_2/EMS_TOT_1-1)</t>
  </si>
  <si>
    <t>KM_AUTO_H01_1</t>
  </si>
  <si>
    <t>KM_TRAVELER_18_H01_1</t>
  </si>
  <si>
    <t>KM_TRAV_AUTO_LD_H01_1</t>
  </si>
  <si>
    <t>KM_TRAV_AUTO_CD_H01_1</t>
  </si>
  <si>
    <t>KM_TRAVELER_14_H01_1</t>
  </si>
  <si>
    <t>KM_TRAVELER_15_H01_1</t>
  </si>
  <si>
    <t>KM_TRAVELER_CD_H01_1</t>
  </si>
  <si>
    <t>KM_TRAVELER_LD_H01_1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</si>
</sst>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#,##0.0"/>
    <numFmt numFmtId="167" formatCode="0.000"/>
    <numFmt numFmtId="168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322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/>
    <xf numFmtId="0" fontId="2" fillId="0" borderId="1" xfId="0" applyFont="1" applyBorder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2" fontId="2" fillId="0" borderId="0" xfId="0" applyNumberFormat="1" applyFont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1" fontId="0" fillId="0" borderId="0" xfId="0" applyNumberFormat="1"/>
    <xf numFmtId="0" fontId="19" fillId="0" borderId="0" xfId="3" applyFill="1"/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11" fillId="2" borderId="0" xfId="0" applyNumberFormat="1" applyFont="1" applyFill="1" applyAlignment="1">
      <alignment horizontal="right"/>
    </xf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0" fontId="22" fillId="2" borderId="0" xfId="4" applyFill="1"/>
    <xf numFmtId="1" fontId="22" fillId="2" borderId="0" xfId="4" applyNumberFormat="1" applyFill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9" fontId="2" fillId="3" borderId="21" xfId="0" applyNumberFormat="1" applyFont="1" applyFill="1" applyBorder="1" applyAlignment="1">
      <alignment horizontal="center"/>
    </xf>
    <xf numFmtId="9" fontId="2" fillId="3" borderId="26" xfId="0" applyNumberFormat="1" applyFont="1" applyFill="1" applyBorder="1" applyAlignment="1">
      <alignment horizontal="center"/>
    </xf>
    <xf numFmtId="9" fontId="0" fillId="2" borderId="18" xfId="0" applyNumberFormat="1" applyFill="1" applyBorder="1" applyAlignment="1">
      <alignment vertical="center"/>
    </xf>
    <xf numFmtId="9" fontId="0" fillId="2" borderId="37" xfId="0" applyNumberFormat="1" applyFill="1" applyBorder="1" applyAlignment="1">
      <alignment vertical="center"/>
    </xf>
    <xf numFmtId="9" fontId="22" fillId="2" borderId="17" xfId="4" applyNumberFormat="1" applyFill="1" applyBorder="1" applyAlignment="1">
      <alignment vertical="center"/>
    </xf>
    <xf numFmtId="0" fontId="12" fillId="2" borderId="1" xfId="0" applyFont="1" applyFill="1" applyBorder="1"/>
    <xf numFmtId="1" fontId="2" fillId="7" borderId="1" xfId="0" applyNumberFormat="1" applyFont="1" applyFill="1" applyBorder="1" applyAlignment="1">
      <alignment horizontal="left"/>
    </xf>
    <xf numFmtId="1" fontId="22" fillId="2" borderId="0" xfId="4" applyNumberFormat="1" applyFill="1" applyBorder="1"/>
    <xf numFmtId="1" fontId="22" fillId="2" borderId="0" xfId="4" applyNumberForma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0" fillId="0" borderId="0" xfId="0" applyNumberFormat="1" applyAlignment="1">
      <alignment vertical="center"/>
    </xf>
    <xf numFmtId="1" fontId="26" fillId="10" borderId="0" xfId="5" applyNumberFormat="1" applyFont="1" applyFill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ill="1" applyBorder="1"/>
    <xf numFmtId="2" fontId="22" fillId="2" borderId="0" xfId="4" applyNumberFormat="1" applyFill="1" applyBorder="1"/>
    <xf numFmtId="9" fontId="0" fillId="2" borderId="0" xfId="0" applyNumberFormat="1" applyFill="1" applyAlignment="1">
      <alignment horizontal="right"/>
    </xf>
    <xf numFmtId="9" fontId="0" fillId="2" borderId="6" xfId="0" applyNumberFormat="1" applyFill="1" applyBorder="1" applyAlignment="1">
      <alignment horizontal="right"/>
    </xf>
    <xf numFmtId="9" fontId="0" fillId="2" borderId="3" xfId="0" applyNumberFormat="1" applyFill="1" applyBorder="1" applyAlignment="1">
      <alignment horizontal="right"/>
    </xf>
    <xf numFmtId="9" fontId="0" fillId="2" borderId="10" xfId="0" applyNumberFormat="1" applyFill="1" applyBorder="1" applyAlignment="1">
      <alignment horizontal="right"/>
    </xf>
    <xf numFmtId="9" fontId="22" fillId="2" borderId="0" xfId="4" applyNumberFormat="1" applyFill="1" applyBorder="1" applyAlignment="1">
      <alignment horizontal="right"/>
    </xf>
    <xf numFmtId="165" fontId="2" fillId="2" borderId="0" xfId="1" applyNumberFormat="1" applyFont="1" applyFill="1" applyBorder="1"/>
    <xf numFmtId="2" fontId="2" fillId="2" borderId="0" xfId="0" applyNumberFormat="1" applyFont="1" applyFill="1" applyAlignment="1">
      <alignment horizontal="right"/>
    </xf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/>
    <xf numFmtId="164" fontId="14" fillId="2" borderId="0" xfId="0" applyNumberFormat="1" applyFont="1" applyFill="1"/>
    <xf numFmtId="11" fontId="0" fillId="2" borderId="0" xfId="0" applyNumberFormat="1" applyFill="1"/>
    <xf numFmtId="3" fontId="0" fillId="2" borderId="0" xfId="0" applyNumberFormat="1" applyFill="1"/>
    <xf numFmtId="3" fontId="2" fillId="3" borderId="22" xfId="0" applyNumberFormat="1" applyFont="1" applyFill="1" applyBorder="1" applyAlignment="1">
      <alignment horizontal="right"/>
    </xf>
    <xf numFmtId="3" fontId="0" fillId="2" borderId="22" xfId="0" applyNumberFormat="1" applyFill="1" applyBorder="1" applyAlignment="1">
      <alignment horizontal="right"/>
    </xf>
    <xf numFmtId="3" fontId="0" fillId="2" borderId="10" xfId="0" applyNumberFormat="1" applyFill="1" applyBorder="1" applyAlignment="1">
      <alignment horizontal="right"/>
    </xf>
    <xf numFmtId="0" fontId="8" fillId="2" borderId="27" xfId="0" applyFont="1" applyFill="1" applyBorder="1"/>
    <xf numFmtId="0" fontId="0" fillId="2" borderId="28" xfId="0" applyFill="1" applyBorder="1"/>
    <xf numFmtId="0" fontId="7" fillId="2" borderId="18" xfId="0" applyFont="1" applyFill="1" applyBorder="1" applyAlignment="1">
      <alignment horizontal="left" indent="2"/>
    </xf>
    <xf numFmtId="0" fontId="7" fillId="2" borderId="17" xfId="0" applyFont="1" applyFill="1" applyBorder="1" applyAlignment="1">
      <alignment horizontal="left" indent="2"/>
    </xf>
    <xf numFmtId="0" fontId="2" fillId="2" borderId="25" xfId="0" applyFont="1" applyFill="1" applyBorder="1"/>
    <xf numFmtId="0" fontId="2" fillId="2" borderId="18" xfId="0" applyFont="1" applyFill="1" applyBorder="1"/>
    <xf numFmtId="0" fontId="7" fillId="2" borderId="37" xfId="0" applyFont="1" applyFill="1" applyBorder="1" applyAlignment="1">
      <alignment horizontal="left" indent="2"/>
    </xf>
    <xf numFmtId="0" fontId="2" fillId="2" borderId="28" xfId="0" applyFont="1" applyFill="1" applyBorder="1"/>
    <xf numFmtId="3" fontId="0" fillId="2" borderId="3" xfId="1" applyNumberFormat="1" applyFont="1" applyFill="1" applyBorder="1" applyAlignment="1">
      <alignment horizontal="right"/>
    </xf>
    <xf numFmtId="3" fontId="2" fillId="3" borderId="24" xfId="0" applyNumberFormat="1" applyFont="1" applyFill="1" applyBorder="1" applyAlignment="1">
      <alignment horizontal="right"/>
    </xf>
    <xf numFmtId="3" fontId="0" fillId="2" borderId="6" xfId="1" applyNumberFormat="1" applyFont="1" applyFill="1" applyBorder="1" applyAlignment="1">
      <alignment horizontal="right"/>
    </xf>
    <xf numFmtId="3" fontId="0" fillId="2" borderId="10" xfId="1" applyNumberFormat="1" applyFont="1" applyFill="1" applyBorder="1" applyAlignment="1">
      <alignment horizontal="right"/>
    </xf>
    <xf numFmtId="0" fontId="9" fillId="2" borderId="0" xfId="0" applyFont="1" applyFill="1"/>
    <xf numFmtId="0" fontId="2" fillId="2" borderId="6" xfId="0" applyFont="1" applyFill="1" applyBorder="1"/>
    <xf numFmtId="0" fontId="0" fillId="2" borderId="6" xfId="0" applyFill="1" applyBorder="1"/>
    <xf numFmtId="9" fontId="22" fillId="2" borderId="0" xfId="4" applyNumberFormat="1" applyFill="1"/>
    <xf numFmtId="165" fontId="0" fillId="2" borderId="0" xfId="0" applyNumberFormat="1" applyFill="1"/>
    <xf numFmtId="3" fontId="2" fillId="3" borderId="15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7" fillId="11" borderId="3" xfId="0" applyFont="1" applyFill="1" applyBorder="1"/>
    <xf numFmtId="0" fontId="6" fillId="0" borderId="4" xfId="0" applyFont="1" applyBorder="1"/>
    <xf numFmtId="0" fontId="6" fillId="2" borderId="4" xfId="0" applyFont="1" applyFill="1" applyBorder="1"/>
    <xf numFmtId="0" fontId="2" fillId="10" borderId="0" xfId="0" applyFont="1" applyFill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/>
    <xf numFmtId="3" fontId="2" fillId="2" borderId="5" xfId="0" applyNumberFormat="1" applyFont="1" applyFill="1" applyBorder="1"/>
    <xf numFmtId="3" fontId="2" fillId="2" borderId="0" xfId="0" applyNumberFormat="1" applyFont="1" applyFill="1"/>
    <xf numFmtId="3" fontId="2" fillId="2" borderId="7" xfId="0" applyNumberFormat="1" applyFont="1" applyFill="1" applyBorder="1"/>
    <xf numFmtId="0" fontId="0" fillId="0" borderId="15" xfId="0" applyBorder="1"/>
    <xf numFmtId="3" fontId="0" fillId="2" borderId="4" xfId="0" applyNumberFormat="1" applyFill="1" applyBorder="1"/>
    <xf numFmtId="3" fontId="0" fillId="2" borderId="1" xfId="0" applyNumberFormat="1" applyFill="1" applyBorder="1"/>
    <xf numFmtId="3" fontId="0" fillId="2" borderId="16" xfId="0" applyNumberFormat="1" applyFill="1" applyBorder="1"/>
    <xf numFmtId="3" fontId="0" fillId="0" borderId="0" xfId="0" applyNumberFormat="1"/>
    <xf numFmtId="0" fontId="0" fillId="0" borderId="27" xfId="0" applyBorder="1"/>
    <xf numFmtId="3" fontId="0" fillId="2" borderId="8" xfId="0" applyNumberFormat="1" applyFill="1" applyBorder="1"/>
    <xf numFmtId="3" fontId="0" fillId="2" borderId="2" xfId="0" applyNumberFormat="1" applyFill="1" applyBorder="1"/>
    <xf numFmtId="3" fontId="0" fillId="2" borderId="7" xfId="0" applyNumberFormat="1" applyFill="1" applyBorder="1"/>
    <xf numFmtId="0" fontId="0" fillId="0" borderId="18" xfId="0" applyBorder="1"/>
    <xf numFmtId="3" fontId="0" fillId="2" borderId="5" xfId="0" applyNumberFormat="1" applyFill="1" applyBorder="1"/>
    <xf numFmtId="3" fontId="0" fillId="2" borderId="6" xfId="0" applyNumberFormat="1" applyFill="1" applyBorder="1"/>
    <xf numFmtId="0" fontId="0" fillId="0" borderId="17" xfId="0" applyBorder="1"/>
    <xf numFmtId="3" fontId="0" fillId="2" borderId="9" xfId="0" applyNumberFormat="1" applyFill="1" applyBorder="1"/>
    <xf numFmtId="3" fontId="0" fillId="2" borderId="3" xfId="0" applyNumberFormat="1" applyFill="1" applyBorder="1"/>
    <xf numFmtId="3" fontId="0" fillId="2" borderId="10" xfId="0" applyNumberFormat="1" applyFill="1" applyBorder="1"/>
    <xf numFmtId="167" fontId="0" fillId="2" borderId="0" xfId="0" applyNumberFormat="1" applyFill="1"/>
    <xf numFmtId="0" fontId="11" fillId="11" borderId="1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5" xfId="0" applyBorder="1"/>
    <xf numFmtId="0" fontId="2" fillId="5" borderId="41" xfId="0" applyFont="1" applyFill="1" applyBorder="1" applyAlignment="1">
      <alignment horizontal="center" vertical="center"/>
    </xf>
    <xf numFmtId="2" fontId="21" fillId="2" borderId="0" xfId="0" applyNumberFormat="1" applyFont="1" applyFill="1" applyAlignment="1">
      <alignment horizontal="right"/>
    </xf>
    <xf numFmtId="164" fontId="16" fillId="2" borderId="0" xfId="0" applyNumberFormat="1" applyFont="1" applyFill="1" applyAlignment="1">
      <alignment horizontal="right"/>
    </xf>
    <xf numFmtId="165" fontId="0" fillId="10" borderId="36" xfId="0" applyNumberFormat="1" applyFill="1" applyBorder="1"/>
    <xf numFmtId="1" fontId="0" fillId="0" borderId="0" xfId="0" applyNumberFormat="1" applyAlignment="1">
      <alignment horizontal="right"/>
    </xf>
    <xf numFmtId="0" fontId="13" fillId="0" borderId="0" xfId="0" applyFont="1"/>
    <xf numFmtId="0" fontId="16" fillId="0" borderId="0" xfId="0" applyFont="1"/>
    <xf numFmtId="1" fontId="2" fillId="13" borderId="4" xfId="0" applyNumberFormat="1" applyFont="1" applyFill="1" applyBorder="1" applyAlignment="1">
      <alignment horizontal="left"/>
    </xf>
    <xf numFmtId="0" fontId="0" fillId="13" borderId="0" xfId="0" applyFill="1"/>
    <xf numFmtId="164" fontId="2" fillId="13" borderId="1" xfId="0" applyNumberFormat="1" applyFont="1" applyFill="1" applyBorder="1" applyAlignment="1">
      <alignment horizontal="right"/>
    </xf>
    <xf numFmtId="164" fontId="2" fillId="13" borderId="1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" fontId="2" fillId="14" borderId="4" xfId="0" applyNumberFormat="1" applyFont="1" applyFill="1" applyBorder="1"/>
    <xf numFmtId="0" fontId="0" fillId="14" borderId="3" xfId="0" applyFill="1" applyBorder="1"/>
    <xf numFmtId="164" fontId="2" fillId="14" borderId="1" xfId="0" applyNumberFormat="1" applyFont="1" applyFill="1" applyBorder="1"/>
    <xf numFmtId="164" fontId="2" fillId="14" borderId="15" xfId="0" applyNumberFormat="1" applyFont="1" applyFill="1" applyBorder="1"/>
    <xf numFmtId="164" fontId="11" fillId="13" borderId="4" xfId="0" quotePrefix="1" applyNumberFormat="1" applyFont="1" applyFill="1" applyBorder="1" applyAlignment="1">
      <alignment horizontal="right"/>
    </xf>
    <xf numFmtId="164" fontId="11" fillId="13" borderId="1" xfId="0" applyNumberFormat="1" applyFont="1" applyFill="1" applyBorder="1" applyAlignment="1">
      <alignment horizontal="right"/>
    </xf>
    <xf numFmtId="164" fontId="11" fillId="13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11" fillId="13" borderId="4" xfId="0" applyNumberFormat="1" applyFont="1" applyFill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164" fontId="11" fillId="14" borderId="4" xfId="0" applyNumberFormat="1" applyFont="1" applyFill="1" applyBorder="1"/>
    <xf numFmtId="164" fontId="11" fillId="14" borderId="1" xfId="0" applyNumberFormat="1" applyFont="1" applyFill="1" applyBorder="1"/>
    <xf numFmtId="164" fontId="11" fillId="14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0" fontId="21" fillId="2" borderId="0" xfId="0" applyFont="1" applyFill="1"/>
    <xf numFmtId="168" fontId="21" fillId="2" borderId="6" xfId="0" applyNumberFormat="1" applyFont="1" applyFill="1" applyBorder="1" applyAlignment="1">
      <alignment horizontal="right"/>
    </xf>
    <xf numFmtId="168" fontId="21" fillId="2" borderId="10" xfId="0" applyNumberFormat="1" applyFont="1" applyFill="1" applyBorder="1" applyAlignment="1">
      <alignment horizontal="right"/>
    </xf>
    <xf numFmtId="0" fontId="21" fillId="0" borderId="0" xfId="0" applyFont="1"/>
    <xf numFmtId="9" fontId="0" fillId="0" borderId="0" xfId="1" applyFont="1"/>
    <xf numFmtId="9" fontId="0" fillId="2" borderId="4" xfId="1" applyFont="1" applyFill="1" applyBorder="1"/>
    <xf numFmtId="9" fontId="0" fillId="2" borderId="2" xfId="1" applyFont="1" applyFill="1" applyBorder="1"/>
    <xf numFmtId="9" fontId="0" fillId="2" borderId="7" xfId="1" applyFont="1" applyFill="1" applyBorder="1"/>
    <xf numFmtId="9" fontId="0" fillId="0" borderId="0" xfId="0" applyNumberFormat="1"/>
    <xf numFmtId="9" fontId="0" fillId="2" borderId="0" xfId="1" applyFont="1" applyFill="1"/>
    <xf numFmtId="9" fontId="0" fillId="2" borderId="6" xfId="1" applyFont="1" applyFill="1" applyBorder="1"/>
    <xf numFmtId="9" fontId="0" fillId="2" borderId="3" xfId="1" applyFont="1" applyFill="1" applyBorder="1"/>
    <xf numFmtId="9" fontId="0" fillId="2" borderId="10" xfId="1" applyFont="1" applyFill="1" applyBorder="1"/>
    <xf numFmtId="9" fontId="0" fillId="2" borderId="1" xfId="1" applyFont="1" applyFill="1" applyBorder="1"/>
    <xf numFmtId="9" fontId="0" fillId="2" borderId="16" xfId="1" applyFont="1" applyFill="1" applyBorder="1"/>
    <xf numFmtId="9" fontId="2" fillId="0" borderId="0" xfId="0" applyNumberFormat="1" applyFont="1"/>
    <xf numFmtId="9" fontId="2" fillId="2" borderId="0" xfId="1" applyFont="1" applyFill="1"/>
    <xf numFmtId="165" fontId="0" fillId="0" borderId="0" xfId="1" applyNumberFormat="1" applyFont="1"/>
    <xf numFmtId="0" fontId="28" fillId="15" borderId="5" xfId="0" applyFont="1" applyFill="1" applyBorder="1" applyAlignment="1">
      <alignment horizontal="left" indent="2"/>
    </xf>
    <xf numFmtId="0" fontId="2" fillId="15" borderId="0" xfId="0" applyFont="1" applyFill="1"/>
    <xf numFmtId="1" fontId="2" fillId="15" borderId="0" xfId="0" applyNumberFormat="1" applyFont="1" applyFill="1" applyAlignment="1">
      <alignment horizontal="right"/>
    </xf>
    <xf numFmtId="1" fontId="2" fillId="15" borderId="18" xfId="0" applyNumberFormat="1" applyFont="1" applyFill="1" applyBorder="1" applyAlignment="1">
      <alignment horizontal="right"/>
    </xf>
    <xf numFmtId="167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7.xml"/><Relationship Id="rId18" Type="http://schemas.openxmlformats.org/officeDocument/2006/relationships/worksheet" Target="worksheets/sheet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chartsheet" Target="chartsheets/sheet1.xml"/><Relationship Id="rId12" Type="http://schemas.openxmlformats.org/officeDocument/2006/relationships/chartsheet" Target="chartsheets/sheet6.xml"/><Relationship Id="rId17" Type="http://schemas.openxmlformats.org/officeDocument/2006/relationships/chartsheet" Target="chartsheets/sheet10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9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5.xml"/><Relationship Id="rId24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8.xml"/><Relationship Id="rId23" Type="http://schemas.openxmlformats.org/officeDocument/2006/relationships/externalLink" Target="externalLinks/externalLink5.xml"/><Relationship Id="rId28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7.xml"/><Relationship Id="rId22" Type="http://schemas.openxmlformats.org/officeDocument/2006/relationships/externalLink" Target="externalLinks/externalLink4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SNBC3 : Energie finale par usage et énergie primaire (Mtep)</c:v>
            </c:pt>
          </c:strCache>
        </c:strRef>
      </c:tx>
      <c:layout>
        <c:manualLayout>
          <c:xMode val="edge"/>
          <c:yMode val="edge"/>
          <c:x val="4.15560737277888E-2"/>
          <c:y val="1.879086784349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ER_RESIDENTIAL_coal_2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ER_TRANS_PUBLIC_coal_2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ER_TERTIARY_coal_2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235.65598998889999</c:v>
                </c:pt>
                <c:pt idx="1">
                  <c:v>218.06691922740004</c:v>
                </c:pt>
                <c:pt idx="2">
                  <c:v>135.33402129973999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ER_INDUS_coal_2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647219379051268E-3"/>
                  <c:y val="-3.134796238244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7-4F22-A5E8-E4153E109927}"/>
                </c:ext>
              </c:extLst>
            </c:dLbl>
            <c:dLbl>
              <c:idx val="1"/>
              <c:layout>
                <c:manualLayout>
                  <c:x val="1.3647219379051519E-3"/>
                  <c:y val="-2.5078369905956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7-4F22-A5E8-E4153E109927}"/>
                </c:ext>
              </c:extLst>
            </c:dLbl>
            <c:dLbl>
              <c:idx val="2"/>
              <c:layout>
                <c:manualLayout>
                  <c:x val="5.4588877516206077E-3"/>
                  <c:y val="-1.46290491118078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7-4F22-A5E8-E4153E10992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smooth val="0"/>
          <c:extLst>
            <c:ext xmlns:c16="http://schemas.microsoft.com/office/drawing/2014/chart" uri="{C3380CC4-5D6E-409C-BE32-E72D297353CC}">
              <c16:uniqueId val="{00000000-B687-4F22-A5E8-E4153E10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506857222784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vecteurs'!$Z$48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CC-4F25-BB18-D2DE93E1EAE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CC-4F25-BB18-D2DE93E1EAE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vecteurs'!$AA$48:$AC$48</c:f>
              <c:numCache>
                <c:formatCode>0</c:formatCode>
                <c:ptCount val="3"/>
                <c:pt idx="0">
                  <c:v>2.062420516</c:v>
                </c:pt>
                <c:pt idx="1">
                  <c:v>0.30519171859999999</c:v>
                </c:pt>
                <c:pt idx="2">
                  <c:v>0.1034625856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C-4F25-BB18-D2DE93E1EAE8}"/>
            </c:ext>
          </c:extLst>
        </c:ser>
        <c:ser>
          <c:idx val="3"/>
          <c:order val="1"/>
          <c:tx>
            <c:strRef>
              <c:f>'T energie vecteurs'!$Z$47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CC-4F25-BB18-D2DE93E1EAE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vecteurs'!$AA$47:$AC$47</c:f>
              <c:numCache>
                <c:formatCode>0</c:formatCode>
                <c:ptCount val="3"/>
                <c:pt idx="0">
                  <c:v>63.03237601</c:v>
                </c:pt>
                <c:pt idx="1">
                  <c:v>46.585679248000005</c:v>
                </c:pt>
                <c:pt idx="2">
                  <c:v>18.52751657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CC-4F25-BB18-D2DE93E1EAE8}"/>
            </c:ext>
          </c:extLst>
        </c:ser>
        <c:ser>
          <c:idx val="1"/>
          <c:order val="2"/>
          <c:tx>
            <c:strRef>
              <c:f>'T energie vecteurs'!$Z$45</c:f>
              <c:strCache>
                <c:ptCount val="1"/>
                <c:pt idx="0">
                  <c:v>chaleur (bois…)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vecteurs'!$AA$45:$AC$45</c:f>
              <c:numCache>
                <c:formatCode>0</c:formatCode>
                <c:ptCount val="3"/>
                <c:pt idx="0">
                  <c:v>12.4575224875</c:v>
                </c:pt>
                <c:pt idx="1">
                  <c:v>16.193911485099999</c:v>
                </c:pt>
                <c:pt idx="2">
                  <c:v>16.286289716999999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C-4F25-BB18-D2DE93E1EAE8}"/>
            </c:ext>
          </c:extLst>
        </c:ser>
        <c:ser>
          <c:idx val="2"/>
          <c:order val="3"/>
          <c:tx>
            <c:strRef>
              <c:f>'T energie vecteurs'!$Z$46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vecteurs'!$AA$46:$AC$46</c:f>
              <c:numCache>
                <c:formatCode>0</c:formatCode>
                <c:ptCount val="3"/>
                <c:pt idx="0">
                  <c:v>28.423155205800001</c:v>
                </c:pt>
                <c:pt idx="1">
                  <c:v>19.860936693999999</c:v>
                </c:pt>
                <c:pt idx="2">
                  <c:v>14.469944475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C-4F25-BB18-D2DE93E1EAE8}"/>
            </c:ext>
          </c:extLst>
        </c:ser>
        <c:ser>
          <c:idx val="4"/>
          <c:order val="4"/>
          <c:tx>
            <c:strRef>
              <c:f>'T energie vecteurs'!$Z$44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vecteurs'!$AA$44:$AC$44</c:f>
              <c:numCache>
                <c:formatCode>0</c:formatCode>
                <c:ptCount val="3"/>
                <c:pt idx="0">
                  <c:v>37.907255880499996</c:v>
                </c:pt>
                <c:pt idx="1">
                  <c:v>41.575873842399993</c:v>
                </c:pt>
                <c:pt idx="2">
                  <c:v>41.893538645120003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CC-4F25-BB18-D2DE93E1E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11088"/>
        <c:axId val="231610696"/>
      </c:barChart>
      <c:catAx>
        <c:axId val="2316110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0696"/>
        <c:crosses val="autoZero"/>
        <c:auto val="1"/>
        <c:lblAlgn val="ctr"/>
        <c:lblOffset val="100"/>
        <c:noMultiLvlLbl val="0"/>
      </c:catAx>
      <c:valAx>
        <c:axId val="231610696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SNBC3 : Ventilation du mix énergie (Mtep)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0739596005"/>
          <c:y val="0.24874563404511155"/>
          <c:w val="0.1834512958142259"/>
          <c:h val="0.23607401739359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8.6413757786278286E-3</c:v>
                </c:pt>
                <c:pt idx="1">
                  <c:v>9.4212087395873531E-4</c:v>
                </c:pt>
                <c:pt idx="2">
                  <c:v>3.4818941516412492E-4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0.69408091297725882</c:v>
                </c:pt>
                <c:pt idx="1">
                  <c:v>0.62114143572524527</c:v>
                </c:pt>
                <c:pt idx="2">
                  <c:v>0.32025252685506506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0.10258601324925838</c:v>
                </c:pt>
                <c:pt idx="1">
                  <c:v>0.10094479365386042</c:v>
                </c:pt>
                <c:pt idx="2">
                  <c:v>8.5931446887200238E-2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3.6998234280563307E-2</c:v>
                </c:pt>
                <c:pt idx="1">
                  <c:v>8.7555323859186213E-2</c:v>
                </c:pt>
                <c:pt idx="2">
                  <c:v>0.19408802049113005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8.395235706410159E-2</c:v>
                </c:pt>
                <c:pt idx="1">
                  <c:v>0.12657892134627979</c:v>
                </c:pt>
                <c:pt idx="2">
                  <c:v>0.37324050714492252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7.3741106650190208E-2</c:v>
                </c:pt>
                <c:pt idx="1">
                  <c:v>6.2837404541469771E-2</c:v>
                </c:pt>
                <c:pt idx="2">
                  <c:v>2.6139309206517934E-2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SNBC3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6046167306E-2"/>
              <c:y val="2.402380831726580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0.95161573824353118</c:v>
                </c:pt>
                <c:pt idx="1">
                  <c:v>0.91402602081471307</c:v>
                </c:pt>
                <c:pt idx="2">
                  <c:v>0.33469665978012941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4.8384261756468733E-2</c:v>
                </c:pt>
                <c:pt idx="1">
                  <c:v>8.5973979185286806E-2</c:v>
                </c:pt>
                <c:pt idx="2">
                  <c:v>0.66530334021987059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SNBC3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0.98439656250022867</c:v>
                </c:pt>
                <c:pt idx="1">
                  <c:v>0.84666299727343575</c:v>
                </c:pt>
                <c:pt idx="2">
                  <c:v>0.35527849570411013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1.5603437499771316E-2</c:v>
                </c:pt>
                <c:pt idx="1">
                  <c:v>0.15333700272656434</c:v>
                </c:pt>
                <c:pt idx="2">
                  <c:v>0.64472150429588981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SNBC3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127.26205043469389</c:v>
                </c:pt>
                <c:pt idx="1">
                  <c:v>98.161612380695672</c:v>
                </c:pt>
                <c:pt idx="2">
                  <c:v>10.373317218891595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51.613850941668382</c:v>
                </c:pt>
                <c:pt idx="1">
                  <c:v>32.36485217114847</c:v>
                </c:pt>
                <c:pt idx="2">
                  <c:v>6.5909479695022171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28.815437425455819</c:v>
                </c:pt>
                <c:pt idx="1">
                  <c:v>20.884948974402011</c:v>
                </c:pt>
                <c:pt idx="2">
                  <c:v>4.7229453918083886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96.337330564536856</c:v>
                </c:pt>
                <c:pt idx="1">
                  <c:v>66.415689664938228</c:v>
                </c:pt>
                <c:pt idx="2">
                  <c:v>41.144149920442267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Graphs'!$B$9</c:f>
              <c:strCache>
                <c:ptCount val="1"/>
                <c:pt idx="0">
                  <c:v>SNBC3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677304466662714E-2"/>
          <c:y val="0.18782278038184441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auto'!$I$5:$AM$5</c:f>
              <c:numCache>
                <c:formatCode>#\ ##0.0</c:formatCode>
                <c:ptCount val="31"/>
                <c:pt idx="0">
                  <c:v>37.179433070000002</c:v>
                </c:pt>
                <c:pt idx="1">
                  <c:v>37.014380270000004</c:v>
                </c:pt>
                <c:pt idx="2">
                  <c:v>36.687539709999996</c:v>
                </c:pt>
                <c:pt idx="3">
                  <c:v>36.318101560000002</c:v>
                </c:pt>
                <c:pt idx="4">
                  <c:v>36.456715470000006</c:v>
                </c:pt>
                <c:pt idx="5">
                  <c:v>36.762837140000002</c:v>
                </c:pt>
                <c:pt idx="6">
                  <c:v>36.638108729999999</c:v>
                </c:pt>
                <c:pt idx="7">
                  <c:v>36.31389282</c:v>
                </c:pt>
                <c:pt idx="8">
                  <c:v>35.896839469999996</c:v>
                </c:pt>
                <c:pt idx="9">
                  <c:v>35.414428579999999</c:v>
                </c:pt>
                <c:pt idx="10">
                  <c:v>34.893727730000002</c:v>
                </c:pt>
                <c:pt idx="11">
                  <c:v>34.353449429999998</c:v>
                </c:pt>
                <c:pt idx="12">
                  <c:v>33.817743499999999</c:v>
                </c:pt>
                <c:pt idx="13">
                  <c:v>33.291168519999999</c:v>
                </c:pt>
                <c:pt idx="14">
                  <c:v>32.777907620000001</c:v>
                </c:pt>
                <c:pt idx="15">
                  <c:v>32.278396199999996</c:v>
                </c:pt>
                <c:pt idx="16">
                  <c:v>31.834171080000001</c:v>
                </c:pt>
                <c:pt idx="17">
                  <c:v>31.428593920000001</c:v>
                </c:pt>
                <c:pt idx="18">
                  <c:v>31.044272400000001</c:v>
                </c:pt>
                <c:pt idx="19">
                  <c:v>30.670348720000003</c:v>
                </c:pt>
                <c:pt idx="20">
                  <c:v>30.30493577</c:v>
                </c:pt>
                <c:pt idx="21">
                  <c:v>29.947084159999999</c:v>
                </c:pt>
                <c:pt idx="22">
                  <c:v>29.598847989999999</c:v>
                </c:pt>
                <c:pt idx="23">
                  <c:v>29.258144390000002</c:v>
                </c:pt>
                <c:pt idx="24">
                  <c:v>28.922241699999997</c:v>
                </c:pt>
                <c:pt idx="25">
                  <c:v>28.518344079999999</c:v>
                </c:pt>
                <c:pt idx="26">
                  <c:v>28.142938450000003</c:v>
                </c:pt>
                <c:pt idx="27">
                  <c:v>27.7846799</c:v>
                </c:pt>
                <c:pt idx="28">
                  <c:v>27.440714879999998</c:v>
                </c:pt>
                <c:pt idx="29">
                  <c:v>27.106677769999997</c:v>
                </c:pt>
                <c:pt idx="30">
                  <c:v>26.764013500000001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5D2-B2A5-76AA1C492B9B}"/>
            </c:ext>
          </c:extLst>
        </c:ser>
        <c:ser>
          <c:idx val="2"/>
          <c:order val="1"/>
          <c:tx>
            <c:strRef>
              <c:f>'[6]T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'[6]T parc auto'!$I$5:$AM$5</c:f>
              <c:numCache>
                <c:formatCode>General</c:formatCode>
                <c:ptCount val="31"/>
                <c:pt idx="0">
                  <c:v>34.664492700000004</c:v>
                </c:pt>
                <c:pt idx="1">
                  <c:v>34.956187980000003</c:v>
                </c:pt>
                <c:pt idx="2">
                  <c:v>35.116030049999999</c:v>
                </c:pt>
                <c:pt idx="3">
                  <c:v>35.22984451</c:v>
                </c:pt>
                <c:pt idx="4">
                  <c:v>35.293663940000002</c:v>
                </c:pt>
                <c:pt idx="5">
                  <c:v>35.310390290000001</c:v>
                </c:pt>
                <c:pt idx="6">
                  <c:v>35.378433780000002</c:v>
                </c:pt>
                <c:pt idx="7">
                  <c:v>35.496856720000004</c:v>
                </c:pt>
                <c:pt idx="8">
                  <c:v>35.653829440000003</c:v>
                </c:pt>
                <c:pt idx="9">
                  <c:v>35.834650719999999</c:v>
                </c:pt>
                <c:pt idx="10">
                  <c:v>36.029956510000005</c:v>
                </c:pt>
                <c:pt idx="11">
                  <c:v>36.22702245</c:v>
                </c:pt>
                <c:pt idx="12">
                  <c:v>36.422585409999996</c:v>
                </c:pt>
                <c:pt idx="13">
                  <c:v>36.615497920000003</c:v>
                </c:pt>
                <c:pt idx="14">
                  <c:v>36.806113070000002</c:v>
                </c:pt>
                <c:pt idx="15">
                  <c:v>36.99621071</c:v>
                </c:pt>
                <c:pt idx="16">
                  <c:v>37.184294620000003</c:v>
                </c:pt>
                <c:pt idx="17">
                  <c:v>37.372872549999997</c:v>
                </c:pt>
                <c:pt idx="18">
                  <c:v>37.563526299999999</c:v>
                </c:pt>
                <c:pt idx="19">
                  <c:v>37.757729379999994</c:v>
                </c:pt>
                <c:pt idx="20">
                  <c:v>37.955981359999996</c:v>
                </c:pt>
                <c:pt idx="21">
                  <c:v>38.166927919999999</c:v>
                </c:pt>
                <c:pt idx="22">
                  <c:v>38.388725370000003</c:v>
                </c:pt>
                <c:pt idx="23">
                  <c:v>38.617999920000003</c:v>
                </c:pt>
                <c:pt idx="24">
                  <c:v>38.852641049999995</c:v>
                </c:pt>
                <c:pt idx="25">
                  <c:v>39.090289320000004</c:v>
                </c:pt>
                <c:pt idx="26">
                  <c:v>39.328744280000002</c:v>
                </c:pt>
                <c:pt idx="27">
                  <c:v>39.56777889</c:v>
                </c:pt>
                <c:pt idx="28">
                  <c:v>39.807161919999999</c:v>
                </c:pt>
                <c:pt idx="29">
                  <c:v>40.046711999999999</c:v>
                </c:pt>
                <c:pt idx="30">
                  <c:v>40.288447350000006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3-45D2-B2A5-76AA1C492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chemeClr val="tx1"/>
                    </a:solidFill>
                  </a:rPr>
                  <a:t>Parc auto</a:t>
                </a:r>
                <a:br>
                  <a:rPr lang="fr-FR" b="1">
                    <a:solidFill>
                      <a:schemeClr val="tx1"/>
                    </a:solidFill>
                  </a:rPr>
                </a:br>
                <a:r>
                  <a:rPr lang="fr-FR" b="1">
                    <a:solidFill>
                      <a:schemeClr val="tx1"/>
                    </a:solidFill>
                  </a:rPr>
                  <a:t>(millions de</a:t>
                </a:r>
                <a:r>
                  <a:rPr lang="fr-FR" b="1" baseline="0">
                    <a:solidFill>
                      <a:schemeClr val="tx1"/>
                    </a:solidFill>
                  </a:rPr>
                  <a:t> véhicules)</a:t>
                </a:r>
              </a:p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fr-FR" b="1" baseline="0">
                    <a:solidFill>
                      <a:schemeClr val="tx1"/>
                    </a:solidFill>
                  </a:rPr>
                  <a:t>(actualiser TEND)</a:t>
                </a:r>
                <a:endParaRPr lang="fr-FR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417526627996E-2"/>
              <c:y val="3.879238910236656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835039786960974E-2"/>
          <c:y val="0.19199059976233585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auto'!$I$6:$AM$6</c:f>
              <c:numCache>
                <c:formatCode>0%</c:formatCode>
                <c:ptCount val="31"/>
                <c:pt idx="0">
                  <c:v>1.5951466142138247E-2</c:v>
                </c:pt>
                <c:pt idx="1">
                  <c:v>1.9448259140068536E-2</c:v>
                </c:pt>
                <c:pt idx="2">
                  <c:v>2.3879797602268819E-2</c:v>
                </c:pt>
                <c:pt idx="3">
                  <c:v>2.9477042879881187E-2</c:v>
                </c:pt>
                <c:pt idx="4">
                  <c:v>3.7894931323060294E-2</c:v>
                </c:pt>
                <c:pt idx="5">
                  <c:v>4.8268413132599698E-2</c:v>
                </c:pt>
                <c:pt idx="6">
                  <c:v>5.8860316068503567E-2</c:v>
                </c:pt>
                <c:pt idx="7">
                  <c:v>7.1679066821677087E-2</c:v>
                </c:pt>
                <c:pt idx="8">
                  <c:v>8.8515247774263187E-2</c:v>
                </c:pt>
                <c:pt idx="9">
                  <c:v>0.1097141473064536</c:v>
                </c:pt>
                <c:pt idx="10">
                  <c:v>0.13521449440735922</c:v>
                </c:pt>
                <c:pt idx="11">
                  <c:v>0.16434654090571771</c:v>
                </c:pt>
                <c:pt idx="12">
                  <c:v>0.19620689875419989</c:v>
                </c:pt>
                <c:pt idx="13">
                  <c:v>0.22950910591828033</c:v>
                </c:pt>
                <c:pt idx="14">
                  <c:v>0.26322215441645697</c:v>
                </c:pt>
                <c:pt idx="15">
                  <c:v>0.29660884015668659</c:v>
                </c:pt>
                <c:pt idx="16">
                  <c:v>0.33009946335942097</c:v>
                </c:pt>
                <c:pt idx="17">
                  <c:v>0.36306100454397933</c:v>
                </c:pt>
                <c:pt idx="18">
                  <c:v>0.39500193021112645</c:v>
                </c:pt>
                <c:pt idx="19">
                  <c:v>0.4256686058312284</c:v>
                </c:pt>
                <c:pt idx="20">
                  <c:v>0.45503566596075973</c:v>
                </c:pt>
                <c:pt idx="21">
                  <c:v>0.48297273994103607</c:v>
                </c:pt>
                <c:pt idx="22">
                  <c:v>0.50957509106758991</c:v>
                </c:pt>
                <c:pt idx="23">
                  <c:v>0.53486814240169933</c:v>
                </c:pt>
                <c:pt idx="24">
                  <c:v>0.55887219246909203</c:v>
                </c:pt>
                <c:pt idx="25">
                  <c:v>0.58244846381697779</c:v>
                </c:pt>
                <c:pt idx="26">
                  <c:v>0.60508613271689116</c:v>
                </c:pt>
                <c:pt idx="27">
                  <c:v>0.62666083333211275</c:v>
                </c:pt>
                <c:pt idx="28">
                  <c:v>0.64718219542245403</c:v>
                </c:pt>
                <c:pt idx="29">
                  <c:v>0.66664536588837764</c:v>
                </c:pt>
                <c:pt idx="30">
                  <c:v>0.68488550680188531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F-413C-A382-BDDA928D9525}"/>
            </c:ext>
          </c:extLst>
        </c:ser>
        <c:ser>
          <c:idx val="2"/>
          <c:order val="1"/>
          <c:tx>
            <c:strRef>
              <c:f>'[6]T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'[6]T parc auto'!$I$6:$AM$6</c:f>
              <c:numCache>
                <c:formatCode>General</c:formatCode>
                <c:ptCount val="31"/>
                <c:pt idx="0">
                  <c:v>8.5699726798540449E-3</c:v>
                </c:pt>
                <c:pt idx="1">
                  <c:v>1.3125767536852568E-2</c:v>
                </c:pt>
                <c:pt idx="2">
                  <c:v>2.093814652035246E-2</c:v>
                </c:pt>
                <c:pt idx="3">
                  <c:v>2.9339596650975963E-2</c:v>
                </c:pt>
                <c:pt idx="4">
                  <c:v>3.8422705171822412E-2</c:v>
                </c:pt>
                <c:pt idx="5">
                  <c:v>4.8298948326351107E-2</c:v>
                </c:pt>
                <c:pt idx="6">
                  <c:v>5.9426982864022086E-2</c:v>
                </c:pt>
                <c:pt idx="7">
                  <c:v>7.1945526561541698E-2</c:v>
                </c:pt>
                <c:pt idx="8">
                  <c:v>8.5942049539349558E-2</c:v>
                </c:pt>
                <c:pt idx="9">
                  <c:v>0.10147172535354351</c:v>
                </c:pt>
                <c:pt idx="10">
                  <c:v>0.11859008108472456</c:v>
                </c:pt>
                <c:pt idx="11">
                  <c:v>0.13730358074183932</c:v>
                </c:pt>
                <c:pt idx="12">
                  <c:v>0.15763780877629907</c:v>
                </c:pt>
                <c:pt idx="13">
                  <c:v>0.17959577390884213</c:v>
                </c:pt>
                <c:pt idx="14">
                  <c:v>0.20315166958215294</c:v>
                </c:pt>
                <c:pt idx="15">
                  <c:v>0.22824904180571959</c:v>
                </c:pt>
                <c:pt idx="16">
                  <c:v>0.2547637951132391</c:v>
                </c:pt>
                <c:pt idx="17">
                  <c:v>0.28256330245612871</c:v>
                </c:pt>
                <c:pt idx="18">
                  <c:v>0.31147078409409074</c:v>
                </c:pt>
                <c:pt idx="19">
                  <c:v>0.34127816401018973</c:v>
                </c:pt>
                <c:pt idx="20">
                  <c:v>0.3717464103001657</c:v>
                </c:pt>
                <c:pt idx="21">
                  <c:v>0.40269710709271045</c:v>
                </c:pt>
                <c:pt idx="22">
                  <c:v>0.43384849821076515</c:v>
                </c:pt>
                <c:pt idx="23">
                  <c:v>0.464913357170052</c:v>
                </c:pt>
                <c:pt idx="24">
                  <c:v>0.49563467577965337</c:v>
                </c:pt>
                <c:pt idx="25">
                  <c:v>0.52577836510113596</c:v>
                </c:pt>
                <c:pt idx="26">
                  <c:v>0.55514202702634574</c:v>
                </c:pt>
                <c:pt idx="27">
                  <c:v>0.58357173153926301</c:v>
                </c:pt>
                <c:pt idx="28">
                  <c:v>0.61094374421556352</c:v>
                </c:pt>
                <c:pt idx="29">
                  <c:v>0.63716406480512056</c:v>
                </c:pt>
                <c:pt idx="30">
                  <c:v>0.66218106938290833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F-413C-A382-BDDA928D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ysClr val="windowText" lastClr="000000"/>
                    </a:solidFill>
                  </a:rPr>
                  <a:t>Pénétration véhicule</a:t>
                </a:r>
                <a:r>
                  <a:rPr lang="fr-FR" b="1" baseline="0">
                    <a:solidFill>
                      <a:sysClr val="windowText" lastClr="000000"/>
                    </a:solidFill>
                  </a:rPr>
                  <a:t> elec (% du parc)</a:t>
                </a:r>
              </a:p>
              <a:p>
                <a:pPr>
                  <a:defRPr/>
                </a:pPr>
                <a:r>
                  <a:rPr lang="fr-FR" b="1" baseline="0">
                    <a:solidFill>
                      <a:sysClr val="windowText" lastClr="000000"/>
                    </a:solidFill>
                  </a:rPr>
                  <a:t>(actualiser TEND)</a:t>
                </a:r>
                <a:endParaRPr lang="fr-FR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388951702174E-2"/>
              <c:y val="3.654170667887090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SNBC3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0%</c:formatCode>
                <c:ptCount val="3"/>
                <c:pt idx="0">
                  <c:v>0.1240818263773488</c:v>
                </c:pt>
                <c:pt idx="1">
                  <c:v>7.7220087642954738E-2</c:v>
                </c:pt>
                <c:pt idx="2">
                  <c:v>2.7377644492669231E-2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0%</c:formatCode>
                <c:ptCount val="3"/>
                <c:pt idx="0">
                  <c:v>0.7196255960553839</c:v>
                </c:pt>
                <c:pt idx="1">
                  <c:v>0.62688873075585261</c:v>
                </c:pt>
                <c:pt idx="2">
                  <c:v>0.22804414547167973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0%</c:formatCode>
                <c:ptCount val="3"/>
                <c:pt idx="0">
                  <c:v>0.1403411114439567</c:v>
                </c:pt>
                <c:pt idx="1">
                  <c:v>0.16067668713651653</c:v>
                </c:pt>
                <c:pt idx="2">
                  <c:v>5.9692703144093091E-2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0%</c:formatCode>
                <c:ptCount val="3"/>
                <c:pt idx="0">
                  <c:v>1.5951466142138247E-2</c:v>
                </c:pt>
                <c:pt idx="1">
                  <c:v>0.13521449440735922</c:v>
                </c:pt>
                <c:pt idx="2">
                  <c:v>0.68488550680188531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Graphs'!$B$11</c:f>
          <c:strCache>
            <c:ptCount val="1"/>
            <c:pt idx="0">
              <c:v>SNBC3 : Ventilation du parc de logements (%)</c:v>
            </c:pt>
          </c:strCache>
        </c:strRef>
      </c:tx>
      <c:layout>
        <c:manualLayout>
          <c:xMode val="edge"/>
          <c:yMode val="edge"/>
          <c:x val="3.4237370593317988E-2"/>
          <c:y val="1.2537313727519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0.17326769180556589</c:v>
                </c:pt>
                <c:pt idx="1">
                  <c:v>0.11020076656341758</c:v>
                </c:pt>
                <c:pt idx="2">
                  <c:v>5.4435305764755894E-2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0.76105898760692636</c:v>
                </c:pt>
                <c:pt idx="1">
                  <c:v>0.69807162733461547</c:v>
                </c:pt>
                <c:pt idx="2">
                  <c:v>0.47461823623721455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6.5673320446974909E-2</c:v>
                </c:pt>
                <c:pt idx="1">
                  <c:v>0.19172760596977431</c:v>
                </c:pt>
                <c:pt idx="2">
                  <c:v>0.47114448456675329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Callonnecg/Github/ThreeME/data/shocks/Bilan%20S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https://ademecloud-my.sharepoint.com/Users/alma.monserand/Documents/GitHub/ThreeME/data/shocks/Bilan%20&#233;nergie%20-%20AMErun2%20-%20AMSrun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/Users/alma.monserand/Documents/GitHub/ThreeME/data/shocks/Bilan%20&#233;nergie%20-%20AMErun2%20-%20AMSrun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1_Transports\Transports_AMS_run2-vf10.xlsx" TargetMode="External"/><Relationship Id="rId1" Type="http://schemas.openxmlformats.org/officeDocument/2006/relationships/externalLinkPath" Target="/Users/callonnecg/Documents/Github/ThreeME/data/calibrations/Documents%20MTE/AMS-run2/001_Transports/Transports_AMS_run2-vf10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esktop\Temporaire\reporting%202%20-%20energie%20SNBC3%20-%20template%20parts%20modales%20voyageurs.xlsx" TargetMode="External"/><Relationship Id="rId1" Type="http://schemas.openxmlformats.org/officeDocument/2006/relationships/externalLinkPath" Target="https://ademecloud-my.sharepoint.com/Users/alma.monserand/Desktop/Temporaire/reporting%202%20-%20energie%20SNBC3%20-%20template%20parts%20modales%20voyageur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Github\ThreeME\results\reporting%201%20-%20energie%20TEND.xlsx" TargetMode="External"/><Relationship Id="rId1" Type="http://schemas.openxmlformats.org/officeDocument/2006/relationships/externalLinkPath" Target="https://ademecloud-my.sharepoint.com/Users/alma.monserand/Documents/GitHub/ThreeME/results/reporting%201%20-%20energie%20TE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>
        <row r="4">
          <cell r="H4">
            <v>10.400607231191495</v>
          </cell>
          <cell r="AJ4">
            <v>9.6821026074859624</v>
          </cell>
        </row>
        <row r="5">
          <cell r="H5">
            <v>3.4968412155770827</v>
          </cell>
          <cell r="AJ5">
            <v>3.4968412155770827</v>
          </cell>
        </row>
        <row r="8">
          <cell r="AJ8">
            <v>0.62105913154569725</v>
          </cell>
        </row>
        <row r="9">
          <cell r="AJ9">
            <v>0.01</v>
          </cell>
        </row>
        <row r="10">
          <cell r="H10">
            <v>2.6577034315641361</v>
          </cell>
          <cell r="AJ10">
            <v>1.0959867027277013</v>
          </cell>
        </row>
        <row r="11">
          <cell r="H11">
            <v>0</v>
          </cell>
          <cell r="AJ11">
            <v>0.01</v>
          </cell>
        </row>
        <row r="12">
          <cell r="H12">
            <v>2.2929206076239605</v>
          </cell>
          <cell r="AJ12">
            <v>12.585580636323101</v>
          </cell>
        </row>
        <row r="13">
          <cell r="H13">
            <v>0</v>
          </cell>
          <cell r="AJ13">
            <v>7.4283543184877532</v>
          </cell>
        </row>
        <row r="14">
          <cell r="H14">
            <v>17.773000859845226</v>
          </cell>
          <cell r="AJ14">
            <v>3.8663975346227235</v>
          </cell>
        </row>
        <row r="15">
          <cell r="AJ15">
            <v>0.31052956577284868</v>
          </cell>
        </row>
        <row r="17">
          <cell r="H17">
            <v>10.490111779879621</v>
          </cell>
          <cell r="AJ17">
            <v>1.3970598106217755</v>
          </cell>
        </row>
        <row r="18">
          <cell r="H18">
            <v>5.4600171969045563</v>
          </cell>
          <cell r="AJ18">
            <v>10.432652801530878</v>
          </cell>
        </row>
        <row r="19">
          <cell r="H19">
            <v>1.1621270136304822</v>
          </cell>
          <cell r="AJ19">
            <v>12.301085039507219</v>
          </cell>
        </row>
        <row r="20">
          <cell r="AJ20">
            <v>0.69912973511411425</v>
          </cell>
        </row>
        <row r="21">
          <cell r="AJ21">
            <v>0.94296387002405035</v>
          </cell>
        </row>
        <row r="22">
          <cell r="AJ22">
            <v>6.7613203915324087</v>
          </cell>
        </row>
        <row r="28">
          <cell r="H28">
            <v>5.438782729559458</v>
          </cell>
        </row>
        <row r="29">
          <cell r="H29">
            <v>11.911185835668668</v>
          </cell>
        </row>
        <row r="30">
          <cell r="H30">
            <v>12.325609312525271</v>
          </cell>
        </row>
        <row r="31">
          <cell r="H31">
            <v>0.79152054400721716</v>
          </cell>
        </row>
        <row r="32">
          <cell r="H32">
            <v>0.25795356835769562</v>
          </cell>
        </row>
        <row r="33">
          <cell r="H33">
            <v>7.4811633429693902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  <sheetName val="Bilan 2022 ré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1.2504899941046146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9" refreshError="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22.254054739303911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13">
          <cell r="L13">
            <v>60.64963620940091</v>
          </cell>
          <cell r="T13">
            <v>7.3122587409445634</v>
          </cell>
          <cell r="U13">
            <v>128.0707707310485</v>
          </cell>
          <cell r="V13">
            <v>168.01959458902522</v>
          </cell>
          <cell r="W13">
            <v>127.92853513720873</v>
          </cell>
          <cell r="X13">
            <v>16.304325769708704</v>
          </cell>
        </row>
        <row r="22">
          <cell r="T22">
            <v>2.893035141697446</v>
          </cell>
          <cell r="U22">
            <v>108.65207410895239</v>
          </cell>
          <cell r="V22">
            <v>114.1719455581988</v>
          </cell>
          <cell r="W22">
            <v>64.071431869588679</v>
          </cell>
          <cell r="X22">
            <v>4.2921454750670778</v>
          </cell>
        </row>
        <row r="30">
          <cell r="T30">
            <v>0</v>
          </cell>
          <cell r="U30">
            <v>25.280585756064298</v>
          </cell>
          <cell r="V30">
            <v>23.209710288069441</v>
          </cell>
          <cell r="W30">
            <v>13.960757550169284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1.3784255803477652</v>
          </cell>
          <cell r="U37">
            <v>18.096562918466454</v>
          </cell>
          <cell r="V37">
            <v>70.323676853398695</v>
          </cell>
          <cell r="W37">
            <v>0.46648924043058942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0.36066131262685786</v>
          </cell>
          <cell r="U39">
            <v>4.7991131198633983E-4</v>
          </cell>
          <cell r="V39">
            <v>1.4653773673998376</v>
          </cell>
          <cell r="W39">
            <v>1.9742667541400529</v>
          </cell>
          <cell r="X39">
            <v>0</v>
          </cell>
        </row>
        <row r="40">
          <cell r="T40">
            <v>0.25</v>
          </cell>
          <cell r="U40">
            <v>2.4387543945312502</v>
          </cell>
          <cell r="V40">
            <v>51.588449054022554</v>
          </cell>
          <cell r="W40">
            <v>19.376355841859095</v>
          </cell>
          <cell r="X40">
            <v>0</v>
          </cell>
        </row>
        <row r="41">
          <cell r="T41">
            <v>2.687574286548855</v>
          </cell>
          <cell r="U41">
            <v>0.8476478513209047</v>
          </cell>
          <cell r="V41">
            <v>0</v>
          </cell>
          <cell r="W41">
            <v>0</v>
          </cell>
          <cell r="X41">
            <v>42.098104263639655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405.6747609386457</v>
          </cell>
        </row>
        <row r="43">
          <cell r="T43">
            <v>34.907892644785463</v>
          </cell>
          <cell r="U43">
            <v>21.669942218787114</v>
          </cell>
          <cell r="V43">
            <v>24.373858785220854</v>
          </cell>
          <cell r="W43">
            <v>18.955073126944075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6.3079973787187962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37.871878906250004</v>
          </cell>
        </row>
        <row r="53">
          <cell r="E53">
            <v>13.481059545005067</v>
          </cell>
        </row>
        <row r="54">
          <cell r="E54">
            <v>134.79719064700697</v>
          </cell>
        </row>
        <row r="55">
          <cell r="E55">
            <v>0.85849251597945853</v>
          </cell>
        </row>
        <row r="56">
          <cell r="E56">
            <v>1.2788535468039099</v>
          </cell>
        </row>
        <row r="57">
          <cell r="E57">
            <v>0.36066305637359619</v>
          </cell>
        </row>
      </sheetData>
      <sheetData sheetId="23" refreshError="1"/>
      <sheetData sheetId="24" refreshError="1">
        <row r="13">
          <cell r="L13">
            <v>60.040984503318555</v>
          </cell>
          <cell r="T13">
            <v>6.8477994877191097</v>
          </cell>
          <cell r="U13">
            <v>150.98087036591164</v>
          </cell>
          <cell r="V13">
            <v>168.99529037460601</v>
          </cell>
          <cell r="W13">
            <v>120.41840773999139</v>
          </cell>
          <cell r="X13">
            <v>33.627467612150312</v>
          </cell>
        </row>
        <row r="22">
          <cell r="T22">
            <v>2.4312392278746091</v>
          </cell>
          <cell r="U22">
            <v>98.251995508081279</v>
          </cell>
          <cell r="V22">
            <v>75.312934912361044</v>
          </cell>
          <cell r="W22">
            <v>50.621968033343542</v>
          </cell>
          <cell r="X22">
            <v>7.5907588452297716</v>
          </cell>
        </row>
        <row r="30">
          <cell r="T30">
            <v>0</v>
          </cell>
          <cell r="U30">
            <v>26.694598475411762</v>
          </cell>
          <cell r="V30">
            <v>26.200174165432053</v>
          </cell>
          <cell r="W30">
            <v>18.232180099567369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2.2700672066089305</v>
          </cell>
          <cell r="U37">
            <v>21.324114250752451</v>
          </cell>
          <cell r="V37">
            <v>59.781394249240854</v>
          </cell>
          <cell r="W37">
            <v>0.65520868022421808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0.62518456969816016</v>
          </cell>
          <cell r="U39">
            <v>5.5791983277925228E-4</v>
          </cell>
          <cell r="V39">
            <v>1.8312707461125663</v>
          </cell>
          <cell r="W39">
            <v>2.5023556054496878</v>
          </cell>
          <cell r="X39">
            <v>0</v>
          </cell>
        </row>
        <row r="40">
          <cell r="T40">
            <v>0.5</v>
          </cell>
          <cell r="U40">
            <v>5.4360292968749997</v>
          </cell>
          <cell r="V40">
            <v>71.261229807028784</v>
          </cell>
          <cell r="W40">
            <v>30.500312120088047</v>
          </cell>
          <cell r="X40">
            <v>0</v>
          </cell>
        </row>
        <row r="41">
          <cell r="T41">
            <v>4.4101434474454244</v>
          </cell>
          <cell r="U41">
            <v>1.0929506417768975</v>
          </cell>
          <cell r="V41">
            <v>0</v>
          </cell>
          <cell r="W41">
            <v>0</v>
          </cell>
          <cell r="X41">
            <v>37.967259624706756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316.65258451410631</v>
          </cell>
        </row>
        <row r="43">
          <cell r="T43">
            <v>30.67679188462478</v>
          </cell>
          <cell r="U43">
            <v>12.950442965803651</v>
          </cell>
          <cell r="V43">
            <v>7.2864711080849975</v>
          </cell>
          <cell r="W43">
            <v>3.924731163958576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3.3758020597581235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20.032589355468751</v>
          </cell>
        </row>
        <row r="53">
          <cell r="E53">
            <v>13.544705953911897</v>
          </cell>
        </row>
        <row r="54">
          <cell r="E54">
            <v>126.95463683256074</v>
          </cell>
        </row>
        <row r="55">
          <cell r="E55">
            <v>2.0363529469545623</v>
          </cell>
        </row>
        <row r="56">
          <cell r="E56">
            <v>2.9522071662650609</v>
          </cell>
        </row>
        <row r="57">
          <cell r="E57">
            <v>1.1221461296081543</v>
          </cell>
        </row>
      </sheetData>
      <sheetData sheetId="25" refreshError="1"/>
      <sheetData sheetId="26" refreshError="1">
        <row r="13">
          <cell r="L13">
            <v>78.775924512815891</v>
          </cell>
          <cell r="T13">
            <v>6.8713820538899668</v>
          </cell>
          <cell r="U13">
            <v>163.03873271483607</v>
          </cell>
          <cell r="V13">
            <v>161.8990647634788</v>
          </cell>
          <cell r="W13">
            <v>118.84997058968706</v>
          </cell>
          <cell r="X13">
            <v>62.922987609450331</v>
          </cell>
        </row>
        <row r="22">
          <cell r="T22">
            <v>2.3133122988205677</v>
          </cell>
          <cell r="U22">
            <v>91.224472664234952</v>
          </cell>
          <cell r="V22">
            <v>50.249574150791091</v>
          </cell>
          <cell r="W22">
            <v>36.280546270763686</v>
          </cell>
          <cell r="X22">
            <v>10.301260187064024</v>
          </cell>
        </row>
        <row r="30">
          <cell r="T30">
            <v>0</v>
          </cell>
          <cell r="U30">
            <v>27.031662623925747</v>
          </cell>
          <cell r="V30">
            <v>25.454386166903632</v>
          </cell>
          <cell r="W30">
            <v>18.615976216598927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2.70050068143768</v>
          </cell>
          <cell r="U37">
            <v>21.686124483212218</v>
          </cell>
          <cell r="V37">
            <v>49.933380533226007</v>
          </cell>
          <cell r="W37">
            <v>0.59757790855029691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0.96290247555165809</v>
          </cell>
          <cell r="U39">
            <v>6.9244826847420892E-4</v>
          </cell>
          <cell r="V39">
            <v>2.3427124137087052</v>
          </cell>
          <cell r="W39">
            <v>2.8464095248186312</v>
          </cell>
          <cell r="X39">
            <v>0</v>
          </cell>
        </row>
        <row r="40">
          <cell r="T40">
            <v>0.75</v>
          </cell>
          <cell r="U40">
            <v>9.2526142578124997</v>
          </cell>
          <cell r="V40">
            <v>86.346993730736358</v>
          </cell>
          <cell r="W40">
            <v>38.891325575185007</v>
          </cell>
          <cell r="X40">
            <v>0</v>
          </cell>
        </row>
        <row r="41">
          <cell r="T41">
            <v>8.7092137788049975</v>
          </cell>
          <cell r="U41">
            <v>1.1432225445669904</v>
          </cell>
          <cell r="V41">
            <v>0</v>
          </cell>
          <cell r="W41">
            <v>0</v>
          </cell>
          <cell r="X41">
            <v>55.768281667489369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192.91287296266353</v>
          </cell>
        </row>
        <row r="43">
          <cell r="T43">
            <v>22.266407522057087</v>
          </cell>
          <cell r="U43">
            <v>9.7376785306283384</v>
          </cell>
          <cell r="V43">
            <v>3.0522332565861259</v>
          </cell>
          <cell r="W43">
            <v>2.064637318394833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3.6562282006850468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11.341361328125</v>
          </cell>
        </row>
        <row r="53">
          <cell r="E53">
            <v>11.111186214134182</v>
          </cell>
        </row>
        <row r="54">
          <cell r="E54">
            <v>104.6693916418363</v>
          </cell>
        </row>
        <row r="55">
          <cell r="E55">
            <v>4.7506049603028071</v>
          </cell>
        </row>
        <row r="56">
          <cell r="E56">
            <v>16.302515661537178</v>
          </cell>
        </row>
        <row r="57">
          <cell r="E57">
            <v>16.030988088411341</v>
          </cell>
        </row>
      </sheetData>
      <sheetData sheetId="27" refreshError="1"/>
      <sheetData sheetId="28" refreshError="1">
        <row r="13">
          <cell r="L13">
            <v>64.4982724362319</v>
          </cell>
          <cell r="T13">
            <v>6.8949646200608239</v>
          </cell>
          <cell r="U13">
            <v>177.15385275416003</v>
          </cell>
          <cell r="V13">
            <v>153.62760172238077</v>
          </cell>
          <cell r="W13">
            <v>116.64209363039593</v>
          </cell>
          <cell r="X13">
            <v>93.510067312183125</v>
          </cell>
        </row>
        <row r="22">
          <cell r="T22">
            <v>2.1953853697665267</v>
          </cell>
          <cell r="U22">
            <v>80.926569958454124</v>
          </cell>
          <cell r="V22">
            <v>35.31669341373469</v>
          </cell>
          <cell r="W22">
            <v>22.492374235292672</v>
          </cell>
          <cell r="X22">
            <v>12.628400711843788</v>
          </cell>
        </row>
        <row r="30">
          <cell r="T30">
            <v>0</v>
          </cell>
          <cell r="U30">
            <v>27.62245537234817</v>
          </cell>
          <cell r="V30">
            <v>23.742467864871486</v>
          </cell>
          <cell r="W30">
            <v>18.985143288462343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3.1309341562664299</v>
          </cell>
          <cell r="U37">
            <v>22.312304964799452</v>
          </cell>
          <cell r="V37">
            <v>42.672719714557346</v>
          </cell>
          <cell r="W37">
            <v>0.54085293774126075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1.300620381405156</v>
          </cell>
          <cell r="U39">
            <v>7.8820466826144567E-4</v>
          </cell>
          <cell r="V39">
            <v>2.7285855468891569</v>
          </cell>
          <cell r="W39">
            <v>3.1511646453296667</v>
          </cell>
          <cell r="X39">
            <v>0</v>
          </cell>
        </row>
        <row r="40">
          <cell r="T40">
            <v>1</v>
          </cell>
          <cell r="U40">
            <v>13.3040771484375</v>
          </cell>
          <cell r="V40">
            <v>97.294965653266104</v>
          </cell>
          <cell r="W40">
            <v>46.022009309639856</v>
          </cell>
          <cell r="X40">
            <v>0</v>
          </cell>
        </row>
        <row r="41">
          <cell r="T41">
            <v>14.856440343671846</v>
          </cell>
          <cell r="U41">
            <v>2.0803229791147206</v>
          </cell>
          <cell r="V41">
            <v>0</v>
          </cell>
          <cell r="W41">
            <v>0</v>
          </cell>
          <cell r="X41">
            <v>75.081695100664817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66.70797411064288</v>
          </cell>
        </row>
        <row r="43">
          <cell r="T43">
            <v>11.703228817007544</v>
          </cell>
          <cell r="U43">
            <v>5.9508631597557615</v>
          </cell>
          <cell r="V43">
            <v>0.70989784165710235</v>
          </cell>
          <cell r="W43">
            <v>0.74292942782649596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2.7829395451988024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10.5576943359375</v>
          </cell>
        </row>
        <row r="53">
          <cell r="E53">
            <v>8.9820116802829233</v>
          </cell>
        </row>
        <row r="54">
          <cell r="E54">
            <v>83.18009003150803</v>
          </cell>
        </row>
        <row r="55">
          <cell r="E55">
            <v>7.771086156633026</v>
          </cell>
        </row>
        <row r="56">
          <cell r="E56">
            <v>29.113845956766554</v>
          </cell>
        </row>
        <row r="57">
          <cell r="E57">
            <v>30.755676878666431</v>
          </cell>
        </row>
      </sheetData>
      <sheetData sheetId="29" refreshError="1"/>
      <sheetData sheetId="30" refreshError="1">
        <row r="13">
          <cell r="L13">
            <v>-76.400000000000006</v>
          </cell>
          <cell r="T13">
            <v>6.9303674525217573</v>
          </cell>
          <cell r="U13">
            <v>213.72427811943899</v>
          </cell>
          <cell r="V13">
            <v>133.64902180729109</v>
          </cell>
          <cell r="W13">
            <v>111.32761597349254</v>
          </cell>
          <cell r="X13">
            <v>117.90461095014412</v>
          </cell>
        </row>
        <row r="22">
          <cell r="T22">
            <v>1.9262770132702434</v>
          </cell>
          <cell r="U22">
            <v>61.251424631871934</v>
          </cell>
          <cell r="V22">
            <v>18.424388422101337</v>
          </cell>
          <cell r="W22">
            <v>6.3171748285877136</v>
          </cell>
          <cell r="X22">
            <v>14.813456281706959</v>
          </cell>
        </row>
        <row r="30">
          <cell r="T30">
            <v>0</v>
          </cell>
          <cell r="U30">
            <v>27.619750744869535</v>
          </cell>
          <cell r="V30">
            <v>20.977029614075306</v>
          </cell>
          <cell r="W30">
            <v>18.167862149010045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3.9918011059239289</v>
          </cell>
          <cell r="U37">
            <v>23.360019261656848</v>
          </cell>
          <cell r="V37">
            <v>30.406752837013876</v>
          </cell>
          <cell r="W37">
            <v>0.45236993281073634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2.1874070050904897</v>
          </cell>
          <cell r="U39">
            <v>8.5890570413253253E-4</v>
          </cell>
          <cell r="V39">
            <v>3.1166998128913419</v>
          </cell>
          <cell r="W39">
            <v>3.3575351400940563</v>
          </cell>
          <cell r="X39">
            <v>0</v>
          </cell>
        </row>
        <row r="40">
          <cell r="T40">
            <v>1.5</v>
          </cell>
          <cell r="U40">
            <v>22.01365625</v>
          </cell>
          <cell r="V40">
            <v>105.40020235475453</v>
          </cell>
          <cell r="W40">
            <v>52.288295873759658</v>
          </cell>
          <cell r="X40">
            <v>0</v>
          </cell>
        </row>
        <row r="41">
          <cell r="T41">
            <v>18.700816435906518</v>
          </cell>
          <cell r="U41">
            <v>1.3034813300305972</v>
          </cell>
          <cell r="V41">
            <v>0</v>
          </cell>
          <cell r="W41">
            <v>0</v>
          </cell>
          <cell r="X41">
            <v>24.115043444028551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2.548518600222561</v>
          </cell>
        </row>
        <row r="43">
          <cell r="T43">
            <v>0.14607036001340537</v>
          </cell>
          <cell r="U43">
            <v>1.525731430410463</v>
          </cell>
          <cell r="V43">
            <v>0.35613019618188829</v>
          </cell>
          <cell r="W43">
            <v>6.5854952123934399E-2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0.64129319091675452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0</v>
          </cell>
        </row>
        <row r="53">
          <cell r="E53">
            <v>3.2223770587889593</v>
          </cell>
        </row>
        <row r="54">
          <cell r="E54">
            <v>44.559074374942114</v>
          </cell>
        </row>
        <row r="55">
          <cell r="E55">
            <v>13.801033069140475</v>
          </cell>
        </row>
        <row r="56">
          <cell r="E56">
            <v>53.321417696630832</v>
          </cell>
        </row>
        <row r="57">
          <cell r="E57">
            <v>63.833639735754474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</sheetNames>
    <sheetDataSet>
      <sheetData sheetId="0"/>
      <sheetData sheetId="1"/>
      <sheetData sheetId="2">
        <row r="22">
          <cell r="D22">
            <v>0.95568230636841967</v>
          </cell>
        </row>
      </sheetData>
      <sheetData sheetId="3"/>
      <sheetData sheetId="4"/>
      <sheetData sheetId="5"/>
      <sheetData sheetId="6"/>
      <sheetData sheetId="7"/>
      <sheetData sheetId="8">
        <row r="13">
          <cell r="T13">
            <v>0.74651762682717104</v>
          </cell>
        </row>
      </sheetData>
      <sheetData sheetId="9">
        <row r="13">
          <cell r="L13">
            <v>45.039193999999995</v>
          </cell>
        </row>
      </sheetData>
      <sheetData sheetId="10"/>
      <sheetData sheetId="11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26.203729444444445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25.961824722222225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>
        <row r="13">
          <cell r="L13">
            <v>24.298097404469559</v>
          </cell>
        </row>
      </sheetData>
      <sheetData sheetId="14">
        <row r="13">
          <cell r="L13">
            <v>64.055272794649682</v>
          </cell>
        </row>
      </sheetData>
      <sheetData sheetId="15">
        <row r="13">
          <cell r="L13">
            <v>71.534753758802367</v>
          </cell>
        </row>
      </sheetData>
      <sheetData sheetId="16">
        <row r="5">
          <cell r="T5">
            <v>47.147872325239078</v>
          </cell>
        </row>
      </sheetData>
      <sheetData sheetId="17">
        <row r="13">
          <cell r="L13">
            <v>60.003896317889257</v>
          </cell>
        </row>
      </sheetData>
      <sheetData sheetId="18">
        <row r="13">
          <cell r="L13">
            <v>50.941346245748719</v>
          </cell>
        </row>
      </sheetData>
      <sheetData sheetId="19">
        <row r="13">
          <cell r="L13">
            <v>38.942042128507637</v>
          </cell>
        </row>
      </sheetData>
      <sheetData sheetId="20">
        <row r="13">
          <cell r="L13">
            <v>31.055970799843635</v>
          </cell>
        </row>
      </sheetData>
      <sheetData sheetId="21">
        <row r="13">
          <cell r="L13">
            <v>16.706363002811486</v>
          </cell>
        </row>
      </sheetData>
      <sheetData sheetId="22">
        <row r="13">
          <cell r="L13">
            <v>12.7985093299136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lan énergie"/>
      <sheetName val="FE_et_bio"/>
      <sheetName val="VP"/>
      <sheetName val="VUL"/>
      <sheetName val="PL"/>
      <sheetName val="donnees parc"/>
      <sheetName val="B&amp;C"/>
      <sheetName val="2RM"/>
      <sheetName val="Autres_modes"/>
      <sheetName val="Aérien"/>
      <sheetName val="Trafic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3">
          <cell r="H23">
            <v>629.84570702567703</v>
          </cell>
          <cell r="J23">
            <v>746.12634327708076</v>
          </cell>
          <cell r="N23">
            <v>684.63084367246472</v>
          </cell>
        </row>
        <row r="25">
          <cell r="H25">
            <v>64.888834107401252</v>
          </cell>
          <cell r="J25">
            <v>140.59793923050162</v>
          </cell>
          <cell r="N25">
            <v>187.05149835225939</v>
          </cell>
        </row>
        <row r="26">
          <cell r="H26">
            <v>37.912440194392154</v>
          </cell>
          <cell r="J26">
            <v>75.079943524557834</v>
          </cell>
          <cell r="N26">
            <v>97.003287033728711</v>
          </cell>
        </row>
        <row r="27">
          <cell r="H27">
            <v>7.2496149479999996</v>
          </cell>
          <cell r="J27">
            <v>14.4</v>
          </cell>
          <cell r="N27">
            <v>6.5</v>
          </cell>
        </row>
        <row r="28">
          <cell r="H28">
            <v>9.5825009382689181</v>
          </cell>
          <cell r="J28">
            <v>11.58776593289357</v>
          </cell>
          <cell r="N28">
            <v>11.683292928212129</v>
          </cell>
        </row>
        <row r="29">
          <cell r="H29">
            <v>5.5</v>
          </cell>
          <cell r="J29">
            <v>19.108172758676037</v>
          </cell>
          <cell r="N29">
            <v>28.331906374785511</v>
          </cell>
        </row>
        <row r="30">
          <cell r="H30">
            <v>754.94948226573945</v>
          </cell>
          <cell r="J30">
            <v>1006.9001647237097</v>
          </cell>
          <cell r="N30">
            <v>1015.2008283614504</v>
          </cell>
        </row>
        <row r="31">
          <cell r="H31">
            <v>749.44948226573945</v>
          </cell>
          <cell r="J31">
            <v>987.79199196503373</v>
          </cell>
          <cell r="N31">
            <v>986.86892198666487</v>
          </cell>
        </row>
      </sheetData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 energie vecteurs"/>
      <sheetName val="T energie usages"/>
      <sheetName val="Résultats"/>
      <sheetName val="T CO2"/>
      <sheetName val="T logement"/>
      <sheetName val="G energie"/>
      <sheetName val="G mix energie"/>
      <sheetName val="G mix élec"/>
      <sheetName val="G mix carb"/>
      <sheetName val="G mix gaz"/>
      <sheetName val="G CO2"/>
      <sheetName val="T parc auto"/>
      <sheetName val="G parc auto total"/>
      <sheetName val="G parc elec"/>
      <sheetName val="G parc auto"/>
      <sheetName val="T transport"/>
      <sheetName val="G parc logt"/>
      <sheetName val="Table Graphs"/>
    </sheetNames>
    <sheetDataSet>
      <sheetData sheetId="0" refreshError="1"/>
      <sheetData sheetId="1" refreshError="1"/>
      <sheetData sheetId="2">
        <row r="1">
          <cell r="B1" t="str">
            <v>SNBC3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 energie"/>
      <sheetName val="G mix élec"/>
      <sheetName val="G mix carb"/>
      <sheetName val="G mix gaz"/>
      <sheetName val="T CO2"/>
      <sheetName val="G CO2"/>
      <sheetName val="T parc auto"/>
      <sheetName val="G parc auto"/>
      <sheetName val="T logement"/>
      <sheetName val="G parc logt"/>
      <sheetName val="Table Graph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4">
          <cell r="A4" t="str">
            <v>TEND</v>
          </cell>
        </row>
        <row r="5">
          <cell r="I5">
            <v>34.664492700000004</v>
          </cell>
          <cell r="J5">
            <v>34.956187980000003</v>
          </cell>
          <cell r="K5">
            <v>35.116030049999999</v>
          </cell>
          <cell r="L5">
            <v>35.22984451</v>
          </cell>
          <cell r="M5">
            <v>35.293663940000002</v>
          </cell>
          <cell r="N5">
            <v>35.310390290000001</v>
          </cell>
          <cell r="O5">
            <v>35.378433780000002</v>
          </cell>
          <cell r="P5">
            <v>35.496856720000004</v>
          </cell>
          <cell r="Q5">
            <v>35.653829440000003</v>
          </cell>
          <cell r="R5">
            <v>35.834650719999999</v>
          </cell>
          <cell r="S5">
            <v>36.029956510000005</v>
          </cell>
          <cell r="T5">
            <v>36.22702245</v>
          </cell>
          <cell r="U5">
            <v>36.422585409999996</v>
          </cell>
          <cell r="V5">
            <v>36.615497920000003</v>
          </cell>
          <cell r="W5">
            <v>36.806113070000002</v>
          </cell>
          <cell r="X5">
            <v>36.99621071</v>
          </cell>
          <cell r="Y5">
            <v>37.184294620000003</v>
          </cell>
          <cell r="Z5">
            <v>37.372872549999997</v>
          </cell>
          <cell r="AA5">
            <v>37.563526299999999</v>
          </cell>
          <cell r="AB5">
            <v>37.757729379999994</v>
          </cell>
          <cell r="AC5">
            <v>37.955981359999996</v>
          </cell>
          <cell r="AD5">
            <v>38.166927919999999</v>
          </cell>
          <cell r="AE5">
            <v>38.388725370000003</v>
          </cell>
          <cell r="AF5">
            <v>38.617999920000003</v>
          </cell>
          <cell r="AG5">
            <v>38.852641049999995</v>
          </cell>
          <cell r="AH5">
            <v>39.090289320000004</v>
          </cell>
          <cell r="AI5">
            <v>39.328744280000002</v>
          </cell>
          <cell r="AJ5">
            <v>39.56777889</v>
          </cell>
          <cell r="AK5">
            <v>39.807161919999999</v>
          </cell>
          <cell r="AL5">
            <v>40.046711999999999</v>
          </cell>
          <cell r="AM5">
            <v>40.288447350000006</v>
          </cell>
        </row>
        <row r="6">
          <cell r="I6">
            <v>8.5699726798540449E-3</v>
          </cell>
          <cell r="J6">
            <v>1.3125767536852568E-2</v>
          </cell>
          <cell r="K6">
            <v>2.093814652035246E-2</v>
          </cell>
          <cell r="L6">
            <v>2.9339596650975963E-2</v>
          </cell>
          <cell r="M6">
            <v>3.8422705171822412E-2</v>
          </cell>
          <cell r="N6">
            <v>4.8298948326351107E-2</v>
          </cell>
          <cell r="O6">
            <v>5.9426982864022086E-2</v>
          </cell>
          <cell r="P6">
            <v>7.1945526561541698E-2</v>
          </cell>
          <cell r="Q6">
            <v>8.5942049539349558E-2</v>
          </cell>
          <cell r="R6">
            <v>0.10147172535354351</v>
          </cell>
          <cell r="S6">
            <v>0.11859008108472456</v>
          </cell>
          <cell r="T6">
            <v>0.13730358074183932</v>
          </cell>
          <cell r="U6">
            <v>0.15763780877629907</v>
          </cell>
          <cell r="V6">
            <v>0.17959577390884213</v>
          </cell>
          <cell r="W6">
            <v>0.20315166958215294</v>
          </cell>
          <cell r="X6">
            <v>0.22824904180571959</v>
          </cell>
          <cell r="Y6">
            <v>0.2547637951132391</v>
          </cell>
          <cell r="Z6">
            <v>0.28256330245612871</v>
          </cell>
          <cell r="AA6">
            <v>0.31147078409409074</v>
          </cell>
          <cell r="AB6">
            <v>0.34127816401018973</v>
          </cell>
          <cell r="AC6">
            <v>0.3717464103001657</v>
          </cell>
          <cell r="AD6">
            <v>0.40269710709271045</v>
          </cell>
          <cell r="AE6">
            <v>0.43384849821076515</v>
          </cell>
          <cell r="AF6">
            <v>0.464913357170052</v>
          </cell>
          <cell r="AG6">
            <v>0.49563467577965337</v>
          </cell>
          <cell r="AH6">
            <v>0.52577836510113596</v>
          </cell>
          <cell r="AI6">
            <v>0.55514202702634574</v>
          </cell>
          <cell r="AJ6">
            <v>0.58357173153926301</v>
          </cell>
          <cell r="AK6">
            <v>0.61094374421556352</v>
          </cell>
          <cell r="AL6">
            <v>0.63716406480512056</v>
          </cell>
          <cell r="AM6">
            <v>0.66218106938290833</v>
          </cell>
        </row>
      </sheetData>
      <sheetData sheetId="10" refreshError="1"/>
      <sheetData sheetId="11"/>
      <sheetData sheetId="12" refreshError="1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tabColor rgb="FF0070C0"/>
  </sheetPr>
  <dimension ref="A1:BF524"/>
  <sheetViews>
    <sheetView zoomScale="90" zoomScaleNormal="90" workbookViewId="0">
      <selection activeCell="T5" sqref="T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8" width="5.5703125" customWidth="1"/>
    <col min="9" max="23" width="7.42578125" customWidth="1"/>
    <col min="25" max="58" width="11.42578125" style="3"/>
  </cols>
  <sheetData>
    <row r="1" spans="1:29" ht="28.5" x14ac:dyDescent="0.45">
      <c r="A1" s="171" t="s">
        <v>97</v>
      </c>
      <c r="B1" s="3"/>
      <c r="C1" s="3"/>
      <c r="D1" s="3" t="s">
        <v>487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46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172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61" t="str">
        <f>Résultats!B1</f>
        <v>SNBC3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s="3" customFormat="1" ht="23.25" x14ac:dyDescent="0.35">
      <c r="A5" s="46"/>
      <c r="D5" s="7"/>
      <c r="E5" s="235">
        <f>Résultats!E1</f>
        <v>4</v>
      </c>
      <c r="F5" s="235">
        <f>E5+9</f>
        <v>13</v>
      </c>
      <c r="G5" s="235">
        <f>F5+3</f>
        <v>16</v>
      </c>
      <c r="H5" s="235">
        <f t="shared" ref="H5:S5" si="0">G5+1</f>
        <v>17</v>
      </c>
      <c r="I5" s="235">
        <f t="shared" si="0"/>
        <v>18</v>
      </c>
      <c r="J5" s="235">
        <f t="shared" si="0"/>
        <v>19</v>
      </c>
      <c r="K5" s="235">
        <f t="shared" si="0"/>
        <v>20</v>
      </c>
      <c r="L5" s="235">
        <f t="shared" si="0"/>
        <v>21</v>
      </c>
      <c r="M5" s="235">
        <f t="shared" si="0"/>
        <v>22</v>
      </c>
      <c r="N5" s="235">
        <f t="shared" si="0"/>
        <v>23</v>
      </c>
      <c r="O5" s="235">
        <f t="shared" si="0"/>
        <v>24</v>
      </c>
      <c r="P5" s="235">
        <f t="shared" si="0"/>
        <v>25</v>
      </c>
      <c r="Q5" s="235">
        <f t="shared" si="0"/>
        <v>26</v>
      </c>
      <c r="R5" s="235">
        <f t="shared" si="0"/>
        <v>27</v>
      </c>
      <c r="S5" s="235">
        <f t="shared" si="0"/>
        <v>28</v>
      </c>
      <c r="T5" s="235">
        <f>S5+5</f>
        <v>33</v>
      </c>
      <c r="U5" s="235">
        <f>T5+5</f>
        <v>38</v>
      </c>
      <c r="V5" s="235">
        <f>U5+5</f>
        <v>43</v>
      </c>
      <c r="W5" s="235">
        <f>V5+5</f>
        <v>48</v>
      </c>
    </row>
    <row r="6" spans="1:29" x14ac:dyDescent="0.25">
      <c r="A6" s="3"/>
      <c r="B6" s="168"/>
      <c r="C6" s="2"/>
      <c r="D6" s="15"/>
      <c r="E6" s="4">
        <v>2006</v>
      </c>
      <c r="F6" s="4">
        <v>2015</v>
      </c>
      <c r="G6" s="20">
        <v>2018</v>
      </c>
      <c r="H6" s="27">
        <v>2019</v>
      </c>
      <c r="I6" s="83">
        <v>2020</v>
      </c>
      <c r="J6" s="91">
        <v>2021</v>
      </c>
      <c r="K6" s="27">
        <v>2022</v>
      </c>
      <c r="L6" s="27">
        <v>2023</v>
      </c>
      <c r="M6" s="27">
        <v>2024</v>
      </c>
      <c r="N6" s="83">
        <v>2025</v>
      </c>
      <c r="O6" s="91">
        <v>2026</v>
      </c>
      <c r="P6" s="27">
        <v>2027</v>
      </c>
      <c r="Q6" s="27">
        <v>2028</v>
      </c>
      <c r="R6" s="27">
        <v>2029</v>
      </c>
      <c r="S6" s="92">
        <v>2030</v>
      </c>
      <c r="T6" s="93">
        <v>2035</v>
      </c>
      <c r="U6" s="93">
        <v>2040</v>
      </c>
      <c r="V6" s="93">
        <v>2045</v>
      </c>
      <c r="W6" s="93">
        <v>2050</v>
      </c>
      <c r="X6" s="3"/>
      <c r="Y6" s="19"/>
      <c r="Z6" s="166" t="s">
        <v>90</v>
      </c>
      <c r="AA6" s="166"/>
      <c r="AB6" s="166"/>
      <c r="AC6" s="38"/>
    </row>
    <row r="7" spans="1:29" ht="15" customHeight="1" x14ac:dyDescent="0.25">
      <c r="A7" s="3"/>
      <c r="B7" s="319" t="s">
        <v>0</v>
      </c>
      <c r="C7" s="5" t="s">
        <v>1</v>
      </c>
      <c r="D7" s="2"/>
      <c r="E7" s="6">
        <f>SUM(E8:E9)</f>
        <v>85.510810725100001</v>
      </c>
      <c r="F7" s="6">
        <f>SUM(F8:F9)</f>
        <v>73.546918439999999</v>
      </c>
      <c r="G7" s="84">
        <f t="shared" ref="G7:R7" si="1">SUM(G8:G9)</f>
        <v>67.519228208999991</v>
      </c>
      <c r="H7" s="6">
        <f t="shared" si="1"/>
        <v>66.111078770000006</v>
      </c>
      <c r="I7" s="85">
        <f t="shared" si="1"/>
        <v>64.307808539999996</v>
      </c>
      <c r="J7" s="84">
        <f t="shared" si="1"/>
        <v>64.139244843</v>
      </c>
      <c r="K7" s="6">
        <f t="shared" si="1"/>
        <v>63.543730918000001</v>
      </c>
      <c r="L7" s="6">
        <f t="shared" si="1"/>
        <v>62.696984585999999</v>
      </c>
      <c r="M7" s="6">
        <f t="shared" si="1"/>
        <v>60.886393542999997</v>
      </c>
      <c r="N7" s="85">
        <f t="shared" si="1"/>
        <v>58.888876418999999</v>
      </c>
      <c r="O7" s="84">
        <f t="shared" si="1"/>
        <v>56.727380761000006</v>
      </c>
      <c r="P7" s="6">
        <f t="shared" si="1"/>
        <v>54.681710656</v>
      </c>
      <c r="Q7" s="6">
        <f t="shared" si="1"/>
        <v>52.700845697000005</v>
      </c>
      <c r="R7" s="6">
        <f t="shared" si="1"/>
        <v>50.632576563000001</v>
      </c>
      <c r="S7" s="85">
        <f>SUM(S8:S9)</f>
        <v>48.570453357999995</v>
      </c>
      <c r="T7" s="94">
        <f>SUM(T8:T9)</f>
        <v>38.705816012</v>
      </c>
      <c r="U7" s="94">
        <f>SUM(U8:U9)</f>
        <v>30.145258129999998</v>
      </c>
      <c r="V7" s="94">
        <f>SUM(V8:V9)</f>
        <v>23.491089078000002</v>
      </c>
      <c r="W7" s="94">
        <f>SUM(W8:W9)</f>
        <v>19.057956717</v>
      </c>
      <c r="X7" s="3"/>
      <c r="Y7" s="75"/>
      <c r="Z7" s="194"/>
      <c r="AA7" s="195">
        <v>2020</v>
      </c>
      <c r="AB7" s="195">
        <v>2030</v>
      </c>
      <c r="AC7" s="196">
        <v>2050</v>
      </c>
    </row>
    <row r="8" spans="1:29" x14ac:dyDescent="0.25">
      <c r="A8" s="3"/>
      <c r="B8" s="320"/>
      <c r="C8" s="3" t="s">
        <v>2</v>
      </c>
      <c r="D8" s="15" t="s">
        <v>356</v>
      </c>
      <c r="E8" s="16">
        <f>VLOOKUP($D8,Résultats!$B$2:$AX$476,E$5,FALSE)</f>
        <v>84.843357019999999</v>
      </c>
      <c r="F8" s="16">
        <f>VLOOKUP($D8,Résultats!$B$2:$AX$476,F$5,FALSE)</f>
        <v>70.388874259999994</v>
      </c>
      <c r="G8" s="22">
        <f>VLOOKUP($D8,Résultats!$B$2:$AX$476,G$5,FALSE)</f>
        <v>64.449662669999995</v>
      </c>
      <c r="H8" s="16">
        <f>VLOOKUP($D8,Résultats!$B$2:$AX$476,H$5,FALSE)</f>
        <v>63.042763190000002</v>
      </c>
      <c r="I8" s="86">
        <f>VLOOKUP($D8,Résultats!$B$2:$AX$476,I$5,FALSE)</f>
        <v>61.258033560000001</v>
      </c>
      <c r="J8" s="22">
        <f>VLOOKUP($D8,Résultats!$B$2:$AX$476,J$5,FALSE)</f>
        <v>60.94862466</v>
      </c>
      <c r="K8" s="16">
        <f>VLOOKUP($D8,Résultats!$B$2:$AX$476,K$5,FALSE)</f>
        <v>60.241397880000001</v>
      </c>
      <c r="L8" s="16">
        <f>VLOOKUP($D8,Résultats!$B$2:$AX$476,L$5,FALSE)</f>
        <v>59.304932039999997</v>
      </c>
      <c r="M8" s="16">
        <f>VLOOKUP($D8,Résultats!$B$2:$AX$476,M$5,FALSE)</f>
        <v>57.242997529999997</v>
      </c>
      <c r="N8" s="86">
        <f>VLOOKUP($D8,Résultats!$B$2:$AX$476,N$5,FALSE)</f>
        <v>55.00701771</v>
      </c>
      <c r="O8" s="22">
        <f>VLOOKUP($D8,Résultats!$B$2:$AX$476,O$5,FALSE)</f>
        <v>52.831451190000003</v>
      </c>
      <c r="P8" s="16">
        <f>VLOOKUP($D8,Résultats!$B$2:$AX$476,P$5,FALSE)</f>
        <v>50.761655640000001</v>
      </c>
      <c r="Q8" s="16">
        <f>VLOOKUP($D8,Résultats!$B$2:$AX$476,Q$5,FALSE)</f>
        <v>48.749041650000002</v>
      </c>
      <c r="R8" s="16">
        <f>VLOOKUP($D8,Résultats!$B$2:$AX$476,R$5,FALSE)</f>
        <v>46.656057009999998</v>
      </c>
      <c r="S8" s="86">
        <f>VLOOKUP($D8,Résultats!$B$2:$AX$476,S$5,FALSE)</f>
        <v>44.565297139999998</v>
      </c>
      <c r="T8" s="95">
        <f>VLOOKUP($D8,Résultats!$B$2:$AX$476,T$5,FALSE)</f>
        <v>31.390598050000001</v>
      </c>
      <c r="U8" s="95">
        <f>VLOOKUP($D8,Résultats!$B$2:$AX$476,U$5,FALSE)</f>
        <v>18.107084879999999</v>
      </c>
      <c r="V8" s="95">
        <f>VLOOKUP($D8,Résultats!$B$2:$AX$476,V$5,FALSE)</f>
        <v>9.7155108779999999</v>
      </c>
      <c r="W8" s="95">
        <f>VLOOKUP($D8,Résultats!$B$2:$AX$476,W$5,FALSE)</f>
        <v>6.7315380569999999</v>
      </c>
      <c r="X8" s="45">
        <f>W8-'[1]Cibles THREEME'!$H4</f>
        <v>-3.6690691741914954</v>
      </c>
      <c r="Y8" s="75"/>
      <c r="Z8" s="198" t="s">
        <v>68</v>
      </c>
      <c r="AA8" s="199">
        <f>I27</f>
        <v>235.65598998889999</v>
      </c>
      <c r="AB8" s="199">
        <f>S27</f>
        <v>218.06691922740004</v>
      </c>
      <c r="AC8" s="89">
        <f>W27</f>
        <v>135.33402129973999</v>
      </c>
    </row>
    <row r="9" spans="1:29" x14ac:dyDescent="0.25">
      <c r="A9" s="3"/>
      <c r="B9" s="321"/>
      <c r="C9" s="7" t="s">
        <v>3</v>
      </c>
      <c r="D9" s="15" t="s">
        <v>357</v>
      </c>
      <c r="E9" s="16">
        <f>VLOOKUP($D9,Résultats!$B$2:$AX$476,E$5,FALSE)</f>
        <v>0.66745370510000002</v>
      </c>
      <c r="F9" s="16">
        <f>VLOOKUP($D9,Résultats!$B$2:$AX$476,F$5,FALSE)</f>
        <v>3.1580441800000001</v>
      </c>
      <c r="G9" s="22">
        <f>VLOOKUP($D9,Résultats!$B$2:$AX$476,G$5,FALSE)</f>
        <v>3.0695655390000001</v>
      </c>
      <c r="H9" s="16">
        <f>VLOOKUP($D9,Résultats!$B$2:$AX$476,H$5,FALSE)</f>
        <v>3.0683155800000002</v>
      </c>
      <c r="I9" s="86">
        <f>VLOOKUP($D9,Résultats!$B$2:$AX$476,I$5,FALSE)</f>
        <v>3.04977498</v>
      </c>
      <c r="J9" s="22">
        <f>VLOOKUP($D9,Résultats!$B$2:$AX$476,J$5,FALSE)</f>
        <v>3.1906201830000001</v>
      </c>
      <c r="K9" s="16">
        <f>VLOOKUP($D9,Résultats!$B$2:$AX$476,K$5,FALSE)</f>
        <v>3.302333038</v>
      </c>
      <c r="L9" s="16">
        <f>VLOOKUP($D9,Résultats!$B$2:$AX$476,L$5,FALSE)</f>
        <v>3.3920525459999999</v>
      </c>
      <c r="M9" s="16">
        <f>VLOOKUP($D9,Résultats!$B$2:$AX$476,M$5,FALSE)</f>
        <v>3.6433960129999998</v>
      </c>
      <c r="N9" s="86">
        <f>VLOOKUP($D9,Résultats!$B$2:$AX$476,N$5,FALSE)</f>
        <v>3.8818587089999999</v>
      </c>
      <c r="O9" s="22">
        <f>VLOOKUP($D9,Résultats!$B$2:$AX$476,O$5,FALSE)</f>
        <v>3.8959295709999999</v>
      </c>
      <c r="P9" s="16">
        <f>VLOOKUP($D9,Résultats!$B$2:$AX$476,P$5,FALSE)</f>
        <v>3.9200550160000001</v>
      </c>
      <c r="Q9" s="16">
        <f>VLOOKUP($D9,Résultats!$B$2:$AX$476,Q$5,FALSE)</f>
        <v>3.951804047</v>
      </c>
      <c r="R9" s="16">
        <f>VLOOKUP($D9,Résultats!$B$2:$AX$476,R$5,FALSE)</f>
        <v>3.9765195530000002</v>
      </c>
      <c r="S9" s="86">
        <f>VLOOKUP($D9,Résultats!$B$2:$AX$476,S$5,FALSE)</f>
        <v>4.0051562179999998</v>
      </c>
      <c r="T9" s="95">
        <f>VLOOKUP($D9,Résultats!$B$2:$AX$476,T$5,FALSE)</f>
        <v>7.3152179620000002</v>
      </c>
      <c r="U9" s="95">
        <f>VLOOKUP($D9,Résultats!$B$2:$AX$476,U$5,FALSE)</f>
        <v>12.03817325</v>
      </c>
      <c r="V9" s="95">
        <f>VLOOKUP($D9,Résultats!$B$2:$AX$476,V$5,FALSE)</f>
        <v>13.7755782</v>
      </c>
      <c r="W9" s="95">
        <f>VLOOKUP($D9,Résultats!$B$2:$AX$476,W$5,FALSE)</f>
        <v>12.32641866</v>
      </c>
      <c r="X9" s="45">
        <f>W9-'[1]Cibles THREEME'!$H5</f>
        <v>8.8295774444229167</v>
      </c>
      <c r="Y9" s="75"/>
      <c r="Z9" s="75"/>
      <c r="AA9" s="75"/>
      <c r="AB9" s="75"/>
      <c r="AC9" s="75"/>
    </row>
    <row r="10" spans="1:29" ht="15" customHeight="1" x14ac:dyDescent="0.25">
      <c r="A10" s="3"/>
      <c r="B10" s="319" t="s">
        <v>4</v>
      </c>
      <c r="C10" s="5" t="s">
        <v>1</v>
      </c>
      <c r="D10" s="2"/>
      <c r="E10" s="8">
        <f>SUM(E11:E18)</f>
        <v>135.21120486200002</v>
      </c>
      <c r="F10" s="8">
        <f>SUM(F11:F18)</f>
        <v>147.60473260500001</v>
      </c>
      <c r="G10" s="21">
        <f t="shared" ref="G10:R10" si="2">SUM(G11:G18)</f>
        <v>136.3873503133</v>
      </c>
      <c r="H10" s="8">
        <f t="shared" si="2"/>
        <v>131.92664204669998</v>
      </c>
      <c r="I10" s="87">
        <f t="shared" si="2"/>
        <v>127.50702499659999</v>
      </c>
      <c r="J10" s="21">
        <f t="shared" si="2"/>
        <v>126.13125110989999</v>
      </c>
      <c r="K10" s="8">
        <f t="shared" si="2"/>
        <v>124.64851507600001</v>
      </c>
      <c r="L10" s="8">
        <f t="shared" si="2"/>
        <v>122.03731416559999</v>
      </c>
      <c r="M10" s="8">
        <f t="shared" si="2"/>
        <v>132.06697923710001</v>
      </c>
      <c r="N10" s="87">
        <f t="shared" si="2"/>
        <v>140.07539252090001</v>
      </c>
      <c r="O10" s="21">
        <f t="shared" si="2"/>
        <v>138.3713289499</v>
      </c>
      <c r="P10" s="8">
        <f t="shared" si="2"/>
        <v>136.47147328840001</v>
      </c>
      <c r="Q10" s="8">
        <f t="shared" si="2"/>
        <v>134.54577987779999</v>
      </c>
      <c r="R10" s="8">
        <f t="shared" si="2"/>
        <v>133.48335277880003</v>
      </c>
      <c r="S10" s="87">
        <f>SUM(S11:S18)</f>
        <v>132.61678256370001</v>
      </c>
      <c r="T10" s="96">
        <f>SUM(T11:T18)</f>
        <v>112.64962390355998</v>
      </c>
      <c r="U10" s="96">
        <f>SUM(U11:U18)</f>
        <v>111.66164173136001</v>
      </c>
      <c r="V10" s="96">
        <f>SUM(V11:V18)</f>
        <v>97.99010603568</v>
      </c>
      <c r="W10" s="96">
        <f>SUM(W11:W18)</f>
        <v>85.339202083139995</v>
      </c>
      <c r="X10" s="45"/>
      <c r="Y10" s="75"/>
      <c r="Z10" s="75"/>
      <c r="AA10" s="75"/>
      <c r="AB10" s="75"/>
      <c r="AC10" s="75"/>
    </row>
    <row r="11" spans="1:29" x14ac:dyDescent="0.25">
      <c r="A11" s="3"/>
      <c r="B11" s="320"/>
      <c r="C11" s="3" t="s">
        <v>5</v>
      </c>
      <c r="D11" s="3" t="s">
        <v>358</v>
      </c>
      <c r="E11" s="16">
        <f>VLOOKUP($D11,Résultats!$B$2:$AX$476,E$5,FALSE)</f>
        <v>118.4723395</v>
      </c>
      <c r="F11" s="16">
        <f>VLOOKUP($D11,Résultats!$B$2:$AX$476,F$5,FALSE)</f>
        <v>128.12296480000001</v>
      </c>
      <c r="G11" s="22">
        <f>VLOOKUP($D11,Résultats!$B$2:$AX$476,G$5,FALSE)</f>
        <v>116.23975470000001</v>
      </c>
      <c r="H11" s="16">
        <f>VLOOKUP($D11,Résultats!$B$2:$AX$476,H$5,FALSE)</f>
        <v>111.63357379999999</v>
      </c>
      <c r="I11" s="86">
        <f>VLOOKUP($D11,Résultats!$B$2:$AX$476,I$5,FALSE)</f>
        <v>107.0522338</v>
      </c>
      <c r="J11" s="22">
        <f>VLOOKUP($D11,Résultats!$B$2:$AX$476,J$5,FALSE)</f>
        <v>105.328453</v>
      </c>
      <c r="K11" s="16">
        <f>VLOOKUP($D11,Résultats!$B$2:$AX$476,K$5,FALSE)</f>
        <v>103.5172709</v>
      </c>
      <c r="L11" s="16">
        <f>VLOOKUP($D11,Résultats!$B$2:$AX$476,L$5,FALSE)</f>
        <v>100.7766428</v>
      </c>
      <c r="M11" s="16">
        <f>VLOOKUP($D11,Résultats!$B$2:$AX$476,M$5,FALSE)</f>
        <v>109.5208003</v>
      </c>
      <c r="N11" s="86">
        <f>VLOOKUP($D11,Résultats!$B$2:$AX$476,N$5,FALSE)</f>
        <v>116.4725534</v>
      </c>
      <c r="O11" s="22">
        <f>VLOOKUP($D11,Résultats!$B$2:$AX$476,O$5,FALSE)</f>
        <v>114.5738956</v>
      </c>
      <c r="P11" s="16">
        <f>VLOOKUP($D11,Résultats!$B$2:$AX$476,P$5,FALSE)</f>
        <v>112.5370083</v>
      </c>
      <c r="Q11" s="16">
        <f>VLOOKUP($D11,Résultats!$B$2:$AX$476,Q$5,FALSE)</f>
        <v>110.5028612</v>
      </c>
      <c r="R11" s="16">
        <f>VLOOKUP($D11,Résultats!$B$2:$AX$476,R$5,FALSE)</f>
        <v>109.1570629</v>
      </c>
      <c r="S11" s="86">
        <f>VLOOKUP($D11,Résultats!$B$2:$AX$476,S$5,FALSE)</f>
        <v>107.9753304</v>
      </c>
      <c r="T11" s="95">
        <f>VLOOKUP($D11,Résultats!$B$2:$AX$476,T$5,FALSE)</f>
        <v>87.377930680000006</v>
      </c>
      <c r="U11" s="95">
        <f>VLOOKUP($D11,Résultats!$B$2:$AX$476,U$5,FALSE)</f>
        <v>85.522529140000003</v>
      </c>
      <c r="V11" s="95">
        <f>VLOOKUP($D11,Résultats!$B$2:$AX$476,V$5,FALSE)</f>
        <v>67.577310589999996</v>
      </c>
      <c r="W11" s="95">
        <f>VLOOKUP($D11,Résultats!$B$2:$AX$476,W$5,FALSE)</f>
        <v>51.17911402</v>
      </c>
      <c r="X11" s="45">
        <f>W11-'[1]Cibles THREEME'!$H10</f>
        <v>48.521410588435863</v>
      </c>
      <c r="Y11" s="75"/>
      <c r="Z11" s="75"/>
      <c r="AA11" s="75"/>
      <c r="AB11" s="75"/>
      <c r="AC11" s="75"/>
    </row>
    <row r="12" spans="1:29" x14ac:dyDescent="0.25">
      <c r="A12" s="3"/>
      <c r="B12" s="320"/>
      <c r="C12" s="3" t="s">
        <v>6</v>
      </c>
      <c r="D12" s="3" t="s">
        <v>359</v>
      </c>
      <c r="E12" s="16">
        <f>VLOOKUP($D12,Résultats!$B$2:$AX$476,E$5,FALSE)</f>
        <v>1.321034456</v>
      </c>
      <c r="F12" s="16">
        <f>VLOOKUP($D12,Résultats!$B$2:$AX$476,F$5,FALSE)</f>
        <v>0.77813890200000002</v>
      </c>
      <c r="G12" s="22">
        <f>VLOOKUP($D12,Résultats!$B$2:$AX$476,G$5,FALSE)</f>
        <v>0.51849112929999996</v>
      </c>
      <c r="H12" s="16">
        <f>VLOOKUP($D12,Résultats!$B$2:$AX$476,H$5,FALSE)</f>
        <v>0.42877367170000003</v>
      </c>
      <c r="I12" s="86">
        <f>VLOOKUP($D12,Résultats!$B$2:$AX$476,I$5,FALSE)</f>
        <v>0.3394665939</v>
      </c>
      <c r="J12" s="22">
        <f>VLOOKUP($D12,Résultats!$B$2:$AX$476,J$5,FALSE)</f>
        <v>0.44314468210000002</v>
      </c>
      <c r="K12" s="16">
        <f>VLOOKUP($D12,Résultats!$B$2:$AX$476,K$5,FALSE)</f>
        <v>0.54585471750000003</v>
      </c>
      <c r="L12" s="16">
        <f>VLOOKUP($D12,Résultats!$B$2:$AX$476,L$5,FALSE)</f>
        <v>0.64194283519999995</v>
      </c>
      <c r="M12" s="16">
        <f>VLOOKUP($D12,Résultats!$B$2:$AX$476,M$5,FALSE)</f>
        <v>0.38479710700000003</v>
      </c>
      <c r="N12" s="86">
        <f>VLOOKUP($D12,Résultats!$B$2:$AX$476,N$5,FALSE)</f>
        <v>0.18369357920000001</v>
      </c>
      <c r="O12" s="22">
        <f>VLOOKUP($D12,Résultats!$B$2:$AX$476,O$5,FALSE)</f>
        <v>0.170224823</v>
      </c>
      <c r="P12" s="16">
        <f>VLOOKUP($D12,Résultats!$B$2:$AX$476,P$5,FALSE)</f>
        <v>0.13884466440000001</v>
      </c>
      <c r="Q12" s="16">
        <f>VLOOKUP($D12,Résultats!$B$2:$AX$476,Q$5,FALSE)</f>
        <v>9.0549046999999896E-2</v>
      </c>
      <c r="R12" s="16">
        <f>VLOOKUP($D12,Résultats!$B$2:$AX$476,R$5,FALSE)</f>
        <v>8.1065404899999999E-2</v>
      </c>
      <c r="S12" s="86">
        <f>VLOOKUP($D12,Résultats!$B$2:$AX$476,S$5,FALSE)</f>
        <v>7.1723189899999998E-2</v>
      </c>
      <c r="T12" s="95">
        <f>VLOOKUP($D12,Résultats!$B$2:$AX$476,T$5,FALSE)</f>
        <v>6.0290692700000002E-2</v>
      </c>
      <c r="U12" s="95">
        <f>VLOOKUP($D12,Résultats!$B$2:$AX$476,U$5,FALSE)</f>
        <v>1.25953066E-2</v>
      </c>
      <c r="V12" s="95">
        <f>VLOOKUP($D12,Résultats!$B$2:$AX$476,V$5,FALSE)</f>
        <v>7.5337194400000003E-3</v>
      </c>
      <c r="W12" s="95">
        <f>VLOOKUP($D12,Résultats!$B$2:$AX$476,W$5,FALSE)</f>
        <v>7.2934668700000002E-3</v>
      </c>
      <c r="X12" s="45">
        <f>W12-'[1]Cibles THREEME'!$H11</f>
        <v>7.2934668700000002E-3</v>
      </c>
      <c r="Y12" s="75"/>
      <c r="Z12" s="200"/>
      <c r="AA12" s="188"/>
      <c r="AB12" s="188"/>
      <c r="AC12" s="188"/>
    </row>
    <row r="13" spans="1:29" x14ac:dyDescent="0.25">
      <c r="A13" s="3"/>
      <c r="B13" s="320"/>
      <c r="C13" s="3" t="s">
        <v>7</v>
      </c>
      <c r="D13" s="3" t="s">
        <v>360</v>
      </c>
      <c r="E13" s="16">
        <f>VLOOKUP($D13,Résultats!$B$2:$AX$476,E$5,FALSE)</f>
        <v>3.5861711399999998</v>
      </c>
      <c r="F13" s="16">
        <f>VLOOKUP($D13,Résultats!$B$2:$AX$476,F$5,FALSE)</f>
        <v>4.2306958210000003</v>
      </c>
      <c r="G13" s="22">
        <f>VLOOKUP($D13,Résultats!$B$2:$AX$476,G$5,FALSE)</f>
        <v>5.2942803420000004</v>
      </c>
      <c r="H13" s="16">
        <f>VLOOKUP($D13,Résultats!$B$2:$AX$476,H$5,FALSE)</f>
        <v>5.6274852639999997</v>
      </c>
      <c r="I13" s="86">
        <f>VLOOKUP($D13,Résultats!$B$2:$AX$476,I$5,FALSE)</f>
        <v>5.9624216859999999</v>
      </c>
      <c r="J13" s="22">
        <f>VLOOKUP($D13,Résultats!$B$2:$AX$476,J$5,FALSE)</f>
        <v>5.6825385549999998</v>
      </c>
      <c r="K13" s="16">
        <f>VLOOKUP($D13,Résultats!$B$2:$AX$476,K$5,FALSE)</f>
        <v>5.397041583</v>
      </c>
      <c r="L13" s="16">
        <f>VLOOKUP($D13,Résultats!$B$2:$AX$476,L$5,FALSE)</f>
        <v>5.0641233200000002</v>
      </c>
      <c r="M13" s="16">
        <f>VLOOKUP($D13,Résultats!$B$2:$AX$476,M$5,FALSE)</f>
        <v>5.7830160199999998</v>
      </c>
      <c r="N13" s="86">
        <f>VLOOKUP($D13,Résultats!$B$2:$AX$476,N$5,FALSE)</f>
        <v>6.406593891</v>
      </c>
      <c r="O13" s="22">
        <f>VLOOKUP($D13,Résultats!$B$2:$AX$476,O$5,FALSE)</f>
        <v>6.1464932919999997</v>
      </c>
      <c r="P13" s="16">
        <f>VLOOKUP($D13,Résultats!$B$2:$AX$476,P$5,FALSE)</f>
        <v>5.8839018059999999</v>
      </c>
      <c r="Q13" s="16">
        <f>VLOOKUP($D13,Résultats!$B$2:$AX$476,Q$5,FALSE)</f>
        <v>5.6265824960000002</v>
      </c>
      <c r="R13" s="16">
        <f>VLOOKUP($D13,Résultats!$B$2:$AX$476,R$5,FALSE)</f>
        <v>5.4132558509999997</v>
      </c>
      <c r="S13" s="86">
        <f>VLOOKUP($D13,Résultats!$B$2:$AX$476,S$5,FALSE)</f>
        <v>5.2109168380000002</v>
      </c>
      <c r="T13" s="95">
        <f>VLOOKUP($D13,Résultats!$B$2:$AX$476,T$5,FALSE)</f>
        <v>3.29656825</v>
      </c>
      <c r="U13" s="95">
        <f>VLOOKUP($D13,Résultats!$B$2:$AX$476,U$5,FALSE)</f>
        <v>0.36787320680000002</v>
      </c>
      <c r="V13" s="95">
        <f>VLOOKUP($D13,Résultats!$B$2:$AX$476,V$5,FALSE)</f>
        <v>0.45645008879999999</v>
      </c>
      <c r="W13" s="95">
        <f>VLOOKUP($D13,Résultats!$B$2:$AX$476,W$5,FALSE)</f>
        <v>0.51977618540000003</v>
      </c>
      <c r="X13" s="45">
        <f>W13-'[1]Cibles THREEME'!$H12</f>
        <v>-1.7731444222239605</v>
      </c>
      <c r="Y13" s="75"/>
    </row>
    <row r="14" spans="1:29" x14ac:dyDescent="0.25">
      <c r="A14" s="3"/>
      <c r="B14" s="320"/>
      <c r="C14" s="3" t="s">
        <v>8</v>
      </c>
      <c r="D14" s="3" t="s">
        <v>361</v>
      </c>
      <c r="E14" s="16">
        <f>VLOOKUP($D14,Résultats!$B$2:$AX$476,E$5,FALSE)</f>
        <v>5.2639693569999997</v>
      </c>
      <c r="F14" s="16">
        <f>VLOOKUP($D14,Résultats!$B$2:$AX$476,F$5,FALSE)</f>
        <v>3.3735029939999999</v>
      </c>
      <c r="G14" s="22">
        <f>VLOOKUP($D14,Résultats!$B$2:$AX$476,G$5,FALSE)</f>
        <v>1.921976489</v>
      </c>
      <c r="H14" s="16">
        <f>VLOOKUP($D14,Résultats!$B$2:$AX$476,H$5,FALSE)</f>
        <v>1.4272705510000001</v>
      </c>
      <c r="I14" s="86">
        <f>VLOOKUP($D14,Résultats!$B$2:$AX$476,I$5,FALSE)</f>
        <v>0.93558589169999995</v>
      </c>
      <c r="J14" s="22">
        <f>VLOOKUP($D14,Résultats!$B$2:$AX$476,J$5,FALSE)</f>
        <v>0.89180218980000003</v>
      </c>
      <c r="K14" s="16">
        <f>VLOOKUP($D14,Résultats!$B$2:$AX$476,K$5,FALSE)</f>
        <v>0.84706537749999999</v>
      </c>
      <c r="L14" s="16">
        <f>VLOOKUP($D14,Résultats!$B$2:$AX$476,L$5,FALSE)</f>
        <v>0.7948140534</v>
      </c>
      <c r="M14" s="16">
        <f>VLOOKUP($D14,Résultats!$B$2:$AX$476,M$5,FALSE)</f>
        <v>0.32903575509999999</v>
      </c>
      <c r="N14" s="86">
        <f>VLOOKUP($D14,Résultats!$B$2:$AX$476,N$5,FALSE)</f>
        <v>6.1555589700000003E-2</v>
      </c>
      <c r="O14" s="22">
        <f>VLOOKUP($D14,Résultats!$B$2:$AX$476,O$5,FALSE)</f>
        <v>4.7276935899999997E-2</v>
      </c>
      <c r="P14" s="16">
        <f>VLOOKUP($D14,Résultats!$B$2:$AX$476,P$5,FALSE)</f>
        <v>3.3296578E-2</v>
      </c>
      <c r="Q14" s="16">
        <f>VLOOKUP($D14,Résultats!$B$2:$AX$476,Q$5,FALSE)</f>
        <v>1.9692555800000001E-2</v>
      </c>
      <c r="R14" s="16">
        <f>VLOOKUP($D14,Résultats!$B$2:$AX$476,R$5,FALSE)</f>
        <v>1.9531575900000001E-2</v>
      </c>
      <c r="S14" s="86">
        <f>VLOOKUP($D14,Résultats!$B$2:$AX$476,S$5,FALSE)</f>
        <v>1.9398636800000001E-2</v>
      </c>
      <c r="T14" s="95">
        <f>VLOOKUP($D14,Résultats!$B$2:$AX$476,T$5,FALSE)</f>
        <v>8.1749248600000001E-3</v>
      </c>
      <c r="U14" s="95">
        <f>VLOOKUP($D14,Résultats!$B$2:$AX$476,U$5,FALSE)</f>
        <v>7.8785719600000005E-3</v>
      </c>
      <c r="V14" s="95">
        <f>VLOOKUP($D14,Résultats!$B$2:$AX$476,V$5,FALSE)</f>
        <v>7.5337194400000003E-3</v>
      </c>
      <c r="W14" s="95">
        <f>VLOOKUP($D14,Résultats!$B$2:$AX$476,W$5,FALSE)</f>
        <v>7.2934668700000002E-3</v>
      </c>
      <c r="X14" s="45">
        <f>W14-'[1]Cibles THREEME'!$H13</f>
        <v>7.2934668700000002E-3</v>
      </c>
      <c r="Y14" s="75"/>
    </row>
    <row r="15" spans="1:29" x14ac:dyDescent="0.25">
      <c r="A15" s="3"/>
      <c r="B15" s="320"/>
      <c r="C15" s="3" t="s">
        <v>9</v>
      </c>
      <c r="D15" s="3" t="s">
        <v>362</v>
      </c>
      <c r="E15" s="16">
        <f>VLOOKUP($D15,Résultats!$B$2:$AX$476,E$5,FALSE)</f>
        <v>0.36837955350000001</v>
      </c>
      <c r="F15" s="16">
        <f>VLOOKUP($D15,Résultats!$B$2:$AX$476,F$5,FALSE)</f>
        <v>2.5831971569999999</v>
      </c>
      <c r="G15" s="22">
        <f>VLOOKUP($D15,Résultats!$B$2:$AX$476,G$5,FALSE)</f>
        <v>3.3292411249999998</v>
      </c>
      <c r="H15" s="16">
        <f>VLOOKUP($D15,Résultats!$B$2:$AX$476,H$5,FALSE)</f>
        <v>3.5680732239999999</v>
      </c>
      <c r="I15" s="86">
        <f>VLOOKUP($D15,Résultats!$B$2:$AX$476,I$5,FALSE)</f>
        <v>3.8096230360000001</v>
      </c>
      <c r="J15" s="22">
        <f>VLOOKUP($D15,Résultats!$B$2:$AX$476,J$5,FALSE)</f>
        <v>3.9828733299999999</v>
      </c>
      <c r="K15" s="16">
        <f>VLOOKUP($D15,Résultats!$B$2:$AX$476,K$5,FALSE)</f>
        <v>4.152297001</v>
      </c>
      <c r="L15" s="16">
        <f>VLOOKUP($D15,Résultats!$B$2:$AX$476,L$5,FALSE)</f>
        <v>4.2814893249999999</v>
      </c>
      <c r="M15" s="16">
        <f>VLOOKUP($D15,Résultats!$B$2:$AX$476,M$5,FALSE)</f>
        <v>4.6995206429999996</v>
      </c>
      <c r="N15" s="86">
        <f>VLOOKUP($D15,Résultats!$B$2:$AX$476,N$5,FALSE)</f>
        <v>5.0348227879999996</v>
      </c>
      <c r="O15" s="22">
        <f>VLOOKUP($D15,Résultats!$B$2:$AX$476,O$5,FALSE)</f>
        <v>5.3235592540000001</v>
      </c>
      <c r="P15" s="16">
        <f>VLOOKUP($D15,Résultats!$B$2:$AX$476,P$5,FALSE)</f>
        <v>5.5964287180000003</v>
      </c>
      <c r="Q15" s="16">
        <f>VLOOKUP($D15,Résultats!$B$2:$AX$476,Q$5,FALSE)</f>
        <v>5.8594055300000001</v>
      </c>
      <c r="R15" s="16">
        <f>VLOOKUP($D15,Résultats!$B$2:$AX$476,R$5,FALSE)</f>
        <v>6.1393157709999997</v>
      </c>
      <c r="S15" s="86">
        <f>VLOOKUP($D15,Résultats!$B$2:$AX$476,S$5,FALSE)</f>
        <v>6.4236061790000001</v>
      </c>
      <c r="T15" s="95">
        <f>VLOOKUP($D15,Résultats!$B$2:$AX$476,T$5,FALSE)</f>
        <v>8.7907834699999903</v>
      </c>
      <c r="U15" s="95">
        <f>VLOOKUP($D15,Résultats!$B$2:$AX$476,U$5,FALSE)</f>
        <v>11.67601131</v>
      </c>
      <c r="V15" s="95">
        <f>VLOOKUP($D15,Résultats!$B$2:$AX$476,V$5,FALSE)</f>
        <v>14.69547994</v>
      </c>
      <c r="W15" s="95">
        <f>VLOOKUP($D15,Résultats!$B$2:$AX$476,W$5,FALSE)</f>
        <v>17.662804009999999</v>
      </c>
      <c r="X15" s="45">
        <f>W15-'[1]Cibles THREEME'!$H14</f>
        <v>-0.11019684984522726</v>
      </c>
      <c r="Y15" s="75"/>
    </row>
    <row r="16" spans="1:29" x14ac:dyDescent="0.25">
      <c r="A16" s="3"/>
      <c r="B16" s="320"/>
      <c r="C16" s="3" t="s">
        <v>10</v>
      </c>
      <c r="D16" s="3" t="s">
        <v>363</v>
      </c>
      <c r="E16" s="16">
        <f>VLOOKUP($D16,Résultats!$B$2:$AX$476,E$5,FALSE)</f>
        <v>8.2885399499999998E-2</v>
      </c>
      <c r="F16" s="16">
        <f>VLOOKUP($D16,Résultats!$B$2:$AX$476,F$5,FALSE)</f>
        <v>1.138428234</v>
      </c>
      <c r="G16" s="22">
        <f>VLOOKUP($D16,Résultats!$B$2:$AX$476,G$5,FALSE)</f>
        <v>1.467213637</v>
      </c>
      <c r="H16" s="16">
        <f>VLOOKUP($D16,Résultats!$B$2:$AX$476,H$5,FALSE)</f>
        <v>1.5724681680000001</v>
      </c>
      <c r="I16" s="86">
        <f>VLOOKUP($D16,Résultats!$B$2:$AX$476,I$5,FALSE)</f>
        <v>1.678920408</v>
      </c>
      <c r="J16" s="22">
        <f>VLOOKUP($D16,Résultats!$B$2:$AX$476,J$5,FALSE)</f>
        <v>1.7311484020000001</v>
      </c>
      <c r="K16" s="16">
        <f>VLOOKUP($D16,Résultats!$B$2:$AX$476,K$5,FALSE)</f>
        <v>1.7817688439999999</v>
      </c>
      <c r="L16" s="16">
        <f>VLOOKUP($D16,Résultats!$B$2:$AX$476,L$5,FALSE)</f>
        <v>1.8153999839999999</v>
      </c>
      <c r="M16" s="16">
        <f>VLOOKUP($D16,Résultats!$B$2:$AX$476,M$5,FALSE)</f>
        <v>2.151629024</v>
      </c>
      <c r="N16" s="86">
        <f>VLOOKUP($D16,Résultats!$B$2:$AX$476,N$5,FALSE)</f>
        <v>2.451658042</v>
      </c>
      <c r="O16" s="22">
        <f>VLOOKUP($D16,Résultats!$B$2:$AX$476,O$5,FALSE)</f>
        <v>2.8692214379999998</v>
      </c>
      <c r="P16" s="16">
        <f>VLOOKUP($D16,Résultats!$B$2:$AX$476,P$5,FALSE)</f>
        <v>3.2717117519999999</v>
      </c>
      <c r="Q16" s="16">
        <f>VLOOKUP($D16,Résultats!$B$2:$AX$476,Q$5,FALSE)</f>
        <v>3.6619471560000001</v>
      </c>
      <c r="R16" s="16">
        <f>VLOOKUP($D16,Résultats!$B$2:$AX$476,R$5,FALSE)</f>
        <v>4.0525276730000002</v>
      </c>
      <c r="S16" s="86">
        <f>VLOOKUP($D16,Résultats!$B$2:$AX$476,S$5,FALSE)</f>
        <v>4.4432431040000004</v>
      </c>
      <c r="T16" s="95">
        <f>VLOOKUP($D16,Résultats!$B$2:$AX$476,T$5,FALSE)</f>
        <v>5.6719465690000002</v>
      </c>
      <c r="U16" s="95">
        <f>VLOOKUP($D16,Résultats!$B$2:$AX$476,U$5,FALSE)</f>
        <v>6.8663739850000001</v>
      </c>
      <c r="V16" s="95">
        <f>VLOOKUP($D16,Résultats!$B$2:$AX$476,V$5,FALSE)</f>
        <v>8.2036583699999994</v>
      </c>
      <c r="W16" s="95">
        <f>VLOOKUP($D16,Résultats!$B$2:$AX$476,W$5,FALSE)</f>
        <v>9.1847980109999998</v>
      </c>
      <c r="X16" s="45">
        <f>W16-'[1]Cibles THREEME'!$H17</f>
        <v>-1.3053137688796213</v>
      </c>
      <c r="Y16" s="75"/>
    </row>
    <row r="17" spans="1:39" x14ac:dyDescent="0.25">
      <c r="A17" s="3"/>
      <c r="B17" s="320"/>
      <c r="C17" s="3" t="s">
        <v>11</v>
      </c>
      <c r="D17" s="3" t="s">
        <v>364</v>
      </c>
      <c r="E17" s="16">
        <f>VLOOKUP($D17,Résultats!$B$2:$AX$476,E$5,FALSE)</f>
        <v>4.6467055889999997</v>
      </c>
      <c r="F17" s="16">
        <f>VLOOKUP($D17,Résultats!$B$2:$AX$476,F$5,FALSE)</f>
        <v>3.3700998210000002</v>
      </c>
      <c r="G17" s="22">
        <f>VLOOKUP($D17,Résultats!$B$2:$AX$476,G$5,FALSE)</f>
        <v>4.3607617550000004</v>
      </c>
      <c r="H17" s="16">
        <f>VLOOKUP($D17,Résultats!$B$2:$AX$476,H$5,FALSE)</f>
        <v>4.6797603719999996</v>
      </c>
      <c r="I17" s="86">
        <f>VLOOKUP($D17,Résultats!$B$2:$AX$476,I$5,FALSE)</f>
        <v>5.0031365479999996</v>
      </c>
      <c r="J17" s="22">
        <f>VLOOKUP($D17,Résultats!$B$2:$AX$476,J$5,FALSE)</f>
        <v>5.209323339</v>
      </c>
      <c r="K17" s="16">
        <f>VLOOKUP($D17,Résultats!$B$2:$AX$476,K$5,FALSE)</f>
        <v>5.4108117330000001</v>
      </c>
      <c r="L17" s="16">
        <f>VLOOKUP($D17,Résultats!$B$2:$AX$476,L$5,FALSE)</f>
        <v>5.5603686960000003</v>
      </c>
      <c r="M17" s="16">
        <f>VLOOKUP($D17,Résultats!$B$2:$AX$476,M$5,FALSE)</f>
        <v>5.7519362020000004</v>
      </c>
      <c r="N17" s="86">
        <f>VLOOKUP($D17,Résultats!$B$2:$AX$476,N$5,FALSE)</f>
        <v>5.8392618299999999</v>
      </c>
      <c r="O17" s="22">
        <f>VLOOKUP($D17,Résultats!$B$2:$AX$476,O$5,FALSE)</f>
        <v>5.8006780439999996</v>
      </c>
      <c r="P17" s="16">
        <f>VLOOKUP($D17,Résultats!$B$2:$AX$476,P$5,FALSE)</f>
        <v>5.75362711</v>
      </c>
      <c r="Q17" s="16">
        <f>VLOOKUP($D17,Résultats!$B$2:$AX$476,Q$5,FALSE)</f>
        <v>5.7051593719999998</v>
      </c>
      <c r="R17" s="16">
        <f>VLOOKUP($D17,Résultats!$B$2:$AX$476,R$5,FALSE)</f>
        <v>5.6865571289999997</v>
      </c>
      <c r="S17" s="86">
        <f>VLOOKUP($D17,Résultats!$B$2:$AX$476,S$5,FALSE)</f>
        <v>5.6757250600000004</v>
      </c>
      <c r="T17" s="95">
        <f>VLOOKUP($D17,Résultats!$B$2:$AX$476,T$5,FALSE)</f>
        <v>5.0338293509999996</v>
      </c>
      <c r="U17" s="95">
        <f>VLOOKUP($D17,Résultats!$B$2:$AX$476,U$5,FALSE)</f>
        <v>4.7227969219999997</v>
      </c>
      <c r="V17" s="95">
        <f>VLOOKUP($D17,Résultats!$B$2:$AX$476,V$5,FALSE)</f>
        <v>4.6545460219999999</v>
      </c>
      <c r="W17" s="95">
        <f>VLOOKUP($D17,Résultats!$B$2:$AX$476,W$5,FALSE)</f>
        <v>4.4766217990000001</v>
      </c>
      <c r="X17" s="45">
        <f>W17-'[1]Cibles THREEME'!$H18</f>
        <v>-0.98339539790455621</v>
      </c>
      <c r="Y17" s="75"/>
    </row>
    <row r="18" spans="1:39" x14ac:dyDescent="0.25">
      <c r="A18" s="3"/>
      <c r="B18" s="321"/>
      <c r="C18" s="7" t="s">
        <v>12</v>
      </c>
      <c r="D18" s="3" t="s">
        <v>365</v>
      </c>
      <c r="E18" s="17">
        <f>VLOOKUP($D18,Résultats!$B$2:$AX$476,E$5,FALSE)</f>
        <v>1.469719867</v>
      </c>
      <c r="F18" s="17">
        <f>VLOOKUP($D18,Résultats!$B$2:$AX$476,F$5,FALSE)</f>
        <v>4.007704876</v>
      </c>
      <c r="G18" s="88">
        <f>VLOOKUP($D18,Résultats!$B$2:$AX$476,G$5,FALSE)</f>
        <v>3.2556311359999999</v>
      </c>
      <c r="H18" s="17">
        <f>VLOOKUP($D18,Résultats!$B$2:$AX$476,H$5,FALSE)</f>
        <v>2.9892369959999998</v>
      </c>
      <c r="I18" s="89">
        <f>VLOOKUP($D18,Résultats!$B$2:$AX$476,I$5,FALSE)</f>
        <v>2.7256370329999999</v>
      </c>
      <c r="J18" s="88">
        <f>VLOOKUP($D18,Résultats!$B$2:$AX$476,J$5,FALSE)</f>
        <v>2.8619676119999999</v>
      </c>
      <c r="K18" s="17">
        <f>VLOOKUP($D18,Résultats!$B$2:$AX$476,K$5,FALSE)</f>
        <v>2.9964049199999998</v>
      </c>
      <c r="L18" s="17">
        <f>VLOOKUP($D18,Résultats!$B$2:$AX$476,L$5,FALSE)</f>
        <v>3.1025331519999999</v>
      </c>
      <c r="M18" s="17">
        <f>VLOOKUP($D18,Résultats!$B$2:$AX$476,M$5,FALSE)</f>
        <v>3.4462441859999999</v>
      </c>
      <c r="N18" s="89">
        <f>VLOOKUP($D18,Résultats!$B$2:$AX$476,N$5,FALSE)</f>
        <v>3.6252534010000002</v>
      </c>
      <c r="O18" s="88">
        <f>VLOOKUP($D18,Résultats!$B$2:$AX$476,O$5,FALSE)</f>
        <v>3.4399795630000001</v>
      </c>
      <c r="P18" s="17">
        <f>VLOOKUP($D18,Résultats!$B$2:$AX$476,P$5,FALSE)</f>
        <v>3.2566543600000002</v>
      </c>
      <c r="Q18" s="17">
        <f>VLOOKUP($D18,Résultats!$B$2:$AX$476,Q$5,FALSE)</f>
        <v>3.0795825209999999</v>
      </c>
      <c r="R18" s="17">
        <f>VLOOKUP($D18,Résultats!$B$2:$AX$476,R$5,FALSE)</f>
        <v>2.934036474</v>
      </c>
      <c r="S18" s="89">
        <f>VLOOKUP($D18,Résultats!$B$2:$AX$476,S$5,FALSE)</f>
        <v>2.7968391559999999</v>
      </c>
      <c r="T18" s="97">
        <f>VLOOKUP($D18,Résultats!$B$2:$AX$476,T$5,FALSE)</f>
        <v>2.4100999660000002</v>
      </c>
      <c r="U18" s="97">
        <f>VLOOKUP($D18,Résultats!$B$2:$AX$476,U$5,FALSE)</f>
        <v>2.485583289</v>
      </c>
      <c r="V18" s="97">
        <f>VLOOKUP($D18,Résultats!$B$2:$AX$476,V$5,FALSE)</f>
        <v>2.3875935859999999</v>
      </c>
      <c r="W18" s="97">
        <f>VLOOKUP($D18,Résultats!$B$2:$AX$476,W$5,FALSE)</f>
        <v>2.3015011240000001</v>
      </c>
      <c r="X18" s="45">
        <f>W18-'[1]Cibles THREEME'!$H19</f>
        <v>1.1393741103695179</v>
      </c>
      <c r="Y18" s="75"/>
    </row>
    <row r="19" spans="1:39" ht="15" customHeight="1" x14ac:dyDescent="0.25">
      <c r="A19" s="3"/>
      <c r="B19" s="319" t="s">
        <v>53</v>
      </c>
      <c r="C19" s="5" t="s">
        <v>1</v>
      </c>
      <c r="D19" s="2"/>
      <c r="E19" s="6">
        <f>SUM(E20:E25)</f>
        <v>38.516180095199999</v>
      </c>
      <c r="F19" s="6">
        <f>SUM(F20:F25)</f>
        <v>44.203025718700005</v>
      </c>
      <c r="G19" s="84">
        <f t="shared" ref="G19:R19" si="3">SUM(G20:G25)</f>
        <v>43.832871535500004</v>
      </c>
      <c r="H19" s="6">
        <f t="shared" si="3"/>
        <v>42.572183321099999</v>
      </c>
      <c r="I19" s="85">
        <f t="shared" si="3"/>
        <v>41.778735936299988</v>
      </c>
      <c r="J19" s="84">
        <f t="shared" si="3"/>
        <v>41.550340274299991</v>
      </c>
      <c r="K19" s="6">
        <f t="shared" si="3"/>
        <v>41.347700715300007</v>
      </c>
      <c r="L19" s="6">
        <f t="shared" si="3"/>
        <v>41.90422597509999</v>
      </c>
      <c r="M19" s="6">
        <f t="shared" si="3"/>
        <v>41.236008953499997</v>
      </c>
      <c r="N19" s="85">
        <f t="shared" si="3"/>
        <v>40.448176165900001</v>
      </c>
      <c r="O19" s="84">
        <f t="shared" si="3"/>
        <v>39.778387693299997</v>
      </c>
      <c r="P19" s="6">
        <f t="shared" si="3"/>
        <v>39.285980286500006</v>
      </c>
      <c r="Q19" s="6">
        <f t="shared" si="3"/>
        <v>38.768841533699998</v>
      </c>
      <c r="R19" s="6">
        <f t="shared" si="3"/>
        <v>37.674067355599995</v>
      </c>
      <c r="S19" s="85">
        <f>SUM(S20:S25)</f>
        <v>36.574491587099999</v>
      </c>
      <c r="T19" s="94">
        <f>SUM(T20:T25)</f>
        <v>34.790227519999995</v>
      </c>
      <c r="U19" s="94">
        <f>SUM(U20:U25)</f>
        <v>32.904887881999997</v>
      </c>
      <c r="V19" s="94">
        <f>SUM(V20:V25)</f>
        <v>33.011009213000001</v>
      </c>
      <c r="W19" s="94">
        <f>SUM(W20:W25)</f>
        <v>30.833399913999997</v>
      </c>
      <c r="X19" s="3"/>
      <c r="Y19" s="75"/>
    </row>
    <row r="20" spans="1:39" x14ac:dyDescent="0.25">
      <c r="A20" s="3"/>
      <c r="B20" s="320"/>
      <c r="C20" s="3" t="s">
        <v>13</v>
      </c>
      <c r="D20" s="3" t="s">
        <v>366</v>
      </c>
      <c r="E20" s="16">
        <f>VLOOKUP($D20,Résultats!$B$2:$AX$476,E$5,FALSE)</f>
        <v>35.35928097</v>
      </c>
      <c r="F20" s="16">
        <f>VLOOKUP($D20,Résultats!$B$2:$AX$476,F$5,FALSE)</f>
        <v>31.102383459999999</v>
      </c>
      <c r="G20" s="22">
        <f>VLOOKUP($D20,Résultats!$B$2:$AX$476,G$5,FALSE)</f>
        <v>30.328958759999999</v>
      </c>
      <c r="H20" s="16">
        <f>VLOOKUP($D20,Résultats!$B$2:$AX$476,H$5,FALSE)</f>
        <v>29.32267877</v>
      </c>
      <c r="I20" s="86">
        <f>VLOOKUP($D20,Résultats!$B$2:$AX$476,I$5,FALSE)</f>
        <v>28.66014169</v>
      </c>
      <c r="J20" s="22">
        <f>VLOOKUP($D20,Résultats!$B$2:$AX$476,J$5,FALSE)</f>
        <v>27.367360550000001</v>
      </c>
      <c r="K20" s="16">
        <f>VLOOKUP($D20,Résultats!$B$2:$AX$476,K$5,FALSE)</f>
        <v>26.074688040000002</v>
      </c>
      <c r="L20" s="16">
        <f>VLOOKUP($D20,Résultats!$B$2:$AX$476,L$5,FALSE)</f>
        <v>24.971424280000001</v>
      </c>
      <c r="M20" s="16">
        <f>VLOOKUP($D20,Résultats!$B$2:$AX$476,M$5,FALSE)</f>
        <v>24.480145109999999</v>
      </c>
      <c r="N20" s="86">
        <f>VLOOKUP($D20,Résultats!$B$2:$AX$476,N$5,FALSE)</f>
        <v>23.60174868</v>
      </c>
      <c r="O20" s="22">
        <f>VLOOKUP($D20,Résultats!$B$2:$AX$476,O$5,FALSE)</f>
        <v>22.28061688</v>
      </c>
      <c r="P20" s="16">
        <f>VLOOKUP($D20,Résultats!$B$2:$AX$476,P$5,FALSE)</f>
        <v>21.096536329999999</v>
      </c>
      <c r="Q20" s="16">
        <f>VLOOKUP($D20,Résultats!$B$2:$AX$476,Q$5,FALSE)</f>
        <v>19.929447710000002</v>
      </c>
      <c r="R20" s="16">
        <f>VLOOKUP($D20,Résultats!$B$2:$AX$476,R$5,FALSE)</f>
        <v>18.540420019999999</v>
      </c>
      <c r="S20" s="86">
        <f>VLOOKUP($D20,Résultats!$B$2:$AX$476,S$5,FALSE)</f>
        <v>17.199026740000001</v>
      </c>
      <c r="T20" s="95">
        <f>VLOOKUP($D20,Résultats!$B$2:$AX$476,T$5,FALSE)</f>
        <v>9.949038732</v>
      </c>
      <c r="U20" s="95">
        <f>VLOOKUP($D20,Résultats!$B$2:$AX$476,U$5,FALSE)</f>
        <v>9.3639158499999997</v>
      </c>
      <c r="V20" s="95">
        <f>VLOOKUP($D20,Résultats!$B$2:$AX$476,V$5,FALSE)</f>
        <v>3.1113981850000001</v>
      </c>
      <c r="W20" s="95">
        <f>VLOOKUP($D20,Résultats!$B$2:$AX$476,W$5,FALSE)</f>
        <v>5.1460009659999999</v>
      </c>
      <c r="X20" s="45">
        <f>W20-'[1]Cibles THREEME'!$H28</f>
        <v>-0.29278176355945806</v>
      </c>
      <c r="Y20" s="75"/>
    </row>
    <row r="21" spans="1:39" x14ac:dyDescent="0.25">
      <c r="A21" s="3"/>
      <c r="B21" s="320"/>
      <c r="C21" s="3" t="s">
        <v>14</v>
      </c>
      <c r="D21" s="3" t="s">
        <v>367</v>
      </c>
      <c r="E21" s="16">
        <f>VLOOKUP($D21,Résultats!$B$2:$AX$476,E$5,FALSE)</f>
        <v>1.608611019</v>
      </c>
      <c r="F21" s="16">
        <f>VLOOKUP($D21,Résultats!$B$2:$AX$476,F$5,FALSE)</f>
        <v>7.8677095860000001</v>
      </c>
      <c r="G21" s="22">
        <f>VLOOKUP($D21,Résultats!$B$2:$AX$476,G$5,FALSE)</f>
        <v>8.0993002020000002</v>
      </c>
      <c r="H21" s="16">
        <f>VLOOKUP($D21,Résultats!$B$2:$AX$476,H$5,FALSE)</f>
        <v>7.9712371209999997</v>
      </c>
      <c r="I21" s="86">
        <f>VLOOKUP($D21,Résultats!$B$2:$AX$476,I$5,FALSE)</f>
        <v>7.9300988889999999</v>
      </c>
      <c r="J21" s="22">
        <f>VLOOKUP($D21,Résultats!$B$2:$AX$476,J$5,FALSE)</f>
        <v>8.1062133749999994</v>
      </c>
      <c r="K21" s="16">
        <f>VLOOKUP($D21,Résultats!$B$2:$AX$476,K$5,FALSE)</f>
        <v>8.2906617560000004</v>
      </c>
      <c r="L21" s="16">
        <f>VLOOKUP($D21,Résultats!$B$2:$AX$476,L$5,FALSE)</f>
        <v>8.8455036899999904</v>
      </c>
      <c r="M21" s="16">
        <f>VLOOKUP($D21,Résultats!$B$2:$AX$476,M$5,FALSE)</f>
        <v>8.4023294740000001</v>
      </c>
      <c r="N21" s="86">
        <f>VLOOKUP($D21,Résultats!$B$2:$AX$476,N$5,FALSE)</f>
        <v>8.2118143660000005</v>
      </c>
      <c r="O21" s="22">
        <f>VLOOKUP($D21,Résultats!$B$2:$AX$476,O$5,FALSE)</f>
        <v>8.1265418769999904</v>
      </c>
      <c r="P21" s="16">
        <f>VLOOKUP($D21,Résultats!$B$2:$AX$476,P$5,FALSE)</f>
        <v>8.0758311159999998</v>
      </c>
      <c r="Q21" s="16">
        <f>VLOOKUP($D21,Résultats!$B$2:$AX$476,Q$5,FALSE)</f>
        <v>8.0217932580000006</v>
      </c>
      <c r="R21" s="16">
        <f>VLOOKUP($D21,Résultats!$B$2:$AX$476,R$5,FALSE)</f>
        <v>7.8755491170000003</v>
      </c>
      <c r="S21" s="86">
        <f>VLOOKUP($D21,Résultats!$B$2:$AX$476,S$5,FALSE)</f>
        <v>7.7323338079999999</v>
      </c>
      <c r="T21" s="95">
        <f>VLOOKUP($D21,Résultats!$B$2:$AX$476,T$5,FALSE)</f>
        <v>9.1988301620000001</v>
      </c>
      <c r="U21" s="95">
        <f>VLOOKUP($D21,Résultats!$B$2:$AX$476,U$5,FALSE)</f>
        <v>6.8958030949999998</v>
      </c>
      <c r="V21" s="95">
        <f>VLOOKUP($D21,Résultats!$B$2:$AX$476,V$5,FALSE)</f>
        <v>9.8556126010000007</v>
      </c>
      <c r="W21" s="95">
        <f>VLOOKUP($D21,Résultats!$B$2:$AX$476,W$5,FALSE)</f>
        <v>6.6824331719999996</v>
      </c>
      <c r="X21" s="45">
        <f>W21-'[1]Cibles THREEME'!$H29</f>
        <v>-5.2287526636686685</v>
      </c>
      <c r="Y21" s="75"/>
    </row>
    <row r="22" spans="1:39" x14ac:dyDescent="0.25">
      <c r="A22" s="3"/>
      <c r="B22" s="320"/>
      <c r="C22" s="3" t="s">
        <v>15</v>
      </c>
      <c r="D22" s="3" t="s">
        <v>368</v>
      </c>
      <c r="E22" s="16">
        <f>VLOOKUP($D22,Résultats!$B$2:$AX$476,E$5,FALSE)</f>
        <v>0.20107637740000001</v>
      </c>
      <c r="F22" s="16">
        <f>VLOOKUP($D22,Résultats!$B$2:$AX$476,F$5,FALSE)</f>
        <v>0.13297151669999999</v>
      </c>
      <c r="G22" s="22">
        <f>VLOOKUP($D22,Résultats!$B$2:$AX$476,G$5,FALSE)</f>
        <v>0.33109929020000001</v>
      </c>
      <c r="H22" s="16">
        <f>VLOOKUP($D22,Résultats!$B$2:$AX$476,H$5,FALSE)</f>
        <v>0.3865454821</v>
      </c>
      <c r="I22" s="86">
        <f>VLOOKUP($D22,Résultats!$B$2:$AX$476,I$5,FALSE)</f>
        <v>0.4434989258</v>
      </c>
      <c r="J22" s="22">
        <f>VLOOKUP($D22,Résultats!$B$2:$AX$476,J$5,FALSE)</f>
        <v>0.68777384009999998</v>
      </c>
      <c r="K22" s="16">
        <f>VLOOKUP($D22,Résultats!$B$2:$AX$476,K$5,FALSE)</f>
        <v>0.93637852340000005</v>
      </c>
      <c r="L22" s="16">
        <f>VLOOKUP($D22,Résultats!$B$2:$AX$476,L$5,FALSE)</f>
        <v>1.2231619220000001</v>
      </c>
      <c r="M22" s="16">
        <f>VLOOKUP($D22,Résultats!$B$2:$AX$476,M$5,FALSE)</f>
        <v>1.3059159849999999</v>
      </c>
      <c r="N22" s="86">
        <f>VLOOKUP($D22,Résultats!$B$2:$AX$476,N$5,FALSE)</f>
        <v>1.390022133</v>
      </c>
      <c r="O22" s="22">
        <f>VLOOKUP($D22,Résultats!$B$2:$AX$476,O$5,FALSE)</f>
        <v>1.789795877</v>
      </c>
      <c r="P22" s="16">
        <f>VLOOKUP($D22,Résultats!$B$2:$AX$476,P$5,FALSE)</f>
        <v>2.1802668810000001</v>
      </c>
      <c r="Q22" s="16">
        <f>VLOOKUP($D22,Résultats!$B$2:$AX$476,Q$5,FALSE)</f>
        <v>2.5539271160000001</v>
      </c>
      <c r="R22" s="16">
        <f>VLOOKUP($D22,Résultats!$B$2:$AX$476,R$5,FALSE)</f>
        <v>2.8119004799999998</v>
      </c>
      <c r="S22" s="86">
        <f>VLOOKUP($D22,Résultats!$B$2:$AX$476,S$5,FALSE)</f>
        <v>3.0454165039999999</v>
      </c>
      <c r="T22" s="95">
        <f>VLOOKUP($D22,Résultats!$B$2:$AX$476,T$5,FALSE)</f>
        <v>5.3301522410000004</v>
      </c>
      <c r="U22" s="95">
        <f>VLOOKUP($D22,Résultats!$B$2:$AX$476,U$5,FALSE)</f>
        <v>6.8508876470000004</v>
      </c>
      <c r="V22" s="95">
        <f>VLOOKUP($D22,Résultats!$B$2:$AX$476,V$5,FALSE)</f>
        <v>8.6456587969999994</v>
      </c>
      <c r="W22" s="95">
        <f>VLOOKUP($D22,Résultats!$B$2:$AX$476,W$5,FALSE)</f>
        <v>9.3290843690000003</v>
      </c>
      <c r="X22" s="45">
        <f>W22-'[1]Cibles THREEME'!$H30</f>
        <v>-2.9965249435252712</v>
      </c>
      <c r="Y22" s="75"/>
      <c r="Z22" s="75"/>
      <c r="AA22" s="75"/>
    </row>
    <row r="23" spans="1:39" x14ac:dyDescent="0.25">
      <c r="A23" s="3"/>
      <c r="B23" s="320"/>
      <c r="C23" s="3" t="s">
        <v>16</v>
      </c>
      <c r="D23" s="3" t="s">
        <v>369</v>
      </c>
      <c r="E23" s="16">
        <f>VLOOKUP($D23,Résultats!$B$2:$AX$476,E$5,FALSE)</f>
        <v>0.74398259649999998</v>
      </c>
      <c r="F23" s="16">
        <f>VLOOKUP($D23,Résultats!$B$2:$AX$476,F$5,FALSE)</f>
        <v>0.66940513400000001</v>
      </c>
      <c r="G23" s="22">
        <f>VLOOKUP($D23,Résultats!$B$2:$AX$476,G$5,FALSE)</f>
        <v>1.4110258920000001</v>
      </c>
      <c r="H23" s="16">
        <f>VLOOKUP($D23,Résultats!$B$2:$AX$476,H$5,FALSE)</f>
        <v>1.567872919</v>
      </c>
      <c r="I23" s="86">
        <f>VLOOKUP($D23,Résultats!$B$2:$AX$476,I$5,FALSE)</f>
        <v>1.7110120879999999</v>
      </c>
      <c r="J23" s="22">
        <f>VLOOKUP($D23,Résultats!$B$2:$AX$476,J$5,FALSE)</f>
        <v>1.759950264</v>
      </c>
      <c r="K23" s="16">
        <f>VLOOKUP($D23,Résultats!$B$2:$AX$476,K$5,FALSE)</f>
        <v>1.809986842</v>
      </c>
      <c r="L23" s="16">
        <f>VLOOKUP($D23,Résultats!$B$2:$AX$476,L$5,FALSE)</f>
        <v>1.901194354</v>
      </c>
      <c r="M23" s="16">
        <f>VLOOKUP($D23,Résultats!$B$2:$AX$476,M$5,FALSE)</f>
        <v>1.5989523830000001</v>
      </c>
      <c r="N23" s="86">
        <f>VLOOKUP($D23,Résultats!$B$2:$AX$476,N$5,FALSE)</f>
        <v>1.361028065</v>
      </c>
      <c r="O23" s="22">
        <f>VLOOKUP($D23,Résultats!$B$2:$AX$476,O$5,FALSE)</f>
        <v>1.3782043319999999</v>
      </c>
      <c r="P23" s="16">
        <f>VLOOKUP($D23,Résultats!$B$2:$AX$476,P$5,FALSE)</f>
        <v>1.399790946</v>
      </c>
      <c r="Q23" s="16">
        <f>VLOOKUP($D23,Résultats!$B$2:$AX$476,Q$5,FALSE)</f>
        <v>1.4191026849999999</v>
      </c>
      <c r="R23" s="16">
        <f>VLOOKUP($D23,Résultats!$B$2:$AX$476,R$5,FALSE)</f>
        <v>1.4048969630000001</v>
      </c>
      <c r="S23" s="86">
        <f>VLOOKUP($D23,Résultats!$B$2:$AX$476,S$5,FALSE)</f>
        <v>1.389036202</v>
      </c>
      <c r="T23" s="95">
        <f>VLOOKUP($D23,Résultats!$B$2:$AX$476,T$5,FALSE)</f>
        <v>1.44592031</v>
      </c>
      <c r="U23" s="95">
        <f>VLOOKUP($D23,Résultats!$B$2:$AX$476,U$5,FALSE)</f>
        <v>1.172037947</v>
      </c>
      <c r="V23" s="95">
        <f>VLOOKUP($D23,Résultats!$B$2:$AX$476,V$5,FALSE)</f>
        <v>1.4131593090000001</v>
      </c>
      <c r="W23" s="95">
        <f>VLOOKUP($D23,Résultats!$B$2:$AX$476,W$5,FALSE)</f>
        <v>1.0295432470000001</v>
      </c>
      <c r="X23" s="45">
        <f>W23-'[1]Cibles THREEME'!$H31</f>
        <v>0.23802270299278294</v>
      </c>
      <c r="Y23" s="75"/>
      <c r="Z23" s="75"/>
      <c r="AA23" s="75"/>
    </row>
    <row r="24" spans="1:39" x14ac:dyDescent="0.25">
      <c r="A24" s="3"/>
      <c r="B24" s="320"/>
      <c r="C24" s="3" t="s">
        <v>17</v>
      </c>
      <c r="D24" s="3" t="s">
        <v>370</v>
      </c>
      <c r="E24" s="16">
        <f>VLOOKUP($D24,Résultats!$B$2:$AX$476,E$5,FALSE)</f>
        <v>0.20107637740000001</v>
      </c>
      <c r="F24" s="16">
        <f>VLOOKUP($D24,Résultats!$B$2:$AX$476,F$5,FALSE)</f>
        <v>0.22606005000000001</v>
      </c>
      <c r="G24" s="22">
        <f>VLOOKUP($D24,Résultats!$B$2:$AX$476,G$5,FALSE)</f>
        <v>0.33312861830000001</v>
      </c>
      <c r="H24" s="16">
        <f>VLOOKUP($D24,Résultats!$B$2:$AX$476,H$5,FALSE)</f>
        <v>0.35923544200000002</v>
      </c>
      <c r="I24" s="86">
        <f>VLOOKUP($D24,Résultats!$B$2:$AX$476,I$5,FALSE)</f>
        <v>0.38785956649999997</v>
      </c>
      <c r="J24" s="22">
        <f>VLOOKUP($D24,Résultats!$B$2:$AX$476,J$5,FALSE)</f>
        <v>0.45957319819999998</v>
      </c>
      <c r="K24" s="16">
        <f>VLOOKUP($D24,Résultats!$B$2:$AX$476,K$5,FALSE)</f>
        <v>0.53273442090000001</v>
      </c>
      <c r="L24" s="16">
        <f>VLOOKUP($D24,Résultats!$B$2:$AX$476,L$5,FALSE)</f>
        <v>0.63977418610000003</v>
      </c>
      <c r="M24" s="16">
        <f>VLOOKUP($D24,Résultats!$B$2:$AX$476,M$5,FALSE)</f>
        <v>0.60125901250000002</v>
      </c>
      <c r="N24" s="86">
        <f>VLOOKUP($D24,Résultats!$B$2:$AX$476,N$5,FALSE)</f>
        <v>0.59360389790000001</v>
      </c>
      <c r="O24" s="22">
        <f>VLOOKUP($D24,Résultats!$B$2:$AX$476,O$5,FALSE)</f>
        <v>0.63004119830000005</v>
      </c>
      <c r="P24" s="16">
        <f>VLOOKUP($D24,Résultats!$B$2:$AX$476,P$5,FALSE)</f>
        <v>0.66743118050000005</v>
      </c>
      <c r="Q24" s="16">
        <f>VLOOKUP($D24,Résultats!$B$2:$AX$476,Q$5,FALSE)</f>
        <v>0.70305747870000002</v>
      </c>
      <c r="R24" s="16">
        <f>VLOOKUP($D24,Résultats!$B$2:$AX$476,R$5,FALSE)</f>
        <v>0.73045671960000003</v>
      </c>
      <c r="S24" s="86">
        <f>VLOOKUP($D24,Résultats!$B$2:$AX$476,S$5,FALSE)</f>
        <v>0.75527158110000003</v>
      </c>
      <c r="T24" s="95">
        <f>VLOOKUP($D24,Résultats!$B$2:$AX$476,T$5,FALSE)</f>
        <v>1.226161251</v>
      </c>
      <c r="U24" s="95">
        <f>VLOOKUP($D24,Résultats!$B$2:$AX$476,U$5,FALSE)</f>
        <v>1.005886536</v>
      </c>
      <c r="V24" s="95">
        <f>VLOOKUP($D24,Résultats!$B$2:$AX$476,V$5,FALSE)</f>
        <v>1.452888886</v>
      </c>
      <c r="W24" s="95">
        <f>VLOOKUP($D24,Résultats!$B$2:$AX$476,W$5,FALSE)</f>
        <v>1.076456372</v>
      </c>
      <c r="X24" s="45">
        <f>W24-'[1]Cibles THREEME'!$H32</f>
        <v>0.81850280364230432</v>
      </c>
      <c r="Y24" s="75"/>
      <c r="Z24" s="75"/>
      <c r="AA24" s="75"/>
    </row>
    <row r="25" spans="1:39" x14ac:dyDescent="0.25">
      <c r="A25" s="3"/>
      <c r="B25" s="321"/>
      <c r="C25" s="7" t="s">
        <v>12</v>
      </c>
      <c r="D25" s="3" t="s">
        <v>371</v>
      </c>
      <c r="E25" s="17">
        <f>VLOOKUP($D25,Résultats!$B$2:$AX$476,E$5,FALSE)</f>
        <v>0.40215275490000002</v>
      </c>
      <c r="F25" s="17">
        <f>VLOOKUP($D25,Résultats!$B$2:$AX$476,F$5,FALSE)</f>
        <v>4.2044959720000001</v>
      </c>
      <c r="G25" s="88">
        <f>VLOOKUP($D25,Résultats!$B$2:$AX$476,G$5,FALSE)</f>
        <v>3.329358773</v>
      </c>
      <c r="H25" s="17">
        <f>VLOOKUP($D25,Résultats!$B$2:$AX$476,H$5,FALSE)</f>
        <v>2.9646135870000001</v>
      </c>
      <c r="I25" s="89">
        <f>VLOOKUP($D25,Résultats!$B$2:$AX$476,I$5,FALSE)</f>
        <v>2.6461247769999998</v>
      </c>
      <c r="J25" s="88">
        <f>VLOOKUP($D25,Résultats!$B$2:$AX$476,J$5,FALSE)</f>
        <v>3.1694690470000002</v>
      </c>
      <c r="K25" s="17">
        <f>VLOOKUP($D25,Résultats!$B$2:$AX$476,K$5,FALSE)</f>
        <v>3.7032511330000002</v>
      </c>
      <c r="L25" s="17">
        <f>VLOOKUP($D25,Résultats!$B$2:$AX$476,L$5,FALSE)</f>
        <v>4.3231675430000003</v>
      </c>
      <c r="M25" s="17">
        <f>VLOOKUP($D25,Résultats!$B$2:$AX$476,M$5,FALSE)</f>
        <v>4.8474069890000004</v>
      </c>
      <c r="N25" s="89">
        <f>VLOOKUP($D25,Résultats!$B$2:$AX$476,N$5,FALSE)</f>
        <v>5.2899590239999998</v>
      </c>
      <c r="O25" s="88">
        <f>VLOOKUP($D25,Résultats!$B$2:$AX$476,O$5,FALSE)</f>
        <v>5.5731875290000001</v>
      </c>
      <c r="P25" s="17">
        <f>VLOOKUP($D25,Résultats!$B$2:$AX$476,P$5,FALSE)</f>
        <v>5.8661238329999996</v>
      </c>
      <c r="Q25" s="17">
        <f>VLOOKUP($D25,Résultats!$B$2:$AX$476,Q$5,FALSE)</f>
        <v>6.1415132860000003</v>
      </c>
      <c r="R25" s="17">
        <f>VLOOKUP($D25,Résultats!$B$2:$AX$476,R$5,FALSE)</f>
        <v>6.3108440559999996</v>
      </c>
      <c r="S25" s="89">
        <f>VLOOKUP($D25,Résultats!$B$2:$AX$476,S$5,FALSE)</f>
        <v>6.4534067520000002</v>
      </c>
      <c r="T25" s="97">
        <f>VLOOKUP($D25,Résultats!$B$2:$AX$476,T$5,FALSE)</f>
        <v>7.6401248239999999</v>
      </c>
      <c r="U25" s="97">
        <f>VLOOKUP($D25,Résultats!$B$2:$AX$476,U$5,FALSE)</f>
        <v>7.6163568069999998</v>
      </c>
      <c r="V25" s="97">
        <f>VLOOKUP($D25,Résultats!$B$2:$AX$476,V$5,FALSE)</f>
        <v>8.5322914349999994</v>
      </c>
      <c r="W25" s="97">
        <f>VLOOKUP($D25,Résultats!$B$2:$AX$476,W$5,FALSE)</f>
        <v>7.569881788</v>
      </c>
      <c r="X25" s="45">
        <f>W25-'[1]Cibles THREEME'!$H33</f>
        <v>8.8718445030609772E-2</v>
      </c>
      <c r="Y25" s="75"/>
      <c r="Z25" s="75"/>
      <c r="AA25" s="75"/>
    </row>
    <row r="26" spans="1:39" x14ac:dyDescent="0.25">
      <c r="A26" s="3"/>
      <c r="B26" s="170" t="s">
        <v>8</v>
      </c>
      <c r="C26" s="2"/>
      <c r="D26" s="14" t="s">
        <v>372</v>
      </c>
      <c r="E26" s="6">
        <f>VLOOKUP($D26,Résultats!$B$2:$AX$476,E$5,FALSE)</f>
        <v>5.7508898210000003</v>
      </c>
      <c r="F26" s="6">
        <f>VLOOKUP($D26,Résultats!$B$2:$AX$476,F$5,FALSE)</f>
        <v>4.2193120510000002</v>
      </c>
      <c r="G26" s="84">
        <f>VLOOKUP($D26,Résultats!$B$2:$AX$476,G$5,FALSE)</f>
        <v>2.4621726910000001</v>
      </c>
      <c r="H26" s="6">
        <f>VLOOKUP($D26,Résultats!$B$2:$AX$476,H$5,FALSE)</f>
        <v>2.2477257349999999</v>
      </c>
      <c r="I26" s="85">
        <f>VLOOKUP($D26,Résultats!$B$2:$AX$476,I$5,FALSE)</f>
        <v>2.062420516</v>
      </c>
      <c r="J26" s="84">
        <f>VLOOKUP($D26,Résultats!$B$2:$AX$476,J$5,FALSE)</f>
        <v>2.0475836049999998</v>
      </c>
      <c r="K26" s="6">
        <f>VLOOKUP($D26,Résultats!$B$2:$AX$476,K$5,FALSE)</f>
        <v>2.0123358539999998</v>
      </c>
      <c r="L26" s="6">
        <f>VLOOKUP($D26,Résultats!$B$2:$AX$476,L$5,FALSE)</f>
        <v>1.7120392419999999</v>
      </c>
      <c r="M26" s="6">
        <f>VLOOKUP($D26,Résultats!$B$2:$AX$476,M$5,FALSE)</f>
        <v>1.330220623</v>
      </c>
      <c r="N26" s="85">
        <f>VLOOKUP($D26,Résultats!$B$2:$AX$476,N$5,FALSE)</f>
        <v>0.97370411980000005</v>
      </c>
      <c r="O26" s="84">
        <f>VLOOKUP($D26,Résultats!$B$2:$AX$476,O$5,FALSE)</f>
        <v>0.72808990019999997</v>
      </c>
      <c r="P26" s="6">
        <f>VLOOKUP($D26,Résultats!$B$2:$AX$476,P$5,FALSE)</f>
        <v>0.56370066780000005</v>
      </c>
      <c r="Q26" s="6">
        <f>VLOOKUP($D26,Résultats!$B$2:$AX$476,Q$5,FALSE)</f>
        <v>0.44879287179999999</v>
      </c>
      <c r="R26" s="6">
        <f>VLOOKUP($D26,Résultats!$B$2:$AX$476,R$5,FALSE)</f>
        <v>0.36577980329999998</v>
      </c>
      <c r="S26" s="85">
        <f>VLOOKUP($D26,Résultats!$B$2:$AX$476,S$5,FALSE)</f>
        <v>0.30519171859999999</v>
      </c>
      <c r="T26" s="94">
        <f>VLOOKUP($D26,Résultats!$B$2:$AX$476,T$5,FALSE)</f>
        <v>0.1942664872</v>
      </c>
      <c r="U26" s="94">
        <f>VLOOKUP($D26,Résultats!$B$2:$AX$476,U$5,FALSE)</f>
        <v>0.15088655200000001</v>
      </c>
      <c r="V26" s="94">
        <f>VLOOKUP($D26,Résultats!$B$2:$AX$476,V$5,FALSE)</f>
        <v>0.1220672952</v>
      </c>
      <c r="W26" s="94">
        <f>VLOOKUP($D26,Résultats!$B$2:$AX$476,W$5,FALSE)</f>
        <v>0.1034625856</v>
      </c>
      <c r="X26" s="3"/>
      <c r="Y26" s="75"/>
      <c r="Z26" s="75"/>
      <c r="AA26" s="75"/>
    </row>
    <row r="27" spans="1:39" x14ac:dyDescent="0.25">
      <c r="A27" s="3"/>
      <c r="B27" s="169" t="s">
        <v>1</v>
      </c>
      <c r="C27" s="2"/>
      <c r="D27" s="2"/>
      <c r="E27" s="9">
        <f>E26+E19+E10+E7</f>
        <v>264.98908550330003</v>
      </c>
      <c r="F27" s="9">
        <f>F26+F19+F10+F7</f>
        <v>269.57398881470004</v>
      </c>
      <c r="G27" s="23">
        <f t="shared" ref="G27:R27" si="4">G26+G19+G10+G7</f>
        <v>250.20162274879999</v>
      </c>
      <c r="H27" s="9">
        <f t="shared" si="4"/>
        <v>242.85762987279998</v>
      </c>
      <c r="I27" s="90">
        <f t="shared" si="4"/>
        <v>235.65598998889999</v>
      </c>
      <c r="J27" s="23">
        <f t="shared" si="4"/>
        <v>233.86841983219998</v>
      </c>
      <c r="K27" s="9">
        <f t="shared" si="4"/>
        <v>231.55228256330003</v>
      </c>
      <c r="L27" s="9">
        <f t="shared" si="4"/>
        <v>228.35056396869999</v>
      </c>
      <c r="M27" s="9">
        <f t="shared" si="4"/>
        <v>235.51960235660002</v>
      </c>
      <c r="N27" s="90">
        <f t="shared" si="4"/>
        <v>240.38614922559998</v>
      </c>
      <c r="O27" s="23">
        <f t="shared" si="4"/>
        <v>235.6051873044</v>
      </c>
      <c r="P27" s="9">
        <f t="shared" si="4"/>
        <v>231.00286489870001</v>
      </c>
      <c r="Q27" s="9">
        <f t="shared" si="4"/>
        <v>226.4642599803</v>
      </c>
      <c r="R27" s="9">
        <f t="shared" si="4"/>
        <v>222.15577650070003</v>
      </c>
      <c r="S27" s="90">
        <f>S26+S19+S10+S7</f>
        <v>218.06691922740004</v>
      </c>
      <c r="T27" s="98">
        <f>T26+T19+T10+T7</f>
        <v>186.33993392276</v>
      </c>
      <c r="U27" s="98">
        <f>U26+U19+U10+U7</f>
        <v>174.86267429536002</v>
      </c>
      <c r="V27" s="98">
        <f>V26+V19+V10+V7</f>
        <v>154.61427162187999</v>
      </c>
      <c r="W27" s="98">
        <f>W26+W19+W10+W7</f>
        <v>135.33402129973999</v>
      </c>
      <c r="X27" s="3"/>
      <c r="Y27" s="75"/>
      <c r="Z27" s="75"/>
      <c r="AA27" s="75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172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61" t="str">
        <f>Résultats!B1</f>
        <v>SNBC3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166" t="s">
        <v>91</v>
      </c>
      <c r="AA31" s="166"/>
      <c r="AB31" s="166"/>
      <c r="AC31" s="38"/>
      <c r="AE31" s="166" t="s">
        <v>94</v>
      </c>
      <c r="AF31" s="166"/>
      <c r="AG31" s="166"/>
      <c r="AH31" s="38"/>
      <c r="AJ31" s="166" t="s">
        <v>95</v>
      </c>
      <c r="AK31" s="166"/>
      <c r="AL31" s="166"/>
      <c r="AM31" s="38"/>
    </row>
    <row r="32" spans="1:39" x14ac:dyDescent="0.25">
      <c r="A32" s="3"/>
      <c r="B32" s="168"/>
      <c r="C32" s="2"/>
      <c r="D32" s="15"/>
      <c r="E32" s="4">
        <v>2006</v>
      </c>
      <c r="F32" s="4">
        <v>2015</v>
      </c>
      <c r="G32" s="20">
        <v>2018</v>
      </c>
      <c r="H32" s="27">
        <v>2019</v>
      </c>
      <c r="I32" s="83">
        <v>2020</v>
      </c>
      <c r="J32" s="91">
        <v>2021</v>
      </c>
      <c r="K32" s="27">
        <v>2022</v>
      </c>
      <c r="L32" s="27">
        <v>2023</v>
      </c>
      <c r="M32" s="27">
        <v>2024</v>
      </c>
      <c r="N32" s="83">
        <v>2025</v>
      </c>
      <c r="O32" s="91">
        <v>2026</v>
      </c>
      <c r="P32" s="27">
        <v>2027</v>
      </c>
      <c r="Q32" s="27">
        <v>2028</v>
      </c>
      <c r="R32" s="27">
        <v>2029</v>
      </c>
      <c r="S32" s="92">
        <v>2030</v>
      </c>
      <c r="T32" s="93">
        <v>2035</v>
      </c>
      <c r="U32" s="93">
        <v>2040</v>
      </c>
      <c r="V32" s="93">
        <v>2045</v>
      </c>
      <c r="W32" s="93">
        <v>2050</v>
      </c>
      <c r="X32" s="3"/>
      <c r="Z32" s="194"/>
      <c r="AA32" s="195">
        <v>2020</v>
      </c>
      <c r="AB32" s="195">
        <v>2030</v>
      </c>
      <c r="AC32" s="196">
        <v>2050</v>
      </c>
      <c r="AE32" s="194"/>
      <c r="AF32" s="195">
        <v>2020</v>
      </c>
      <c r="AG32" s="195">
        <v>2030</v>
      </c>
      <c r="AH32" s="196">
        <v>2050</v>
      </c>
      <c r="AJ32" s="194"/>
      <c r="AK32" s="195">
        <v>2020</v>
      </c>
      <c r="AL32" s="195">
        <v>2030</v>
      </c>
      <c r="AM32" s="196">
        <v>2050</v>
      </c>
    </row>
    <row r="33" spans="1:39" x14ac:dyDescent="0.25">
      <c r="A33" s="3"/>
      <c r="B33" s="319" t="s">
        <v>0</v>
      </c>
      <c r="C33" s="5" t="s">
        <v>1</v>
      </c>
      <c r="D33" s="2" t="s">
        <v>373</v>
      </c>
      <c r="E33" s="6">
        <f>SUM(E34:E35)</f>
        <v>80.669792335099999</v>
      </c>
      <c r="F33" s="6">
        <f>SUM(F34:F35)</f>
        <v>71.259217740000011</v>
      </c>
      <c r="G33" s="84">
        <f t="shared" ref="G33:R33" si="5">SUM(G34:G35)</f>
        <v>65.874058519000002</v>
      </c>
      <c r="H33" s="6">
        <f t="shared" si="5"/>
        <v>64.649797309999997</v>
      </c>
      <c r="I33" s="85">
        <f t="shared" si="5"/>
        <v>63.03237601</v>
      </c>
      <c r="J33" s="84">
        <f t="shared" si="5"/>
        <v>62.640839763000002</v>
      </c>
      <c r="K33" s="6">
        <f t="shared" si="5"/>
        <v>61.837696858000001</v>
      </c>
      <c r="L33" s="6">
        <f t="shared" si="5"/>
        <v>60.797643256000001</v>
      </c>
      <c r="M33" s="6">
        <f t="shared" si="5"/>
        <v>58.768482843000001</v>
      </c>
      <c r="N33" s="85">
        <f t="shared" si="5"/>
        <v>56.582999729000001</v>
      </c>
      <c r="O33" s="84">
        <f t="shared" si="5"/>
        <v>54.487681550999994</v>
      </c>
      <c r="P33" s="6">
        <f t="shared" si="5"/>
        <v>52.505739366</v>
      </c>
      <c r="Q33" s="6">
        <f t="shared" si="5"/>
        <v>50.588105487</v>
      </c>
      <c r="R33" s="6">
        <f t="shared" si="5"/>
        <v>48.582598593</v>
      </c>
      <c r="S33" s="85">
        <f>SUM(S34:S35)</f>
        <v>46.585679248000005</v>
      </c>
      <c r="T33" s="94">
        <f>SUM(T34:T35)</f>
        <v>37.068007842</v>
      </c>
      <c r="U33" s="94">
        <f>SUM(U34:U35)</f>
        <v>28.792704369999999</v>
      </c>
      <c r="V33" s="94">
        <f>SUM(V34:V35)</f>
        <v>22.485387000999999</v>
      </c>
      <c r="W33" s="94">
        <f>SUM(W34:W35)</f>
        <v>18.52751657</v>
      </c>
      <c r="X33" s="3"/>
      <c r="Z33" s="197" t="s">
        <v>42</v>
      </c>
      <c r="AA33" s="201">
        <f>(I38+I40)/I36</f>
        <v>8.6413757786278286E-3</v>
      </c>
      <c r="AB33" s="201">
        <f>(S38+S40)/S36</f>
        <v>9.4212087395873531E-4</v>
      </c>
      <c r="AC33" s="202">
        <f>(W38+W40)/W36</f>
        <v>3.4818941516412492E-4</v>
      </c>
      <c r="AE33" s="197" t="s">
        <v>96</v>
      </c>
      <c r="AF33" s="201">
        <f>I34/I33</f>
        <v>0.95161573824353118</v>
      </c>
      <c r="AG33" s="201">
        <f>S34/S33</f>
        <v>0.91402602081471307</v>
      </c>
      <c r="AH33" s="202">
        <f>W34/W33</f>
        <v>0.33469665978012941</v>
      </c>
      <c r="AJ33" s="197" t="s">
        <v>66</v>
      </c>
      <c r="AK33" s="201">
        <f>I46/(I46+I48)</f>
        <v>0.98439656250022867</v>
      </c>
      <c r="AL33" s="201">
        <f>S46/(S46+S48)</f>
        <v>0.84666299727343575</v>
      </c>
      <c r="AM33" s="202">
        <f>W46/(W46+W48)</f>
        <v>0.35527849570411013</v>
      </c>
    </row>
    <row r="34" spans="1:39" x14ac:dyDescent="0.25">
      <c r="A34" s="3"/>
      <c r="B34" s="320"/>
      <c r="C34" s="3" t="s">
        <v>2</v>
      </c>
      <c r="D34" s="15" t="s">
        <v>374</v>
      </c>
      <c r="E34" s="16">
        <f>VLOOKUP($D34,Résultats!$B$2:$AX$476,E$5,FALSE)</f>
        <v>80.002338629999997</v>
      </c>
      <c r="F34" s="16">
        <f>VLOOKUP($D34,Résultats!$B$2:$AX$476,F$5,FALSE)</f>
        <v>68.101173560000007</v>
      </c>
      <c r="G34" s="22">
        <f>VLOOKUP($D34,Résultats!$B$2:$AX$476,G$5,FALSE)</f>
        <v>62.804492979999999</v>
      </c>
      <c r="H34" s="16">
        <f>VLOOKUP($D34,Résultats!$B$2:$AX$476,H$5,FALSE)</f>
        <v>61.58148173</v>
      </c>
      <c r="I34" s="86">
        <f>VLOOKUP($D34,Résultats!$B$2:$AX$476,I$5,FALSE)</f>
        <v>59.982601029999998</v>
      </c>
      <c r="J34" s="22">
        <f>VLOOKUP($D34,Résultats!$B$2:$AX$476,J$5,FALSE)</f>
        <v>59.450219580000002</v>
      </c>
      <c r="K34" s="16">
        <f>VLOOKUP($D34,Résultats!$B$2:$AX$476,K$5,FALSE)</f>
        <v>58.535363820000001</v>
      </c>
      <c r="L34" s="16">
        <f>VLOOKUP($D34,Résultats!$B$2:$AX$476,L$5,FALSE)</f>
        <v>57.405590709999998</v>
      </c>
      <c r="M34" s="16">
        <f>VLOOKUP($D34,Résultats!$B$2:$AX$476,M$5,FALSE)</f>
        <v>55.125086830000001</v>
      </c>
      <c r="N34" s="86">
        <f>VLOOKUP($D34,Résultats!$B$2:$AX$476,N$5,FALSE)</f>
        <v>52.701141020000001</v>
      </c>
      <c r="O34" s="22">
        <f>VLOOKUP($D34,Résultats!$B$2:$AX$476,O$5,FALSE)</f>
        <v>50.591751979999998</v>
      </c>
      <c r="P34" s="16">
        <f>VLOOKUP($D34,Résultats!$B$2:$AX$476,P$5,FALSE)</f>
        <v>48.585684350000001</v>
      </c>
      <c r="Q34" s="16">
        <f>VLOOKUP($D34,Résultats!$B$2:$AX$476,Q$5,FALSE)</f>
        <v>46.636301439999997</v>
      </c>
      <c r="R34" s="16">
        <f>VLOOKUP($D34,Résultats!$B$2:$AX$476,R$5,FALSE)</f>
        <v>44.606079039999997</v>
      </c>
      <c r="S34" s="86">
        <f>VLOOKUP($D34,Résultats!$B$2:$AX$476,S$5,FALSE)</f>
        <v>42.580523030000002</v>
      </c>
      <c r="T34" s="95">
        <f>VLOOKUP($D34,Résultats!$B$2:$AX$476,T$5,FALSE)</f>
        <v>29.752789880000002</v>
      </c>
      <c r="U34" s="95">
        <f>VLOOKUP($D34,Résultats!$B$2:$AX$476,U$5,FALSE)</f>
        <v>16.754531119999999</v>
      </c>
      <c r="V34" s="95">
        <f>VLOOKUP($D34,Résultats!$B$2:$AX$476,V$5,FALSE)</f>
        <v>8.7098088009999994</v>
      </c>
      <c r="W34" s="95">
        <f>VLOOKUP($D34,Résultats!$B$2:$AX$476,W$5,FALSE)</f>
        <v>6.2010979099999997</v>
      </c>
      <c r="X34" s="45">
        <f>W34-'[1]Cibles THREEME'!$AJ4</f>
        <v>-3.4810046974859628</v>
      </c>
      <c r="Z34" s="197" t="s">
        <v>61</v>
      </c>
      <c r="AA34" s="201">
        <f>I37/I36</f>
        <v>0.69408091297725882</v>
      </c>
      <c r="AB34" s="201">
        <f>S37/S36</f>
        <v>0.62114143572524527</v>
      </c>
      <c r="AC34" s="202">
        <f>W37/W36</f>
        <v>0.32025252685506506</v>
      </c>
      <c r="AE34" s="198" t="s">
        <v>65</v>
      </c>
      <c r="AF34" s="203">
        <f>I35/I33</f>
        <v>4.8384261756468733E-2</v>
      </c>
      <c r="AG34" s="203">
        <f>S35/S33</f>
        <v>8.5973979185286806E-2</v>
      </c>
      <c r="AH34" s="204">
        <f>W35/W33</f>
        <v>0.66530334021987059</v>
      </c>
      <c r="AJ34" s="198" t="s">
        <v>67</v>
      </c>
      <c r="AK34" s="203">
        <f>I48/(I46+I48)</f>
        <v>1.5603437499771316E-2</v>
      </c>
      <c r="AL34" s="203">
        <f>S48/(S46+S48)</f>
        <v>0.15333700272656434</v>
      </c>
      <c r="AM34" s="204">
        <f>W48/(W46+W48)</f>
        <v>0.64472150429588981</v>
      </c>
    </row>
    <row r="35" spans="1:39" x14ac:dyDescent="0.25">
      <c r="A35" s="3"/>
      <c r="B35" s="321"/>
      <c r="C35" s="7" t="s">
        <v>3</v>
      </c>
      <c r="D35" s="3" t="s">
        <v>375</v>
      </c>
      <c r="E35" s="16">
        <f>VLOOKUP($D35,Résultats!$B$2:$AX$476,E$5,FALSE)</f>
        <v>0.66745370510000002</v>
      </c>
      <c r="F35" s="16">
        <f>VLOOKUP($D35,Résultats!$B$2:$AX$476,F$5,FALSE)</f>
        <v>3.1580441800000001</v>
      </c>
      <c r="G35" s="22">
        <f>VLOOKUP($D35,Résultats!$B$2:$AX$476,G$5,FALSE)</f>
        <v>3.0695655390000001</v>
      </c>
      <c r="H35" s="16">
        <f>VLOOKUP($D35,Résultats!$B$2:$AX$476,H$5,FALSE)</f>
        <v>3.0683155800000002</v>
      </c>
      <c r="I35" s="86">
        <f>VLOOKUP($D35,Résultats!$B$2:$AX$476,I$5,FALSE)</f>
        <v>3.04977498</v>
      </c>
      <c r="J35" s="22">
        <f>VLOOKUP($D35,Résultats!$B$2:$AX$476,J$5,FALSE)</f>
        <v>3.1906201830000001</v>
      </c>
      <c r="K35" s="16">
        <f>VLOOKUP($D35,Résultats!$B$2:$AX$476,K$5,FALSE)</f>
        <v>3.302333038</v>
      </c>
      <c r="L35" s="16">
        <f>VLOOKUP($D35,Résultats!$B$2:$AX$476,L$5,FALSE)</f>
        <v>3.3920525459999999</v>
      </c>
      <c r="M35" s="16">
        <f>VLOOKUP($D35,Résultats!$B$2:$AX$476,M$5,FALSE)</f>
        <v>3.6433960129999998</v>
      </c>
      <c r="N35" s="86">
        <f>VLOOKUP($D35,Résultats!$B$2:$AX$476,N$5,FALSE)</f>
        <v>3.8818587089999999</v>
      </c>
      <c r="O35" s="22">
        <f>VLOOKUP($D35,Résultats!$B$2:$AX$476,O$5,FALSE)</f>
        <v>3.8959295709999999</v>
      </c>
      <c r="P35" s="16">
        <f>VLOOKUP($D35,Résultats!$B$2:$AX$476,P$5,FALSE)</f>
        <v>3.9200550160000001</v>
      </c>
      <c r="Q35" s="16">
        <f>VLOOKUP($D35,Résultats!$B$2:$AX$476,Q$5,FALSE)</f>
        <v>3.951804047</v>
      </c>
      <c r="R35" s="16">
        <f>VLOOKUP($D35,Résultats!$B$2:$AX$476,R$5,FALSE)</f>
        <v>3.9765195530000002</v>
      </c>
      <c r="S35" s="86">
        <f>VLOOKUP($D35,Résultats!$B$2:$AX$476,S$5,FALSE)</f>
        <v>4.0051562179999998</v>
      </c>
      <c r="T35" s="95">
        <f>VLOOKUP($D35,Résultats!$B$2:$AX$476,T$5,FALSE)</f>
        <v>7.3152179620000002</v>
      </c>
      <c r="U35" s="95">
        <f>VLOOKUP($D35,Résultats!$B$2:$AX$476,U$5,FALSE)</f>
        <v>12.03817325</v>
      </c>
      <c r="V35" s="95">
        <f>VLOOKUP($D35,Résultats!$B$2:$AX$476,V$5,FALSE)</f>
        <v>13.7755782</v>
      </c>
      <c r="W35" s="95">
        <f>VLOOKUP($D35,Résultats!$B$2:$AX$476,W$5,FALSE)</f>
        <v>12.32641866</v>
      </c>
      <c r="X35" s="45">
        <f>W35-'[1]Cibles THREEME'!$AJ5</f>
        <v>8.8295774444229167</v>
      </c>
      <c r="Z35" s="197" t="s">
        <v>93</v>
      </c>
      <c r="AA35" s="201">
        <f>I43/I36</f>
        <v>0.10258601324925838</v>
      </c>
      <c r="AB35" s="201">
        <f>S43/S36</f>
        <v>0.10094479365386042</v>
      </c>
      <c r="AC35" s="202">
        <f>W43/W36</f>
        <v>8.5931446887200238E-2</v>
      </c>
      <c r="AE35" s="189" t="s">
        <v>92</v>
      </c>
      <c r="AF35" s="205">
        <f>SUM(AF33:AF34)</f>
        <v>0.99999999999999989</v>
      </c>
      <c r="AG35" s="205">
        <f t="shared" ref="AG35:AH35" si="6">SUM(AG33:AG34)</f>
        <v>0.99999999999999989</v>
      </c>
      <c r="AH35" s="205">
        <f t="shared" si="6"/>
        <v>1</v>
      </c>
      <c r="AJ35" s="189" t="s">
        <v>92</v>
      </c>
      <c r="AK35" s="205">
        <f>SUM(AK33:AK34)</f>
        <v>1</v>
      </c>
      <c r="AL35" s="205">
        <f t="shared" ref="AL35" si="7">SUM(AL33:AL34)</f>
        <v>1</v>
      </c>
      <c r="AM35" s="205">
        <f t="shared" ref="AM35" si="8">SUM(AM33:AM34)</f>
        <v>1</v>
      </c>
    </row>
    <row r="36" spans="1:39" x14ac:dyDescent="0.25">
      <c r="A36" s="3"/>
      <c r="B36" s="319" t="s">
        <v>4</v>
      </c>
      <c r="C36" s="5" t="s">
        <v>1</v>
      </c>
      <c r="D36" s="2" t="s">
        <v>376</v>
      </c>
      <c r="E36" s="8">
        <f>SUM(E37:E44)</f>
        <v>37.199321333399993</v>
      </c>
      <c r="F36" s="8">
        <f>SUM(F37:F44)</f>
        <v>39.303207767300002</v>
      </c>
      <c r="G36" s="21">
        <f t="shared" ref="G36:R36" si="9">SUM(G37:G44)</f>
        <v>38.719485111300003</v>
      </c>
      <c r="H36" s="8">
        <f t="shared" si="9"/>
        <v>38.30646980560001</v>
      </c>
      <c r="I36" s="87">
        <f t="shared" si="9"/>
        <v>37.907255880499996</v>
      </c>
      <c r="J36" s="21">
        <f t="shared" si="9"/>
        <v>38.3004470021</v>
      </c>
      <c r="K36" s="8">
        <f t="shared" si="9"/>
        <v>38.6587193433</v>
      </c>
      <c r="L36" s="8">
        <f t="shared" si="9"/>
        <v>38.662655313800002</v>
      </c>
      <c r="M36" s="8">
        <f t="shared" si="9"/>
        <v>40.218808429299997</v>
      </c>
      <c r="N36" s="87">
        <f t="shared" si="9"/>
        <v>41.012731421199994</v>
      </c>
      <c r="O36" s="21">
        <f t="shared" si="9"/>
        <v>41.077924833399997</v>
      </c>
      <c r="P36" s="8">
        <f t="shared" si="9"/>
        <v>41.066315851499994</v>
      </c>
      <c r="Q36" s="8">
        <f t="shared" si="9"/>
        <v>41.033338190400002</v>
      </c>
      <c r="R36" s="8">
        <f t="shared" si="9"/>
        <v>41.27661226699999</v>
      </c>
      <c r="S36" s="87">
        <f>SUM(S37:S44)</f>
        <v>41.575873842399993</v>
      </c>
      <c r="T36" s="96">
        <f>SUM(T37:T44)</f>
        <v>41.375798819469999</v>
      </c>
      <c r="U36" s="96">
        <f>SUM(U37:U44)</f>
        <v>42.343612798029994</v>
      </c>
      <c r="V36" s="96">
        <f>SUM(V37:V44)</f>
        <v>42.219422621980002</v>
      </c>
      <c r="W36" s="96">
        <f>SUM(W37:W44)</f>
        <v>41.893538645120003</v>
      </c>
      <c r="X36" s="3"/>
      <c r="Z36" s="197" t="s">
        <v>62</v>
      </c>
      <c r="AA36" s="201">
        <f>I42/I36</f>
        <v>3.6998234280563307E-2</v>
      </c>
      <c r="AB36" s="201">
        <f>S42/S36</f>
        <v>8.7555323859186213E-2</v>
      </c>
      <c r="AC36" s="202">
        <f>W42/W36</f>
        <v>0.19408802049113005</v>
      </c>
    </row>
    <row r="37" spans="1:39" x14ac:dyDescent="0.25">
      <c r="A37" s="3"/>
      <c r="B37" s="320"/>
      <c r="C37" s="3" t="s">
        <v>5</v>
      </c>
      <c r="D37" s="3" t="s">
        <v>377</v>
      </c>
      <c r="E37" s="16">
        <f>VLOOKUP($D37,Résultats!$B$2:$AX$476,E$5,FALSE)</f>
        <v>29.720911040000001</v>
      </c>
      <c r="F37" s="16">
        <f>VLOOKUP($D37,Résultats!$B$2:$AX$476,F$5,FALSE)</f>
        <v>30.501051709999999</v>
      </c>
      <c r="G37" s="22">
        <f>VLOOKUP($D37,Résultats!$B$2:$AX$476,G$5,FALSE)</f>
        <v>28.213944269999999</v>
      </c>
      <c r="H37" s="16">
        <f>VLOOKUP($D37,Résultats!$B$2:$AX$476,H$5,FALSE)</f>
        <v>27.262805700000001</v>
      </c>
      <c r="I37" s="86">
        <f>VLOOKUP($D37,Résultats!$B$2:$AX$476,I$5,FALSE)</f>
        <v>26.310702769999999</v>
      </c>
      <c r="J37" s="22">
        <f>VLOOKUP($D37,Résultats!$B$2:$AX$476,J$5,FALSE)</f>
        <v>26.254712779999998</v>
      </c>
      <c r="K37" s="16">
        <f>VLOOKUP($D37,Résultats!$B$2:$AX$476,K$5,FALSE)</f>
        <v>26.166055109999999</v>
      </c>
      <c r="L37" s="16">
        <f>VLOOKUP($D37,Résultats!$B$2:$AX$476,L$5,FALSE)</f>
        <v>25.832132229999999</v>
      </c>
      <c r="M37" s="16">
        <f>VLOOKUP($D37,Résultats!$B$2:$AX$476,M$5,FALSE)</f>
        <v>26.785860899999999</v>
      </c>
      <c r="N37" s="86">
        <f>VLOOKUP($D37,Résultats!$B$2:$AX$476,N$5,FALSE)</f>
        <v>27.23634174</v>
      </c>
      <c r="O37" s="22">
        <f>VLOOKUP($D37,Résultats!$B$2:$AX$476,O$5,FALSE)</f>
        <v>26.911231279999999</v>
      </c>
      <c r="P37" s="16">
        <f>VLOOKUP($D37,Résultats!$B$2:$AX$476,P$5,FALSE)</f>
        <v>26.54462157</v>
      </c>
      <c r="Q37" s="16">
        <f>VLOOKUP($D37,Résultats!$B$2:$AX$476,Q$5,FALSE)</f>
        <v>26.173531059999998</v>
      </c>
      <c r="R37" s="16">
        <f>VLOOKUP($D37,Résultats!$B$2:$AX$476,R$5,FALSE)</f>
        <v>25.979449599999999</v>
      </c>
      <c r="S37" s="86">
        <f>VLOOKUP($D37,Résultats!$B$2:$AX$476,S$5,FALSE)</f>
        <v>25.824497969999999</v>
      </c>
      <c r="T37" s="95">
        <f>VLOOKUP($D37,Résultats!$B$2:$AX$476,T$5,FALSE)</f>
        <v>22.02190307</v>
      </c>
      <c r="U37" s="95">
        <f>VLOOKUP($D37,Résultats!$B$2:$AX$476,U$5,FALSE)</f>
        <v>20.802505499999999</v>
      </c>
      <c r="V37" s="95">
        <f>VLOOKUP($D37,Résultats!$B$2:$AX$476,V$5,FALSE)</f>
        <v>16.944837769999999</v>
      </c>
      <c r="W37" s="95">
        <f>VLOOKUP($D37,Résultats!$B$2:$AX$476,W$5,FALSE)</f>
        <v>13.416511610000001</v>
      </c>
      <c r="X37" s="45">
        <f>W37-'[1]Cibles THREEME'!$AJ8</f>
        <v>12.795452478454303</v>
      </c>
      <c r="Z37" s="197" t="s">
        <v>63</v>
      </c>
      <c r="AA37" s="201">
        <f>I41/I36</f>
        <v>8.395235706410159E-2</v>
      </c>
      <c r="AB37" s="201">
        <f>S41/S36</f>
        <v>0.12657892134627979</v>
      </c>
      <c r="AC37" s="202">
        <f>W41/W36</f>
        <v>0.37324050714492252</v>
      </c>
    </row>
    <row r="38" spans="1:39" x14ac:dyDescent="0.25">
      <c r="A38" s="3"/>
      <c r="B38" s="320"/>
      <c r="C38" s="3" t="s">
        <v>6</v>
      </c>
      <c r="D38" s="3" t="s">
        <v>378</v>
      </c>
      <c r="E38" s="16">
        <f>VLOOKUP($D38,Résultats!$B$2:$AX$476,E$5,FALSE)</f>
        <v>0.38143247060000002</v>
      </c>
      <c r="F38" s="16">
        <f>VLOOKUP($D38,Résultats!$B$2:$AX$476,F$5,FALSE)</f>
        <v>0.24081665869999999</v>
      </c>
      <c r="G38" s="22">
        <f>VLOOKUP($D38,Résultats!$B$2:$AX$476,G$5,FALSE)</f>
        <v>0.1652177672</v>
      </c>
      <c r="H38" s="16">
        <f>VLOOKUP($D38,Résultats!$B$2:$AX$476,H$5,FALSE)</f>
        <v>0.13792382789999999</v>
      </c>
      <c r="I38" s="86">
        <f>VLOOKUP($D38,Résultats!$B$2:$AX$476,I$5,FALSE)</f>
        <v>0.1102560013</v>
      </c>
      <c r="J38" s="22">
        <f>VLOOKUP($D38,Résultats!$B$2:$AX$476,J$5,FALSE)</f>
        <v>0.14627149749999999</v>
      </c>
      <c r="K38" s="16">
        <f>VLOOKUP($D38,Résultats!$B$2:$AX$476,K$5,FALSE)</f>
        <v>0.18307936599999999</v>
      </c>
      <c r="L38" s="16">
        <f>VLOOKUP($D38,Résultats!$B$2:$AX$476,L$5,FALSE)</f>
        <v>0.2187852757</v>
      </c>
      <c r="M38" s="16">
        <f>VLOOKUP($D38,Résultats!$B$2:$AX$476,M$5,FALSE)</f>
        <v>0.15536643620000001</v>
      </c>
      <c r="N38" s="86">
        <f>VLOOKUP($D38,Résultats!$B$2:$AX$476,N$5,FALSE)</f>
        <v>9.2698197499999996E-2</v>
      </c>
      <c r="O38" s="22">
        <f>VLOOKUP($D38,Résultats!$B$2:$AX$476,O$5,FALSE)</f>
        <v>7.0581985099999994E-2</v>
      </c>
      <c r="P38" s="16">
        <f>VLOOKUP($D38,Résultats!$B$2:$AX$476,P$5,FALSE)</f>
        <v>4.8866579799999997E-2</v>
      </c>
      <c r="Q38" s="16">
        <f>VLOOKUP($D38,Résultats!$B$2:$AX$476,Q$5,FALSE)</f>
        <v>2.76896755E-2</v>
      </c>
      <c r="R38" s="16">
        <f>VLOOKUP($D38,Résultats!$B$2:$AX$476,R$5,FALSE)</f>
        <v>2.46915615E-2</v>
      </c>
      <c r="S38" s="86">
        <f>VLOOKUP($D38,Résultats!$B$2:$AX$476,S$5,FALSE)</f>
        <v>2.1762172600000001E-2</v>
      </c>
      <c r="T38" s="95">
        <f>VLOOKUP($D38,Résultats!$B$2:$AX$476,T$5,FALSE)</f>
        <v>1.92708672E-2</v>
      </c>
      <c r="U38" s="95">
        <f>VLOOKUP($D38,Résultats!$B$2:$AX$476,U$5,FALSE)</f>
        <v>9.3368694799999905E-3</v>
      </c>
      <c r="V38" s="95">
        <f>VLOOKUP($D38,Résultats!$B$2:$AX$476,V$5,FALSE)</f>
        <v>7.5336942900000002E-3</v>
      </c>
      <c r="W38" s="95">
        <f>VLOOKUP($D38,Résultats!$B$2:$AX$476,W$5,FALSE)</f>
        <v>7.2934433599999996E-3</v>
      </c>
      <c r="X38" s="45">
        <f>W38-'[1]Cibles THREEME'!$AJ9</f>
        <v>-2.7065566400000006E-3</v>
      </c>
      <c r="Z38" s="198" t="s">
        <v>64</v>
      </c>
      <c r="AA38" s="203">
        <f>(I39+I44)/I36</f>
        <v>7.3741106650190208E-2</v>
      </c>
      <c r="AB38" s="203">
        <f>(S39+S44)/S36</f>
        <v>6.2837404541469771E-2</v>
      </c>
      <c r="AC38" s="204">
        <f>(W39+W44)/W36</f>
        <v>2.6139309206517934E-2</v>
      </c>
    </row>
    <row r="39" spans="1:39" x14ac:dyDescent="0.25">
      <c r="A39" s="3"/>
      <c r="B39" s="320"/>
      <c r="C39" s="3" t="s">
        <v>7</v>
      </c>
      <c r="D39" s="3" t="s">
        <v>379</v>
      </c>
      <c r="E39" s="16">
        <f>VLOOKUP($D39,Résultats!$B$2:$AX$476,E$5,FALSE)</f>
        <v>1.523277926</v>
      </c>
      <c r="F39" s="16">
        <f>VLOOKUP($D39,Résultats!$B$2:$AX$476,F$5,FALSE)</f>
        <v>1.5838450589999999</v>
      </c>
      <c r="G39" s="22">
        <f>VLOOKUP($D39,Résultats!$B$2:$AX$476,G$5,FALSE)</f>
        <v>2.03580937</v>
      </c>
      <c r="H39" s="16">
        <f>VLOOKUP($D39,Résultats!$B$2:$AX$476,H$5,FALSE)</f>
        <v>2.1826517019999998</v>
      </c>
      <c r="I39" s="86">
        <f>VLOOKUP($D39,Résultats!$B$2:$AX$476,I$5,FALSE)</f>
        <v>2.3330768669999999</v>
      </c>
      <c r="J39" s="22">
        <f>VLOOKUP($D39,Résultats!$B$2:$AX$476,J$5,FALSE)</f>
        <v>2.2505570559999999</v>
      </c>
      <c r="K39" s="16">
        <f>VLOOKUP($D39,Résultats!$B$2:$AX$476,K$5,FALSE)</f>
        <v>2.1631523590000001</v>
      </c>
      <c r="L39" s="16">
        <f>VLOOKUP($D39,Résultats!$B$2:$AX$476,L$5,FALSE)</f>
        <v>2.0541576720000001</v>
      </c>
      <c r="M39" s="16">
        <f>VLOOKUP($D39,Résultats!$B$2:$AX$476,M$5,FALSE)</f>
        <v>2.2596477039999998</v>
      </c>
      <c r="N39" s="86">
        <f>VLOOKUP($D39,Résultats!$B$2:$AX$476,N$5,FALSE)</f>
        <v>2.416029526</v>
      </c>
      <c r="O39" s="22">
        <f>VLOOKUP($D39,Résultats!$B$2:$AX$476,O$5,FALSE)</f>
        <v>2.3266184939999999</v>
      </c>
      <c r="P39" s="16">
        <f>VLOOKUP($D39,Résultats!$B$2:$AX$476,P$5,FALSE)</f>
        <v>2.2350889700000001</v>
      </c>
      <c r="Q39" s="16">
        <f>VLOOKUP($D39,Résultats!$B$2:$AX$476,Q$5,FALSE)</f>
        <v>2.1447584580000001</v>
      </c>
      <c r="R39" s="16">
        <f>VLOOKUP($D39,Résultats!$B$2:$AX$476,R$5,FALSE)</f>
        <v>2.0719416329999998</v>
      </c>
      <c r="S39" s="86">
        <f>VLOOKUP($D39,Résultats!$B$2:$AX$476,S$5,FALSE)</f>
        <v>2.0028881749999998</v>
      </c>
      <c r="T39" s="95">
        <f>VLOOKUP($D39,Résultats!$B$2:$AX$476,T$5,FALSE)</f>
        <v>1.3959059979999999</v>
      </c>
      <c r="U39" s="95">
        <f>VLOOKUP($D39,Résultats!$B$2:$AX$476,U$5,FALSE)</f>
        <v>0.15360912639999999</v>
      </c>
      <c r="V39" s="95">
        <f>VLOOKUP($D39,Résultats!$B$2:$AX$476,V$5,FALSE)</f>
        <v>0.1996445637</v>
      </c>
      <c r="W39" s="95">
        <f>VLOOKUP($D39,Résultats!$B$2:$AX$476,W$5,FALSE)</f>
        <v>0.23173114289999999</v>
      </c>
      <c r="X39" s="45">
        <f>W39-'[1]Cibles THREEME'!$AJ10</f>
        <v>-0.8642555598277013</v>
      </c>
      <c r="Z39" s="189" t="s">
        <v>92</v>
      </c>
      <c r="AA39" s="205">
        <f>SUM(AA33:AA38)</f>
        <v>1.0000000000000002</v>
      </c>
      <c r="AB39" s="205">
        <f t="shared" ref="AB39:AC39" si="10">SUM(AB33:AB38)</f>
        <v>1.0000000000000002</v>
      </c>
      <c r="AC39" s="205">
        <f t="shared" si="10"/>
        <v>0.99999999999999989</v>
      </c>
      <c r="AJ39" s="189"/>
      <c r="AK39" s="205"/>
      <c r="AL39" s="205"/>
      <c r="AM39" s="205"/>
    </row>
    <row r="40" spans="1:39" x14ac:dyDescent="0.25">
      <c r="A40" s="3"/>
      <c r="B40" s="320"/>
      <c r="C40" s="3" t="s">
        <v>8</v>
      </c>
      <c r="D40" s="3" t="s">
        <v>380</v>
      </c>
      <c r="E40" s="16">
        <f>VLOOKUP($D40,Résultats!$B$2:$AX$476,E$5,FALSE)</f>
        <v>1.519906486</v>
      </c>
      <c r="F40" s="16">
        <f>VLOOKUP($D40,Résultats!$B$2:$AX$476,F$5,FALSE)</f>
        <v>0.74243811429999995</v>
      </c>
      <c r="G40" s="22">
        <f>VLOOKUP($D40,Résultats!$B$2:$AX$476,G$5,FALSE)</f>
        <v>0.43699179710000002</v>
      </c>
      <c r="H40" s="16">
        <f>VLOOKUP($D40,Résultats!$B$2:$AX$476,H$5,FALSE)</f>
        <v>0.32796001400000002</v>
      </c>
      <c r="I40" s="86">
        <f>VLOOKUP($D40,Résultats!$B$2:$AX$476,I$5,FALSE)</f>
        <v>0.21731484149999999</v>
      </c>
      <c r="J40" s="22">
        <f>VLOOKUP($D40,Résultats!$B$2:$AX$476,J$5,FALSE)</f>
        <v>0.20950362820000001</v>
      </c>
      <c r="K40" s="16">
        <f>VLOOKUP($D40,Résultats!$B$2:$AX$476,K$5,FALSE)</f>
        <v>0.2012342097</v>
      </c>
      <c r="L40" s="16">
        <f>VLOOKUP($D40,Résultats!$B$2:$AX$476,L$5,FALSE)</f>
        <v>0.1909540435</v>
      </c>
      <c r="M40" s="16">
        <f>VLOOKUP($D40,Résultats!$B$2:$AX$476,M$5,FALSE)</f>
        <v>0.122094836</v>
      </c>
      <c r="N40" s="86">
        <f>VLOOKUP($D40,Résultats!$B$2:$AX$476,N$5,FALSE)</f>
        <v>5.4837821199999998E-2</v>
      </c>
      <c r="O40" s="22">
        <f>VLOOKUP($D40,Résultats!$B$2:$AX$476,O$5,FALSE)</f>
        <v>4.2173387200000002E-2</v>
      </c>
      <c r="P40" s="16">
        <f>VLOOKUP($D40,Résultats!$B$2:$AX$476,P$5,FALSE)</f>
        <v>2.9735251599999998E-2</v>
      </c>
      <c r="Q40" s="16">
        <f>VLOOKUP($D40,Résultats!$B$2:$AX$476,Q$5,FALSE)</f>
        <v>1.76046373E-2</v>
      </c>
      <c r="R40" s="16">
        <f>VLOOKUP($D40,Résultats!$B$2:$AX$476,R$5,FALSE)</f>
        <v>1.74929141E-2</v>
      </c>
      <c r="S40" s="86">
        <f>VLOOKUP($D40,Résultats!$B$2:$AX$476,S$5,FALSE)</f>
        <v>1.7407326000000001E-2</v>
      </c>
      <c r="T40" s="95">
        <f>VLOOKUP($D40,Résultats!$B$2:$AX$476,T$5,FALSE)</f>
        <v>8.1745514699999994E-3</v>
      </c>
      <c r="U40" s="95">
        <f>VLOOKUP($D40,Résultats!$B$2:$AX$476,U$5,FALSE)</f>
        <v>7.8782958499999996E-3</v>
      </c>
      <c r="V40" s="95">
        <f>VLOOKUP($D40,Résultats!$B$2:$AX$476,V$5,FALSE)</f>
        <v>7.5336942900000002E-3</v>
      </c>
      <c r="W40" s="95">
        <f>VLOOKUP($D40,Résultats!$B$2:$AX$476,W$5,FALSE)</f>
        <v>7.2934433599999996E-3</v>
      </c>
      <c r="X40" s="45">
        <f>W40-'[1]Cibles THREEME'!$AJ11</f>
        <v>-2.7065566400000006E-3</v>
      </c>
    </row>
    <row r="41" spans="1:39" x14ac:dyDescent="0.25">
      <c r="A41" s="3"/>
      <c r="B41" s="320"/>
      <c r="C41" s="3" t="s">
        <v>9</v>
      </c>
      <c r="D41" s="3" t="s">
        <v>381</v>
      </c>
      <c r="E41" s="16">
        <f>VLOOKUP($D41,Résultats!$B$2:$AX$476,E$5,FALSE)</f>
        <v>0.30706909919999997</v>
      </c>
      <c r="F41" s="16">
        <f>VLOOKUP($D41,Résultats!$B$2:$AX$476,F$5,FALSE)</f>
        <v>2.1007258470000001</v>
      </c>
      <c r="G41" s="22">
        <f>VLOOKUP($D41,Résultats!$B$2:$AX$476,G$5,FALSE)</f>
        <v>2.7520970870000001</v>
      </c>
      <c r="H41" s="16">
        <f>VLOOKUP($D41,Résultats!$B$2:$AX$476,H$5,FALSE)</f>
        <v>2.9647090309999999</v>
      </c>
      <c r="I41" s="86">
        <f>VLOOKUP($D41,Résultats!$B$2:$AX$476,I$5,FALSE)</f>
        <v>3.1824034810000001</v>
      </c>
      <c r="J41" s="22">
        <f>VLOOKUP($D41,Résultats!$B$2:$AX$476,J$5,FALSE)</f>
        <v>3.3757677880000001</v>
      </c>
      <c r="K41" s="16">
        <f>VLOOKUP($D41,Résultats!$B$2:$AX$476,K$5,FALSE)</f>
        <v>3.5703112620000002</v>
      </c>
      <c r="L41" s="16">
        <f>VLOOKUP($D41,Résultats!$B$2:$AX$476,L$5,FALSE)</f>
        <v>3.7347792860000002</v>
      </c>
      <c r="M41" s="16">
        <f>VLOOKUP($D41,Résultats!$B$2:$AX$476,M$5,FALSE)</f>
        <v>3.9622039180000002</v>
      </c>
      <c r="N41" s="86">
        <f>VLOOKUP($D41,Résultats!$B$2:$AX$476,N$5,FALSE)</f>
        <v>4.1105919220000002</v>
      </c>
      <c r="O41" s="22">
        <f>VLOOKUP($D41,Résultats!$B$2:$AX$476,O$5,FALSE)</f>
        <v>4.3488596900000003</v>
      </c>
      <c r="P41" s="16">
        <f>VLOOKUP($D41,Résultats!$B$2:$AX$476,P$5,FALSE)</f>
        <v>4.57345106</v>
      </c>
      <c r="Q41" s="16">
        <f>VLOOKUP($D41,Résultats!$B$2:$AX$476,Q$5,FALSE)</f>
        <v>4.7897929189999999</v>
      </c>
      <c r="R41" s="16">
        <f>VLOOKUP($D41,Résultats!$B$2:$AX$476,R$5,FALSE)</f>
        <v>5.0239501300000002</v>
      </c>
      <c r="S41" s="86">
        <f>VLOOKUP($D41,Résultats!$B$2:$AX$476,S$5,FALSE)</f>
        <v>5.2626292650000002</v>
      </c>
      <c r="T41" s="95">
        <f>VLOOKUP($D41,Résultats!$B$2:$AX$476,T$5,FALSE)</f>
        <v>7.9714602899999996</v>
      </c>
      <c r="U41" s="95">
        <f>VLOOKUP($D41,Résultats!$B$2:$AX$476,U$5,FALSE)</f>
        <v>10.507453079999999</v>
      </c>
      <c r="V41" s="95">
        <f>VLOOKUP($D41,Résultats!$B$2:$AX$476,V$5,FALSE)</f>
        <v>13.11956251</v>
      </c>
      <c r="W41" s="95">
        <f>VLOOKUP($D41,Résultats!$B$2:$AX$476,W$5,FALSE)</f>
        <v>15.63636561</v>
      </c>
      <c r="X41" s="45">
        <f>W41-'[1]Cibles THREEME'!$AJ12</f>
        <v>3.0507849736768993</v>
      </c>
    </row>
    <row r="42" spans="1:39" x14ac:dyDescent="0.25">
      <c r="A42" s="3"/>
      <c r="B42" s="320"/>
      <c r="C42" s="3" t="s">
        <v>10</v>
      </c>
      <c r="D42" s="3" t="s">
        <v>382</v>
      </c>
      <c r="E42" s="16">
        <f>VLOOKUP($D42,Résultats!$B$2:$AX$476,E$5,FALSE)</f>
        <v>6.9090547299999999E-2</v>
      </c>
      <c r="F42" s="16">
        <f>VLOOKUP($D42,Résultats!$B$2:$AX$476,F$5,FALSE)</f>
        <v>0.92580065369999998</v>
      </c>
      <c r="G42" s="22">
        <f>VLOOKUP($D42,Résultats!$B$2:$AX$476,G$5,FALSE)</f>
        <v>1.2128632989999999</v>
      </c>
      <c r="H42" s="16">
        <f>VLOOKUP($D42,Résultats!$B$2:$AX$476,H$5,FALSE)</f>
        <v>1.3065624739999999</v>
      </c>
      <c r="I42" s="86">
        <f>VLOOKUP($D42,Résultats!$B$2:$AX$476,I$5,FALSE)</f>
        <v>1.402501534</v>
      </c>
      <c r="J42" s="22">
        <f>VLOOKUP($D42,Résultats!$B$2:$AX$476,J$5,FALSE)</f>
        <v>1.4672711199999999</v>
      </c>
      <c r="K42" s="16">
        <f>VLOOKUP($D42,Résultats!$B$2:$AX$476,K$5,FALSE)</f>
        <v>1.532036212</v>
      </c>
      <c r="L42" s="16">
        <f>VLOOKUP($D42,Résultats!$B$2:$AX$476,L$5,FALSE)</f>
        <v>1.583588733</v>
      </c>
      <c r="M42" s="16">
        <f>VLOOKUP($D42,Résultats!$B$2:$AX$476,M$5,FALSE)</f>
        <v>1.814055857</v>
      </c>
      <c r="N42" s="86">
        <f>VLOOKUP($D42,Résultats!$B$2:$AX$476,N$5,FALSE)</f>
        <v>2.0016128009999998</v>
      </c>
      <c r="O42" s="22">
        <f>VLOOKUP($D42,Résultats!$B$2:$AX$476,O$5,FALSE)</f>
        <v>2.3438907800000002</v>
      </c>
      <c r="P42" s="16">
        <f>VLOOKUP($D42,Résultats!$B$2:$AX$476,P$5,FALSE)</f>
        <v>2.6736717890000001</v>
      </c>
      <c r="Q42" s="16">
        <f>VLOOKUP($D42,Résultats!$B$2:$AX$476,Q$5,FALSE)</f>
        <v>2.9934723700000001</v>
      </c>
      <c r="R42" s="16">
        <f>VLOOKUP($D42,Résultats!$B$2:$AX$476,R$5,FALSE)</f>
        <v>3.316281112</v>
      </c>
      <c r="S42" s="86">
        <f>VLOOKUP($D42,Résultats!$B$2:$AX$476,S$5,FALSE)</f>
        <v>3.6401890990000001</v>
      </c>
      <c r="T42" s="95">
        <f>VLOOKUP($D42,Résultats!$B$2:$AX$476,T$5,FALSE)</f>
        <v>5.1433068500000001</v>
      </c>
      <c r="U42" s="95">
        <f>VLOOKUP($D42,Résultats!$B$2:$AX$476,U$5,FALSE)</f>
        <v>6.1791737400000004</v>
      </c>
      <c r="V42" s="95">
        <f>VLOOKUP($D42,Résultats!$B$2:$AX$476,V$5,FALSE)</f>
        <v>7.3239124650000003</v>
      </c>
      <c r="W42" s="95">
        <f>VLOOKUP($D42,Résultats!$B$2:$AX$476,W$5,FALSE)</f>
        <v>8.1310339870000004</v>
      </c>
      <c r="X42" s="45">
        <f>W42-'[1]Cibles THREEME'!$AJ13</f>
        <v>0.70267966851224717</v>
      </c>
      <c r="Z42" s="60" t="s">
        <v>457</v>
      </c>
    </row>
    <row r="43" spans="1:39" x14ac:dyDescent="0.25">
      <c r="A43" s="3"/>
      <c r="B43" s="320"/>
      <c r="C43" s="3" t="s">
        <v>11</v>
      </c>
      <c r="D43" s="3" t="s">
        <v>383</v>
      </c>
      <c r="E43" s="16">
        <f>VLOOKUP($D43,Résultats!$B$2:$AX$476,E$5,FALSE)</f>
        <v>3.4538927410000002</v>
      </c>
      <c r="F43" s="16">
        <f>VLOOKUP($D43,Résultats!$B$2:$AX$476,F$5,FALSE)</f>
        <v>2.5669927220000002</v>
      </c>
      <c r="G43" s="22">
        <f>VLOOKUP($D43,Résultats!$B$2:$AX$476,G$5,FALSE)</f>
        <v>3.3629391480000002</v>
      </c>
      <c r="H43" s="16">
        <f>VLOOKUP($D43,Résultats!$B$2:$AX$476,H$5,FALSE)</f>
        <v>3.6227414040000001</v>
      </c>
      <c r="I43" s="86">
        <f>VLOOKUP($D43,Résultats!$B$2:$AX$476,I$5,FALSE)</f>
        <v>3.8887542540000002</v>
      </c>
      <c r="J43" s="22">
        <f>VLOOKUP($D43,Résultats!$B$2:$AX$476,J$5,FALSE)</f>
        <v>4.1056139070000004</v>
      </c>
      <c r="K43" s="16">
        <f>VLOOKUP($D43,Résultats!$B$2:$AX$476,K$5,FALSE)</f>
        <v>4.3234165459999998</v>
      </c>
      <c r="L43" s="16">
        <f>VLOOKUP($D43,Résultats!$B$2:$AX$476,L$5,FALSE)</f>
        <v>4.5045080730000002</v>
      </c>
      <c r="M43" s="16">
        <f>VLOOKUP($D43,Résultats!$B$2:$AX$476,M$5,FALSE)</f>
        <v>4.481282717</v>
      </c>
      <c r="N43" s="86">
        <f>VLOOKUP($D43,Résultats!$B$2:$AX$476,N$5,FALSE)</f>
        <v>4.3835917320000002</v>
      </c>
      <c r="O43" s="22">
        <f>VLOOKUP($D43,Résultats!$B$2:$AX$476,O$5,FALSE)</f>
        <v>4.3405301889999999</v>
      </c>
      <c r="P43" s="16">
        <f>VLOOKUP($D43,Résultats!$B$2:$AX$476,P$5,FALSE)</f>
        <v>4.2905504849999998</v>
      </c>
      <c r="Q43" s="16">
        <f>VLOOKUP($D43,Résultats!$B$2:$AX$476,Q$5,FALSE)</f>
        <v>4.2396054449999996</v>
      </c>
      <c r="R43" s="16">
        <f>VLOOKUP($D43,Résultats!$B$2:$AX$476,R$5,FALSE)</f>
        <v>4.2151015120000004</v>
      </c>
      <c r="S43" s="86">
        <f>VLOOKUP($D43,Résultats!$B$2:$AX$476,S$5,FALSE)</f>
        <v>4.1968680059999999</v>
      </c>
      <c r="T43" s="95">
        <f>VLOOKUP($D43,Résultats!$B$2:$AX$476,T$5,FALSE)</f>
        <v>4.1164483040000004</v>
      </c>
      <c r="U43" s="95">
        <f>VLOOKUP($D43,Résultats!$B$2:$AX$476,U$5,FALSE)</f>
        <v>3.8309926230000002</v>
      </c>
      <c r="V43" s="95">
        <f>VLOOKUP($D43,Résultats!$B$2:$AX$476,V$5,FALSE)</f>
        <v>3.762969038</v>
      </c>
      <c r="W43" s="95">
        <f>VLOOKUP($D43,Résultats!$B$2:$AX$476,W$5,FALSE)</f>
        <v>3.5999723910000001</v>
      </c>
      <c r="X43" s="45">
        <f>W43-'[1]Cibles THREEME'!$AJ14</f>
        <v>-0.2664251436227234</v>
      </c>
      <c r="Z43" s="194"/>
      <c r="AA43" s="195">
        <v>2020</v>
      </c>
      <c r="AB43" s="195">
        <v>2030</v>
      </c>
      <c r="AC43" s="196">
        <v>2050</v>
      </c>
    </row>
    <row r="44" spans="1:39" x14ac:dyDescent="0.25">
      <c r="A44" s="3"/>
      <c r="B44" s="321"/>
      <c r="C44" s="7" t="s">
        <v>12</v>
      </c>
      <c r="D44" s="3" t="s">
        <v>384</v>
      </c>
      <c r="E44" s="17">
        <f>VLOOKUP($D44,Résultats!$B$2:$AX$476,E$5,FALSE)</f>
        <v>0.22374102330000001</v>
      </c>
      <c r="F44" s="17">
        <f>VLOOKUP($D44,Résultats!$B$2:$AX$476,F$5,FALSE)</f>
        <v>0.64153700260000002</v>
      </c>
      <c r="G44" s="88">
        <f>VLOOKUP($D44,Résultats!$B$2:$AX$476,G$5,FALSE)</f>
        <v>0.53962237300000004</v>
      </c>
      <c r="H44" s="17">
        <f>VLOOKUP($D44,Résultats!$B$2:$AX$476,H$5,FALSE)</f>
        <v>0.50111565270000002</v>
      </c>
      <c r="I44" s="89">
        <f>VLOOKUP($D44,Résultats!$B$2:$AX$476,I$5,FALSE)</f>
        <v>0.46224613170000001</v>
      </c>
      <c r="J44" s="88">
        <f>VLOOKUP($D44,Résultats!$B$2:$AX$476,J$5,FALSE)</f>
        <v>0.49074922539999999</v>
      </c>
      <c r="K44" s="17">
        <f>VLOOKUP($D44,Résultats!$B$2:$AX$476,K$5,FALSE)</f>
        <v>0.51943427860000002</v>
      </c>
      <c r="L44" s="17">
        <f>VLOOKUP($D44,Résultats!$B$2:$AX$476,L$5,FALSE)</f>
        <v>0.54375000060000001</v>
      </c>
      <c r="M44" s="17">
        <f>VLOOKUP($D44,Résultats!$B$2:$AX$476,M$5,FALSE)</f>
        <v>0.63829606110000003</v>
      </c>
      <c r="N44" s="89">
        <f>VLOOKUP($D44,Résultats!$B$2:$AX$476,N$5,FALSE)</f>
        <v>0.71702768149999996</v>
      </c>
      <c r="O44" s="88">
        <f>VLOOKUP($D44,Résultats!$B$2:$AX$476,O$5,FALSE)</f>
        <v>0.69403902809999996</v>
      </c>
      <c r="P44" s="17">
        <f>VLOOKUP($D44,Résultats!$B$2:$AX$476,P$5,FALSE)</f>
        <v>0.67033014609999997</v>
      </c>
      <c r="Q44" s="17">
        <f>VLOOKUP($D44,Résultats!$B$2:$AX$476,Q$5,FALSE)</f>
        <v>0.64688362560000001</v>
      </c>
      <c r="R44" s="17">
        <f>VLOOKUP($D44,Résultats!$B$2:$AX$476,R$5,FALSE)</f>
        <v>0.62770380439999995</v>
      </c>
      <c r="S44" s="89">
        <f>VLOOKUP($D44,Résultats!$B$2:$AX$476,S$5,FALSE)</f>
        <v>0.6096318288</v>
      </c>
      <c r="T44" s="97">
        <f>VLOOKUP($D44,Résultats!$B$2:$AX$476,T$5,FALSE)</f>
        <v>0.69932888879999999</v>
      </c>
      <c r="U44" s="97">
        <f>VLOOKUP($D44,Résultats!$B$2:$AX$476,U$5,FALSE)</f>
        <v>0.85266356330000004</v>
      </c>
      <c r="V44" s="97">
        <f>VLOOKUP($D44,Résultats!$B$2:$AX$476,V$5,FALSE)</f>
        <v>0.85342888669999994</v>
      </c>
      <c r="W44" s="97">
        <f>VLOOKUP($D44,Résultats!$B$2:$AX$476,W$5,FALSE)</f>
        <v>0.86333701750000003</v>
      </c>
      <c r="X44" s="45">
        <f>W44-'[1]Cibles THREEME'!$AJ15</f>
        <v>0.55280745172715129</v>
      </c>
      <c r="Z44" s="197" t="s">
        <v>458</v>
      </c>
      <c r="AA44" s="16">
        <f>I36</f>
        <v>37.907255880499996</v>
      </c>
      <c r="AB44" s="16">
        <f>S36</f>
        <v>41.575873842399993</v>
      </c>
      <c r="AC44" s="86">
        <f>W36</f>
        <v>41.893538645120003</v>
      </c>
    </row>
    <row r="45" spans="1:39" x14ac:dyDescent="0.25">
      <c r="A45" s="3"/>
      <c r="B45" s="319" t="s">
        <v>53</v>
      </c>
      <c r="C45" s="5" t="s">
        <v>1</v>
      </c>
      <c r="D45" s="2" t="s">
        <v>385</v>
      </c>
      <c r="E45" s="6">
        <f>SUM(E46:E51)</f>
        <v>37.372055505900001</v>
      </c>
      <c r="F45" s="6">
        <f>SUM(F46:F51)</f>
        <v>42.899116981999995</v>
      </c>
      <c r="G45" s="84">
        <f t="shared" ref="G45:R45" si="11">SUM(G46:G51)</f>
        <v>42.68169543150001</v>
      </c>
      <c r="H45" s="6">
        <f t="shared" si="11"/>
        <v>41.544350665099998</v>
      </c>
      <c r="I45" s="85">
        <f t="shared" si="11"/>
        <v>40.880677693299994</v>
      </c>
      <c r="J45" s="84">
        <f t="shared" si="11"/>
        <v>40.705833040299993</v>
      </c>
      <c r="K45" s="6">
        <f t="shared" si="11"/>
        <v>40.556105533300006</v>
      </c>
      <c r="L45" s="6">
        <f t="shared" si="11"/>
        <v>41.156609381099997</v>
      </c>
      <c r="M45" s="6">
        <f t="shared" si="11"/>
        <v>40.541415199499994</v>
      </c>
      <c r="N45" s="85">
        <f t="shared" si="11"/>
        <v>39.802489827900004</v>
      </c>
      <c r="O45" s="84">
        <f t="shared" si="11"/>
        <v>39.156500622299987</v>
      </c>
      <c r="P45" s="6">
        <f t="shared" si="11"/>
        <v>38.6850391495</v>
      </c>
      <c r="Q45" s="6">
        <f t="shared" si="11"/>
        <v>38.189233734699997</v>
      </c>
      <c r="R45" s="6">
        <f t="shared" si="11"/>
        <v>37.124664242599998</v>
      </c>
      <c r="S45" s="85">
        <f>SUM(S46:S51)</f>
        <v>36.054848179099999</v>
      </c>
      <c r="T45" s="94">
        <f>SUM(T46:T51)</f>
        <v>34.399427183</v>
      </c>
      <c r="U45" s="94">
        <f>SUM(U46:U51)</f>
        <v>32.629802308000002</v>
      </c>
      <c r="V45" s="94">
        <f>SUM(V46:V51)</f>
        <v>32.827881828000002</v>
      </c>
      <c r="W45" s="94">
        <f>SUM(W46:W51)</f>
        <v>30.756234192000001</v>
      </c>
      <c r="X45" s="3"/>
      <c r="Z45" s="197" t="s">
        <v>459</v>
      </c>
      <c r="AA45" s="16">
        <f>SUM(I47,I49:I51)</f>
        <v>12.4575224875</v>
      </c>
      <c r="AB45" s="16">
        <f>S47+SUM(S49:S51)</f>
        <v>16.193911485099999</v>
      </c>
      <c r="AC45" s="86">
        <f>W47+SUM(W49:W51)</f>
        <v>16.286289716999999</v>
      </c>
    </row>
    <row r="46" spans="1:39" x14ac:dyDescent="0.25">
      <c r="A46" s="3"/>
      <c r="B46" s="320"/>
      <c r="C46" s="3" t="s">
        <v>13</v>
      </c>
      <c r="D46" s="3" t="s">
        <v>386</v>
      </c>
      <c r="E46" s="16">
        <f>VLOOKUP($D46,Résultats!$B$2:$AX$476,E$5,FALSE)</f>
        <v>34.363952900000001</v>
      </c>
      <c r="F46" s="16">
        <f>VLOOKUP($D46,Résultats!$B$2:$AX$476,F$5,FALSE)</f>
        <v>29.995919350000001</v>
      </c>
      <c r="G46" s="22">
        <f>VLOOKUP($D46,Résultats!$B$2:$AX$476,G$5,FALSE)</f>
        <v>29.464262380000001</v>
      </c>
      <c r="H46" s="16">
        <f>VLOOKUP($D46,Résultats!$B$2:$AX$476,H$5,FALSE)</f>
        <v>28.55639622</v>
      </c>
      <c r="I46" s="86">
        <f>VLOOKUP($D46,Résultats!$B$2:$AX$476,I$5,FALSE)</f>
        <v>27.97965628</v>
      </c>
      <c r="J46" s="22">
        <f>VLOOKUP($D46,Résultats!$B$2:$AX$476,J$5,FALSE)</f>
        <v>26.733451909999999</v>
      </c>
      <c r="K46" s="16">
        <f>VLOOKUP($D46,Résultats!$B$2:$AX$476,K$5,FALSE)</f>
        <v>25.485871249999999</v>
      </c>
      <c r="L46" s="16">
        <f>VLOOKUP($D46,Résultats!$B$2:$AX$476,L$5,FALSE)</f>
        <v>24.422047330000002</v>
      </c>
      <c r="M46" s="16">
        <f>VLOOKUP($D46,Résultats!$B$2:$AX$476,M$5,FALSE)</f>
        <v>23.953190339999999</v>
      </c>
      <c r="N46" s="86">
        <f>VLOOKUP($D46,Résultats!$B$2:$AX$476,N$5,FALSE)</f>
        <v>23.097675070000001</v>
      </c>
      <c r="O46" s="22">
        <f>VLOOKUP($D46,Résultats!$B$2:$AX$476,O$5,FALSE)</f>
        <v>21.80034096</v>
      </c>
      <c r="P46" s="16">
        <f>VLOOKUP($D46,Résultats!$B$2:$AX$476,P$5,FALSE)</f>
        <v>20.637602350000002</v>
      </c>
      <c r="Q46" s="16">
        <f>VLOOKUP($D46,Résultats!$B$2:$AX$476,Q$5,FALSE)</f>
        <v>19.491953689999999</v>
      </c>
      <c r="R46" s="16">
        <f>VLOOKUP($D46,Résultats!$B$2:$AX$476,R$5,FALSE)</f>
        <v>18.13020994</v>
      </c>
      <c r="S46" s="86">
        <f>VLOOKUP($D46,Résultats!$B$2:$AX$476,S$5,FALSE)</f>
        <v>16.815520190000001</v>
      </c>
      <c r="T46" s="95">
        <f>VLOOKUP($D46,Résultats!$B$2:$AX$476,T$5,FALSE)</f>
        <v>9.6732891379999995</v>
      </c>
      <c r="U46" s="95">
        <f>VLOOKUP($D46,Résultats!$B$2:$AX$476,U$5,FALSE)</f>
        <v>9.1942024100000008</v>
      </c>
      <c r="V46" s="95">
        <f>VLOOKUP($D46,Résultats!$B$2:$AX$476,V$5,FALSE)</f>
        <v>3.0077736079999999</v>
      </c>
      <c r="W46" s="95">
        <f>VLOOKUP($D46,Résultats!$B$2:$AX$476,W$5,FALSE)</f>
        <v>5.1408601059999999</v>
      </c>
      <c r="X46" s="45">
        <f>W46-'[1]Cibles THREEME'!$AJ17</f>
        <v>3.7438002953782243</v>
      </c>
      <c r="Z46" s="197" t="s">
        <v>460</v>
      </c>
      <c r="AA46" s="16">
        <f>I46+I48</f>
        <v>28.423155205800001</v>
      </c>
      <c r="AB46" s="16">
        <f>S46+S48</f>
        <v>19.860936693999999</v>
      </c>
      <c r="AC46" s="86">
        <f>W46+W48</f>
        <v>14.469944475</v>
      </c>
    </row>
    <row r="47" spans="1:39" x14ac:dyDescent="0.25">
      <c r="A47" s="3"/>
      <c r="B47" s="320"/>
      <c r="C47" s="3" t="s">
        <v>14</v>
      </c>
      <c r="D47" s="3" t="s">
        <v>387</v>
      </c>
      <c r="E47" s="16">
        <f>VLOOKUP($D47,Résultats!$B$2:$AX$476,E$5,FALSE)</f>
        <v>1.608611019</v>
      </c>
      <c r="F47" s="16">
        <f>VLOOKUP($D47,Résultats!$B$2:$AX$476,F$5,FALSE)</f>
        <v>7.8677095860000001</v>
      </c>
      <c r="G47" s="22">
        <f>VLOOKUP($D47,Résultats!$B$2:$AX$476,G$5,FALSE)</f>
        <v>8.0993002020000002</v>
      </c>
      <c r="H47" s="16">
        <f>VLOOKUP($D47,Résultats!$B$2:$AX$476,H$5,FALSE)</f>
        <v>7.9712371209999997</v>
      </c>
      <c r="I47" s="86">
        <f>VLOOKUP($D47,Résultats!$B$2:$AX$476,I$5,FALSE)</f>
        <v>7.9300988889999999</v>
      </c>
      <c r="J47" s="22">
        <f>VLOOKUP($D47,Résultats!$B$2:$AX$476,J$5,FALSE)</f>
        <v>8.1062133749999994</v>
      </c>
      <c r="K47" s="16">
        <f>VLOOKUP($D47,Résultats!$B$2:$AX$476,K$5,FALSE)</f>
        <v>8.2906617560000004</v>
      </c>
      <c r="L47" s="16">
        <f>VLOOKUP($D47,Résultats!$B$2:$AX$476,L$5,FALSE)</f>
        <v>8.8455036899999904</v>
      </c>
      <c r="M47" s="16">
        <f>VLOOKUP($D47,Résultats!$B$2:$AX$476,M$5,FALSE)</f>
        <v>8.4023294740000001</v>
      </c>
      <c r="N47" s="86">
        <f>VLOOKUP($D47,Résultats!$B$2:$AX$476,N$5,FALSE)</f>
        <v>8.2118143660000005</v>
      </c>
      <c r="O47" s="22">
        <f>VLOOKUP($D47,Résultats!$B$2:$AX$476,O$5,FALSE)</f>
        <v>8.1265418769999904</v>
      </c>
      <c r="P47" s="16">
        <f>VLOOKUP($D47,Résultats!$B$2:$AX$476,P$5,FALSE)</f>
        <v>8.0758311159999998</v>
      </c>
      <c r="Q47" s="16">
        <f>VLOOKUP($D47,Résultats!$B$2:$AX$476,Q$5,FALSE)</f>
        <v>8.0217932580000006</v>
      </c>
      <c r="R47" s="16">
        <f>VLOOKUP($D47,Résultats!$B$2:$AX$476,R$5,FALSE)</f>
        <v>7.8755491170000003</v>
      </c>
      <c r="S47" s="86">
        <f>VLOOKUP($D47,Résultats!$B$2:$AX$476,S$5,FALSE)</f>
        <v>7.7323338079999999</v>
      </c>
      <c r="T47" s="95">
        <f>VLOOKUP($D47,Résultats!$B$2:$AX$476,T$5,FALSE)</f>
        <v>9.1988301620000001</v>
      </c>
      <c r="U47" s="95">
        <f>VLOOKUP($D47,Résultats!$B$2:$AX$476,U$5,FALSE)</f>
        <v>6.8958030949999998</v>
      </c>
      <c r="V47" s="95">
        <f>VLOOKUP($D47,Résultats!$B$2:$AX$476,V$5,FALSE)</f>
        <v>9.8556126010000007</v>
      </c>
      <c r="W47" s="95">
        <f>VLOOKUP($D47,Résultats!$B$2:$AX$476,W$5,FALSE)</f>
        <v>6.6824331719999996</v>
      </c>
      <c r="X47" s="45">
        <f>W47-'[1]Cibles THREEME'!$AJ18</f>
        <v>-3.7502196295308785</v>
      </c>
      <c r="Z47" s="197" t="s">
        <v>461</v>
      </c>
      <c r="AA47" s="16">
        <f>I33</f>
        <v>63.03237601</v>
      </c>
      <c r="AB47" s="16">
        <f>S33</f>
        <v>46.585679248000005</v>
      </c>
      <c r="AC47" s="86">
        <f>W33</f>
        <v>18.52751657</v>
      </c>
    </row>
    <row r="48" spans="1:39" x14ac:dyDescent="0.25">
      <c r="A48" s="3"/>
      <c r="B48" s="320"/>
      <c r="C48" s="3" t="s">
        <v>15</v>
      </c>
      <c r="D48" s="3" t="s">
        <v>388</v>
      </c>
      <c r="E48" s="16">
        <f>VLOOKUP($D48,Résultats!$B$2:$AX$476,E$5,FALSE)</f>
        <v>0.20107637740000001</v>
      </c>
      <c r="F48" s="16">
        <f>VLOOKUP($D48,Résultats!$B$2:$AX$476,F$5,FALSE)</f>
        <v>0.13297151669999999</v>
      </c>
      <c r="G48" s="22">
        <f>VLOOKUP($D48,Résultats!$B$2:$AX$476,G$5,FALSE)</f>
        <v>0.33109929020000001</v>
      </c>
      <c r="H48" s="16">
        <f>VLOOKUP($D48,Résultats!$B$2:$AX$476,H$5,FALSE)</f>
        <v>0.3865454821</v>
      </c>
      <c r="I48" s="86">
        <f>VLOOKUP($D48,Résultats!$B$2:$AX$476,I$5,FALSE)</f>
        <v>0.4434989258</v>
      </c>
      <c r="J48" s="22">
        <f>VLOOKUP($D48,Résultats!$B$2:$AX$476,J$5,FALSE)</f>
        <v>0.68777384009999998</v>
      </c>
      <c r="K48" s="16">
        <f>VLOOKUP($D48,Résultats!$B$2:$AX$476,K$5,FALSE)</f>
        <v>0.93637852340000005</v>
      </c>
      <c r="L48" s="16">
        <f>VLOOKUP($D48,Résultats!$B$2:$AX$476,L$5,FALSE)</f>
        <v>1.2231619220000001</v>
      </c>
      <c r="M48" s="16">
        <f>VLOOKUP($D48,Résultats!$B$2:$AX$476,M$5,FALSE)</f>
        <v>1.3059159849999999</v>
      </c>
      <c r="N48" s="86">
        <f>VLOOKUP($D48,Résultats!$B$2:$AX$476,N$5,FALSE)</f>
        <v>1.390022133</v>
      </c>
      <c r="O48" s="22">
        <f>VLOOKUP($D48,Résultats!$B$2:$AX$476,O$5,FALSE)</f>
        <v>1.789795877</v>
      </c>
      <c r="P48" s="16">
        <f>VLOOKUP($D48,Résultats!$B$2:$AX$476,P$5,FALSE)</f>
        <v>2.1802668810000001</v>
      </c>
      <c r="Q48" s="16">
        <f>VLOOKUP($D48,Résultats!$B$2:$AX$476,Q$5,FALSE)</f>
        <v>2.5539271160000001</v>
      </c>
      <c r="R48" s="16">
        <f>VLOOKUP($D48,Résultats!$B$2:$AX$476,R$5,FALSE)</f>
        <v>2.8119004799999998</v>
      </c>
      <c r="S48" s="86">
        <f>VLOOKUP($D48,Résultats!$B$2:$AX$476,S$5,FALSE)</f>
        <v>3.0454165039999999</v>
      </c>
      <c r="T48" s="95">
        <f>VLOOKUP($D48,Résultats!$B$2:$AX$476,T$5,FALSE)</f>
        <v>5.3301522410000004</v>
      </c>
      <c r="U48" s="95">
        <f>VLOOKUP($D48,Résultats!$B$2:$AX$476,U$5,FALSE)</f>
        <v>6.8508876470000004</v>
      </c>
      <c r="V48" s="95">
        <f>VLOOKUP($D48,Résultats!$B$2:$AX$476,V$5,FALSE)</f>
        <v>8.6456587969999994</v>
      </c>
      <c r="W48" s="95">
        <f>VLOOKUP($D48,Résultats!$B$2:$AX$476,W$5,FALSE)</f>
        <v>9.3290843690000003</v>
      </c>
      <c r="X48" s="45">
        <f>W48-'[1]Cibles THREEME'!$AJ19</f>
        <v>-2.9720006705072191</v>
      </c>
      <c r="Z48" s="198" t="s">
        <v>42</v>
      </c>
      <c r="AA48" s="17">
        <f>I52</f>
        <v>2.062420516</v>
      </c>
      <c r="AB48" s="17">
        <f>S52</f>
        <v>0.30519171859999999</v>
      </c>
      <c r="AC48" s="89">
        <f>W52</f>
        <v>0.1034625856</v>
      </c>
    </row>
    <row r="49" spans="1:29" x14ac:dyDescent="0.25">
      <c r="A49" s="3"/>
      <c r="B49" s="320"/>
      <c r="C49" s="3" t="s">
        <v>16</v>
      </c>
      <c r="D49" s="3" t="s">
        <v>389</v>
      </c>
      <c r="E49" s="16">
        <f>VLOOKUP($D49,Résultats!$B$2:$AX$476,E$5,FALSE)</f>
        <v>0.59518607720000005</v>
      </c>
      <c r="F49" s="16">
        <f>VLOOKUP($D49,Résultats!$B$2:$AX$476,F$5,FALSE)</f>
        <v>0.4719605073</v>
      </c>
      <c r="G49" s="22">
        <f>VLOOKUP($D49,Résultats!$B$2:$AX$476,G$5,FALSE)</f>
        <v>1.124546168</v>
      </c>
      <c r="H49" s="16">
        <f>VLOOKUP($D49,Résultats!$B$2:$AX$476,H$5,FALSE)</f>
        <v>1.306322813</v>
      </c>
      <c r="I49" s="86">
        <f>VLOOKUP($D49,Résultats!$B$2:$AX$476,I$5,FALSE)</f>
        <v>1.493439255</v>
      </c>
      <c r="J49" s="22">
        <f>VLOOKUP($D49,Résultats!$B$2:$AX$476,J$5,FALSE)</f>
        <v>1.5493516700000001</v>
      </c>
      <c r="K49" s="16">
        <f>VLOOKUP($D49,Résultats!$B$2:$AX$476,K$5,FALSE)</f>
        <v>1.6072084499999999</v>
      </c>
      <c r="L49" s="16">
        <f>VLOOKUP($D49,Résultats!$B$2:$AX$476,L$5,FALSE)</f>
        <v>1.70295471</v>
      </c>
      <c r="M49" s="16">
        <f>VLOOKUP($D49,Résultats!$B$2:$AX$476,M$5,FALSE)</f>
        <v>1.431313399</v>
      </c>
      <c r="N49" s="86">
        <f>VLOOKUP($D49,Résultats!$B$2:$AX$476,N$5,FALSE)</f>
        <v>1.219415337</v>
      </c>
      <c r="O49" s="22">
        <f>VLOOKUP($D49,Résultats!$B$2:$AX$476,O$5,FALSE)</f>
        <v>1.2365931809999999</v>
      </c>
      <c r="P49" s="16">
        <f>VLOOKUP($D49,Résultats!$B$2:$AX$476,P$5,FALSE)</f>
        <v>1.2577837890000001</v>
      </c>
      <c r="Q49" s="16">
        <f>VLOOKUP($D49,Résultats!$B$2:$AX$476,Q$5,FALSE)</f>
        <v>1.2769889059999999</v>
      </c>
      <c r="R49" s="16">
        <f>VLOOKUP($D49,Résultats!$B$2:$AX$476,R$5,FALSE)</f>
        <v>1.2657039299999999</v>
      </c>
      <c r="S49" s="86">
        <f>VLOOKUP($D49,Résultats!$B$2:$AX$476,S$5,FALSE)</f>
        <v>1.252899344</v>
      </c>
      <c r="T49" s="95">
        <f>VLOOKUP($D49,Résultats!$B$2:$AX$476,T$5,FALSE)</f>
        <v>1.3308695669999999</v>
      </c>
      <c r="U49" s="95">
        <f>VLOOKUP($D49,Résultats!$B$2:$AX$476,U$5,FALSE)</f>
        <v>1.066665813</v>
      </c>
      <c r="V49" s="95">
        <f>VLOOKUP($D49,Résultats!$B$2:$AX$476,V$5,FALSE)</f>
        <v>1.3336565010000001</v>
      </c>
      <c r="W49" s="95">
        <f>VLOOKUP($D49,Résultats!$B$2:$AX$476,W$5,FALSE)</f>
        <v>0.95751838499999997</v>
      </c>
      <c r="X49" s="45">
        <f>W49-'[1]Cibles THREEME'!$AJ20</f>
        <v>0.25838864988588572</v>
      </c>
      <c r="Z49" s="189" t="s">
        <v>485</v>
      </c>
      <c r="AA49" s="189">
        <f>SUM(AA44:AA48)</f>
        <v>143.8827300998</v>
      </c>
      <c r="AB49" s="189">
        <f t="shared" ref="AB49:AC49" si="12">SUM(AB44:AB48)</f>
        <v>124.5215929881</v>
      </c>
      <c r="AC49" s="189">
        <f t="shared" si="12"/>
        <v>91.280751992720013</v>
      </c>
    </row>
    <row r="50" spans="1:29" x14ac:dyDescent="0.25">
      <c r="A50" s="3"/>
      <c r="B50" s="320"/>
      <c r="C50" s="3" t="s">
        <v>17</v>
      </c>
      <c r="D50" s="3" t="s">
        <v>390</v>
      </c>
      <c r="E50" s="16">
        <f>VLOOKUP($D50,Résultats!$B$2:$AX$476,E$5,FALSE)</f>
        <v>0.20107637740000001</v>
      </c>
      <c r="F50" s="16">
        <f>VLOOKUP($D50,Résultats!$B$2:$AX$476,F$5,FALSE)</f>
        <v>0.22606005000000001</v>
      </c>
      <c r="G50" s="22">
        <f>VLOOKUP($D50,Résultats!$B$2:$AX$476,G$5,FALSE)</f>
        <v>0.33312861830000001</v>
      </c>
      <c r="H50" s="16">
        <f>VLOOKUP($D50,Résultats!$B$2:$AX$476,H$5,FALSE)</f>
        <v>0.35923544200000002</v>
      </c>
      <c r="I50" s="86">
        <f>VLOOKUP($D50,Résultats!$B$2:$AX$476,I$5,FALSE)</f>
        <v>0.38785956649999997</v>
      </c>
      <c r="J50" s="22">
        <f>VLOOKUP($D50,Résultats!$B$2:$AX$476,J$5,FALSE)</f>
        <v>0.45957319819999998</v>
      </c>
      <c r="K50" s="16">
        <f>VLOOKUP($D50,Résultats!$B$2:$AX$476,K$5,FALSE)</f>
        <v>0.53273442090000001</v>
      </c>
      <c r="L50" s="16">
        <f>VLOOKUP($D50,Résultats!$B$2:$AX$476,L$5,FALSE)</f>
        <v>0.63977418610000003</v>
      </c>
      <c r="M50" s="16">
        <f>VLOOKUP($D50,Résultats!$B$2:$AX$476,M$5,FALSE)</f>
        <v>0.60125901250000002</v>
      </c>
      <c r="N50" s="86">
        <f>VLOOKUP($D50,Résultats!$B$2:$AX$476,N$5,FALSE)</f>
        <v>0.59360389790000001</v>
      </c>
      <c r="O50" s="22">
        <f>VLOOKUP($D50,Résultats!$B$2:$AX$476,O$5,FALSE)</f>
        <v>0.63004119830000005</v>
      </c>
      <c r="P50" s="16">
        <f>VLOOKUP($D50,Résultats!$B$2:$AX$476,P$5,FALSE)</f>
        <v>0.66743118050000005</v>
      </c>
      <c r="Q50" s="16">
        <f>VLOOKUP($D50,Résultats!$B$2:$AX$476,Q$5,FALSE)</f>
        <v>0.70305747870000002</v>
      </c>
      <c r="R50" s="16">
        <f>VLOOKUP($D50,Résultats!$B$2:$AX$476,R$5,FALSE)</f>
        <v>0.73045671960000003</v>
      </c>
      <c r="S50" s="86">
        <f>VLOOKUP($D50,Résultats!$B$2:$AX$476,S$5,FALSE)</f>
        <v>0.75527158110000003</v>
      </c>
      <c r="T50" s="95">
        <f>VLOOKUP($D50,Résultats!$B$2:$AX$476,T$5,FALSE)</f>
        <v>1.226161251</v>
      </c>
      <c r="U50" s="95">
        <f>VLOOKUP($D50,Résultats!$B$2:$AX$476,U$5,FALSE)</f>
        <v>1.005886536</v>
      </c>
      <c r="V50" s="95">
        <f>VLOOKUP($D50,Résultats!$B$2:$AX$476,V$5,FALSE)</f>
        <v>1.452888886</v>
      </c>
      <c r="W50" s="95">
        <f>VLOOKUP($D50,Résultats!$B$2:$AX$476,W$5,FALSE)</f>
        <v>1.076456372</v>
      </c>
      <c r="X50" s="45">
        <f>W50-'[1]Cibles THREEME'!$AJ21</f>
        <v>0.13349250197594964</v>
      </c>
    </row>
    <row r="51" spans="1:29" x14ac:dyDescent="0.25">
      <c r="A51" s="3"/>
      <c r="B51" s="321"/>
      <c r="C51" s="7" t="s">
        <v>12</v>
      </c>
      <c r="D51" s="3" t="s">
        <v>391</v>
      </c>
      <c r="E51" s="17">
        <f>VLOOKUP($D51,Résultats!$B$2:$AX$476,E$5,FALSE)</f>
        <v>0.40215275490000002</v>
      </c>
      <c r="F51" s="17">
        <f>VLOOKUP($D51,Résultats!$B$2:$AX$476,F$5,FALSE)</f>
        <v>4.2044959720000001</v>
      </c>
      <c r="G51" s="88">
        <f>VLOOKUP($D51,Résultats!$B$2:$AX$476,G$5,FALSE)</f>
        <v>3.329358773</v>
      </c>
      <c r="H51" s="17">
        <f>VLOOKUP($D51,Résultats!$B$2:$AX$476,H$5,FALSE)</f>
        <v>2.9646135870000001</v>
      </c>
      <c r="I51" s="89">
        <f>VLOOKUP($D51,Résultats!$B$2:$AX$476,I$5,FALSE)</f>
        <v>2.6461247769999998</v>
      </c>
      <c r="J51" s="88">
        <f>VLOOKUP($D51,Résultats!$B$2:$AX$476,J$5,FALSE)</f>
        <v>3.1694690470000002</v>
      </c>
      <c r="K51" s="17">
        <f>VLOOKUP($D51,Résultats!$B$2:$AX$476,K$5,FALSE)</f>
        <v>3.7032511330000002</v>
      </c>
      <c r="L51" s="17">
        <f>VLOOKUP($D51,Résultats!$B$2:$AX$476,L$5,FALSE)</f>
        <v>4.3231675430000003</v>
      </c>
      <c r="M51" s="17">
        <f>VLOOKUP($D51,Résultats!$B$2:$AX$476,M$5,FALSE)</f>
        <v>4.8474069890000004</v>
      </c>
      <c r="N51" s="89">
        <f>VLOOKUP($D51,Résultats!$B$2:$AX$476,N$5,FALSE)</f>
        <v>5.2899590239999998</v>
      </c>
      <c r="O51" s="88">
        <f>VLOOKUP($D51,Résultats!$B$2:$AX$476,O$5,FALSE)</f>
        <v>5.5731875290000001</v>
      </c>
      <c r="P51" s="17">
        <f>VLOOKUP($D51,Résultats!$B$2:$AX$476,P$5,FALSE)</f>
        <v>5.8661238329999996</v>
      </c>
      <c r="Q51" s="17">
        <f>VLOOKUP($D51,Résultats!$B$2:$AX$476,Q$5,FALSE)</f>
        <v>6.1415132860000003</v>
      </c>
      <c r="R51" s="17">
        <f>VLOOKUP($D51,Résultats!$B$2:$AX$476,R$5,FALSE)</f>
        <v>6.3108440559999996</v>
      </c>
      <c r="S51" s="89">
        <f>VLOOKUP($D51,Résultats!$B$2:$AX$476,S$5,FALSE)</f>
        <v>6.4534067520000002</v>
      </c>
      <c r="T51" s="97">
        <f>VLOOKUP($D51,Résultats!$B$2:$AX$476,T$5,FALSE)</f>
        <v>7.6401248239999999</v>
      </c>
      <c r="U51" s="97">
        <f>VLOOKUP($D51,Résultats!$B$2:$AX$476,U$5,FALSE)</f>
        <v>7.6163568069999998</v>
      </c>
      <c r="V51" s="97">
        <f>VLOOKUP($D51,Résultats!$B$2:$AX$476,V$5,FALSE)</f>
        <v>8.5322914349999994</v>
      </c>
      <c r="W51" s="97">
        <f>VLOOKUP($D51,Résultats!$B$2:$AX$476,W$5,FALSE)</f>
        <v>7.569881788</v>
      </c>
      <c r="X51" s="45">
        <f>W51-'[1]Cibles THREEME'!$AJ22</f>
        <v>0.80856139646759129</v>
      </c>
    </row>
    <row r="52" spans="1:29" x14ac:dyDescent="0.25">
      <c r="A52" s="3"/>
      <c r="B52" s="170" t="s">
        <v>8</v>
      </c>
      <c r="C52" s="2"/>
      <c r="D52" s="14" t="s">
        <v>392</v>
      </c>
      <c r="E52" s="6">
        <f>VLOOKUP($D52,Résultats!$B$2:$AX$476,E$5,FALSE)</f>
        <v>5.7508898210000003</v>
      </c>
      <c r="F52" s="6">
        <f>VLOOKUP($D52,Résultats!$B$2:$AX$476,F$5,FALSE)</f>
        <v>4.2193120510000002</v>
      </c>
      <c r="G52" s="84">
        <f>VLOOKUP($D52,Résultats!$B$2:$AX$476,G$5,FALSE)</f>
        <v>2.4621726910000001</v>
      </c>
      <c r="H52" s="6">
        <f>VLOOKUP($D52,Résultats!$B$2:$AX$476,H$5,FALSE)</f>
        <v>2.2477257349999999</v>
      </c>
      <c r="I52" s="85">
        <f>VLOOKUP($D52,Résultats!$B$2:$AX$476,I$5,FALSE)</f>
        <v>2.062420516</v>
      </c>
      <c r="J52" s="84">
        <f>VLOOKUP($D52,Résultats!$B$2:$AX$476,J$5,FALSE)</f>
        <v>2.0475836049999998</v>
      </c>
      <c r="K52" s="6">
        <f>VLOOKUP($D52,Résultats!$B$2:$AX$476,K$5,FALSE)</f>
        <v>2.0123358539999998</v>
      </c>
      <c r="L52" s="6">
        <f>VLOOKUP($D52,Résultats!$B$2:$AX$476,L$5,FALSE)</f>
        <v>1.7120392419999999</v>
      </c>
      <c r="M52" s="6">
        <f>VLOOKUP($D52,Résultats!$B$2:$AX$476,M$5,FALSE)</f>
        <v>1.330220623</v>
      </c>
      <c r="N52" s="85">
        <f>VLOOKUP($D52,Résultats!$B$2:$AX$476,N$5,FALSE)</f>
        <v>0.97370411980000005</v>
      </c>
      <c r="O52" s="84">
        <f>VLOOKUP($D52,Résultats!$B$2:$AX$476,O$5,FALSE)</f>
        <v>0.72808990019999997</v>
      </c>
      <c r="P52" s="6">
        <f>VLOOKUP($D52,Résultats!$B$2:$AX$476,P$5,FALSE)</f>
        <v>0.56370066780000005</v>
      </c>
      <c r="Q52" s="6">
        <f>VLOOKUP($D52,Résultats!$B$2:$AX$476,Q$5,FALSE)</f>
        <v>0.44879287179999999</v>
      </c>
      <c r="R52" s="6">
        <f>VLOOKUP($D52,Résultats!$B$2:$AX$476,R$5,FALSE)</f>
        <v>0.36577980329999998</v>
      </c>
      <c r="S52" s="85">
        <f>VLOOKUP($D52,Résultats!$B$2:$AX$476,S$5,FALSE)</f>
        <v>0.30519171859999999</v>
      </c>
      <c r="T52" s="94">
        <f>VLOOKUP($D52,Résultats!$B$2:$AX$476,T$5,FALSE)</f>
        <v>0.1942664872</v>
      </c>
      <c r="U52" s="94">
        <f>VLOOKUP($D52,Résultats!$B$2:$AX$476,U$5,FALSE)</f>
        <v>0.15088655200000001</v>
      </c>
      <c r="V52" s="94">
        <f>VLOOKUP($D52,Résultats!$B$2:$AX$476,V$5,FALSE)</f>
        <v>0.1220672952</v>
      </c>
      <c r="W52" s="94">
        <f>VLOOKUP($D52,Résultats!$B$2:$AX$476,W$5,FALSE)</f>
        <v>0.1034625856</v>
      </c>
      <c r="X52" s="3"/>
    </row>
    <row r="53" spans="1:29" x14ac:dyDescent="0.25">
      <c r="A53" s="3"/>
      <c r="B53" s="169" t="s">
        <v>1</v>
      </c>
      <c r="C53" s="2"/>
      <c r="D53" s="2" t="s">
        <v>393</v>
      </c>
      <c r="E53" s="9">
        <f>E52+E45+E36+E33</f>
        <v>160.99205899539999</v>
      </c>
      <c r="F53" s="9">
        <f>F52+F45+F36+F33</f>
        <v>157.6808545403</v>
      </c>
      <c r="G53" s="23">
        <f t="shared" ref="G53:R53" si="13">G52+G45+G36+G33</f>
        <v>149.73741175280003</v>
      </c>
      <c r="H53" s="9">
        <f t="shared" si="13"/>
        <v>146.74834351570001</v>
      </c>
      <c r="I53" s="90">
        <f t="shared" si="13"/>
        <v>143.8827300998</v>
      </c>
      <c r="J53" s="23">
        <f t="shared" si="13"/>
        <v>143.6947034104</v>
      </c>
      <c r="K53" s="9">
        <f t="shared" si="13"/>
        <v>143.06485758860001</v>
      </c>
      <c r="L53" s="9">
        <f t="shared" si="13"/>
        <v>142.32894719289999</v>
      </c>
      <c r="M53" s="9">
        <f t="shared" si="13"/>
        <v>140.85892709479998</v>
      </c>
      <c r="N53" s="90">
        <f t="shared" si="13"/>
        <v>138.3719250979</v>
      </c>
      <c r="O53" s="23">
        <f t="shared" si="13"/>
        <v>135.45019690689998</v>
      </c>
      <c r="P53" s="9">
        <f t="shared" si="13"/>
        <v>132.8207950348</v>
      </c>
      <c r="Q53" s="9">
        <f t="shared" si="13"/>
        <v>130.25947028390001</v>
      </c>
      <c r="R53" s="9">
        <f t="shared" si="13"/>
        <v>127.3496549059</v>
      </c>
      <c r="S53" s="90">
        <f>S52+S45+S36+S33</f>
        <v>124.5215929881</v>
      </c>
      <c r="T53" s="98">
        <f>T52+T45+T36+T33</f>
        <v>113.03750033166999</v>
      </c>
      <c r="U53" s="98">
        <f>U52+U45+U36+U33</f>
        <v>103.91700602802999</v>
      </c>
      <c r="V53" s="98">
        <f>V52+V45+V36+V33</f>
        <v>97.654758746179994</v>
      </c>
      <c r="W53" s="98">
        <f>W52+W45+W36+W33</f>
        <v>91.280751992719999</v>
      </c>
      <c r="X53" s="3"/>
    </row>
    <row r="54" spans="1:29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9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9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9" s="3" customFormat="1" x14ac:dyDescent="0.25"/>
    <row r="58" spans="1:29" s="3" customFormat="1" x14ac:dyDescent="0.25"/>
    <row r="59" spans="1:29" s="3" customFormat="1" x14ac:dyDescent="0.25"/>
    <row r="60" spans="1:29" s="3" customFormat="1" x14ac:dyDescent="0.25"/>
    <row r="61" spans="1:29" s="3" customFormat="1" x14ac:dyDescent="0.25"/>
    <row r="62" spans="1:29" s="3" customFormat="1" x14ac:dyDescent="0.25"/>
    <row r="63" spans="1:29" s="3" customFormat="1" x14ac:dyDescent="0.25"/>
    <row r="64" spans="1:29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0070C0"/>
  </sheetPr>
  <dimension ref="A1:AE860"/>
  <sheetViews>
    <sheetView tabSelected="1" topLeftCell="A101" zoomScale="70" zoomScaleNormal="70" workbookViewId="0">
      <selection activeCell="L118" sqref="L118"/>
    </sheetView>
  </sheetViews>
  <sheetFormatPr baseColWidth="10" defaultRowHeight="15" x14ac:dyDescent="0.25"/>
  <cols>
    <col min="1" max="2" width="11.42578125" style="3"/>
    <col min="3" max="3" width="37.28515625" customWidth="1"/>
    <col min="4" max="4" width="25.2851562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2" width="11.42578125" customWidth="1"/>
    <col min="14" max="14" width="24.85546875" style="3" customWidth="1"/>
    <col min="20" max="20" width="11.42578125" style="3"/>
    <col min="21" max="21" width="37.28515625" customWidth="1"/>
    <col min="22" max="22" width="25.2851562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31" max="31" width="11.42578125" style="3"/>
  </cols>
  <sheetData>
    <row r="1" spans="1:30" ht="28.5" x14ac:dyDescent="0.45">
      <c r="A1" s="171" t="s">
        <v>98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41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61" t="str">
        <f>Résultats!B1</f>
        <v>SNBC3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41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41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42"/>
      <c r="C6" s="42"/>
      <c r="D6" s="42"/>
      <c r="E6" s="42"/>
      <c r="F6" s="42"/>
      <c r="G6" s="42"/>
      <c r="H6" s="42"/>
      <c r="I6" s="42"/>
      <c r="J6" s="3"/>
      <c r="K6" s="3"/>
      <c r="M6" s="3"/>
      <c r="O6" s="3"/>
      <c r="P6" s="3"/>
      <c r="Q6" s="3"/>
      <c r="R6" s="41"/>
      <c r="S6" s="41"/>
      <c r="T6" s="42"/>
      <c r="U6" s="42"/>
      <c r="V6" s="42"/>
      <c r="W6" s="42"/>
      <c r="X6" s="42"/>
      <c r="Y6" s="42"/>
      <c r="Z6" s="42"/>
      <c r="AA6" s="42"/>
      <c r="AB6" s="3"/>
      <c r="AC6" s="3"/>
    </row>
    <row r="7" spans="1:30" ht="18.75" x14ac:dyDescent="0.3">
      <c r="C7" s="41" t="s">
        <v>83</v>
      </c>
      <c r="I7" s="3"/>
      <c r="J7" s="3"/>
      <c r="K7" s="3"/>
      <c r="L7" s="3"/>
      <c r="M7" s="3"/>
      <c r="N7" s="41" t="s">
        <v>84</v>
      </c>
      <c r="O7" s="3"/>
      <c r="P7" s="3"/>
      <c r="Q7" s="3"/>
      <c r="R7" s="3"/>
      <c r="S7" s="3"/>
      <c r="U7" s="41" t="s">
        <v>83</v>
      </c>
      <c r="AA7" s="3"/>
      <c r="AB7" s="3"/>
      <c r="AC7" s="3"/>
      <c r="AD7" s="3"/>
    </row>
    <row r="8" spans="1:30" ht="23.25" x14ac:dyDescent="0.35">
      <c r="B8" s="46"/>
      <c r="C8" s="42" t="s">
        <v>50</v>
      </c>
      <c r="D8" s="3"/>
      <c r="E8" s="42"/>
      <c r="F8" s="42"/>
      <c r="G8" s="42"/>
      <c r="H8" s="42"/>
      <c r="I8" s="42"/>
      <c r="J8" s="42"/>
      <c r="K8" s="42"/>
      <c r="L8" s="3"/>
      <c r="M8" s="3"/>
      <c r="N8" t="s">
        <v>85</v>
      </c>
      <c r="U8" s="42" t="s">
        <v>50</v>
      </c>
      <c r="V8" s="3"/>
      <c r="W8" s="42"/>
      <c r="X8" s="42"/>
      <c r="Y8" s="42"/>
      <c r="Z8" s="42"/>
      <c r="AA8" s="42"/>
      <c r="AB8" s="42"/>
      <c r="AC8" s="42"/>
      <c r="AD8" s="3"/>
    </row>
    <row r="9" spans="1:30" x14ac:dyDescent="0.25">
      <c r="B9" s="42"/>
      <c r="C9" s="3"/>
      <c r="D9" s="3"/>
      <c r="E9" s="3"/>
      <c r="F9" s="3"/>
      <c r="G9" s="3"/>
      <c r="H9" s="42"/>
      <c r="I9" s="42"/>
      <c r="J9" s="42"/>
      <c r="K9" s="42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42"/>
      <c r="AA9" s="42"/>
      <c r="AB9" s="42"/>
      <c r="AC9" s="42"/>
      <c r="AD9" s="3"/>
    </row>
    <row r="10" spans="1:30" ht="31.5" x14ac:dyDescent="0.35">
      <c r="B10" s="42"/>
      <c r="C10" s="145">
        <v>2015</v>
      </c>
      <c r="D10" s="146"/>
      <c r="E10" s="146"/>
      <c r="F10" s="146"/>
      <c r="G10" s="146"/>
      <c r="H10" s="76" t="s">
        <v>36</v>
      </c>
      <c r="I10" s="76" t="s">
        <v>49</v>
      </c>
      <c r="J10" s="76" t="s">
        <v>38</v>
      </c>
      <c r="K10" s="76" t="s">
        <v>48</v>
      </c>
      <c r="L10" s="93" t="s">
        <v>1</v>
      </c>
      <c r="M10" s="19"/>
      <c r="N10" s="145">
        <v>2015</v>
      </c>
      <c r="O10" s="141" t="s">
        <v>36</v>
      </c>
      <c r="P10" s="76" t="s">
        <v>49</v>
      </c>
      <c r="Q10" s="76" t="s">
        <v>38</v>
      </c>
      <c r="R10" s="76" t="s">
        <v>48</v>
      </c>
      <c r="S10" s="93" t="s">
        <v>1</v>
      </c>
      <c r="U10" s="145">
        <v>2015</v>
      </c>
      <c r="V10" s="146"/>
      <c r="W10" s="146"/>
      <c r="X10" s="146"/>
      <c r="Y10" s="146"/>
      <c r="Z10" s="76" t="s">
        <v>36</v>
      </c>
      <c r="AA10" s="76" t="s">
        <v>49</v>
      </c>
      <c r="AB10" s="76" t="s">
        <v>38</v>
      </c>
      <c r="AC10" s="76" t="s">
        <v>48</v>
      </c>
      <c r="AD10" s="93" t="s">
        <v>1</v>
      </c>
    </row>
    <row r="11" spans="1:30" x14ac:dyDescent="0.25">
      <c r="C11" s="147" t="s">
        <v>18</v>
      </c>
      <c r="H11" s="8">
        <f>SUM(H12:H13)</f>
        <v>0</v>
      </c>
      <c r="I11" s="8">
        <f>SUM(I12:I13)</f>
        <v>43.296715939999999</v>
      </c>
      <c r="J11" s="8">
        <f>SUM(J12:J13)</f>
        <v>1.2190163543999999</v>
      </c>
      <c r="K11" s="8">
        <f>SUM(K12:K13)</f>
        <v>0.24408603343621002</v>
      </c>
      <c r="L11" s="96">
        <f>SUM(H11:K11)</f>
        <v>44.759818327836207</v>
      </c>
      <c r="M11" s="75"/>
      <c r="N11" s="150" t="s">
        <v>18</v>
      </c>
      <c r="O11" s="29">
        <f>'[2]Bilan 2015'!$X$46</f>
        <v>0</v>
      </c>
      <c r="P11" s="28">
        <f>SUM('[2]Bilan 2015'!$X$41:$X$43)</f>
        <v>42.748696780825377</v>
      </c>
      <c r="Q11" s="28">
        <f>'[2]Bilan 2015'!$X$13</f>
        <v>0.94471195184866696</v>
      </c>
      <c r="R11" s="28">
        <f>('[2]Bilan 2015'!$X$22+'[2]Bilan 2015'!$X$30+SUM('[2]Bilan 2015'!$X$36:$X$40)+SUM('[2]Bilan 2015'!$X$44:$X$45)+'[2]Bilan 2015'!$X$47)</f>
        <v>7.267406707154804E-2</v>
      </c>
      <c r="S11" s="142">
        <f>SUM(O11:R11)</f>
        <v>43.76608279974559</v>
      </c>
      <c r="U11" s="147" t="s">
        <v>18</v>
      </c>
      <c r="Z11" s="8">
        <v>0</v>
      </c>
      <c r="AA11" s="8">
        <v>43.296932820000002</v>
      </c>
      <c r="AB11" s="8">
        <v>1.2190954743</v>
      </c>
      <c r="AC11" s="8">
        <v>0.24410668334510999</v>
      </c>
      <c r="AD11" s="96">
        <v>44.760134977645109</v>
      </c>
    </row>
    <row r="12" spans="1:30" x14ac:dyDescent="0.25">
      <c r="C12" s="148" t="s">
        <v>19</v>
      </c>
      <c r="D12" t="s">
        <v>394</v>
      </c>
      <c r="E12" t="s">
        <v>395</v>
      </c>
      <c r="F12" t="s">
        <v>396</v>
      </c>
      <c r="G12" t="s">
        <v>397</v>
      </c>
      <c r="H12" s="16">
        <f>VLOOKUP(D12,Résultats!$B$2:$AX$476,'T energie vecteurs'!F5,FALSE)</f>
        <v>0</v>
      </c>
      <c r="I12" s="16">
        <f>VLOOKUP(E12,Résultats!$B$2:$AX$476,'T energie vecteurs'!F5,FALSE)</f>
        <v>24.25561944</v>
      </c>
      <c r="J12" s="16">
        <f>VLOOKUP(F12,Résultats!$B$2:$AX$476,'T energie vecteurs'!F5,FALSE)</f>
        <v>2.90133404E-2</v>
      </c>
      <c r="K12" s="16">
        <f>VLOOKUP(G12,Résultats!$B$2:$AX$476,'T energie vecteurs'!F5,FALSE)</f>
        <v>9.1395362099999892E-6</v>
      </c>
      <c r="L12" s="95">
        <f t="shared" ref="L12:L19" si="0">SUM(H12:K12)</f>
        <v>24.28464191993621</v>
      </c>
      <c r="M12" s="16"/>
      <c r="N12" s="148" t="s">
        <v>19</v>
      </c>
      <c r="O12" s="143"/>
      <c r="P12" s="16"/>
      <c r="Q12" s="34"/>
      <c r="R12" s="16"/>
      <c r="S12" s="95"/>
      <c r="U12" s="148" t="s">
        <v>19</v>
      </c>
      <c r="V12" t="s">
        <v>394</v>
      </c>
      <c r="W12" t="s">
        <v>395</v>
      </c>
      <c r="X12" t="s">
        <v>396</v>
      </c>
      <c r="Y12" t="s">
        <v>397</v>
      </c>
      <c r="Z12" s="16">
        <v>0</v>
      </c>
      <c r="AA12" s="16">
        <v>24.255608590000001</v>
      </c>
      <c r="AB12" s="16">
        <v>2.90174393E-2</v>
      </c>
      <c r="AC12" s="16">
        <v>9.1394451100000005E-6</v>
      </c>
      <c r="AD12" s="95">
        <v>24.284635168745108</v>
      </c>
    </row>
    <row r="13" spans="1:30" x14ac:dyDescent="0.25">
      <c r="C13" s="149" t="s">
        <v>20</v>
      </c>
      <c r="D13" t="s">
        <v>398</v>
      </c>
      <c r="E13" t="s">
        <v>399</v>
      </c>
      <c r="F13" t="s">
        <v>400</v>
      </c>
      <c r="G13" t="s">
        <v>401</v>
      </c>
      <c r="H13" s="16">
        <f>VLOOKUP(D13,Résultats!$B$2:$AX$476,'T energie vecteurs'!F5,FALSE)</f>
        <v>0</v>
      </c>
      <c r="I13" s="16">
        <f>VLOOKUP(E13,Résultats!$B$2:$AX$476,'T energie vecteurs'!F5,FALSE)</f>
        <v>19.041096499999998</v>
      </c>
      <c r="J13" s="16">
        <f>VLOOKUP(F13,Résultats!$B$2:$AX$476,'T energie vecteurs'!F5,FALSE)</f>
        <v>1.190003014</v>
      </c>
      <c r="K13" s="16">
        <f>VLOOKUP(G13,Résultats!$B$2:$AX$476,'T energie vecteurs'!F5,FALSE)</f>
        <v>0.24407689390000001</v>
      </c>
      <c r="L13" s="95">
        <f t="shared" si="0"/>
        <v>20.475176407899998</v>
      </c>
      <c r="M13" s="16"/>
      <c r="N13" s="149" t="s">
        <v>20</v>
      </c>
      <c r="O13" s="143"/>
      <c r="P13" s="16"/>
      <c r="Q13" s="34"/>
      <c r="R13" s="16"/>
      <c r="S13" s="95"/>
      <c r="U13" s="149" t="s">
        <v>20</v>
      </c>
      <c r="V13" t="s">
        <v>398</v>
      </c>
      <c r="W13" t="s">
        <v>399</v>
      </c>
      <c r="X13" t="s">
        <v>400</v>
      </c>
      <c r="Y13" t="s">
        <v>401</v>
      </c>
      <c r="Z13" s="16">
        <v>0</v>
      </c>
      <c r="AA13" s="16">
        <v>19.041324230000001</v>
      </c>
      <c r="AB13" s="16">
        <v>1.190078035</v>
      </c>
      <c r="AC13" s="16">
        <v>0.24409754389999999</v>
      </c>
      <c r="AD13" s="95">
        <v>20.4754998089</v>
      </c>
    </row>
    <row r="14" spans="1:30" x14ac:dyDescent="0.25">
      <c r="C14" s="147" t="s">
        <v>21</v>
      </c>
      <c r="D14" t="s">
        <v>402</v>
      </c>
      <c r="E14" t="s">
        <v>403</v>
      </c>
      <c r="F14" t="s">
        <v>404</v>
      </c>
      <c r="G14" t="s">
        <v>405</v>
      </c>
      <c r="H14" s="8">
        <f>VLOOKUP(D14,Résultats!$B$2:$AX$476,'T energie vecteurs'!F5,FALSE)</f>
        <v>0.33699222420000002</v>
      </c>
      <c r="I14" s="8">
        <f>VLOOKUP(E14,Résultats!$B$2:$AX$476,'T energie vecteurs'!F5,FALSE)</f>
        <v>7.1888095700000001</v>
      </c>
      <c r="J14" s="8">
        <f>VLOOKUP(F14,Résultats!$B$2:$AX$476,'T energie vecteurs'!F5,FALSE)</f>
        <v>13.80657761</v>
      </c>
      <c r="K14" s="8">
        <f>VLOOKUP(G14,Résultats!$B$2:$AX$476,'T energie vecteurs'!F5,FALSE)+5</f>
        <v>23.35437817</v>
      </c>
      <c r="L14" s="96">
        <f>SUM(H14:K14)</f>
        <v>44.686757574200001</v>
      </c>
      <c r="M14" s="75"/>
      <c r="N14" s="150" t="s">
        <v>21</v>
      </c>
      <c r="O14" s="29">
        <f>'[2]Bilan 2015'!$V$46</f>
        <v>3.6764196608413298E-2</v>
      </c>
      <c r="P14" s="28">
        <f>SUM('[2]Bilan 2015'!$V$41:$V$43)</f>
        <v>6.6752954110546101</v>
      </c>
      <c r="Q14" s="28">
        <f>'[2]Bilan 2015'!$V$13</f>
        <v>13.6203670581426</v>
      </c>
      <c r="R14" s="28">
        <f>('[2]Bilan 2015'!$V$22+'[2]Bilan 2015'!$V$30+SUM('[2]Bilan 2015'!$V$36:$V$40)+SUM('[2]Bilan 2015'!$V$44:$V$45)+'[2]Bilan 2015'!$V$47)</f>
        <v>21.832863706323721</v>
      </c>
      <c r="S14" s="142">
        <f t="shared" ref="S14:S19" si="1">SUM(O14:R14)</f>
        <v>42.165290372129348</v>
      </c>
      <c r="U14" s="147" t="s">
        <v>21</v>
      </c>
      <c r="V14" t="s">
        <v>402</v>
      </c>
      <c r="W14" t="s">
        <v>403</v>
      </c>
      <c r="X14" t="s">
        <v>404</v>
      </c>
      <c r="Y14" t="s">
        <v>405</v>
      </c>
      <c r="Z14" s="8">
        <v>0.33102998449999999</v>
      </c>
      <c r="AA14" s="8">
        <v>7.2482517270000004</v>
      </c>
      <c r="AB14" s="8">
        <v>13.92291518</v>
      </c>
      <c r="AC14" s="8">
        <v>23.328284350000001</v>
      </c>
      <c r="AD14" s="96">
        <v>44.830481241499996</v>
      </c>
    </row>
    <row r="15" spans="1:30" x14ac:dyDescent="0.25">
      <c r="C15" s="147" t="s">
        <v>22</v>
      </c>
      <c r="D15" t="s">
        <v>406</v>
      </c>
      <c r="E15" t="s">
        <v>407</v>
      </c>
      <c r="F15" t="s">
        <v>408</v>
      </c>
      <c r="G15" t="s">
        <v>409</v>
      </c>
      <c r="H15" s="8">
        <f>VLOOKUP(D15,Résultats!$B$2:$AX$476,'T energie vecteurs'!F5,FALSE)</f>
        <v>0</v>
      </c>
      <c r="I15" s="8">
        <f>VLOOKUP(E15,Résultats!$B$2:$AX$476,'T energie vecteurs'!F5,FALSE)</f>
        <v>4.1772130589999996</v>
      </c>
      <c r="J15" s="8">
        <f>VLOOKUP(F15,Résultats!$B$2:$AX$476,'T energie vecteurs'!F5,FALSE)</f>
        <v>13.072682670000001</v>
      </c>
      <c r="K15" s="8">
        <f>VLOOKUP(G15,Résultats!$B$2:$AX$476,'T energie vecteurs'!F5,FALSE)</f>
        <v>11.11972967</v>
      </c>
      <c r="L15" s="96">
        <f t="shared" si="0"/>
        <v>28.369625399</v>
      </c>
      <c r="M15" s="75"/>
      <c r="N15" s="150" t="s">
        <v>22</v>
      </c>
      <c r="O15" s="29">
        <f>'[2]Bilan 2015'!$W$46</f>
        <v>4.3073392295861899E-2</v>
      </c>
      <c r="P15" s="28">
        <f>SUM('[2]Bilan 2015'!$W$41:$W$43)</f>
        <v>3.01546564464017</v>
      </c>
      <c r="Q15" s="28">
        <f>'[2]Bilan 2015'!$W$13</f>
        <v>12.701365476499801</v>
      </c>
      <c r="R15" s="28">
        <f>('[2]Bilan 2015'!$W$22+'[2]Bilan 2015'!$W$30+SUM('[2]Bilan 2015'!$W$36:$W$40)+SUM('[2]Bilan 2015'!$W$44:$W$45)+'[2]Bilan 2015'!$W$47)</f>
        <v>8.7461122445901367</v>
      </c>
      <c r="S15" s="142">
        <f t="shared" si="1"/>
        <v>24.506016758025968</v>
      </c>
      <c r="U15" s="147" t="s">
        <v>22</v>
      </c>
      <c r="V15" t="s">
        <v>406</v>
      </c>
      <c r="W15" t="s">
        <v>407</v>
      </c>
      <c r="X15" t="s">
        <v>408</v>
      </c>
      <c r="Y15" t="s">
        <v>409</v>
      </c>
      <c r="Z15" s="8">
        <v>0</v>
      </c>
      <c r="AA15" s="317">
        <v>4.1769172069999998</v>
      </c>
      <c r="AB15" s="294">
        <v>13.073687619999999</v>
      </c>
      <c r="AC15" s="294">
        <v>11.122664589999999</v>
      </c>
      <c r="AD15" s="96">
        <v>28.373269416999999</v>
      </c>
    </row>
    <row r="16" spans="1:30" x14ac:dyDescent="0.25">
      <c r="C16" s="147" t="s">
        <v>23</v>
      </c>
      <c r="H16" s="8">
        <f>SUM(H17:H18)</f>
        <v>4.8765354159999994</v>
      </c>
      <c r="I16" s="8">
        <f t="shared" ref="I16:K16" si="2">SUM(I17:I18)</f>
        <v>16.050480682</v>
      </c>
      <c r="J16" s="8">
        <f t="shared" si="2"/>
        <v>10.887530870000001</v>
      </c>
      <c r="K16" s="8">
        <f t="shared" si="2"/>
        <v>14.568884021000001</v>
      </c>
      <c r="L16" s="96">
        <f>SUM(H16:K16)</f>
        <v>46.383430989000004</v>
      </c>
      <c r="M16" s="75"/>
      <c r="N16" s="150" t="s">
        <v>490</v>
      </c>
      <c r="O16" s="29">
        <f>O17+O18</f>
        <v>4.2636280705371687</v>
      </c>
      <c r="P16" s="28">
        <f t="shared" ref="P16:R16" si="3">P17+P18</f>
        <v>14.865720748941945</v>
      </c>
      <c r="Q16" s="28">
        <f t="shared" si="3"/>
        <v>10.069552160228</v>
      </c>
      <c r="R16" s="28">
        <f t="shared" si="3"/>
        <v>13.756399814544654</v>
      </c>
      <c r="S16" s="142">
        <f t="shared" si="1"/>
        <v>42.95530079425177</v>
      </c>
      <c r="U16" s="147" t="s">
        <v>23</v>
      </c>
      <c r="Z16" s="8">
        <v>4.8763319073</v>
      </c>
      <c r="AA16" s="8">
        <v>16.049445446</v>
      </c>
      <c r="AB16" s="8">
        <v>10.8882403</v>
      </c>
      <c r="AC16" s="8">
        <v>14.570157203999999</v>
      </c>
      <c r="AD16" s="96">
        <v>46.384174857299996</v>
      </c>
    </row>
    <row r="17" spans="2:30" x14ac:dyDescent="0.25">
      <c r="C17" s="149" t="s">
        <v>24</v>
      </c>
      <c r="D17" t="s">
        <v>410</v>
      </c>
      <c r="E17" t="s">
        <v>411</v>
      </c>
      <c r="F17" t="s">
        <v>412</v>
      </c>
      <c r="G17" t="s">
        <v>413</v>
      </c>
      <c r="H17" s="16">
        <f>VLOOKUP(D17,Résultats!$B$2:$AX$476,'T energie vecteurs'!F5,FALSE)</f>
        <v>3.8823198269999999</v>
      </c>
      <c r="I17" s="16">
        <f>VLOOKUP(E17,Résultats!$B$2:$AX$476,'T energie vecteurs'!F5,FALSE)</f>
        <v>14.15502992</v>
      </c>
      <c r="J17" s="16">
        <f>VLOOKUP(F17,Résultats!$B$2:$AX$476,'T energie vecteurs'!F5,FALSE)</f>
        <v>10.887530870000001</v>
      </c>
      <c r="K17" s="16">
        <f>VLOOKUP(G17,Résultats!$B$2:$AX$476,'T energie vecteurs'!F5,FALSE)</f>
        <v>12.78159413</v>
      </c>
      <c r="L17" s="95">
        <f t="shared" si="0"/>
        <v>41.706474747000001</v>
      </c>
      <c r="M17" s="16"/>
      <c r="N17" s="149" t="s">
        <v>491</v>
      </c>
      <c r="O17" s="143">
        <f>'[2]Bilan 2015'!$U$46</f>
        <v>1.0493092649428299</v>
      </c>
      <c r="P17" s="30">
        <f>SUM('[2]Bilan 2015'!$U$41:$U$43)</f>
        <v>2.4127207489419455</v>
      </c>
      <c r="Q17" s="30">
        <f>'[2]Bilan 2015'!$U$13</f>
        <v>10.069552160228</v>
      </c>
      <c r="R17" s="30">
        <f>('[2]Bilan 2015'!$U$22+'[2]Bilan 2015'!$U$30+SUM('[2]Bilan 2015'!$U$36:$U$40)+SUM('[2]Bilan 2015'!$U$44:$U$45)+'[2]Bilan 2015'!$U$47)</f>
        <v>12.654813573219924</v>
      </c>
      <c r="S17" s="95">
        <f t="shared" si="1"/>
        <v>26.186395747332696</v>
      </c>
      <c r="U17" s="149" t="s">
        <v>24</v>
      </c>
      <c r="V17" t="s">
        <v>410</v>
      </c>
      <c r="W17" t="s">
        <v>411</v>
      </c>
      <c r="X17" t="s">
        <v>412</v>
      </c>
      <c r="Y17" t="s">
        <v>413</v>
      </c>
      <c r="Z17" s="16">
        <v>3.8821006499999999</v>
      </c>
      <c r="AA17" s="16">
        <v>14.154015080000001</v>
      </c>
      <c r="AB17" s="16">
        <v>10.8882403</v>
      </c>
      <c r="AC17" s="16">
        <v>12.78279875</v>
      </c>
      <c r="AD17" s="95">
        <v>41.707154779999996</v>
      </c>
    </row>
    <row r="18" spans="2:30" x14ac:dyDescent="0.25">
      <c r="C18" s="149" t="s">
        <v>47</v>
      </c>
      <c r="D18" t="s">
        <v>414</v>
      </c>
      <c r="E18" t="s">
        <v>415</v>
      </c>
      <c r="F18" t="s">
        <v>416</v>
      </c>
      <c r="G18" t="s">
        <v>417</v>
      </c>
      <c r="H18" s="16">
        <f>VLOOKUP(D18,Résultats!$B$2:$AX$476,'T energie vecteurs'!F5,FALSE)</f>
        <v>0.99421558899999996</v>
      </c>
      <c r="I18" s="16">
        <f>VLOOKUP(E18,Résultats!$B$2:$AX$476,'T energie vecteurs'!F5,FALSE)</f>
        <v>1.8954507620000001</v>
      </c>
      <c r="J18" s="16">
        <f>VLOOKUP(F18,Résultats!$B$2:$AX$476,'T energie vecteurs'!F5,FALSE)</f>
        <v>0</v>
      </c>
      <c r="K18" s="16">
        <f>VLOOKUP(G18,Résultats!$B$2:$AX$476,'T energie vecteurs'!F5,FALSE)</f>
        <v>1.7872898909999999</v>
      </c>
      <c r="L18" s="95">
        <f t="shared" si="0"/>
        <v>4.6769562419999993</v>
      </c>
      <c r="M18" s="16"/>
      <c r="N18" s="149" t="s">
        <v>47</v>
      </c>
      <c r="O18" s="22">
        <f>'[2]Bilan 2015'!$E$52</f>
        <v>3.2143188055943388</v>
      </c>
      <c r="P18" s="16">
        <f>('[2]Bilan 2015'!$E$54+'[2]Bilan 2015'!$E$56)</f>
        <v>12.452999999999999</v>
      </c>
      <c r="Q18" s="16">
        <v>0</v>
      </c>
      <c r="R18" s="16">
        <f>('[2]Bilan 2015'!$E$53+'[2]Bilan 2015'!$E$55+'[2]Bilan 2015'!$E$57)</f>
        <v>1.1015862413247299</v>
      </c>
      <c r="S18" s="95">
        <f t="shared" si="1"/>
        <v>16.768905046919066</v>
      </c>
      <c r="U18" s="149" t="s">
        <v>47</v>
      </c>
      <c r="V18" t="s">
        <v>414</v>
      </c>
      <c r="W18" t="s">
        <v>415</v>
      </c>
      <c r="X18" t="s">
        <v>416</v>
      </c>
      <c r="Y18" t="s">
        <v>417</v>
      </c>
      <c r="Z18" s="16">
        <v>0.99423125729999995</v>
      </c>
      <c r="AA18" s="16">
        <v>1.895430366</v>
      </c>
      <c r="AB18" s="16">
        <v>0</v>
      </c>
      <c r="AC18" s="16">
        <v>1.787358454</v>
      </c>
      <c r="AD18" s="95">
        <v>4.6770200772999999</v>
      </c>
    </row>
    <row r="19" spans="2:30" x14ac:dyDescent="0.25">
      <c r="C19" s="313" t="s">
        <v>25</v>
      </c>
      <c r="D19" s="314" t="s">
        <v>418</v>
      </c>
      <c r="E19" s="314" t="s">
        <v>419</v>
      </c>
      <c r="F19" s="314" t="s">
        <v>420</v>
      </c>
      <c r="G19" s="314" t="s">
        <v>421</v>
      </c>
      <c r="H19" s="315">
        <f>VLOOKUP(D19,Résultats!$B$2:$AX$476,'T energie vecteurs'!F5,FALSE)</f>
        <v>0</v>
      </c>
      <c r="I19" s="315">
        <f>VLOOKUP(E19,Résultats!$B$2:$AX$476,'T energie vecteurs'!F5,FALSE)</f>
        <v>2.4414492499999998</v>
      </c>
      <c r="J19" s="315">
        <f>VLOOKUP(F19,Résultats!$B$2:$AX$476,'T energie vecteurs'!F5,FALSE)</f>
        <v>0.31740027170000001</v>
      </c>
      <c r="K19" s="315">
        <f>VLOOKUP(G19,Résultats!$B$2:$AX$476,'T energie vecteurs'!F5,FALSE)</f>
        <v>0.39932898379999998</v>
      </c>
      <c r="L19" s="316">
        <f t="shared" si="0"/>
        <v>3.1581785054999996</v>
      </c>
      <c r="M19" s="16"/>
      <c r="N19" s="150" t="s">
        <v>25</v>
      </c>
      <c r="O19" s="29">
        <f>'[2]Bilan 2015'!$T$46</f>
        <v>2.2137192704974398E-3</v>
      </c>
      <c r="P19" s="28">
        <f>SUM('[2]Bilan 2015'!$T$41:$T$43)</f>
        <v>3.4936667755496749</v>
      </c>
      <c r="Q19" s="28">
        <f>'[2]Bilan 2015'!$T$13</f>
        <v>0.74651762682717104</v>
      </c>
      <c r="R19" s="28">
        <f>('[2]Bilan 2015'!$T$22+'[2]Bilan 2015'!$T$30+SUM('[2]Bilan 2015'!$T$36:$T$40)+SUM('[2]Bilan 2015'!$T$44:$T$45)+'[2]Bilan 2015'!$T$47)</f>
        <v>0.24365267378081518</v>
      </c>
      <c r="S19" s="142">
        <f t="shared" si="1"/>
        <v>4.4860507954281585</v>
      </c>
      <c r="U19" s="313" t="s">
        <v>25</v>
      </c>
      <c r="V19" s="314" t="s">
        <v>418</v>
      </c>
      <c r="W19" s="314" t="s">
        <v>419</v>
      </c>
      <c r="X19" s="314" t="s">
        <v>420</v>
      </c>
      <c r="Y19" s="314" t="s">
        <v>421</v>
      </c>
      <c r="Z19" s="315">
        <v>0</v>
      </c>
      <c r="AA19" s="315">
        <v>2.4414391539999998</v>
      </c>
      <c r="AB19" s="315">
        <v>0.3174427065</v>
      </c>
      <c r="AC19" s="315">
        <v>0.39939874060000002</v>
      </c>
      <c r="AD19" s="316">
        <v>3.1582806011</v>
      </c>
    </row>
    <row r="20" spans="2:30" x14ac:dyDescent="0.25">
      <c r="C20" s="23" t="s">
        <v>26</v>
      </c>
      <c r="D20" s="10"/>
      <c r="E20" s="10"/>
      <c r="F20" s="10"/>
      <c r="G20" s="10"/>
      <c r="H20" s="9">
        <f>SUM(H11,H14:H16,H19)</f>
        <v>5.2135276401999997</v>
      </c>
      <c r="I20" s="9">
        <f t="shared" ref="I20:K20" si="4">SUM(I11,I14:I16,I19)</f>
        <v>73.154668501000003</v>
      </c>
      <c r="J20" s="9">
        <f t="shared" si="4"/>
        <v>39.303207776100002</v>
      </c>
      <c r="K20" s="9">
        <f t="shared" si="4"/>
        <v>49.686406878236212</v>
      </c>
      <c r="L20" s="98">
        <f>SUM(H20:K20)</f>
        <v>167.35781079553624</v>
      </c>
      <c r="M20" s="79"/>
      <c r="N20" s="151" t="s">
        <v>26</v>
      </c>
      <c r="O20" s="32">
        <f>O11+O14+O15+O16+O19</f>
        <v>4.3456793787119414</v>
      </c>
      <c r="P20" s="31">
        <f>P11+P14+P15+P16+P19</f>
        <v>70.798845361011772</v>
      </c>
      <c r="Q20" s="31">
        <f>Q11+Q14+Q15+Q16+Q19</f>
        <v>38.082514273546238</v>
      </c>
      <c r="R20" s="31">
        <f>R11+R14+R15+R16+R19</f>
        <v>44.651702506310876</v>
      </c>
      <c r="S20" s="144">
        <f>SUM(O20:R20)</f>
        <v>157.87874151958081</v>
      </c>
      <c r="T20" s="45"/>
      <c r="U20" s="23" t="s">
        <v>26</v>
      </c>
      <c r="V20" s="10"/>
      <c r="W20" s="10"/>
      <c r="X20" s="10"/>
      <c r="Y20" s="10"/>
      <c r="Z20" s="9">
        <v>5.2073618917999998</v>
      </c>
      <c r="AA20" s="9">
        <v>73.212986354000009</v>
      </c>
      <c r="AB20" s="9">
        <v>39.421381280800006</v>
      </c>
      <c r="AC20" s="9">
        <v>49.664611567945109</v>
      </c>
      <c r="AD20" s="98">
        <v>167.50634109454512</v>
      </c>
    </row>
    <row r="21" spans="2:30" s="3" customFormat="1" x14ac:dyDescent="0.25">
      <c r="B21" s="60"/>
      <c r="H21" s="45"/>
      <c r="I21" s="45"/>
      <c r="J21" s="45"/>
      <c r="K21" s="45"/>
      <c r="L21" s="45">
        <f>L11+L14+L15+L16+L19</f>
        <v>167.35781079553621</v>
      </c>
      <c r="M21" s="45"/>
      <c r="N21" s="45"/>
      <c r="O21" s="77"/>
      <c r="P21" s="77"/>
      <c r="Q21" s="77"/>
      <c r="R21" s="78"/>
      <c r="S21" s="45"/>
      <c r="Z21" s="45"/>
      <c r="AA21" s="45"/>
      <c r="AB21" s="45"/>
      <c r="AC21" s="45"/>
      <c r="AD21" s="45">
        <v>167.50634109454509</v>
      </c>
    </row>
    <row r="22" spans="2:30" s="3" customFormat="1" x14ac:dyDescent="0.25">
      <c r="I22" s="45"/>
      <c r="J22" s="45"/>
      <c r="K22" s="45"/>
      <c r="AA22" s="45"/>
      <c r="AB22" s="45"/>
      <c r="AC22" s="45"/>
    </row>
    <row r="23" spans="2:30" ht="31.5" x14ac:dyDescent="0.35">
      <c r="C23" s="145">
        <v>2020</v>
      </c>
      <c r="D23" s="146"/>
      <c r="E23" s="146"/>
      <c r="F23" s="146"/>
      <c r="G23" s="146"/>
      <c r="H23" s="76" t="s">
        <v>36</v>
      </c>
      <c r="I23" s="76" t="s">
        <v>49</v>
      </c>
      <c r="J23" s="76" t="s">
        <v>38</v>
      </c>
      <c r="K23" s="76" t="s">
        <v>48</v>
      </c>
      <c r="L23" s="93" t="s">
        <v>1</v>
      </c>
      <c r="M23" s="19"/>
      <c r="N23" s="145">
        <v>2020</v>
      </c>
      <c r="O23" s="141" t="s">
        <v>36</v>
      </c>
      <c r="P23" s="76" t="s">
        <v>49</v>
      </c>
      <c r="Q23" s="76" t="s">
        <v>38</v>
      </c>
      <c r="R23" s="76" t="s">
        <v>48</v>
      </c>
      <c r="S23" s="93" t="s">
        <v>1</v>
      </c>
      <c r="T23" s="19"/>
      <c r="U23" s="145">
        <v>2020</v>
      </c>
      <c r="V23" s="146"/>
      <c r="W23" s="146"/>
      <c r="X23" s="146"/>
      <c r="Y23" s="146"/>
      <c r="Z23" s="76" t="s">
        <v>36</v>
      </c>
      <c r="AA23" s="76" t="s">
        <v>49</v>
      </c>
      <c r="AB23" s="76" t="s">
        <v>38</v>
      </c>
      <c r="AC23" s="76" t="s">
        <v>48</v>
      </c>
      <c r="AD23" s="93" t="s">
        <v>1</v>
      </c>
    </row>
    <row r="24" spans="2:30" x14ac:dyDescent="0.25">
      <c r="C24" s="147" t="s">
        <v>18</v>
      </c>
      <c r="H24" s="8">
        <f>SUM(H25:H26)</f>
        <v>0</v>
      </c>
      <c r="I24" s="8">
        <f>SUM(I25:I26)</f>
        <v>42.343168830000003</v>
      </c>
      <c r="J24" s="8">
        <f>SUM(J25:J26)</f>
        <v>1.432498525</v>
      </c>
      <c r="K24" s="8">
        <f>SUM(K25:K26)</f>
        <v>0.26797707677240001</v>
      </c>
      <c r="L24" s="96">
        <f t="shared" ref="L24:L33" si="5">SUM(H24:K24)</f>
        <v>44.0436444317724</v>
      </c>
      <c r="M24" s="75"/>
      <c r="N24" s="150" t="s">
        <v>18</v>
      </c>
      <c r="O24" s="29">
        <f>'[2]Bilan 2020'!$X$46/11.63</f>
        <v>0</v>
      </c>
      <c r="P24" s="28">
        <f>SUM('[2]Bilan 2020'!$X$41:$X$43)/11.63</f>
        <v>35.668036461633939</v>
      </c>
      <c r="Q24" s="28">
        <f>'[2]Bilan 2020'!$X$13/11.63</f>
        <v>0.71687008340498715</v>
      </c>
      <c r="R24" s="28">
        <f>('[2]Bilan 2020'!$X$22+'[2]Bilan 2020'!$X$30+SUM('[2]Bilan 2020'!$X$36:$X$40)+SUM('[2]Bilan 2020'!$X$44:$X$45)+'[2]Bilan 2020'!$X$47)/11.63</f>
        <v>0.19326865864144452</v>
      </c>
      <c r="S24" s="142">
        <f>SUM(O24:R24)</f>
        <v>36.578175203680367</v>
      </c>
      <c r="T24" s="75"/>
      <c r="U24" s="147" t="s">
        <v>18</v>
      </c>
      <c r="Z24" s="8">
        <v>0</v>
      </c>
      <c r="AA24" s="8">
        <v>42.333698310000003</v>
      </c>
      <c r="AB24" s="8">
        <v>1.4318834410999999</v>
      </c>
      <c r="AC24" s="8">
        <v>0.26790814094160004</v>
      </c>
      <c r="AD24" s="96">
        <v>44.033489892041601</v>
      </c>
    </row>
    <row r="25" spans="2:30" x14ac:dyDescent="0.25">
      <c r="C25" s="148" t="s">
        <v>19</v>
      </c>
      <c r="D25" t="s">
        <v>394</v>
      </c>
      <c r="E25" t="s">
        <v>395</v>
      </c>
      <c r="F25" t="s">
        <v>396</v>
      </c>
      <c r="G25" t="s">
        <v>397</v>
      </c>
      <c r="H25" s="16">
        <f>VLOOKUP(D25,Résultats!$B$2:$AX$476,'T energie vecteurs'!I5,FALSE)</f>
        <v>0</v>
      </c>
      <c r="I25" s="16">
        <f>VLOOKUP(E25,Résultats!$B$2:$AX$476,'T energie vecteurs'!I5,FALSE)</f>
        <v>23.824529770000002</v>
      </c>
      <c r="J25" s="16">
        <f>VLOOKUP(F25,Résultats!$B$2:$AX$476,'T energie vecteurs'!I5,FALSE)</f>
        <v>0.110004725</v>
      </c>
      <c r="K25" s="16">
        <f>VLOOKUP(G77,Résultats!$B$2:$AX$476,'T energie vecteurs'!I5,FALSE)</f>
        <v>1.28342724E-5</v>
      </c>
      <c r="L25" s="95">
        <f t="shared" si="5"/>
        <v>23.934547329272402</v>
      </c>
      <c r="M25" s="16"/>
      <c r="N25" s="148" t="s">
        <v>19</v>
      </c>
      <c r="O25" s="143"/>
      <c r="P25" s="16"/>
      <c r="Q25" s="34"/>
      <c r="R25" s="16"/>
      <c r="S25" s="95"/>
      <c r="T25" s="16"/>
      <c r="U25" s="148" t="s">
        <v>19</v>
      </c>
      <c r="V25" t="s">
        <v>394</v>
      </c>
      <c r="W25" t="s">
        <v>395</v>
      </c>
      <c r="X25" t="s">
        <v>396</v>
      </c>
      <c r="Y25" t="s">
        <v>397</v>
      </c>
      <c r="Z25" s="16">
        <v>0</v>
      </c>
      <c r="AA25" s="16">
        <v>23.824457299999999</v>
      </c>
      <c r="AB25" s="16">
        <v>0.11001909510000001</v>
      </c>
      <c r="AC25" s="16">
        <v>1.28334416E-5</v>
      </c>
      <c r="AD25" s="95">
        <v>23.934489228541597</v>
      </c>
    </row>
    <row r="26" spans="2:30" x14ac:dyDescent="0.25">
      <c r="C26" s="149" t="s">
        <v>20</v>
      </c>
      <c r="D26" t="s">
        <v>398</v>
      </c>
      <c r="E26" t="s">
        <v>399</v>
      </c>
      <c r="F26" t="s">
        <v>400</v>
      </c>
      <c r="G26" t="s">
        <v>401</v>
      </c>
      <c r="H26" s="16">
        <f>VLOOKUP(D26,Résultats!$B$2:$AX$476,'T energie vecteurs'!I5,FALSE)</f>
        <v>0</v>
      </c>
      <c r="I26" s="16">
        <f>VLOOKUP(E26,Résultats!$B$2:$AX$476,'T energie vecteurs'!I5,FALSE)</f>
        <v>18.518639060000002</v>
      </c>
      <c r="J26" s="16">
        <f>VLOOKUP(F26,Résultats!$B$2:$AX$476,'T energie vecteurs'!I5,FALSE)</f>
        <v>1.3224937999999999</v>
      </c>
      <c r="K26" s="16">
        <f>VLOOKUP(G26,Résultats!$B$2:$AX$476,'T energie vecteurs'!I5,FALSE)</f>
        <v>0.2679642425</v>
      </c>
      <c r="L26" s="95">
        <f t="shared" si="5"/>
        <v>20.109097102500002</v>
      </c>
      <c r="M26" s="16"/>
      <c r="N26" s="149" t="s">
        <v>20</v>
      </c>
      <c r="O26" s="143"/>
      <c r="P26" s="16"/>
      <c r="Q26" s="34"/>
      <c r="R26" s="16"/>
      <c r="S26" s="95"/>
      <c r="T26" s="16"/>
      <c r="U26" s="149" t="s">
        <v>20</v>
      </c>
      <c r="V26" t="s">
        <v>398</v>
      </c>
      <c r="W26" t="s">
        <v>399</v>
      </c>
      <c r="X26" t="s">
        <v>400</v>
      </c>
      <c r="Y26" t="s">
        <v>401</v>
      </c>
      <c r="Z26" s="16">
        <v>0</v>
      </c>
      <c r="AA26" s="16">
        <v>18.50924101</v>
      </c>
      <c r="AB26" s="16">
        <v>1.3218643459999999</v>
      </c>
      <c r="AC26" s="16">
        <v>0.26789530750000001</v>
      </c>
      <c r="AD26" s="95">
        <v>20.099000663500004</v>
      </c>
    </row>
    <row r="27" spans="2:30" x14ac:dyDescent="0.25">
      <c r="C27" s="147" t="s">
        <v>21</v>
      </c>
      <c r="D27" t="s">
        <v>402</v>
      </c>
      <c r="E27" t="s">
        <v>403</v>
      </c>
      <c r="F27" t="s">
        <v>404</v>
      </c>
      <c r="G27" t="s">
        <v>405</v>
      </c>
      <c r="H27" s="8">
        <f>VLOOKUP(D27,Résultats!$B$2:$AX$476,'T energie vecteurs'!I5,FALSE)</f>
        <v>0.32532872340000002</v>
      </c>
      <c r="I27" s="8">
        <f>VLOOKUP(E27,Résultats!$B$2:$AX$476,'T energie vecteurs'!I5,FALSE)</f>
        <v>6.4300083509999997</v>
      </c>
      <c r="J27" s="8">
        <f>VLOOKUP(F27,Résultats!$B$2:$AX$476,'T energie vecteurs'!I5,FALSE)</f>
        <v>14.548150400000001</v>
      </c>
      <c r="K27" s="8">
        <f>VLOOKUP(G27,Résultats!$B$2:$AX$476,'T energie vecteurs'!I5,FALSE)+6</f>
        <v>23.699311179999999</v>
      </c>
      <c r="L27" s="96">
        <f t="shared" si="5"/>
        <v>45.002798654399996</v>
      </c>
      <c r="M27" s="75"/>
      <c r="N27" s="150" t="s">
        <v>21</v>
      </c>
      <c r="O27" s="29">
        <f>'[2]Bilan 2020'!$V$46/11.63</f>
        <v>2.0700734999999998E-2</v>
      </c>
      <c r="P27" s="28">
        <f>SUM('[2]Bilan 2020'!$V$41:$V$43)/11.63</f>
        <v>4.2874727518867157</v>
      </c>
      <c r="Q27" s="28">
        <f>'[2]Bilan 2020'!$V$13/11.63</f>
        <v>13.618731599337918</v>
      </c>
      <c r="R27" s="28">
        <f>('[2]Bilan 2020'!$V$22+'[2]Bilan 2020'!$V$30+SUM('[2]Bilan 2020'!$V$36:$V$40)+SUM('[2]Bilan 2020'!$V$44:$V$45)+'[2]Bilan 2020'!$V$47)/11.63</f>
        <v>20.408410382607048</v>
      </c>
      <c r="S27" s="142">
        <f t="shared" ref="S27:S33" si="6">SUM(O27:R27)</f>
        <v>38.335315468831681</v>
      </c>
      <c r="T27" s="75"/>
      <c r="U27" s="147" t="s">
        <v>21</v>
      </c>
      <c r="V27" t="s">
        <v>402</v>
      </c>
      <c r="W27" t="s">
        <v>403</v>
      </c>
      <c r="X27" t="s">
        <v>404</v>
      </c>
      <c r="Y27" t="s">
        <v>405</v>
      </c>
      <c r="Z27" s="8">
        <v>0.30744641430000003</v>
      </c>
      <c r="AA27" s="8">
        <v>6.2467997679999998</v>
      </c>
      <c r="AB27" s="8">
        <v>14.62403494</v>
      </c>
      <c r="AC27" s="8">
        <v>23.129462539999999</v>
      </c>
      <c r="AD27" s="96">
        <v>44.307743662299998</v>
      </c>
    </row>
    <row r="28" spans="2:30" x14ac:dyDescent="0.25">
      <c r="C28" s="147" t="s">
        <v>22</v>
      </c>
      <c r="D28" t="s">
        <v>406</v>
      </c>
      <c r="E28" t="s">
        <v>407</v>
      </c>
      <c r="F28" t="s">
        <v>408</v>
      </c>
      <c r="G28" t="s">
        <v>409</v>
      </c>
      <c r="H28" s="8">
        <f>VLOOKUP(D28,Résultats!$B$2:$AX$476,'T energie vecteurs'!I5,FALSE)</f>
        <v>0</v>
      </c>
      <c r="I28" s="8">
        <f>VLOOKUP(E28,Résultats!$B$2:$AX$476,'T energie vecteurs'!I5,FALSE)</f>
        <v>3.0099661740000001</v>
      </c>
      <c r="J28" s="8">
        <f>VLOOKUP(F28,Résultats!$B$2:$AX$476,'T energie vecteurs'!I5,FALSE)</f>
        <v>12.6621223</v>
      </c>
      <c r="K28" s="8">
        <f>VLOOKUP(G28,Résultats!$B$2:$AX$476,'T energie vecteurs'!I5,FALSE)</f>
        <v>9.4090616249999997</v>
      </c>
      <c r="L28" s="96">
        <f t="shared" si="5"/>
        <v>25.081150098999998</v>
      </c>
      <c r="M28" s="75"/>
      <c r="N28" s="150" t="s">
        <v>22</v>
      </c>
      <c r="O28" s="29">
        <f>('[2]Bilan 2020'!$W$46)/11.63</f>
        <v>3.0546421000000001E-2</v>
      </c>
      <c r="P28" s="28">
        <f>SUM('[2]Bilan 2020'!$W$41:$W$43)/11.63</f>
        <v>2.7068355531694666</v>
      </c>
      <c r="Q28" s="28">
        <f>('[2]Bilan 2020'!$W$13)/11.63</f>
        <v>10.724850576412381</v>
      </c>
      <c r="R28" s="28">
        <f>('[2]Bilan 2020'!$W$22+'[2]Bilan 2020'!$W$30+SUM('[2]Bilan 2020'!$W$36:$W$40)+SUM('[2]Bilan 2020'!$W$44:$W$45)+'[2]Bilan 2020'!$W$47)/11.63</f>
        <v>7.1906336380053082</v>
      </c>
      <c r="S28" s="142">
        <f t="shared" si="6"/>
        <v>20.652866188587154</v>
      </c>
      <c r="T28" s="75"/>
      <c r="U28" s="147" t="s">
        <v>22</v>
      </c>
      <c r="V28" t="s">
        <v>406</v>
      </c>
      <c r="W28" t="s">
        <v>407</v>
      </c>
      <c r="X28" t="s">
        <v>408</v>
      </c>
      <c r="Y28" t="s">
        <v>409</v>
      </c>
      <c r="Z28" s="8">
        <v>0</v>
      </c>
      <c r="AA28" s="8">
        <v>3.0098661529999999</v>
      </c>
      <c r="AB28" s="8">
        <v>12.6575308</v>
      </c>
      <c r="AC28" s="8">
        <v>9.4167197809999994</v>
      </c>
      <c r="AD28" s="96">
        <v>25.084116733999998</v>
      </c>
    </row>
    <row r="29" spans="2:30" x14ac:dyDescent="0.25">
      <c r="C29" s="147" t="s">
        <v>23</v>
      </c>
      <c r="H29" s="8">
        <f>SUM(H30:H32)</f>
        <v>2.6013632487000002</v>
      </c>
      <c r="I29" s="8">
        <f>SUM(I30:I32)</f>
        <v>13.125056062000001</v>
      </c>
      <c r="J29" s="8">
        <f>SUM(J30:J32)</f>
        <v>9.2644846550000004</v>
      </c>
      <c r="K29" s="8">
        <f>SUM(K30:K32)</f>
        <v>15.630939954900001</v>
      </c>
      <c r="L29" s="96">
        <f t="shared" si="5"/>
        <v>40.6218439206</v>
      </c>
      <c r="M29" s="75"/>
      <c r="N29" s="150" t="s">
        <v>490</v>
      </c>
      <c r="O29" s="29">
        <f>O30+O31</f>
        <v>3.1626378182920636</v>
      </c>
      <c r="P29" s="28">
        <f t="shared" ref="P29:R29" si="7">P30+P31</f>
        <v>13.919973516612528</v>
      </c>
      <c r="Q29" s="28">
        <f t="shared" si="7"/>
        <v>9.0413234941421319</v>
      </c>
      <c r="R29" s="28">
        <f t="shared" si="7"/>
        <v>14.312071337572707</v>
      </c>
      <c r="S29" s="142">
        <f t="shared" si="6"/>
        <v>40.436006166619435</v>
      </c>
      <c r="T29" s="75"/>
      <c r="U29" s="147" t="s">
        <v>23</v>
      </c>
      <c r="Z29" s="8">
        <v>2.5992043728000001</v>
      </c>
      <c r="AA29" s="8">
        <v>13.111346733999991</v>
      </c>
      <c r="AB29" s="8">
        <v>9.2550758707000007</v>
      </c>
      <c r="AC29" s="8">
        <v>15.6269432908</v>
      </c>
      <c r="AD29" s="96">
        <v>40.592570268299994</v>
      </c>
    </row>
    <row r="30" spans="2:30" x14ac:dyDescent="0.25">
      <c r="C30" s="149" t="s">
        <v>24</v>
      </c>
      <c r="D30" t="s">
        <v>410</v>
      </c>
      <c r="E30" t="s">
        <v>411</v>
      </c>
      <c r="F30" t="s">
        <v>412</v>
      </c>
      <c r="G30" t="s">
        <v>413</v>
      </c>
      <c r="H30" s="16">
        <f>VLOOKUP(D30,Résultats!$B$2:$AX$476,'T energie vecteurs'!I5,FALSE)</f>
        <v>1.737091792</v>
      </c>
      <c r="I30" s="16">
        <f>VLOOKUP(E30,Résultats!$B$2:$AX$476,'T energie vecteurs'!I5,FALSE)</f>
        <v>8.8571648360000008</v>
      </c>
      <c r="J30" s="16">
        <f>VLOOKUP(F30,Résultats!$B$2:$AX$476,'T energie vecteurs'!I5,FALSE)</f>
        <v>8.950402789</v>
      </c>
      <c r="K30" s="16">
        <f>VLOOKUP(G30,Résultats!$B$2:$AX$476,'T energie vecteurs'!I5,FALSE)</f>
        <v>13.129190830000001</v>
      </c>
      <c r="L30" s="95">
        <f t="shared" si="5"/>
        <v>32.673850246999997</v>
      </c>
      <c r="M30" s="16"/>
      <c r="N30" s="149" t="s">
        <v>491</v>
      </c>
      <c r="O30" s="143">
        <f>'[2]Bilan 2020'!$U$46/11.63</f>
        <v>0.77267988499999996</v>
      </c>
      <c r="P30" s="30">
        <f>SUM('[2]Bilan 2020'!$U$41:$U$43)/11.63</f>
        <v>2.7003587770125286</v>
      </c>
      <c r="Q30" s="30">
        <f>'[2]Bilan 2020'!$U$13/11.63</f>
        <v>9.0413234941421319</v>
      </c>
      <c r="R30" s="30">
        <f>('[2]Bilan 2020'!$U$22+'[2]Bilan 2020'!$U$30+SUM('[2]Bilan 2020'!$U$36:$U$40)+SUM('[2]Bilan 2020'!$U$44:$U$45)+'[2]Bilan 2020'!$U$47)/11.63</f>
        <v>13.277854957521116</v>
      </c>
      <c r="S30" s="95">
        <f t="shared" si="6"/>
        <v>25.792217113675775</v>
      </c>
      <c r="T30" s="16"/>
      <c r="U30" s="149" t="s">
        <v>24</v>
      </c>
      <c r="V30" t="s">
        <v>410</v>
      </c>
      <c r="W30" t="s">
        <v>411</v>
      </c>
      <c r="X30" t="s">
        <v>412</v>
      </c>
      <c r="Y30" t="s">
        <v>413</v>
      </c>
      <c r="Z30" s="16">
        <v>1.7357585980000001</v>
      </c>
      <c r="AA30" s="16">
        <v>8.8442361789999904</v>
      </c>
      <c r="AB30" s="16">
        <v>8.9412112659999998</v>
      </c>
      <c r="AC30" s="16">
        <v>13.124730339999999</v>
      </c>
      <c r="AD30" s="95">
        <v>32.645936382999992</v>
      </c>
    </row>
    <row r="31" spans="2:30" x14ac:dyDescent="0.25">
      <c r="C31" s="149" t="s">
        <v>47</v>
      </c>
      <c r="D31" t="s">
        <v>414</v>
      </c>
      <c r="E31" t="s">
        <v>415</v>
      </c>
      <c r="F31" t="s">
        <v>416</v>
      </c>
      <c r="G31" t="s">
        <v>417</v>
      </c>
      <c r="H31" s="16">
        <f>VLOOKUP(D31,Résultats!$B$2:$AX$476,'T energie vecteurs'!I5,FALSE)</f>
        <v>0.86427145670000005</v>
      </c>
      <c r="I31" s="16">
        <f>VLOOKUP(E31,Résultats!$B$2:$AX$476,'T energie vecteurs'!I5,FALSE)</f>
        <v>1.875823405</v>
      </c>
      <c r="J31" s="16">
        <f>VLOOKUP(F31,Résultats!$B$2:$AX$476,'T energie vecteurs'!I5,FALSE)</f>
        <v>0</v>
      </c>
      <c r="K31" s="16">
        <f>VLOOKUP(G31,Résultats!$B$2:$AX$476,'T energie vecteurs'!I5,FALSE)</f>
        <v>2.1266121469999999</v>
      </c>
      <c r="L31" s="95">
        <f t="shared" si="5"/>
        <v>4.8667070087000006</v>
      </c>
      <c r="M31" s="16"/>
      <c r="N31" s="149" t="s">
        <v>47</v>
      </c>
      <c r="O31" s="22">
        <f>'[2]Bilan 2020'!$E$52/11.63</f>
        <v>2.3899579332920635</v>
      </c>
      <c r="P31" s="16">
        <f>('[2]Bilan 2020'!$E$54+'[2]Bilan 2020'!$E$56)/11.63</f>
        <v>11.219614739599999</v>
      </c>
      <c r="Q31" s="16">
        <v>0</v>
      </c>
      <c r="R31" s="16">
        <f>('[2]Bilan 2020'!$E$53+'[2]Bilan 2020'!$E$55+'[2]Bilan 2020'!$E$57)/11.63</f>
        <v>1.0342163800515907</v>
      </c>
      <c r="S31" s="95">
        <f t="shared" si="6"/>
        <v>14.643789052943653</v>
      </c>
      <c r="T31" s="16"/>
      <c r="U31" s="149" t="s">
        <v>47</v>
      </c>
      <c r="V31" t="s">
        <v>414</v>
      </c>
      <c r="W31" t="s">
        <v>415</v>
      </c>
      <c r="X31" t="s">
        <v>416</v>
      </c>
      <c r="Y31" t="s">
        <v>417</v>
      </c>
      <c r="Z31" s="16">
        <v>0.86344577479999995</v>
      </c>
      <c r="AA31" s="16">
        <v>1.875822884</v>
      </c>
      <c r="AB31" s="16">
        <v>0</v>
      </c>
      <c r="AC31" s="16">
        <v>2.1270282470000001</v>
      </c>
      <c r="AD31" s="95">
        <v>4.8662969058000005</v>
      </c>
    </row>
    <row r="32" spans="2:30" x14ac:dyDescent="0.25">
      <c r="C32" s="149" t="s">
        <v>25</v>
      </c>
      <c r="D32" t="s">
        <v>418</v>
      </c>
      <c r="E32" t="s">
        <v>419</v>
      </c>
      <c r="F32" t="s">
        <v>420</v>
      </c>
      <c r="G32" t="s">
        <v>421</v>
      </c>
      <c r="H32" s="16">
        <f>VLOOKUP(D32,Résultats!$B$2:$AX$476,'T energie vecteurs'!I5,FALSE)</f>
        <v>0</v>
      </c>
      <c r="I32" s="16">
        <f>VLOOKUP(E32,Résultats!$B$2:$AX$476,'T energie vecteurs'!I5,FALSE)</f>
        <v>2.3920678209999999</v>
      </c>
      <c r="J32" s="16">
        <f>VLOOKUP(F32,Résultats!$B$2:$AX$476,'T energie vecteurs'!I5,FALSE)</f>
        <v>0.31408186599999999</v>
      </c>
      <c r="K32" s="16">
        <f>VLOOKUP(G32,Résultats!$B$2:$AX$476,'T energie vecteurs'!I5,FALSE)</f>
        <v>0.3751369779</v>
      </c>
      <c r="L32" s="95">
        <f t="shared" si="5"/>
        <v>3.0812866648999999</v>
      </c>
      <c r="M32" s="16"/>
      <c r="N32" s="150" t="s">
        <v>25</v>
      </c>
      <c r="O32" s="29">
        <f>'[2]Bilan 2020'!$T$46/11.63</f>
        <v>1.3217009999999998E-3</v>
      </c>
      <c r="P32" s="28">
        <f>SUM('[2]Bilan 2020'!$T$41:$T$43)/11.63</f>
        <v>3.3486884684627563</v>
      </c>
      <c r="Q32" s="28">
        <f>'[2]Bilan 2020'!$T$13/11.63</f>
        <v>0.69143728159498707</v>
      </c>
      <c r="R32" s="28">
        <f>('[2]Bilan 2020'!$T$22+'[2]Bilan 2020'!$T$30+SUM('[2]Bilan 2020'!$T$36:$T$40)+SUM('[2]Bilan 2020'!$T$44:$T$45)+'[2]Bilan 2020'!$T$47)/11.63</f>
        <v>0.41959097162510717</v>
      </c>
      <c r="S32" s="142">
        <f t="shared" si="6"/>
        <v>4.4610384226828508</v>
      </c>
      <c r="T32" s="16"/>
      <c r="U32" s="149" t="s">
        <v>25</v>
      </c>
      <c r="V32" t="s">
        <v>418</v>
      </c>
      <c r="W32" t="s">
        <v>419</v>
      </c>
      <c r="X32" t="s">
        <v>420</v>
      </c>
      <c r="Y32" t="s">
        <v>421</v>
      </c>
      <c r="Z32" s="16">
        <v>0</v>
      </c>
      <c r="AA32" s="16">
        <v>2.3912876710000002</v>
      </c>
      <c r="AB32" s="16">
        <v>0.31386460469999999</v>
      </c>
      <c r="AC32" s="16">
        <v>0.37518470380000002</v>
      </c>
      <c r="AD32" s="95">
        <v>3.0803369795000002</v>
      </c>
    </row>
    <row r="33" spans="3:30" x14ac:dyDescent="0.25">
      <c r="C33" s="23" t="s">
        <v>26</v>
      </c>
      <c r="D33" s="10"/>
      <c r="E33" s="10"/>
      <c r="F33" s="10"/>
      <c r="G33" s="10"/>
      <c r="H33" s="9">
        <f>SUM(H24,H27:H29)</f>
        <v>2.9266919721000004</v>
      </c>
      <c r="I33" s="9">
        <f>SUM(I24,I27:I29)</f>
        <v>64.908199417000006</v>
      </c>
      <c r="J33" s="9">
        <f>SUM(J24,J27:J29)</f>
        <v>37.907255880000001</v>
      </c>
      <c r="K33" s="9">
        <f>SUM(K24,K27:K29)</f>
        <v>49.007289836672399</v>
      </c>
      <c r="L33" s="98">
        <f t="shared" si="5"/>
        <v>154.74943710577242</v>
      </c>
      <c r="M33" s="79"/>
      <c r="N33" s="151" t="s">
        <v>26</v>
      </c>
      <c r="O33" s="32">
        <f>O24+O27+O28+O29+O32</f>
        <v>3.2152066752920638</v>
      </c>
      <c r="P33" s="31">
        <f>P24+P27+P28+P29+P32</f>
        <v>59.931006751765409</v>
      </c>
      <c r="Q33" s="31">
        <f>Q24+Q27+Q28+Q29+Q32</f>
        <v>34.793213034892403</v>
      </c>
      <c r="R33" s="31">
        <f>R24+R27+R28+R29+R32</f>
        <v>42.523974988451613</v>
      </c>
      <c r="S33" s="144">
        <f t="shared" si="6"/>
        <v>140.46340145040148</v>
      </c>
      <c r="T33" s="79"/>
      <c r="U33" s="23" t="s">
        <v>26</v>
      </c>
      <c r="V33" s="10"/>
      <c r="W33" s="10"/>
      <c r="X33" s="10"/>
      <c r="Y33" s="10"/>
      <c r="Z33" s="9">
        <v>2.9066507871000002</v>
      </c>
      <c r="AA33" s="9">
        <v>64.70171096499999</v>
      </c>
      <c r="AB33" s="9">
        <v>37.9685250518</v>
      </c>
      <c r="AC33" s="9">
        <v>48.441033752741596</v>
      </c>
      <c r="AD33" s="98">
        <v>154.0179205566416</v>
      </c>
    </row>
    <row r="34" spans="3:30" s="3" customFormat="1" x14ac:dyDescent="0.25">
      <c r="H34" s="45"/>
      <c r="I34" s="45"/>
      <c r="J34" s="45"/>
      <c r="K34" s="45"/>
      <c r="L34" s="45"/>
      <c r="M34" s="45"/>
      <c r="N34" s="45"/>
      <c r="O34" s="77"/>
      <c r="P34" s="77"/>
      <c r="Q34" s="77"/>
      <c r="R34" s="78"/>
      <c r="S34" s="45"/>
      <c r="T34" s="45"/>
      <c r="Z34" s="45"/>
      <c r="AA34" s="45"/>
      <c r="AB34" s="45"/>
      <c r="AC34" s="45"/>
      <c r="AD34" s="45"/>
    </row>
    <row r="35" spans="3:30" s="3" customFormat="1" x14ac:dyDescent="0.25"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Z35" s="45"/>
      <c r="AA35" s="45"/>
      <c r="AB35" s="45"/>
      <c r="AC35" s="45"/>
      <c r="AD35" s="45"/>
    </row>
    <row r="36" spans="3:30" ht="31.5" x14ac:dyDescent="0.35">
      <c r="C36" s="145">
        <v>2022</v>
      </c>
      <c r="D36" s="146"/>
      <c r="E36" s="146"/>
      <c r="F36" s="146"/>
      <c r="G36" s="146"/>
      <c r="H36" s="76" t="s">
        <v>36</v>
      </c>
      <c r="I36" s="76" t="s">
        <v>49</v>
      </c>
      <c r="J36" s="76" t="s">
        <v>38</v>
      </c>
      <c r="K36" s="76" t="s">
        <v>48</v>
      </c>
      <c r="L36" s="93" t="s">
        <v>1</v>
      </c>
      <c r="M36" s="19"/>
      <c r="N36" s="145">
        <v>2022</v>
      </c>
      <c r="O36" s="141" t="s">
        <v>36</v>
      </c>
      <c r="P36" s="76" t="s">
        <v>49</v>
      </c>
      <c r="Q36" s="76" t="s">
        <v>38</v>
      </c>
      <c r="R36" s="76" t="s">
        <v>48</v>
      </c>
      <c r="S36" s="93" t="s">
        <v>1</v>
      </c>
      <c r="T36" s="19"/>
      <c r="U36" s="145">
        <v>2022</v>
      </c>
      <c r="V36" s="146"/>
      <c r="W36" s="146"/>
      <c r="X36" s="146"/>
      <c r="Y36" s="146"/>
      <c r="Z36" s="76" t="s">
        <v>36</v>
      </c>
      <c r="AA36" s="76" t="s">
        <v>49</v>
      </c>
      <c r="AB36" s="76" t="s">
        <v>38</v>
      </c>
      <c r="AC36" s="76" t="s">
        <v>48</v>
      </c>
      <c r="AD36" s="93" t="s">
        <v>1</v>
      </c>
    </row>
    <row r="37" spans="3:30" x14ac:dyDescent="0.25">
      <c r="C37" s="147" t="s">
        <v>18</v>
      </c>
      <c r="H37" s="8">
        <f>SUM(H38:H39)</f>
        <v>0</v>
      </c>
      <c r="I37" s="8">
        <f>SUM(I38:I39)</f>
        <v>41.759878459999996</v>
      </c>
      <c r="J37" s="8">
        <f>SUM(J38:J39)</f>
        <v>1.5316666395</v>
      </c>
      <c r="K37" s="8">
        <f>SUM(K38:K39)</f>
        <v>0.37605597178959999</v>
      </c>
      <c r="L37" s="96">
        <f t="shared" ref="L37:L46" si="8">SUM(H37:K37)</f>
        <v>43.667601071289596</v>
      </c>
      <c r="M37" s="75"/>
      <c r="N37" s="150" t="s">
        <v>18</v>
      </c>
      <c r="O37" s="29">
        <f>'[3]Bilan 2022 réel'!$X$46/11.63</f>
        <v>0</v>
      </c>
      <c r="P37" s="28">
        <f>SUM('[3]Bilan 2022 réel'!$X$41:$X$43)/11.63</f>
        <v>43.395882986244146</v>
      </c>
      <c r="Q37" s="28">
        <f>'[3]Bilan 2022 réel'!$X$13/11.63</f>
        <v>0.93062751504729158</v>
      </c>
      <c r="R37" s="28">
        <f>('[3]Bilan 2022 réel'!$X$22+'[3]Bilan 2022 réel'!$X$30+SUM('[3]Bilan 2022 réel'!$X$36:$X$40)+SUM('[3]Bilan 2022 réel'!$X$44:$X$45)+'[3]Bilan 2022 réel'!$X$47)/11.63</f>
        <v>0.31885683576956142</v>
      </c>
      <c r="S37" s="142">
        <f>SUM(O37:R37)</f>
        <v>44.645367337060996</v>
      </c>
      <c r="T37" s="75"/>
      <c r="U37" s="147" t="s">
        <v>18</v>
      </c>
      <c r="Z37" s="8">
        <v>0</v>
      </c>
      <c r="AA37" s="8">
        <v>41.7366946</v>
      </c>
      <c r="AB37" s="8">
        <v>1.5301373292</v>
      </c>
      <c r="AC37" s="8">
        <v>0.3757359559597</v>
      </c>
      <c r="AD37" s="96">
        <v>43.6425678851597</v>
      </c>
    </row>
    <row r="38" spans="3:30" x14ac:dyDescent="0.25">
      <c r="C38" s="148" t="s">
        <v>19</v>
      </c>
      <c r="D38" t="s">
        <v>394</v>
      </c>
      <c r="E38" t="s">
        <v>395</v>
      </c>
      <c r="F38" t="s">
        <v>396</v>
      </c>
      <c r="G38" t="s">
        <v>397</v>
      </c>
      <c r="H38" s="16">
        <f>VLOOKUP(D38,Résultats!$B$2:$AX$476,'T energie vecteurs'!K5,FALSE)</f>
        <v>0</v>
      </c>
      <c r="I38" s="16">
        <f>VLOOKUP(E38,Résultats!$B$2:$AX$476,'T energie vecteurs'!K5,FALSE)</f>
        <v>22.97724345</v>
      </c>
      <c r="J38" s="16">
        <f>VLOOKUP(F38,Résultats!$B$2:$AX$476,'T energie vecteurs'!K5,FALSE)</f>
        <v>0.16670382750000001</v>
      </c>
      <c r="K38" s="16">
        <f>VLOOKUP(G51,Résultats!$B$2:$AX$476,'T energie vecteurs'!K5,FALSE)</f>
        <v>1.55463896E-5</v>
      </c>
      <c r="L38" s="95">
        <f t="shared" si="8"/>
        <v>23.143962823889602</v>
      </c>
      <c r="M38" s="16"/>
      <c r="N38" s="148" t="s">
        <v>19</v>
      </c>
      <c r="O38" s="143"/>
      <c r="P38" s="16"/>
      <c r="Q38" s="34"/>
      <c r="R38" s="16"/>
      <c r="S38" s="95"/>
      <c r="T38" s="16"/>
      <c r="U38" s="148" t="s">
        <v>19</v>
      </c>
      <c r="V38" t="s">
        <v>394</v>
      </c>
      <c r="W38" t="s">
        <v>395</v>
      </c>
      <c r="X38" t="s">
        <v>396</v>
      </c>
      <c r="Y38" t="s">
        <v>397</v>
      </c>
      <c r="Z38" s="16">
        <v>0</v>
      </c>
      <c r="AA38" s="16">
        <v>22.973949990000001</v>
      </c>
      <c r="AB38" s="16">
        <v>0.16659521320000001</v>
      </c>
      <c r="AC38" s="16">
        <v>1.55386597E-5</v>
      </c>
      <c r="AD38" s="95">
        <v>23.140560741859701</v>
      </c>
    </row>
    <row r="39" spans="3:30" x14ac:dyDescent="0.25">
      <c r="C39" s="149" t="s">
        <v>20</v>
      </c>
      <c r="D39" t="s">
        <v>398</v>
      </c>
      <c r="E39" t="s">
        <v>399</v>
      </c>
      <c r="F39" t="s">
        <v>400</v>
      </c>
      <c r="G39" t="s">
        <v>401</v>
      </c>
      <c r="H39" s="16">
        <f>VLOOKUP(D39,Résultats!$B$2:$AX$476,'T energie vecteurs'!K5,FALSE)</f>
        <v>0</v>
      </c>
      <c r="I39" s="16">
        <f>VLOOKUP(E39,Résultats!$B$2:$AX$476,'T energie vecteurs'!K5,FALSE)</f>
        <v>18.78263501</v>
      </c>
      <c r="J39" s="16">
        <f>VLOOKUP(F39,Résultats!$B$2:$AX$476,'T energie vecteurs'!K5,FALSE)</f>
        <v>1.3649628119999999</v>
      </c>
      <c r="K39" s="16">
        <f>VLOOKUP(G39,Résultats!$B$2:$AX$476,'T energie vecteurs'!K5,FALSE)</f>
        <v>0.37604042539999999</v>
      </c>
      <c r="L39" s="95">
        <f t="shared" si="8"/>
        <v>20.523638247400001</v>
      </c>
      <c r="M39" s="16"/>
      <c r="N39" s="149" t="s">
        <v>20</v>
      </c>
      <c r="O39" s="143"/>
      <c r="P39" s="16"/>
      <c r="Q39" s="34"/>
      <c r="R39" s="16"/>
      <c r="S39" s="95"/>
      <c r="T39" s="16"/>
      <c r="U39" s="149" t="s">
        <v>20</v>
      </c>
      <c r="V39" t="s">
        <v>398</v>
      </c>
      <c r="W39" t="s">
        <v>399</v>
      </c>
      <c r="X39" t="s">
        <v>400</v>
      </c>
      <c r="Y39" t="s">
        <v>401</v>
      </c>
      <c r="Z39" s="16">
        <v>0</v>
      </c>
      <c r="AA39" s="16">
        <v>18.762744609999999</v>
      </c>
      <c r="AB39" s="16">
        <v>1.3635421160000001</v>
      </c>
      <c r="AC39" s="16">
        <v>0.3757204173</v>
      </c>
      <c r="AD39" s="95">
        <v>20.502007143299998</v>
      </c>
    </row>
    <row r="40" spans="3:30" x14ac:dyDescent="0.25">
      <c r="C40" s="147" t="s">
        <v>21</v>
      </c>
      <c r="D40" t="s">
        <v>402</v>
      </c>
      <c r="E40" t="s">
        <v>403</v>
      </c>
      <c r="F40" t="s">
        <v>404</v>
      </c>
      <c r="G40" t="s">
        <v>405</v>
      </c>
      <c r="H40" s="8">
        <f>VLOOKUP(D40,Résultats!$B$2:$AX$476,'T energie vecteurs'!K5,FALSE)</f>
        <v>0.30935612940000001</v>
      </c>
      <c r="I40" s="8">
        <f>VLOOKUP(E40,Résultats!$B$2:$AX$476,'T energie vecteurs'!K5,FALSE)</f>
        <v>6.1157140869999997</v>
      </c>
      <c r="J40" s="8">
        <f>VLOOKUP(F40,Résultats!$B$2:$AX$476,'T energie vecteurs'!K5,FALSE)</f>
        <v>14.6733075</v>
      </c>
      <c r="K40" s="8">
        <f>VLOOKUP(G40,Résultats!$B$2:$AX$476,'T energie vecteurs'!K5,FALSE)+8</f>
        <v>25.069347390000001</v>
      </c>
      <c r="L40" s="96">
        <f t="shared" si="8"/>
        <v>46.167725106399999</v>
      </c>
      <c r="M40" s="75"/>
      <c r="N40" s="150" t="s">
        <v>21</v>
      </c>
      <c r="O40" s="29">
        <f>'[3]Bilan 2022 réel'!$V$46/11.63</f>
        <v>2.6476317000000003E-2</v>
      </c>
      <c r="P40" s="28">
        <f>SUM('[3]Bilan 2022 réel'!$V$41:$V$43)/11.63</f>
        <v>3.5006052343</v>
      </c>
      <c r="Q40" s="28">
        <f>'[3]Bilan 2022 réel'!$V$13/11.63</f>
        <v>13.359407222699915</v>
      </c>
      <c r="R40" s="28">
        <f>('[3]Bilan 2022 réel'!$V$22+'[3]Bilan 2022 réel'!$V$30+SUM('[3]Bilan 2022 réel'!$V$36:$V$40)+SUM('[3]Bilan 2022 réel'!$V$44:$V$45)+'[3]Bilan 2022 réel'!$V$47)/11.63</f>
        <v>20.358936597126686</v>
      </c>
      <c r="S40" s="142">
        <f t="shared" ref="S40:S46" si="9">SUM(O40:R40)</f>
        <v>37.245425371126601</v>
      </c>
      <c r="T40" s="75"/>
      <c r="U40" s="147" t="s">
        <v>21</v>
      </c>
      <c r="V40" t="s">
        <v>402</v>
      </c>
      <c r="W40" t="s">
        <v>403</v>
      </c>
      <c r="X40" t="s">
        <v>404</v>
      </c>
      <c r="Y40" t="s">
        <v>405</v>
      </c>
      <c r="Z40" s="8">
        <v>0.29218850759999998</v>
      </c>
      <c r="AA40" s="8">
        <v>5.8697182550000004</v>
      </c>
      <c r="AB40" s="8">
        <v>14.74872476</v>
      </c>
      <c r="AC40" s="8">
        <v>24.436259159999999</v>
      </c>
      <c r="AD40" s="96">
        <v>45.346890682599998</v>
      </c>
    </row>
    <row r="41" spans="3:30" x14ac:dyDescent="0.25">
      <c r="C41" s="147" t="s">
        <v>22</v>
      </c>
      <c r="D41" t="s">
        <v>406</v>
      </c>
      <c r="E41" t="s">
        <v>407</v>
      </c>
      <c r="F41" t="s">
        <v>408</v>
      </c>
      <c r="G41" t="s">
        <v>409</v>
      </c>
      <c r="H41" s="8">
        <f>VLOOKUP(D41,Résultats!$B$2:$AX$476,'T energie vecteurs'!K5,FALSE)</f>
        <v>0</v>
      </c>
      <c r="I41" s="8">
        <f>VLOOKUP(E41,Résultats!$B$2:$AX$476,'T energie vecteurs'!K5,FALSE)</f>
        <v>3.0091726259999998</v>
      </c>
      <c r="J41" s="8">
        <f>VLOOKUP(F41,Résultats!$B$2:$AX$476,'T energie vecteurs'!K5,FALSE)</f>
        <v>12.79573796</v>
      </c>
      <c r="K41" s="8">
        <f>VLOOKUP(G41,Résultats!$B$2:$AX$476,'T energie vecteurs'!K5,FALSE)</f>
        <v>9.2618844360000008</v>
      </c>
      <c r="L41" s="96">
        <f t="shared" si="8"/>
        <v>25.066795022000001</v>
      </c>
      <c r="M41" s="75"/>
      <c r="N41" s="150" t="s">
        <v>22</v>
      </c>
      <c r="O41" s="29">
        <f>('[3]Bilan 2022 réel'!$W$46)/11.63</f>
        <v>3.2835727999999995E-2</v>
      </c>
      <c r="P41" s="28">
        <f>SUM('[3]Bilan 2022 réel'!$W$41:$W$43)/11.63</f>
        <v>2.0815720291000002</v>
      </c>
      <c r="Q41" s="28">
        <f>('[3]Bilan 2022 réel'!$W$13)/11.63</f>
        <v>11.4388796216681</v>
      </c>
      <c r="R41" s="28">
        <f>('[3]Bilan 2022 réel'!$W$22+'[3]Bilan 2022 réel'!$W$30+SUM('[3]Bilan 2022 réel'!$W$36:$W$40)+SUM('[3]Bilan 2022 réel'!$W$44:$W$45)+'[3]Bilan 2022 réel'!$W$47)/11.63</f>
        <v>7.4016622456291197</v>
      </c>
      <c r="S41" s="142">
        <f t="shared" si="9"/>
        <v>20.954949624397219</v>
      </c>
      <c r="T41" s="75"/>
      <c r="U41" s="147" t="s">
        <v>22</v>
      </c>
      <c r="V41" t="s">
        <v>406</v>
      </c>
      <c r="W41" t="s">
        <v>407</v>
      </c>
      <c r="X41" t="s">
        <v>408</v>
      </c>
      <c r="Y41" t="s">
        <v>409</v>
      </c>
      <c r="Z41" s="8">
        <v>0</v>
      </c>
      <c r="AA41" s="8">
        <v>3.0092418190000001</v>
      </c>
      <c r="AB41" s="8">
        <v>12.789291540000001</v>
      </c>
      <c r="AC41" s="8">
        <v>9.2705074389999904</v>
      </c>
      <c r="AD41" s="96">
        <v>25.069040797999989</v>
      </c>
    </row>
    <row r="42" spans="3:30" x14ac:dyDescent="0.25">
      <c r="C42" s="147" t="s">
        <v>23</v>
      </c>
      <c r="H42" s="8">
        <f>SUM(H43:H45)</f>
        <v>2.5864681211000002</v>
      </c>
      <c r="I42" s="8">
        <f>SUM(I43:I45)</f>
        <v>12.857612644000001</v>
      </c>
      <c r="J42" s="8">
        <f>SUM(J43:J45)</f>
        <v>9.6580072433000002</v>
      </c>
      <c r="K42" s="8">
        <f>SUM(K43:K45)</f>
        <v>16.001169103599999</v>
      </c>
      <c r="L42" s="96">
        <f t="shared" si="8"/>
        <v>41.103257112000001</v>
      </c>
      <c r="M42" s="75"/>
      <c r="N42" s="150" t="s">
        <v>490</v>
      </c>
      <c r="O42" s="29">
        <f>O43+O44</f>
        <v>4.5030917883254036</v>
      </c>
      <c r="P42" s="28">
        <f t="shared" ref="P42:R42" si="10">P43+P44</f>
        <v>11.747675010745624</v>
      </c>
      <c r="Q42" s="28">
        <f t="shared" si="10"/>
        <v>9.2559822012037838</v>
      </c>
      <c r="R42" s="28">
        <f t="shared" si="10"/>
        <v>13.798624448265977</v>
      </c>
      <c r="S42" s="142">
        <f t="shared" si="9"/>
        <v>39.305373448540784</v>
      </c>
      <c r="T42" s="75"/>
      <c r="U42" s="147" t="s">
        <v>23</v>
      </c>
      <c r="Z42" s="8">
        <v>2.5815140112999999</v>
      </c>
      <c r="AA42" s="8">
        <v>12.829603892000002</v>
      </c>
      <c r="AB42" s="8">
        <v>9.639446283599991</v>
      </c>
      <c r="AC42" s="8">
        <v>15.985122134800001</v>
      </c>
      <c r="AD42" s="96">
        <v>41.035686321699991</v>
      </c>
    </row>
    <row r="43" spans="3:30" x14ac:dyDescent="0.25">
      <c r="C43" s="149" t="s">
        <v>24</v>
      </c>
      <c r="D43" t="s">
        <v>410</v>
      </c>
      <c r="E43" t="s">
        <v>411</v>
      </c>
      <c r="F43" t="s">
        <v>412</v>
      </c>
      <c r="G43" t="s">
        <v>413</v>
      </c>
      <c r="H43" s="16">
        <f>VLOOKUP(D43,Résultats!$B$2:$AX$476,'T energie vecteurs'!K5,FALSE)</f>
        <v>1.7029797250000001</v>
      </c>
      <c r="I43" s="16">
        <f>VLOOKUP(E43,Résultats!$B$2:$AX$476,'T energie vecteurs'!K5,FALSE)</f>
        <v>8.5222442370000007</v>
      </c>
      <c r="J43" s="16">
        <f>VLOOKUP(F43,Résultats!$B$2:$AX$476,'T energie vecteurs'!K5,FALSE)</f>
        <v>9.3335611279999995</v>
      </c>
      <c r="K43" s="16">
        <f>VLOOKUP(G43,Résultats!$B$2:$AX$476,'T energie vecteurs'!K5,FALSE)</f>
        <v>13.46202525</v>
      </c>
      <c r="L43" s="95">
        <f t="shared" si="8"/>
        <v>33.020810339999997</v>
      </c>
      <c r="M43" s="16"/>
      <c r="N43" s="149" t="s">
        <v>491</v>
      </c>
      <c r="O43" s="143">
        <f>'[3]Bilan 2022 réel'!$U$46/11.63</f>
        <v>0.63402045200000001</v>
      </c>
      <c r="P43" s="30">
        <f>SUM('[3]Bilan 2022 réel'!$U$41:$U$43)/11.63</f>
        <v>2.4775829957456241</v>
      </c>
      <c r="Q43" s="30">
        <f>'[3]Bilan 2022 réel'!$U$13/11.63</f>
        <v>9.2559822012037838</v>
      </c>
      <c r="R43" s="30">
        <f>('[3]Bilan 2022 réel'!$U$22+'[3]Bilan 2022 réel'!$U$30+SUM('[3]Bilan 2022 réel'!$U$36:$U$40)+SUM('[3]Bilan 2022 réel'!$U$44:$U$45)+'[3]Bilan 2022 réel'!$U$47)/11.63</f>
        <v>12.926272664087129</v>
      </c>
      <c r="S43" s="95">
        <f t="shared" si="9"/>
        <v>25.293858313036537</v>
      </c>
      <c r="T43" s="16"/>
      <c r="U43" s="149" t="s">
        <v>24</v>
      </c>
      <c r="V43" t="s">
        <v>410</v>
      </c>
      <c r="W43" t="s">
        <v>411</v>
      </c>
      <c r="X43" t="s">
        <v>412</v>
      </c>
      <c r="Y43" t="s">
        <v>413</v>
      </c>
      <c r="Z43" s="16">
        <v>1.6999228799999999</v>
      </c>
      <c r="AA43" s="16">
        <v>8.4956087700000005</v>
      </c>
      <c r="AB43" s="16">
        <v>9.3153372319999903</v>
      </c>
      <c r="AC43" s="16">
        <v>13.44573585</v>
      </c>
      <c r="AD43" s="95">
        <v>32.956604731999988</v>
      </c>
    </row>
    <row r="44" spans="3:30" x14ac:dyDescent="0.25">
      <c r="C44" s="149" t="s">
        <v>47</v>
      </c>
      <c r="D44" t="s">
        <v>414</v>
      </c>
      <c r="E44" t="s">
        <v>415</v>
      </c>
      <c r="F44" t="s">
        <v>416</v>
      </c>
      <c r="G44" t="s">
        <v>417</v>
      </c>
      <c r="H44" s="16">
        <f>VLOOKUP(D44,Résultats!$B$2:$AX$476,'T energie vecteurs'!K5,FALSE)</f>
        <v>0.88348839609999996</v>
      </c>
      <c r="I44" s="16">
        <f>VLOOKUP(E44,Résultats!$B$2:$AX$476,'T energie vecteurs'!K5,FALSE)</f>
        <v>1.9046809650000001</v>
      </c>
      <c r="J44" s="16">
        <f>VLOOKUP(F44,Résultats!$B$2:$AX$476,'T energie vecteurs'!K5,FALSE)</f>
        <v>0</v>
      </c>
      <c r="K44" s="16">
        <f>VLOOKUP(G44,Résultats!$B$2:$AX$476,'T energie vecteurs'!K5,FALSE)</f>
        <v>2.1523513649999999</v>
      </c>
      <c r="L44" s="95">
        <f t="shared" si="8"/>
        <v>4.9405207260999999</v>
      </c>
      <c r="M44" s="16"/>
      <c r="N44" s="149" t="s">
        <v>47</v>
      </c>
      <c r="O44" s="22">
        <f>'[3]Bilan 2022 réel'!$E$52/11.63</f>
        <v>3.8690713363254039</v>
      </c>
      <c r="P44" s="16">
        <f>('[3]Bilan 2022 réel'!$E$54+'[3]Bilan 2022 réel'!$E$56)/11.63</f>
        <v>9.2700920149999995</v>
      </c>
      <c r="Q44" s="16">
        <v>0</v>
      </c>
      <c r="R44" s="16">
        <f>('[3]Bilan 2022 réel'!$E$53+'[3]Bilan 2022 réel'!$E$55+'[3]Bilan 2022 réel'!$E$57)/11.63</f>
        <v>0.87235178417884784</v>
      </c>
      <c r="S44" s="95">
        <f t="shared" si="9"/>
        <v>14.011515135504252</v>
      </c>
      <c r="T44" s="16"/>
      <c r="U44" s="149" t="s">
        <v>47</v>
      </c>
      <c r="V44" t="s">
        <v>414</v>
      </c>
      <c r="W44" t="s">
        <v>415</v>
      </c>
      <c r="X44" t="s">
        <v>416</v>
      </c>
      <c r="Y44" t="s">
        <v>417</v>
      </c>
      <c r="Z44" s="16">
        <v>0.8815911313</v>
      </c>
      <c r="AA44" s="16">
        <v>1.904483468</v>
      </c>
      <c r="AB44" s="16">
        <v>0</v>
      </c>
      <c r="AC44" s="16">
        <v>2.1525847499999999</v>
      </c>
      <c r="AD44" s="95">
        <v>4.9386593492999999</v>
      </c>
    </row>
    <row r="45" spans="3:30" x14ac:dyDescent="0.25">
      <c r="C45" s="149" t="s">
        <v>25</v>
      </c>
      <c r="D45" t="s">
        <v>418</v>
      </c>
      <c r="E45" t="s">
        <v>419</v>
      </c>
      <c r="F45" t="s">
        <v>420</v>
      </c>
      <c r="G45" t="s">
        <v>421</v>
      </c>
      <c r="H45" s="16">
        <f>VLOOKUP(D45,Résultats!$B$2:$AX$476,'T energie vecteurs'!K5,FALSE)</f>
        <v>0</v>
      </c>
      <c r="I45" s="16">
        <f>VLOOKUP(E45,Résultats!$B$2:$AX$476,'T energie vecteurs'!K5,FALSE)</f>
        <v>2.430687442</v>
      </c>
      <c r="J45" s="16">
        <f>VLOOKUP(F45,Résultats!$B$2:$AX$476,'T energie vecteurs'!K5,FALSE)</f>
        <v>0.3244461153</v>
      </c>
      <c r="K45" s="16">
        <f>VLOOKUP(G45,Résultats!$B$2:$AX$476,'T energie vecteurs'!K5,FALSE)</f>
        <v>0.38679248859999998</v>
      </c>
      <c r="L45" s="95">
        <f t="shared" si="8"/>
        <v>3.1419260458999996</v>
      </c>
      <c r="M45" s="16"/>
      <c r="N45" s="150" t="s">
        <v>25</v>
      </c>
      <c r="O45" s="29">
        <f>'[3]Bilan 2022 réel'!$T$46/11.63</f>
        <v>1.651664E-3</v>
      </c>
      <c r="P45" s="28">
        <f>SUM('[3]Bilan 2022 réel'!$T$41:$T$43)/11.63</f>
        <v>3.5697769387513203</v>
      </c>
      <c r="Q45" s="28">
        <f>'[3]Bilan 2022 réel'!$T$13/11.63</f>
        <v>0.67291487532244199</v>
      </c>
      <c r="R45" s="28">
        <f>('[3]Bilan 2022 réel'!$T$22+'[3]Bilan 2022 réel'!$T$30+SUM('[3]Bilan 2022 réel'!$T$36:$T$40)+SUM('[3]Bilan 2022 réel'!$T$44:$T$45)+'[3]Bilan 2022 réel'!$T$47)/11.63</f>
        <v>0.43996563007547523</v>
      </c>
      <c r="S45" s="142">
        <f t="shared" si="9"/>
        <v>4.6843091081492378</v>
      </c>
      <c r="T45" s="16"/>
      <c r="U45" s="149" t="s">
        <v>25</v>
      </c>
      <c r="V45" t="s">
        <v>418</v>
      </c>
      <c r="W45" t="s">
        <v>419</v>
      </c>
      <c r="X45" t="s">
        <v>420</v>
      </c>
      <c r="Y45" t="s">
        <v>421</v>
      </c>
      <c r="Z45" s="16">
        <v>0</v>
      </c>
      <c r="AA45" s="16">
        <v>2.4295116540000001</v>
      </c>
      <c r="AB45" s="16">
        <v>0.32410905159999998</v>
      </c>
      <c r="AC45" s="16">
        <v>0.38680153480000001</v>
      </c>
      <c r="AD45" s="95">
        <v>3.1404222404</v>
      </c>
    </row>
    <row r="46" spans="3:30" x14ac:dyDescent="0.25">
      <c r="C46" s="23" t="s">
        <v>26</v>
      </c>
      <c r="D46" s="10"/>
      <c r="E46" s="10"/>
      <c r="F46" s="10"/>
      <c r="G46" s="10"/>
      <c r="H46" s="9">
        <f>SUM(H37,H40:H42)</f>
        <v>2.8958242505000005</v>
      </c>
      <c r="I46" s="9">
        <f>SUM(I37,I40:I42)</f>
        <v>63.742377816999998</v>
      </c>
      <c r="J46" s="9">
        <f>SUM(J37,J40:J42)</f>
        <v>38.658719342799998</v>
      </c>
      <c r="K46" s="9">
        <f>SUM(K37,K40:K42)</f>
        <v>50.708456901389603</v>
      </c>
      <c r="L46" s="98">
        <f t="shared" si="8"/>
        <v>156.00537831168961</v>
      </c>
      <c r="M46" s="79"/>
      <c r="N46" s="151" t="s">
        <v>26</v>
      </c>
      <c r="O46" s="32">
        <f>O37+O40+O41+O42+O45</f>
        <v>4.5640554973254037</v>
      </c>
      <c r="P46" s="31">
        <f>P37+P40+P41+P42+P45</f>
        <v>64.295512199141086</v>
      </c>
      <c r="Q46" s="31">
        <f>Q37+Q40+Q41+Q42+Q45</f>
        <v>35.657811435941532</v>
      </c>
      <c r="R46" s="31">
        <f>R37+R40+R41+R42+R45</f>
        <v>42.318045756866823</v>
      </c>
      <c r="S46" s="144">
        <f t="shared" si="9"/>
        <v>146.83542488927486</v>
      </c>
      <c r="T46" s="79"/>
      <c r="U46" s="23" t="s">
        <v>26</v>
      </c>
      <c r="V46" s="10"/>
      <c r="W46" s="10"/>
      <c r="X46" s="10"/>
      <c r="Y46" s="10"/>
      <c r="Z46" s="9">
        <v>2.8737025189000001</v>
      </c>
      <c r="AA46" s="9">
        <v>63.445258566000007</v>
      </c>
      <c r="AB46" s="9">
        <v>38.707599912799992</v>
      </c>
      <c r="AC46" s="9">
        <v>50.06762468975969</v>
      </c>
      <c r="AD46" s="98">
        <v>155.09418568745969</v>
      </c>
    </row>
    <row r="47" spans="3:30" s="3" customFormat="1" x14ac:dyDescent="0.25">
      <c r="H47" s="45"/>
      <c r="I47" s="45"/>
      <c r="J47" s="45"/>
      <c r="K47" s="45"/>
      <c r="L47" s="45"/>
      <c r="M47" s="45"/>
      <c r="N47" s="45"/>
      <c r="O47" s="77"/>
      <c r="P47" s="77"/>
      <c r="Q47" s="77"/>
      <c r="R47" s="78"/>
      <c r="S47" s="45"/>
      <c r="T47" s="45"/>
      <c r="Z47" s="45"/>
      <c r="AA47" s="45"/>
      <c r="AB47" s="45"/>
      <c r="AC47" s="45"/>
      <c r="AD47" s="45"/>
    </row>
    <row r="48" spans="3:30" s="3" customFormat="1" x14ac:dyDescent="0.25"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Z48" s="45"/>
      <c r="AA48" s="45"/>
      <c r="AB48" s="45"/>
      <c r="AC48" s="45"/>
      <c r="AD48" s="45"/>
    </row>
    <row r="49" spans="2:30" ht="31.5" x14ac:dyDescent="0.35">
      <c r="C49" s="145">
        <v>2023</v>
      </c>
      <c r="D49" s="146"/>
      <c r="E49" s="146"/>
      <c r="F49" s="146"/>
      <c r="G49" s="146"/>
      <c r="H49" s="76" t="s">
        <v>36</v>
      </c>
      <c r="I49" s="76" t="s">
        <v>49</v>
      </c>
      <c r="J49" s="76" t="s">
        <v>38</v>
      </c>
      <c r="K49" s="76" t="s">
        <v>48</v>
      </c>
      <c r="L49" s="93" t="s">
        <v>1</v>
      </c>
      <c r="M49" s="19"/>
      <c r="N49" s="145">
        <v>2023</v>
      </c>
      <c r="O49" s="141" t="s">
        <v>36</v>
      </c>
      <c r="P49" s="76" t="s">
        <v>49</v>
      </c>
      <c r="Q49" s="76" t="s">
        <v>38</v>
      </c>
      <c r="R49" s="76" t="s">
        <v>48</v>
      </c>
      <c r="S49" s="93" t="s">
        <v>1</v>
      </c>
      <c r="T49" s="19"/>
      <c r="U49" s="145">
        <v>2023</v>
      </c>
      <c r="V49" s="146"/>
      <c r="W49" s="146"/>
      <c r="X49" s="146"/>
      <c r="Y49" s="146"/>
      <c r="Z49" s="76" t="s">
        <v>36</v>
      </c>
      <c r="AA49" s="76" t="s">
        <v>49</v>
      </c>
      <c r="AB49" s="76" t="s">
        <v>38</v>
      </c>
      <c r="AC49" s="76" t="s">
        <v>48</v>
      </c>
      <c r="AD49" s="93" t="s">
        <v>1</v>
      </c>
    </row>
    <row r="50" spans="2:30" x14ac:dyDescent="0.25">
      <c r="C50" s="147" t="s">
        <v>18</v>
      </c>
      <c r="H50" s="8">
        <f>SUM(H51:H52)</f>
        <v>0</v>
      </c>
      <c r="I50" s="8">
        <f>SUM(I51:I52)</f>
        <v>41.476312030000003</v>
      </c>
      <c r="J50" s="8">
        <f>SUM(J51:J52)</f>
        <v>1.6017308968999999</v>
      </c>
      <c r="K50" s="8">
        <f>SUM(K51:K52)</f>
        <v>0.42041154667640002</v>
      </c>
      <c r="L50" s="96">
        <f>SUM(H50:K50)</f>
        <v>43.498454473576402</v>
      </c>
      <c r="M50" s="75"/>
      <c r="N50" s="150" t="s">
        <v>18</v>
      </c>
      <c r="O50" s="29">
        <f>'[3]Bilan 2023 réel'!$X$46/11.63</f>
        <v>0</v>
      </c>
      <c r="P50" s="28">
        <f>SUM('[3]Bilan 2023 réel'!$X$41:$X$43)/11.63</f>
        <v>42.139633010859157</v>
      </c>
      <c r="Q50" s="28">
        <f>'[3]Bilan 2023 réel'!$X$13/11.63</f>
        <v>0.9065512467755803</v>
      </c>
      <c r="R50" s="28">
        <f>('[3]Bilan 2023 réel'!$X$22+'[3]Bilan 2023 réel'!$X$30+SUM('[3]Bilan 2023 réel'!$X$36:$X$40)+SUM('[3]Bilan 2023 réel'!$X$44:$X$45)+'[3]Bilan 2023 réel'!$X$47)/11.63</f>
        <v>0.31885683576956142</v>
      </c>
      <c r="S50" s="142">
        <f>SUM(O50:R50)</f>
        <v>43.365041093404294</v>
      </c>
      <c r="T50" s="270"/>
      <c r="U50" s="147" t="s">
        <v>18</v>
      </c>
      <c r="Z50" s="8">
        <v>0</v>
      </c>
      <c r="AA50" s="8">
        <v>41.449566140000002</v>
      </c>
      <c r="AB50" s="8">
        <v>1.5999709751</v>
      </c>
      <c r="AC50" s="8">
        <v>0.42002461775510003</v>
      </c>
      <c r="AD50" s="96">
        <v>43.469561732855098</v>
      </c>
    </row>
    <row r="51" spans="2:30" x14ac:dyDescent="0.25">
      <c r="C51" s="148" t="s">
        <v>19</v>
      </c>
      <c r="D51" t="s">
        <v>394</v>
      </c>
      <c r="E51" t="s">
        <v>395</v>
      </c>
      <c r="F51" t="s">
        <v>396</v>
      </c>
      <c r="G51" t="s">
        <v>397</v>
      </c>
      <c r="H51" s="16">
        <f>VLOOKUP(D51,Résultats!$B$2:$AX$476,'T energie vecteurs'!L5,FALSE)</f>
        <v>0</v>
      </c>
      <c r="I51" s="16">
        <f>VLOOKUP(E51,Résultats!$B$2:$AX$476,'T energie vecteurs'!L5,FALSE)</f>
        <v>22.430434420000001</v>
      </c>
      <c r="J51" s="16">
        <f>VLOOKUP(F51,Résultats!$B$2:$AX$476,'T energie vecteurs'!L5,FALSE)</f>
        <v>0.2062733819</v>
      </c>
      <c r="K51" s="16">
        <f>VLOOKUP(G51,Résultats!$B$2:$AX$476,'T energie vecteurs'!L5,FALSE)</f>
        <v>1.7492976400000001E-5</v>
      </c>
      <c r="L51" s="95">
        <f t="shared" ref="L51:L52" si="11">SUM(H51:K51)</f>
        <v>22.636725294876403</v>
      </c>
      <c r="M51" s="16"/>
      <c r="N51" s="148" t="s">
        <v>19</v>
      </c>
      <c r="O51" s="143"/>
      <c r="P51" s="16"/>
      <c r="Q51" s="34"/>
      <c r="R51" s="16"/>
      <c r="S51" s="95"/>
      <c r="T51" s="270"/>
      <c r="U51" s="148" t="s">
        <v>19</v>
      </c>
      <c r="V51" t="s">
        <v>394</v>
      </c>
      <c r="W51" t="s">
        <v>395</v>
      </c>
      <c r="X51" t="s">
        <v>396</v>
      </c>
      <c r="Y51" t="s">
        <v>397</v>
      </c>
      <c r="Z51" s="16">
        <v>0</v>
      </c>
      <c r="AA51" s="16">
        <v>22.426168499999999</v>
      </c>
      <c r="AB51" s="16">
        <v>0.2061081031</v>
      </c>
      <c r="AC51" s="16">
        <v>1.7482355099999999E-5</v>
      </c>
      <c r="AD51" s="95">
        <v>22.632294085455101</v>
      </c>
    </row>
    <row r="52" spans="2:30" x14ac:dyDescent="0.25">
      <c r="C52" s="149" t="s">
        <v>20</v>
      </c>
      <c r="D52" t="s">
        <v>398</v>
      </c>
      <c r="E52" t="s">
        <v>399</v>
      </c>
      <c r="F52" t="s">
        <v>400</v>
      </c>
      <c r="G52" t="s">
        <v>401</v>
      </c>
      <c r="H52" s="16">
        <f>VLOOKUP(D52,Résultats!$B$2:$AX$476,'T energie vecteurs'!L5,FALSE)</f>
        <v>0</v>
      </c>
      <c r="I52" s="16">
        <f>VLOOKUP(E52,Résultats!$B$2:$AX$476,'T energie vecteurs'!L5,FALSE)</f>
        <v>19.045877610000002</v>
      </c>
      <c r="J52" s="16">
        <f>VLOOKUP(F52,Résultats!$B$2:$AX$476,'T energie vecteurs'!L5,FALSE)</f>
        <v>1.3954575149999999</v>
      </c>
      <c r="K52" s="16">
        <f>VLOOKUP(G52,Résultats!$B$2:$AX$476,'T energie vecteurs'!L5,FALSE)</f>
        <v>0.42039405369999999</v>
      </c>
      <c r="L52" s="95">
        <f t="shared" si="11"/>
        <v>20.861729178700003</v>
      </c>
      <c r="M52" s="16"/>
      <c r="N52" s="149" t="s">
        <v>20</v>
      </c>
      <c r="O52" s="143"/>
      <c r="P52" s="16"/>
      <c r="Q52" s="34"/>
      <c r="R52" s="16"/>
      <c r="S52" s="95"/>
      <c r="T52" s="270"/>
      <c r="U52" s="149" t="s">
        <v>20</v>
      </c>
      <c r="V52" t="s">
        <v>398</v>
      </c>
      <c r="W52" t="s">
        <v>399</v>
      </c>
      <c r="X52" t="s">
        <v>400</v>
      </c>
      <c r="Y52" t="s">
        <v>401</v>
      </c>
      <c r="Z52" s="16">
        <v>0</v>
      </c>
      <c r="AA52" s="16">
        <v>19.023397639999999</v>
      </c>
      <c r="AB52" s="16">
        <v>1.3938628719999999</v>
      </c>
      <c r="AC52" s="16">
        <v>0.42000713540000001</v>
      </c>
      <c r="AD52" s="95">
        <v>20.837267647399997</v>
      </c>
    </row>
    <row r="53" spans="2:30" x14ac:dyDescent="0.25">
      <c r="C53" s="147" t="s">
        <v>21</v>
      </c>
      <c r="D53" t="s">
        <v>402</v>
      </c>
      <c r="E53" t="s">
        <v>403</v>
      </c>
      <c r="F53" t="s">
        <v>404</v>
      </c>
      <c r="G53" t="s">
        <v>405</v>
      </c>
      <c r="H53" s="8">
        <f>VLOOKUP(D53,Résultats!$B$2:$AX$476,'T energie vecteurs'!L5,FALSE)</f>
        <v>0.30123443</v>
      </c>
      <c r="I53" s="294">
        <f>VLOOKUP(E53,Résultats!$B$2:$AX$476,'T energie vecteurs'!L5,FALSE)</f>
        <v>5.9023560890000004</v>
      </c>
      <c r="J53" s="8">
        <f>VLOOKUP(F53,Résultats!$B$2:$AX$476,'T energie vecteurs'!L5,FALSE)</f>
        <v>14.75915927</v>
      </c>
      <c r="K53" s="8">
        <f>VLOOKUP(G53,Résultats!$B$2:$AX$476,'T energie vecteurs'!L5,FALSE)+8</f>
        <v>25.06460482</v>
      </c>
      <c r="L53" s="96">
        <f>SUM(H53:K53)</f>
        <v>46.027354609</v>
      </c>
      <c r="M53" s="75"/>
      <c r="N53" s="150" t="s">
        <v>21</v>
      </c>
      <c r="O53" s="29">
        <f>'[3]Bilan 2023 réel'!$V$46/11.63</f>
        <v>1.9785054E-2</v>
      </c>
      <c r="P53" s="28">
        <f>SUM('[3]Bilan 2023 réel'!$V$41:$V$43)/11.63</f>
        <v>3.0423469738</v>
      </c>
      <c r="Q53" s="28">
        <f>'[3]Bilan 2023 réel'!$V$13/11.63</f>
        <v>13.020267239896821</v>
      </c>
      <c r="R53" s="28">
        <f>('[3]Bilan 2023 réel'!$V$22+'[3]Bilan 2023 réel'!$V$30+SUM('[3]Bilan 2023 réel'!$V$36:$V$40)+SUM('[3]Bilan 2023 réel'!$V$44:$V$45)+'[3]Bilan 2023 réel'!$V$47)/11.63</f>
        <v>20.330842243575045</v>
      </c>
      <c r="S53" s="142">
        <f t="shared" ref="S53:S59" si="12">SUM(O53:R53)</f>
        <v>36.413241511271863</v>
      </c>
      <c r="T53" s="270"/>
      <c r="U53" s="147" t="s">
        <v>21</v>
      </c>
      <c r="V53" t="s">
        <v>402</v>
      </c>
      <c r="W53" t="s">
        <v>403</v>
      </c>
      <c r="X53" t="s">
        <v>404</v>
      </c>
      <c r="Y53" t="s">
        <v>405</v>
      </c>
      <c r="Z53" s="8">
        <v>0.28480931409999999</v>
      </c>
      <c r="AA53" s="294">
        <v>5.633111145</v>
      </c>
      <c r="AB53" s="8">
        <v>14.835570260000001</v>
      </c>
      <c r="AC53" s="8">
        <v>24.406614040000001</v>
      </c>
      <c r="AD53" s="96">
        <v>45.160104759100001</v>
      </c>
    </row>
    <row r="54" spans="2:30" x14ac:dyDescent="0.25">
      <c r="C54" s="147" t="s">
        <v>22</v>
      </c>
      <c r="D54" t="s">
        <v>406</v>
      </c>
      <c r="E54" t="s">
        <v>407</v>
      </c>
      <c r="F54" t="s">
        <v>408</v>
      </c>
      <c r="G54" t="s">
        <v>409</v>
      </c>
      <c r="H54" s="8">
        <f>VLOOKUP(D54,Résultats!$B$2:$AX$476,'T energie vecteurs'!L5,FALSE)</f>
        <v>0</v>
      </c>
      <c r="I54" s="8">
        <f>VLOOKUP(E54,Résultats!$B$2:$AX$476,'T energie vecteurs'!L5,FALSE)</f>
        <v>2.995326886</v>
      </c>
      <c r="J54" s="8">
        <f>VLOOKUP(F54,Résultats!$B$2:$AX$476,'T energie vecteurs'!L5,FALSE)</f>
        <v>12.77417271</v>
      </c>
      <c r="K54" s="8">
        <f>VLOOKUP(G54,Résultats!$B$2:$AX$476,'T energie vecteurs'!L5,FALSE)</f>
        <v>9.3921021909999904</v>
      </c>
      <c r="L54" s="96">
        <f t="shared" ref="L54:L56" si="13">SUM(H54:K54)</f>
        <v>25.161601786999988</v>
      </c>
      <c r="M54" s="75"/>
      <c r="N54" s="150" t="s">
        <v>22</v>
      </c>
      <c r="O54" s="29">
        <f>('[3]Bilan 2023 réel'!$W$46)/11.63</f>
        <v>2.9470376E-2</v>
      </c>
      <c r="P54" s="28">
        <f>SUM('[3]Bilan 2023 réel'!$W$41:$W$43)/11.63</f>
        <v>2.063881609425366</v>
      </c>
      <c r="Q54" s="28">
        <f>('[3]Bilan 2023 réel'!$W$13)/11.63</f>
        <v>11.200373602751505</v>
      </c>
      <c r="R54" s="28">
        <f>('[3]Bilan 2023 réel'!$W$22+'[3]Bilan 2023 réel'!$W$30+SUM('[3]Bilan 2023 réel'!$W$36:$W$40)+SUM('[3]Bilan 2023 réel'!$W$44:$W$45)+'[3]Bilan 2023 réel'!$W$47)/11.63</f>
        <v>7.0633917765357781</v>
      </c>
      <c r="S54" s="142">
        <f t="shared" si="12"/>
        <v>20.35711736471265</v>
      </c>
      <c r="T54" s="270"/>
      <c r="U54" s="147" t="s">
        <v>22</v>
      </c>
      <c r="V54" t="s">
        <v>406</v>
      </c>
      <c r="W54" t="s">
        <v>407</v>
      </c>
      <c r="X54" t="s">
        <v>408</v>
      </c>
      <c r="Y54" t="s">
        <v>409</v>
      </c>
      <c r="Z54" s="8">
        <v>0</v>
      </c>
      <c r="AA54" s="8">
        <v>2.995206027</v>
      </c>
      <c r="AB54" s="8">
        <v>12.76609567</v>
      </c>
      <c r="AC54" s="8">
        <v>9.4040393029999905</v>
      </c>
      <c r="AD54" s="96">
        <v>25.165340999999991</v>
      </c>
    </row>
    <row r="55" spans="2:30" x14ac:dyDescent="0.25">
      <c r="C55" s="147" t="s">
        <v>23</v>
      </c>
      <c r="H55" s="8">
        <f>SUM(H56:H58)</f>
        <v>2.5986109370000001</v>
      </c>
      <c r="I55" s="8">
        <f>SUM(I56:I58)</f>
        <v>12.787695827999999</v>
      </c>
      <c r="J55" s="8">
        <f>SUM(J56:J58)</f>
        <v>9.9434382006000011</v>
      </c>
      <c r="K55" s="8">
        <f>SUM(K56:K58)</f>
        <v>16.473804858500003</v>
      </c>
      <c r="L55" s="96">
        <f t="shared" si="13"/>
        <v>41.803549824100003</v>
      </c>
      <c r="M55" s="75"/>
      <c r="N55" s="150" t="s">
        <v>490</v>
      </c>
      <c r="O55" s="29">
        <f>O56+O57</f>
        <v>3.8091541290558895</v>
      </c>
      <c r="P55" s="28">
        <f t="shared" ref="P55:R55" si="14">P56+P57</f>
        <v>12.120619615422576</v>
      </c>
      <c r="Q55" s="28">
        <f t="shared" si="14"/>
        <v>8.8688043852106624</v>
      </c>
      <c r="R55" s="28">
        <f t="shared" si="14"/>
        <v>13.00955432637566</v>
      </c>
      <c r="S55" s="142">
        <f t="shared" si="12"/>
        <v>37.808132456064783</v>
      </c>
      <c r="T55" s="270"/>
      <c r="U55" s="147" t="s">
        <v>23</v>
      </c>
      <c r="Z55" s="8">
        <v>2.5926006634999998</v>
      </c>
      <c r="AA55" s="8">
        <v>12.755525670999999</v>
      </c>
      <c r="AB55" s="8">
        <v>9.9204348672000009</v>
      </c>
      <c r="AC55" s="8">
        <v>16.456197314200001</v>
      </c>
      <c r="AD55" s="96">
        <v>41.7247585159</v>
      </c>
    </row>
    <row r="56" spans="2:30" x14ac:dyDescent="0.25">
      <c r="C56" s="149" t="s">
        <v>24</v>
      </c>
      <c r="D56" t="s">
        <v>410</v>
      </c>
      <c r="E56" t="s">
        <v>411</v>
      </c>
      <c r="F56" t="s">
        <v>412</v>
      </c>
      <c r="G56" t="s">
        <v>413</v>
      </c>
      <c r="H56" s="16">
        <f>VLOOKUP(D56,Résultats!$B$2:$AX$476,'T energie vecteurs'!L5,FALSE)</f>
        <v>1.6977078249999999</v>
      </c>
      <c r="I56" s="16">
        <f>VLOOKUP(E56,Résultats!$B$2:$AX$476,'T energie vecteurs'!L5,FALSE)</f>
        <v>8.3783867149999995</v>
      </c>
      <c r="J56" s="16">
        <f>VLOOKUP(F56,Résultats!$B$2:$AX$476,'T energie vecteurs'!L5,FALSE)</f>
        <v>9.6100343610000003</v>
      </c>
      <c r="K56" s="16">
        <f>VLOOKUP(G56,Résultats!$B$2:$AX$476,'T energie vecteurs'!L5,FALSE)</f>
        <v>13.87568735</v>
      </c>
      <c r="L56" s="95">
        <f t="shared" si="13"/>
        <v>33.561816250999996</v>
      </c>
      <c r="M56" s="16"/>
      <c r="N56" s="149" t="s">
        <v>491</v>
      </c>
      <c r="O56" s="143">
        <f>'[3]Bilan 2023 réel'!$U$46/11.63</f>
        <v>0.58092196100000004</v>
      </c>
      <c r="P56" s="30">
        <f>SUM('[3]Bilan 2023 réel'!$U$41:$U$43)/11.63</f>
        <v>2.395717067522579</v>
      </c>
      <c r="Q56" s="30">
        <f>'[3]Bilan 2023 réel'!$U$13/11.63</f>
        <v>8.8688043852106624</v>
      </c>
      <c r="R56" s="30">
        <f>('[3]Bilan 2023 réel'!$U$22+'[3]Bilan 2023 réel'!$U$30+SUM('[3]Bilan 2023 réel'!$U$36:$U$40)+SUM('[3]Bilan 2023 réel'!$U$44:$U$45)+'[3]Bilan 2023 réel'!$U$47)/11.63</f>
        <v>12.148361914509795</v>
      </c>
      <c r="S56" s="95">
        <f t="shared" si="12"/>
        <v>23.993805328243035</v>
      </c>
      <c r="T56" s="270"/>
      <c r="U56" s="149" t="s">
        <v>24</v>
      </c>
      <c r="V56" t="s">
        <v>410</v>
      </c>
      <c r="W56" t="s">
        <v>411</v>
      </c>
      <c r="X56" t="s">
        <v>412</v>
      </c>
      <c r="Y56" t="s">
        <v>413</v>
      </c>
      <c r="Z56" s="16">
        <v>1.694013835</v>
      </c>
      <c r="AA56" s="16">
        <v>8.3478165880000006</v>
      </c>
      <c r="AB56" s="16">
        <v>9.5874179690000005</v>
      </c>
      <c r="AC56" s="16">
        <v>13.85763822</v>
      </c>
      <c r="AD56" s="95">
        <v>33.486886611999999</v>
      </c>
    </row>
    <row r="57" spans="2:30" x14ac:dyDescent="0.25">
      <c r="C57" s="149" t="s">
        <v>47</v>
      </c>
      <c r="D57" t="s">
        <v>414</v>
      </c>
      <c r="E57" t="s">
        <v>415</v>
      </c>
      <c r="F57" t="s">
        <v>416</v>
      </c>
      <c r="G57" t="s">
        <v>417</v>
      </c>
      <c r="H57" s="16">
        <f>VLOOKUP(D57,Résultats!$B$2:$AX$476,'T energie vecteurs'!L5,FALSE)</f>
        <v>0.90090311199999995</v>
      </c>
      <c r="I57" s="16">
        <f>VLOOKUP(E57,Résultats!$B$2:$AX$476,'T energie vecteurs'!L5,FALSE)</f>
        <v>1.939709675</v>
      </c>
      <c r="J57" s="16">
        <f>VLOOKUP(F57,Résultats!$B$2:$AX$476,'T energie vecteurs'!L5,FALSE)</f>
        <v>0</v>
      </c>
      <c r="K57" s="16">
        <f>VLOOKUP(G57,Résultats!$B$2:$AX$476,'T energie vecteurs'!L5,FALSE)</f>
        <v>2.1943140350000001</v>
      </c>
      <c r="L57" s="95">
        <f>SUM(H57:K57)</f>
        <v>5.0349268220000001</v>
      </c>
      <c r="M57" s="16"/>
      <c r="N57" s="149" t="s">
        <v>47</v>
      </c>
      <c r="O57" s="22">
        <f>'[3]Bilan 2023 réel'!$E$52/11.63</f>
        <v>3.2282321680558894</v>
      </c>
      <c r="P57" s="16">
        <f>('[3]Bilan 2023 réel'!$E$54+'[3]Bilan 2023 réel'!$E$56)/11.63</f>
        <v>9.7249025478999975</v>
      </c>
      <c r="Q57" s="16">
        <v>0</v>
      </c>
      <c r="R57" s="16">
        <f>('[3]Bilan 2023 réel'!$E$53+'[3]Bilan 2023 réel'!$E$55+'[3]Bilan 2023 réel'!$E$57)/11.63</f>
        <v>0.86119241186586415</v>
      </c>
      <c r="S57" s="95">
        <f t="shared" si="12"/>
        <v>13.814327127821752</v>
      </c>
      <c r="T57" s="270"/>
      <c r="U57" s="149" t="s">
        <v>47</v>
      </c>
      <c r="V57" t="s">
        <v>414</v>
      </c>
      <c r="W57" t="s">
        <v>415</v>
      </c>
      <c r="X57" t="s">
        <v>416</v>
      </c>
      <c r="Y57" t="s">
        <v>417</v>
      </c>
      <c r="Z57" s="16">
        <v>0.89858682850000005</v>
      </c>
      <c r="AA57" s="16">
        <v>1.939446158</v>
      </c>
      <c r="AB57" s="16">
        <v>0</v>
      </c>
      <c r="AC57" s="16">
        <v>2.1946655310000001</v>
      </c>
      <c r="AD57" s="95">
        <v>5.0326985175000001</v>
      </c>
    </row>
    <row r="58" spans="2:30" x14ac:dyDescent="0.25">
      <c r="C58" s="149" t="s">
        <v>25</v>
      </c>
      <c r="D58" t="s">
        <v>418</v>
      </c>
      <c r="E58" t="s">
        <v>419</v>
      </c>
      <c r="F58" t="s">
        <v>420</v>
      </c>
      <c r="G58" t="s">
        <v>421</v>
      </c>
      <c r="H58" s="16">
        <f>VLOOKUP(D58,Résultats!$B$2:$AX$476,'T energie vecteurs'!L5,FALSE)</f>
        <v>0</v>
      </c>
      <c r="I58" s="16">
        <f>VLOOKUP(E58,Résultats!$B$2:$AX$476,'T energie vecteurs'!L5,FALSE)</f>
        <v>2.4695994379999999</v>
      </c>
      <c r="J58" s="16">
        <f>VLOOKUP(F58,Résultats!$B$2:$AX$476,'T energie vecteurs'!L5,FALSE)</f>
        <v>0.33340383959999997</v>
      </c>
      <c r="K58" s="16">
        <f>VLOOKUP(G58,Résultats!$B$2:$AX$476,'T energie vecteurs'!L5,FALSE)</f>
        <v>0.40380347350000001</v>
      </c>
      <c r="L58" s="95">
        <f t="shared" ref="L58" si="15">SUM(H58:K58)</f>
        <v>3.2068067510999998</v>
      </c>
      <c r="M58" s="16"/>
      <c r="N58" s="150" t="s">
        <v>25</v>
      </c>
      <c r="O58" s="29">
        <f>'[3]Bilan 2023 réel'!$T$46/11.63</f>
        <v>1.221354E-3</v>
      </c>
      <c r="P58" s="28">
        <f>SUM('[3]Bilan 2023 réel'!$T$41:$T$43)/11.63</f>
        <v>3.4194391444513199</v>
      </c>
      <c r="Q58" s="28">
        <f>'[3]Bilan 2023 réel'!$T$13/11.63</f>
        <v>0.65647798796216683</v>
      </c>
      <c r="R58" s="28">
        <f>('[3]Bilan 2023 réel'!$T$22+'[3]Bilan 2023 réel'!$T$30+SUM('[3]Bilan 2023 réel'!$T$36:$T$40)+SUM('[3]Bilan 2023 réel'!$T$44:$T$45)+'[3]Bilan 2023 réel'!$T$47)/11.63</f>
        <v>0.44186481322250887</v>
      </c>
      <c r="S58" s="142">
        <f t="shared" si="12"/>
        <v>4.5190032996359957</v>
      </c>
      <c r="T58" s="270"/>
      <c r="U58" s="149" t="s">
        <v>25</v>
      </c>
      <c r="V58" t="s">
        <v>418</v>
      </c>
      <c r="W58" t="s">
        <v>419</v>
      </c>
      <c r="X58" t="s">
        <v>420</v>
      </c>
      <c r="Y58" t="s">
        <v>421</v>
      </c>
      <c r="Z58" s="16">
        <v>0</v>
      </c>
      <c r="AA58" s="16">
        <v>2.4682629249999999</v>
      </c>
      <c r="AB58" s="16">
        <v>0.33301689820000002</v>
      </c>
      <c r="AC58" s="16">
        <v>0.40389356320000003</v>
      </c>
      <c r="AD58" s="95">
        <v>3.2051733863999998</v>
      </c>
    </row>
    <row r="59" spans="2:30" x14ac:dyDescent="0.25">
      <c r="C59" s="23" t="s">
        <v>26</v>
      </c>
      <c r="D59" s="10"/>
      <c r="E59" s="10"/>
      <c r="F59" s="10"/>
      <c r="G59" s="10"/>
      <c r="H59" s="9">
        <f>SUM(H50,H53:H55)</f>
        <v>2.8998453670000002</v>
      </c>
      <c r="I59" s="9">
        <f>SUM(I50,I53:I55)</f>
        <v>63.161690833000002</v>
      </c>
      <c r="J59" s="9">
        <f>SUM(J50,J53:J55)</f>
        <v>39.0785010775</v>
      </c>
      <c r="K59" s="9">
        <f>SUM(K50,K53:K55)</f>
        <v>51.350923416176393</v>
      </c>
      <c r="L59" s="98">
        <f>SUM(H59:K59)</f>
        <v>156.49096069367639</v>
      </c>
      <c r="M59" s="79"/>
      <c r="N59" s="151" t="s">
        <v>26</v>
      </c>
      <c r="O59" s="32">
        <f>O50+O53+O54+O55+O58</f>
        <v>3.8596309130558897</v>
      </c>
      <c r="P59" s="31">
        <f>P50+P53+P54+P55+P58</f>
        <v>62.785920353958417</v>
      </c>
      <c r="Q59" s="31">
        <f>Q50+Q53+Q54+Q55+Q58</f>
        <v>34.652474462596736</v>
      </c>
      <c r="R59" s="31">
        <f>R50+R53+R54+R55+R58</f>
        <v>41.164509995478554</v>
      </c>
      <c r="S59" s="144">
        <f t="shared" si="12"/>
        <v>142.46253572508959</v>
      </c>
      <c r="T59" s="79"/>
      <c r="U59" s="23" t="s">
        <v>26</v>
      </c>
      <c r="V59" s="10"/>
      <c r="W59" s="10"/>
      <c r="X59" s="10"/>
      <c r="Y59" s="10"/>
      <c r="Z59" s="9">
        <v>2.8774099775999997</v>
      </c>
      <c r="AA59" s="9">
        <v>62.833408983000005</v>
      </c>
      <c r="AB59" s="9">
        <v>39.122071772300004</v>
      </c>
      <c r="AC59" s="9">
        <v>50.686875274955085</v>
      </c>
      <c r="AD59" s="98">
        <v>155.51976600785508</v>
      </c>
    </row>
    <row r="60" spans="2:30" s="3" customFormat="1" x14ac:dyDescent="0.25">
      <c r="O60" s="77"/>
      <c r="P60" s="77"/>
      <c r="Q60" s="77"/>
      <c r="R60" s="78"/>
      <c r="S60" s="45"/>
    </row>
    <row r="61" spans="2:30" s="3" customFormat="1" x14ac:dyDescent="0.25">
      <c r="B61" s="60"/>
      <c r="K61" s="47"/>
      <c r="O61" s="79"/>
      <c r="P61" s="79"/>
      <c r="Q61" s="79"/>
      <c r="R61" s="80"/>
      <c r="S61" s="81"/>
      <c r="AC61" s="47"/>
    </row>
    <row r="62" spans="2:30" ht="31.5" x14ac:dyDescent="0.35">
      <c r="C62" s="145">
        <v>2025</v>
      </c>
      <c r="D62" s="146"/>
      <c r="E62" s="146"/>
      <c r="F62" s="146"/>
      <c r="G62" s="146"/>
      <c r="H62" s="76" t="s">
        <v>36</v>
      </c>
      <c r="I62" s="76" t="s">
        <v>49</v>
      </c>
      <c r="J62" s="76" t="s">
        <v>38</v>
      </c>
      <c r="K62" s="76" t="s">
        <v>48</v>
      </c>
      <c r="L62" s="93" t="s">
        <v>1</v>
      </c>
      <c r="M62" s="19"/>
      <c r="N62" s="145">
        <v>2025</v>
      </c>
      <c r="O62" s="141" t="s">
        <v>36</v>
      </c>
      <c r="P62" s="76" t="s">
        <v>49</v>
      </c>
      <c r="Q62" s="76" t="s">
        <v>38</v>
      </c>
      <c r="R62" s="76" t="s">
        <v>48</v>
      </c>
      <c r="S62" s="93" t="s">
        <v>1</v>
      </c>
      <c r="T62" s="19"/>
      <c r="U62" s="145">
        <v>2025</v>
      </c>
      <c r="V62" s="146"/>
      <c r="W62" s="146"/>
      <c r="X62" s="146"/>
      <c r="Y62" s="146"/>
      <c r="Z62" s="76" t="s">
        <v>36</v>
      </c>
      <c r="AA62" s="76" t="s">
        <v>49</v>
      </c>
      <c r="AB62" s="76" t="s">
        <v>38</v>
      </c>
      <c r="AC62" s="76" t="s">
        <v>48</v>
      </c>
      <c r="AD62" s="93" t="s">
        <v>1</v>
      </c>
    </row>
    <row r="63" spans="2:30" x14ac:dyDescent="0.25">
      <c r="C63" s="147" t="s">
        <v>18</v>
      </c>
      <c r="H63" s="8">
        <f>SUM(H64:H65)</f>
        <v>0</v>
      </c>
      <c r="I63" s="8">
        <f>SUM(I64:I65)</f>
        <v>41.030316479999996</v>
      </c>
      <c r="J63" s="8">
        <f>SUM(J64:J65)</f>
        <v>1.8964884195</v>
      </c>
      <c r="K63" s="8">
        <f>SUM(K64:K65)</f>
        <v>0.44456779785059997</v>
      </c>
      <c r="L63" s="96">
        <f t="shared" ref="L63:L72" si="16">SUM(H63:K63)</f>
        <v>43.371372697350601</v>
      </c>
      <c r="M63" s="75"/>
      <c r="N63" s="150" t="s">
        <v>18</v>
      </c>
      <c r="O63" s="29">
        <f>'[2]Bilan 2025 AMS'!$X$46/11.63</f>
        <v>0</v>
      </c>
      <c r="P63" s="28">
        <f>SUM('[2]Bilan 2025 AMS'!$X$41:$X$43)/11.63</f>
        <v>38.50153613089298</v>
      </c>
      <c r="Q63" s="28">
        <f>'[2]Bilan 2025 AMS'!$X$13/11.63</f>
        <v>1.4019196706542307</v>
      </c>
      <c r="R63" s="28">
        <f>('[2]Bilan 2025 AMS'!$X$22+'[2]Bilan 2025 AMS'!$X$30+SUM('[2]Bilan 2025 AMS'!$X$36:$X$40)+SUM('[2]Bilan 2025 AMS'!$X$44:$X$45)+'[2]Bilan 2025 AMS'!$X$47)/11.63</f>
        <v>0.36905808040129645</v>
      </c>
      <c r="S63" s="142">
        <f>SUM(O63:R63)</f>
        <v>40.272513881948505</v>
      </c>
      <c r="T63" s="75"/>
      <c r="U63" s="147" t="s">
        <v>18</v>
      </c>
      <c r="Z63" s="8">
        <v>0</v>
      </c>
      <c r="AA63" s="8">
        <v>40.985383769999999</v>
      </c>
      <c r="AB63" s="8">
        <v>1.893264987</v>
      </c>
      <c r="AC63" s="8">
        <v>0.44391657700379999</v>
      </c>
      <c r="AD63" s="96">
        <v>43.322565334003798</v>
      </c>
    </row>
    <row r="64" spans="2:30" x14ac:dyDescent="0.25">
      <c r="C64" s="148" t="s">
        <v>19</v>
      </c>
      <c r="D64" t="s">
        <v>394</v>
      </c>
      <c r="E64" t="s">
        <v>395</v>
      </c>
      <c r="F64" t="s">
        <v>396</v>
      </c>
      <c r="G64" t="s">
        <v>397</v>
      </c>
      <c r="H64" s="16">
        <f>VLOOKUP(D64,Résultats!$B$2:$AX$476,'T energie vecteurs'!N5,FALSE)</f>
        <v>0</v>
      </c>
      <c r="I64" s="16">
        <f>VLOOKUP(E64,Résultats!$B$2:$AX$476,'T energie vecteurs'!N5,FALSE)</f>
        <v>21.823808280000002</v>
      </c>
      <c r="J64" s="16">
        <f>VLOOKUP(F64,Résultats!$B$2:$AX$476,'T energie vecteurs'!N5,FALSE)</f>
        <v>0.32053281849999998</v>
      </c>
      <c r="K64" s="16">
        <f>VLOOKUP(G77,Résultats!$B$2:$AX$476,'T energie vecteurs'!N5,FALSE)</f>
        <v>2.2931850599999999E-5</v>
      </c>
      <c r="L64" s="95">
        <f t="shared" si="16"/>
        <v>22.144364030350602</v>
      </c>
      <c r="M64" s="16"/>
      <c r="N64" s="148" t="s">
        <v>19</v>
      </c>
      <c r="O64" s="143"/>
      <c r="P64" s="16"/>
      <c r="Q64" s="34"/>
      <c r="R64" s="16"/>
      <c r="S64" s="95"/>
      <c r="T64" s="16"/>
      <c r="U64" s="148" t="s">
        <v>19</v>
      </c>
      <c r="V64" t="s">
        <v>394</v>
      </c>
      <c r="W64" t="s">
        <v>395</v>
      </c>
      <c r="X64" t="s">
        <v>396</v>
      </c>
      <c r="Y64" t="s">
        <v>397</v>
      </c>
      <c r="Z64" s="16">
        <v>0</v>
      </c>
      <c r="AA64" s="16">
        <v>21.816310250000001</v>
      </c>
      <c r="AB64" s="16">
        <v>0.32012290399999999</v>
      </c>
      <c r="AC64" s="16">
        <v>2.29070038E-5</v>
      </c>
      <c r="AD64" s="95">
        <v>22.136456061003802</v>
      </c>
    </row>
    <row r="65" spans="3:30" x14ac:dyDescent="0.25">
      <c r="C65" s="149" t="s">
        <v>20</v>
      </c>
      <c r="D65" t="s">
        <v>398</v>
      </c>
      <c r="E65" t="s">
        <v>399</v>
      </c>
      <c r="F65" t="s">
        <v>400</v>
      </c>
      <c r="G65" t="s">
        <v>401</v>
      </c>
      <c r="H65" s="16">
        <f>VLOOKUP(D65,Résultats!$B$2:$AX$476,'T energie vecteurs'!N5,FALSE)</f>
        <v>0</v>
      </c>
      <c r="I65" s="16">
        <f>VLOOKUP(E65,Résultats!$B$2:$AX$476,'T energie vecteurs'!N5,FALSE)</f>
        <v>19.206508199999998</v>
      </c>
      <c r="J65" s="16">
        <f>VLOOKUP(F65,Résultats!$B$2:$AX$476,'T energie vecteurs'!N5,FALSE)</f>
        <v>1.575955601</v>
      </c>
      <c r="K65" s="16">
        <f>VLOOKUP(G65,Résultats!$B$2:$AX$476,'T energie vecteurs'!N5,FALSE)</f>
        <v>0.44454486599999998</v>
      </c>
      <c r="L65" s="95">
        <f t="shared" si="16"/>
        <v>21.227008667</v>
      </c>
      <c r="M65" s="16"/>
      <c r="N65" s="149" t="s">
        <v>20</v>
      </c>
      <c r="O65" s="143"/>
      <c r="P65" s="16"/>
      <c r="Q65" s="34"/>
      <c r="R65" s="16"/>
      <c r="S65" s="95"/>
      <c r="T65" s="16"/>
      <c r="U65" s="149" t="s">
        <v>20</v>
      </c>
      <c r="V65" t="s">
        <v>398</v>
      </c>
      <c r="W65" t="s">
        <v>399</v>
      </c>
      <c r="X65" t="s">
        <v>400</v>
      </c>
      <c r="Y65" t="s">
        <v>401</v>
      </c>
      <c r="Z65" s="16">
        <v>0</v>
      </c>
      <c r="AA65" s="16">
        <v>19.169073520000001</v>
      </c>
      <c r="AB65" s="16">
        <v>1.573142083</v>
      </c>
      <c r="AC65" s="16">
        <v>0.44389367000000002</v>
      </c>
      <c r="AD65" s="95">
        <v>21.186109273000003</v>
      </c>
    </row>
    <row r="66" spans="3:30" x14ac:dyDescent="0.25">
      <c r="C66" s="147" t="s">
        <v>21</v>
      </c>
      <c r="D66" t="s">
        <v>402</v>
      </c>
      <c r="E66" t="s">
        <v>403</v>
      </c>
      <c r="F66" t="s">
        <v>404</v>
      </c>
      <c r="G66" t="s">
        <v>405</v>
      </c>
      <c r="H66" s="8">
        <f>VLOOKUP(D66,Résultats!$B$2:$AX$476,'T energie vecteurs'!N5,FALSE)</f>
        <v>0.2834379736</v>
      </c>
      <c r="I66" s="8">
        <f>VLOOKUP(E66,Résultats!$B$2:$AX$476,'T energie vecteurs'!N5,FALSE)</f>
        <v>5.5836514299999997</v>
      </c>
      <c r="J66" s="8">
        <f>VLOOKUP(F66,Résultats!$B$2:$AX$476,'T energie vecteurs'!N5,FALSE)</f>
        <v>14.86758438</v>
      </c>
      <c r="K66" s="8">
        <f>VLOOKUP(G66,Résultats!$B$2:$AX$476,'T energie vecteurs'!N5,FALSE)+8</f>
        <v>24.64049713</v>
      </c>
      <c r="L66" s="96">
        <f t="shared" si="16"/>
        <v>45.375170913600002</v>
      </c>
      <c r="M66" s="75"/>
      <c r="N66" s="150" t="s">
        <v>21</v>
      </c>
      <c r="O66" s="29">
        <f>'[2]Bilan 2025 AMS'!$V$46/11.63</f>
        <v>0</v>
      </c>
      <c r="P66" s="28">
        <f>SUM('[2]Bilan 2025 AMS'!$V$41:$V$43)/11.63</f>
        <v>2.0957746160980957</v>
      </c>
      <c r="Q66" s="28">
        <f>'[2]Bilan 2025 AMS'!$V$13/11.63</f>
        <v>14.447084659417472</v>
      </c>
      <c r="R66" s="28">
        <f>('[2]Bilan 2025 AMS'!$V$22+'[2]Bilan 2025 AMS'!$V$30+SUM('[2]Bilan 2025 AMS'!$V$36:$V$40)+SUM('[2]Bilan 2025 AMS'!$V$44:$V$45)+'[2]Bilan 2025 AMS'!$V$47)/11.63</f>
        <v>22.421251859079046</v>
      </c>
      <c r="S66" s="142">
        <f t="shared" ref="S66:S72" si="17">SUM(O66:R66)</f>
        <v>38.964111134594617</v>
      </c>
      <c r="T66" s="75"/>
      <c r="U66" s="147" t="s">
        <v>21</v>
      </c>
      <c r="V66" t="s">
        <v>402</v>
      </c>
      <c r="W66" t="s">
        <v>403</v>
      </c>
      <c r="X66" t="s">
        <v>404</v>
      </c>
      <c r="Y66" t="s">
        <v>405</v>
      </c>
      <c r="Z66" s="8">
        <v>0.2695608994</v>
      </c>
      <c r="AA66" s="8">
        <v>5.27552194</v>
      </c>
      <c r="AB66" s="8">
        <v>14.950165589999999</v>
      </c>
      <c r="AC66" s="8">
        <v>23.978500240000002</v>
      </c>
      <c r="AD66" s="96">
        <v>44.473748669400003</v>
      </c>
    </row>
    <row r="67" spans="3:30" x14ac:dyDescent="0.25">
      <c r="C67" s="147" t="s">
        <v>22</v>
      </c>
      <c r="D67" t="s">
        <v>406</v>
      </c>
      <c r="E67" t="s">
        <v>407</v>
      </c>
      <c r="F67" t="s">
        <v>408</v>
      </c>
      <c r="G67" t="s">
        <v>409</v>
      </c>
      <c r="H67" s="8">
        <f>VLOOKUP(D67,Résultats!$B$2:$AX$476,'T energie vecteurs'!N5,FALSE)</f>
        <v>0</v>
      </c>
      <c r="I67" s="8">
        <f>VLOOKUP(E67,Résultats!$B$2:$AX$476,'T energie vecteurs'!N5,FALSE)</f>
        <v>2.1715927289999999</v>
      </c>
      <c r="J67" s="8">
        <f>VLOOKUP(F67,Résultats!$B$2:$AX$476,'T energie vecteurs'!N5,FALSE)</f>
        <v>12.42076833</v>
      </c>
      <c r="K67" s="8">
        <f>VLOOKUP(G67,Résultats!$B$2:$AX$476,'T energie vecteurs'!N5,FALSE)</f>
        <v>12.655056419999999</v>
      </c>
      <c r="L67" s="96">
        <f t="shared" si="16"/>
        <v>27.247417478999999</v>
      </c>
      <c r="M67" s="75"/>
      <c r="N67" s="150" t="s">
        <v>22</v>
      </c>
      <c r="O67" s="29">
        <f>('[2]Bilan 2025 AMS'!$W$46)/11.63</f>
        <v>0</v>
      </c>
      <c r="P67" s="28">
        <f>SUM('[2]Bilan 2025 AMS'!$W$41:$W$43)/11.63</f>
        <v>1.6298429171920958</v>
      </c>
      <c r="Q67" s="28">
        <f>('[2]Bilan 2025 AMS'!$W$13)/11.63</f>
        <v>10.999874044471945</v>
      </c>
      <c r="R67" s="28">
        <f>('[2]Bilan 2025 AMS'!$W$22+'[2]Bilan 2025 AMS'!$W$30+SUM('[2]Bilan 2025 AMS'!$W$36:$W$40)+SUM('[2]Bilan 2025 AMS'!$W$44:$W$45)+'[2]Bilan 2025 AMS'!$W$47)/11.63</f>
        <v>8.5854945190187202</v>
      </c>
      <c r="S67" s="142">
        <f t="shared" si="17"/>
        <v>21.215211480682761</v>
      </c>
      <c r="T67" s="75"/>
      <c r="U67" s="147" t="s">
        <v>22</v>
      </c>
      <c r="V67" t="s">
        <v>406</v>
      </c>
      <c r="W67" t="s">
        <v>407</v>
      </c>
      <c r="X67" t="s">
        <v>408</v>
      </c>
      <c r="Y67" t="s">
        <v>409</v>
      </c>
      <c r="Z67" s="8">
        <v>0</v>
      </c>
      <c r="AA67" s="8">
        <v>2.1708208619999998</v>
      </c>
      <c r="AB67" s="8">
        <v>12.410258880000001</v>
      </c>
      <c r="AC67" s="8">
        <v>12.67350802</v>
      </c>
      <c r="AD67" s="96">
        <v>27.254587762</v>
      </c>
    </row>
    <row r="68" spans="3:30" x14ac:dyDescent="0.25">
      <c r="C68" s="147" t="s">
        <v>23</v>
      </c>
      <c r="H68" s="8">
        <f>SUM(H69:H71)</f>
        <v>2.2666233165</v>
      </c>
      <c r="I68" s="8">
        <f>SUM(I69:I71)</f>
        <v>11.050234047</v>
      </c>
      <c r="J68" s="8">
        <f>SUM(J69:J71)</f>
        <v>12.998157863800001</v>
      </c>
      <c r="K68" s="8">
        <f>SUM(K69:K71)</f>
        <v>12.118156471099999</v>
      </c>
      <c r="L68" s="96">
        <f t="shared" si="16"/>
        <v>38.433171698400002</v>
      </c>
      <c r="M68" s="75"/>
      <c r="N68" s="150" t="s">
        <v>490</v>
      </c>
      <c r="O68" s="29">
        <f>O69+O70</f>
        <v>3.798785579103078</v>
      </c>
      <c r="P68" s="28">
        <f t="shared" ref="P68:R68" si="18">P69+P70</f>
        <v>13.636597959064392</v>
      </c>
      <c r="Q68" s="28">
        <f t="shared" si="18"/>
        <v>11.012104104131426</v>
      </c>
      <c r="R68" s="28">
        <f t="shared" si="18"/>
        <v>14.545887550015864</v>
      </c>
      <c r="S68" s="142">
        <f t="shared" si="17"/>
        <v>42.993375192314758</v>
      </c>
      <c r="T68" s="75"/>
      <c r="U68" s="147" t="s">
        <v>23</v>
      </c>
      <c r="Z68" s="8">
        <v>2.2610457150999999</v>
      </c>
      <c r="AA68" s="8">
        <v>11.016054733000001</v>
      </c>
      <c r="AB68" s="8">
        <v>12.958739359200001</v>
      </c>
      <c r="AC68" s="8">
        <v>12.0999436668</v>
      </c>
      <c r="AD68" s="96">
        <v>38.335783474100005</v>
      </c>
    </row>
    <row r="69" spans="3:30" x14ac:dyDescent="0.25">
      <c r="C69" s="149" t="s">
        <v>24</v>
      </c>
      <c r="D69" t="s">
        <v>410</v>
      </c>
      <c r="E69" t="s">
        <v>411</v>
      </c>
      <c r="F69" t="s">
        <v>412</v>
      </c>
      <c r="G69" t="s">
        <v>413</v>
      </c>
      <c r="H69" s="16">
        <f>VLOOKUP(D69,Résultats!$B$2:$AX$476,'T energie vecteurs'!N5,FALSE)</f>
        <v>1.3765542719999999</v>
      </c>
      <c r="I69" s="16">
        <f>VLOOKUP(E69,Résultats!$B$2:$AX$476,'T energie vecteurs'!N5,FALSE)</f>
        <v>6.578643123</v>
      </c>
      <c r="J69" s="16">
        <f>VLOOKUP(F69,Résultats!$B$2:$AX$476,'T energie vecteurs'!N5,FALSE)</f>
        <v>12.6607178</v>
      </c>
      <c r="K69" s="16">
        <f>VLOOKUP(G69,Résultats!$B$2:$AX$476,'T energie vecteurs'!N5,FALSE)</f>
        <v>9.645784463</v>
      </c>
      <c r="L69" s="95">
        <f t="shared" si="16"/>
        <v>30.261699657999998</v>
      </c>
      <c r="M69" s="16"/>
      <c r="N69" s="149" t="s">
        <v>491</v>
      </c>
      <c r="O69" s="143">
        <f>'[2]Bilan 2025 AMS'!$U$46/11.63</f>
        <v>0.54239014434383459</v>
      </c>
      <c r="P69" s="30">
        <f>SUM('[2]Bilan 2025 AMS'!$U$41:$U$43)/11.63</f>
        <v>1.9361642364667253</v>
      </c>
      <c r="Q69" s="30">
        <f>'[2]Bilan 2025 AMS'!$U$13/11.63</f>
        <v>11.012104104131426</v>
      </c>
      <c r="R69" s="30">
        <f>('[2]Bilan 2025 AMS'!$U$22+'[2]Bilan 2025 AMS'!$U$30+SUM('[2]Bilan 2025 AMS'!$U$36:$U$40)+SUM('[2]Bilan 2025 AMS'!$U$44:$U$45)+'[2]Bilan 2025 AMS'!$U$47)/11.63</f>
        <v>13.281896568299775</v>
      </c>
      <c r="S69" s="95">
        <f t="shared" si="17"/>
        <v>26.77255505324176</v>
      </c>
      <c r="T69" s="16"/>
      <c r="U69" s="149" t="s">
        <v>24</v>
      </c>
      <c r="V69" t="s">
        <v>410</v>
      </c>
      <c r="W69" t="s">
        <v>411</v>
      </c>
      <c r="X69" t="s">
        <v>412</v>
      </c>
      <c r="Y69" t="s">
        <v>413</v>
      </c>
      <c r="Z69" s="16">
        <v>1.3736206369999999</v>
      </c>
      <c r="AA69" s="16">
        <v>6.5484711930000001</v>
      </c>
      <c r="AB69" s="16">
        <v>12.622105100000001</v>
      </c>
      <c r="AC69" s="16">
        <v>9.6274626919999999</v>
      </c>
      <c r="AD69" s="95">
        <v>30.171659622</v>
      </c>
    </row>
    <row r="70" spans="3:30" x14ac:dyDescent="0.25">
      <c r="C70" s="149" t="s">
        <v>47</v>
      </c>
      <c r="D70" t="s">
        <v>414</v>
      </c>
      <c r="E70" t="s">
        <v>415</v>
      </c>
      <c r="F70" t="s">
        <v>416</v>
      </c>
      <c r="G70" t="s">
        <v>417</v>
      </c>
      <c r="H70" s="16">
        <f>VLOOKUP(D70,Résultats!$B$2:$AX$476,'T energie vecteurs'!N5,FALSE)</f>
        <v>0.89006904450000002</v>
      </c>
      <c r="I70" s="16">
        <f>VLOOKUP(E70,Résultats!$B$2:$AX$476,'T energie vecteurs'!N5,FALSE)</f>
        <v>1.98365945</v>
      </c>
      <c r="J70" s="16">
        <f>VLOOKUP(F70,Résultats!$B$2:$AX$476,'T energie vecteurs'!N5,FALSE)</f>
        <v>0</v>
      </c>
      <c r="K70" s="16">
        <f>VLOOKUP(G70,Résultats!$B$2:$AX$476,'T energie vecteurs'!N5,FALSE)</f>
        <v>2.055787998</v>
      </c>
      <c r="L70" s="95">
        <f t="shared" si="16"/>
        <v>4.9295164924999995</v>
      </c>
      <c r="M70" s="16"/>
      <c r="N70" s="149" t="s">
        <v>47</v>
      </c>
      <c r="O70" s="22">
        <f>'[2]Bilan 2025 AMS'!$E$52/11.63</f>
        <v>3.2563954347592436</v>
      </c>
      <c r="P70" s="16">
        <f>('[2]Bilan 2025 AMS'!$E$54+'[2]Bilan 2025 AMS'!$E$56)/11.63</f>
        <v>11.700433722597667</v>
      </c>
      <c r="Q70" s="16">
        <v>0</v>
      </c>
      <c r="R70" s="16">
        <f>('[2]Bilan 2025 AMS'!$E$53+'[2]Bilan 2025 AMS'!$E$55+'[2]Bilan 2025 AMS'!$E$57)/11.63</f>
        <v>1.2639909817160895</v>
      </c>
      <c r="S70" s="95">
        <f t="shared" si="17"/>
        <v>16.220820139072998</v>
      </c>
      <c r="T70" s="16"/>
      <c r="U70" s="149" t="s">
        <v>47</v>
      </c>
      <c r="V70" t="s">
        <v>414</v>
      </c>
      <c r="W70" t="s">
        <v>415</v>
      </c>
      <c r="X70" t="s">
        <v>416</v>
      </c>
      <c r="Y70" t="s">
        <v>417</v>
      </c>
      <c r="Z70" s="16">
        <v>0.88742507810000004</v>
      </c>
      <c r="AA70" s="16">
        <v>1.983344607</v>
      </c>
      <c r="AB70" s="16">
        <v>0</v>
      </c>
      <c r="AC70" s="16">
        <v>2.0560990440000002</v>
      </c>
      <c r="AD70" s="95">
        <v>4.9268687291000006</v>
      </c>
    </row>
    <row r="71" spans="3:30" x14ac:dyDescent="0.25">
      <c r="C71" s="149" t="s">
        <v>25</v>
      </c>
      <c r="D71" t="s">
        <v>418</v>
      </c>
      <c r="E71" t="s">
        <v>419</v>
      </c>
      <c r="F71" t="s">
        <v>420</v>
      </c>
      <c r="G71" t="s">
        <v>421</v>
      </c>
      <c r="H71" s="16">
        <f>VLOOKUP(D71,Résultats!$B$2:$AX$476,'T energie vecteurs'!N5,FALSE)</f>
        <v>0</v>
      </c>
      <c r="I71" s="16">
        <f>VLOOKUP(E71,Résultats!$B$2:$AX$476,'T energie vecteurs'!N5,FALSE)</f>
        <v>2.4879314739999998</v>
      </c>
      <c r="J71" s="16">
        <f>VLOOKUP(F71,Résultats!$B$2:$AX$476,'T energie vecteurs'!N5,FALSE)</f>
        <v>0.33744006380000002</v>
      </c>
      <c r="K71" s="16">
        <f>VLOOKUP(G71,Résultats!$B$2:$AX$476,'T energie vecteurs'!N5,FALSE)</f>
        <v>0.41658401010000001</v>
      </c>
      <c r="L71" s="95">
        <f t="shared" si="16"/>
        <v>3.2419555479</v>
      </c>
      <c r="M71" s="16"/>
      <c r="N71" s="150" t="s">
        <v>25</v>
      </c>
      <c r="O71" s="29">
        <f>'[2]Bilan 2025 AMS'!$T$46/11.63</f>
        <v>0</v>
      </c>
      <c r="P71" s="28">
        <f>SUM('[2]Bilan 2025 AMS'!$T$41:$T$43)/11.63</f>
        <v>3.2326282830038102</v>
      </c>
      <c r="Q71" s="28">
        <f>'[2]Bilan 2025 AMS'!$T$13/11.63</f>
        <v>0.62874107832713355</v>
      </c>
      <c r="R71" s="28">
        <f>('[2]Bilan 2025 AMS'!$T$22+'[2]Bilan 2025 AMS'!$T$30+SUM('[2]Bilan 2025 AMS'!$T$36:$T$40)+SUM('[2]Bilan 2025 AMS'!$T$44:$T$45)+'[2]Bilan 2025 AMS'!$T$47)/11.63</f>
        <v>0.4197869333337978</v>
      </c>
      <c r="S71" s="142">
        <f t="shared" si="17"/>
        <v>4.2811562946647417</v>
      </c>
      <c r="T71" s="16"/>
      <c r="U71" s="149" t="s">
        <v>25</v>
      </c>
      <c r="V71" t="s">
        <v>418</v>
      </c>
      <c r="W71" t="s">
        <v>419</v>
      </c>
      <c r="X71" t="s">
        <v>420</v>
      </c>
      <c r="Y71" t="s">
        <v>421</v>
      </c>
      <c r="Z71" s="16">
        <v>0</v>
      </c>
      <c r="AA71" s="16">
        <v>2.4842389329999999</v>
      </c>
      <c r="AB71" s="16">
        <v>0.33663425920000001</v>
      </c>
      <c r="AC71" s="16">
        <v>0.41638193080000002</v>
      </c>
      <c r="AD71" s="95">
        <v>3.2372551229999997</v>
      </c>
    </row>
    <row r="72" spans="3:30" x14ac:dyDescent="0.25">
      <c r="C72" s="23" t="s">
        <v>26</v>
      </c>
      <c r="D72" s="10"/>
      <c r="E72" s="10"/>
      <c r="F72" s="10"/>
      <c r="G72" s="10"/>
      <c r="H72" s="9">
        <f>SUM(H63,H66:H68)</f>
        <v>2.5500612900999999</v>
      </c>
      <c r="I72" s="9">
        <f>SUM(I63,I66:I68)</f>
        <v>59.835794686</v>
      </c>
      <c r="J72" s="9">
        <f>SUM(J63,J66:J68)</f>
        <v>42.182998993300004</v>
      </c>
      <c r="K72" s="9">
        <f>SUM(K63,K66:K68)</f>
        <v>49.858277818950597</v>
      </c>
      <c r="L72" s="98">
        <f t="shared" si="16"/>
        <v>154.4271327883506</v>
      </c>
      <c r="M72" s="79"/>
      <c r="N72" s="151" t="s">
        <v>26</v>
      </c>
      <c r="O72" s="32">
        <f>O63+O66+O67+O68+O71</f>
        <v>3.798785579103078</v>
      </c>
      <c r="P72" s="31">
        <f>P63+P66+P67+P68+P71</f>
        <v>59.096379906251379</v>
      </c>
      <c r="Q72" s="31">
        <f>Q63+Q66+Q67+Q68+Q71</f>
        <v>38.4897235570022</v>
      </c>
      <c r="R72" s="31">
        <f>R63+R66+R67+R68+R71</f>
        <v>46.34147894184872</v>
      </c>
      <c r="S72" s="144">
        <f t="shared" si="17"/>
        <v>147.72636798420538</v>
      </c>
      <c r="T72" s="79"/>
      <c r="U72" s="23" t="s">
        <v>26</v>
      </c>
      <c r="V72" s="10"/>
      <c r="W72" s="10"/>
      <c r="X72" s="10"/>
      <c r="Y72" s="10"/>
      <c r="Z72" s="9">
        <v>2.5306066144999999</v>
      </c>
      <c r="AA72" s="9">
        <v>59.447781304999992</v>
      </c>
      <c r="AB72" s="9">
        <v>42.212428816200003</v>
      </c>
      <c r="AC72" s="9">
        <v>49.195868503803808</v>
      </c>
      <c r="AD72" s="98">
        <v>153.38668523950381</v>
      </c>
    </row>
    <row r="73" spans="3:30" s="3" customFormat="1" x14ac:dyDescent="0.25">
      <c r="H73" s="45"/>
      <c r="I73" s="45"/>
      <c r="J73" s="45"/>
      <c r="K73" s="45"/>
      <c r="L73" s="45"/>
      <c r="M73" s="45"/>
      <c r="N73" s="45"/>
      <c r="O73" s="77"/>
      <c r="P73" s="77"/>
      <c r="Q73" s="77"/>
      <c r="R73" s="78"/>
      <c r="S73" s="45"/>
      <c r="T73" s="45"/>
      <c r="Z73" s="45"/>
      <c r="AA73" s="45"/>
      <c r="AB73" s="45"/>
      <c r="AC73" s="45"/>
      <c r="AD73" s="45"/>
    </row>
    <row r="74" spans="3:30" s="3" customFormat="1" x14ac:dyDescent="0.25"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Z74" s="45"/>
      <c r="AA74" s="45"/>
      <c r="AB74" s="45"/>
      <c r="AC74" s="45"/>
      <c r="AD74" s="45"/>
    </row>
    <row r="75" spans="3:30" ht="31.5" x14ac:dyDescent="0.35">
      <c r="C75" s="145">
        <v>2030</v>
      </c>
      <c r="D75" s="146"/>
      <c r="E75" s="146"/>
      <c r="F75" s="146"/>
      <c r="G75" s="146"/>
      <c r="H75" s="76" t="s">
        <v>36</v>
      </c>
      <c r="I75" s="76" t="s">
        <v>49</v>
      </c>
      <c r="J75" s="76" t="s">
        <v>38</v>
      </c>
      <c r="K75" s="76" t="s">
        <v>48</v>
      </c>
      <c r="L75" s="93" t="s">
        <v>1</v>
      </c>
      <c r="M75" s="19"/>
      <c r="N75" s="145">
        <v>2030</v>
      </c>
      <c r="O75" s="141" t="s">
        <v>36</v>
      </c>
      <c r="P75" s="76" t="s">
        <v>49</v>
      </c>
      <c r="Q75" s="76" t="s">
        <v>38</v>
      </c>
      <c r="R75" s="76" t="s">
        <v>48</v>
      </c>
      <c r="S75" s="93" t="s">
        <v>1</v>
      </c>
      <c r="T75" s="19"/>
      <c r="U75" s="145">
        <v>2030</v>
      </c>
      <c r="V75" s="146"/>
      <c r="W75" s="146"/>
      <c r="X75" s="146"/>
      <c r="Y75" s="146"/>
      <c r="Z75" s="76" t="s">
        <v>36</v>
      </c>
      <c r="AA75" s="76" t="s">
        <v>49</v>
      </c>
      <c r="AB75" s="76" t="s">
        <v>38</v>
      </c>
      <c r="AC75" s="76" t="s">
        <v>48</v>
      </c>
      <c r="AD75" s="93" t="s">
        <v>1</v>
      </c>
    </row>
    <row r="76" spans="3:30" x14ac:dyDescent="0.25">
      <c r="C76" s="147" t="s">
        <v>18</v>
      </c>
      <c r="H76" s="8">
        <f>SUM(H77:H78)</f>
        <v>0</v>
      </c>
      <c r="I76" s="8">
        <f>SUM(I77:I78)</f>
        <v>36.389045899999999</v>
      </c>
      <c r="J76" s="8">
        <f>SUM(J77:J78)</f>
        <v>3.1510008863999999</v>
      </c>
      <c r="K76" s="8">
        <f>SUM(K77:K78)</f>
        <v>0.67087559124630003</v>
      </c>
      <c r="L76" s="96">
        <f>SUM(H76:K76)</f>
        <v>40.210922377646298</v>
      </c>
      <c r="M76" s="75"/>
      <c r="N76" s="150" t="s">
        <v>18</v>
      </c>
      <c r="O76" s="29">
        <f>'[2]Bilan 2030 AMS'!$X$46/11.63</f>
        <v>0</v>
      </c>
      <c r="P76" s="28">
        <f>SUM('[2]Bilan 2030 AMS'!$X$41:$X$43)/11.63</f>
        <v>30.491818068685557</v>
      </c>
      <c r="Q76" s="28">
        <f>'[2]Bilan 2030 AMS'!$X$13/11.63</f>
        <v>2.8914417551290033</v>
      </c>
      <c r="R76" s="28">
        <f>('[2]Bilan 2030 AMS'!$X$22+'[2]Bilan 2030 AMS'!$X$30+SUM('[2]Bilan 2030 AMS'!$X$36:$X$40)+SUM('[2]Bilan 2030 AMS'!$X$44:$X$45)+'[2]Bilan 2030 AMS'!$X$47)/11.63</f>
        <v>0.65268777688992008</v>
      </c>
      <c r="S76" s="142">
        <f>SUM(O76:R76)</f>
        <v>34.035947600704482</v>
      </c>
      <c r="T76" s="270"/>
      <c r="U76" s="147" t="s">
        <v>18</v>
      </c>
      <c r="Z76" s="8">
        <v>0</v>
      </c>
      <c r="AA76" s="8">
        <v>36.33904716</v>
      </c>
      <c r="AB76" s="8">
        <v>3.1449792724999996</v>
      </c>
      <c r="AC76" s="8">
        <v>0.66962199216160001</v>
      </c>
      <c r="AD76" s="96">
        <v>40.153648424661604</v>
      </c>
    </row>
    <row r="77" spans="3:30" x14ac:dyDescent="0.25">
      <c r="C77" s="148" t="s">
        <v>19</v>
      </c>
      <c r="D77" t="s">
        <v>394</v>
      </c>
      <c r="E77" t="s">
        <v>395</v>
      </c>
      <c r="F77" t="s">
        <v>396</v>
      </c>
      <c r="G77" t="s">
        <v>397</v>
      </c>
      <c r="H77" s="16">
        <f>VLOOKUP(D77,Résultats!$B$2:$AX$476,'T energie vecteurs'!S5,FALSE)</f>
        <v>0</v>
      </c>
      <c r="I77" s="16">
        <f>VLOOKUP(E77,Résultats!$B$2:$AX$476,'T energie vecteurs'!S5,FALSE)</f>
        <v>18.318548929999999</v>
      </c>
      <c r="J77" s="16">
        <f>VLOOKUP(F77,Résultats!$B$2:$AX$476,'T energie vecteurs'!S5,FALSE)</f>
        <v>0.84177387540000004</v>
      </c>
      <c r="K77" s="16">
        <f>VLOOKUP(G77,Résultats!$B$2:$AX$476,'T energie vecteurs'!S5,FALSE)</f>
        <v>2.72568463E-5</v>
      </c>
      <c r="L77" s="95">
        <f t="shared" ref="L77:L84" si="19">SUM(H77:K77)</f>
        <v>19.160350062246298</v>
      </c>
      <c r="M77" s="16"/>
      <c r="N77" s="148" t="s">
        <v>19</v>
      </c>
      <c r="O77" s="143"/>
      <c r="P77" s="16"/>
      <c r="Q77" s="34"/>
      <c r="R77" s="16"/>
      <c r="S77" s="95"/>
      <c r="T77" s="270"/>
      <c r="U77" s="148" t="s">
        <v>19</v>
      </c>
      <c r="V77" t="s">
        <v>394</v>
      </c>
      <c r="W77" t="s">
        <v>395</v>
      </c>
      <c r="X77" t="s">
        <v>396</v>
      </c>
      <c r="Y77" t="s">
        <v>397</v>
      </c>
      <c r="Z77" s="16">
        <v>0</v>
      </c>
      <c r="AA77" s="16">
        <v>18.308015090000001</v>
      </c>
      <c r="AB77" s="16">
        <v>0.84039515249999996</v>
      </c>
      <c r="AC77" s="16">
        <v>2.71954616E-5</v>
      </c>
      <c r="AD77" s="95">
        <v>19.148437437961601</v>
      </c>
    </row>
    <row r="78" spans="3:30" x14ac:dyDescent="0.25">
      <c r="C78" s="149" t="s">
        <v>20</v>
      </c>
      <c r="D78" t="s">
        <v>398</v>
      </c>
      <c r="E78" t="s">
        <v>399</v>
      </c>
      <c r="F78" t="s">
        <v>400</v>
      </c>
      <c r="G78" t="s">
        <v>401</v>
      </c>
      <c r="H78" s="16">
        <f>VLOOKUP(D78,Résultats!$B$2:$AX$476,'T energie vecteurs'!S5,FALSE)</f>
        <v>0</v>
      </c>
      <c r="I78" s="16">
        <f>VLOOKUP(E78,Résultats!$B$2:$AX$476,'T energie vecteurs'!S5,FALSE)</f>
        <v>18.070496970000001</v>
      </c>
      <c r="J78" s="16">
        <f>VLOOKUP(F78,Résultats!$B$2:$AX$476,'T energie vecteurs'!S5,FALSE)</f>
        <v>2.3092270109999999</v>
      </c>
      <c r="K78" s="16">
        <f>VLOOKUP(G78,Résultats!$B$2:$AX$476,'T energie vecteurs'!S5,FALSE)</f>
        <v>0.67084833440000002</v>
      </c>
      <c r="L78" s="95">
        <f t="shared" si="19"/>
        <v>21.0505723154</v>
      </c>
      <c r="M78" s="16"/>
      <c r="N78" s="149" t="s">
        <v>20</v>
      </c>
      <c r="O78" s="143"/>
      <c r="P78" s="16"/>
      <c r="Q78" s="34"/>
      <c r="R78" s="16"/>
      <c r="S78" s="95"/>
      <c r="T78" s="270"/>
      <c r="U78" s="149" t="s">
        <v>20</v>
      </c>
      <c r="V78" t="s">
        <v>398</v>
      </c>
      <c r="W78" t="s">
        <v>399</v>
      </c>
      <c r="X78" t="s">
        <v>400</v>
      </c>
      <c r="Y78" t="s">
        <v>401</v>
      </c>
      <c r="Z78" s="16">
        <v>0</v>
      </c>
      <c r="AA78" s="16">
        <v>18.031032069999998</v>
      </c>
      <c r="AB78" s="16">
        <v>2.3045841199999999</v>
      </c>
      <c r="AC78" s="16">
        <v>0.66959479669999999</v>
      </c>
      <c r="AD78" s="95">
        <v>21.0052109867</v>
      </c>
    </row>
    <row r="79" spans="3:30" x14ac:dyDescent="0.25">
      <c r="C79" s="147" t="s">
        <v>21</v>
      </c>
      <c r="D79" t="s">
        <v>402</v>
      </c>
      <c r="E79" t="s">
        <v>403</v>
      </c>
      <c r="F79" t="s">
        <v>404</v>
      </c>
      <c r="G79" t="s">
        <v>405</v>
      </c>
      <c r="H79" s="8">
        <f>VLOOKUP(D79,Résultats!$B$2:$AX$476,'T energie vecteurs'!S5,FALSE)</f>
        <v>0.23478648969999999</v>
      </c>
      <c r="I79" s="294">
        <f>VLOOKUP(E79,Résultats!$B$2:$AX$476,'T energie vecteurs'!S5,FALSE)</f>
        <v>4.8481705870000003</v>
      </c>
      <c r="J79" s="8">
        <f>VLOOKUP(F79,Résultats!$B$2:$AX$476,'T energie vecteurs'!S5,FALSE)</f>
        <v>14.68863019</v>
      </c>
      <c r="K79" s="8">
        <f>VLOOKUP(G79,Résultats!$B$2:$AX$476,'T energie vecteurs'!S5,FALSE)+8</f>
        <v>22.688878510000002</v>
      </c>
      <c r="L79" s="96">
        <f>SUM(H79:K79)</f>
        <v>42.460465776700005</v>
      </c>
      <c r="M79" s="75"/>
      <c r="N79" s="150" t="s">
        <v>21</v>
      </c>
      <c r="O79" s="29">
        <f>'[2]Bilan 2030 AMS'!$V$46/11.63</f>
        <v>0</v>
      </c>
      <c r="P79" s="28">
        <f>SUM('[2]Bilan 2030 AMS'!$V$41:$V$43)/11.63</f>
        <v>0.62652374102192576</v>
      </c>
      <c r="Q79" s="28">
        <f>'[2]Bilan 2030 AMS'!$V$13/11.63</f>
        <v>14.530979395924851</v>
      </c>
      <c r="R79" s="28">
        <f>('[2]Bilan 2030 AMS'!$V$22+'[2]Bilan 2030 AMS'!$V$30+SUM('[2]Bilan 2030 AMS'!$V$36:$V$40)+SUM('[2]Bilan 2030 AMS'!$V$44:$V$45)+'[2]Bilan 2030 AMS'!$V$47)/11.63</f>
        <v>20.153654675853421</v>
      </c>
      <c r="S79" s="142">
        <f t="shared" ref="S79:S85" si="20">SUM(O79:R79)</f>
        <v>35.311157812800197</v>
      </c>
      <c r="T79" s="270"/>
      <c r="U79" s="147" t="s">
        <v>21</v>
      </c>
      <c r="V79" t="s">
        <v>402</v>
      </c>
      <c r="W79" t="s">
        <v>403</v>
      </c>
      <c r="X79" t="s">
        <v>404</v>
      </c>
      <c r="Y79" t="s">
        <v>405</v>
      </c>
      <c r="Z79" s="8">
        <v>0.23261861340000001</v>
      </c>
      <c r="AA79" s="294">
        <v>4.5282255229999997</v>
      </c>
      <c r="AB79" s="8">
        <v>14.844787999999999</v>
      </c>
      <c r="AC79" s="8">
        <v>22.29439202</v>
      </c>
      <c r="AD79" s="96">
        <v>41.900024156399994</v>
      </c>
    </row>
    <row r="80" spans="3:30" x14ac:dyDescent="0.25">
      <c r="C80" s="147" t="s">
        <v>22</v>
      </c>
      <c r="D80" t="s">
        <v>406</v>
      </c>
      <c r="E80" t="s">
        <v>407</v>
      </c>
      <c r="F80" t="s">
        <v>408</v>
      </c>
      <c r="G80" t="s">
        <v>409</v>
      </c>
      <c r="H80" s="8">
        <f>VLOOKUP(D80,Résultats!$B$2:$AX$476,'T energie vecteurs'!S5,FALSE)</f>
        <v>0</v>
      </c>
      <c r="I80" s="8">
        <f>VLOOKUP(E80,Résultats!$B$2:$AX$476,'T energie vecteurs'!S5,FALSE)</f>
        <v>1.3836594250000001</v>
      </c>
      <c r="J80" s="8">
        <f>VLOOKUP(F80,Résultats!$B$2:$AX$476,'T energie vecteurs'!S5,FALSE)</f>
        <v>9.4554667810000002</v>
      </c>
      <c r="K80" s="8">
        <f>VLOOKUP(G80,Résultats!$B$2:$AX$476,'T energie vecteurs'!S5,FALSE)</f>
        <v>14.28429702</v>
      </c>
      <c r="L80" s="96">
        <f t="shared" si="19"/>
        <v>25.123423226</v>
      </c>
      <c r="M80" s="75"/>
      <c r="N80" s="150" t="s">
        <v>22</v>
      </c>
      <c r="O80" s="29">
        <f>('[2]Bilan 2030 AMS'!$W$46)/11.63</f>
        <v>0</v>
      </c>
      <c r="P80" s="28">
        <f>SUM('[2]Bilan 2030 AMS'!$W$41:$W$43)/11.63</f>
        <v>0.33746613619592225</v>
      </c>
      <c r="Q80" s="28">
        <f>('[2]Bilan 2030 AMS'!$W$13)/11.63</f>
        <v>10.35411932416091</v>
      </c>
      <c r="R80" s="28">
        <f>('[2]Bilan 2030 AMS'!$W$22+'[2]Bilan 2030 AMS'!$W$30+SUM('[2]Bilan 2030 AMS'!$W$36:$W$40)+SUM('[2]Bilan 2030 AMS'!$W$44:$W$45)+'[2]Bilan 2030 AMS'!$W$47)/11.63</f>
        <v>8.8144475097741068</v>
      </c>
      <c r="S80" s="142">
        <f t="shared" si="20"/>
        <v>19.506032970130939</v>
      </c>
      <c r="T80" s="270"/>
      <c r="U80" s="147" t="s">
        <v>22</v>
      </c>
      <c r="V80" t="s">
        <v>406</v>
      </c>
      <c r="W80" t="s">
        <v>407</v>
      </c>
      <c r="X80" t="s">
        <v>408</v>
      </c>
      <c r="Y80" t="s">
        <v>409</v>
      </c>
      <c r="Z80" s="8">
        <v>0</v>
      </c>
      <c r="AA80" s="8">
        <v>1.381675473</v>
      </c>
      <c r="AB80" s="8">
        <v>9.4420622400000003</v>
      </c>
      <c r="AC80" s="8">
        <v>14.312370469999999</v>
      </c>
      <c r="AD80" s="96">
        <v>25.136108182999997</v>
      </c>
    </row>
    <row r="81" spans="2:30" x14ac:dyDescent="0.25">
      <c r="C81" s="147" t="s">
        <v>23</v>
      </c>
      <c r="H81" s="8">
        <f>SUM(H82:H84)</f>
        <v>1.8528318155000001</v>
      </c>
      <c r="I81" s="8">
        <f>SUM(I82:I84)</f>
        <v>9.4153060929999999</v>
      </c>
      <c r="J81" s="8">
        <f>SUM(J82:J84)</f>
        <v>17.424193431000003</v>
      </c>
      <c r="K81" s="8">
        <f>SUM(K82:K84)</f>
        <v>8.4434301159</v>
      </c>
      <c r="L81" s="96">
        <f t="shared" si="19"/>
        <v>37.135761455400001</v>
      </c>
      <c r="M81" s="75"/>
      <c r="N81" s="150" t="s">
        <v>490</v>
      </c>
      <c r="O81" s="29">
        <f>O82+O83</f>
        <v>2.0127593650238067</v>
      </c>
      <c r="P81" s="28">
        <f t="shared" ref="P81:R81" si="21">P82+P83</f>
        <v>12.377492485503554</v>
      </c>
      <c r="Q81" s="28">
        <f t="shared" si="21"/>
        <v>12.982018088212522</v>
      </c>
      <c r="R81" s="28">
        <f t="shared" si="21"/>
        <v>14.480696516029912</v>
      </c>
      <c r="S81" s="142">
        <f t="shared" si="20"/>
        <v>41.852966454769799</v>
      </c>
      <c r="T81" s="270"/>
      <c r="U81" s="147" t="s">
        <v>23</v>
      </c>
      <c r="Z81" s="8">
        <v>1.8472781841999999</v>
      </c>
      <c r="AA81" s="8">
        <v>9.3839647250000002</v>
      </c>
      <c r="AB81" s="8">
        <v>17.3607147978</v>
      </c>
      <c r="AC81" s="8">
        <v>8.4263232433999988</v>
      </c>
      <c r="AD81" s="96">
        <v>37.018280950399998</v>
      </c>
    </row>
    <row r="82" spans="2:30" x14ac:dyDescent="0.25">
      <c r="C82" s="149" t="s">
        <v>24</v>
      </c>
      <c r="D82" t="s">
        <v>410</v>
      </c>
      <c r="E82" t="s">
        <v>411</v>
      </c>
      <c r="F82" t="s">
        <v>412</v>
      </c>
      <c r="G82" t="s">
        <v>413</v>
      </c>
      <c r="H82" s="16">
        <f>VLOOKUP(D82,Résultats!$B$2:$AX$476,'T energie vecteurs'!S5,FALSE)</f>
        <v>0.97121677039999998</v>
      </c>
      <c r="I82" s="16">
        <f>VLOOKUP(E82,Résultats!$B$2:$AX$476,'T energie vecteurs'!S5,FALSE)</f>
        <v>4.6301262919999999</v>
      </c>
      <c r="J82" s="16">
        <f>VLOOKUP(F82,Résultats!$B$2:$AX$476,'T energie vecteurs'!S5,FALSE)</f>
        <v>17.075497890000001</v>
      </c>
      <c r="K82" s="16">
        <f>VLOOKUP(G82,Résultats!$B$2:$AX$476,'T energie vecteurs'!S5,FALSE)</f>
        <v>5.9657452629999996</v>
      </c>
      <c r="L82" s="95">
        <f t="shared" si="19"/>
        <v>28.642586215399998</v>
      </c>
      <c r="M82" s="16"/>
      <c r="N82" s="149" t="s">
        <v>491</v>
      </c>
      <c r="O82" s="143">
        <f>'[2]Bilan 2030 AMS'!$U$46/11.63</f>
        <v>0.29026672912795559</v>
      </c>
      <c r="P82" s="30">
        <f>SUM('[2]Bilan 2030 AMS'!$U$41:$U$43)/11.63</f>
        <v>1.2075144976423513</v>
      </c>
      <c r="Q82" s="30">
        <f>'[2]Bilan 2030 AMS'!$U$13/11.63</f>
        <v>12.982018088212522</v>
      </c>
      <c r="R82" s="30">
        <f>('[2]Bilan 2030 AMS'!$U$22+'[2]Bilan 2030 AMS'!$U$30+SUM('[2]Bilan 2030 AMS'!$U$36:$U$40)+SUM('[2]Bilan 2030 AMS'!$U$44:$U$45)+'[2]Bilan 2030 AMS'!$U$47)/11.63</f>
        <v>13.044479402489532</v>
      </c>
      <c r="S82" s="95">
        <f t="shared" si="20"/>
        <v>27.524278717472363</v>
      </c>
      <c r="T82" s="270"/>
      <c r="U82" s="149" t="s">
        <v>24</v>
      </c>
      <c r="V82" t="s">
        <v>410</v>
      </c>
      <c r="W82" t="s">
        <v>411</v>
      </c>
      <c r="X82" t="s">
        <v>412</v>
      </c>
      <c r="Y82" t="s">
        <v>413</v>
      </c>
      <c r="Z82" s="16">
        <v>0.96915804729999999</v>
      </c>
      <c r="AA82" s="16">
        <v>4.6034723829999997</v>
      </c>
      <c r="AB82" s="16">
        <v>17.012824340000002</v>
      </c>
      <c r="AC82" s="16">
        <v>5.9483764409999997</v>
      </c>
      <c r="AD82" s="95">
        <v>28.533831211300001</v>
      </c>
    </row>
    <row r="83" spans="2:30" x14ac:dyDescent="0.25">
      <c r="C83" s="149" t="s">
        <v>47</v>
      </c>
      <c r="D83" t="s">
        <v>414</v>
      </c>
      <c r="E83" t="s">
        <v>415</v>
      </c>
      <c r="F83" t="s">
        <v>416</v>
      </c>
      <c r="G83" t="s">
        <v>417</v>
      </c>
      <c r="H83" s="16">
        <f>VLOOKUP(D83,Résultats!$B$2:$AX$476,'T energie vecteurs'!S5,FALSE)</f>
        <v>0.88161504509999999</v>
      </c>
      <c r="I83" s="16">
        <f>VLOOKUP(E83,Résultats!$B$2:$AX$476,'T energie vecteurs'!S5,FALSE)</f>
        <v>2.0984882140000001</v>
      </c>
      <c r="J83" s="16">
        <f>VLOOKUP(F83,Résultats!$B$2:$AX$476,'T energie vecteurs'!S5,FALSE)</f>
        <v>0</v>
      </c>
      <c r="K83" s="16">
        <f>VLOOKUP(G83,Résultats!$B$2:$AX$476,'T energie vecteurs'!S5,FALSE)</f>
        <v>2.0326330509999999</v>
      </c>
      <c r="L83" s="95">
        <f>SUM(H83:K83)</f>
        <v>5.0127363100999993</v>
      </c>
      <c r="M83" s="16"/>
      <c r="N83" s="149" t="s">
        <v>47</v>
      </c>
      <c r="O83" s="22">
        <f>'[2]Bilan 2030 AMS'!$E$52/11.63</f>
        <v>1.7224926358958512</v>
      </c>
      <c r="P83" s="16">
        <f>('[2]Bilan 2030 AMS'!$E$54+'[2]Bilan 2030 AMS'!$E$56)/11.63</f>
        <v>11.169977987861202</v>
      </c>
      <c r="Q83" s="16">
        <v>0</v>
      </c>
      <c r="R83" s="16">
        <f>('[2]Bilan 2030 AMS'!$E$53+'[2]Bilan 2030 AMS'!$E$55+'[2]Bilan 2030 AMS'!$E$57)/11.63</f>
        <v>1.4362171135403794</v>
      </c>
      <c r="S83" s="95">
        <f t="shared" si="20"/>
        <v>14.328687737297432</v>
      </c>
      <c r="T83" s="270"/>
      <c r="U83" s="149" t="s">
        <v>47</v>
      </c>
      <c r="V83" t="s">
        <v>414</v>
      </c>
      <c r="W83" t="s">
        <v>415</v>
      </c>
      <c r="X83" t="s">
        <v>416</v>
      </c>
      <c r="Y83" t="s">
        <v>417</v>
      </c>
      <c r="Z83" s="16">
        <v>0.87812013690000001</v>
      </c>
      <c r="AA83" s="16">
        <v>2.097893419</v>
      </c>
      <c r="AB83" s="16">
        <v>0</v>
      </c>
      <c r="AC83" s="16">
        <v>2.0329833019999999</v>
      </c>
      <c r="AD83" s="95">
        <v>5.0089968578999997</v>
      </c>
    </row>
    <row r="84" spans="2:30" x14ac:dyDescent="0.25">
      <c r="C84" s="149" t="s">
        <v>25</v>
      </c>
      <c r="D84" t="s">
        <v>418</v>
      </c>
      <c r="E84" t="s">
        <v>419</v>
      </c>
      <c r="F84" t="s">
        <v>420</v>
      </c>
      <c r="G84" t="s">
        <v>421</v>
      </c>
      <c r="H84" s="16">
        <f>VLOOKUP(D84,Résultats!$B$2:$AX$476,'T energie vecteurs'!S5,FALSE)</f>
        <v>0</v>
      </c>
      <c r="I84" s="16">
        <f>VLOOKUP(E84,Résultats!$B$2:$AX$476,'T energie vecteurs'!S5,FALSE)</f>
        <v>2.6866915869999999</v>
      </c>
      <c r="J84" s="16">
        <f>VLOOKUP(F84,Résultats!$B$2:$AX$476,'T energie vecteurs'!S5,FALSE)</f>
        <v>0.348695541</v>
      </c>
      <c r="K84" s="16">
        <f>VLOOKUP(G84,Résultats!$B$2:$AX$476,'T energie vecteurs'!S5,FALSE)</f>
        <v>0.44505180189999999</v>
      </c>
      <c r="L84" s="95">
        <f t="shared" si="19"/>
        <v>3.4804389299</v>
      </c>
      <c r="M84" s="16"/>
      <c r="N84" s="150" t="s">
        <v>25</v>
      </c>
      <c r="O84" s="29">
        <f>'[2]Bilan 2030 AMS'!$T$46/11.63</f>
        <v>0</v>
      </c>
      <c r="P84" s="28">
        <f>SUM('[2]Bilan 2030 AMS'!$T$41:$T$43)/11.63</f>
        <v>3.0169333905477389</v>
      </c>
      <c r="Q84" s="28">
        <f>'[2]Bilan 2030 AMS'!$T$13/11.63</f>
        <v>0.58880477108504814</v>
      </c>
      <c r="R84" s="28">
        <f>('[2]Bilan 2030 AMS'!$T$22+'[2]Bilan 2030 AMS'!$T$30+SUM('[2]Bilan 2030 AMS'!$T$36:$T$40)+SUM('[2]Bilan 2030 AMS'!$T$44:$T$45)+'[2]Bilan 2030 AMS'!$T$47)/11.63</f>
        <v>0.50098804851089418</v>
      </c>
      <c r="S84" s="142">
        <f t="shared" si="20"/>
        <v>4.1067262101436812</v>
      </c>
      <c r="T84" s="270"/>
      <c r="U84" s="149" t="s">
        <v>25</v>
      </c>
      <c r="V84" t="s">
        <v>418</v>
      </c>
      <c r="W84" t="s">
        <v>419</v>
      </c>
      <c r="X84" t="s">
        <v>420</v>
      </c>
      <c r="Y84" t="s">
        <v>421</v>
      </c>
      <c r="Z84" s="16">
        <v>0</v>
      </c>
      <c r="AA84" s="16">
        <v>2.682598923</v>
      </c>
      <c r="AB84" s="16">
        <v>0.3478904578</v>
      </c>
      <c r="AC84" s="16">
        <v>0.44496350039999999</v>
      </c>
      <c r="AD84" s="95">
        <v>3.4754528812000003</v>
      </c>
    </row>
    <row r="85" spans="2:30" x14ac:dyDescent="0.25">
      <c r="C85" s="23" t="s">
        <v>26</v>
      </c>
      <c r="D85" s="10"/>
      <c r="E85" s="10"/>
      <c r="F85" s="10"/>
      <c r="G85" s="10"/>
      <c r="H85" s="9">
        <f>SUM(H76,H79:H81)</f>
        <v>2.0876183051999999</v>
      </c>
      <c r="I85" s="9">
        <f>SUM(I76,I79:I81)</f>
        <v>52.036182004999993</v>
      </c>
      <c r="J85" s="9">
        <f>SUM(J76,J79:J81)</f>
        <v>44.719291288400001</v>
      </c>
      <c r="K85" s="9">
        <f>SUM(K76,K79:K81)</f>
        <v>46.087481237146307</v>
      </c>
      <c r="L85" s="98">
        <f>SUM(H85:K85)</f>
        <v>144.93057283574632</v>
      </c>
      <c r="M85" s="79"/>
      <c r="N85" s="151" t="s">
        <v>26</v>
      </c>
      <c r="O85" s="32">
        <f>O76+O79+O80+O81+O84</f>
        <v>2.0127593650238067</v>
      </c>
      <c r="P85" s="31">
        <f>P76+P79+P80+P81+P84</f>
        <v>46.850233821954703</v>
      </c>
      <c r="Q85" s="31">
        <f>Q76+Q79+Q80+Q81+Q84</f>
        <v>41.347363334512337</v>
      </c>
      <c r="R85" s="31">
        <f>R76+R79+R80+R81+R84</f>
        <v>44.602474527058249</v>
      </c>
      <c r="S85" s="144">
        <f t="shared" si="20"/>
        <v>134.81283104854907</v>
      </c>
      <c r="T85" s="79"/>
      <c r="U85" s="23" t="s">
        <v>26</v>
      </c>
      <c r="V85" s="10"/>
      <c r="W85" s="10"/>
      <c r="X85" s="10"/>
      <c r="Y85" s="10"/>
      <c r="Z85" s="9">
        <v>2.0798967976</v>
      </c>
      <c r="AA85" s="9">
        <v>51.632912880999996</v>
      </c>
      <c r="AB85" s="9">
        <v>44.792544310300002</v>
      </c>
      <c r="AC85" s="9">
        <v>45.702707725561595</v>
      </c>
      <c r="AD85" s="98">
        <v>144.20806171446159</v>
      </c>
    </row>
    <row r="86" spans="2:30" s="3" customFormat="1" x14ac:dyDescent="0.25">
      <c r="O86" s="77"/>
      <c r="P86" s="77"/>
      <c r="Q86" s="77"/>
      <c r="R86" s="78"/>
      <c r="S86" s="45"/>
    </row>
    <row r="87" spans="2:30" s="3" customFormat="1" x14ac:dyDescent="0.25">
      <c r="B87" s="60"/>
      <c r="K87" s="47"/>
      <c r="O87" s="79"/>
      <c r="P87" s="79"/>
      <c r="Q87" s="79"/>
      <c r="R87" s="80"/>
      <c r="S87" s="81"/>
      <c r="AC87" s="47"/>
    </row>
    <row r="88" spans="2:30" s="3" customFormat="1" ht="31.5" x14ac:dyDescent="0.35">
      <c r="B88" s="60"/>
      <c r="C88" s="145">
        <v>2035</v>
      </c>
      <c r="D88" s="146"/>
      <c r="E88" s="146"/>
      <c r="F88" s="146"/>
      <c r="G88" s="146"/>
      <c r="H88" s="76" t="s">
        <v>36</v>
      </c>
      <c r="I88" s="76" t="s">
        <v>49</v>
      </c>
      <c r="J88" s="76" t="s">
        <v>38</v>
      </c>
      <c r="K88" s="76" t="s">
        <v>48</v>
      </c>
      <c r="L88" s="93" t="s">
        <v>1</v>
      </c>
      <c r="N88" s="145">
        <v>2035</v>
      </c>
      <c r="O88" s="141" t="s">
        <v>36</v>
      </c>
      <c r="P88" s="76" t="s">
        <v>49</v>
      </c>
      <c r="Q88" s="76" t="s">
        <v>38</v>
      </c>
      <c r="R88" s="76" t="s">
        <v>48</v>
      </c>
      <c r="S88" s="93" t="s">
        <v>1</v>
      </c>
      <c r="U88" s="145">
        <v>2035</v>
      </c>
      <c r="V88" s="146"/>
      <c r="W88" s="146"/>
      <c r="X88" s="146"/>
      <c r="Y88" s="146"/>
      <c r="Z88" s="76" t="s">
        <v>36</v>
      </c>
      <c r="AA88" s="76" t="s">
        <v>49</v>
      </c>
      <c r="AB88" s="76" t="s">
        <v>38</v>
      </c>
      <c r="AC88" s="76" t="s">
        <v>48</v>
      </c>
      <c r="AD88" s="93" t="s">
        <v>1</v>
      </c>
    </row>
    <row r="89" spans="2:30" s="3" customFormat="1" x14ac:dyDescent="0.25">
      <c r="B89" s="60"/>
      <c r="C89" s="147" t="s">
        <v>18</v>
      </c>
      <c r="D89"/>
      <c r="E89"/>
      <c r="F89"/>
      <c r="G89"/>
      <c r="H89" s="8">
        <f>SUM(H90:H91)</f>
        <v>0</v>
      </c>
      <c r="I89" s="8">
        <f>SUM(I90:I91)</f>
        <v>29.076267389999998</v>
      </c>
      <c r="J89" s="8">
        <f>SUM(J90:J91)</f>
        <v>5.440101351</v>
      </c>
      <c r="K89" s="8">
        <f>SUM(K90:K91)</f>
        <v>1.0140570839060001</v>
      </c>
      <c r="L89" s="96">
        <f t="shared" ref="L89:L98" si="22">SUM(H89:K89)</f>
        <v>35.530425824906004</v>
      </c>
      <c r="N89" s="150" t="s">
        <v>18</v>
      </c>
      <c r="O89" s="29">
        <f>'[2]Bilan 2035 AMS'!$X$46/11.63</f>
        <v>0</v>
      </c>
      <c r="P89" s="28">
        <f>SUM('[2]Bilan 2035 AMS'!$X$41:$X$43)/11.63</f>
        <v>21.382730406719936</v>
      </c>
      <c r="Q89" s="28">
        <f>'[2]Bilan 2035 AMS'!$X$13/11.63</f>
        <v>5.4104030618615928</v>
      </c>
      <c r="R89" s="28">
        <f>('[2]Bilan 2035 AMS'!$X$22+'[2]Bilan 2035 AMS'!$X$30+SUM('[2]Bilan 2035 AMS'!$X$36:$X$40)+SUM('[2]Bilan 2035 AMS'!$X$44:$X$45)+'[2]Bilan 2035 AMS'!$X$47)/11.63</f>
        <v>0.88574894127807591</v>
      </c>
      <c r="S89" s="142">
        <f>SUM(O89:R89)</f>
        <v>27.678882409859607</v>
      </c>
      <c r="U89" s="147" t="s">
        <v>18</v>
      </c>
      <c r="V89"/>
      <c r="W89"/>
      <c r="X89"/>
      <c r="Y89"/>
      <c r="Z89" s="8">
        <v>0</v>
      </c>
      <c r="AA89" s="8">
        <v>29.051365179999998</v>
      </c>
      <c r="AB89" s="8">
        <v>5.434405784</v>
      </c>
      <c r="AC89" s="8">
        <v>1.0129241415729</v>
      </c>
      <c r="AD89" s="96">
        <v>35.498695105572899</v>
      </c>
    </row>
    <row r="90" spans="2:30" s="3" customFormat="1" x14ac:dyDescent="0.25">
      <c r="B90" s="60"/>
      <c r="C90" s="148" t="s">
        <v>19</v>
      </c>
      <c r="D90" t="s">
        <v>394</v>
      </c>
      <c r="E90" t="s">
        <v>395</v>
      </c>
      <c r="F90" t="s">
        <v>396</v>
      </c>
      <c r="G90" t="s">
        <v>397</v>
      </c>
      <c r="H90" s="16">
        <f>VLOOKUP(D90,Résultats!$B$2:$AX$476,'T energie vecteurs'!T5,FALSE)</f>
        <v>0</v>
      </c>
      <c r="I90" s="16">
        <f>VLOOKUP(E90,Résultats!$B$2:$AX$476,'T energie vecteurs'!T5,FALSE)</f>
        <v>13.713617510000001</v>
      </c>
      <c r="J90" s="16">
        <f>VLOOKUP(F90,Résultats!$B$2:$AX$476,'T energie vecteurs'!T5,FALSE)</f>
        <v>1.7483109240000001</v>
      </c>
      <c r="K90" s="16">
        <f>VLOOKUP(G90,Résultats!$B$2:$AX$476,'T energie vecteurs'!T5,FALSE)</f>
        <v>2.1742906000000001E-5</v>
      </c>
      <c r="L90" s="95">
        <f t="shared" si="22"/>
        <v>15.461950176906001</v>
      </c>
      <c r="N90" s="148" t="s">
        <v>19</v>
      </c>
      <c r="O90" s="143"/>
      <c r="P90" s="16"/>
      <c r="Q90" s="34"/>
      <c r="R90" s="16"/>
      <c r="S90" s="95"/>
      <c r="U90" s="148" t="s">
        <v>19</v>
      </c>
      <c r="V90" t="s">
        <v>394</v>
      </c>
      <c r="W90" t="s">
        <v>395</v>
      </c>
      <c r="X90" t="s">
        <v>396</v>
      </c>
      <c r="Y90" t="s">
        <v>397</v>
      </c>
      <c r="Z90" s="16">
        <v>0</v>
      </c>
      <c r="AA90" s="16">
        <v>13.705832129999999</v>
      </c>
      <c r="AB90" s="38">
        <v>1.7469373989999999</v>
      </c>
      <c r="AC90" s="16">
        <v>2.16905729E-5</v>
      </c>
      <c r="AD90" s="95">
        <v>15.4527912195729</v>
      </c>
    </row>
    <row r="91" spans="2:30" s="3" customFormat="1" x14ac:dyDescent="0.25">
      <c r="B91" s="60"/>
      <c r="C91" s="149" t="s">
        <v>20</v>
      </c>
      <c r="D91" t="s">
        <v>398</v>
      </c>
      <c r="E91" t="s">
        <v>399</v>
      </c>
      <c r="F91" t="s">
        <v>400</v>
      </c>
      <c r="G91" t="s">
        <v>401</v>
      </c>
      <c r="H91" s="16">
        <f>VLOOKUP(D91,Résultats!$B$2:$AX$476,'T energie vecteurs'!T5,FALSE)</f>
        <v>0</v>
      </c>
      <c r="I91" s="16">
        <f>VLOOKUP(E91,Résultats!$B$2:$AX$476,'T energie vecteurs'!T5,FALSE)</f>
        <v>15.362649879999999</v>
      </c>
      <c r="J91" s="16">
        <f>VLOOKUP(F91,Résultats!$B$2:$AX$476,'T energie vecteurs'!T5,FALSE)</f>
        <v>3.6917904269999999</v>
      </c>
      <c r="K91" s="16">
        <f>VLOOKUP(G91,Résultats!$B$2:$AX$476,'T energie vecteurs'!T5,FALSE)</f>
        <v>1.014035341</v>
      </c>
      <c r="L91" s="95">
        <f t="shared" si="22"/>
        <v>20.068475648</v>
      </c>
      <c r="N91" s="149" t="s">
        <v>20</v>
      </c>
      <c r="O91" s="143"/>
      <c r="P91" s="16"/>
      <c r="Q91" s="34"/>
      <c r="R91" s="16"/>
      <c r="S91" s="95"/>
      <c r="U91" s="149" t="s">
        <v>20</v>
      </c>
      <c r="V91" t="s">
        <v>398</v>
      </c>
      <c r="W91" t="s">
        <v>399</v>
      </c>
      <c r="X91" t="s">
        <v>400</v>
      </c>
      <c r="Y91" t="s">
        <v>401</v>
      </c>
      <c r="Z91" s="16">
        <v>0</v>
      </c>
      <c r="AA91" s="16">
        <v>15.34553305</v>
      </c>
      <c r="AB91" s="16">
        <v>3.6874683849999998</v>
      </c>
      <c r="AC91" s="16">
        <v>1.012902451</v>
      </c>
      <c r="AD91" s="95">
        <v>20.045903885999998</v>
      </c>
    </row>
    <row r="92" spans="2:30" s="3" customFormat="1" x14ac:dyDescent="0.25">
      <c r="B92" s="60"/>
      <c r="C92" s="147" t="s">
        <v>21</v>
      </c>
      <c r="D92" t="s">
        <v>402</v>
      </c>
      <c r="E92" t="s">
        <v>403</v>
      </c>
      <c r="F92" t="s">
        <v>404</v>
      </c>
      <c r="G92" t="s">
        <v>405</v>
      </c>
      <c r="H92" s="8">
        <f>VLOOKUP(D92,Résultats!$B$2:$AX$476,'T energie vecteurs'!T5,FALSE)</f>
        <v>0.1950066255</v>
      </c>
      <c r="I92" s="294">
        <f>VLOOKUP(E92,Résultats!$B$2:$AX$476,'T energie vecteurs'!T5,FALSE)</f>
        <v>4.1618765680000003</v>
      </c>
      <c r="J92" s="8">
        <f>VLOOKUP(F92,Résultats!$B$2:$AX$476,'T energie vecteurs'!T5,FALSE)</f>
        <v>14.29110281</v>
      </c>
      <c r="K92" s="8">
        <f>VLOOKUP(G92,Résultats!$B$2:$AX$476,'T energie vecteurs'!T5,FALSE)+8</f>
        <v>21.3052627</v>
      </c>
      <c r="L92" s="96">
        <f t="shared" si="22"/>
        <v>39.953248703500002</v>
      </c>
      <c r="N92" s="150" t="s">
        <v>21</v>
      </c>
      <c r="O92" s="29">
        <f>'[2]Bilan 2035 AMS'!$V$46/11.63</f>
        <v>0</v>
      </c>
      <c r="P92" s="28">
        <f>SUM('[2]Bilan 2035 AMS'!$V$41:$V$43)/11.63</f>
        <v>0.26244481999880703</v>
      </c>
      <c r="Q92" s="28">
        <f>'[2]Bilan 2035 AMS'!$V$13/11.63</f>
        <v>13.920813823171006</v>
      </c>
      <c r="R92" s="28">
        <f>('[2]Bilan 2035 AMS'!$V$22+'[2]Bilan 2035 AMS'!$V$30+SUM('[2]Bilan 2035 AMS'!$V$36:$V$40)+SUM('[2]Bilan 2035 AMS'!$V$44:$V$45)+'[2]Bilan 2035 AMS'!$V$47)/11.63</f>
        <v>18.428808856007375</v>
      </c>
      <c r="S92" s="142">
        <f t="shared" ref="S92:S98" si="23">SUM(O92:R92)</f>
        <v>32.612067499177186</v>
      </c>
      <c r="U92" s="147" t="s">
        <v>21</v>
      </c>
      <c r="V92" t="s">
        <v>402</v>
      </c>
      <c r="W92" t="s">
        <v>403</v>
      </c>
      <c r="X92" t="s">
        <v>404</v>
      </c>
      <c r="Y92" t="s">
        <v>405</v>
      </c>
      <c r="Z92" s="8">
        <v>0.20430416800000001</v>
      </c>
      <c r="AA92" s="294">
        <v>3.8930258630000001</v>
      </c>
      <c r="AB92" s="8">
        <v>14.55576143</v>
      </c>
      <c r="AC92" s="8">
        <v>21.255265680000001</v>
      </c>
      <c r="AD92" s="96">
        <v>39.908357141000003</v>
      </c>
    </row>
    <row r="93" spans="2:30" s="3" customFormat="1" x14ac:dyDescent="0.25">
      <c r="B93" s="60"/>
      <c r="C93" s="147" t="s">
        <v>22</v>
      </c>
      <c r="D93" t="s">
        <v>406</v>
      </c>
      <c r="E93" t="s">
        <v>407</v>
      </c>
      <c r="F93" t="s">
        <v>408</v>
      </c>
      <c r="G93" t="s">
        <v>409</v>
      </c>
      <c r="H93" s="8">
        <f>VLOOKUP(D93,Résultats!$B$2:$AX$476,'T energie vecteurs'!T5,FALSE)</f>
        <v>0</v>
      </c>
      <c r="I93" s="8">
        <f>VLOOKUP(E93,Résultats!$B$2:$AX$476,'T energie vecteurs'!T5,FALSE)</f>
        <v>1.360174947</v>
      </c>
      <c r="J93" s="8">
        <f>VLOOKUP(F93,Résultats!$B$2:$AX$476,'T energie vecteurs'!T5,FALSE)</f>
        <v>9.1912816970000009</v>
      </c>
      <c r="K93" s="8">
        <f>VLOOKUP(G93,Résultats!$B$2:$AX$476,'T energie vecteurs'!T5,FALSE)</f>
        <v>13.20339705</v>
      </c>
      <c r="L93" s="96">
        <f t="shared" si="22"/>
        <v>23.754853694000001</v>
      </c>
      <c r="N93" s="150" t="s">
        <v>22</v>
      </c>
      <c r="O93" s="29">
        <f>('[2]Bilan 2035 AMS'!$W$46)/11.63</f>
        <v>0</v>
      </c>
      <c r="P93" s="28">
        <f>SUM('[2]Bilan 2035 AMS'!$W$41:$W$43)/11.63</f>
        <v>0.17752685454813696</v>
      </c>
      <c r="Q93" s="28">
        <f>('[2]Bilan 2035 AMS'!$W$13)/11.63</f>
        <v>10.219258004272318</v>
      </c>
      <c r="R93" s="28">
        <f>('[2]Bilan 2035 AMS'!$W$22+'[2]Bilan 2035 AMS'!$W$30+SUM('[2]Bilan 2035 AMS'!$W$36:$W$40)+SUM('[2]Bilan 2035 AMS'!$W$44:$W$45)+'[2]Bilan 2035 AMS'!$W$47)/11.63</f>
        <v>8.3604329747133743</v>
      </c>
      <c r="S93" s="142">
        <f t="shared" si="23"/>
        <v>18.757217833533829</v>
      </c>
      <c r="U93" s="147" t="s">
        <v>22</v>
      </c>
      <c r="V93" t="s">
        <v>406</v>
      </c>
      <c r="W93" t="s">
        <v>407</v>
      </c>
      <c r="X93" t="s">
        <v>408</v>
      </c>
      <c r="Y93" t="s">
        <v>409</v>
      </c>
      <c r="Z93" s="8">
        <v>0</v>
      </c>
      <c r="AA93" s="8">
        <v>1.357776817</v>
      </c>
      <c r="AB93" s="8">
        <v>9.1796620910000009</v>
      </c>
      <c r="AC93" s="8">
        <v>13.233561740000001</v>
      </c>
      <c r="AD93" s="96">
        <v>23.771000648000001</v>
      </c>
    </row>
    <row r="94" spans="2:30" s="3" customFormat="1" x14ac:dyDescent="0.25">
      <c r="B94" s="60"/>
      <c r="C94" s="147" t="s">
        <v>23</v>
      </c>
      <c r="D94"/>
      <c r="E94"/>
      <c r="F94"/>
      <c r="G94"/>
      <c r="H94" s="8">
        <f>SUM(H95:H97)</f>
        <v>1.9095227612000001</v>
      </c>
      <c r="I94" s="8">
        <f>SUM(I95:I97)</f>
        <v>10.031721522</v>
      </c>
      <c r="J94" s="8">
        <f>SUM(J95:J97)</f>
        <v>18.1454420265</v>
      </c>
      <c r="K94" s="8">
        <f>SUM(K95:K97)</f>
        <v>8.9910315169000015</v>
      </c>
      <c r="L94" s="96">
        <f t="shared" si="22"/>
        <v>39.077717826600001</v>
      </c>
      <c r="N94" s="150" t="s">
        <v>490</v>
      </c>
      <c r="O94" s="29">
        <f>O95+O96</f>
        <v>1.2895605785735207</v>
      </c>
      <c r="P94" s="28">
        <f t="shared" ref="P94:R94" si="24">P95+P96</f>
        <v>11.337300806411763</v>
      </c>
      <c r="Q94" s="28">
        <f t="shared" si="24"/>
        <v>14.018807628102843</v>
      </c>
      <c r="R94" s="28">
        <f t="shared" si="24"/>
        <v>15.570794990567688</v>
      </c>
      <c r="S94" s="142">
        <f t="shared" si="23"/>
        <v>42.216464003655815</v>
      </c>
      <c r="U94" s="147" t="s">
        <v>23</v>
      </c>
      <c r="V94"/>
      <c r="W94"/>
      <c r="X94"/>
      <c r="Y94"/>
      <c r="Z94" s="8">
        <v>1.9041929896000001</v>
      </c>
      <c r="AA94" s="8">
        <v>10.004720973</v>
      </c>
      <c r="AB94" s="8">
        <v>18.103547841799998</v>
      </c>
      <c r="AC94" s="8">
        <v>8.9768642962999987</v>
      </c>
      <c r="AD94" s="96">
        <v>38.989326100699998</v>
      </c>
    </row>
    <row r="95" spans="2:30" s="3" customFormat="1" x14ac:dyDescent="0.25">
      <c r="B95" s="60"/>
      <c r="C95" s="149" t="s">
        <v>24</v>
      </c>
      <c r="D95" t="s">
        <v>410</v>
      </c>
      <c r="E95" t="s">
        <v>411</v>
      </c>
      <c r="F95" t="s">
        <v>412</v>
      </c>
      <c r="G95" t="s">
        <v>413</v>
      </c>
      <c r="H95" s="16">
        <f>VLOOKUP(D95,Résultats!$B$2:$AX$476,'T energie vecteurs'!T5,FALSE)</f>
        <v>1.013834262</v>
      </c>
      <c r="I95" s="16">
        <f>VLOOKUP(E95,Résultats!$B$2:$AX$476,'T energie vecteurs'!T5,FALSE)</f>
        <v>4.9567651210000001</v>
      </c>
      <c r="J95" s="16">
        <f>VLOOKUP(F95,Résultats!$B$2:$AX$476,'T energie vecteurs'!T5,FALSE)</f>
        <v>17.773809790000001</v>
      </c>
      <c r="K95" s="16">
        <f>VLOOKUP(G95,Résultats!$B$2:$AX$476,'T energie vecteurs'!T5,FALSE)</f>
        <v>6.3915263280000003</v>
      </c>
      <c r="L95" s="95">
        <f t="shared" si="22"/>
        <v>30.135935501000002</v>
      </c>
      <c r="N95" s="149" t="s">
        <v>491</v>
      </c>
      <c r="O95" s="143">
        <f>'[2]Bilan 2035 AMS'!$U$46/11.63</f>
        <v>0.31437903703224818</v>
      </c>
      <c r="P95" s="30">
        <f>SUM('[2]Bilan 2035 AMS'!$U$41:$U$43)/11.63</f>
        <v>0.93558908643124061</v>
      </c>
      <c r="Q95" s="30">
        <f>'[2]Bilan 2035 AMS'!$U$13/11.63</f>
        <v>14.018807628102843</v>
      </c>
      <c r="R95" s="30">
        <f>('[2]Bilan 2035 AMS'!$U$22+'[2]Bilan 2035 AMS'!$U$30+SUM('[2]Bilan 2035 AMS'!$U$36:$U$40)+SUM('[2]Bilan 2035 AMS'!$U$44:$U$45)+'[2]Bilan 2035 AMS'!$U$47)/11.63</f>
        <v>12.828509585335674</v>
      </c>
      <c r="S95" s="95">
        <f t="shared" si="23"/>
        <v>28.097285336902004</v>
      </c>
      <c r="U95" s="149" t="s">
        <v>24</v>
      </c>
      <c r="V95" t="s">
        <v>410</v>
      </c>
      <c r="W95" t="s">
        <v>411</v>
      </c>
      <c r="X95" t="s">
        <v>412</v>
      </c>
      <c r="Y95" t="s">
        <v>413</v>
      </c>
      <c r="Z95" s="16">
        <v>1.011422864</v>
      </c>
      <c r="AA95" s="16">
        <v>4.9297126459999996</v>
      </c>
      <c r="AB95" s="16">
        <v>17.732142809999999</v>
      </c>
      <c r="AC95" s="16">
        <v>6.3744285349999998</v>
      </c>
      <c r="AD95" s="95">
        <v>30.047706854999998</v>
      </c>
    </row>
    <row r="96" spans="2:30" s="3" customFormat="1" x14ac:dyDescent="0.25">
      <c r="B96" s="60"/>
      <c r="C96" s="149" t="s">
        <v>47</v>
      </c>
      <c r="D96" t="s">
        <v>414</v>
      </c>
      <c r="E96" t="s">
        <v>415</v>
      </c>
      <c r="F96" t="s">
        <v>416</v>
      </c>
      <c r="G96" t="s">
        <v>417</v>
      </c>
      <c r="H96" s="16">
        <f>VLOOKUP(D96,Résultats!$B$2:$AX$476,'T energie vecteurs'!T5,FALSE)</f>
        <v>0.89568849920000004</v>
      </c>
      <c r="I96" s="16">
        <f>VLOOKUP(E96,Résultats!$B$2:$AX$476,'T energie vecteurs'!T5,FALSE)</f>
        <v>2.1867468620000001</v>
      </c>
      <c r="J96" s="16">
        <f>VLOOKUP(F96,Résultats!$B$2:$AX$476,'T energie vecteurs'!T5,FALSE)</f>
        <v>0</v>
      </c>
      <c r="K96" s="16">
        <f>VLOOKUP(G96,Résultats!$B$2:$AX$476,'T energie vecteurs'!T5,FALSE)</f>
        <v>2.1143211640000001</v>
      </c>
      <c r="L96" s="95">
        <f t="shared" si="22"/>
        <v>5.1967565251999996</v>
      </c>
      <c r="N96" s="149" t="s">
        <v>47</v>
      </c>
      <c r="O96" s="22">
        <f>'[2]Bilan 2035 AMS'!$E$52/11.63</f>
        <v>0.97518154154127257</v>
      </c>
      <c r="P96" s="16">
        <f>('[2]Bilan 2035 AMS'!$E$54+'[2]Bilan 2035 AMS'!$E$56)/11.63</f>
        <v>10.401711719980522</v>
      </c>
      <c r="Q96" s="16">
        <v>0</v>
      </c>
      <c r="R96" s="16">
        <f>('[2]Bilan 2035 AMS'!$E$53+'[2]Bilan 2035 AMS'!$E$55+'[2]Bilan 2035 AMS'!$E$57)/11.63</f>
        <v>2.7422854052320145</v>
      </c>
      <c r="S96" s="95">
        <f t="shared" si="23"/>
        <v>14.119178666753809</v>
      </c>
      <c r="U96" s="149" t="s">
        <v>47</v>
      </c>
      <c r="V96" t="s">
        <v>414</v>
      </c>
      <c r="W96" t="s">
        <v>415</v>
      </c>
      <c r="X96" t="s">
        <v>416</v>
      </c>
      <c r="Y96" t="s">
        <v>417</v>
      </c>
      <c r="Z96" s="16">
        <v>0.89277012560000002</v>
      </c>
      <c r="AA96" s="16">
        <v>2.1884527309999999</v>
      </c>
      <c r="AB96" s="16">
        <v>0</v>
      </c>
      <c r="AC96" s="16">
        <v>2.1169390109999999</v>
      </c>
      <c r="AD96" s="95">
        <v>5.1981618675999997</v>
      </c>
    </row>
    <row r="97" spans="2:30" s="3" customFormat="1" x14ac:dyDescent="0.25">
      <c r="B97" s="60"/>
      <c r="C97" s="149" t="s">
        <v>25</v>
      </c>
      <c r="D97" t="s">
        <v>418</v>
      </c>
      <c r="E97" t="s">
        <v>419</v>
      </c>
      <c r="F97" t="s">
        <v>420</v>
      </c>
      <c r="G97" t="s">
        <v>421</v>
      </c>
      <c r="H97" s="16">
        <f>VLOOKUP(D97,Résultats!$B$2:$AX$476,'T energie vecteurs'!T5,FALSE)</f>
        <v>0</v>
      </c>
      <c r="I97" s="16">
        <f>VLOOKUP(E97,Résultats!$B$2:$AX$476,'T energie vecteurs'!T5,FALSE)</f>
        <v>2.888209539</v>
      </c>
      <c r="J97" s="16">
        <f>VLOOKUP(F97,Résultats!$B$2:$AX$476,'T energie vecteurs'!T5,FALSE)</f>
        <v>0.37163223649999999</v>
      </c>
      <c r="K97" s="16">
        <f>VLOOKUP(G97,Résultats!$B$2:$AX$476,'T energie vecteurs'!T5,FALSE)</f>
        <v>0.48518402490000001</v>
      </c>
      <c r="L97" s="95">
        <f t="shared" si="22"/>
        <v>3.7450258004000001</v>
      </c>
      <c r="N97" s="150" t="s">
        <v>25</v>
      </c>
      <c r="O97" s="29">
        <f>'[2]Bilan 2035 AMS'!$T$46/11.63</f>
        <v>0</v>
      </c>
      <c r="P97" s="28">
        <f>SUM('[2]Bilan 2035 AMS'!$T$41:$T$43)/11.63</f>
        <v>2.6634240155513398</v>
      </c>
      <c r="Q97" s="28">
        <f>'[2]Bilan 2035 AMS'!$T$13/11.63</f>
        <v>0.59083250678331611</v>
      </c>
      <c r="R97" s="28">
        <f>('[2]Bilan 2035 AMS'!$T$22+'[2]Bilan 2035 AMS'!$T$30+SUM('[2]Bilan 2035 AMS'!$T$36:$T$40)+SUM('[2]Bilan 2035 AMS'!$T$44:$T$45)+'[2]Bilan 2035 AMS'!$T$47)/11.63</f>
        <v>0.57839341838434266</v>
      </c>
      <c r="S97" s="142">
        <f t="shared" si="23"/>
        <v>3.8326499407189987</v>
      </c>
      <c r="U97" s="149" t="s">
        <v>25</v>
      </c>
      <c r="V97" t="s">
        <v>418</v>
      </c>
      <c r="W97" t="s">
        <v>419</v>
      </c>
      <c r="X97" t="s">
        <v>420</v>
      </c>
      <c r="Y97" t="s">
        <v>421</v>
      </c>
      <c r="Z97" s="16">
        <v>0</v>
      </c>
      <c r="AA97" s="16">
        <v>2.886555596</v>
      </c>
      <c r="AB97" s="16">
        <v>0.37140503180000001</v>
      </c>
      <c r="AC97" s="16">
        <v>0.4854967503</v>
      </c>
      <c r="AD97" s="95">
        <v>3.7434573781</v>
      </c>
    </row>
    <row r="98" spans="2:30" s="3" customFormat="1" x14ac:dyDescent="0.25">
      <c r="B98" s="60"/>
      <c r="C98" s="23" t="s">
        <v>26</v>
      </c>
      <c r="D98" s="10"/>
      <c r="E98" s="10"/>
      <c r="F98" s="10"/>
      <c r="G98" s="10"/>
      <c r="H98" s="9">
        <f>SUM(H89,H92:H94)</f>
        <v>2.1045293866999999</v>
      </c>
      <c r="I98" s="9">
        <f>SUM(I89,I92:I94)</f>
        <v>44.63004042699999</v>
      </c>
      <c r="J98" s="9">
        <f>SUM(J89,J92:J94)</f>
        <v>47.067927884500001</v>
      </c>
      <c r="K98" s="9">
        <f>SUM(K89,K92:K94)</f>
        <v>44.513748350806004</v>
      </c>
      <c r="L98" s="98">
        <f t="shared" si="22"/>
        <v>138.316246049006</v>
      </c>
      <c r="N98" s="151" t="s">
        <v>26</v>
      </c>
      <c r="O98" s="32">
        <f>O89+O92+O93+O94+O97</f>
        <v>1.2895605785735207</v>
      </c>
      <c r="P98" s="31">
        <f>P89+P92+P93+P94+P97</f>
        <v>35.823426903229986</v>
      </c>
      <c r="Q98" s="31">
        <f>Q89+Q92+Q93+Q94+Q97</f>
        <v>44.160115024191072</v>
      </c>
      <c r="R98" s="31">
        <f>R89+R92+R93+R94+R97</f>
        <v>43.824179180950857</v>
      </c>
      <c r="S98" s="144">
        <f t="shared" si="23"/>
        <v>125.09728168694545</v>
      </c>
      <c r="U98" s="23" t="s">
        <v>26</v>
      </c>
      <c r="V98" s="10"/>
      <c r="W98" s="10"/>
      <c r="X98" s="10"/>
      <c r="Y98" s="10"/>
      <c r="Z98" s="9">
        <v>2.1084971576</v>
      </c>
      <c r="AA98" s="9">
        <v>44.306888832999995</v>
      </c>
      <c r="AB98" s="9">
        <v>47.273377146800001</v>
      </c>
      <c r="AC98" s="9">
        <v>44.478615857872903</v>
      </c>
      <c r="AD98" s="98">
        <v>138.16737899527291</v>
      </c>
    </row>
    <row r="99" spans="2:30" s="3" customFormat="1" x14ac:dyDescent="0.25">
      <c r="B99" s="60"/>
      <c r="K99" s="47"/>
      <c r="AC99" s="47"/>
    </row>
    <row r="100" spans="2:30" s="3" customFormat="1" x14ac:dyDescent="0.25">
      <c r="B100" s="60"/>
      <c r="K100" s="47"/>
      <c r="AC100" s="47"/>
    </row>
    <row r="101" spans="2:30" ht="31.5" x14ac:dyDescent="0.35">
      <c r="C101" s="145">
        <v>2040</v>
      </c>
      <c r="D101" s="146"/>
      <c r="E101" s="146"/>
      <c r="F101" s="146"/>
      <c r="G101" s="146"/>
      <c r="H101" s="76" t="s">
        <v>36</v>
      </c>
      <c r="I101" s="76" t="s">
        <v>49</v>
      </c>
      <c r="J101" s="76" t="s">
        <v>38</v>
      </c>
      <c r="K101" s="76" t="s">
        <v>48</v>
      </c>
      <c r="L101" s="93" t="s">
        <v>1</v>
      </c>
      <c r="M101" s="19"/>
      <c r="N101" s="145">
        <v>2040</v>
      </c>
      <c r="O101" s="141" t="s">
        <v>36</v>
      </c>
      <c r="P101" s="76" t="s">
        <v>49</v>
      </c>
      <c r="Q101" s="76" t="s">
        <v>38</v>
      </c>
      <c r="R101" s="76" t="s">
        <v>48</v>
      </c>
      <c r="S101" s="93" t="s">
        <v>1</v>
      </c>
      <c r="T101" s="19"/>
      <c r="U101">
        <v>2040</v>
      </c>
      <c r="Z101" t="s">
        <v>36</v>
      </c>
      <c r="AA101" t="s">
        <v>49</v>
      </c>
      <c r="AB101" t="s">
        <v>38</v>
      </c>
      <c r="AC101" t="s">
        <v>48</v>
      </c>
      <c r="AD101" t="s">
        <v>1</v>
      </c>
    </row>
    <row r="102" spans="2:30" x14ac:dyDescent="0.25">
      <c r="C102" s="147" t="s">
        <v>18</v>
      </c>
      <c r="H102" s="8">
        <f>SUM(H103:H104)</f>
        <v>0</v>
      </c>
      <c r="I102" s="8">
        <f>SUM(I103:I104)</f>
        <v>22.181990837000001</v>
      </c>
      <c r="J102" s="8">
        <f>SUM(J103:J104)</f>
        <v>8.0294072949999986</v>
      </c>
      <c r="K102" s="8">
        <f>SUM(K103:K104)</f>
        <v>1.4401779459516999</v>
      </c>
      <c r="L102" s="96">
        <f t="shared" ref="L102:L111" si="25">SUM(H102:K102)</f>
        <v>31.651576077951699</v>
      </c>
      <c r="M102" s="75"/>
      <c r="N102" s="150" t="s">
        <v>18</v>
      </c>
      <c r="O102" s="29">
        <f>'[2]Bilan 2040 AMS'!$X$46/11.63</f>
        <v>0</v>
      </c>
      <c r="P102" s="28">
        <f>SUM('[2]Bilan 2040 AMS'!$X$41:$X$43)/11.63</f>
        <v>12.191717043104701</v>
      </c>
      <c r="Q102" s="28">
        <f>'[2]Bilan 2040 AMS'!$X$13/11.63</f>
        <v>8.0404185135153163</v>
      </c>
      <c r="R102" s="28">
        <f>('[2]Bilan 2040 AMS'!$X$22+'[2]Bilan 2040 AMS'!$X$30+SUM('[2]Bilan 2040 AMS'!$X$36:$X$40)+SUM('[2]Bilan 2040 AMS'!$X$44:$X$45)+'[2]Bilan 2040 AMS'!$X$47)/11.63</f>
        <v>1.0858470087569896</v>
      </c>
      <c r="S102" s="142">
        <f>SUM(O102:R102)</f>
        <v>21.317982565377005</v>
      </c>
      <c r="T102" s="75"/>
      <c r="U102" t="s">
        <v>18</v>
      </c>
      <c r="Z102">
        <v>0</v>
      </c>
      <c r="AA102">
        <v>22.173296151000002</v>
      </c>
      <c r="AB102">
        <v>8.025870298000001</v>
      </c>
      <c r="AC102">
        <v>1.4395362096193001</v>
      </c>
      <c r="AD102">
        <v>31.638702658619302</v>
      </c>
    </row>
    <row r="103" spans="2:30" x14ac:dyDescent="0.25">
      <c r="C103" s="148" t="s">
        <v>19</v>
      </c>
      <c r="D103" t="s">
        <v>394</v>
      </c>
      <c r="E103" t="s">
        <v>395</v>
      </c>
      <c r="F103" t="s">
        <v>396</v>
      </c>
      <c r="G103" t="s">
        <v>397</v>
      </c>
      <c r="H103" s="16">
        <f>VLOOKUP(D103,Résultats!$B$2:$AX$476,'T energie vecteurs'!U5,FALSE)</f>
        <v>0</v>
      </c>
      <c r="I103" s="16">
        <f>VLOOKUP(E103,Résultats!$B$2:$AX$476,'T energie vecteurs'!U5,FALSE)</f>
        <v>9.9720719669999998</v>
      </c>
      <c r="J103" s="16">
        <f>VLOOKUP(F103,Résultats!$B$2:$AX$476,'T energie vecteurs'!U5,FALSE)</f>
        <v>2.5428227149999998</v>
      </c>
      <c r="K103" s="16">
        <f>VLOOKUP(G103,Résultats!$B$2:$AX$476,'T energie vecteurs'!U5,FALSE)</f>
        <v>1.58809517E-5</v>
      </c>
      <c r="L103" s="95">
        <f t="shared" si="25"/>
        <v>12.5149105629517</v>
      </c>
      <c r="M103" s="16"/>
      <c r="N103" s="148" t="s">
        <v>19</v>
      </c>
      <c r="O103" s="143"/>
      <c r="P103" s="16"/>
      <c r="Q103" s="34"/>
      <c r="R103" s="16"/>
      <c r="S103" s="95"/>
      <c r="T103" s="16"/>
      <c r="U103" t="s">
        <v>19</v>
      </c>
      <c r="V103" t="s">
        <v>394</v>
      </c>
      <c r="W103" t="s">
        <v>395</v>
      </c>
      <c r="X103" t="s">
        <v>396</v>
      </c>
      <c r="Y103" t="s">
        <v>397</v>
      </c>
      <c r="Z103">
        <v>0</v>
      </c>
      <c r="AA103">
        <v>9.9664253110000001</v>
      </c>
      <c r="AB103">
        <v>2.5419141139999999</v>
      </c>
      <c r="AC103">
        <v>1.58426193E-5</v>
      </c>
      <c r="AD103">
        <v>12.508355267619299</v>
      </c>
    </row>
    <row r="104" spans="2:30" x14ac:dyDescent="0.25">
      <c r="C104" s="149" t="s">
        <v>20</v>
      </c>
      <c r="D104" t="s">
        <v>398</v>
      </c>
      <c r="E104" t="s">
        <v>399</v>
      </c>
      <c r="F104" t="s">
        <v>400</v>
      </c>
      <c r="G104" t="s">
        <v>401</v>
      </c>
      <c r="H104" s="16">
        <f>VLOOKUP(D104,Résultats!$B$2:$AX$476,'T energie vecteurs'!U5,FALSE)</f>
        <v>0</v>
      </c>
      <c r="I104" s="16">
        <f>VLOOKUP(E104,Résultats!$B$2:$AX$476,'T energie vecteurs'!U5,FALSE)</f>
        <v>12.209918869999999</v>
      </c>
      <c r="J104" s="16">
        <f>VLOOKUP(F104,Résultats!$B$2:$AX$476,'T energie vecteurs'!U5,FALSE)</f>
        <v>5.4865845799999997</v>
      </c>
      <c r="K104" s="16">
        <f>VLOOKUP(G104,Résultats!$B$2:$AX$476,'T energie vecteurs'!U5,FALSE)</f>
        <v>1.440162065</v>
      </c>
      <c r="L104" s="95">
        <f t="shared" si="25"/>
        <v>19.136665514999997</v>
      </c>
      <c r="M104" s="16"/>
      <c r="N104" s="149" t="s">
        <v>20</v>
      </c>
      <c r="O104" s="143"/>
      <c r="P104" s="16"/>
      <c r="Q104" s="34"/>
      <c r="R104" s="16"/>
      <c r="S104" s="95"/>
      <c r="T104" s="16"/>
      <c r="U104" t="s">
        <v>20</v>
      </c>
      <c r="V104" t="s">
        <v>398</v>
      </c>
      <c r="W104" t="s">
        <v>399</v>
      </c>
      <c r="X104" t="s">
        <v>400</v>
      </c>
      <c r="Y104" t="s">
        <v>401</v>
      </c>
      <c r="Z104">
        <v>0</v>
      </c>
      <c r="AA104">
        <v>12.206870840000001</v>
      </c>
      <c r="AB104">
        <v>5.4839561840000002</v>
      </c>
      <c r="AC104">
        <v>1.4395203670000001</v>
      </c>
      <c r="AD104">
        <v>19.130347391000001</v>
      </c>
    </row>
    <row r="105" spans="2:30" x14ac:dyDescent="0.25">
      <c r="C105" s="147" t="s">
        <v>21</v>
      </c>
      <c r="D105" t="s">
        <v>402</v>
      </c>
      <c r="E105" t="s">
        <v>403</v>
      </c>
      <c r="F105" t="s">
        <v>404</v>
      </c>
      <c r="G105" t="s">
        <v>405</v>
      </c>
      <c r="H105" s="8">
        <f>VLOOKUP(D105,Résultats!$B$2:$AX$476,'T energie vecteurs'!U5,FALSE)</f>
        <v>0.16759702409999999</v>
      </c>
      <c r="I105" s="294">
        <f>VLOOKUP(E105,Résultats!$B$2:$AX$476,'T energie vecteurs'!U5,FALSE)</f>
        <v>3.8075837830000001</v>
      </c>
      <c r="J105" s="8">
        <f>VLOOKUP(F105,Résultats!$B$2:$AX$476,'T energie vecteurs'!U5,FALSE)</f>
        <v>13.965232049999999</v>
      </c>
      <c r="K105" s="8">
        <f>VLOOKUP(G105,Résultats!$B$2:$AX$476,'T energie vecteurs'!U5,FALSE)+8</f>
        <v>19.946862549999999</v>
      </c>
      <c r="L105" s="96">
        <f t="shared" si="25"/>
        <v>37.887275407099999</v>
      </c>
      <c r="M105" s="75"/>
      <c r="N105" s="150" t="s">
        <v>21</v>
      </c>
      <c r="O105" s="29">
        <f>'[2]Bilan 2040 AMS'!$V$46/11.63</f>
        <v>0</v>
      </c>
      <c r="P105" s="28">
        <f>SUM('[2]Bilan 2040 AMS'!$V$41:$V$43)/11.63</f>
        <v>6.1040227141625304E-2</v>
      </c>
      <c r="Q105" s="28">
        <f>'[2]Bilan 2040 AMS'!$V$13/11.63</f>
        <v>13.209596020840994</v>
      </c>
      <c r="R105" s="28">
        <f>('[2]Bilan 2040 AMS'!$V$22+'[2]Bilan 2040 AMS'!$V$30+SUM('[2]Bilan 2040 AMS'!$V$36:$V$40)+SUM('[2]Bilan 2040 AMS'!$V$44:$V$45)+'[2]Bilan 2040 AMS'!$V$47)/11.63</f>
        <v>17.347844556605228</v>
      </c>
      <c r="S105" s="142">
        <f t="shared" ref="S105:S111" si="26">SUM(O105:R105)</f>
        <v>30.618480804587847</v>
      </c>
      <c r="T105" s="75"/>
      <c r="U105" t="s">
        <v>21</v>
      </c>
      <c r="V105" t="s">
        <v>402</v>
      </c>
      <c r="W105" t="s">
        <v>403</v>
      </c>
      <c r="X105" t="s">
        <v>404</v>
      </c>
      <c r="Y105" t="s">
        <v>405</v>
      </c>
      <c r="Z105">
        <v>0.18364663959999999</v>
      </c>
      <c r="AA105">
        <v>3.5642226130000001</v>
      </c>
      <c r="AB105">
        <v>14.31692441</v>
      </c>
      <c r="AC105">
        <v>20.128666680000002</v>
      </c>
      <c r="AD105">
        <v>38.193460342600005</v>
      </c>
    </row>
    <row r="106" spans="2:30" x14ac:dyDescent="0.25">
      <c r="C106" s="147" t="s">
        <v>22</v>
      </c>
      <c r="D106" t="s">
        <v>406</v>
      </c>
      <c r="E106" t="s">
        <v>407</v>
      </c>
      <c r="F106" t="s">
        <v>408</v>
      </c>
      <c r="G106" t="s">
        <v>409</v>
      </c>
      <c r="H106" s="8">
        <f>VLOOKUP(D106,Résultats!$B$2:$AX$476,'T energie vecteurs'!U5,FALSE)</f>
        <v>0</v>
      </c>
      <c r="I106" s="8">
        <f>VLOOKUP(E106,Résultats!$B$2:$AX$476,'T energie vecteurs'!U5,FALSE)</f>
        <v>1.370224112</v>
      </c>
      <c r="J106" s="8">
        <f>VLOOKUP(F106,Résultats!$B$2:$AX$476,'T energie vecteurs'!U5,FALSE)</f>
        <v>9.0766573039999905</v>
      </c>
      <c r="K106" s="8">
        <f>VLOOKUP(G106,Résultats!$B$2:$AX$476,'T energie vecteurs'!U5,FALSE)</f>
        <v>11.723081779999999</v>
      </c>
      <c r="L106" s="96">
        <f t="shared" si="25"/>
        <v>22.169963195999991</v>
      </c>
      <c r="M106" s="75"/>
      <c r="N106" s="150" t="s">
        <v>22</v>
      </c>
      <c r="O106" s="29">
        <f>('[2]Bilan 2040 AMS'!$W$46)/11.63</f>
        <v>0</v>
      </c>
      <c r="P106" s="28">
        <f>SUM('[2]Bilan 2040 AMS'!$W$41:$W$43)/11.63</f>
        <v>6.3880432315261901E-2</v>
      </c>
      <c r="Q106" s="28">
        <f>('[2]Bilan 2040 AMS'!$W$13)/11.63</f>
        <v>10.029414757557689</v>
      </c>
      <c r="R106" s="28">
        <f>('[2]Bilan 2040 AMS'!$W$22+'[2]Bilan 2040 AMS'!$W$30+SUM('[2]Bilan 2040 AMS'!$W$36:$W$40)+SUM('[2]Bilan 2040 AMS'!$W$44:$W$45)+'[2]Bilan 2040 AMS'!$W$47)/11.63</f>
        <v>7.8410614287588816</v>
      </c>
      <c r="S106" s="142">
        <f t="shared" si="26"/>
        <v>17.934356618631831</v>
      </c>
      <c r="T106" s="75"/>
      <c r="U106" t="s">
        <v>22</v>
      </c>
      <c r="V106" t="s">
        <v>406</v>
      </c>
      <c r="W106" t="s">
        <v>407</v>
      </c>
      <c r="X106" t="s">
        <v>408</v>
      </c>
      <c r="Y106" t="s">
        <v>409</v>
      </c>
      <c r="Z106">
        <v>0</v>
      </c>
      <c r="AA106">
        <v>1.368255284</v>
      </c>
      <c r="AB106">
        <v>9.0700102929999904</v>
      </c>
      <c r="AC106">
        <v>11.745979070000001</v>
      </c>
      <c r="AD106">
        <v>22.184244646999993</v>
      </c>
    </row>
    <row r="107" spans="2:30" x14ac:dyDescent="0.25">
      <c r="C107" s="147" t="s">
        <v>23</v>
      </c>
      <c r="H107" s="8">
        <f>SUM(H108:H110)</f>
        <v>2.0137531953000001</v>
      </c>
      <c r="I107" s="8">
        <f>SUM(I108:I110)</f>
        <v>11.067077326</v>
      </c>
      <c r="J107" s="8">
        <f>SUM(J108:J110)</f>
        <v>19.153809399900002</v>
      </c>
      <c r="K107" s="8">
        <f>SUM(K108:K110)</f>
        <v>9.7828496489999992</v>
      </c>
      <c r="L107" s="96">
        <f t="shared" si="25"/>
        <v>42.017489570199999</v>
      </c>
      <c r="M107" s="75"/>
      <c r="N107" s="150" t="s">
        <v>490</v>
      </c>
      <c r="O107" s="29">
        <f>O108+O109</f>
        <v>1.1470880379308943</v>
      </c>
      <c r="P107" s="28">
        <f t="shared" ref="P107:R107" si="27">P108+P109</f>
        <v>10.34609820525753</v>
      </c>
      <c r="Q107" s="28">
        <f t="shared" si="27"/>
        <v>15.232489488749787</v>
      </c>
      <c r="R107" s="28">
        <f t="shared" si="27"/>
        <v>16.48108085677471</v>
      </c>
      <c r="S107" s="142">
        <f t="shared" si="26"/>
        <v>43.206756588712921</v>
      </c>
      <c r="T107" s="75"/>
      <c r="U107" t="s">
        <v>23</v>
      </c>
      <c r="Z107">
        <v>2.0091621229000003</v>
      </c>
      <c r="AA107">
        <v>11.047622528</v>
      </c>
      <c r="AB107">
        <v>19.1305150809</v>
      </c>
      <c r="AC107">
        <v>9.7759855516999981</v>
      </c>
      <c r="AD107">
        <v>41.963285283499992</v>
      </c>
    </row>
    <row r="108" spans="2:30" x14ac:dyDescent="0.25">
      <c r="C108" s="149" t="s">
        <v>24</v>
      </c>
      <c r="D108" t="s">
        <v>410</v>
      </c>
      <c r="E108" t="s">
        <v>411</v>
      </c>
      <c r="F108" t="s">
        <v>412</v>
      </c>
      <c r="G108" t="s">
        <v>413</v>
      </c>
      <c r="H108" s="16">
        <f>VLOOKUP(D108,Résultats!$B$2:$AX$476,'T energie vecteurs'!U5,FALSE)</f>
        <v>1.0918301500000001</v>
      </c>
      <c r="I108" s="16">
        <f>VLOOKUP(E108,Résultats!$B$2:$AX$476,'T energie vecteurs'!U5,FALSE)</f>
        <v>5.5604265369999997</v>
      </c>
      <c r="J108" s="16">
        <f>VLOOKUP(F108,Résultats!$B$2:$AX$476,'T energie vecteurs'!U5,FALSE)</f>
        <v>18.75135762</v>
      </c>
      <c r="K108" s="16">
        <f>VLOOKUP(G108,Résultats!$B$2:$AX$476,'T energie vecteurs'!U5,FALSE)</f>
        <v>7.0095364120000001</v>
      </c>
      <c r="L108" s="95">
        <f t="shared" si="25"/>
        <v>32.413150719000001</v>
      </c>
      <c r="M108" s="16"/>
      <c r="N108" s="149" t="s">
        <v>491</v>
      </c>
      <c r="O108" s="143">
        <f>'[2]Bilan 2040 AMS'!$U$46/11.63</f>
        <v>0.23928972873592452</v>
      </c>
      <c r="P108" s="30">
        <f>SUM('[2]Bilan 2040 AMS'!$U$41:$U$43)/11.63</f>
        <v>0.69055770755550139</v>
      </c>
      <c r="Q108" s="30">
        <f>'[2]Bilan 2040 AMS'!$U$13/11.63</f>
        <v>15.232489488749787</v>
      </c>
      <c r="R108" s="30">
        <f>('[2]Bilan 2040 AMS'!$U$22+'[2]Bilan 2040 AMS'!$U$30+SUM('[2]Bilan 2040 AMS'!$U$36:$U$40)+SUM('[2]Bilan 2040 AMS'!$U$44:$U$45)+'[2]Bilan 2040 AMS'!$U$47)/11.63</f>
        <v>12.396061534712597</v>
      </c>
      <c r="S108" s="95">
        <f t="shared" si="26"/>
        <v>28.558398459753811</v>
      </c>
      <c r="T108" s="16"/>
      <c r="U108" t="s">
        <v>24</v>
      </c>
      <c r="V108" t="s">
        <v>410</v>
      </c>
      <c r="W108" t="s">
        <v>411</v>
      </c>
      <c r="X108" t="s">
        <v>412</v>
      </c>
      <c r="Y108" t="s">
        <v>413</v>
      </c>
      <c r="Z108">
        <v>1.089580529</v>
      </c>
      <c r="AA108">
        <v>5.5362016049999996</v>
      </c>
      <c r="AB108">
        <v>18.727916199999999</v>
      </c>
      <c r="AC108">
        <v>6.9970548309999998</v>
      </c>
      <c r="AD108">
        <v>32.350753165</v>
      </c>
    </row>
    <row r="109" spans="2:30" x14ac:dyDescent="0.25">
      <c r="C109" s="149" t="s">
        <v>47</v>
      </c>
      <c r="D109" t="s">
        <v>414</v>
      </c>
      <c r="E109" t="s">
        <v>415</v>
      </c>
      <c r="F109" t="s">
        <v>416</v>
      </c>
      <c r="G109" t="s">
        <v>417</v>
      </c>
      <c r="H109" s="16">
        <f>VLOOKUP(D109,Résultats!$B$2:$AX$476,'T energie vecteurs'!U5,FALSE)</f>
        <v>0.92192304530000002</v>
      </c>
      <c r="I109" s="16">
        <f>VLOOKUP(E109,Résultats!$B$2:$AX$476,'T energie vecteurs'!U5,FALSE)</f>
        <v>2.346283675</v>
      </c>
      <c r="J109" s="16">
        <f>VLOOKUP(F109,Résultats!$B$2:$AX$476,'T energie vecteurs'!U5,FALSE)</f>
        <v>0</v>
      </c>
      <c r="K109" s="16">
        <f>VLOOKUP(G109,Résultats!$B$2:$AX$476,'T energie vecteurs'!U5,FALSE)</f>
        <v>2.263169612</v>
      </c>
      <c r="L109" s="95">
        <f t="shared" si="25"/>
        <v>5.5313763323000007</v>
      </c>
      <c r="M109" s="16"/>
      <c r="N109" s="149" t="s">
        <v>47</v>
      </c>
      <c r="O109" s="22">
        <f>'[2]Bilan 2040 AMS'!$E$52/11.63</f>
        <v>0.90779830919496984</v>
      </c>
      <c r="P109" s="16">
        <f>('[2]Bilan 2040 AMS'!$E$54+'[2]Bilan 2040 AMS'!$E$56)/11.63</f>
        <v>9.6555404977020274</v>
      </c>
      <c r="Q109" s="16">
        <v>0</v>
      </c>
      <c r="R109" s="16">
        <f>('[2]Bilan 2040 AMS'!$E$53+'[2]Bilan 2040 AMS'!$E$55+'[2]Bilan 2040 AMS'!$E$57)/11.63</f>
        <v>4.0850193220621129</v>
      </c>
      <c r="S109" s="95">
        <f t="shared" si="26"/>
        <v>14.64835812895911</v>
      </c>
      <c r="T109" s="16"/>
      <c r="U109" t="s">
        <v>47</v>
      </c>
      <c r="V109" t="s">
        <v>414</v>
      </c>
      <c r="W109" t="s">
        <v>415</v>
      </c>
      <c r="X109" t="s">
        <v>416</v>
      </c>
      <c r="Y109" t="s">
        <v>417</v>
      </c>
      <c r="Z109">
        <v>0.91958159390000005</v>
      </c>
      <c r="AA109">
        <v>2.350646652</v>
      </c>
      <c r="AB109">
        <v>0</v>
      </c>
      <c r="AC109">
        <v>2.2683506979999999</v>
      </c>
      <c r="AD109">
        <v>5.5385789439000002</v>
      </c>
    </row>
    <row r="110" spans="2:30" x14ac:dyDescent="0.25">
      <c r="C110" s="149" t="s">
        <v>25</v>
      </c>
      <c r="D110" t="s">
        <v>418</v>
      </c>
      <c r="E110" t="s">
        <v>419</v>
      </c>
      <c r="F110" t="s">
        <v>420</v>
      </c>
      <c r="G110" t="s">
        <v>421</v>
      </c>
      <c r="H110" s="16">
        <f>VLOOKUP(D110,Résultats!$B$2:$AX$476,'T energie vecteurs'!U5,FALSE)</f>
        <v>0</v>
      </c>
      <c r="I110" s="16">
        <f>VLOOKUP(E110,Résultats!$B$2:$AX$476,'T energie vecteurs'!U5,FALSE)</f>
        <v>3.160367114</v>
      </c>
      <c r="J110" s="16">
        <f>VLOOKUP(F110,Résultats!$B$2:$AX$476,'T energie vecteurs'!U5,FALSE)</f>
        <v>0.40245177989999997</v>
      </c>
      <c r="K110" s="16">
        <f>VLOOKUP(G110,Résultats!$B$2:$AX$476,'T energie vecteurs'!U5,FALSE)</f>
        <v>0.51014362499999999</v>
      </c>
      <c r="L110" s="95">
        <f t="shared" si="25"/>
        <v>4.0729625188999998</v>
      </c>
      <c r="M110" s="16"/>
      <c r="N110" s="150" t="s">
        <v>25</v>
      </c>
      <c r="O110" s="29">
        <f>'[2]Bilan 2040 AMS'!$T$46/11.63</f>
        <v>0</v>
      </c>
      <c r="P110" s="28">
        <f>SUM('[2]Bilan 2040 AMS'!$T$41:$T$43)/11.63</f>
        <v>2.2837204781323637</v>
      </c>
      <c r="Q110" s="28">
        <f>'[2]Bilan 2040 AMS'!$T$13/11.63</f>
        <v>0.59286024248158409</v>
      </c>
      <c r="R110" s="28">
        <f>('[2]Bilan 2040 AMS'!$T$22+'[2]Bilan 2040 AMS'!$T$30+SUM('[2]Bilan 2040 AMS'!$T$36:$T$40)+SUM('[2]Bilan 2040 AMS'!$T$44:$T$45)+'[2]Bilan 2040 AMS'!$T$47)/11.63</f>
        <v>0.65579878825779125</v>
      </c>
      <c r="S110" s="142">
        <f t="shared" si="26"/>
        <v>3.5323795088717391</v>
      </c>
      <c r="T110" s="16"/>
      <c r="U110" t="s">
        <v>25</v>
      </c>
      <c r="V110" t="s">
        <v>418</v>
      </c>
      <c r="W110" t="s">
        <v>419</v>
      </c>
      <c r="X110" t="s">
        <v>420</v>
      </c>
      <c r="Y110" t="s">
        <v>421</v>
      </c>
      <c r="Z110">
        <v>0</v>
      </c>
      <c r="AA110">
        <v>3.1607742710000002</v>
      </c>
      <c r="AB110">
        <v>0.40259888090000001</v>
      </c>
      <c r="AC110">
        <v>0.51058002270000002</v>
      </c>
      <c r="AD110">
        <v>4.0739531745999997</v>
      </c>
    </row>
    <row r="111" spans="2:30" x14ac:dyDescent="0.25">
      <c r="C111" s="23" t="s">
        <v>26</v>
      </c>
      <c r="D111" s="10"/>
      <c r="E111" s="10"/>
      <c r="F111" s="10"/>
      <c r="G111" s="10"/>
      <c r="H111" s="9">
        <f>SUM(H102,H105:H107)</f>
        <v>2.1813502194000001</v>
      </c>
      <c r="I111" s="9">
        <f>SUM(I102,I105:I107)</f>
        <v>38.426876057999998</v>
      </c>
      <c r="J111" s="9">
        <f>SUM(J102,J105:J107)</f>
        <v>50.225106048899988</v>
      </c>
      <c r="K111" s="9">
        <f>SUM(K102,K105:K107)</f>
        <v>42.892971924951695</v>
      </c>
      <c r="L111" s="98">
        <f t="shared" si="25"/>
        <v>133.72630425125169</v>
      </c>
      <c r="M111" s="79"/>
      <c r="N111" s="151" t="s">
        <v>26</v>
      </c>
      <c r="O111" s="32">
        <f>O102+O105+O106+O107+O110</f>
        <v>1.1470880379308943</v>
      </c>
      <c r="P111" s="31">
        <f>P102+P105+P106+P107+P110</f>
        <v>24.946456385951482</v>
      </c>
      <c r="Q111" s="31">
        <f>Q102+Q105+Q106+Q107+Q110</f>
        <v>47.104779023145369</v>
      </c>
      <c r="R111" s="31">
        <f>R102+R105+R106+R107+R110</f>
        <v>43.411632639153602</v>
      </c>
      <c r="S111" s="144">
        <f t="shared" si="26"/>
        <v>116.60995608618134</v>
      </c>
      <c r="T111" s="79"/>
      <c r="U111" t="s">
        <v>26</v>
      </c>
      <c r="Z111">
        <v>2.1928087625000003</v>
      </c>
      <c r="AA111">
        <v>38.153396575999999</v>
      </c>
      <c r="AB111">
        <v>50.543320081899992</v>
      </c>
      <c r="AC111">
        <v>43.090167511319301</v>
      </c>
      <c r="AD111">
        <v>133.97969293171928</v>
      </c>
    </row>
    <row r="112" spans="2:30" s="3" customFormat="1" x14ac:dyDescent="0.25"/>
    <row r="113" spans="3:30" s="3" customFormat="1" x14ac:dyDescent="0.25"/>
    <row r="114" spans="3:30" ht="31.5" x14ac:dyDescent="0.35">
      <c r="C114" s="145">
        <v>2050</v>
      </c>
      <c r="D114" s="146"/>
      <c r="E114" s="146"/>
      <c r="F114" s="146"/>
      <c r="G114" s="146"/>
      <c r="H114" s="76" t="s">
        <v>36</v>
      </c>
      <c r="I114" s="76" t="s">
        <v>49</v>
      </c>
      <c r="J114" s="76" t="s">
        <v>38</v>
      </c>
      <c r="K114" s="76" t="s">
        <v>48</v>
      </c>
      <c r="L114" s="93" t="s">
        <v>1</v>
      </c>
      <c r="M114" s="19"/>
      <c r="N114" s="145">
        <v>2050</v>
      </c>
      <c r="O114" s="141" t="s">
        <v>36</v>
      </c>
      <c r="P114" s="76" t="s">
        <v>49</v>
      </c>
      <c r="Q114" s="76" t="s">
        <v>38</v>
      </c>
      <c r="R114" s="76" t="s">
        <v>48</v>
      </c>
      <c r="S114" s="93" t="s">
        <v>1</v>
      </c>
      <c r="T114" s="19"/>
      <c r="U114" s="145">
        <v>2050</v>
      </c>
      <c r="V114" s="146"/>
      <c r="W114" s="146"/>
      <c r="X114" s="146"/>
      <c r="Y114" s="146"/>
      <c r="Z114" s="76" t="s">
        <v>36</v>
      </c>
      <c r="AA114" s="76" t="s">
        <v>49</v>
      </c>
      <c r="AB114" s="76" t="s">
        <v>38</v>
      </c>
      <c r="AC114" s="76" t="s">
        <v>48</v>
      </c>
      <c r="AD114" s="93" t="s">
        <v>1</v>
      </c>
    </row>
    <row r="115" spans="3:30" x14ac:dyDescent="0.25">
      <c r="C115" s="147" t="s">
        <v>18</v>
      </c>
      <c r="H115" s="8">
        <f>SUM(H116:H117)</f>
        <v>0</v>
      </c>
      <c r="I115" s="8">
        <f>SUM(I116:I117)</f>
        <v>14.38343656</v>
      </c>
      <c r="J115" s="8">
        <f>SUM(J116:J117)</f>
        <v>11.130900108999999</v>
      </c>
      <c r="K115" s="8">
        <f>SUM(K116:K117)</f>
        <v>2.0494057027558901</v>
      </c>
      <c r="L115" s="96">
        <f t="shared" ref="L115:L124" si="28">SUM(H115:K115)</f>
        <v>27.56374237175589</v>
      </c>
      <c r="M115" s="75"/>
      <c r="N115" s="150" t="s">
        <v>18</v>
      </c>
      <c r="O115" s="29">
        <f>'[2]Bilan 2050 AMS'!$X$46/11.63</f>
        <v>0</v>
      </c>
      <c r="P115" s="28">
        <f>SUM('[2]Bilan 2050 AMS'!$X$41:$X$43)/11.63</f>
        <v>2.2926536581471288</v>
      </c>
      <c r="Q115" s="28">
        <f>'[2]Bilan 2050 AMS'!$X$13/11.63</f>
        <v>10.137971706805169</v>
      </c>
      <c r="R115" s="28">
        <f>('[2]Bilan 2050 AMS'!$X$22+'[2]Bilan 2050 AMS'!$X$30+SUM('[2]Bilan 2050 AMS'!$X$36:$X$40)+SUM('[2]Bilan 2050 AMS'!$X$44:$X$45)+'[2]Bilan 2050 AMS'!$X$47)/11.63</f>
        <v>1.2737279691923438</v>
      </c>
      <c r="S115" s="142">
        <f>SUM(O115:R115)</f>
        <v>13.704353334144642</v>
      </c>
      <c r="T115" s="270"/>
      <c r="U115" s="147" t="s">
        <v>18</v>
      </c>
      <c r="Z115" s="8">
        <v>0</v>
      </c>
      <c r="AA115" s="8">
        <v>14.380311675000002</v>
      </c>
      <c r="AB115" s="8">
        <v>11.127366375000001</v>
      </c>
      <c r="AC115" s="8">
        <v>2.0485641441738198</v>
      </c>
      <c r="AD115" s="96">
        <v>27.556242194173823</v>
      </c>
    </row>
    <row r="116" spans="3:30" x14ac:dyDescent="0.25">
      <c r="C116" s="148" t="s">
        <v>19</v>
      </c>
      <c r="D116" t="s">
        <v>394</v>
      </c>
      <c r="E116" t="s">
        <v>395</v>
      </c>
      <c r="F116" t="s">
        <v>396</v>
      </c>
      <c r="G116" t="s">
        <v>397</v>
      </c>
      <c r="H116" s="16">
        <f>VLOOKUP(D116,Résultats!$B$2:$AX$476,'T energie vecteurs'!W5,FALSE)</f>
        <v>0</v>
      </c>
      <c r="I116" s="16">
        <f>VLOOKUP(E116,Résultats!$B$2:$AX$476,'T energie vecteurs'!W5,FALSE)</f>
        <v>5.0923313779999999</v>
      </c>
      <c r="J116" s="16">
        <f>VLOOKUP(F116,Résultats!$B$2:$AX$476,'T energie vecteurs'!W5,FALSE)</f>
        <v>3.4243389579999999</v>
      </c>
      <c r="K116" s="16">
        <f>VLOOKUP(G116,Résultats!$B$2:$AX$476,'T energie vecteurs'!W5,FALSE)</f>
        <v>8.1117558900000007E-6</v>
      </c>
      <c r="L116" s="95">
        <f>SUM(H116:K116)</f>
        <v>8.5166784477558899</v>
      </c>
      <c r="M116" s="16"/>
      <c r="N116" s="148" t="s">
        <v>19</v>
      </c>
      <c r="O116" s="143"/>
      <c r="P116" s="16"/>
      <c r="Q116" s="34"/>
      <c r="R116" s="16"/>
      <c r="S116" s="95"/>
      <c r="T116" s="270"/>
      <c r="U116" s="148" t="s">
        <v>19</v>
      </c>
      <c r="V116" t="s">
        <v>394</v>
      </c>
      <c r="W116" t="s">
        <v>395</v>
      </c>
      <c r="X116" t="s">
        <v>396</v>
      </c>
      <c r="Y116" t="s">
        <v>397</v>
      </c>
      <c r="Z116" s="16">
        <v>0</v>
      </c>
      <c r="AA116" s="16">
        <v>5.0894480409999998</v>
      </c>
      <c r="AB116" s="16">
        <v>3.423026374</v>
      </c>
      <c r="AC116" s="16">
        <v>8.0921738200000005E-6</v>
      </c>
      <c r="AD116" s="95">
        <v>8.5124825071738197</v>
      </c>
    </row>
    <row r="117" spans="3:30" x14ac:dyDescent="0.25">
      <c r="C117" s="149" t="s">
        <v>20</v>
      </c>
      <c r="D117" t="s">
        <v>398</v>
      </c>
      <c r="E117" t="s">
        <v>399</v>
      </c>
      <c r="F117" t="s">
        <v>400</v>
      </c>
      <c r="G117" t="s">
        <v>401</v>
      </c>
      <c r="H117" s="16">
        <f>VLOOKUP(D117,Résultats!$B$2:$AX$476,'T energie vecteurs'!W5,FALSE)</f>
        <v>0</v>
      </c>
      <c r="I117" s="34">
        <f>VLOOKUP(E117,Résultats!$B$2:$AX$476,'T energie vecteurs'!W5,FALSE)</f>
        <v>9.2911051820000008</v>
      </c>
      <c r="J117" s="16">
        <f>VLOOKUP(F117,Résultats!$B$2:$AX$476,'T energie vecteurs'!W5,FALSE)</f>
        <v>7.7065611509999998</v>
      </c>
      <c r="K117" s="16">
        <f>VLOOKUP(G117,Résultats!$B$2:$AX$476,'T energie vecteurs'!W5,FALSE)</f>
        <v>2.049397591</v>
      </c>
      <c r="L117" s="95">
        <f>SUM(H117:K117)</f>
        <v>19.047063924</v>
      </c>
      <c r="M117" s="16"/>
      <c r="N117" s="149" t="s">
        <v>20</v>
      </c>
      <c r="O117" s="143"/>
      <c r="P117" s="16"/>
      <c r="Q117" s="34"/>
      <c r="R117" s="16"/>
      <c r="S117" s="95"/>
      <c r="T117" s="270"/>
      <c r="U117" s="149" t="s">
        <v>20</v>
      </c>
      <c r="V117" t="s">
        <v>398</v>
      </c>
      <c r="W117" t="s">
        <v>399</v>
      </c>
      <c r="X117" t="s">
        <v>400</v>
      </c>
      <c r="Y117" t="s">
        <v>401</v>
      </c>
      <c r="Z117" s="16">
        <v>0</v>
      </c>
      <c r="AA117" s="34">
        <v>9.2908636340000008</v>
      </c>
      <c r="AB117" s="16">
        <v>7.7043400010000003</v>
      </c>
      <c r="AC117" s="16">
        <v>2.0485560519999999</v>
      </c>
      <c r="AD117" s="95">
        <v>19.043759687000001</v>
      </c>
    </row>
    <row r="118" spans="3:30" x14ac:dyDescent="0.25">
      <c r="C118" s="147" t="s">
        <v>21</v>
      </c>
      <c r="D118" t="s">
        <v>402</v>
      </c>
      <c r="E118" t="s">
        <v>403</v>
      </c>
      <c r="F118" t="s">
        <v>404</v>
      </c>
      <c r="G118" t="s">
        <v>405</v>
      </c>
      <c r="H118" s="8">
        <f>VLOOKUP(D118,Résultats!$B$2:$AX$476,'T energie vecteurs'!W5,FALSE)</f>
        <v>0.1264337522</v>
      </c>
      <c r="I118" s="8">
        <f>VLOOKUP(E118,Résultats!$B$2:$AX$476,'T energie vecteurs'!W5,FALSE)</f>
        <v>3.0127805859999999</v>
      </c>
      <c r="J118" s="8">
        <f>VLOOKUP(F118,Résultats!$B$2:$AX$476,'T energie vecteurs'!W5,FALSE)</f>
        <v>13.2321364</v>
      </c>
      <c r="K118" s="8">
        <f>VLOOKUP(G118,Résultats!$B$2:$AX$476,'T energie vecteurs'!W5,FALSE)+8</f>
        <v>18.151755290000001</v>
      </c>
      <c r="L118" s="318">
        <f t="shared" si="28"/>
        <v>34.523106028200004</v>
      </c>
      <c r="M118" s="75"/>
      <c r="N118" s="150" t="s">
        <v>21</v>
      </c>
      <c r="O118" s="29">
        <f>'[2]Bilan 2050 AMS'!$V$46/11.63</f>
        <v>0</v>
      </c>
      <c r="P118" s="28">
        <f>SUM('[2]Bilan 2050 AMS'!$V$41:$V$43)/11.63</f>
        <v>3.0621684968348089E-2</v>
      </c>
      <c r="Q118" s="28">
        <f>'[2]Bilan 2050 AMS'!$V$13/11.63</f>
        <v>11.491747360902071</v>
      </c>
      <c r="R118" s="28">
        <f>('[2]Bilan 2050 AMS'!$V$22+'[2]Bilan 2050 AMS'!$V$30+SUM('[2]Bilan 2050 AMS'!$V$36:$V$40)+SUM('[2]Bilan 2050 AMS'!$V$44:$V$45)+'[2]Bilan 2050 AMS'!$V$47)/11.63</f>
        <v>15.333196306176815</v>
      </c>
      <c r="S118" s="142">
        <f t="shared" ref="S118:S124" si="29">SUM(O118:R118)</f>
        <v>26.855565352047236</v>
      </c>
      <c r="T118" s="270"/>
      <c r="U118" s="147" t="s">
        <v>21</v>
      </c>
      <c r="V118" t="s">
        <v>402</v>
      </c>
      <c r="W118" t="s">
        <v>403</v>
      </c>
      <c r="X118" t="s">
        <v>404</v>
      </c>
      <c r="Y118" t="s">
        <v>405</v>
      </c>
      <c r="Z118" s="8">
        <v>0.15315756459999999</v>
      </c>
      <c r="AA118" s="8">
        <v>2.8812912270000002</v>
      </c>
      <c r="AB118" s="8">
        <v>13.777544109999999</v>
      </c>
      <c r="AC118" s="8">
        <v>18.83520163</v>
      </c>
      <c r="AD118" s="96">
        <v>35.6471945316</v>
      </c>
    </row>
    <row r="119" spans="3:30" x14ac:dyDescent="0.25">
      <c r="C119" s="147" t="s">
        <v>22</v>
      </c>
      <c r="D119" t="s">
        <v>406</v>
      </c>
      <c r="E119" t="s">
        <v>407</v>
      </c>
      <c r="F119" t="s">
        <v>408</v>
      </c>
      <c r="G119" t="s">
        <v>409</v>
      </c>
      <c r="H119" s="8">
        <f>VLOOKUP(D119,Résultats!$B$2:$AX$476,'T energie vecteurs'!W5,FALSE)</f>
        <v>0</v>
      </c>
      <c r="I119" s="8">
        <f>VLOOKUP(E119,Résultats!$B$2:$AX$476,'T energie vecteurs'!W5,FALSE)</f>
        <v>1.3389495380000001</v>
      </c>
      <c r="J119" s="8">
        <f>VLOOKUP(F119,Résultats!$B$2:$AX$476,'T energie vecteurs'!W5,FALSE)</f>
        <v>8.5376198209999998</v>
      </c>
      <c r="K119" s="8">
        <f>VLOOKUP(G119,Résultats!$B$2:$AX$476,'T energie vecteurs'!W5,FALSE)</f>
        <v>9.4599094669999904</v>
      </c>
      <c r="L119" s="96">
        <f t="shared" si="28"/>
        <v>19.33647882599999</v>
      </c>
      <c r="M119" s="75"/>
      <c r="N119" s="150" t="s">
        <v>22</v>
      </c>
      <c r="O119" s="29">
        <f>('[2]Bilan 2050 AMS'!$W$46)/11.63</f>
        <v>0</v>
      </c>
      <c r="P119" s="28">
        <f>SUM('[2]Bilan 2050 AMS'!$W$41:$W$43)/11.63</f>
        <v>5.6625066314646942E-3</v>
      </c>
      <c r="Q119" s="28">
        <f>('[2]Bilan 2050 AMS'!$W$13)/11.63</f>
        <v>9.5724519323725303</v>
      </c>
      <c r="R119" s="28">
        <f>('[2]Bilan 2050 AMS'!$W$22+'[2]Bilan 2050 AMS'!$W$30+SUM('[2]Bilan 2050 AMS'!$W$36:$W$40)+SUM('[2]Bilan 2050 AMS'!$W$44:$W$45)+'[2]Bilan 2050 AMS'!$W$47)/11.63</f>
        <v>6.9289112574602063</v>
      </c>
      <c r="S119" s="142">
        <f t="shared" si="29"/>
        <v>16.507025696464201</v>
      </c>
      <c r="T119" s="270"/>
      <c r="U119" s="147" t="s">
        <v>22</v>
      </c>
      <c r="V119" t="s">
        <v>406</v>
      </c>
      <c r="W119" t="s">
        <v>407</v>
      </c>
      <c r="X119" t="s">
        <v>408</v>
      </c>
      <c r="Y119" t="s">
        <v>409</v>
      </c>
      <c r="Z119" s="8">
        <v>0</v>
      </c>
      <c r="AA119" s="8">
        <v>1.3383219230000001</v>
      </c>
      <c r="AB119" s="8">
        <v>8.5406576239999996</v>
      </c>
      <c r="AC119" s="8">
        <v>9.4641945409999995</v>
      </c>
      <c r="AD119" s="96">
        <v>19.343174087999998</v>
      </c>
    </row>
    <row r="120" spans="3:30" x14ac:dyDescent="0.25">
      <c r="C120" s="147" t="s">
        <v>23</v>
      </c>
      <c r="H120" s="8">
        <f>SUM(H121:H123)</f>
        <v>2.1307314218000002</v>
      </c>
      <c r="I120" s="8">
        <f>SUM(I121:I123)</f>
        <v>13.198543167</v>
      </c>
      <c r="J120" s="8">
        <f>SUM(J121:J123)</f>
        <v>21.253373083400003</v>
      </c>
      <c r="K120" s="8">
        <f>SUM(K121:K123)</f>
        <v>11.706222187</v>
      </c>
      <c r="L120" s="96">
        <f>SUM(H120:K120)</f>
        <v>48.288869859200005</v>
      </c>
      <c r="M120" s="75"/>
      <c r="N120" s="150" t="s">
        <v>490</v>
      </c>
      <c r="O120" s="29">
        <f>O121+O122</f>
        <v>5.5141288986823259E-2</v>
      </c>
      <c r="P120" s="28">
        <f t="shared" ref="P120:R120" si="30">P121+P122</f>
        <v>8.659475909889423</v>
      </c>
      <c r="Q120" s="28">
        <f t="shared" si="30"/>
        <v>18.376980061860618</v>
      </c>
      <c r="R120" s="28">
        <f t="shared" si="30"/>
        <v>18.495508139104587</v>
      </c>
      <c r="S120" s="142">
        <f t="shared" si="29"/>
        <v>45.587105399841448</v>
      </c>
      <c r="T120" s="270"/>
      <c r="U120" s="147" t="s">
        <v>23</v>
      </c>
      <c r="Z120" s="8">
        <v>2.1246167640000002</v>
      </c>
      <c r="AA120" s="8">
        <v>13.175908846999999</v>
      </c>
      <c r="AB120" s="8">
        <v>21.228988469899999</v>
      </c>
      <c r="AC120" s="8">
        <v>11.695139027199991</v>
      </c>
      <c r="AD120" s="96">
        <v>48.224653108099993</v>
      </c>
    </row>
    <row r="121" spans="3:30" x14ac:dyDescent="0.25">
      <c r="C121" s="149" t="s">
        <v>24</v>
      </c>
      <c r="D121" t="s">
        <v>410</v>
      </c>
      <c r="E121" t="s">
        <v>411</v>
      </c>
      <c r="F121" t="s">
        <v>412</v>
      </c>
      <c r="G121" t="s">
        <v>413</v>
      </c>
      <c r="H121" s="16">
        <f>VLOOKUP(D121,Résultats!$B$2:$AX$476,'T energie vecteurs'!W5,FALSE)</f>
        <v>1.17767036</v>
      </c>
      <c r="I121" s="16">
        <f>VLOOKUP(E121,Résultats!$B$2:$AX$476,'T energie vecteurs'!W5,FALSE)</f>
        <v>6.8112361119999996</v>
      </c>
      <c r="J121" s="16">
        <f>VLOOKUP(F121,Résultats!$B$2:$AX$476,'T energie vecteurs'!W5,FALSE)</f>
        <v>20.780053980000002</v>
      </c>
      <c r="K121" s="16">
        <f>VLOOKUP(G121,Résultats!$B$2:$AX$476,'T energie vecteurs'!W5,FALSE)</f>
        <v>8.5018879100000007</v>
      </c>
      <c r="L121" s="95">
        <f t="shared" si="28"/>
        <v>37.270848362000002</v>
      </c>
      <c r="M121" s="16"/>
      <c r="N121" s="149" t="s">
        <v>491</v>
      </c>
      <c r="O121" s="143">
        <f>'[2]Bilan 2050 AMS'!$U$46/11.63</f>
        <v>5.5141288986823259E-2</v>
      </c>
      <c r="P121" s="30">
        <f>SUM('[2]Bilan 2050 AMS'!$U$41:$U$43)/11.63</f>
        <v>0.24326850906629924</v>
      </c>
      <c r="Q121" s="30">
        <f>'[2]Bilan 2050 AMS'!$U$13/11.63</f>
        <v>18.376980061860618</v>
      </c>
      <c r="R121" s="30">
        <f>('[2]Bilan 2050 AMS'!$U$22+'[2]Bilan 2050 AMS'!$U$30+SUM('[2]Bilan 2050 AMS'!$U$36:$U$40)+SUM('[2]Bilan 2050 AMS'!$U$44:$U$45)+'[2]Bilan 2050 AMS'!$U$47)/11.63</f>
        <v>11.543053292700122</v>
      </c>
      <c r="S121" s="95">
        <f t="shared" si="29"/>
        <v>30.218443152613862</v>
      </c>
      <c r="T121" s="270"/>
      <c r="U121" s="149" t="s">
        <v>24</v>
      </c>
      <c r="V121" t="s">
        <v>410</v>
      </c>
      <c r="W121" t="s">
        <v>411</v>
      </c>
      <c r="X121" t="s">
        <v>412</v>
      </c>
      <c r="Y121" t="s">
        <v>413</v>
      </c>
      <c r="Z121" s="16">
        <v>1.1744614250000001</v>
      </c>
      <c r="AA121" s="16">
        <v>6.783775941</v>
      </c>
      <c r="AB121" s="16">
        <v>20.755303049999998</v>
      </c>
      <c r="AC121" s="16">
        <v>8.4857812139999904</v>
      </c>
      <c r="AD121" s="95">
        <v>37.199321629999993</v>
      </c>
    </row>
    <row r="122" spans="3:30" x14ac:dyDescent="0.25">
      <c r="C122" s="149" t="s">
        <v>47</v>
      </c>
      <c r="D122" t="s">
        <v>414</v>
      </c>
      <c r="E122" t="s">
        <v>415</v>
      </c>
      <c r="F122" t="s">
        <v>416</v>
      </c>
      <c r="G122" t="s">
        <v>417</v>
      </c>
      <c r="H122" s="16">
        <f>VLOOKUP(D122,Résultats!$B$2:$AX$476,'T energie vecteurs'!W5,FALSE)</f>
        <v>0.95306106180000005</v>
      </c>
      <c r="I122" s="16">
        <f>VLOOKUP(E122,Résultats!$B$2:$AX$476,'T energie vecteurs'!W5,FALSE)</f>
        <v>2.710322932</v>
      </c>
      <c r="J122" s="16">
        <f>VLOOKUP(F122,Résultats!$B$2:$AX$476,'T energie vecteurs'!W5,FALSE)</f>
        <v>0</v>
      </c>
      <c r="K122" s="16">
        <f>VLOOKUP(G122,Résultats!$B$2:$AX$476,'T energie vecteurs'!W5,FALSE)</f>
        <v>2.6110584509999999</v>
      </c>
      <c r="L122" s="95">
        <f t="shared" si="28"/>
        <v>6.2744424448</v>
      </c>
      <c r="M122" s="16"/>
      <c r="N122" s="149" t="s">
        <v>47</v>
      </c>
      <c r="O122" s="22">
        <f>'[2]Bilan 2050 AMS'!$E$52/11.63</f>
        <v>0</v>
      </c>
      <c r="P122" s="16">
        <f>('[2]Bilan 2050 AMS'!$E$54+'[2]Bilan 2050 AMS'!$E$56)/11.63</f>
        <v>8.416207400823124</v>
      </c>
      <c r="Q122" s="16">
        <v>0</v>
      </c>
      <c r="R122" s="16">
        <f>('[2]Bilan 2050 AMS'!$E$53+'[2]Bilan 2050 AMS'!$E$55+'[2]Bilan 2050 AMS'!$E$57)/11.63</f>
        <v>6.9524548464044633</v>
      </c>
      <c r="S122" s="95">
        <f t="shared" si="29"/>
        <v>15.368662247227586</v>
      </c>
      <c r="T122" s="270"/>
      <c r="U122" s="149" t="s">
        <v>47</v>
      </c>
      <c r="V122" t="s">
        <v>414</v>
      </c>
      <c r="W122" t="s">
        <v>415</v>
      </c>
      <c r="X122" t="s">
        <v>416</v>
      </c>
      <c r="Y122" t="s">
        <v>417</v>
      </c>
      <c r="Z122" s="16">
        <v>0.95015533900000004</v>
      </c>
      <c r="AA122" s="16">
        <v>2.7148297189999999</v>
      </c>
      <c r="AB122" s="16">
        <v>0</v>
      </c>
      <c r="AC122" s="16">
        <v>2.6162611939999998</v>
      </c>
      <c r="AD122" s="95">
        <v>6.2812462519999999</v>
      </c>
    </row>
    <row r="123" spans="3:30" x14ac:dyDescent="0.25">
      <c r="C123" s="149" t="s">
        <v>25</v>
      </c>
      <c r="D123" t="s">
        <v>418</v>
      </c>
      <c r="E123" t="s">
        <v>419</v>
      </c>
      <c r="F123" t="s">
        <v>420</v>
      </c>
      <c r="G123" t="s">
        <v>421</v>
      </c>
      <c r="H123" s="16">
        <f>VLOOKUP(D123,Résultats!$B$2:$AX$476,'T energie vecteurs'!W5,FALSE)</f>
        <v>0</v>
      </c>
      <c r="I123" s="16">
        <f>VLOOKUP(E123,Résultats!$B$2:$AX$476,'T energie vecteurs'!W5,FALSE)</f>
        <v>3.676984123</v>
      </c>
      <c r="J123" s="16">
        <f>VLOOKUP(F123,Résultats!$B$2:$AX$476,'T energie vecteurs'!W5,FALSE)</f>
        <v>0.4733191034</v>
      </c>
      <c r="K123" s="16">
        <f>VLOOKUP(G123,Résultats!$B$2:$AX$476,'T energie vecteurs'!W5,FALSE)</f>
        <v>0.59327582599999995</v>
      </c>
      <c r="L123" s="95">
        <f t="shared" si="28"/>
        <v>4.7435790524000003</v>
      </c>
      <c r="M123" s="16"/>
      <c r="N123" s="150" t="s">
        <v>25</v>
      </c>
      <c r="O123" s="29">
        <f>'[2]Bilan 2050 AMS'!$T$46/11.63</f>
        <v>0</v>
      </c>
      <c r="P123" s="28">
        <f>SUM('[2]Bilan 2050 AMS'!$T$41:$T$43)/11.63</f>
        <v>1.6205405671470268</v>
      </c>
      <c r="Q123" s="28">
        <f>'[2]Bilan 2050 AMS'!$T$13/11.63</f>
        <v>0.59590433813600663</v>
      </c>
      <c r="R123" s="28">
        <f>('[2]Bilan 2050 AMS'!$T$22+'[2]Bilan 2050 AMS'!$T$30+SUM('[2]Bilan 2050 AMS'!$T$36:$T$40)+SUM('[2]Bilan 2050 AMS'!$T$44:$T$45)+'[2]Bilan 2050 AMS'!$T$47)/11.63</f>
        <v>0.82592305453866399</v>
      </c>
      <c r="S123" s="142">
        <f t="shared" si="29"/>
        <v>3.0423679598216973</v>
      </c>
      <c r="T123" s="270"/>
      <c r="U123" s="149" t="s">
        <v>25</v>
      </c>
      <c r="V123" t="s">
        <v>418</v>
      </c>
      <c r="W123" t="s">
        <v>419</v>
      </c>
      <c r="X123" t="s">
        <v>420</v>
      </c>
      <c r="Y123" t="s">
        <v>421</v>
      </c>
      <c r="Z123" s="16">
        <v>0</v>
      </c>
      <c r="AA123" s="16">
        <v>3.6773031870000001</v>
      </c>
      <c r="AB123" s="16">
        <v>0.47368541990000002</v>
      </c>
      <c r="AC123" s="16">
        <v>0.59309661920000001</v>
      </c>
      <c r="AD123" s="95">
        <v>4.7440852261000002</v>
      </c>
    </row>
    <row r="124" spans="3:30" x14ac:dyDescent="0.25">
      <c r="C124" s="23" t="s">
        <v>26</v>
      </c>
      <c r="D124" s="10"/>
      <c r="E124" s="10"/>
      <c r="F124" s="10"/>
      <c r="G124" s="10"/>
      <c r="H124" s="9">
        <f>SUM(H115,H118:H120)</f>
        <v>2.2571651740000003</v>
      </c>
      <c r="I124" s="9">
        <f>SUM(I115,I118:I120)</f>
        <v>31.933709851</v>
      </c>
      <c r="J124" s="9">
        <f>SUM(J115,J118:J120)</f>
        <v>54.154029413399996</v>
      </c>
      <c r="K124" s="9">
        <f>SUM(K115,K118:K120)</f>
        <v>41.367292646755885</v>
      </c>
      <c r="L124" s="98">
        <f t="shared" si="28"/>
        <v>129.71219708515588</v>
      </c>
      <c r="M124" s="79"/>
      <c r="N124" s="151" t="s">
        <v>26</v>
      </c>
      <c r="O124" s="32">
        <f>O115+O118+O119+O120+O123</f>
        <v>5.5141288986823259E-2</v>
      </c>
      <c r="P124" s="31">
        <f>P115+P118+P119+P120+P123</f>
        <v>12.608954326783392</v>
      </c>
      <c r="Q124" s="31">
        <f>Q115+Q118+Q119+Q120+Q123</f>
        <v>50.175055400076403</v>
      </c>
      <c r="R124" s="31">
        <f>R115+R118+R119+R120+R123</f>
        <v>42.857266726472616</v>
      </c>
      <c r="S124" s="144">
        <f t="shared" si="29"/>
        <v>105.69641774231923</v>
      </c>
      <c r="T124" s="79"/>
      <c r="U124" s="23" t="s">
        <v>26</v>
      </c>
      <c r="V124" s="10"/>
      <c r="W124" s="10"/>
      <c r="X124" s="10"/>
      <c r="Y124" s="10"/>
      <c r="Z124" s="9">
        <v>2.2777743286000001</v>
      </c>
      <c r="AA124" s="9">
        <v>31.775833671999997</v>
      </c>
      <c r="AB124" s="9">
        <v>54.674556578899995</v>
      </c>
      <c r="AC124" s="9">
        <v>42.043099342373814</v>
      </c>
      <c r="AD124" s="98">
        <v>130.77126392187381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O125" s="77"/>
      <c r="P125" s="77"/>
      <c r="Q125" s="77"/>
      <c r="R125" s="78"/>
      <c r="S125" s="45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5">
      <c r="C126" s="3"/>
      <c r="D126" s="3"/>
      <c r="E126" s="3"/>
      <c r="F126" s="3">
        <f>0.1/0.028*51.84</f>
        <v>185.14285714285717</v>
      </c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>
        <v>185.14285714285717</v>
      </c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s="3" customFormat="1" x14ac:dyDescent="0.25">
      <c r="C128" s="60" t="s">
        <v>488</v>
      </c>
      <c r="F128" s="3">
        <f>0.1/0.028*51.84</f>
        <v>185.14285714285717</v>
      </c>
      <c r="N128" s="60" t="s">
        <v>489</v>
      </c>
      <c r="U128" s="60" t="s">
        <v>488</v>
      </c>
      <c r="X128" s="3">
        <v>185.14285714285717</v>
      </c>
    </row>
    <row r="129" spans="3:30" s="3" customFormat="1" ht="31.5" x14ac:dyDescent="0.35">
      <c r="C129" s="145">
        <v>2050</v>
      </c>
      <c r="D129" s="146"/>
      <c r="E129" s="146"/>
      <c r="F129" s="146"/>
      <c r="G129" s="146"/>
      <c r="H129" s="76" t="s">
        <v>36</v>
      </c>
      <c r="I129" s="76" t="s">
        <v>49</v>
      </c>
      <c r="J129" s="76" t="s">
        <v>38</v>
      </c>
      <c r="K129" s="76" t="s">
        <v>48</v>
      </c>
      <c r="L129" s="93" t="s">
        <v>1</v>
      </c>
      <c r="N129" s="145">
        <v>2050</v>
      </c>
      <c r="O129" s="141" t="s">
        <v>36</v>
      </c>
      <c r="P129" s="76" t="s">
        <v>49</v>
      </c>
      <c r="Q129" s="76" t="s">
        <v>38</v>
      </c>
      <c r="R129" s="76" t="s">
        <v>48</v>
      </c>
      <c r="S129" s="93" t="s">
        <v>1</v>
      </c>
      <c r="U129" s="145">
        <v>2050</v>
      </c>
      <c r="V129" s="146"/>
      <c r="W129" s="146"/>
      <c r="X129" s="146"/>
      <c r="Y129" s="146"/>
      <c r="Z129" s="76" t="s">
        <v>36</v>
      </c>
      <c r="AA129" s="76" t="s">
        <v>49</v>
      </c>
      <c r="AB129" s="76" t="s">
        <v>38</v>
      </c>
      <c r="AC129" s="76" t="s">
        <v>48</v>
      </c>
      <c r="AD129" s="93" t="s">
        <v>1</v>
      </c>
    </row>
    <row r="130" spans="3:30" s="3" customFormat="1" x14ac:dyDescent="0.25">
      <c r="C130" s="276" t="s">
        <v>18</v>
      </c>
      <c r="D130" s="277"/>
      <c r="E130" s="277"/>
      <c r="F130" s="277"/>
      <c r="G130" s="277"/>
      <c r="H130" s="278" t="e">
        <f>H115-#REF!</f>
        <v>#REF!</v>
      </c>
      <c r="I130" s="278" t="e">
        <f>I115-#REF!</f>
        <v>#REF!</v>
      </c>
      <c r="J130" s="278" t="e">
        <f>J115-#REF!</f>
        <v>#REF!</v>
      </c>
      <c r="K130" s="278" t="e">
        <f>K115-#REF!</f>
        <v>#REF!</v>
      </c>
      <c r="L130" s="279" t="e">
        <f>L115-#REF!</f>
        <v>#REF!</v>
      </c>
      <c r="N130" s="276" t="s">
        <v>18</v>
      </c>
      <c r="O130" s="285">
        <f>H115-O115</f>
        <v>0</v>
      </c>
      <c r="P130" s="286">
        <f t="shared" ref="P130:S139" si="31">I115-P115</f>
        <v>12.090782901852871</v>
      </c>
      <c r="Q130" s="286">
        <f t="shared" si="31"/>
        <v>0.99292840219482947</v>
      </c>
      <c r="R130" s="286">
        <f t="shared" si="31"/>
        <v>0.7756777335635463</v>
      </c>
      <c r="S130" s="287">
        <f t="shared" si="31"/>
        <v>13.859389037611248</v>
      </c>
      <c r="U130" s="276" t="s">
        <v>18</v>
      </c>
      <c r="V130" s="277"/>
      <c r="W130" s="277"/>
      <c r="X130" s="277"/>
      <c r="Y130" s="277"/>
      <c r="Z130" s="278" t="e">
        <v>#REF!</v>
      </c>
      <c r="AA130" s="278" t="e">
        <v>#REF!</v>
      </c>
      <c r="AB130" s="278" t="e">
        <v>#REF!</v>
      </c>
      <c r="AC130" s="278" t="e">
        <v>#REF!</v>
      </c>
      <c r="AD130" s="279" t="e">
        <v>#REF!</v>
      </c>
    </row>
    <row r="131" spans="3:30" s="3" customFormat="1" x14ac:dyDescent="0.25">
      <c r="C131" s="148" t="s">
        <v>19</v>
      </c>
      <c r="D131" t="s">
        <v>394</v>
      </c>
      <c r="E131" t="s">
        <v>395</v>
      </c>
      <c r="F131" t="s">
        <v>396</v>
      </c>
      <c r="G131" t="s">
        <v>397</v>
      </c>
      <c r="H131" s="34" t="e">
        <f>H116-#REF!</f>
        <v>#REF!</v>
      </c>
      <c r="I131" s="34" t="e">
        <f>I116-#REF!</f>
        <v>#REF!</v>
      </c>
      <c r="J131" s="34" t="e">
        <f>J116-#REF!</f>
        <v>#REF!</v>
      </c>
      <c r="K131" s="34" t="e">
        <f>K116-#REF!</f>
        <v>#REF!</v>
      </c>
      <c r="L131" s="280" t="e">
        <f>L116-#REF!</f>
        <v>#REF!</v>
      </c>
      <c r="N131" s="148" t="s">
        <v>19</v>
      </c>
      <c r="O131" s="288">
        <f t="shared" ref="O131:O139" si="32">H116-O116</f>
        <v>0</v>
      </c>
      <c r="P131" s="34">
        <f t="shared" si="31"/>
        <v>5.0923313779999999</v>
      </c>
      <c r="Q131" s="34">
        <f t="shared" si="31"/>
        <v>3.4243389579999999</v>
      </c>
      <c r="R131" s="34">
        <f t="shared" si="31"/>
        <v>8.1117558900000007E-6</v>
      </c>
      <c r="S131" s="280">
        <f t="shared" si="31"/>
        <v>8.5166784477558899</v>
      </c>
      <c r="U131" s="148" t="s">
        <v>19</v>
      </c>
      <c r="V131" t="s">
        <v>394</v>
      </c>
      <c r="W131" t="s">
        <v>395</v>
      </c>
      <c r="X131" t="s">
        <v>396</v>
      </c>
      <c r="Y131" t="s">
        <v>397</v>
      </c>
      <c r="Z131" s="34" t="e">
        <v>#REF!</v>
      </c>
      <c r="AA131" s="34" t="e">
        <v>#REF!</v>
      </c>
      <c r="AB131" s="34" t="e">
        <v>#REF!</v>
      </c>
      <c r="AC131" s="34" t="e">
        <v>#REF!</v>
      </c>
      <c r="AD131" s="280" t="e">
        <v>#REF!</v>
      </c>
    </row>
    <row r="132" spans="3:30" s="3" customFormat="1" x14ac:dyDescent="0.25">
      <c r="C132" s="149" t="s">
        <v>20</v>
      </c>
      <c r="D132" t="s">
        <v>398</v>
      </c>
      <c r="E132" t="s">
        <v>399</v>
      </c>
      <c r="F132" t="s">
        <v>400</v>
      </c>
      <c r="G132" t="s">
        <v>401</v>
      </c>
      <c r="H132" s="34" t="e">
        <f>H117-#REF!</f>
        <v>#REF!</v>
      </c>
      <c r="I132" s="34" t="e">
        <f>I117-#REF!</f>
        <v>#REF!</v>
      </c>
      <c r="J132" s="34" t="e">
        <f>J117-#REF!</f>
        <v>#REF!</v>
      </c>
      <c r="K132" s="34" t="e">
        <f>K117-#REF!</f>
        <v>#REF!</v>
      </c>
      <c r="L132" s="280" t="e">
        <f>L117-#REF!</f>
        <v>#REF!</v>
      </c>
      <c r="N132" s="149" t="s">
        <v>20</v>
      </c>
      <c r="O132" s="288">
        <f t="shared" si="32"/>
        <v>0</v>
      </c>
      <c r="P132" s="34">
        <f t="shared" si="31"/>
        <v>9.2911051820000008</v>
      </c>
      <c r="Q132" s="34">
        <f t="shared" si="31"/>
        <v>7.7065611509999998</v>
      </c>
      <c r="R132" s="34">
        <f t="shared" si="31"/>
        <v>2.049397591</v>
      </c>
      <c r="S132" s="280">
        <f t="shared" si="31"/>
        <v>19.047063924</v>
      </c>
      <c r="U132" s="149" t="s">
        <v>20</v>
      </c>
      <c r="V132" t="s">
        <v>398</v>
      </c>
      <c r="W132" t="s">
        <v>399</v>
      </c>
      <c r="X132" t="s">
        <v>400</v>
      </c>
      <c r="Y132" t="s">
        <v>401</v>
      </c>
      <c r="Z132" s="34" t="e">
        <v>#REF!</v>
      </c>
      <c r="AA132" s="34" t="e">
        <v>#REF!</v>
      </c>
      <c r="AB132" s="34" t="e">
        <v>#REF!</v>
      </c>
      <c r="AC132" s="34" t="e">
        <v>#REF!</v>
      </c>
      <c r="AD132" s="280" t="e">
        <v>#REF!</v>
      </c>
    </row>
    <row r="133" spans="3:30" s="3" customFormat="1" x14ac:dyDescent="0.25">
      <c r="C133" s="276" t="s">
        <v>21</v>
      </c>
      <c r="D133" s="277" t="s">
        <v>402</v>
      </c>
      <c r="E133" s="277" t="s">
        <v>403</v>
      </c>
      <c r="F133" s="277" t="s">
        <v>404</v>
      </c>
      <c r="G133" s="277" t="s">
        <v>405</v>
      </c>
      <c r="H133" s="278" t="e">
        <f>H118-#REF!</f>
        <v>#REF!</v>
      </c>
      <c r="I133" s="278" t="e">
        <f>I118-#REF!</f>
        <v>#REF!</v>
      </c>
      <c r="J133" s="278" t="e">
        <f>J118-#REF!</f>
        <v>#REF!</v>
      </c>
      <c r="K133" s="278" t="e">
        <f>K118-#REF!</f>
        <v>#REF!</v>
      </c>
      <c r="L133" s="279" t="e">
        <f>L118-#REF!</f>
        <v>#REF!</v>
      </c>
      <c r="N133" s="276" t="s">
        <v>21</v>
      </c>
      <c r="O133" s="289">
        <f t="shared" si="32"/>
        <v>0.1264337522</v>
      </c>
      <c r="P133" s="286">
        <f t="shared" si="31"/>
        <v>2.9821589010316516</v>
      </c>
      <c r="Q133" s="286">
        <f t="shared" si="31"/>
        <v>1.7403890390979289</v>
      </c>
      <c r="R133" s="286">
        <f t="shared" si="31"/>
        <v>2.8185589838231859</v>
      </c>
      <c r="S133" s="287">
        <f t="shared" si="31"/>
        <v>7.6675406761527682</v>
      </c>
      <c r="U133" s="276" t="s">
        <v>21</v>
      </c>
      <c r="V133" s="277" t="s">
        <v>402</v>
      </c>
      <c r="W133" s="277" t="s">
        <v>403</v>
      </c>
      <c r="X133" s="277" t="s">
        <v>404</v>
      </c>
      <c r="Y133" s="277" t="s">
        <v>405</v>
      </c>
      <c r="Z133" s="278" t="e">
        <v>#REF!</v>
      </c>
      <c r="AA133" s="278" t="e">
        <v>#REF!</v>
      </c>
      <c r="AB133" s="278" t="e">
        <v>#REF!</v>
      </c>
      <c r="AC133" s="278" t="e">
        <v>#REF!</v>
      </c>
      <c r="AD133" s="279" t="e">
        <v>#REF!</v>
      </c>
    </row>
    <row r="134" spans="3:30" s="3" customFormat="1" x14ac:dyDescent="0.25">
      <c r="C134" s="276" t="s">
        <v>22</v>
      </c>
      <c r="D134" s="277" t="s">
        <v>406</v>
      </c>
      <c r="E134" s="277" t="s">
        <v>407</v>
      </c>
      <c r="F134" s="277" t="s">
        <v>408</v>
      </c>
      <c r="G134" s="277" t="s">
        <v>409</v>
      </c>
      <c r="H134" s="278" t="e">
        <f>H119-#REF!</f>
        <v>#REF!</v>
      </c>
      <c r="I134" s="278" t="e">
        <f>I119-#REF!</f>
        <v>#REF!</v>
      </c>
      <c r="J134" s="278" t="e">
        <f>J119-#REF!</f>
        <v>#REF!</v>
      </c>
      <c r="K134" s="278" t="e">
        <f>K119-#REF!</f>
        <v>#REF!</v>
      </c>
      <c r="L134" s="279" t="e">
        <f>L119-#REF!</f>
        <v>#REF!</v>
      </c>
      <c r="N134" s="276" t="s">
        <v>22</v>
      </c>
      <c r="O134" s="289">
        <f t="shared" si="32"/>
        <v>0</v>
      </c>
      <c r="P134" s="286">
        <f t="shared" si="31"/>
        <v>1.3332870313685354</v>
      </c>
      <c r="Q134" s="286">
        <f t="shared" si="31"/>
        <v>-1.0348321113725305</v>
      </c>
      <c r="R134" s="286">
        <f t="shared" si="31"/>
        <v>2.530998209539784</v>
      </c>
      <c r="S134" s="287">
        <f t="shared" si="31"/>
        <v>2.8294531295357892</v>
      </c>
      <c r="U134" s="276" t="s">
        <v>22</v>
      </c>
      <c r="V134" s="277" t="s">
        <v>406</v>
      </c>
      <c r="W134" s="277" t="s">
        <v>407</v>
      </c>
      <c r="X134" s="277" t="s">
        <v>408</v>
      </c>
      <c r="Y134" s="277" t="s">
        <v>409</v>
      </c>
      <c r="Z134" s="278" t="e">
        <v>#REF!</v>
      </c>
      <c r="AA134" s="278" t="e">
        <v>#REF!</v>
      </c>
      <c r="AB134" s="278" t="e">
        <v>#REF!</v>
      </c>
      <c r="AC134" s="278" t="e">
        <v>#REF!</v>
      </c>
      <c r="AD134" s="279" t="e">
        <v>#REF!</v>
      </c>
    </row>
    <row r="135" spans="3:30" s="3" customFormat="1" x14ac:dyDescent="0.25">
      <c r="C135" s="276" t="s">
        <v>23</v>
      </c>
      <c r="D135" s="277"/>
      <c r="E135" s="277"/>
      <c r="F135" s="277"/>
      <c r="G135" s="277"/>
      <c r="H135" s="278" t="e">
        <f>H120-#REF!</f>
        <v>#REF!</v>
      </c>
      <c r="I135" s="278" t="e">
        <f>I120-#REF!</f>
        <v>#REF!</v>
      </c>
      <c r="J135" s="278" t="e">
        <f>J120-#REF!</f>
        <v>#REF!</v>
      </c>
      <c r="K135" s="278" t="e">
        <f>K120-#REF!</f>
        <v>#REF!</v>
      </c>
      <c r="L135" s="279" t="e">
        <f>L120-#REF!</f>
        <v>#REF!</v>
      </c>
      <c r="N135" s="276" t="s">
        <v>23</v>
      </c>
      <c r="O135" s="289">
        <f t="shared" si="32"/>
        <v>2.0755901328131769</v>
      </c>
      <c r="P135" s="286">
        <f t="shared" si="31"/>
        <v>4.5390672571105775</v>
      </c>
      <c r="Q135" s="286">
        <f t="shared" si="31"/>
        <v>2.8763930215393856</v>
      </c>
      <c r="R135" s="286">
        <f t="shared" si="31"/>
        <v>-6.7892859521045867</v>
      </c>
      <c r="S135" s="287">
        <f t="shared" si="31"/>
        <v>2.7017644593585572</v>
      </c>
      <c r="U135" s="276" t="s">
        <v>23</v>
      </c>
      <c r="V135" s="277"/>
      <c r="W135" s="277"/>
      <c r="X135" s="277"/>
      <c r="Y135" s="277"/>
      <c r="Z135" s="278" t="e">
        <v>#REF!</v>
      </c>
      <c r="AA135" s="278" t="e">
        <v>#REF!</v>
      </c>
      <c r="AB135" s="278" t="e">
        <v>#REF!</v>
      </c>
      <c r="AC135" s="278" t="e">
        <v>#REF!</v>
      </c>
      <c r="AD135" s="279" t="e">
        <v>#REF!</v>
      </c>
    </row>
    <row r="136" spans="3:30" s="3" customFormat="1" x14ac:dyDescent="0.25">
      <c r="C136" s="149" t="s">
        <v>24</v>
      </c>
      <c r="D136" t="s">
        <v>410</v>
      </c>
      <c r="E136" t="s">
        <v>411</v>
      </c>
      <c r="F136" t="s">
        <v>412</v>
      </c>
      <c r="G136" t="s">
        <v>413</v>
      </c>
      <c r="H136" s="34" t="e">
        <f>H121-#REF!</f>
        <v>#REF!</v>
      </c>
      <c r="I136" s="34" t="e">
        <f>I121-#REF!</f>
        <v>#REF!</v>
      </c>
      <c r="J136" s="34" t="e">
        <f>J121-#REF!</f>
        <v>#REF!</v>
      </c>
      <c r="K136" s="34" t="e">
        <f>K121-#REF!</f>
        <v>#REF!</v>
      </c>
      <c r="L136" s="280" t="e">
        <f>L121-#REF!</f>
        <v>#REF!</v>
      </c>
      <c r="N136" s="149" t="s">
        <v>24</v>
      </c>
      <c r="O136" s="288">
        <f t="shared" si="32"/>
        <v>1.1225290710131768</v>
      </c>
      <c r="P136" s="271">
        <f t="shared" si="31"/>
        <v>6.5679676029337006</v>
      </c>
      <c r="Q136" s="271">
        <f t="shared" si="31"/>
        <v>2.4030739181393841</v>
      </c>
      <c r="R136" s="271">
        <f t="shared" si="31"/>
        <v>-3.0411653827001217</v>
      </c>
      <c r="S136" s="280">
        <f t="shared" si="31"/>
        <v>7.0524052093861407</v>
      </c>
      <c r="U136" s="149" t="s">
        <v>24</v>
      </c>
      <c r="V136" t="s">
        <v>410</v>
      </c>
      <c r="W136" t="s">
        <v>411</v>
      </c>
      <c r="X136" t="s">
        <v>412</v>
      </c>
      <c r="Y136" t="s">
        <v>413</v>
      </c>
      <c r="Z136" s="34" t="e">
        <v>#REF!</v>
      </c>
      <c r="AA136" s="34" t="e">
        <v>#REF!</v>
      </c>
      <c r="AB136" s="34" t="e">
        <v>#REF!</v>
      </c>
      <c r="AC136" s="34" t="e">
        <v>#REF!</v>
      </c>
      <c r="AD136" s="280" t="e">
        <v>#REF!</v>
      </c>
    </row>
    <row r="137" spans="3:30" s="3" customFormat="1" x14ac:dyDescent="0.25">
      <c r="C137" s="149" t="s">
        <v>47</v>
      </c>
      <c r="D137" t="s">
        <v>414</v>
      </c>
      <c r="E137" t="s">
        <v>415</v>
      </c>
      <c r="F137" t="s">
        <v>416</v>
      </c>
      <c r="G137" t="s">
        <v>417</v>
      </c>
      <c r="H137" s="34" t="e">
        <f>H122-#REF!</f>
        <v>#REF!</v>
      </c>
      <c r="I137" s="34" t="e">
        <f>I122-#REF!</f>
        <v>#REF!</v>
      </c>
      <c r="J137" s="34" t="e">
        <f>J122-#REF!</f>
        <v>#REF!</v>
      </c>
      <c r="K137" s="34" t="e">
        <f>K122-#REF!</f>
        <v>#REF!</v>
      </c>
      <c r="L137" s="280" t="e">
        <f>L122-#REF!</f>
        <v>#REF!</v>
      </c>
      <c r="N137" s="149" t="s">
        <v>47</v>
      </c>
      <c r="O137" s="290">
        <f t="shared" si="32"/>
        <v>0.95306106180000005</v>
      </c>
      <c r="P137" s="34">
        <f t="shared" si="31"/>
        <v>-5.7058844688231236</v>
      </c>
      <c r="Q137" s="34">
        <f t="shared" si="31"/>
        <v>0</v>
      </c>
      <c r="R137" s="34">
        <f t="shared" si="31"/>
        <v>-4.3413963954044634</v>
      </c>
      <c r="S137" s="280">
        <f t="shared" si="31"/>
        <v>-9.0942198024275864</v>
      </c>
      <c r="U137" s="149" t="s">
        <v>47</v>
      </c>
      <c r="V137" t="s">
        <v>414</v>
      </c>
      <c r="W137" t="s">
        <v>415</v>
      </c>
      <c r="X137" t="s">
        <v>416</v>
      </c>
      <c r="Y137" t="s">
        <v>417</v>
      </c>
      <c r="Z137" s="34" t="e">
        <v>#REF!</v>
      </c>
      <c r="AA137" s="34" t="e">
        <v>#REF!</v>
      </c>
      <c r="AB137" s="34" t="e">
        <v>#REF!</v>
      </c>
      <c r="AC137" s="34" t="e">
        <v>#REF!</v>
      </c>
      <c r="AD137" s="280" t="e">
        <v>#REF!</v>
      </c>
    </row>
    <row r="138" spans="3:30" s="3" customFormat="1" x14ac:dyDescent="0.25">
      <c r="C138" s="149" t="s">
        <v>25</v>
      </c>
      <c r="D138" t="s">
        <v>418</v>
      </c>
      <c r="E138" t="s">
        <v>419</v>
      </c>
      <c r="F138" t="s">
        <v>420</v>
      </c>
      <c r="G138" t="s">
        <v>421</v>
      </c>
      <c r="H138" s="34" t="e">
        <f>H123-#REF!</f>
        <v>#REF!</v>
      </c>
      <c r="I138" s="34" t="e">
        <f>I123-#REF!</f>
        <v>#REF!</v>
      </c>
      <c r="J138" s="34" t="e">
        <f>J123-#REF!</f>
        <v>#REF!</v>
      </c>
      <c r="K138" s="34" t="e">
        <f>K123-#REF!</f>
        <v>#REF!</v>
      </c>
      <c r="L138" s="280" t="e">
        <f>L123-#REF!</f>
        <v>#REF!</v>
      </c>
      <c r="N138" s="149" t="s">
        <v>25</v>
      </c>
      <c r="O138" s="288">
        <f t="shared" si="32"/>
        <v>0</v>
      </c>
      <c r="P138" s="271">
        <f t="shared" si="31"/>
        <v>2.0564435558529732</v>
      </c>
      <c r="Q138" s="271">
        <f t="shared" si="31"/>
        <v>-0.12258523473600663</v>
      </c>
      <c r="R138" s="271">
        <f t="shared" si="31"/>
        <v>-0.23264722853866404</v>
      </c>
      <c r="S138" s="280">
        <f t="shared" si="31"/>
        <v>1.7012110925783031</v>
      </c>
      <c r="U138" s="149" t="s">
        <v>25</v>
      </c>
      <c r="V138" t="s">
        <v>418</v>
      </c>
      <c r="W138" t="s">
        <v>419</v>
      </c>
      <c r="X138" t="s">
        <v>420</v>
      </c>
      <c r="Y138" t="s">
        <v>421</v>
      </c>
      <c r="Z138" s="34" t="e">
        <v>#REF!</v>
      </c>
      <c r="AA138" s="34" t="e">
        <v>#REF!</v>
      </c>
      <c r="AB138" s="34" t="e">
        <v>#REF!</v>
      </c>
      <c r="AC138" s="34" t="e">
        <v>#REF!</v>
      </c>
      <c r="AD138" s="280" t="e">
        <v>#REF!</v>
      </c>
    </row>
    <row r="139" spans="3:30" s="3" customFormat="1" x14ac:dyDescent="0.25">
      <c r="C139" s="281" t="s">
        <v>26</v>
      </c>
      <c r="D139" s="282"/>
      <c r="E139" s="282"/>
      <c r="F139" s="282"/>
      <c r="G139" s="282"/>
      <c r="H139" s="283" t="e">
        <f>H124-#REF!</f>
        <v>#REF!</v>
      </c>
      <c r="I139" s="283" t="e">
        <f>I124-#REF!</f>
        <v>#REF!</v>
      </c>
      <c r="J139" s="283" t="e">
        <f>J124-#REF!</f>
        <v>#REF!</v>
      </c>
      <c r="K139" s="283" t="e">
        <f>K124-#REF!</f>
        <v>#REF!</v>
      </c>
      <c r="L139" s="284" t="e">
        <f>L124-#REF!</f>
        <v>#REF!</v>
      </c>
      <c r="N139" s="281" t="s">
        <v>26</v>
      </c>
      <c r="O139" s="291">
        <f t="shared" si="32"/>
        <v>2.202023885013177</v>
      </c>
      <c r="P139" s="292">
        <f t="shared" si="31"/>
        <v>19.324755524216606</v>
      </c>
      <c r="Q139" s="292">
        <f t="shared" si="31"/>
        <v>3.9789740133235938</v>
      </c>
      <c r="R139" s="292">
        <f t="shared" si="31"/>
        <v>-1.4899740797167311</v>
      </c>
      <c r="S139" s="293">
        <f t="shared" si="31"/>
        <v>24.015779342836652</v>
      </c>
      <c r="U139" s="281" t="s">
        <v>26</v>
      </c>
      <c r="V139" s="282"/>
      <c r="W139" s="282"/>
      <c r="X139" s="282"/>
      <c r="Y139" s="282"/>
      <c r="Z139" s="283" t="e">
        <v>#REF!</v>
      </c>
      <c r="AA139" s="283" t="e">
        <v>#REF!</v>
      </c>
      <c r="AB139" s="283" t="e">
        <v>#REF!</v>
      </c>
      <c r="AC139" s="283" t="e">
        <v>#REF!</v>
      </c>
      <c r="AD139" s="284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pans="3:21" s="3" customFormat="1" x14ac:dyDescent="0.25"/>
    <row r="194" spans="3:21" s="3" customFormat="1" x14ac:dyDescent="0.25"/>
    <row r="195" spans="3:21" s="3" customFormat="1" x14ac:dyDescent="0.25"/>
    <row r="196" spans="3:21" s="3" customFormat="1" x14ac:dyDescent="0.25"/>
    <row r="197" spans="3:21" s="3" customFormat="1" x14ac:dyDescent="0.25"/>
    <row r="198" spans="3:21" s="3" customFormat="1" x14ac:dyDescent="0.25"/>
    <row r="199" spans="3:21" s="3" customFormat="1" x14ac:dyDescent="0.25"/>
    <row r="200" spans="3:21" s="3" customFormat="1" x14ac:dyDescent="0.25"/>
    <row r="201" spans="3:21" s="3" customFormat="1" x14ac:dyDescent="0.25"/>
    <row r="202" spans="3:21" s="3" customFormat="1" x14ac:dyDescent="0.25"/>
    <row r="203" spans="3:21" s="3" customFormat="1" x14ac:dyDescent="0.25"/>
    <row r="204" spans="3:21" s="3" customFormat="1" x14ac:dyDescent="0.25">
      <c r="C204" s="3">
        <f>0</f>
        <v>0</v>
      </c>
      <c r="U204" s="3">
        <v>0</v>
      </c>
    </row>
    <row r="205" spans="3:21" s="3" customFormat="1" x14ac:dyDescent="0.25"/>
    <row r="206" spans="3:21" s="3" customFormat="1" x14ac:dyDescent="0.25"/>
    <row r="207" spans="3:21" s="3" customFormat="1" x14ac:dyDescent="0.25"/>
    <row r="208" spans="3:21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>
    <tabColor rgb="FF0070C0"/>
    <pageSetUpPr fitToPage="1"/>
  </sheetPr>
  <dimension ref="A1:BD67"/>
  <sheetViews>
    <sheetView showGridLines="0" zoomScaleNormal="100" workbookViewId="0">
      <selection activeCell="BA8" sqref="BA8"/>
    </sheetView>
  </sheetViews>
  <sheetFormatPr baseColWidth="10" defaultRowHeight="15" x14ac:dyDescent="0.25"/>
  <cols>
    <col min="1" max="1" width="15.7109375" customWidth="1"/>
    <col min="2" max="2" width="33.85546875" bestFit="1" customWidth="1"/>
    <col min="3" max="16" width="8.85546875" hidden="1" customWidth="1"/>
    <col min="17" max="17" width="14" customWidth="1"/>
    <col min="18" max="26" width="8.85546875" hidden="1" customWidth="1"/>
    <col min="27" max="27" width="14" customWidth="1"/>
    <col min="28" max="46" width="14" hidden="1" customWidth="1"/>
    <col min="47" max="47" width="14" customWidth="1"/>
    <col min="49" max="49" width="13.42578125" customWidth="1"/>
  </cols>
  <sheetData>
    <row r="1" spans="1:56" s="244" customFormat="1" ht="45" customHeight="1" x14ac:dyDescent="0.25">
      <c r="A1" s="239" t="str">
        <f>Résultats!B1</f>
        <v>SNBC3</v>
      </c>
      <c r="B1" s="240" t="s">
        <v>465</v>
      </c>
      <c r="C1" s="241">
        <v>2006</v>
      </c>
      <c r="D1" s="242">
        <v>2007</v>
      </c>
      <c r="E1" s="242">
        <v>2008</v>
      </c>
      <c r="F1" s="242">
        <v>2009</v>
      </c>
      <c r="G1" s="242">
        <v>2010</v>
      </c>
      <c r="H1" s="242">
        <v>2011</v>
      </c>
      <c r="I1" s="242">
        <v>2012</v>
      </c>
      <c r="J1" s="242">
        <v>2013</v>
      </c>
      <c r="K1" s="242">
        <v>2014</v>
      </c>
      <c r="L1" s="242">
        <v>2015</v>
      </c>
      <c r="M1" s="242">
        <v>2016</v>
      </c>
      <c r="N1" s="242">
        <v>2017</v>
      </c>
      <c r="O1" s="242">
        <v>2018</v>
      </c>
      <c r="P1" s="242">
        <v>2019</v>
      </c>
      <c r="Q1" s="242">
        <v>2020</v>
      </c>
      <c r="R1" s="242">
        <v>2021</v>
      </c>
      <c r="S1" s="242">
        <v>2022</v>
      </c>
      <c r="T1" s="242">
        <v>2023</v>
      </c>
      <c r="U1" s="242">
        <v>2024</v>
      </c>
      <c r="V1" s="242">
        <v>2025</v>
      </c>
      <c r="W1" s="242">
        <v>2026</v>
      </c>
      <c r="X1" s="242">
        <v>2027</v>
      </c>
      <c r="Y1" s="242">
        <v>2028</v>
      </c>
      <c r="Z1" s="242">
        <v>2029</v>
      </c>
      <c r="AA1" s="242">
        <v>2030</v>
      </c>
      <c r="AB1" s="242">
        <v>2031</v>
      </c>
      <c r="AC1" s="242">
        <v>2032</v>
      </c>
      <c r="AD1" s="242">
        <v>2033</v>
      </c>
      <c r="AE1" s="242">
        <v>2034</v>
      </c>
      <c r="AF1" s="242">
        <v>2035</v>
      </c>
      <c r="AG1" s="242">
        <v>2036</v>
      </c>
      <c r="AH1" s="242">
        <v>2037</v>
      </c>
      <c r="AI1" s="242">
        <v>2038</v>
      </c>
      <c r="AJ1" s="242">
        <v>2039</v>
      </c>
      <c r="AK1" s="242">
        <v>2040</v>
      </c>
      <c r="AL1" s="242">
        <v>2041</v>
      </c>
      <c r="AM1" s="242">
        <v>2042</v>
      </c>
      <c r="AN1" s="242">
        <v>2043</v>
      </c>
      <c r="AO1" s="242">
        <v>2044</v>
      </c>
      <c r="AP1" s="242">
        <v>2045</v>
      </c>
      <c r="AQ1" s="242">
        <v>2046</v>
      </c>
      <c r="AR1" s="242">
        <v>2047</v>
      </c>
      <c r="AS1" s="242">
        <v>2048</v>
      </c>
      <c r="AT1" s="242">
        <v>2049</v>
      </c>
      <c r="AU1" s="243">
        <v>2050</v>
      </c>
      <c r="AW1" s="266" t="s">
        <v>493</v>
      </c>
      <c r="AX1" s="242">
        <v>2020</v>
      </c>
      <c r="AY1" s="242">
        <v>2030</v>
      </c>
      <c r="AZ1" s="243">
        <v>2050</v>
      </c>
    </row>
    <row r="2" spans="1:56" x14ac:dyDescent="0.25">
      <c r="B2" s="245" t="s">
        <v>1</v>
      </c>
      <c r="C2" s="246">
        <f t="shared" ref="C2:AU2" si="0">C3+C4+C7</f>
        <v>842942.38378000003</v>
      </c>
      <c r="D2" s="247">
        <f t="shared" si="0"/>
        <v>878321.99368999992</v>
      </c>
      <c r="E2" s="247">
        <f t="shared" si="0"/>
        <v>894659.98407000001</v>
      </c>
      <c r="F2" s="247">
        <f t="shared" si="0"/>
        <v>922429.28077999991</v>
      </c>
      <c r="G2" s="247">
        <f t="shared" si="0"/>
        <v>944577.18211000005</v>
      </c>
      <c r="H2" s="247">
        <f t="shared" si="0"/>
        <v>982962.52667000005</v>
      </c>
      <c r="I2" s="247">
        <f t="shared" si="0"/>
        <v>1023494.432</v>
      </c>
      <c r="J2" s="247">
        <f t="shared" si="0"/>
        <v>1067985.9339399999</v>
      </c>
      <c r="K2" s="247">
        <f t="shared" si="0"/>
        <v>1123474.6277000001</v>
      </c>
      <c r="L2" s="247">
        <f t="shared" si="0"/>
        <v>1181290.0600700001</v>
      </c>
      <c r="M2" s="247">
        <f t="shared" si="0"/>
        <v>1183484.2608400001</v>
      </c>
      <c r="N2" s="247">
        <f t="shared" si="0"/>
        <v>1179389.0526299998</v>
      </c>
      <c r="O2" s="247">
        <f t="shared" si="0"/>
        <v>1174956.43246</v>
      </c>
      <c r="P2" s="247">
        <f t="shared" si="0"/>
        <v>1169060.48052</v>
      </c>
      <c r="Q2" s="247">
        <f t="shared" si="0"/>
        <v>1180680.6311299999</v>
      </c>
      <c r="R2" s="247">
        <f t="shared" si="0"/>
        <v>1186934.2939499998</v>
      </c>
      <c r="S2" s="247">
        <f t="shared" si="0"/>
        <v>1191184.2584900002</v>
      </c>
      <c r="T2" s="247">
        <f t="shared" si="0"/>
        <v>1194094.23019</v>
      </c>
      <c r="U2" s="247">
        <f t="shared" si="0"/>
        <v>1180712.06388</v>
      </c>
      <c r="V2" s="247">
        <f t="shared" si="0"/>
        <v>1169881.1816</v>
      </c>
      <c r="W2" s="247">
        <f t="shared" si="0"/>
        <v>1172684.9019299999</v>
      </c>
      <c r="X2" s="247">
        <f t="shared" si="0"/>
        <v>1170823.66524</v>
      </c>
      <c r="Y2" s="247">
        <f t="shared" si="0"/>
        <v>1167045.05608</v>
      </c>
      <c r="Z2" s="247">
        <f t="shared" si="0"/>
        <v>1161885.40222</v>
      </c>
      <c r="AA2" s="247">
        <f t="shared" si="0"/>
        <v>1155697.6486200001</v>
      </c>
      <c r="AB2" s="247">
        <f t="shared" si="0"/>
        <v>1151729.0369200001</v>
      </c>
      <c r="AC2" s="247">
        <f t="shared" si="0"/>
        <v>1147906.1372400001</v>
      </c>
      <c r="AD2" s="247">
        <f t="shared" si="0"/>
        <v>1144142.6966300001</v>
      </c>
      <c r="AE2" s="247">
        <f t="shared" si="0"/>
        <v>1140593.8319099999</v>
      </c>
      <c r="AF2" s="247">
        <f t="shared" si="0"/>
        <v>1137266.3189400001</v>
      </c>
      <c r="AG2" s="247">
        <f t="shared" si="0"/>
        <v>1133275.40885</v>
      </c>
      <c r="AH2" s="247">
        <f t="shared" si="0"/>
        <v>1130426.59182</v>
      </c>
      <c r="AI2" s="247">
        <f t="shared" si="0"/>
        <v>1128062.4987260001</v>
      </c>
      <c r="AJ2" s="247">
        <f t="shared" si="0"/>
        <v>1125891.005174</v>
      </c>
      <c r="AK2" s="247">
        <f t="shared" si="0"/>
        <v>1123986.032877</v>
      </c>
      <c r="AL2" s="247">
        <f t="shared" si="0"/>
        <v>1121836.486029</v>
      </c>
      <c r="AM2" s="247">
        <f t="shared" si="0"/>
        <v>1120034.7441979998</v>
      </c>
      <c r="AN2" s="247">
        <f t="shared" si="0"/>
        <v>1118410.4559820001</v>
      </c>
      <c r="AO2" s="247">
        <f t="shared" si="0"/>
        <v>1116882.9073019999</v>
      </c>
      <c r="AP2" s="247">
        <f t="shared" si="0"/>
        <v>1113502.417292</v>
      </c>
      <c r="AQ2" s="247">
        <f t="shared" si="0"/>
        <v>1110159.491496</v>
      </c>
      <c r="AR2" s="247">
        <f t="shared" si="0"/>
        <v>1107252.3399420001</v>
      </c>
      <c r="AS2" s="247">
        <f t="shared" si="0"/>
        <v>1104814.8606209999</v>
      </c>
      <c r="AT2" s="247">
        <f t="shared" si="0"/>
        <v>1102693.1340390001</v>
      </c>
      <c r="AU2" s="248">
        <f t="shared" si="0"/>
        <v>1100199.029819</v>
      </c>
      <c r="AW2" t="s">
        <v>494</v>
      </c>
      <c r="AX2" s="299">
        <f>Q8/Q7</f>
        <v>0.92349122303720599</v>
      </c>
      <c r="AY2" s="299">
        <f>AA8/AA7</f>
        <v>0.90737026465673276</v>
      </c>
      <c r="AZ2" s="299">
        <f>AU8/AU7</f>
        <v>0.88206856205226325</v>
      </c>
    </row>
    <row r="3" spans="1:56" x14ac:dyDescent="0.25">
      <c r="B3" s="249" t="s">
        <v>466</v>
      </c>
      <c r="C3" s="250">
        <f>Résultats!E286</f>
        <v>13442.05508</v>
      </c>
      <c r="D3" s="251">
        <f>Résultats!F286</f>
        <v>13754.020689999999</v>
      </c>
      <c r="E3" s="251">
        <f>Résultats!G286</f>
        <v>14078.737870000001</v>
      </c>
      <c r="F3" s="251">
        <f>Résultats!H286</f>
        <v>13563.30718</v>
      </c>
      <c r="G3" s="251">
        <f>Résultats!I286</f>
        <v>13061.730310000001</v>
      </c>
      <c r="H3" s="251">
        <f>Résultats!J286</f>
        <v>13343.91237</v>
      </c>
      <c r="I3" s="251">
        <f>Résultats!K286</f>
        <v>13561.2354</v>
      </c>
      <c r="J3" s="251">
        <f>Résultats!L286</f>
        <v>13432.845139999999</v>
      </c>
      <c r="K3" s="251">
        <f>Résultats!M286</f>
        <v>13600.448399999999</v>
      </c>
      <c r="L3" s="251">
        <f>Résultats!N286</f>
        <v>13987.73667</v>
      </c>
      <c r="M3" s="251">
        <f>Résultats!O286</f>
        <v>14223.452139999999</v>
      </c>
      <c r="N3" s="251">
        <f>Résultats!P286</f>
        <v>14471.36123</v>
      </c>
      <c r="O3" s="251">
        <f>Résultats!Q286</f>
        <v>14825.776959999999</v>
      </c>
      <c r="P3" s="251">
        <f>Résultats!R286</f>
        <v>15195.528420000001</v>
      </c>
      <c r="Q3" s="251">
        <f>Résultats!S286</f>
        <v>14865.409600000001</v>
      </c>
      <c r="R3" s="251">
        <f>Résultats!T286</f>
        <v>14297.91437</v>
      </c>
      <c r="S3" s="251">
        <f>Résultats!U286</f>
        <v>14184.73713</v>
      </c>
      <c r="T3" s="251">
        <f>Résultats!V286</f>
        <v>14022.749299999999</v>
      </c>
      <c r="U3" s="251">
        <f>Résultats!W286</f>
        <v>13865.4172</v>
      </c>
      <c r="V3" s="251">
        <f>Résultats!X286</f>
        <v>13631.49698</v>
      </c>
      <c r="W3" s="251">
        <f>Résultats!Y286</f>
        <v>13436.521930000001</v>
      </c>
      <c r="X3" s="251">
        <f>Résultats!Z286</f>
        <v>13201.77413</v>
      </c>
      <c r="Y3" s="251">
        <f>Résultats!AA286</f>
        <v>13013.462509999999</v>
      </c>
      <c r="Z3" s="251">
        <f>Résultats!AB286</f>
        <v>12830.465459999999</v>
      </c>
      <c r="AA3" s="251">
        <f>Résultats!AC286</f>
        <v>12611.27378</v>
      </c>
      <c r="AB3" s="251">
        <f>Résultats!AD286</f>
        <v>12175.658530000001</v>
      </c>
      <c r="AC3" s="251">
        <f>Résultats!AE286</f>
        <v>11784.169830000001</v>
      </c>
      <c r="AD3" s="251">
        <f>Résultats!AF286</f>
        <v>11407.4627</v>
      </c>
      <c r="AE3" s="251">
        <f>Résultats!AG286</f>
        <v>11044.03062</v>
      </c>
      <c r="AF3" s="251">
        <f>Résultats!AH286</f>
        <v>10689.1427</v>
      </c>
      <c r="AG3" s="251">
        <f>Résultats!AI286</f>
        <v>10367.033750000001</v>
      </c>
      <c r="AH3" s="251">
        <f>Résultats!AJ286</f>
        <v>10090.241050000001</v>
      </c>
      <c r="AI3" s="251">
        <f>Résultats!AK286</f>
        <v>9820.1880359999996</v>
      </c>
      <c r="AJ3" s="251">
        <f>Résultats!AL286</f>
        <v>9547.5995540000004</v>
      </c>
      <c r="AK3" s="251">
        <f>Résultats!AM286</f>
        <v>9296.7546469999997</v>
      </c>
      <c r="AL3" s="251">
        <f>Résultats!AN286</f>
        <v>9040.4958989999996</v>
      </c>
      <c r="AM3" s="251">
        <f>Résultats!AO286</f>
        <v>8808.2414580000004</v>
      </c>
      <c r="AN3" s="251">
        <f>Résultats!AP286</f>
        <v>8582.8676919999998</v>
      </c>
      <c r="AO3" s="251">
        <f>Résultats!AQ286</f>
        <v>8359.6689119999901</v>
      </c>
      <c r="AP3" s="251">
        <f>Résultats!AR286</f>
        <v>8138.8451320000004</v>
      </c>
      <c r="AQ3" s="251">
        <f>Résultats!AS286</f>
        <v>7910.3407660000003</v>
      </c>
      <c r="AR3" s="251">
        <f>Résultats!AT286</f>
        <v>7680.6462620000002</v>
      </c>
      <c r="AS3" s="251">
        <f>Résultats!AU286</f>
        <v>7463.9468809999998</v>
      </c>
      <c r="AT3" s="251">
        <f>Résultats!AV286</f>
        <v>7259.8509489999997</v>
      </c>
      <c r="AU3" s="252">
        <f>Résultats!AW286</f>
        <v>7059.3555690000003</v>
      </c>
      <c r="AV3" s="253"/>
      <c r="AW3" t="s">
        <v>495</v>
      </c>
      <c r="AX3" s="299">
        <f>Q5/Q4</f>
        <v>0.64167139528376238</v>
      </c>
      <c r="AY3" s="299">
        <f>AA5/AA4</f>
        <v>0.56663082436216405</v>
      </c>
      <c r="AZ3" s="299">
        <f>AU5/AU4</f>
        <v>0.45864065871605614</v>
      </c>
    </row>
    <row r="4" spans="1:56" x14ac:dyDescent="0.25">
      <c r="B4" s="254" t="s">
        <v>467</v>
      </c>
      <c r="C4" s="255">
        <f>Résultats!E292</f>
        <v>248850.0986</v>
      </c>
      <c r="D4" s="256">
        <f>Résultats!F292</f>
        <v>267152.06530000002</v>
      </c>
      <c r="E4" s="256">
        <f>Résultats!G292</f>
        <v>279163.73469999997</v>
      </c>
      <c r="F4" s="256">
        <f>Résultats!H292</f>
        <v>295385.6079</v>
      </c>
      <c r="G4" s="256">
        <f>Résultats!I292</f>
        <v>308997.68160000001</v>
      </c>
      <c r="H4" s="256">
        <f>Résultats!J292</f>
        <v>330568.2953</v>
      </c>
      <c r="I4" s="256">
        <f>Résultats!K292</f>
        <v>355756.3737</v>
      </c>
      <c r="J4" s="256">
        <f>Résultats!L292</f>
        <v>381303.71750000003</v>
      </c>
      <c r="K4" s="256">
        <f>Résultats!M292</f>
        <v>410816.06030000001</v>
      </c>
      <c r="L4" s="256">
        <f>Résultats!N292</f>
        <v>442351.11210000003</v>
      </c>
      <c r="M4" s="256">
        <f>Résultats!O292</f>
        <v>441147.01860000001</v>
      </c>
      <c r="N4" s="256">
        <f>Résultats!P292</f>
        <v>436823.10729999997</v>
      </c>
      <c r="O4" s="256">
        <f>Résultats!Q292</f>
        <v>434742.81030000001</v>
      </c>
      <c r="P4" s="256">
        <f>Résultats!R292</f>
        <v>431826.43209999998</v>
      </c>
      <c r="Q4" s="256">
        <f>SUM(Q5:Q6)</f>
        <v>438862.80589999998</v>
      </c>
      <c r="R4" s="256">
        <f t="shared" ref="R4:AU4" si="1">SUM(R5:R6)</f>
        <v>344340.42387999996</v>
      </c>
      <c r="S4" s="256">
        <f t="shared" si="1"/>
        <v>346203.57136</v>
      </c>
      <c r="T4" s="256">
        <f t="shared" si="1"/>
        <v>347177.06819000002</v>
      </c>
      <c r="U4" s="256">
        <f t="shared" si="1"/>
        <v>331103.69688</v>
      </c>
      <c r="V4" s="256">
        <f t="shared" si="1"/>
        <v>318729.62161999999</v>
      </c>
      <c r="W4" s="256">
        <f t="shared" si="1"/>
        <v>323833.5379</v>
      </c>
      <c r="X4" s="256">
        <f t="shared" si="1"/>
        <v>325360.62270999997</v>
      </c>
      <c r="Y4" s="256">
        <f t="shared" si="1"/>
        <v>324993.39697</v>
      </c>
      <c r="Z4" s="256">
        <f t="shared" si="1"/>
        <v>323310.86145999999</v>
      </c>
      <c r="AA4" s="256">
        <f t="shared" si="1"/>
        <v>453620.66489999997</v>
      </c>
      <c r="AB4" s="256">
        <f t="shared" si="1"/>
        <v>320016.57968999998</v>
      </c>
      <c r="AC4" s="256">
        <f t="shared" si="1"/>
        <v>318977.63480999996</v>
      </c>
      <c r="AD4" s="256">
        <f t="shared" si="1"/>
        <v>318041.10032999999</v>
      </c>
      <c r="AE4" s="256">
        <f t="shared" si="1"/>
        <v>317177.64968999999</v>
      </c>
      <c r="AF4" s="256">
        <f t="shared" si="1"/>
        <v>316410.75124000001</v>
      </c>
      <c r="AG4" s="256">
        <f t="shared" si="1"/>
        <v>314663.63429999998</v>
      </c>
      <c r="AH4" s="256">
        <f t="shared" si="1"/>
        <v>313415.02197</v>
      </c>
      <c r="AI4" s="256">
        <f t="shared" si="1"/>
        <v>312521.40078999999</v>
      </c>
      <c r="AJ4" s="256">
        <f t="shared" si="1"/>
        <v>311805.71051999996</v>
      </c>
      <c r="AK4" s="256">
        <f t="shared" si="1"/>
        <v>311097.83442999999</v>
      </c>
      <c r="AL4" s="256">
        <f t="shared" si="1"/>
        <v>310439.72792999999</v>
      </c>
      <c r="AM4" s="256">
        <f t="shared" si="1"/>
        <v>309748.47103999997</v>
      </c>
      <c r="AN4" s="256">
        <f t="shared" si="1"/>
        <v>309096.32659000001</v>
      </c>
      <c r="AO4" s="256">
        <f t="shared" si="1"/>
        <v>308467.35198999988</v>
      </c>
      <c r="AP4" s="256">
        <f t="shared" si="1"/>
        <v>306225.44576000003</v>
      </c>
      <c r="AQ4" s="256">
        <f t="shared" si="1"/>
        <v>304389.87303000002</v>
      </c>
      <c r="AR4" s="256">
        <f t="shared" si="1"/>
        <v>302784.44758000004</v>
      </c>
      <c r="AS4" s="256">
        <f t="shared" si="1"/>
        <v>301280.46434000001</v>
      </c>
      <c r="AT4" s="256">
        <f t="shared" si="1"/>
        <v>299880.13479000004</v>
      </c>
      <c r="AU4" s="256">
        <f t="shared" si="1"/>
        <v>498677.19020000001</v>
      </c>
      <c r="AV4" s="253"/>
      <c r="AW4" t="s">
        <v>496</v>
      </c>
      <c r="AX4" s="299">
        <f>Q10/(Q7+Q4)</f>
        <v>0.81740216356874684</v>
      </c>
      <c r="AY4" s="299">
        <f>AA10/(AA7+AA4)</f>
        <v>0.77215174148457866</v>
      </c>
      <c r="AZ4" s="299">
        <f>AU10/(AU7+AU4)</f>
        <v>0.68890583814614481</v>
      </c>
    </row>
    <row r="5" spans="1:56" x14ac:dyDescent="0.25">
      <c r="B5" s="258" t="s">
        <v>468</v>
      </c>
      <c r="C5" s="259">
        <f>Résultats!E287</f>
        <v>163461.30420000001</v>
      </c>
      <c r="D5" s="212">
        <f>Résultats!F287</f>
        <v>174437.3585</v>
      </c>
      <c r="E5" s="212">
        <f>Résultats!G287</f>
        <v>181744.26939999999</v>
      </c>
      <c r="F5" s="212">
        <f>Résultats!H287</f>
        <v>189777.6795</v>
      </c>
      <c r="G5" s="212">
        <f>Résultats!I287</f>
        <v>197649.6231</v>
      </c>
      <c r="H5" s="212">
        <f>Résultats!J287</f>
        <v>207898.6256</v>
      </c>
      <c r="I5" s="212">
        <f>Résultats!K287</f>
        <v>223939.04740000001</v>
      </c>
      <c r="J5" s="212">
        <f>Résultats!L287</f>
        <v>240577.19289999999</v>
      </c>
      <c r="K5" s="212">
        <f>Résultats!M287</f>
        <v>258206.44339999999</v>
      </c>
      <c r="L5" s="212">
        <f>Résultats!N287</f>
        <v>281906.88370000001</v>
      </c>
      <c r="M5" s="212">
        <f>Résultats!O287</f>
        <v>283858.75180000003</v>
      </c>
      <c r="N5" s="212">
        <f>Résultats!P287</f>
        <v>279234.40909999999</v>
      </c>
      <c r="O5" s="212">
        <f>Résultats!Q287</f>
        <v>273920.62640000001</v>
      </c>
      <c r="P5" s="212">
        <f>Résultats!R287</f>
        <v>273877.86349999998</v>
      </c>
      <c r="Q5" s="212">
        <f>Résultats!S287</f>
        <v>281605.70899999997</v>
      </c>
      <c r="R5" s="212">
        <f>Résultats!T287</f>
        <v>289389.74469999998</v>
      </c>
      <c r="S5" s="212">
        <f>Résultats!U287</f>
        <v>291093.74239999999</v>
      </c>
      <c r="T5" s="212">
        <f>Résultats!V287</f>
        <v>291856.19990000001</v>
      </c>
      <c r="U5" s="212">
        <f>Résultats!W287</f>
        <v>272532.22710000002</v>
      </c>
      <c r="V5" s="212">
        <f>Résultats!X287</f>
        <v>257448.3449</v>
      </c>
      <c r="W5" s="212">
        <f>Résultats!Y287</f>
        <v>262416.98950000003</v>
      </c>
      <c r="X5" s="212">
        <f>Résultats!Z287</f>
        <v>263533.45049999998</v>
      </c>
      <c r="Y5" s="212">
        <f>Résultats!AA287</f>
        <v>262573.86170000001</v>
      </c>
      <c r="Z5" s="212">
        <f>Résultats!AB287</f>
        <v>260186.12349999999</v>
      </c>
      <c r="AA5" s="212">
        <f>Résultats!AC287</f>
        <v>257035.45129999999</v>
      </c>
      <c r="AB5" s="212">
        <f>Résultats!AD287</f>
        <v>255892.1876</v>
      </c>
      <c r="AC5" s="212">
        <f>Résultats!AE287</f>
        <v>254570.45129999999</v>
      </c>
      <c r="AD5" s="212">
        <f>Résultats!AF287</f>
        <v>253399.68530000001</v>
      </c>
      <c r="AE5" s="212">
        <f>Résultats!AG287</f>
        <v>252310.24429999999</v>
      </c>
      <c r="AF5" s="212">
        <f>Résultats!AH287</f>
        <v>251329.7494</v>
      </c>
      <c r="AG5" s="212">
        <f>Résultats!AI287</f>
        <v>249189.19219999999</v>
      </c>
      <c r="AH5" s="212">
        <f>Résultats!AJ287</f>
        <v>247548.6005</v>
      </c>
      <c r="AI5" s="212">
        <f>Résultats!AK287</f>
        <v>246307.70939999999</v>
      </c>
      <c r="AJ5" s="212">
        <f>Résultats!AL287</f>
        <v>245284.15359999999</v>
      </c>
      <c r="AK5" s="212">
        <f>Résultats!AM287</f>
        <v>244254.6912</v>
      </c>
      <c r="AL5" s="212">
        <f>Résultats!AN287</f>
        <v>243308.47829999999</v>
      </c>
      <c r="AM5" s="212">
        <f>Résultats!AO287</f>
        <v>242284.65849999999</v>
      </c>
      <c r="AN5" s="212">
        <f>Résultats!AP287</f>
        <v>241295.5042</v>
      </c>
      <c r="AO5" s="212">
        <f>Résultats!AQ287</f>
        <v>240337.6514</v>
      </c>
      <c r="AP5" s="212">
        <f>Résultats!AR287</f>
        <v>237610.3916</v>
      </c>
      <c r="AQ5" s="212">
        <f>Résultats!AS287</f>
        <v>235428.56950000001</v>
      </c>
      <c r="AR5" s="212">
        <f>Résultats!AT287</f>
        <v>233480.46220000001</v>
      </c>
      <c r="AS5" s="212">
        <f>Résultats!AU287</f>
        <v>231603.65470000001</v>
      </c>
      <c r="AT5" s="212">
        <f>Résultats!AV287</f>
        <v>229836.4572</v>
      </c>
      <c r="AU5" s="260">
        <f>Résultats!AW287</f>
        <v>228713.63500000001</v>
      </c>
    </row>
    <row r="6" spans="1:56" x14ac:dyDescent="0.25">
      <c r="B6" s="261" t="s">
        <v>469</v>
      </c>
      <c r="C6" s="262">
        <f>Résultats!E290</f>
        <v>47168.08829</v>
      </c>
      <c r="D6" s="263">
        <f>Résultats!F290</f>
        <v>48247.45723</v>
      </c>
      <c r="E6" s="263">
        <f>Résultats!G290</f>
        <v>48129.430509999998</v>
      </c>
      <c r="F6" s="263">
        <f>Résultats!H290</f>
        <v>49209.008800000003</v>
      </c>
      <c r="G6" s="263">
        <f>Résultats!I290</f>
        <v>49827.708409999999</v>
      </c>
      <c r="H6" s="263">
        <f>Résultats!J290</f>
        <v>51246.885170000001</v>
      </c>
      <c r="I6" s="263">
        <f>Résultats!K290</f>
        <v>51655.752919999999</v>
      </c>
      <c r="J6" s="263">
        <f>Résultats!L290</f>
        <v>52614.380239999999</v>
      </c>
      <c r="K6" s="263">
        <f>Résultats!M290</f>
        <v>54462.66158</v>
      </c>
      <c r="L6" s="263">
        <f>Résultats!N290</f>
        <v>55589.95336</v>
      </c>
      <c r="M6" s="263">
        <f>Résultats!O290</f>
        <v>55664.409030000003</v>
      </c>
      <c r="N6" s="263">
        <f>Résultats!P290</f>
        <v>56165.361259999998</v>
      </c>
      <c r="O6" s="263">
        <f>Résultats!Q290</f>
        <v>56486.723299999998</v>
      </c>
      <c r="P6" s="263">
        <f>Résultats!R290</f>
        <v>55949.973270000002</v>
      </c>
      <c r="Q6" s="263">
        <f>Résultats!S289</f>
        <v>157257.0969</v>
      </c>
      <c r="R6" s="263">
        <f>Résultats!T290</f>
        <v>54950.679179999999</v>
      </c>
      <c r="S6" s="263">
        <f>Résultats!U290</f>
        <v>55109.828959999999</v>
      </c>
      <c r="T6" s="263">
        <f>Résultats!V290</f>
        <v>55320.868289999999</v>
      </c>
      <c r="U6" s="263">
        <f>Résultats!W290</f>
        <v>58571.469779999999</v>
      </c>
      <c r="V6" s="263">
        <f>Résultats!X290</f>
        <v>61281.276720000002</v>
      </c>
      <c r="W6" s="263">
        <f>Résultats!Y290</f>
        <v>61416.5484</v>
      </c>
      <c r="X6" s="263">
        <f>Résultats!Z290</f>
        <v>61827.172209999997</v>
      </c>
      <c r="Y6" s="263">
        <f>Résultats!AA290</f>
        <v>62419.53527</v>
      </c>
      <c r="Z6" s="263">
        <f>Résultats!AB290</f>
        <v>63124.737959999999</v>
      </c>
      <c r="AA6" s="263">
        <f>Résultats!AC289</f>
        <v>196585.21359999999</v>
      </c>
      <c r="AB6" s="263">
        <f>Résultats!AD290</f>
        <v>64124.392090000001</v>
      </c>
      <c r="AC6" s="263">
        <f>Résultats!AE290</f>
        <v>64407.183510000003</v>
      </c>
      <c r="AD6" s="263">
        <f>Résultats!AF290</f>
        <v>64641.415029999996</v>
      </c>
      <c r="AE6" s="263">
        <f>Résultats!AG290</f>
        <v>64867.40539</v>
      </c>
      <c r="AF6" s="263">
        <f>Résultats!AH290</f>
        <v>65081.001839999997</v>
      </c>
      <c r="AG6" s="263">
        <f>Résultats!AI290</f>
        <v>65474.4421</v>
      </c>
      <c r="AH6" s="263">
        <f>Résultats!AJ290</f>
        <v>65866.421470000001</v>
      </c>
      <c r="AI6" s="263">
        <f>Résultats!AK290</f>
        <v>66213.691390000007</v>
      </c>
      <c r="AJ6" s="263">
        <f>Résultats!AL290</f>
        <v>66521.556920000003</v>
      </c>
      <c r="AK6" s="263">
        <f>Résultats!AM290</f>
        <v>66843.143230000001</v>
      </c>
      <c r="AL6" s="263">
        <f>Résultats!AN290</f>
        <v>67131.249630000006</v>
      </c>
      <c r="AM6" s="263">
        <f>Résultats!AO290</f>
        <v>67463.812539999999</v>
      </c>
      <c r="AN6" s="263">
        <f>Résultats!AP290</f>
        <v>67800.822390000001</v>
      </c>
      <c r="AO6" s="263">
        <f>Résultats!AQ290</f>
        <v>68129.700589999906</v>
      </c>
      <c r="AP6" s="263">
        <f>Résultats!AR290</f>
        <v>68615.05416</v>
      </c>
      <c r="AQ6" s="263">
        <f>Résultats!AS290</f>
        <v>68961.303530000005</v>
      </c>
      <c r="AR6" s="263">
        <f>Résultats!AT290</f>
        <v>69303.985379999998</v>
      </c>
      <c r="AS6" s="263">
        <f>Résultats!AU290</f>
        <v>69676.809640000007</v>
      </c>
      <c r="AT6" s="263">
        <f>Résultats!AV290</f>
        <v>70043.677590000007</v>
      </c>
      <c r="AU6" s="264">
        <f>Résultats!AW289</f>
        <v>269963.5552</v>
      </c>
      <c r="AV6" s="253"/>
      <c r="BB6" t="s">
        <v>506</v>
      </c>
    </row>
    <row r="7" spans="1:56" x14ac:dyDescent="0.25">
      <c r="B7" s="258" t="s">
        <v>470</v>
      </c>
      <c r="C7" s="259">
        <f>Résultats!E291</f>
        <v>580650.23010000004</v>
      </c>
      <c r="D7" s="212">
        <f>Résultats!F291</f>
        <v>597415.90769999998</v>
      </c>
      <c r="E7" s="212">
        <f>Résultats!G291</f>
        <v>601417.51150000002</v>
      </c>
      <c r="F7" s="212">
        <f>Résultats!H291</f>
        <v>613480.36569999997</v>
      </c>
      <c r="G7" s="212">
        <f>Résultats!I291</f>
        <v>622517.77020000003</v>
      </c>
      <c r="H7" s="212">
        <f>Résultats!J291</f>
        <v>639050.31900000002</v>
      </c>
      <c r="I7" s="212">
        <f>Résultats!K291</f>
        <v>654176.82290000003</v>
      </c>
      <c r="J7" s="212">
        <f>Résultats!L291</f>
        <v>673249.3713</v>
      </c>
      <c r="K7" s="212">
        <f>Résultats!M291</f>
        <v>699058.11899999995</v>
      </c>
      <c r="L7" s="212">
        <f>Résultats!N291</f>
        <v>724951.21129999997</v>
      </c>
      <c r="M7" s="212">
        <f>Résultats!O291</f>
        <v>728113.79009999998</v>
      </c>
      <c r="N7" s="212">
        <f>Résultats!P291</f>
        <v>728094.58409999998</v>
      </c>
      <c r="O7" s="212">
        <f>Résultats!Q291</f>
        <v>725387.84519999998</v>
      </c>
      <c r="P7" s="212">
        <f>Résultats!R291</f>
        <v>722038.52</v>
      </c>
      <c r="Q7" s="212">
        <f>SUM(Q8:Q9)</f>
        <v>726952.41562999994</v>
      </c>
      <c r="R7" s="212">
        <f t="shared" ref="R7:AU7" si="2">SUM(R8:R9)</f>
        <v>828295.95569999993</v>
      </c>
      <c r="S7" s="212">
        <f t="shared" si="2"/>
        <v>830795.95000000007</v>
      </c>
      <c r="T7" s="212">
        <f t="shared" si="2"/>
        <v>832894.41269999999</v>
      </c>
      <c r="U7" s="212">
        <f t="shared" si="2"/>
        <v>835742.94979999994</v>
      </c>
      <c r="V7" s="212">
        <f t="shared" si="2"/>
        <v>837520.06299999997</v>
      </c>
      <c r="W7" s="212">
        <f t="shared" si="2"/>
        <v>835414.84210000001</v>
      </c>
      <c r="X7" s="212">
        <f t="shared" si="2"/>
        <v>832261.26840000006</v>
      </c>
      <c r="Y7" s="212">
        <f t="shared" si="2"/>
        <v>829038.19660000002</v>
      </c>
      <c r="Z7" s="212">
        <f t="shared" si="2"/>
        <v>825744.07530000003</v>
      </c>
      <c r="AA7" s="212">
        <f t="shared" si="2"/>
        <v>689465.70994000009</v>
      </c>
      <c r="AB7" s="212">
        <f t="shared" si="2"/>
        <v>819536.79870000004</v>
      </c>
      <c r="AC7" s="212">
        <f t="shared" si="2"/>
        <v>817144.33260000008</v>
      </c>
      <c r="AD7" s="212">
        <f t="shared" si="2"/>
        <v>814694.13360000006</v>
      </c>
      <c r="AE7" s="212">
        <f t="shared" si="2"/>
        <v>812372.15159999998</v>
      </c>
      <c r="AF7" s="212">
        <f t="shared" si="2"/>
        <v>810166.42500000005</v>
      </c>
      <c r="AG7" s="212">
        <f t="shared" si="2"/>
        <v>808244.74080000003</v>
      </c>
      <c r="AH7" s="212">
        <f t="shared" si="2"/>
        <v>806921.32880000002</v>
      </c>
      <c r="AI7" s="212">
        <f t="shared" si="2"/>
        <v>805720.90990000009</v>
      </c>
      <c r="AJ7" s="212">
        <f t="shared" si="2"/>
        <v>804537.69510000001</v>
      </c>
      <c r="AK7" s="212">
        <f t="shared" si="2"/>
        <v>803591.44380000001</v>
      </c>
      <c r="AL7" s="212">
        <f t="shared" si="2"/>
        <v>802356.2622</v>
      </c>
      <c r="AM7" s="212">
        <f t="shared" si="2"/>
        <v>801478.03169999993</v>
      </c>
      <c r="AN7" s="212">
        <f t="shared" si="2"/>
        <v>800731.26170000003</v>
      </c>
      <c r="AO7" s="212">
        <f t="shared" si="2"/>
        <v>800055.88639999996</v>
      </c>
      <c r="AP7" s="212">
        <f t="shared" si="2"/>
        <v>799138.12639999995</v>
      </c>
      <c r="AQ7" s="212">
        <f t="shared" si="2"/>
        <v>797859.27769999998</v>
      </c>
      <c r="AR7" s="212">
        <f t="shared" si="2"/>
        <v>796787.24610000011</v>
      </c>
      <c r="AS7" s="212">
        <f t="shared" si="2"/>
        <v>796070.44939999992</v>
      </c>
      <c r="AT7" s="212">
        <f t="shared" si="2"/>
        <v>795553.1483</v>
      </c>
      <c r="AU7" s="212">
        <f t="shared" si="2"/>
        <v>594462.48405000009</v>
      </c>
      <c r="AW7" t="s">
        <v>502</v>
      </c>
      <c r="AX7" s="312">
        <f>Q3/Q2</f>
        <v>1.2590542444803799E-2</v>
      </c>
      <c r="AY7" s="312">
        <f>AA3/AA2</f>
        <v>1.0912260481847409E-2</v>
      </c>
      <c r="AZ7" s="312">
        <f>AU3/AU2</f>
        <v>6.4164350064563995E-3</v>
      </c>
      <c r="BB7" s="312">
        <f>[4]Trafic!$H$27/([4]Trafic!$H$30-[4]Trafic!$H$29)</f>
        <v>9.6732536609177803E-3</v>
      </c>
      <c r="BC7" s="312">
        <f>[4]Trafic!$J$27/([4]Trafic!$J$30-[4]Trafic!$J$29)</f>
        <v>1.4577967949865439E-2</v>
      </c>
      <c r="BD7" s="312">
        <f>[4]Trafic!$N$27/([4]Trafic!$N$30-[4]Trafic!$N$29)</f>
        <v>6.5864876836073186E-3</v>
      </c>
    </row>
    <row r="8" spans="1:56" x14ac:dyDescent="0.25">
      <c r="B8" s="258" t="s">
        <v>471</v>
      </c>
      <c r="C8" s="259">
        <f>Résultats!E288</f>
        <v>533482.14110000001</v>
      </c>
      <c r="D8" s="212">
        <f>Résultats!F288</f>
        <v>549169.34869999997</v>
      </c>
      <c r="E8" s="212">
        <f>Résultats!G288</f>
        <v>553291.179</v>
      </c>
      <c r="F8" s="212">
        <f>Résultats!H288</f>
        <v>564274.66130000004</v>
      </c>
      <c r="G8" s="212">
        <f>Résultats!I288</f>
        <v>572693.53780000005</v>
      </c>
      <c r="H8" s="212">
        <f>Résultats!J288</f>
        <v>587807.09970000002</v>
      </c>
      <c r="I8" s="212">
        <f>Résultats!K288</f>
        <v>602531.59580000001</v>
      </c>
      <c r="J8" s="212">
        <f>Résultats!L288</f>
        <v>620648.90579999995</v>
      </c>
      <c r="K8" s="212">
        <f>Résultats!M288</f>
        <v>644610.18850000005</v>
      </c>
      <c r="L8" s="212">
        <f>Résultats!N288</f>
        <v>669384.22380000004</v>
      </c>
      <c r="M8" s="212">
        <f>Résultats!O288</f>
        <v>672472.72160000005</v>
      </c>
      <c r="N8" s="212">
        <f>Résultats!P288</f>
        <v>671955.00260000001</v>
      </c>
      <c r="O8" s="212">
        <f>Résultats!Q288</f>
        <v>668929.50950000004</v>
      </c>
      <c r="P8" s="212">
        <f>Résultats!R288</f>
        <v>666117.54</v>
      </c>
      <c r="Q8" s="212">
        <f>Résultats!S288</f>
        <v>671334.17539999995</v>
      </c>
      <c r="R8" s="212">
        <f>Résultats!T288</f>
        <v>672920.33889999997</v>
      </c>
      <c r="S8" s="212">
        <f>Résultats!U288</f>
        <v>675042.10360000003</v>
      </c>
      <c r="T8" s="212">
        <f>Résultats!V288</f>
        <v>676620.89569999999</v>
      </c>
      <c r="U8" s="212">
        <f>Résultats!W288</f>
        <v>666472.53639999998</v>
      </c>
      <c r="V8" s="212">
        <f>Résultats!X288</f>
        <v>656791.97609999997</v>
      </c>
      <c r="W8" s="212">
        <f>Résultats!Y288</f>
        <v>652675.22380000004</v>
      </c>
      <c r="X8" s="212">
        <f>Résultats!Z288</f>
        <v>646777.42830000003</v>
      </c>
      <c r="Y8" s="212">
        <f>Résultats!AA288</f>
        <v>640210.10930000001</v>
      </c>
      <c r="Z8" s="212">
        <f>Résultats!AB288</f>
        <v>633110.4926</v>
      </c>
      <c r="AA8" s="212">
        <f>Résultats!AC288</f>
        <v>625600.68370000005</v>
      </c>
      <c r="AB8" s="212">
        <f>Résultats!AD288</f>
        <v>619955.11270000006</v>
      </c>
      <c r="AC8" s="212">
        <f>Résultats!AE288</f>
        <v>614380.66</v>
      </c>
      <c r="AD8" s="212">
        <f>Résultats!AF288</f>
        <v>608740.03</v>
      </c>
      <c r="AE8" s="212">
        <f>Résultats!AG288</f>
        <v>603190.87490000005</v>
      </c>
      <c r="AF8" s="212">
        <f>Résultats!AH288</f>
        <v>597729.26080000005</v>
      </c>
      <c r="AG8" s="212">
        <f>Résultats!AI288</f>
        <v>592285.49369999999</v>
      </c>
      <c r="AH8" s="212">
        <f>Résultats!AJ288</f>
        <v>587319.93460000004</v>
      </c>
      <c r="AI8" s="212">
        <f>Résultats!AK288</f>
        <v>582491.27</v>
      </c>
      <c r="AJ8" s="212">
        <f>Résultats!AL288</f>
        <v>577674.25080000004</v>
      </c>
      <c r="AK8" s="212">
        <f>Résultats!AM288</f>
        <v>572993.35789999994</v>
      </c>
      <c r="AL8" s="212">
        <f>Résultats!AN288</f>
        <v>568140.44169999997</v>
      </c>
      <c r="AM8" s="212">
        <f>Résultats!AO288</f>
        <v>563514.70389999996</v>
      </c>
      <c r="AN8" s="212">
        <f>Résultats!AP288</f>
        <v>558981.82440000004</v>
      </c>
      <c r="AO8" s="212">
        <f>Résultats!AQ288</f>
        <v>554477.18200000003</v>
      </c>
      <c r="AP8" s="212">
        <f>Résultats!AR288</f>
        <v>549499.30059999996</v>
      </c>
      <c r="AQ8" s="212">
        <f>Résultats!AS288</f>
        <v>544272.97869999998</v>
      </c>
      <c r="AR8" s="212">
        <f>Résultats!AT288</f>
        <v>539243.20550000004</v>
      </c>
      <c r="AS8" s="212">
        <f>Résultats!AU288</f>
        <v>534463.45959999994</v>
      </c>
      <c r="AT8" s="212">
        <f>Résultats!AV288</f>
        <v>529795.67330000002</v>
      </c>
      <c r="AU8" s="260">
        <f>Résultats!AW288</f>
        <v>524356.66850000003</v>
      </c>
      <c r="AW8" t="s">
        <v>503</v>
      </c>
      <c r="AX8" s="312">
        <f>+Q6/Q2</f>
        <v>0.13319190029355624</v>
      </c>
      <c r="AY8" s="312">
        <f>+AA6/AA2</f>
        <v>0.17010090297816147</v>
      </c>
      <c r="AZ8" s="312">
        <f>+AU6/AU2</f>
        <v>0.24537701623352026</v>
      </c>
      <c r="BB8" s="312">
        <f>[4]Trafic!$H$25/[4]Trafic!$H$31</f>
        <v>8.6581998710879085E-2</v>
      </c>
      <c r="BC8" s="312">
        <f>[4]Trafic!$J$25/[4]Trafic!$J$31</f>
        <v>0.14233557304995703</v>
      </c>
      <c r="BD8" s="312">
        <f>[4]Trafic!$N$25/[4]Trafic!$N$31</f>
        <v>0.18954036770730018</v>
      </c>
    </row>
    <row r="9" spans="1:56" x14ac:dyDescent="0.25">
      <c r="B9" s="261" t="s">
        <v>472</v>
      </c>
      <c r="C9" s="262">
        <f>Résultats!E289</f>
        <v>85388.793109999999</v>
      </c>
      <c r="D9" s="263">
        <f>Résultats!F289</f>
        <v>92723.860149999906</v>
      </c>
      <c r="E9" s="263">
        <f>Résultats!G289</f>
        <v>97431.31061</v>
      </c>
      <c r="F9" s="263">
        <f>Résultats!H289</f>
        <v>105668.875</v>
      </c>
      <c r="G9" s="263">
        <f>Résultats!I289</f>
        <v>111417.2164</v>
      </c>
      <c r="H9" s="263">
        <f>Résultats!J289</f>
        <v>122828.0349</v>
      </c>
      <c r="I9" s="263">
        <f>Résultats!K289</f>
        <v>131987.99729999999</v>
      </c>
      <c r="J9" s="263">
        <f>Résultats!L289</f>
        <v>140911.1948</v>
      </c>
      <c r="K9" s="263">
        <f>Résultats!M289</f>
        <v>152813.7341</v>
      </c>
      <c r="L9" s="263">
        <f>Résultats!N289</f>
        <v>160735.60399999999</v>
      </c>
      <c r="M9" s="263">
        <f>Résultats!O289</f>
        <v>157614.63039999999</v>
      </c>
      <c r="N9" s="263">
        <f>Résultats!P289</f>
        <v>157928.91190000001</v>
      </c>
      <c r="O9" s="263">
        <f>Résultats!Q289</f>
        <v>161241.2732</v>
      </c>
      <c r="P9" s="263">
        <f>Résultats!R289</f>
        <v>158380.69339999999</v>
      </c>
      <c r="Q9" s="263">
        <f>Résultats!S290</f>
        <v>55618.240230000003</v>
      </c>
      <c r="R9" s="263">
        <f>Résultats!T289</f>
        <v>155375.61679999999</v>
      </c>
      <c r="S9" s="263">
        <f>Résultats!U289</f>
        <v>155753.84640000001</v>
      </c>
      <c r="T9" s="263">
        <f>Résultats!V289</f>
        <v>156273.51699999999</v>
      </c>
      <c r="U9" s="263">
        <f>Résultats!W289</f>
        <v>169270.41339999999</v>
      </c>
      <c r="V9" s="263">
        <f>Résultats!X289</f>
        <v>180728.08689999999</v>
      </c>
      <c r="W9" s="263">
        <f>Résultats!Y289</f>
        <v>182739.6183</v>
      </c>
      <c r="X9" s="263">
        <f>Résultats!Z289</f>
        <v>185483.8401</v>
      </c>
      <c r="Y9" s="263">
        <f>Résultats!AA289</f>
        <v>188828.08730000001</v>
      </c>
      <c r="Z9" s="263">
        <f>Résultats!AB289</f>
        <v>192633.5827</v>
      </c>
      <c r="AA9" s="263">
        <f>Résultats!AC290</f>
        <v>63865.026239999999</v>
      </c>
      <c r="AB9" s="263">
        <f>Résultats!AD289</f>
        <v>199581.68599999999</v>
      </c>
      <c r="AC9" s="263">
        <f>Résultats!AE289</f>
        <v>202763.67259999999</v>
      </c>
      <c r="AD9" s="263">
        <f>Résultats!AF289</f>
        <v>205954.1036</v>
      </c>
      <c r="AE9" s="263">
        <f>Résultats!AG289</f>
        <v>209181.27669999999</v>
      </c>
      <c r="AF9" s="263">
        <f>Résultats!AH289</f>
        <v>212437.1642</v>
      </c>
      <c r="AG9" s="263">
        <f>Résultats!AI289</f>
        <v>215959.24710000001</v>
      </c>
      <c r="AH9" s="263">
        <f>Résultats!AJ289</f>
        <v>219601.39420000001</v>
      </c>
      <c r="AI9" s="263">
        <f>Résultats!AK289</f>
        <v>223229.63990000001</v>
      </c>
      <c r="AJ9" s="263">
        <f>Résultats!AL289</f>
        <v>226863.4443</v>
      </c>
      <c r="AK9" s="263">
        <f>Résultats!AM289</f>
        <v>230598.08590000001</v>
      </c>
      <c r="AL9" s="263">
        <f>Résultats!AN289</f>
        <v>234215.8205</v>
      </c>
      <c r="AM9" s="263">
        <f>Résultats!AO289</f>
        <v>237963.3278</v>
      </c>
      <c r="AN9" s="263">
        <f>Résultats!AP289</f>
        <v>241749.43729999999</v>
      </c>
      <c r="AO9" s="263">
        <f>Résultats!AQ289</f>
        <v>245578.70439999999</v>
      </c>
      <c r="AP9" s="263">
        <f>Résultats!AR289</f>
        <v>249638.82579999999</v>
      </c>
      <c r="AQ9" s="263">
        <f>Résultats!AS289</f>
        <v>253586.299</v>
      </c>
      <c r="AR9" s="263">
        <f>Résultats!AT289</f>
        <v>257544.04060000001</v>
      </c>
      <c r="AS9" s="263">
        <f>Résultats!AU289</f>
        <v>261606.98980000001</v>
      </c>
      <c r="AT9" s="263">
        <f>Résultats!AV289</f>
        <v>265757.47499999998</v>
      </c>
      <c r="AU9" s="264">
        <f>Résultats!AW290</f>
        <v>70105.815549999999</v>
      </c>
      <c r="AW9" t="s">
        <v>504</v>
      </c>
      <c r="AX9" s="312">
        <f>Q9/Q2</f>
        <v>4.7106930327779815E-2</v>
      </c>
      <c r="AY9" s="312">
        <f>AA9/AA2</f>
        <v>5.5261015990004131E-2</v>
      </c>
      <c r="AZ9" s="312">
        <f>AU9/AU2</f>
        <v>6.3721030149911609E-2</v>
      </c>
      <c r="BB9" s="312">
        <f>[4]Trafic!$H$26/[4]Trafic!$H$31</f>
        <v>5.0587052351781035E-2</v>
      </c>
      <c r="BC9" s="312">
        <f>[4]Trafic!$J$26/[4]Trafic!$J$31</f>
        <v>7.6007847942966056E-2</v>
      </c>
      <c r="BD9" s="312">
        <f>[4]Trafic!$N$26/[4]Trafic!$N$31</f>
        <v>9.8293993125704568E-2</v>
      </c>
    </row>
    <row r="10" spans="1:56" x14ac:dyDescent="0.25">
      <c r="B10" s="249" t="s">
        <v>473</v>
      </c>
      <c r="C10" s="250">
        <f t="shared" ref="C10:AU10" si="3">C5+C8</f>
        <v>696943.44530000002</v>
      </c>
      <c r="D10" s="251">
        <f t="shared" si="3"/>
        <v>723606.70719999995</v>
      </c>
      <c r="E10" s="251">
        <f t="shared" si="3"/>
        <v>735035.44839999999</v>
      </c>
      <c r="F10" s="251">
        <f t="shared" si="3"/>
        <v>754052.34080000001</v>
      </c>
      <c r="G10" s="251">
        <f t="shared" si="3"/>
        <v>770343.16090000002</v>
      </c>
      <c r="H10" s="251">
        <f t="shared" si="3"/>
        <v>795705.72530000005</v>
      </c>
      <c r="I10" s="251">
        <f t="shared" si="3"/>
        <v>826470.64320000005</v>
      </c>
      <c r="J10" s="251">
        <f t="shared" si="3"/>
        <v>861226.09869999997</v>
      </c>
      <c r="K10" s="251">
        <f t="shared" si="3"/>
        <v>902816.63190000004</v>
      </c>
      <c r="L10" s="251">
        <f t="shared" si="3"/>
        <v>951291.10750000004</v>
      </c>
      <c r="M10" s="251">
        <f t="shared" si="3"/>
        <v>956331.47340000002</v>
      </c>
      <c r="N10" s="251">
        <f t="shared" si="3"/>
        <v>951189.41170000006</v>
      </c>
      <c r="O10" s="251">
        <f t="shared" si="3"/>
        <v>942850.13590000011</v>
      </c>
      <c r="P10" s="251">
        <f t="shared" si="3"/>
        <v>939995.40350000001</v>
      </c>
      <c r="Q10" s="251">
        <f>Q5+Q8</f>
        <v>952939.88439999986</v>
      </c>
      <c r="R10" s="251">
        <f t="shared" si="3"/>
        <v>962310.08360000001</v>
      </c>
      <c r="S10" s="251">
        <f t="shared" si="3"/>
        <v>966135.84600000002</v>
      </c>
      <c r="T10" s="251">
        <f t="shared" si="3"/>
        <v>968477.0956</v>
      </c>
      <c r="U10" s="251">
        <f t="shared" si="3"/>
        <v>939004.7635</v>
      </c>
      <c r="V10" s="251">
        <f t="shared" si="3"/>
        <v>914240.321</v>
      </c>
      <c r="W10" s="251">
        <f t="shared" si="3"/>
        <v>915092.21330000006</v>
      </c>
      <c r="X10" s="251">
        <f t="shared" si="3"/>
        <v>910310.87880000006</v>
      </c>
      <c r="Y10" s="251">
        <f t="shared" si="3"/>
        <v>902783.97100000002</v>
      </c>
      <c r="Z10" s="251">
        <f t="shared" si="3"/>
        <v>893296.61609999998</v>
      </c>
      <c r="AA10" s="251">
        <f t="shared" si="3"/>
        <v>882636.13500000001</v>
      </c>
      <c r="AB10" s="251">
        <f t="shared" si="3"/>
        <v>875847.3003</v>
      </c>
      <c r="AC10" s="251">
        <f t="shared" si="3"/>
        <v>868951.11129999999</v>
      </c>
      <c r="AD10" s="251">
        <f t="shared" si="3"/>
        <v>862139.71530000004</v>
      </c>
      <c r="AE10" s="251">
        <f t="shared" si="3"/>
        <v>855501.11920000007</v>
      </c>
      <c r="AF10" s="251">
        <f t="shared" si="3"/>
        <v>849059.01020000002</v>
      </c>
      <c r="AG10" s="251">
        <f t="shared" si="3"/>
        <v>841474.68589999992</v>
      </c>
      <c r="AH10" s="251">
        <f t="shared" si="3"/>
        <v>834868.53509999998</v>
      </c>
      <c r="AI10" s="251">
        <f t="shared" si="3"/>
        <v>828798.97940000007</v>
      </c>
      <c r="AJ10" s="251">
        <f t="shared" si="3"/>
        <v>822958.4044</v>
      </c>
      <c r="AK10" s="251">
        <f t="shared" si="3"/>
        <v>817248.04909999995</v>
      </c>
      <c r="AL10" s="251">
        <f t="shared" si="3"/>
        <v>811448.91999999993</v>
      </c>
      <c r="AM10" s="251">
        <f t="shared" si="3"/>
        <v>805799.36239999998</v>
      </c>
      <c r="AN10" s="251">
        <f t="shared" si="3"/>
        <v>800277.32860000001</v>
      </c>
      <c r="AO10" s="251">
        <f t="shared" si="3"/>
        <v>794814.8334</v>
      </c>
      <c r="AP10" s="251">
        <f t="shared" si="3"/>
        <v>787109.69219999993</v>
      </c>
      <c r="AQ10" s="251">
        <f t="shared" si="3"/>
        <v>779701.54819999996</v>
      </c>
      <c r="AR10" s="251">
        <f t="shared" si="3"/>
        <v>772723.66770000011</v>
      </c>
      <c r="AS10" s="251">
        <f t="shared" si="3"/>
        <v>766067.11430000002</v>
      </c>
      <c r="AT10" s="251">
        <f t="shared" si="3"/>
        <v>759632.13049999997</v>
      </c>
      <c r="AU10" s="252">
        <f t="shared" si="3"/>
        <v>753070.30350000004</v>
      </c>
      <c r="AW10" t="s">
        <v>505</v>
      </c>
      <c r="AX10" s="312">
        <f>1-SUM(AX7:AX9)</f>
        <v>0.80711062693386015</v>
      </c>
      <c r="AY10" s="312">
        <f>1-SUM(AY7:AY9)</f>
        <v>0.76372582054998706</v>
      </c>
      <c r="AZ10" s="312">
        <f t="shared" ref="AZ10" si="4">1-SUM(AZ7:AZ9)</f>
        <v>0.68448551861011175</v>
      </c>
      <c r="BB10" s="312">
        <f>([4]Trafic!$H$23+[4]Trafic!$H$28)/[4]Trafic!$H$30</f>
        <v>0.84698145105670741</v>
      </c>
      <c r="BC10" s="312">
        <f>([4]Trafic!$J$23+[4]Trafic!$J$28)/[4]Trafic!$J$30</f>
        <v>0.75252158630631349</v>
      </c>
      <c r="BD10" s="312">
        <f>([4]Trafic!$N$23+[4]Trafic!$N$28)/[4]Trafic!$N$30</f>
        <v>0.6858880697768327</v>
      </c>
    </row>
    <row r="11" spans="1:56" x14ac:dyDescent="0.25"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</row>
    <row r="12" spans="1:56" s="244" customFormat="1" ht="45" customHeight="1" x14ac:dyDescent="0.25">
      <c r="A12" s="239" t="s">
        <v>474</v>
      </c>
      <c r="B12" s="240" t="s">
        <v>465</v>
      </c>
      <c r="C12" s="242">
        <v>2006</v>
      </c>
      <c r="D12" s="242">
        <v>2007</v>
      </c>
      <c r="E12" s="242">
        <v>2008</v>
      </c>
      <c r="F12" s="242">
        <v>2009</v>
      </c>
      <c r="G12" s="242">
        <v>2010</v>
      </c>
      <c r="H12" s="242">
        <v>2011</v>
      </c>
      <c r="I12" s="242">
        <v>2012</v>
      </c>
      <c r="J12" s="242">
        <v>2013</v>
      </c>
      <c r="K12" s="242">
        <v>2014</v>
      </c>
      <c r="L12" s="242">
        <v>2015</v>
      </c>
      <c r="M12" s="242">
        <v>2016</v>
      </c>
      <c r="N12" s="242">
        <v>2017</v>
      </c>
      <c r="O12" s="242">
        <v>2018</v>
      </c>
      <c r="P12" s="242">
        <v>2019</v>
      </c>
      <c r="Q12" s="242">
        <v>2020</v>
      </c>
      <c r="R12" s="242">
        <v>2021</v>
      </c>
      <c r="S12" s="242">
        <v>2022</v>
      </c>
      <c r="T12" s="242">
        <v>2023</v>
      </c>
      <c r="U12" s="242">
        <v>2024</v>
      </c>
      <c r="V12" s="242">
        <v>2025</v>
      </c>
      <c r="W12" s="242">
        <v>2026</v>
      </c>
      <c r="X12" s="242">
        <v>2027</v>
      </c>
      <c r="Y12" s="242">
        <v>2028</v>
      </c>
      <c r="Z12" s="242">
        <v>2029</v>
      </c>
      <c r="AA12" s="242">
        <v>2030</v>
      </c>
      <c r="AB12" s="242">
        <v>2031</v>
      </c>
      <c r="AC12" s="242">
        <v>2032</v>
      </c>
      <c r="AD12" s="242">
        <v>2033</v>
      </c>
      <c r="AE12" s="242">
        <v>2034</v>
      </c>
      <c r="AF12" s="242">
        <v>2035</v>
      </c>
      <c r="AG12" s="242">
        <v>2036</v>
      </c>
      <c r="AH12" s="242">
        <v>2037</v>
      </c>
      <c r="AI12" s="242">
        <v>2038</v>
      </c>
      <c r="AJ12" s="242">
        <v>2039</v>
      </c>
      <c r="AK12" s="242">
        <v>2040</v>
      </c>
      <c r="AL12" s="242">
        <v>2041</v>
      </c>
      <c r="AM12" s="242">
        <v>2042</v>
      </c>
      <c r="AN12" s="242">
        <v>2043</v>
      </c>
      <c r="AO12" s="242">
        <v>2044</v>
      </c>
      <c r="AP12" s="242">
        <v>2045</v>
      </c>
      <c r="AQ12" s="242">
        <v>2046</v>
      </c>
      <c r="AR12" s="242">
        <v>2047</v>
      </c>
      <c r="AS12" s="242">
        <v>2048</v>
      </c>
      <c r="AT12" s="242">
        <v>2049</v>
      </c>
      <c r="AU12" s="243">
        <v>2050</v>
      </c>
      <c r="AW12" s="266" t="s">
        <v>493</v>
      </c>
      <c r="AX12" s="242">
        <v>2020</v>
      </c>
      <c r="AY12" s="242">
        <v>2030</v>
      </c>
      <c r="AZ12" s="243">
        <v>2050</v>
      </c>
    </row>
    <row r="13" spans="1:56" x14ac:dyDescent="0.25">
      <c r="B13" s="245" t="s">
        <v>1</v>
      </c>
      <c r="C13" s="246">
        <f t="shared" ref="C13:AU13" si="5">C14+C15+C18</f>
        <v>842942.38378000003</v>
      </c>
      <c r="D13" s="247">
        <f t="shared" si="5"/>
        <v>878321.99368999992</v>
      </c>
      <c r="E13" s="247">
        <f t="shared" si="5"/>
        <v>894659.98407000001</v>
      </c>
      <c r="F13" s="247">
        <f t="shared" si="5"/>
        <v>922429.28077999991</v>
      </c>
      <c r="G13" s="247">
        <f t="shared" si="5"/>
        <v>944577.18211000005</v>
      </c>
      <c r="H13" s="247">
        <f t="shared" si="5"/>
        <v>982962.52667000005</v>
      </c>
      <c r="I13" s="247">
        <f t="shared" si="5"/>
        <v>1023494.432</v>
      </c>
      <c r="J13" s="247">
        <f t="shared" si="5"/>
        <v>1067985.9339399999</v>
      </c>
      <c r="K13" s="247">
        <f t="shared" si="5"/>
        <v>1123474.6277000001</v>
      </c>
      <c r="L13" s="247">
        <f t="shared" si="5"/>
        <v>1181290.0600700001</v>
      </c>
      <c r="M13" s="247">
        <f t="shared" si="5"/>
        <v>1183484.2608400001</v>
      </c>
      <c r="N13" s="247">
        <f t="shared" si="5"/>
        <v>1179389.0526299998</v>
      </c>
      <c r="O13" s="247">
        <f t="shared" si="5"/>
        <v>1174956.43246</v>
      </c>
      <c r="P13" s="247">
        <f t="shared" si="5"/>
        <v>1169060.48052</v>
      </c>
      <c r="Q13" s="247">
        <f t="shared" si="5"/>
        <v>1175399.21059</v>
      </c>
      <c r="R13" s="247">
        <f t="shared" si="5"/>
        <v>1180936.14509</v>
      </c>
      <c r="S13" s="247">
        <f t="shared" si="5"/>
        <v>1184074.2873499999</v>
      </c>
      <c r="T13" s="247">
        <f t="shared" si="5"/>
        <v>1186254.3978900001</v>
      </c>
      <c r="U13" s="247">
        <f t="shared" si="5"/>
        <v>1188744.74122</v>
      </c>
      <c r="V13" s="247">
        <f t="shared" si="5"/>
        <v>1190572.0639899999</v>
      </c>
      <c r="W13" s="247">
        <f t="shared" si="5"/>
        <v>1192206.5292799999</v>
      </c>
      <c r="X13" s="247">
        <f t="shared" si="5"/>
        <v>1193882.44224</v>
      </c>
      <c r="Y13" s="247">
        <f t="shared" si="5"/>
        <v>1196464.00345</v>
      </c>
      <c r="Z13" s="247">
        <f t="shared" si="5"/>
        <v>1199539.47086</v>
      </c>
      <c r="AA13" s="247">
        <f t="shared" si="5"/>
        <v>1202802.1598499999</v>
      </c>
      <c r="AB13" s="247">
        <f t="shared" si="5"/>
        <v>1206357.58436</v>
      </c>
      <c r="AC13" s="247">
        <f t="shared" si="5"/>
        <v>1212248.55828</v>
      </c>
      <c r="AD13" s="247">
        <f t="shared" si="5"/>
        <v>1217445.8744899998</v>
      </c>
      <c r="AE13" s="247">
        <f t="shared" si="5"/>
        <v>1222482.0132900001</v>
      </c>
      <c r="AF13" s="247">
        <f t="shared" si="5"/>
        <v>1230018.0515399999</v>
      </c>
      <c r="AG13" s="247">
        <f t="shared" si="5"/>
        <v>1234456.6906999999</v>
      </c>
      <c r="AH13" s="247">
        <f t="shared" si="5"/>
        <v>1239755.415</v>
      </c>
      <c r="AI13" s="247">
        <f t="shared" si="5"/>
        <v>1245418.5617500001</v>
      </c>
      <c r="AJ13" s="247">
        <f t="shared" si="5"/>
        <v>1251322.5493399999</v>
      </c>
      <c r="AK13" s="247">
        <f t="shared" si="5"/>
        <v>1257331.7026199999</v>
      </c>
      <c r="AL13" s="247">
        <f t="shared" si="5"/>
        <v>1263627.5943100001</v>
      </c>
      <c r="AM13" s="247">
        <f t="shared" si="5"/>
        <v>1269589.53226</v>
      </c>
      <c r="AN13" s="247">
        <f t="shared" si="5"/>
        <v>1275467.3292100001</v>
      </c>
      <c r="AO13" s="247">
        <f t="shared" si="5"/>
        <v>1281271.1927</v>
      </c>
      <c r="AP13" s="247">
        <f t="shared" si="5"/>
        <v>1287002.47456</v>
      </c>
      <c r="AQ13" s="247">
        <f t="shared" si="5"/>
        <v>1292860.0360099999</v>
      </c>
      <c r="AR13" s="247">
        <f t="shared" si="5"/>
        <v>1298593.5709899999</v>
      </c>
      <c r="AS13" s="247">
        <f t="shared" si="5"/>
        <v>1304245.65175</v>
      </c>
      <c r="AT13" s="247">
        <f t="shared" si="5"/>
        <v>1309845.65337</v>
      </c>
      <c r="AU13" s="248">
        <f t="shared" si="5"/>
        <v>1315480.74239</v>
      </c>
      <c r="AW13" t="s">
        <v>494</v>
      </c>
      <c r="AX13" s="299">
        <f>Q19/Q18</f>
        <v>0.92275750906602372</v>
      </c>
      <c r="AY13" s="299">
        <f>AA19/AA18</f>
        <v>0.91181282966229094</v>
      </c>
      <c r="AZ13" s="299">
        <f>AU19/AU18</f>
        <v>0.89700528764267495</v>
      </c>
    </row>
    <row r="14" spans="1:56" x14ac:dyDescent="0.25">
      <c r="B14" s="249" t="s">
        <v>466</v>
      </c>
      <c r="C14" s="250">
        <f>Résultats!E294</f>
        <v>13442.05508</v>
      </c>
      <c r="D14" s="251">
        <f>Résultats!F294</f>
        <v>13754.020689999999</v>
      </c>
      <c r="E14" s="251">
        <f>Résultats!G294</f>
        <v>14078.737870000001</v>
      </c>
      <c r="F14" s="251">
        <f>Résultats!H294</f>
        <v>13563.30718</v>
      </c>
      <c r="G14" s="251">
        <f>Résultats!I294</f>
        <v>13061.730310000001</v>
      </c>
      <c r="H14" s="251">
        <f>Résultats!J294</f>
        <v>13343.91237</v>
      </c>
      <c r="I14" s="251">
        <f>Résultats!K294</f>
        <v>13561.2354</v>
      </c>
      <c r="J14" s="251">
        <f>Résultats!L294</f>
        <v>13432.845139999999</v>
      </c>
      <c r="K14" s="251">
        <f>Résultats!M294</f>
        <v>13600.448399999999</v>
      </c>
      <c r="L14" s="251">
        <f>Résultats!N294</f>
        <v>13987.73667</v>
      </c>
      <c r="M14" s="251">
        <f>Résultats!O294</f>
        <v>14223.452139999999</v>
      </c>
      <c r="N14" s="251">
        <f>Résultats!P294</f>
        <v>14471.36123</v>
      </c>
      <c r="O14" s="251">
        <f>Résultats!Q294</f>
        <v>14825.776959999999</v>
      </c>
      <c r="P14" s="251">
        <f>Résultats!R294</f>
        <v>15195.528420000001</v>
      </c>
      <c r="Q14" s="251">
        <f>Résultats!S294</f>
        <v>14857.562889999999</v>
      </c>
      <c r="R14" s="251">
        <f>Résultats!T294</f>
        <v>14284.79219</v>
      </c>
      <c r="S14" s="251">
        <f>Résultats!U294</f>
        <v>14158.932849999999</v>
      </c>
      <c r="T14" s="251">
        <f>Résultats!V294</f>
        <v>13976.36239</v>
      </c>
      <c r="U14" s="251">
        <f>Résultats!W294</f>
        <v>14170.932720000001</v>
      </c>
      <c r="V14" s="251">
        <f>Résultats!X294</f>
        <v>14297.48099</v>
      </c>
      <c r="W14" s="251">
        <f>Résultats!Y294</f>
        <v>14430.94968</v>
      </c>
      <c r="X14" s="251">
        <f>Résultats!Z294</f>
        <v>14529.656440000001</v>
      </c>
      <c r="Y14" s="251">
        <f>Résultats!AA294</f>
        <v>14708.50045</v>
      </c>
      <c r="Z14" s="251">
        <f>Résultats!AB294</f>
        <v>14917.745360000001</v>
      </c>
      <c r="AA14" s="251">
        <f>Résultats!AC294</f>
        <v>15132.78125</v>
      </c>
      <c r="AB14" s="251">
        <f>Résultats!AD294</f>
        <v>15367.15646</v>
      </c>
      <c r="AC14" s="251">
        <f>Résultats!AE294</f>
        <v>15594.04098</v>
      </c>
      <c r="AD14" s="251">
        <f>Résultats!AF294</f>
        <v>15852.52529</v>
      </c>
      <c r="AE14" s="251">
        <f>Résultats!AG294</f>
        <v>16139.156989999999</v>
      </c>
      <c r="AF14" s="251">
        <f>Résultats!AH294</f>
        <v>16454.333839999999</v>
      </c>
      <c r="AG14" s="251">
        <f>Résultats!AI294</f>
        <v>16807.6122</v>
      </c>
      <c r="AH14" s="251">
        <f>Résultats!AJ294</f>
        <v>17199.1862</v>
      </c>
      <c r="AI14" s="251">
        <f>Résultats!AK294</f>
        <v>17599.49855</v>
      </c>
      <c r="AJ14" s="251">
        <f>Résultats!AL294</f>
        <v>18018.383040000001</v>
      </c>
      <c r="AK14" s="251">
        <f>Résultats!AM294</f>
        <v>18448.646219999999</v>
      </c>
      <c r="AL14" s="251">
        <f>Résultats!AN294</f>
        <v>18887.108410000001</v>
      </c>
      <c r="AM14" s="251">
        <f>Résultats!AO294</f>
        <v>19322.650659999999</v>
      </c>
      <c r="AN14" s="251">
        <f>Résultats!AP294</f>
        <v>19771.69671</v>
      </c>
      <c r="AO14" s="251">
        <f>Résultats!AQ294</f>
        <v>20225.976600000002</v>
      </c>
      <c r="AP14" s="251">
        <f>Résultats!AR294</f>
        <v>20684.102360000001</v>
      </c>
      <c r="AQ14" s="251">
        <f>Résultats!AS294</f>
        <v>21144.093110000002</v>
      </c>
      <c r="AR14" s="251">
        <f>Résultats!AT294</f>
        <v>21614.039489999999</v>
      </c>
      <c r="AS14" s="251">
        <f>Résultats!AU294</f>
        <v>22090.962950000001</v>
      </c>
      <c r="AT14" s="251">
        <f>Résultats!AV294</f>
        <v>22574.498469999999</v>
      </c>
      <c r="AU14" s="252">
        <f>Résultats!AW294</f>
        <v>23074.399290000001</v>
      </c>
      <c r="AW14" t="s">
        <v>495</v>
      </c>
      <c r="AX14" s="299">
        <f>Q16/Q15</f>
        <v>0.63607289399320477</v>
      </c>
      <c r="AY14" s="299">
        <f>AA16/AA15</f>
        <v>0.63758672215562151</v>
      </c>
      <c r="AZ14" s="299">
        <f>AU16/AU15</f>
        <v>0.66611452215215261</v>
      </c>
    </row>
    <row r="15" spans="1:56" x14ac:dyDescent="0.25">
      <c r="B15" s="254" t="s">
        <v>467</v>
      </c>
      <c r="C15" s="255">
        <f>Résultats!E300</f>
        <v>248850.0986</v>
      </c>
      <c r="D15" s="256">
        <f>Résultats!F300</f>
        <v>267152.06530000002</v>
      </c>
      <c r="E15" s="256">
        <f>Résultats!G300</f>
        <v>279163.73469999997</v>
      </c>
      <c r="F15" s="256">
        <f>Résultats!H300</f>
        <v>295385.6079</v>
      </c>
      <c r="G15" s="256">
        <f>Résultats!I300</f>
        <v>308997.68160000001</v>
      </c>
      <c r="H15" s="256">
        <f>Résultats!J300</f>
        <v>330568.2953</v>
      </c>
      <c r="I15" s="256">
        <f>Résultats!K300</f>
        <v>355756.3737</v>
      </c>
      <c r="J15" s="256">
        <f>Résultats!L300</f>
        <v>381303.71750000003</v>
      </c>
      <c r="K15" s="256">
        <f>Résultats!M300</f>
        <v>410816.06030000001</v>
      </c>
      <c r="L15" s="256">
        <f>Résultats!N300</f>
        <v>442351.11210000003</v>
      </c>
      <c r="M15" s="256">
        <f>Résultats!O300</f>
        <v>441147.01860000001</v>
      </c>
      <c r="N15" s="256">
        <f>Résultats!P300</f>
        <v>436823.10729999997</v>
      </c>
      <c r="O15" s="256">
        <f>Résultats!Q300</f>
        <v>434742.81030000001</v>
      </c>
      <c r="P15" s="256">
        <f>Résultats!R300</f>
        <v>431826.43209999998</v>
      </c>
      <c r="Q15" s="256">
        <f>Résultats!S300</f>
        <v>434723.67210000003</v>
      </c>
      <c r="R15" s="256">
        <f>Résultats!T300</f>
        <v>438390.4583</v>
      </c>
      <c r="S15" s="256">
        <f>Résultats!U300</f>
        <v>439072.53960000002</v>
      </c>
      <c r="T15" s="256">
        <f>Résultats!V300</f>
        <v>439331.68680000002</v>
      </c>
      <c r="U15" s="256">
        <f>Résultats!W300</f>
        <v>439935.67739999999</v>
      </c>
      <c r="V15" s="256">
        <f>Résultats!X300</f>
        <v>440460.49229999998</v>
      </c>
      <c r="W15" s="256">
        <f>Résultats!Y300</f>
        <v>440859.21889999998</v>
      </c>
      <c r="X15" s="256">
        <f>Résultats!Z300</f>
        <v>441479.87670000002</v>
      </c>
      <c r="Y15" s="256">
        <f>Résultats!AA300</f>
        <v>442325.8285</v>
      </c>
      <c r="Z15" s="256">
        <f>Résultats!AB300</f>
        <v>443389.48479999998</v>
      </c>
      <c r="AA15" s="256">
        <f>Résultats!AC300</f>
        <v>444580.10440000001</v>
      </c>
      <c r="AB15" s="256">
        <f>Résultats!AD300</f>
        <v>445896.77630000003</v>
      </c>
      <c r="AC15" s="256">
        <f>Résultats!AE300</f>
        <v>449072.71370000002</v>
      </c>
      <c r="AD15" s="256">
        <f>Résultats!AF300</f>
        <v>451580.90179999999</v>
      </c>
      <c r="AE15" s="256">
        <f>Résultats!AG300</f>
        <v>453852.98330000002</v>
      </c>
      <c r="AF15" s="256">
        <f>Résultats!AH300</f>
        <v>457901.94770000002</v>
      </c>
      <c r="AG15" s="256">
        <f>Résultats!AI300</f>
        <v>459408.6667</v>
      </c>
      <c r="AH15" s="256">
        <f>Résultats!AJ300</f>
        <v>461404.15460000001</v>
      </c>
      <c r="AI15" s="256">
        <f>Résultats!AK300</f>
        <v>463635.73119999998</v>
      </c>
      <c r="AJ15" s="256">
        <f>Résultats!AL300</f>
        <v>465990.1519</v>
      </c>
      <c r="AK15" s="256">
        <f>Résultats!AM300</f>
        <v>468412.90389999998</v>
      </c>
      <c r="AL15" s="256">
        <f>Résultats!AN300</f>
        <v>471024.5282</v>
      </c>
      <c r="AM15" s="256">
        <f>Résultats!AO300</f>
        <v>473419.3334</v>
      </c>
      <c r="AN15" s="256">
        <f>Résultats!AP300</f>
        <v>475718.4363</v>
      </c>
      <c r="AO15" s="256">
        <f>Résultats!AQ300</f>
        <v>477964.6605</v>
      </c>
      <c r="AP15" s="256">
        <f>Résultats!AR300</f>
        <v>480166.78840000002</v>
      </c>
      <c r="AQ15" s="256">
        <f>Résultats!AS300</f>
        <v>482480.71990000003</v>
      </c>
      <c r="AR15" s="256">
        <f>Résultats!AT300</f>
        <v>484689.2377</v>
      </c>
      <c r="AS15" s="256">
        <f>Résultats!AU300</f>
        <v>486838.53289999999</v>
      </c>
      <c r="AT15" s="256">
        <f>Résultats!AV300</f>
        <v>488948.40669999999</v>
      </c>
      <c r="AU15" s="257">
        <f>Résultats!AW300</f>
        <v>491043.00209999998</v>
      </c>
      <c r="AW15" t="s">
        <v>496</v>
      </c>
      <c r="AX15" s="299">
        <f>Q21/(Q18+Q15)</f>
        <v>0.81536921425900499</v>
      </c>
      <c r="AY15" s="299">
        <f>AA21/(AA18+AA15)</f>
        <v>0.8091618110360197</v>
      </c>
      <c r="AZ15" s="299">
        <f>AU21/(AU18+AU15)</f>
        <v>0.80927955397621576</v>
      </c>
    </row>
    <row r="16" spans="1:56" x14ac:dyDescent="0.25">
      <c r="B16" s="258" t="s">
        <v>468</v>
      </c>
      <c r="C16" s="259">
        <f>Résultats!E295</f>
        <v>163461.30420000001</v>
      </c>
      <c r="D16" s="212">
        <f>Résultats!F295</f>
        <v>174437.3585</v>
      </c>
      <c r="E16" s="212">
        <f>Résultats!G295</f>
        <v>181744.26939999999</v>
      </c>
      <c r="F16" s="212">
        <f>Résultats!H295</f>
        <v>189777.6795</v>
      </c>
      <c r="G16" s="212">
        <f>Résultats!I295</f>
        <v>197649.6231</v>
      </c>
      <c r="H16" s="212">
        <f>Résultats!J295</f>
        <v>207898.6256</v>
      </c>
      <c r="I16" s="212">
        <f>Résultats!K295</f>
        <v>223939.04740000001</v>
      </c>
      <c r="J16" s="212">
        <f>Résultats!L295</f>
        <v>240577.19289999999</v>
      </c>
      <c r="K16" s="212">
        <f>Résultats!M295</f>
        <v>258206.44339999999</v>
      </c>
      <c r="L16" s="212">
        <f>Résultats!N295</f>
        <v>281906.88370000001</v>
      </c>
      <c r="M16" s="212">
        <f>Résultats!O295</f>
        <v>283858.75180000003</v>
      </c>
      <c r="N16" s="212">
        <f>Résultats!P295</f>
        <v>279234.40909999999</v>
      </c>
      <c r="O16" s="212">
        <f>Résultats!Q295</f>
        <v>273920.62640000001</v>
      </c>
      <c r="P16" s="212">
        <f>Résultats!R295</f>
        <v>273877.86349999998</v>
      </c>
      <c r="Q16" s="212">
        <f>Résultats!S295</f>
        <v>276515.94420000003</v>
      </c>
      <c r="R16" s="212">
        <f>Résultats!T295</f>
        <v>281198.4057</v>
      </c>
      <c r="S16" s="212">
        <f>Résultats!U295</f>
        <v>280909.37809999997</v>
      </c>
      <c r="T16" s="212">
        <f>Résultats!V295</f>
        <v>280238.88329999999</v>
      </c>
      <c r="U16" s="212">
        <f>Résultats!W295</f>
        <v>280322.5503</v>
      </c>
      <c r="V16" s="212">
        <f>Résultats!X295</f>
        <v>280538.15980000002</v>
      </c>
      <c r="W16" s="212">
        <f>Résultats!Y295</f>
        <v>280656.82309999998</v>
      </c>
      <c r="X16" s="212">
        <f>Résultats!Z295</f>
        <v>281216.4817</v>
      </c>
      <c r="Y16" s="212">
        <f>Résultats!AA295</f>
        <v>281775.37479999999</v>
      </c>
      <c r="Z16" s="212">
        <f>Résultats!AB295</f>
        <v>282532.57049999997</v>
      </c>
      <c r="AA16" s="212">
        <f>Résultats!AC295</f>
        <v>283458.37150000001</v>
      </c>
      <c r="AB16" s="212">
        <f>Résultats!AD295</f>
        <v>284502.14990000002</v>
      </c>
      <c r="AC16" s="212">
        <f>Résultats!AE295</f>
        <v>288246.79029999999</v>
      </c>
      <c r="AD16" s="212">
        <f>Résultats!AF295</f>
        <v>290950.70329999999</v>
      </c>
      <c r="AE16" s="212">
        <f>Résultats!AG295</f>
        <v>293255.51120000001</v>
      </c>
      <c r="AF16" s="212">
        <f>Résultats!AH295</f>
        <v>298058.85580000002</v>
      </c>
      <c r="AG16" s="212">
        <f>Résultats!AI295</f>
        <v>299071.38929999998</v>
      </c>
      <c r="AH16" s="212">
        <f>Résultats!AJ295</f>
        <v>300710.37839999999</v>
      </c>
      <c r="AI16" s="212">
        <f>Résultats!AK295</f>
        <v>302681.07339999999</v>
      </c>
      <c r="AJ16" s="212">
        <f>Résultats!AL295</f>
        <v>304810.13170000003</v>
      </c>
      <c r="AK16" s="212">
        <f>Résultats!AM295</f>
        <v>307043.26309999998</v>
      </c>
      <c r="AL16" s="212">
        <f>Résultats!AN295</f>
        <v>309529.70289999997</v>
      </c>
      <c r="AM16" s="212">
        <f>Résultats!AO295</f>
        <v>311732.10320000001</v>
      </c>
      <c r="AN16" s="212">
        <f>Résultats!AP295</f>
        <v>313773.57909999997</v>
      </c>
      <c r="AO16" s="212">
        <f>Résultats!AQ295</f>
        <v>315740.59330000001</v>
      </c>
      <c r="AP16" s="212">
        <f>Résultats!AR295</f>
        <v>317654.01659999997</v>
      </c>
      <c r="AQ16" s="212">
        <f>Résultats!AS295</f>
        <v>319747.48540000001</v>
      </c>
      <c r="AR16" s="212">
        <f>Résultats!AT295</f>
        <v>321680.0269</v>
      </c>
      <c r="AS16" s="212">
        <f>Résultats!AU295</f>
        <v>323533.20909999998</v>
      </c>
      <c r="AT16" s="212">
        <f>Résultats!AV295</f>
        <v>325334.09830000001</v>
      </c>
      <c r="AU16" s="260">
        <f>Résultats!AW295</f>
        <v>327090.87469999999</v>
      </c>
    </row>
    <row r="17" spans="1:49" x14ac:dyDescent="0.25">
      <c r="B17" s="261" t="s">
        <v>469</v>
      </c>
      <c r="C17" s="262">
        <f>Résultats!E298</f>
        <v>47168.08829</v>
      </c>
      <c r="D17" s="263">
        <f>Résultats!F298</f>
        <v>48247.45723</v>
      </c>
      <c r="E17" s="263">
        <f>Résultats!G298</f>
        <v>48129.430509999998</v>
      </c>
      <c r="F17" s="263">
        <f>Résultats!H298</f>
        <v>49209.008800000003</v>
      </c>
      <c r="G17" s="263">
        <f>Résultats!I298</f>
        <v>49827.708409999999</v>
      </c>
      <c r="H17" s="263">
        <f>Résultats!J298</f>
        <v>51246.885170000001</v>
      </c>
      <c r="I17" s="263">
        <f>Résultats!K298</f>
        <v>51655.752919999999</v>
      </c>
      <c r="J17" s="263">
        <f>Résultats!L298</f>
        <v>52614.380239999999</v>
      </c>
      <c r="K17" s="263">
        <f>Résultats!M298</f>
        <v>54462.66158</v>
      </c>
      <c r="L17" s="263">
        <f>Résultats!N298</f>
        <v>55589.95336</v>
      </c>
      <c r="M17" s="263">
        <f>Résultats!O298</f>
        <v>55664.409030000003</v>
      </c>
      <c r="N17" s="263">
        <f>Résultats!P298</f>
        <v>56165.361259999998</v>
      </c>
      <c r="O17" s="263">
        <f>Résultats!Q298</f>
        <v>56486.723299999998</v>
      </c>
      <c r="P17" s="263">
        <f>Résultats!R298</f>
        <v>55949.973270000002</v>
      </c>
      <c r="Q17" s="263">
        <f>Résultats!S297</f>
        <v>158645.91219999999</v>
      </c>
      <c r="R17" s="263">
        <f>Résultats!T298</f>
        <v>55713.20852</v>
      </c>
      <c r="S17" s="263">
        <f>Résultats!U298</f>
        <v>56068.541550000002</v>
      </c>
      <c r="T17" s="263">
        <f>Résultats!V298</f>
        <v>56411.61621</v>
      </c>
      <c r="U17" s="263">
        <f>Résultats!W298</f>
        <v>56611.755689999998</v>
      </c>
      <c r="V17" s="263">
        <f>Résultats!X298</f>
        <v>56732.624900000003</v>
      </c>
      <c r="W17" s="263">
        <f>Résultats!Y298</f>
        <v>56852.603600000002</v>
      </c>
      <c r="X17" s="263">
        <f>Résultats!Z298</f>
        <v>56900.903149999998</v>
      </c>
      <c r="Y17" s="263">
        <f>Résultats!AA298</f>
        <v>57024.040739999997</v>
      </c>
      <c r="Z17" s="263">
        <f>Résultats!AB298</f>
        <v>57153.401290000002</v>
      </c>
      <c r="AA17" s="263">
        <f>Résultats!AC297</f>
        <v>161604.1784</v>
      </c>
      <c r="AB17" s="263">
        <f>Résultats!AD298</f>
        <v>57388.017820000001</v>
      </c>
      <c r="AC17" s="263">
        <f>Résultats!AE298</f>
        <v>57238.797120000003</v>
      </c>
      <c r="AD17" s="263">
        <f>Résultats!AF298</f>
        <v>57208.7929</v>
      </c>
      <c r="AE17" s="263">
        <f>Résultats!AG298</f>
        <v>57232.510520000003</v>
      </c>
      <c r="AF17" s="263">
        <f>Résultats!AH298</f>
        <v>57042.335809999997</v>
      </c>
      <c r="AG17" s="263">
        <f>Résultats!AI298</f>
        <v>57234.700790000003</v>
      </c>
      <c r="AH17" s="263">
        <f>Résultats!AJ298</f>
        <v>57391.883280000002</v>
      </c>
      <c r="AI17" s="263">
        <f>Résultats!AK298</f>
        <v>57524.205650000004</v>
      </c>
      <c r="AJ17" s="263">
        <f>Résultats!AL298</f>
        <v>57649.460359999997</v>
      </c>
      <c r="AK17" s="263">
        <f>Résultats!AM298</f>
        <v>57765.108130000001</v>
      </c>
      <c r="AL17" s="263">
        <f>Résultats!AN298</f>
        <v>57862.244839999999</v>
      </c>
      <c r="AM17" s="263">
        <f>Résultats!AO298</f>
        <v>57979.64243</v>
      </c>
      <c r="AN17" s="263">
        <f>Résultats!AP298</f>
        <v>58116.303930000002</v>
      </c>
      <c r="AO17" s="263">
        <f>Résultats!AQ298</f>
        <v>58258.913820000002</v>
      </c>
      <c r="AP17" s="263">
        <f>Résultats!AR298</f>
        <v>58404.111790000003</v>
      </c>
      <c r="AQ17" s="263">
        <f>Résultats!AS298</f>
        <v>58529.579160000001</v>
      </c>
      <c r="AR17" s="263">
        <f>Résultats!AT298</f>
        <v>58670.863740000001</v>
      </c>
      <c r="AS17" s="263">
        <f>Résultats!AU298</f>
        <v>58817.991829999999</v>
      </c>
      <c r="AT17" s="263">
        <f>Résultats!AV298</f>
        <v>58969.032919999998</v>
      </c>
      <c r="AU17" s="264">
        <f>Résultats!AW297</f>
        <v>164553.44200000001</v>
      </c>
      <c r="AW17" s="253"/>
    </row>
    <row r="18" spans="1:49" x14ac:dyDescent="0.25">
      <c r="B18" s="258" t="s">
        <v>470</v>
      </c>
      <c r="C18" s="259">
        <f>Résultats!E299</f>
        <v>580650.23010000004</v>
      </c>
      <c r="D18" s="212">
        <f>Résultats!F299</f>
        <v>597415.90769999998</v>
      </c>
      <c r="E18" s="212">
        <f>Résultats!G299</f>
        <v>601417.51150000002</v>
      </c>
      <c r="F18" s="212">
        <f>Résultats!H299</f>
        <v>613480.36569999997</v>
      </c>
      <c r="G18" s="212">
        <f>Résultats!I299</f>
        <v>622517.77020000003</v>
      </c>
      <c r="H18" s="212">
        <f>Résultats!J299</f>
        <v>639050.31900000002</v>
      </c>
      <c r="I18" s="212">
        <f>Résultats!K299</f>
        <v>654176.82290000003</v>
      </c>
      <c r="J18" s="212">
        <f>Résultats!L299</f>
        <v>673249.3713</v>
      </c>
      <c r="K18" s="212">
        <f>Résultats!M299</f>
        <v>699058.11899999995</v>
      </c>
      <c r="L18" s="212">
        <f>Résultats!N299</f>
        <v>724951.21129999997</v>
      </c>
      <c r="M18" s="212">
        <f>Résultats!O299</f>
        <v>728113.79009999998</v>
      </c>
      <c r="N18" s="212">
        <f>Résultats!P299</f>
        <v>728094.58409999998</v>
      </c>
      <c r="O18" s="212">
        <f>Résultats!Q299</f>
        <v>725387.84519999998</v>
      </c>
      <c r="P18" s="212">
        <f>Résultats!R299</f>
        <v>722038.52</v>
      </c>
      <c r="Q18" s="212">
        <f>Résultats!S299</f>
        <v>725817.97560000001</v>
      </c>
      <c r="R18" s="212">
        <f>Résultats!T299</f>
        <v>728260.8946</v>
      </c>
      <c r="S18" s="212">
        <f>Résultats!U299</f>
        <v>730842.8149</v>
      </c>
      <c r="T18" s="212">
        <f>Résultats!V299</f>
        <v>732946.34869999997</v>
      </c>
      <c r="U18" s="212">
        <f>Résultats!W299</f>
        <v>734638.1311</v>
      </c>
      <c r="V18" s="212">
        <f>Résultats!X299</f>
        <v>735814.09069999994</v>
      </c>
      <c r="W18" s="212">
        <f>Résultats!Y299</f>
        <v>736916.36069999996</v>
      </c>
      <c r="X18" s="212">
        <f>Résultats!Z299</f>
        <v>737872.90910000005</v>
      </c>
      <c r="Y18" s="212">
        <f>Résultats!AA299</f>
        <v>739429.67449999996</v>
      </c>
      <c r="Z18" s="212">
        <f>Résultats!AB299</f>
        <v>741232.24069999997</v>
      </c>
      <c r="AA18" s="212">
        <f>Résultats!AC299</f>
        <v>743089.27419999999</v>
      </c>
      <c r="AB18" s="212">
        <f>Résultats!AD299</f>
        <v>745093.65159999998</v>
      </c>
      <c r="AC18" s="212">
        <f>Résultats!AE299</f>
        <v>747581.80359999998</v>
      </c>
      <c r="AD18" s="212">
        <f>Résultats!AF299</f>
        <v>750012.44739999995</v>
      </c>
      <c r="AE18" s="212">
        <f>Résultats!AG299</f>
        <v>752489.87300000002</v>
      </c>
      <c r="AF18" s="212">
        <f>Résultats!AH299</f>
        <v>755661.77</v>
      </c>
      <c r="AG18" s="212">
        <f>Résultats!AI299</f>
        <v>758240.4118</v>
      </c>
      <c r="AH18" s="212">
        <f>Résultats!AJ299</f>
        <v>761152.07420000003</v>
      </c>
      <c r="AI18" s="212">
        <f>Résultats!AK299</f>
        <v>764183.33200000005</v>
      </c>
      <c r="AJ18" s="212">
        <f>Résultats!AL299</f>
        <v>767314.01439999999</v>
      </c>
      <c r="AK18" s="212">
        <f>Résultats!AM299</f>
        <v>770470.15249999997</v>
      </c>
      <c r="AL18" s="212">
        <f>Résultats!AN299</f>
        <v>773715.95770000003</v>
      </c>
      <c r="AM18" s="212">
        <f>Résultats!AO299</f>
        <v>776847.54819999996</v>
      </c>
      <c r="AN18" s="212">
        <f>Résultats!AP299</f>
        <v>779977.19620000001</v>
      </c>
      <c r="AO18" s="212">
        <f>Résultats!AQ299</f>
        <v>783080.55559999996</v>
      </c>
      <c r="AP18" s="212">
        <f>Résultats!AR299</f>
        <v>786151.58380000002</v>
      </c>
      <c r="AQ18" s="212">
        <f>Résultats!AS299</f>
        <v>789235.223</v>
      </c>
      <c r="AR18" s="212">
        <f>Résultats!AT299</f>
        <v>792290.29379999998</v>
      </c>
      <c r="AS18" s="212">
        <f>Résultats!AU299</f>
        <v>795316.15590000001</v>
      </c>
      <c r="AT18" s="212">
        <f>Résultats!AV299</f>
        <v>798322.74820000003</v>
      </c>
      <c r="AU18" s="260">
        <f>Résultats!AW299</f>
        <v>801363.34100000001</v>
      </c>
    </row>
    <row r="19" spans="1:49" x14ac:dyDescent="0.25">
      <c r="B19" s="258" t="s">
        <v>471</v>
      </c>
      <c r="C19" s="259">
        <f>Résultats!E296</f>
        <v>533482.14110000001</v>
      </c>
      <c r="D19" s="212">
        <f>Résultats!F296</f>
        <v>549169.34869999997</v>
      </c>
      <c r="E19" s="212">
        <f>Résultats!G296</f>
        <v>553291.179</v>
      </c>
      <c r="F19" s="212">
        <f>Résultats!H296</f>
        <v>564274.66130000004</v>
      </c>
      <c r="G19" s="212">
        <f>Résultats!I296</f>
        <v>572693.53780000005</v>
      </c>
      <c r="H19" s="212">
        <f>Résultats!J296</f>
        <v>587807.09970000002</v>
      </c>
      <c r="I19" s="212">
        <f>Résultats!K296</f>
        <v>602531.59580000001</v>
      </c>
      <c r="J19" s="212">
        <f>Résultats!L296</f>
        <v>620648.90579999995</v>
      </c>
      <c r="K19" s="212">
        <f>Résultats!M296</f>
        <v>644610.18850000005</v>
      </c>
      <c r="L19" s="212">
        <f>Résultats!N296</f>
        <v>669384.22380000004</v>
      </c>
      <c r="M19" s="212">
        <f>Résultats!O296</f>
        <v>672472.72160000005</v>
      </c>
      <c r="N19" s="212">
        <f>Résultats!P296</f>
        <v>671955.00260000001</v>
      </c>
      <c r="O19" s="212">
        <f>Résultats!Q296</f>
        <v>668929.50950000004</v>
      </c>
      <c r="P19" s="212">
        <f>Résultats!R296</f>
        <v>666117.54</v>
      </c>
      <c r="Q19" s="212">
        <f>Résultats!S296</f>
        <v>669753.98719999997</v>
      </c>
      <c r="R19" s="212">
        <f>Résultats!T296</f>
        <v>670453.25360000005</v>
      </c>
      <c r="S19" s="212">
        <f>Résultats!U296</f>
        <v>672000.31969999999</v>
      </c>
      <c r="T19" s="212">
        <f>Résultats!V296</f>
        <v>673079.69559999998</v>
      </c>
      <c r="U19" s="212">
        <f>Résultats!W296</f>
        <v>673889.18420000002</v>
      </c>
      <c r="V19" s="212">
        <f>Résultats!X296</f>
        <v>674263.06059999997</v>
      </c>
      <c r="W19" s="212">
        <f>Résultats!Y296</f>
        <v>674563.24479999999</v>
      </c>
      <c r="X19" s="212">
        <f>Résultats!Z296</f>
        <v>674789.23320000002</v>
      </c>
      <c r="Y19" s="212">
        <f>Résultats!AA296</f>
        <v>675533.9449</v>
      </c>
      <c r="Z19" s="212">
        <f>Résultats!AB296</f>
        <v>676513.54790000001</v>
      </c>
      <c r="AA19" s="212">
        <f>Résultats!AC296</f>
        <v>677558.33380000002</v>
      </c>
      <c r="AB19" s="212">
        <f>Résultats!AD296</f>
        <v>678742.14300000004</v>
      </c>
      <c r="AC19" s="212">
        <f>Résultats!AE296</f>
        <v>680669.67180000001</v>
      </c>
      <c r="AD19" s="212">
        <f>Résultats!AF296</f>
        <v>682416.55260000005</v>
      </c>
      <c r="AE19" s="212">
        <f>Résultats!AG296</f>
        <v>684151.71459999995</v>
      </c>
      <c r="AF19" s="212">
        <f>Résultats!AH296</f>
        <v>686781.61259999999</v>
      </c>
      <c r="AG19" s="212">
        <f>Résultats!AI296</f>
        <v>688438.71070000005</v>
      </c>
      <c r="AH19" s="212">
        <f>Résultats!AJ296</f>
        <v>690454.17039999994</v>
      </c>
      <c r="AI19" s="212">
        <f>Résultats!AK296</f>
        <v>692607.24860000005</v>
      </c>
      <c r="AJ19" s="212">
        <f>Résultats!AL296</f>
        <v>694860.01599999995</v>
      </c>
      <c r="AK19" s="212">
        <f>Résultats!AM296</f>
        <v>697142.25919999997</v>
      </c>
      <c r="AL19" s="212">
        <f>Résultats!AN296</f>
        <v>699525.68980000005</v>
      </c>
      <c r="AM19" s="212">
        <f>Résultats!AO296</f>
        <v>701771.8</v>
      </c>
      <c r="AN19" s="212">
        <f>Résultats!AP296</f>
        <v>703991.65590000001</v>
      </c>
      <c r="AO19" s="212">
        <f>Résultats!AQ296</f>
        <v>706174.85239999997</v>
      </c>
      <c r="AP19" s="212">
        <f>Résultats!AR296</f>
        <v>708318.94609999994</v>
      </c>
      <c r="AQ19" s="212">
        <f>Résultats!AS296</f>
        <v>710490.16429999995</v>
      </c>
      <c r="AR19" s="212">
        <f>Résultats!AT296</f>
        <v>712612.79559999995</v>
      </c>
      <c r="AS19" s="212">
        <f>Résultats!AU296</f>
        <v>714696.30319999997</v>
      </c>
      <c r="AT19" s="212">
        <f>Résultats!AV296</f>
        <v>716752.37100000004</v>
      </c>
      <c r="AU19" s="260">
        <f>Résultats!AW296</f>
        <v>718827.15419999999</v>
      </c>
    </row>
    <row r="20" spans="1:49" x14ac:dyDescent="0.25">
      <c r="B20" s="261" t="s">
        <v>472</v>
      </c>
      <c r="C20" s="262">
        <f>Résultats!E297</f>
        <v>85388.793109999999</v>
      </c>
      <c r="D20" s="263">
        <f>Résultats!F297</f>
        <v>92723.860149999906</v>
      </c>
      <c r="E20" s="263">
        <f>Résultats!G297</f>
        <v>97431.31061</v>
      </c>
      <c r="F20" s="263">
        <f>Résultats!H297</f>
        <v>105668.875</v>
      </c>
      <c r="G20" s="263">
        <f>Résultats!I297</f>
        <v>111417.2164</v>
      </c>
      <c r="H20" s="263">
        <f>Résultats!J297</f>
        <v>122828.0349</v>
      </c>
      <c r="I20" s="263">
        <f>Résultats!K297</f>
        <v>131987.99729999999</v>
      </c>
      <c r="J20" s="263">
        <f>Résultats!L297</f>
        <v>140911.1948</v>
      </c>
      <c r="K20" s="263">
        <f>Résultats!M297</f>
        <v>152813.7341</v>
      </c>
      <c r="L20" s="263">
        <f>Résultats!N297</f>
        <v>160735.60399999999</v>
      </c>
      <c r="M20" s="263">
        <f>Résultats!O297</f>
        <v>157614.63039999999</v>
      </c>
      <c r="N20" s="263">
        <f>Résultats!P297</f>
        <v>157928.91190000001</v>
      </c>
      <c r="O20" s="263">
        <f>Résultats!Q297</f>
        <v>161241.2732</v>
      </c>
      <c r="P20" s="263">
        <f>Résultats!R297</f>
        <v>158380.69339999999</v>
      </c>
      <c r="Q20" s="263">
        <f>Résultats!S298</f>
        <v>56093.34906</v>
      </c>
      <c r="R20" s="263">
        <f>Résultats!T297</f>
        <v>157660.81469999999</v>
      </c>
      <c r="S20" s="263">
        <f>Résultats!U297</f>
        <v>158635.2697</v>
      </c>
      <c r="T20" s="263">
        <f>Résultats!V297</f>
        <v>159568.6502</v>
      </c>
      <c r="U20" s="263">
        <f>Résultats!W297</f>
        <v>160090.0753</v>
      </c>
      <c r="V20" s="263">
        <f>Résultats!X297</f>
        <v>160399.91880000001</v>
      </c>
      <c r="W20" s="263">
        <f>Résultats!Y297</f>
        <v>160680.50409999999</v>
      </c>
      <c r="X20" s="263">
        <f>Résultats!Z297</f>
        <v>160742.30859999999</v>
      </c>
      <c r="Y20" s="263">
        <f>Résultats!AA297</f>
        <v>161030.28709999999</v>
      </c>
      <c r="Z20" s="263">
        <f>Résultats!AB297</f>
        <v>161337.9325</v>
      </c>
      <c r="AA20" s="263">
        <f>Résultats!AC298</f>
        <v>57268.805480000003</v>
      </c>
      <c r="AB20" s="263">
        <f>Résultats!AD297</f>
        <v>161878.70269999999</v>
      </c>
      <c r="AC20" s="263">
        <f>Résultats!AE297</f>
        <v>161327.54819999999</v>
      </c>
      <c r="AD20" s="263">
        <f>Résultats!AF297</f>
        <v>161140.35089999999</v>
      </c>
      <c r="AE20" s="263">
        <f>Résultats!AG297</f>
        <v>161113.57120000001</v>
      </c>
      <c r="AF20" s="263">
        <f>Résultats!AH297</f>
        <v>160386.38029999999</v>
      </c>
      <c r="AG20" s="263">
        <f>Résultats!AI297</f>
        <v>160882.35829999999</v>
      </c>
      <c r="AH20" s="263">
        <f>Résultats!AJ297</f>
        <v>161241.7739</v>
      </c>
      <c r="AI20" s="263">
        <f>Résultats!AK297</f>
        <v>161506.56690000001</v>
      </c>
      <c r="AJ20" s="263">
        <f>Résultats!AL297</f>
        <v>161736.38380000001</v>
      </c>
      <c r="AK20" s="263">
        <f>Résultats!AM297</f>
        <v>161930.87040000001</v>
      </c>
      <c r="AL20" s="263">
        <f>Résultats!AN297</f>
        <v>162061.98850000001</v>
      </c>
      <c r="AM20" s="263">
        <f>Résultats!AO297</f>
        <v>162259.12049999999</v>
      </c>
      <c r="AN20" s="263">
        <f>Résultats!AP297</f>
        <v>162520.8199</v>
      </c>
      <c r="AO20" s="263">
        <f>Résultats!AQ297</f>
        <v>162803.8426</v>
      </c>
      <c r="AP20" s="263">
        <f>Résultats!AR297</f>
        <v>163096.19159999999</v>
      </c>
      <c r="AQ20" s="263">
        <f>Résultats!AS297</f>
        <v>163320.92430000001</v>
      </c>
      <c r="AR20" s="263">
        <f>Résultats!AT297</f>
        <v>163600.6012</v>
      </c>
      <c r="AS20" s="263">
        <f>Résultats!AU297</f>
        <v>163900.17110000001</v>
      </c>
      <c r="AT20" s="263">
        <f>Résultats!AV297</f>
        <v>164212.4601</v>
      </c>
      <c r="AU20" s="264">
        <f>Résultats!AW298</f>
        <v>59129.610990000001</v>
      </c>
    </row>
    <row r="21" spans="1:49" x14ac:dyDescent="0.25">
      <c r="B21" s="249" t="s">
        <v>473</v>
      </c>
      <c r="C21" s="250">
        <f t="shared" ref="C21:AU21" si="6">C16+C19</f>
        <v>696943.44530000002</v>
      </c>
      <c r="D21" s="251">
        <f t="shared" si="6"/>
        <v>723606.70719999995</v>
      </c>
      <c r="E21" s="251">
        <f t="shared" si="6"/>
        <v>735035.44839999999</v>
      </c>
      <c r="F21" s="251">
        <f t="shared" si="6"/>
        <v>754052.34080000001</v>
      </c>
      <c r="G21" s="251">
        <f t="shared" si="6"/>
        <v>770343.16090000002</v>
      </c>
      <c r="H21" s="251">
        <f t="shared" si="6"/>
        <v>795705.72530000005</v>
      </c>
      <c r="I21" s="251">
        <f t="shared" si="6"/>
        <v>826470.64320000005</v>
      </c>
      <c r="J21" s="251">
        <f t="shared" si="6"/>
        <v>861226.09869999997</v>
      </c>
      <c r="K21" s="251">
        <f t="shared" si="6"/>
        <v>902816.63190000004</v>
      </c>
      <c r="L21" s="251">
        <f t="shared" si="6"/>
        <v>951291.10750000004</v>
      </c>
      <c r="M21" s="251">
        <f t="shared" si="6"/>
        <v>956331.47340000002</v>
      </c>
      <c r="N21" s="251">
        <f t="shared" si="6"/>
        <v>951189.41170000006</v>
      </c>
      <c r="O21" s="251">
        <f t="shared" si="6"/>
        <v>942850.13590000011</v>
      </c>
      <c r="P21" s="251">
        <f t="shared" si="6"/>
        <v>939995.40350000001</v>
      </c>
      <c r="Q21" s="251">
        <f t="shared" si="6"/>
        <v>946269.9314</v>
      </c>
      <c r="R21" s="251">
        <f t="shared" si="6"/>
        <v>951651.65930000006</v>
      </c>
      <c r="S21" s="251">
        <f t="shared" si="6"/>
        <v>952909.69779999997</v>
      </c>
      <c r="T21" s="251">
        <f t="shared" si="6"/>
        <v>953318.57889999996</v>
      </c>
      <c r="U21" s="251">
        <f t="shared" si="6"/>
        <v>954211.73450000002</v>
      </c>
      <c r="V21" s="251">
        <f t="shared" si="6"/>
        <v>954801.22039999999</v>
      </c>
      <c r="W21" s="251">
        <f t="shared" si="6"/>
        <v>955220.06789999991</v>
      </c>
      <c r="X21" s="251">
        <f t="shared" si="6"/>
        <v>956005.71490000002</v>
      </c>
      <c r="Y21" s="251">
        <f t="shared" si="6"/>
        <v>957309.31969999999</v>
      </c>
      <c r="Z21" s="251">
        <f t="shared" si="6"/>
        <v>959046.11840000004</v>
      </c>
      <c r="AA21" s="251">
        <f t="shared" si="6"/>
        <v>961016.70530000003</v>
      </c>
      <c r="AB21" s="251">
        <f t="shared" si="6"/>
        <v>963244.2929</v>
      </c>
      <c r="AC21" s="251">
        <f t="shared" si="6"/>
        <v>968916.4621</v>
      </c>
      <c r="AD21" s="251">
        <f t="shared" si="6"/>
        <v>973367.25589999999</v>
      </c>
      <c r="AE21" s="251">
        <f t="shared" si="6"/>
        <v>977407.2257999999</v>
      </c>
      <c r="AF21" s="251">
        <f t="shared" si="6"/>
        <v>984840.46840000001</v>
      </c>
      <c r="AG21" s="251">
        <f t="shared" si="6"/>
        <v>987510.10000000009</v>
      </c>
      <c r="AH21" s="251">
        <f t="shared" si="6"/>
        <v>991164.54879999999</v>
      </c>
      <c r="AI21" s="251">
        <f t="shared" si="6"/>
        <v>995288.32200000004</v>
      </c>
      <c r="AJ21" s="251">
        <f t="shared" si="6"/>
        <v>999670.14769999997</v>
      </c>
      <c r="AK21" s="251">
        <f t="shared" si="6"/>
        <v>1004185.5223</v>
      </c>
      <c r="AL21" s="251">
        <f t="shared" si="6"/>
        <v>1009055.3927</v>
      </c>
      <c r="AM21" s="251">
        <f t="shared" si="6"/>
        <v>1013503.9032000001</v>
      </c>
      <c r="AN21" s="251">
        <f t="shared" si="6"/>
        <v>1017765.235</v>
      </c>
      <c r="AO21" s="251">
        <f t="shared" si="6"/>
        <v>1021915.4457</v>
      </c>
      <c r="AP21" s="251">
        <f t="shared" si="6"/>
        <v>1025972.9626999999</v>
      </c>
      <c r="AQ21" s="251">
        <f t="shared" si="6"/>
        <v>1030237.6497</v>
      </c>
      <c r="AR21" s="251">
        <f t="shared" si="6"/>
        <v>1034292.8225</v>
      </c>
      <c r="AS21" s="251">
        <f t="shared" si="6"/>
        <v>1038229.5122999999</v>
      </c>
      <c r="AT21" s="251">
        <f t="shared" si="6"/>
        <v>1042086.4693</v>
      </c>
      <c r="AU21" s="252">
        <f t="shared" si="6"/>
        <v>1045918.0289</v>
      </c>
      <c r="AW21" s="253"/>
    </row>
    <row r="22" spans="1:49" x14ac:dyDescent="0.25"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W22" s="253"/>
    </row>
    <row r="23" spans="1:49" s="244" customFormat="1" ht="45" customHeight="1" x14ac:dyDescent="0.25">
      <c r="A23" s="239" t="str">
        <f>"Ecarts "&amp;Résultats!B1&amp;"  - TEND"</f>
        <v>Ecarts SNBC3  - TEND</v>
      </c>
      <c r="B23" s="266" t="s">
        <v>475</v>
      </c>
      <c r="C23" s="242">
        <v>2006</v>
      </c>
      <c r="D23" s="242">
        <v>2007</v>
      </c>
      <c r="E23" s="242">
        <v>2008</v>
      </c>
      <c r="F23" s="242">
        <v>2009</v>
      </c>
      <c r="G23" s="242">
        <v>2010</v>
      </c>
      <c r="H23" s="242">
        <v>2011</v>
      </c>
      <c r="I23" s="242">
        <v>2012</v>
      </c>
      <c r="J23" s="242">
        <v>2013</v>
      </c>
      <c r="K23" s="242">
        <v>2014</v>
      </c>
      <c r="L23" s="242">
        <v>2015</v>
      </c>
      <c r="M23" s="242">
        <v>2016</v>
      </c>
      <c r="N23" s="242">
        <v>2017</v>
      </c>
      <c r="O23" s="242">
        <v>2018</v>
      </c>
      <c r="P23" s="242">
        <v>2019</v>
      </c>
      <c r="Q23" s="242">
        <v>2020</v>
      </c>
      <c r="R23" s="242">
        <v>2021</v>
      </c>
      <c r="S23" s="242">
        <v>2022</v>
      </c>
      <c r="T23" s="242">
        <v>2023</v>
      </c>
      <c r="U23" s="242">
        <v>2024</v>
      </c>
      <c r="V23" s="242">
        <v>2025</v>
      </c>
      <c r="W23" s="242">
        <v>2026</v>
      </c>
      <c r="X23" s="242">
        <v>2027</v>
      </c>
      <c r="Y23" s="242">
        <v>2028</v>
      </c>
      <c r="Z23" s="242">
        <v>2029</v>
      </c>
      <c r="AA23" s="242">
        <v>2030</v>
      </c>
      <c r="AB23" s="242">
        <v>2031</v>
      </c>
      <c r="AC23" s="242">
        <v>2032</v>
      </c>
      <c r="AD23" s="242">
        <v>2033</v>
      </c>
      <c r="AE23" s="242">
        <v>2034</v>
      </c>
      <c r="AF23" s="242">
        <v>2035</v>
      </c>
      <c r="AG23" s="242">
        <v>2036</v>
      </c>
      <c r="AH23" s="242">
        <v>2037</v>
      </c>
      <c r="AI23" s="242">
        <v>2038</v>
      </c>
      <c r="AJ23" s="242">
        <v>2039</v>
      </c>
      <c r="AK23" s="242">
        <v>2040</v>
      </c>
      <c r="AL23" s="242">
        <v>2041</v>
      </c>
      <c r="AM23" s="242">
        <v>2042</v>
      </c>
      <c r="AN23" s="242">
        <v>2043</v>
      </c>
      <c r="AO23" s="242">
        <v>2044</v>
      </c>
      <c r="AP23" s="242">
        <v>2045</v>
      </c>
      <c r="AQ23" s="242">
        <v>2046</v>
      </c>
      <c r="AR23" s="242">
        <v>2047</v>
      </c>
      <c r="AS23" s="242">
        <v>2048</v>
      </c>
      <c r="AT23" s="242">
        <v>2049</v>
      </c>
      <c r="AU23" s="243">
        <v>2050</v>
      </c>
      <c r="AV23" s="267"/>
    </row>
    <row r="24" spans="1:49" x14ac:dyDescent="0.25">
      <c r="B24" s="245" t="s">
        <v>1</v>
      </c>
      <c r="C24" s="247">
        <f t="shared" ref="C24:AU25" si="7">C2-C13</f>
        <v>0</v>
      </c>
      <c r="D24" s="247">
        <f t="shared" si="7"/>
        <v>0</v>
      </c>
      <c r="E24" s="247">
        <f t="shared" si="7"/>
        <v>0</v>
      </c>
      <c r="F24" s="247">
        <f t="shared" si="7"/>
        <v>0</v>
      </c>
      <c r="G24" s="247">
        <f t="shared" si="7"/>
        <v>0</v>
      </c>
      <c r="H24" s="247">
        <f t="shared" si="7"/>
        <v>0</v>
      </c>
      <c r="I24" s="247">
        <f t="shared" si="7"/>
        <v>0</v>
      </c>
      <c r="J24" s="247">
        <f t="shared" si="7"/>
        <v>0</v>
      </c>
      <c r="K24" s="247">
        <f t="shared" si="7"/>
        <v>0</v>
      </c>
      <c r="L24" s="247">
        <f t="shared" si="7"/>
        <v>0</v>
      </c>
      <c r="M24" s="247">
        <f t="shared" si="7"/>
        <v>0</v>
      </c>
      <c r="N24" s="247">
        <f t="shared" si="7"/>
        <v>0</v>
      </c>
      <c r="O24" s="247">
        <f t="shared" si="7"/>
        <v>0</v>
      </c>
      <c r="P24" s="247">
        <f t="shared" si="7"/>
        <v>0</v>
      </c>
      <c r="Q24" s="247">
        <f t="shared" si="7"/>
        <v>5281.4205399998464</v>
      </c>
      <c r="R24" s="247">
        <f t="shared" si="7"/>
        <v>5998.1488599998411</v>
      </c>
      <c r="S24" s="247">
        <f t="shared" si="7"/>
        <v>7109.9711400002707</v>
      </c>
      <c r="T24" s="247">
        <f t="shared" si="7"/>
        <v>7839.8322999998927</v>
      </c>
      <c r="U24" s="247">
        <f t="shared" si="7"/>
        <v>-8032.6773399999365</v>
      </c>
      <c r="V24" s="247">
        <f t="shared" si="7"/>
        <v>-20690.882389999926</v>
      </c>
      <c r="W24" s="247">
        <f t="shared" si="7"/>
        <v>-19521.627349999966</v>
      </c>
      <c r="X24" s="247">
        <f t="shared" si="7"/>
        <v>-23058.777000000002</v>
      </c>
      <c r="Y24" s="247">
        <f t="shared" si="7"/>
        <v>-29418.947369999951</v>
      </c>
      <c r="Z24" s="247">
        <f t="shared" si="7"/>
        <v>-37654.068639999954</v>
      </c>
      <c r="AA24" s="247">
        <f t="shared" si="7"/>
        <v>-47104.511229999829</v>
      </c>
      <c r="AB24" s="247">
        <f t="shared" si="7"/>
        <v>-54628.547439999878</v>
      </c>
      <c r="AC24" s="247">
        <f t="shared" si="7"/>
        <v>-64342.421039999928</v>
      </c>
      <c r="AD24" s="247">
        <f t="shared" si="7"/>
        <v>-73303.177859999705</v>
      </c>
      <c r="AE24" s="247">
        <f t="shared" si="7"/>
        <v>-81888.181380000198</v>
      </c>
      <c r="AF24" s="247">
        <f t="shared" si="7"/>
        <v>-92751.732599999756</v>
      </c>
      <c r="AG24" s="247">
        <f t="shared" si="7"/>
        <v>-101181.28184999991</v>
      </c>
      <c r="AH24" s="247">
        <f t="shared" si="7"/>
        <v>-109328.82318000006</v>
      </c>
      <c r="AI24" s="247">
        <f t="shared" si="7"/>
        <v>-117356.06302400003</v>
      </c>
      <c r="AJ24" s="247">
        <f t="shared" si="7"/>
        <v>-125431.54416599986</v>
      </c>
      <c r="AK24" s="247">
        <f t="shared" si="7"/>
        <v>-133345.66974299983</v>
      </c>
      <c r="AL24" s="247">
        <f t="shared" si="7"/>
        <v>-141791.10828100005</v>
      </c>
      <c r="AM24" s="247">
        <f t="shared" si="7"/>
        <v>-149554.78806200018</v>
      </c>
      <c r="AN24" s="247">
        <f t="shared" si="7"/>
        <v>-157056.87322800001</v>
      </c>
      <c r="AO24" s="247">
        <f t="shared" si="7"/>
        <v>-164388.28539800015</v>
      </c>
      <c r="AP24" s="247">
        <f t="shared" si="7"/>
        <v>-173500.05726799998</v>
      </c>
      <c r="AQ24" s="247">
        <f t="shared" si="7"/>
        <v>-182700.54451399995</v>
      </c>
      <c r="AR24" s="247">
        <f t="shared" si="7"/>
        <v>-191341.23104799981</v>
      </c>
      <c r="AS24" s="247">
        <f t="shared" si="7"/>
        <v>-199430.79112900002</v>
      </c>
      <c r="AT24" s="247">
        <f t="shared" si="7"/>
        <v>-207152.51933099981</v>
      </c>
      <c r="AU24" s="247">
        <f t="shared" si="7"/>
        <v>-215281.71257099998</v>
      </c>
      <c r="AV24" s="268"/>
    </row>
    <row r="25" spans="1:49" x14ac:dyDescent="0.25">
      <c r="B25" s="249" t="s">
        <v>466</v>
      </c>
      <c r="C25" s="251">
        <f t="shared" si="7"/>
        <v>0</v>
      </c>
      <c r="D25" s="251">
        <f t="shared" si="7"/>
        <v>0</v>
      </c>
      <c r="E25" s="251">
        <f t="shared" si="7"/>
        <v>0</v>
      </c>
      <c r="F25" s="251">
        <f t="shared" si="7"/>
        <v>0</v>
      </c>
      <c r="G25" s="251">
        <f t="shared" si="7"/>
        <v>0</v>
      </c>
      <c r="H25" s="251">
        <f t="shared" si="7"/>
        <v>0</v>
      </c>
      <c r="I25" s="251">
        <f t="shared" si="7"/>
        <v>0</v>
      </c>
      <c r="J25" s="251">
        <f t="shared" si="7"/>
        <v>0</v>
      </c>
      <c r="K25" s="251">
        <f t="shared" si="7"/>
        <v>0</v>
      </c>
      <c r="L25" s="251">
        <f t="shared" si="7"/>
        <v>0</v>
      </c>
      <c r="M25" s="251">
        <f t="shared" si="7"/>
        <v>0</v>
      </c>
      <c r="N25" s="251">
        <f t="shared" si="7"/>
        <v>0</v>
      </c>
      <c r="O25" s="251">
        <f t="shared" si="7"/>
        <v>0</v>
      </c>
      <c r="P25" s="251">
        <f t="shared" si="7"/>
        <v>0</v>
      </c>
      <c r="Q25" s="251">
        <f t="shared" si="7"/>
        <v>7.8467100000016217</v>
      </c>
      <c r="R25" s="251">
        <f t="shared" si="7"/>
        <v>13.122180000000299</v>
      </c>
      <c r="S25" s="251">
        <f t="shared" si="7"/>
        <v>25.80428000000029</v>
      </c>
      <c r="T25" s="251">
        <f t="shared" si="7"/>
        <v>46.386909999999261</v>
      </c>
      <c r="U25" s="251">
        <f t="shared" si="7"/>
        <v>-305.51552000000083</v>
      </c>
      <c r="V25" s="251">
        <f t="shared" si="7"/>
        <v>-665.98401000000013</v>
      </c>
      <c r="W25" s="251">
        <f t="shared" si="7"/>
        <v>-994.42774999999892</v>
      </c>
      <c r="X25" s="251">
        <f t="shared" si="7"/>
        <v>-1327.8823100000009</v>
      </c>
      <c r="Y25" s="251">
        <f t="shared" si="7"/>
        <v>-1695.0379400000002</v>
      </c>
      <c r="Z25" s="251">
        <f t="shared" si="7"/>
        <v>-2087.2799000000014</v>
      </c>
      <c r="AA25" s="251">
        <f t="shared" si="7"/>
        <v>-2521.5074700000005</v>
      </c>
      <c r="AB25" s="251">
        <f t="shared" si="7"/>
        <v>-3191.4979299999995</v>
      </c>
      <c r="AC25" s="251">
        <f t="shared" si="7"/>
        <v>-3809.871149999999</v>
      </c>
      <c r="AD25" s="251">
        <f t="shared" si="7"/>
        <v>-4445.0625899999995</v>
      </c>
      <c r="AE25" s="251">
        <f t="shared" si="7"/>
        <v>-5095.12637</v>
      </c>
      <c r="AF25" s="251">
        <f t="shared" si="7"/>
        <v>-5765.191139999999</v>
      </c>
      <c r="AG25" s="251">
        <f t="shared" si="7"/>
        <v>-6440.5784499999991</v>
      </c>
      <c r="AH25" s="251">
        <f t="shared" si="7"/>
        <v>-7108.9451499999996</v>
      </c>
      <c r="AI25" s="251">
        <f t="shared" si="7"/>
        <v>-7779.3105140000007</v>
      </c>
      <c r="AJ25" s="251">
        <f t="shared" si="7"/>
        <v>-8470.7834860000003</v>
      </c>
      <c r="AK25" s="251">
        <f t="shared" si="7"/>
        <v>-9151.891572999999</v>
      </c>
      <c r="AL25" s="251">
        <f t="shared" si="7"/>
        <v>-9846.6125110000012</v>
      </c>
      <c r="AM25" s="251">
        <f t="shared" si="7"/>
        <v>-10514.409201999999</v>
      </c>
      <c r="AN25" s="251">
        <f t="shared" si="7"/>
        <v>-11188.829018</v>
      </c>
      <c r="AO25" s="251">
        <f t="shared" si="7"/>
        <v>-11866.307688000012</v>
      </c>
      <c r="AP25" s="251">
        <f t="shared" si="7"/>
        <v>-12545.257228</v>
      </c>
      <c r="AQ25" s="251">
        <f t="shared" si="7"/>
        <v>-13233.752344</v>
      </c>
      <c r="AR25" s="251">
        <f t="shared" si="7"/>
        <v>-13933.393227999999</v>
      </c>
      <c r="AS25" s="251">
        <f t="shared" si="7"/>
        <v>-14627.016069000001</v>
      </c>
      <c r="AT25" s="251">
        <f t="shared" si="7"/>
        <v>-15314.647520999999</v>
      </c>
      <c r="AU25" s="251">
        <f t="shared" si="7"/>
        <v>-16015.043721000002</v>
      </c>
      <c r="AV25" s="268"/>
    </row>
    <row r="26" spans="1:49" x14ac:dyDescent="0.25">
      <c r="B26" s="254" t="s">
        <v>467</v>
      </c>
      <c r="C26" s="256">
        <f t="shared" ref="C26:E26" si="8">SUM(C27:C28)</f>
        <v>0</v>
      </c>
      <c r="D26" s="256">
        <f t="shared" si="8"/>
        <v>0</v>
      </c>
      <c r="E26" s="256">
        <f t="shared" si="8"/>
        <v>0</v>
      </c>
      <c r="F26" s="256">
        <f>SUM(F27:F28)</f>
        <v>0</v>
      </c>
      <c r="G26" s="256">
        <f t="shared" ref="G26:AU26" si="9">SUM(G27:G28)</f>
        <v>0</v>
      </c>
      <c r="H26" s="256">
        <f t="shared" si="9"/>
        <v>0</v>
      </c>
      <c r="I26" s="256">
        <f t="shared" si="9"/>
        <v>0</v>
      </c>
      <c r="J26" s="256">
        <f t="shared" si="9"/>
        <v>0</v>
      </c>
      <c r="K26" s="256">
        <f t="shared" si="9"/>
        <v>0</v>
      </c>
      <c r="L26" s="256">
        <f t="shared" si="9"/>
        <v>0</v>
      </c>
      <c r="M26" s="256">
        <f t="shared" si="9"/>
        <v>0</v>
      </c>
      <c r="N26" s="256">
        <f t="shared" si="9"/>
        <v>0</v>
      </c>
      <c r="O26" s="256">
        <f t="shared" si="9"/>
        <v>0</v>
      </c>
      <c r="P26" s="256">
        <f t="shared" si="9"/>
        <v>0</v>
      </c>
      <c r="Q26" s="256">
        <f t="shared" si="9"/>
        <v>3700.9494999999588</v>
      </c>
      <c r="R26" s="256">
        <f t="shared" si="9"/>
        <v>7428.8096599999772</v>
      </c>
      <c r="S26" s="256">
        <f t="shared" si="9"/>
        <v>9225.6517100000128</v>
      </c>
      <c r="T26" s="256">
        <f t="shared" si="9"/>
        <v>10526.568680000019</v>
      </c>
      <c r="U26" s="256">
        <f t="shared" si="9"/>
        <v>-5830.609109999983</v>
      </c>
      <c r="V26" s="256">
        <f t="shared" si="9"/>
        <v>-18541.163080000028</v>
      </c>
      <c r="W26" s="256">
        <f t="shared" si="9"/>
        <v>-13675.888799999957</v>
      </c>
      <c r="X26" s="256">
        <f t="shared" si="9"/>
        <v>-12756.762140000028</v>
      </c>
      <c r="Y26" s="256">
        <f t="shared" si="9"/>
        <v>-13806.018569999978</v>
      </c>
      <c r="Z26" s="256">
        <f t="shared" si="9"/>
        <v>-16375.110329999989</v>
      </c>
      <c r="AA26" s="256">
        <f t="shared" si="9"/>
        <v>8558.1149999999616</v>
      </c>
      <c r="AB26" s="256">
        <f t="shared" si="9"/>
        <v>-21873.588030000014</v>
      </c>
      <c r="AC26" s="256">
        <f t="shared" si="9"/>
        <v>-26507.952610000008</v>
      </c>
      <c r="AD26" s="256">
        <f t="shared" si="9"/>
        <v>-30118.395869999986</v>
      </c>
      <c r="AE26" s="256">
        <f t="shared" si="9"/>
        <v>-33310.37203000002</v>
      </c>
      <c r="AF26" s="256">
        <f t="shared" si="9"/>
        <v>-38690.440370000018</v>
      </c>
      <c r="AG26" s="256">
        <f t="shared" si="9"/>
        <v>-41642.455789999993</v>
      </c>
      <c r="AH26" s="256">
        <f t="shared" si="9"/>
        <v>-44687.239709999987</v>
      </c>
      <c r="AI26" s="256">
        <f t="shared" si="9"/>
        <v>-47683.878259999998</v>
      </c>
      <c r="AJ26" s="256">
        <f t="shared" si="9"/>
        <v>-50653.881540000031</v>
      </c>
      <c r="AK26" s="256">
        <f t="shared" si="9"/>
        <v>-53710.53679999998</v>
      </c>
      <c r="AL26" s="256">
        <f t="shared" si="9"/>
        <v>-56952.21980999998</v>
      </c>
      <c r="AM26" s="256">
        <f t="shared" si="9"/>
        <v>-59963.274590000023</v>
      </c>
      <c r="AN26" s="256">
        <f t="shared" si="9"/>
        <v>-62793.556439999978</v>
      </c>
      <c r="AO26" s="256">
        <f t="shared" si="9"/>
        <v>-65532.155130000101</v>
      </c>
      <c r="AP26" s="256">
        <f t="shared" si="9"/>
        <v>-69832.682629999967</v>
      </c>
      <c r="AQ26" s="256">
        <f t="shared" si="9"/>
        <v>-73887.191529999982</v>
      </c>
      <c r="AR26" s="256">
        <f t="shared" si="9"/>
        <v>-77566.443059999991</v>
      </c>
      <c r="AS26" s="256">
        <f t="shared" si="9"/>
        <v>-81070.736589999957</v>
      </c>
      <c r="AT26" s="256">
        <f t="shared" si="9"/>
        <v>-84422.996429999999</v>
      </c>
      <c r="AU26" s="256">
        <f t="shared" si="9"/>
        <v>7032.8735000000161</v>
      </c>
      <c r="AV26" s="268"/>
    </row>
    <row r="27" spans="1:49" x14ac:dyDescent="0.25">
      <c r="B27" s="258" t="s">
        <v>468</v>
      </c>
      <c r="C27" s="212">
        <f t="shared" ref="C27:AU28" si="10">C5-C16</f>
        <v>0</v>
      </c>
      <c r="D27" s="212">
        <f t="shared" si="10"/>
        <v>0</v>
      </c>
      <c r="E27" s="212">
        <f t="shared" si="10"/>
        <v>0</v>
      </c>
      <c r="F27" s="212">
        <f t="shared" si="10"/>
        <v>0</v>
      </c>
      <c r="G27" s="212">
        <f t="shared" si="10"/>
        <v>0</v>
      </c>
      <c r="H27" s="212">
        <f t="shared" si="10"/>
        <v>0</v>
      </c>
      <c r="I27" s="212">
        <f t="shared" si="10"/>
        <v>0</v>
      </c>
      <c r="J27" s="212">
        <f t="shared" si="10"/>
        <v>0</v>
      </c>
      <c r="K27" s="212">
        <f t="shared" si="10"/>
        <v>0</v>
      </c>
      <c r="L27" s="212">
        <f t="shared" si="10"/>
        <v>0</v>
      </c>
      <c r="M27" s="212">
        <f t="shared" si="10"/>
        <v>0</v>
      </c>
      <c r="N27" s="212">
        <f t="shared" si="10"/>
        <v>0</v>
      </c>
      <c r="O27" s="212">
        <f t="shared" si="10"/>
        <v>0</v>
      </c>
      <c r="P27" s="212">
        <f t="shared" si="10"/>
        <v>0</v>
      </c>
      <c r="Q27" s="212">
        <f t="shared" si="10"/>
        <v>5089.7647999999463</v>
      </c>
      <c r="R27" s="212">
        <f t="shared" si="10"/>
        <v>8191.3389999999781</v>
      </c>
      <c r="S27" s="212">
        <f t="shared" si="10"/>
        <v>10184.364300000016</v>
      </c>
      <c r="T27" s="212">
        <f t="shared" si="10"/>
        <v>11617.31660000002</v>
      </c>
      <c r="U27" s="212">
        <f t="shared" si="10"/>
        <v>-7790.3231999999844</v>
      </c>
      <c r="V27" s="212">
        <f t="shared" si="10"/>
        <v>-23089.814900000027</v>
      </c>
      <c r="W27" s="212">
        <f t="shared" si="10"/>
        <v>-18239.833599999954</v>
      </c>
      <c r="X27" s="212">
        <f t="shared" si="10"/>
        <v>-17683.031200000027</v>
      </c>
      <c r="Y27" s="212">
        <f t="shared" si="10"/>
        <v>-19201.513099999982</v>
      </c>
      <c r="Z27" s="212">
        <f t="shared" si="10"/>
        <v>-22346.446999999986</v>
      </c>
      <c r="AA27" s="212">
        <f t="shared" si="10"/>
        <v>-26422.920200000022</v>
      </c>
      <c r="AB27" s="212">
        <f t="shared" si="10"/>
        <v>-28609.962300000014</v>
      </c>
      <c r="AC27" s="212">
        <f t="shared" si="10"/>
        <v>-33676.339000000007</v>
      </c>
      <c r="AD27" s="212">
        <f t="shared" si="10"/>
        <v>-37551.017999999982</v>
      </c>
      <c r="AE27" s="212">
        <f t="shared" si="10"/>
        <v>-40945.266900000017</v>
      </c>
      <c r="AF27" s="212">
        <f t="shared" si="10"/>
        <v>-46729.106400000019</v>
      </c>
      <c r="AG27" s="212">
        <f t="shared" si="10"/>
        <v>-49882.19709999999</v>
      </c>
      <c r="AH27" s="212">
        <f t="shared" si="10"/>
        <v>-53161.777899999986</v>
      </c>
      <c r="AI27" s="212">
        <f t="shared" si="10"/>
        <v>-56373.364000000001</v>
      </c>
      <c r="AJ27" s="212">
        <f t="shared" si="10"/>
        <v>-59525.978100000037</v>
      </c>
      <c r="AK27" s="212">
        <f t="shared" si="10"/>
        <v>-62788.571899999981</v>
      </c>
      <c r="AL27" s="212">
        <f t="shared" si="10"/>
        <v>-66221.224599999987</v>
      </c>
      <c r="AM27" s="212">
        <f t="shared" si="10"/>
        <v>-69447.444700000022</v>
      </c>
      <c r="AN27" s="212">
        <f t="shared" si="10"/>
        <v>-72478.074899999978</v>
      </c>
      <c r="AO27" s="212">
        <f t="shared" si="10"/>
        <v>-75402.941900000005</v>
      </c>
      <c r="AP27" s="212">
        <f t="shared" si="10"/>
        <v>-80043.624999999971</v>
      </c>
      <c r="AQ27" s="212">
        <f t="shared" si="10"/>
        <v>-84318.915899999993</v>
      </c>
      <c r="AR27" s="212">
        <f t="shared" si="10"/>
        <v>-88199.564699999988</v>
      </c>
      <c r="AS27" s="212">
        <f t="shared" si="10"/>
        <v>-91929.554399999965</v>
      </c>
      <c r="AT27" s="212">
        <f t="shared" si="10"/>
        <v>-95497.641100000008</v>
      </c>
      <c r="AU27" s="212">
        <f t="shared" si="10"/>
        <v>-98377.239699999976</v>
      </c>
      <c r="AV27" s="268"/>
    </row>
    <row r="28" spans="1:49" x14ac:dyDescent="0.25">
      <c r="B28" s="261" t="s">
        <v>469</v>
      </c>
      <c r="C28" s="263">
        <f t="shared" si="10"/>
        <v>0</v>
      </c>
      <c r="D28" s="263">
        <f t="shared" si="10"/>
        <v>0</v>
      </c>
      <c r="E28" s="263">
        <f t="shared" si="10"/>
        <v>0</v>
      </c>
      <c r="F28" s="263">
        <f t="shared" si="10"/>
        <v>0</v>
      </c>
      <c r="G28" s="263">
        <f t="shared" si="10"/>
        <v>0</v>
      </c>
      <c r="H28" s="263">
        <f t="shared" si="10"/>
        <v>0</v>
      </c>
      <c r="I28" s="263">
        <f t="shared" si="10"/>
        <v>0</v>
      </c>
      <c r="J28" s="263">
        <f t="shared" si="10"/>
        <v>0</v>
      </c>
      <c r="K28" s="263">
        <f t="shared" si="10"/>
        <v>0</v>
      </c>
      <c r="L28" s="263">
        <f t="shared" si="10"/>
        <v>0</v>
      </c>
      <c r="M28" s="263">
        <f t="shared" si="10"/>
        <v>0</v>
      </c>
      <c r="N28" s="263">
        <f t="shared" si="10"/>
        <v>0</v>
      </c>
      <c r="O28" s="263">
        <f t="shared" si="10"/>
        <v>0</v>
      </c>
      <c r="P28" s="263">
        <f t="shared" si="10"/>
        <v>0</v>
      </c>
      <c r="Q28" s="263">
        <f t="shared" si="10"/>
        <v>-1388.8152999999875</v>
      </c>
      <c r="R28" s="263">
        <f t="shared" si="10"/>
        <v>-762.52934000000096</v>
      </c>
      <c r="S28" s="263">
        <f t="shared" si="10"/>
        <v>-958.71259000000282</v>
      </c>
      <c r="T28" s="263">
        <f t="shared" si="10"/>
        <v>-1090.7479200000016</v>
      </c>
      <c r="U28" s="263">
        <f t="shared" si="10"/>
        <v>1959.7140900000013</v>
      </c>
      <c r="V28" s="263">
        <f t="shared" si="10"/>
        <v>4548.6518199999991</v>
      </c>
      <c r="W28" s="263">
        <f t="shared" si="10"/>
        <v>4563.9447999999975</v>
      </c>
      <c r="X28" s="263">
        <f t="shared" si="10"/>
        <v>4926.2690599999987</v>
      </c>
      <c r="Y28" s="263">
        <f t="shared" si="10"/>
        <v>5395.4945300000036</v>
      </c>
      <c r="Z28" s="263">
        <f t="shared" si="10"/>
        <v>5971.336669999997</v>
      </c>
      <c r="AA28" s="263">
        <f t="shared" si="10"/>
        <v>34981.035199999984</v>
      </c>
      <c r="AB28" s="263">
        <f t="shared" si="10"/>
        <v>6736.3742700000003</v>
      </c>
      <c r="AC28" s="263">
        <f t="shared" si="10"/>
        <v>7168.3863899999997</v>
      </c>
      <c r="AD28" s="263">
        <f t="shared" si="10"/>
        <v>7432.6221299999961</v>
      </c>
      <c r="AE28" s="263">
        <f t="shared" si="10"/>
        <v>7634.8948699999964</v>
      </c>
      <c r="AF28" s="263">
        <f t="shared" si="10"/>
        <v>8038.6660300000003</v>
      </c>
      <c r="AG28" s="263">
        <f t="shared" si="10"/>
        <v>8239.7413099999976</v>
      </c>
      <c r="AH28" s="263">
        <f t="shared" si="10"/>
        <v>8474.5381899999993</v>
      </c>
      <c r="AI28" s="263">
        <f t="shared" si="10"/>
        <v>8689.4857400000037</v>
      </c>
      <c r="AJ28" s="263">
        <f t="shared" si="10"/>
        <v>8872.0965600000054</v>
      </c>
      <c r="AK28" s="263">
        <f t="shared" si="10"/>
        <v>9078.035100000001</v>
      </c>
      <c r="AL28" s="263">
        <f t="shared" si="10"/>
        <v>9269.0047900000063</v>
      </c>
      <c r="AM28" s="263">
        <f t="shared" si="10"/>
        <v>9484.1701099999991</v>
      </c>
      <c r="AN28" s="263">
        <f t="shared" si="10"/>
        <v>9684.5184599999993</v>
      </c>
      <c r="AO28" s="263">
        <f t="shared" si="10"/>
        <v>9870.7867699999042</v>
      </c>
      <c r="AP28" s="263">
        <f t="shared" si="10"/>
        <v>10210.942369999997</v>
      </c>
      <c r="AQ28" s="263">
        <f t="shared" si="10"/>
        <v>10431.724370000004</v>
      </c>
      <c r="AR28" s="263">
        <f t="shared" si="10"/>
        <v>10633.121639999998</v>
      </c>
      <c r="AS28" s="263">
        <f t="shared" si="10"/>
        <v>10858.817810000008</v>
      </c>
      <c r="AT28" s="263">
        <f t="shared" si="10"/>
        <v>11074.644670000009</v>
      </c>
      <c r="AU28" s="263">
        <f t="shared" si="10"/>
        <v>105410.11319999999</v>
      </c>
      <c r="AV28" s="268"/>
    </row>
    <row r="29" spans="1:49" x14ac:dyDescent="0.25">
      <c r="B29" s="258" t="s">
        <v>470</v>
      </c>
      <c r="C29" s="212">
        <f t="shared" ref="C29:E29" si="11">SUM(C30:C31)</f>
        <v>0</v>
      </c>
      <c r="D29" s="212">
        <f t="shared" si="11"/>
        <v>0</v>
      </c>
      <c r="E29" s="212">
        <f t="shared" si="11"/>
        <v>0</v>
      </c>
      <c r="F29" s="212">
        <f>SUM(F30:F31)</f>
        <v>0</v>
      </c>
      <c r="G29" s="212">
        <f t="shared" ref="G29:AU29" si="12">SUM(G30:G31)</f>
        <v>0</v>
      </c>
      <c r="H29" s="212">
        <f t="shared" si="12"/>
        <v>0</v>
      </c>
      <c r="I29" s="212">
        <f t="shared" si="12"/>
        <v>0</v>
      </c>
      <c r="J29" s="212">
        <f t="shared" si="12"/>
        <v>0</v>
      </c>
      <c r="K29" s="212">
        <f t="shared" si="12"/>
        <v>0</v>
      </c>
      <c r="L29" s="212">
        <f t="shared" si="12"/>
        <v>0</v>
      </c>
      <c r="M29" s="212">
        <f t="shared" si="12"/>
        <v>0</v>
      </c>
      <c r="N29" s="212">
        <f t="shared" si="12"/>
        <v>0</v>
      </c>
      <c r="O29" s="212">
        <f t="shared" si="12"/>
        <v>0</v>
      </c>
      <c r="P29" s="212">
        <f t="shared" si="12"/>
        <v>0</v>
      </c>
      <c r="Q29" s="212">
        <f t="shared" si="12"/>
        <v>1105.0793699999776</v>
      </c>
      <c r="R29" s="212">
        <f t="shared" si="12"/>
        <v>181.88739999991958</v>
      </c>
      <c r="S29" s="212">
        <f t="shared" si="12"/>
        <v>160.36060000004363</v>
      </c>
      <c r="T29" s="212">
        <f t="shared" si="12"/>
        <v>246.06690000000526</v>
      </c>
      <c r="U29" s="212">
        <f t="shared" si="12"/>
        <v>1763.6902999999584</v>
      </c>
      <c r="V29" s="212">
        <f t="shared" si="12"/>
        <v>2857.0835999999836</v>
      </c>
      <c r="W29" s="212">
        <f t="shared" si="12"/>
        <v>171.09320000006119</v>
      </c>
      <c r="X29" s="212">
        <f t="shared" si="12"/>
        <v>-3270.2733999999764</v>
      </c>
      <c r="Y29" s="212">
        <f t="shared" si="12"/>
        <v>-7526.0353999999643</v>
      </c>
      <c r="Z29" s="212">
        <f t="shared" si="12"/>
        <v>-12107.405100000004</v>
      </c>
      <c r="AA29" s="212">
        <f t="shared" si="12"/>
        <v>-45361.429339999973</v>
      </c>
      <c r="AB29" s="212">
        <f t="shared" si="12"/>
        <v>-21084.046999999991</v>
      </c>
      <c r="AC29" s="212">
        <f t="shared" si="12"/>
        <v>-24852.887399999978</v>
      </c>
      <c r="AD29" s="212">
        <f t="shared" si="12"/>
        <v>-28862.769900000014</v>
      </c>
      <c r="AE29" s="212">
        <f t="shared" si="12"/>
        <v>-32893.134199999913</v>
      </c>
      <c r="AF29" s="212">
        <f t="shared" si="12"/>
        <v>-37001.567899999936</v>
      </c>
      <c r="AG29" s="212">
        <f t="shared" si="12"/>
        <v>-41076.328200000047</v>
      </c>
      <c r="AH29" s="212">
        <f t="shared" si="12"/>
        <v>-44774.615499999898</v>
      </c>
      <c r="AI29" s="212">
        <f t="shared" si="12"/>
        <v>-48392.905600000027</v>
      </c>
      <c r="AJ29" s="212">
        <f t="shared" si="12"/>
        <v>-52058.704699999915</v>
      </c>
      <c r="AK29" s="212">
        <f t="shared" si="12"/>
        <v>-55481.685800000036</v>
      </c>
      <c r="AL29" s="212">
        <f t="shared" si="12"/>
        <v>-59231.41610000009</v>
      </c>
      <c r="AM29" s="212">
        <f t="shared" si="12"/>
        <v>-62552.888800000073</v>
      </c>
      <c r="AN29" s="212">
        <f t="shared" si="12"/>
        <v>-65781.214099999983</v>
      </c>
      <c r="AO29" s="212">
        <f t="shared" si="12"/>
        <v>-68922.80859999996</v>
      </c>
      <c r="AP29" s="212">
        <f t="shared" si="12"/>
        <v>-72277.011299999984</v>
      </c>
      <c r="AQ29" s="212">
        <f t="shared" si="12"/>
        <v>-75951.810899999982</v>
      </c>
      <c r="AR29" s="212">
        <f t="shared" si="12"/>
        <v>-79426.150699999911</v>
      </c>
      <c r="AS29" s="212">
        <f t="shared" si="12"/>
        <v>-82526.024900000019</v>
      </c>
      <c r="AT29" s="212">
        <f t="shared" si="12"/>
        <v>-85411.682800000039</v>
      </c>
      <c r="AU29" s="212">
        <f t="shared" si="12"/>
        <v>-183494.28113999998</v>
      </c>
      <c r="AV29" s="268"/>
    </row>
    <row r="30" spans="1:49" x14ac:dyDescent="0.25">
      <c r="B30" s="258" t="s">
        <v>471</v>
      </c>
      <c r="C30" s="212">
        <f t="shared" ref="C30:AU31" si="13">C8-C19</f>
        <v>0</v>
      </c>
      <c r="D30" s="212">
        <f t="shared" si="13"/>
        <v>0</v>
      </c>
      <c r="E30" s="212">
        <f t="shared" si="13"/>
        <v>0</v>
      </c>
      <c r="F30" s="212">
        <f t="shared" si="13"/>
        <v>0</v>
      </c>
      <c r="G30" s="212">
        <f t="shared" si="13"/>
        <v>0</v>
      </c>
      <c r="H30" s="212">
        <f t="shared" si="13"/>
        <v>0</v>
      </c>
      <c r="I30" s="212">
        <f t="shared" si="13"/>
        <v>0</v>
      </c>
      <c r="J30" s="212">
        <f t="shared" si="13"/>
        <v>0</v>
      </c>
      <c r="K30" s="212">
        <f t="shared" si="13"/>
        <v>0</v>
      </c>
      <c r="L30" s="212">
        <f t="shared" si="13"/>
        <v>0</v>
      </c>
      <c r="M30" s="212">
        <f t="shared" si="13"/>
        <v>0</v>
      </c>
      <c r="N30" s="212">
        <f t="shared" si="13"/>
        <v>0</v>
      </c>
      <c r="O30" s="212">
        <f t="shared" si="13"/>
        <v>0</v>
      </c>
      <c r="P30" s="212">
        <f t="shared" si="13"/>
        <v>0</v>
      </c>
      <c r="Q30" s="212">
        <f t="shared" si="13"/>
        <v>1580.188199999975</v>
      </c>
      <c r="R30" s="212">
        <f t="shared" si="13"/>
        <v>2467.0852999999188</v>
      </c>
      <c r="S30" s="212">
        <f t="shared" si="13"/>
        <v>3041.7839000000386</v>
      </c>
      <c r="T30" s="212">
        <f t="shared" si="13"/>
        <v>3541.2001000000164</v>
      </c>
      <c r="U30" s="212">
        <f t="shared" si="13"/>
        <v>-7416.6478000000352</v>
      </c>
      <c r="V30" s="212">
        <f t="shared" si="13"/>
        <v>-17471.084499999997</v>
      </c>
      <c r="W30" s="212">
        <f t="shared" si="13"/>
        <v>-21888.02099999995</v>
      </c>
      <c r="X30" s="212">
        <f t="shared" si="13"/>
        <v>-28011.804899999988</v>
      </c>
      <c r="Y30" s="212">
        <f t="shared" si="13"/>
        <v>-35323.835599999991</v>
      </c>
      <c r="Z30" s="212">
        <f t="shared" si="13"/>
        <v>-43403.055300000007</v>
      </c>
      <c r="AA30" s="212">
        <f t="shared" si="13"/>
        <v>-51957.65009999997</v>
      </c>
      <c r="AB30" s="212">
        <f t="shared" si="13"/>
        <v>-58787.030299999984</v>
      </c>
      <c r="AC30" s="212">
        <f t="shared" si="13"/>
        <v>-66289.011799999978</v>
      </c>
      <c r="AD30" s="212">
        <f t="shared" si="13"/>
        <v>-73676.522600000026</v>
      </c>
      <c r="AE30" s="212">
        <f t="shared" si="13"/>
        <v>-80960.839699999895</v>
      </c>
      <c r="AF30" s="212">
        <f t="shared" si="13"/>
        <v>-89052.351799999946</v>
      </c>
      <c r="AG30" s="212">
        <f t="shared" si="13"/>
        <v>-96153.217000000062</v>
      </c>
      <c r="AH30" s="212">
        <f t="shared" si="13"/>
        <v>-103134.23579999991</v>
      </c>
      <c r="AI30" s="212">
        <f t="shared" si="13"/>
        <v>-110115.97860000003</v>
      </c>
      <c r="AJ30" s="212">
        <f t="shared" si="13"/>
        <v>-117185.76519999991</v>
      </c>
      <c r="AK30" s="212">
        <f t="shared" si="13"/>
        <v>-124148.90130000003</v>
      </c>
      <c r="AL30" s="212">
        <f t="shared" si="13"/>
        <v>-131385.24810000008</v>
      </c>
      <c r="AM30" s="212">
        <f t="shared" si="13"/>
        <v>-138257.09610000008</v>
      </c>
      <c r="AN30" s="212">
        <f t="shared" si="13"/>
        <v>-145009.83149999997</v>
      </c>
      <c r="AO30" s="212">
        <f t="shared" si="13"/>
        <v>-151697.67039999994</v>
      </c>
      <c r="AP30" s="212">
        <f t="shared" si="13"/>
        <v>-158819.64549999998</v>
      </c>
      <c r="AQ30" s="212">
        <f t="shared" si="13"/>
        <v>-166217.18559999997</v>
      </c>
      <c r="AR30" s="212">
        <f t="shared" si="13"/>
        <v>-173369.59009999991</v>
      </c>
      <c r="AS30" s="212">
        <f t="shared" si="13"/>
        <v>-180232.84360000002</v>
      </c>
      <c r="AT30" s="212">
        <f t="shared" si="13"/>
        <v>-186956.69770000002</v>
      </c>
      <c r="AU30" s="212">
        <f t="shared" si="13"/>
        <v>-194470.48569999996</v>
      </c>
      <c r="AV30" s="268"/>
    </row>
    <row r="31" spans="1:49" x14ac:dyDescent="0.25">
      <c r="B31" s="261" t="s">
        <v>472</v>
      </c>
      <c r="C31" s="263">
        <f t="shared" si="13"/>
        <v>0</v>
      </c>
      <c r="D31" s="263">
        <f t="shared" si="13"/>
        <v>0</v>
      </c>
      <c r="E31" s="263">
        <f t="shared" si="13"/>
        <v>0</v>
      </c>
      <c r="F31" s="263">
        <f t="shared" si="13"/>
        <v>0</v>
      </c>
      <c r="G31" s="263">
        <f t="shared" si="13"/>
        <v>0</v>
      </c>
      <c r="H31" s="263">
        <f t="shared" si="13"/>
        <v>0</v>
      </c>
      <c r="I31" s="263">
        <f t="shared" si="13"/>
        <v>0</v>
      </c>
      <c r="J31" s="263">
        <f t="shared" si="13"/>
        <v>0</v>
      </c>
      <c r="K31" s="263">
        <f t="shared" si="13"/>
        <v>0</v>
      </c>
      <c r="L31" s="263">
        <f t="shared" si="13"/>
        <v>0</v>
      </c>
      <c r="M31" s="263">
        <f t="shared" si="13"/>
        <v>0</v>
      </c>
      <c r="N31" s="263">
        <f t="shared" si="13"/>
        <v>0</v>
      </c>
      <c r="O31" s="263">
        <f t="shared" si="13"/>
        <v>0</v>
      </c>
      <c r="P31" s="263">
        <f t="shared" si="13"/>
        <v>0</v>
      </c>
      <c r="Q31" s="263">
        <f t="shared" si="13"/>
        <v>-475.1088299999974</v>
      </c>
      <c r="R31" s="263">
        <f t="shared" si="13"/>
        <v>-2285.1978999999992</v>
      </c>
      <c r="S31" s="263">
        <f t="shared" si="13"/>
        <v>-2881.4232999999949</v>
      </c>
      <c r="T31" s="263">
        <f t="shared" si="13"/>
        <v>-3295.1332000000111</v>
      </c>
      <c r="U31" s="263">
        <f t="shared" si="13"/>
        <v>9180.3380999999936</v>
      </c>
      <c r="V31" s="263">
        <f t="shared" si="13"/>
        <v>20328.168099999981</v>
      </c>
      <c r="W31" s="263">
        <f t="shared" si="13"/>
        <v>22059.114200000011</v>
      </c>
      <c r="X31" s="263">
        <f t="shared" si="13"/>
        <v>24741.531500000012</v>
      </c>
      <c r="Y31" s="263">
        <f t="shared" si="13"/>
        <v>27797.800200000027</v>
      </c>
      <c r="Z31" s="263">
        <f t="shared" si="13"/>
        <v>31295.650200000004</v>
      </c>
      <c r="AA31" s="263">
        <f t="shared" si="13"/>
        <v>6596.2207599999965</v>
      </c>
      <c r="AB31" s="263">
        <f t="shared" si="13"/>
        <v>37702.983299999993</v>
      </c>
      <c r="AC31" s="263">
        <f t="shared" si="13"/>
        <v>41436.124400000001</v>
      </c>
      <c r="AD31" s="263">
        <f t="shared" si="13"/>
        <v>44813.752700000012</v>
      </c>
      <c r="AE31" s="263">
        <f t="shared" si="13"/>
        <v>48067.705499999982</v>
      </c>
      <c r="AF31" s="263">
        <f t="shared" si="13"/>
        <v>52050.783900000009</v>
      </c>
      <c r="AG31" s="263">
        <f t="shared" si="13"/>
        <v>55076.888800000015</v>
      </c>
      <c r="AH31" s="263">
        <f t="shared" si="13"/>
        <v>58359.62030000001</v>
      </c>
      <c r="AI31" s="263">
        <f t="shared" si="13"/>
        <v>61723.073000000004</v>
      </c>
      <c r="AJ31" s="263">
        <f t="shared" si="13"/>
        <v>65127.060499999992</v>
      </c>
      <c r="AK31" s="263">
        <f t="shared" si="13"/>
        <v>68667.215499999991</v>
      </c>
      <c r="AL31" s="263">
        <f t="shared" si="13"/>
        <v>72153.831999999995</v>
      </c>
      <c r="AM31" s="263">
        <f t="shared" si="13"/>
        <v>75704.207300000009</v>
      </c>
      <c r="AN31" s="263">
        <f t="shared" si="13"/>
        <v>79228.617399999988</v>
      </c>
      <c r="AO31" s="263">
        <f t="shared" si="13"/>
        <v>82774.861799999984</v>
      </c>
      <c r="AP31" s="263">
        <f t="shared" si="13"/>
        <v>86542.6342</v>
      </c>
      <c r="AQ31" s="263">
        <f t="shared" si="13"/>
        <v>90265.374699999986</v>
      </c>
      <c r="AR31" s="263">
        <f t="shared" si="13"/>
        <v>93943.439400000003</v>
      </c>
      <c r="AS31" s="263">
        <f t="shared" si="13"/>
        <v>97706.818700000003</v>
      </c>
      <c r="AT31" s="263">
        <f t="shared" si="13"/>
        <v>101545.01489999998</v>
      </c>
      <c r="AU31" s="263">
        <f t="shared" si="13"/>
        <v>10976.204559999998</v>
      </c>
      <c r="AV31" s="268"/>
    </row>
    <row r="32" spans="1:49" x14ac:dyDescent="0.25">
      <c r="B32" s="249" t="s">
        <v>473</v>
      </c>
      <c r="C32" s="251">
        <f t="shared" ref="C32:E32" si="14">SUM(C27,C30)</f>
        <v>0</v>
      </c>
      <c r="D32" s="251">
        <f t="shared" si="14"/>
        <v>0</v>
      </c>
      <c r="E32" s="251">
        <f t="shared" si="14"/>
        <v>0</v>
      </c>
      <c r="F32" s="251">
        <f>SUM(F27,F30)</f>
        <v>0</v>
      </c>
      <c r="G32" s="251">
        <f t="shared" ref="G32:AU32" si="15">SUM(G27,G30)</f>
        <v>0</v>
      </c>
      <c r="H32" s="251">
        <f t="shared" si="15"/>
        <v>0</v>
      </c>
      <c r="I32" s="251">
        <f t="shared" si="15"/>
        <v>0</v>
      </c>
      <c r="J32" s="251">
        <f t="shared" si="15"/>
        <v>0</v>
      </c>
      <c r="K32" s="251">
        <f t="shared" si="15"/>
        <v>0</v>
      </c>
      <c r="L32" s="251">
        <f t="shared" si="15"/>
        <v>0</v>
      </c>
      <c r="M32" s="251">
        <f t="shared" si="15"/>
        <v>0</v>
      </c>
      <c r="N32" s="251">
        <f t="shared" si="15"/>
        <v>0</v>
      </c>
      <c r="O32" s="251">
        <f t="shared" si="15"/>
        <v>0</v>
      </c>
      <c r="P32" s="251">
        <f t="shared" si="15"/>
        <v>0</v>
      </c>
      <c r="Q32" s="251">
        <f t="shared" si="15"/>
        <v>6669.9529999999213</v>
      </c>
      <c r="R32" s="251">
        <f t="shared" si="15"/>
        <v>10658.424299999897</v>
      </c>
      <c r="S32" s="251">
        <f t="shared" si="15"/>
        <v>13226.148200000054</v>
      </c>
      <c r="T32" s="251">
        <f t="shared" si="15"/>
        <v>15158.516700000037</v>
      </c>
      <c r="U32" s="251">
        <f t="shared" si="15"/>
        <v>-15206.97100000002</v>
      </c>
      <c r="V32" s="251">
        <f t="shared" si="15"/>
        <v>-40560.899400000024</v>
      </c>
      <c r="W32" s="251">
        <f t="shared" si="15"/>
        <v>-40127.854599999904</v>
      </c>
      <c r="X32" s="251">
        <f t="shared" si="15"/>
        <v>-45694.836100000015</v>
      </c>
      <c r="Y32" s="251">
        <f t="shared" si="15"/>
        <v>-54525.348699999973</v>
      </c>
      <c r="Z32" s="251">
        <f t="shared" si="15"/>
        <v>-65749.502299999993</v>
      </c>
      <c r="AA32" s="251">
        <f t="shared" si="15"/>
        <v>-78380.570299999992</v>
      </c>
      <c r="AB32" s="251">
        <f t="shared" si="15"/>
        <v>-87396.992599999998</v>
      </c>
      <c r="AC32" s="251">
        <f t="shared" si="15"/>
        <v>-99965.350799999986</v>
      </c>
      <c r="AD32" s="251">
        <f t="shared" si="15"/>
        <v>-111227.54060000001</v>
      </c>
      <c r="AE32" s="251">
        <f t="shared" si="15"/>
        <v>-121906.10659999991</v>
      </c>
      <c r="AF32" s="251">
        <f t="shared" si="15"/>
        <v>-135781.45819999996</v>
      </c>
      <c r="AG32" s="251">
        <f t="shared" si="15"/>
        <v>-146035.41410000005</v>
      </c>
      <c r="AH32" s="251">
        <f t="shared" si="15"/>
        <v>-156296.01369999989</v>
      </c>
      <c r="AI32" s="251">
        <f t="shared" si="15"/>
        <v>-166489.34260000003</v>
      </c>
      <c r="AJ32" s="251">
        <f t="shared" si="15"/>
        <v>-176711.74329999994</v>
      </c>
      <c r="AK32" s="251">
        <f t="shared" si="15"/>
        <v>-186937.47320000001</v>
      </c>
      <c r="AL32" s="251">
        <f t="shared" si="15"/>
        <v>-197606.47270000007</v>
      </c>
      <c r="AM32" s="251">
        <f t="shared" si="15"/>
        <v>-207704.5408000001</v>
      </c>
      <c r="AN32" s="251">
        <f t="shared" si="15"/>
        <v>-217487.90639999995</v>
      </c>
      <c r="AO32" s="251">
        <f t="shared" si="15"/>
        <v>-227100.61229999995</v>
      </c>
      <c r="AP32" s="251">
        <f t="shared" si="15"/>
        <v>-238863.27049999996</v>
      </c>
      <c r="AQ32" s="251">
        <f t="shared" si="15"/>
        <v>-250536.10149999996</v>
      </c>
      <c r="AR32" s="251">
        <f t="shared" si="15"/>
        <v>-261569.1547999999</v>
      </c>
      <c r="AS32" s="251">
        <f t="shared" si="15"/>
        <v>-272162.39799999999</v>
      </c>
      <c r="AT32" s="251">
        <f t="shared" si="15"/>
        <v>-282454.33880000003</v>
      </c>
      <c r="AU32" s="251">
        <f t="shared" si="15"/>
        <v>-292847.72539999994</v>
      </c>
      <c r="AV32" s="268"/>
    </row>
    <row r="36" spans="1:50" s="244" customFormat="1" ht="45" customHeight="1" x14ac:dyDescent="0.25">
      <c r="A36" s="239" t="str">
        <f>[5]Résultats!B1</f>
        <v>SNBC3</v>
      </c>
      <c r="B36" s="240" t="s">
        <v>497</v>
      </c>
      <c r="C36" s="241">
        <v>2006</v>
      </c>
      <c r="D36" s="242">
        <v>2007</v>
      </c>
      <c r="E36" s="242">
        <v>2008</v>
      </c>
      <c r="F36" s="242">
        <v>2009</v>
      </c>
      <c r="G36" s="242">
        <v>2010</v>
      </c>
      <c r="H36" s="242">
        <v>2011</v>
      </c>
      <c r="I36" s="242">
        <v>2012</v>
      </c>
      <c r="J36" s="242">
        <v>2013</v>
      </c>
      <c r="K36" s="242">
        <v>2014</v>
      </c>
      <c r="L36" s="242">
        <v>2015</v>
      </c>
      <c r="M36" s="242">
        <v>2016</v>
      </c>
      <c r="N36" s="242">
        <v>2017</v>
      </c>
      <c r="O36" s="242">
        <v>2018</v>
      </c>
      <c r="P36" s="242">
        <v>2019</v>
      </c>
      <c r="Q36" s="242">
        <v>2020</v>
      </c>
      <c r="R36" s="242">
        <v>2021</v>
      </c>
      <c r="S36" s="242">
        <v>2022</v>
      </c>
      <c r="T36" s="242">
        <v>2023</v>
      </c>
      <c r="U36" s="242">
        <v>2024</v>
      </c>
      <c r="V36" s="242">
        <v>2025</v>
      </c>
      <c r="W36" s="242">
        <v>2026</v>
      </c>
      <c r="X36" s="242">
        <v>2027</v>
      </c>
      <c r="Y36" s="242">
        <v>2028</v>
      </c>
      <c r="Z36" s="242">
        <v>2029</v>
      </c>
      <c r="AA36" s="242">
        <v>2030</v>
      </c>
      <c r="AB36" s="242">
        <v>2031</v>
      </c>
      <c r="AC36" s="242">
        <v>2032</v>
      </c>
      <c r="AD36" s="242">
        <v>2033</v>
      </c>
      <c r="AE36" s="242">
        <v>2034</v>
      </c>
      <c r="AF36" s="242">
        <v>2035</v>
      </c>
      <c r="AG36" s="242">
        <v>2036</v>
      </c>
      <c r="AH36" s="242">
        <v>2037</v>
      </c>
      <c r="AI36" s="242">
        <v>2038</v>
      </c>
      <c r="AJ36" s="242">
        <v>2039</v>
      </c>
      <c r="AK36" s="242">
        <v>2040</v>
      </c>
      <c r="AL36" s="242">
        <v>2041</v>
      </c>
      <c r="AM36" s="242">
        <v>2042</v>
      </c>
      <c r="AN36" s="242">
        <v>2043</v>
      </c>
      <c r="AO36" s="242">
        <v>2044</v>
      </c>
      <c r="AP36" s="242">
        <v>2045</v>
      </c>
      <c r="AQ36" s="242">
        <v>2046</v>
      </c>
      <c r="AR36" s="242">
        <v>2047</v>
      </c>
      <c r="AS36" s="242">
        <v>2048</v>
      </c>
      <c r="AT36" s="242">
        <v>2049</v>
      </c>
      <c r="AU36" s="243">
        <v>2050</v>
      </c>
      <c r="AW36" s="242" t="s">
        <v>498</v>
      </c>
      <c r="AX36" s="242" t="s">
        <v>499</v>
      </c>
    </row>
    <row r="37" spans="1:50" x14ac:dyDescent="0.25">
      <c r="B37" s="245" t="s">
        <v>500</v>
      </c>
      <c r="C37" s="246">
        <f t="shared" ref="C37:AU37" si="16">C38+C39+C42</f>
        <v>1</v>
      </c>
      <c r="D37" s="247">
        <f t="shared" si="16"/>
        <v>1</v>
      </c>
      <c r="E37" s="247">
        <f t="shared" si="16"/>
        <v>1</v>
      </c>
      <c r="F37" s="247">
        <f t="shared" si="16"/>
        <v>1</v>
      </c>
      <c r="G37" s="247">
        <f t="shared" si="16"/>
        <v>1</v>
      </c>
      <c r="H37" s="247">
        <f t="shared" si="16"/>
        <v>1</v>
      </c>
      <c r="I37" s="247">
        <f t="shared" si="16"/>
        <v>1</v>
      </c>
      <c r="J37" s="247">
        <f t="shared" si="16"/>
        <v>1.0000000000000002</v>
      </c>
      <c r="K37" s="247">
        <f t="shared" si="16"/>
        <v>1</v>
      </c>
      <c r="L37" s="247">
        <f t="shared" si="16"/>
        <v>0.99999999999999978</v>
      </c>
      <c r="M37" s="247">
        <f t="shared" si="16"/>
        <v>0.99999999999999989</v>
      </c>
      <c r="N37" s="247">
        <f t="shared" si="16"/>
        <v>1</v>
      </c>
      <c r="O37" s="247">
        <f t="shared" si="16"/>
        <v>1</v>
      </c>
      <c r="P37" s="247">
        <f t="shared" si="16"/>
        <v>1</v>
      </c>
      <c r="Q37" s="247">
        <f t="shared" si="16"/>
        <v>0.99999999999999989</v>
      </c>
      <c r="R37" s="247">
        <f t="shared" si="16"/>
        <v>1</v>
      </c>
      <c r="S37" s="247">
        <f t="shared" si="16"/>
        <v>1</v>
      </c>
      <c r="T37" s="247">
        <f t="shared" si="16"/>
        <v>1</v>
      </c>
      <c r="U37" s="247">
        <f t="shared" si="16"/>
        <v>0.99999999999999989</v>
      </c>
      <c r="V37" s="247">
        <f t="shared" si="16"/>
        <v>1</v>
      </c>
      <c r="W37" s="247">
        <f t="shared" si="16"/>
        <v>1</v>
      </c>
      <c r="X37" s="247">
        <f t="shared" si="16"/>
        <v>1</v>
      </c>
      <c r="Y37" s="247">
        <f t="shared" si="16"/>
        <v>1</v>
      </c>
      <c r="Z37" s="247">
        <f t="shared" si="16"/>
        <v>1</v>
      </c>
      <c r="AA37" s="247">
        <f t="shared" si="16"/>
        <v>1</v>
      </c>
      <c r="AB37" s="247">
        <f t="shared" si="16"/>
        <v>0.99999999999999978</v>
      </c>
      <c r="AC37" s="247">
        <f t="shared" si="16"/>
        <v>1</v>
      </c>
      <c r="AD37" s="247">
        <f t="shared" si="16"/>
        <v>1</v>
      </c>
      <c r="AE37" s="247">
        <f t="shared" si="16"/>
        <v>1</v>
      </c>
      <c r="AF37" s="247">
        <f t="shared" si="16"/>
        <v>0.99999999999999989</v>
      </c>
      <c r="AG37" s="247">
        <f t="shared" si="16"/>
        <v>1</v>
      </c>
      <c r="AH37" s="247">
        <f t="shared" si="16"/>
        <v>1</v>
      </c>
      <c r="AI37" s="247">
        <f t="shared" si="16"/>
        <v>0.99999999999999989</v>
      </c>
      <c r="AJ37" s="247">
        <f t="shared" si="16"/>
        <v>1</v>
      </c>
      <c r="AK37" s="247">
        <f t="shared" si="16"/>
        <v>1</v>
      </c>
      <c r="AL37" s="247">
        <f t="shared" si="16"/>
        <v>0.99999999999999989</v>
      </c>
      <c r="AM37" s="247">
        <f t="shared" si="16"/>
        <v>1</v>
      </c>
      <c r="AN37" s="247">
        <f t="shared" si="16"/>
        <v>1</v>
      </c>
      <c r="AO37" s="247">
        <f t="shared" si="16"/>
        <v>1</v>
      </c>
      <c r="AP37" s="247">
        <f t="shared" si="16"/>
        <v>1</v>
      </c>
      <c r="AQ37" s="247">
        <f t="shared" si="16"/>
        <v>1</v>
      </c>
      <c r="AR37" s="247">
        <f t="shared" si="16"/>
        <v>1</v>
      </c>
      <c r="AS37" s="247">
        <f t="shared" si="16"/>
        <v>1</v>
      </c>
      <c r="AT37" s="247">
        <f t="shared" si="16"/>
        <v>1</v>
      </c>
      <c r="AU37" s="248">
        <f t="shared" si="16"/>
        <v>0.99999999999999989</v>
      </c>
    </row>
    <row r="38" spans="1:50" x14ac:dyDescent="0.25">
      <c r="B38" s="249" t="s">
        <v>466</v>
      </c>
      <c r="C38" s="300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2"/>
      <c r="AV38" s="253"/>
      <c r="AW38" s="253"/>
    </row>
    <row r="39" spans="1:50" x14ac:dyDescent="0.25">
      <c r="B39" s="254" t="s">
        <v>467</v>
      </c>
      <c r="C39" s="301">
        <f>C4/(C$2-C$3)</f>
        <v>0.29999999998794452</v>
      </c>
      <c r="D39" s="301">
        <f t="shared" ref="D39:AU45" si="17">D4/(D$2-D$3)</f>
        <v>0.30900064962272211</v>
      </c>
      <c r="E39" s="301">
        <f t="shared" si="17"/>
        <v>0.31702212135982227</v>
      </c>
      <c r="F39" s="301">
        <f t="shared" si="17"/>
        <v>0.32500458426227963</v>
      </c>
      <c r="G39" s="301">
        <f t="shared" si="17"/>
        <v>0.33171503596951929</v>
      </c>
      <c r="H39" s="301">
        <f t="shared" si="17"/>
        <v>0.34092610272199475</v>
      </c>
      <c r="I39" s="301">
        <f t="shared" si="17"/>
        <v>0.35225733236383844</v>
      </c>
      <c r="J39" s="301">
        <f t="shared" si="17"/>
        <v>0.36157849381854668</v>
      </c>
      <c r="K39" s="301">
        <f t="shared" si="17"/>
        <v>0.37014651567000378</v>
      </c>
      <c r="L39" s="301">
        <f t="shared" si="17"/>
        <v>0.37895162481264016</v>
      </c>
      <c r="M39" s="301">
        <f t="shared" si="17"/>
        <v>0.37728709909508829</v>
      </c>
      <c r="N39" s="301">
        <f t="shared" si="17"/>
        <v>0.37498194981915439</v>
      </c>
      <c r="O39" s="301">
        <f t="shared" si="17"/>
        <v>0.37473607669873349</v>
      </c>
      <c r="P39" s="301">
        <f t="shared" si="17"/>
        <v>0.37424347737929703</v>
      </c>
      <c r="Q39" s="301">
        <f t="shared" si="17"/>
        <v>0.37644285114414822</v>
      </c>
      <c r="R39" s="301">
        <f t="shared" si="17"/>
        <v>0.29364637655479481</v>
      </c>
      <c r="S39" s="301">
        <f t="shared" si="17"/>
        <v>0.29414079196903026</v>
      </c>
      <c r="T39" s="301">
        <f t="shared" si="17"/>
        <v>0.29420003263544847</v>
      </c>
      <c r="U39" s="301">
        <f t="shared" si="17"/>
        <v>0.28375939359476343</v>
      </c>
      <c r="V39" s="301">
        <f t="shared" si="17"/>
        <v>0.27565812631961933</v>
      </c>
      <c r="W39" s="301">
        <f t="shared" si="17"/>
        <v>0.27934784597240503</v>
      </c>
      <c r="X39" s="301">
        <f t="shared" si="17"/>
        <v>0.28105949378516326</v>
      </c>
      <c r="Y39" s="301">
        <f t="shared" si="17"/>
        <v>0.28161568433723033</v>
      </c>
      <c r="Z39" s="301">
        <f t="shared" si="17"/>
        <v>0.28137110865355347</v>
      </c>
      <c r="AA39" s="301">
        <f t="shared" si="17"/>
        <v>0.39683848472386357</v>
      </c>
      <c r="AB39" s="301">
        <f t="shared" si="17"/>
        <v>0.28082631823893173</v>
      </c>
      <c r="AC39" s="301">
        <f t="shared" si="17"/>
        <v>0.28076002749701989</v>
      </c>
      <c r="AD39" s="301">
        <f t="shared" si="17"/>
        <v>0.28077267379294218</v>
      </c>
      <c r="AE39" s="301">
        <f t="shared" si="17"/>
        <v>0.28080005797687535</v>
      </c>
      <c r="AF39" s="301">
        <f t="shared" si="17"/>
        <v>0.28086025344134391</v>
      </c>
      <c r="AG39" s="301">
        <f t="shared" si="17"/>
        <v>0.28022200321729523</v>
      </c>
      <c r="AH39" s="301">
        <f t="shared" si="17"/>
        <v>0.27975082818172586</v>
      </c>
      <c r="AI39" s="301">
        <f t="shared" si="17"/>
        <v>0.27947556428728026</v>
      </c>
      <c r="AJ39" s="301">
        <f t="shared" si="17"/>
        <v>0.27930985120732438</v>
      </c>
      <c r="AK39" s="301">
        <f t="shared" si="17"/>
        <v>0.27908928569223168</v>
      </c>
      <c r="AL39" s="301">
        <f t="shared" si="17"/>
        <v>0.27897272337738521</v>
      </c>
      <c r="AM39" s="301">
        <f t="shared" si="17"/>
        <v>0.27874467561405308</v>
      </c>
      <c r="AN39" s="301">
        <f t="shared" si="17"/>
        <v>0.27850841865108922</v>
      </c>
      <c r="AO39" s="301">
        <f t="shared" si="17"/>
        <v>0.27826872843731504</v>
      </c>
      <c r="AP39" s="301">
        <f t="shared" si="17"/>
        <v>0.27703594859888714</v>
      </c>
      <c r="AQ39" s="301">
        <f t="shared" si="17"/>
        <v>0.27615342033006607</v>
      </c>
      <c r="AR39" s="301">
        <f t="shared" si="17"/>
        <v>0.27536580772341807</v>
      </c>
      <c r="AS39" s="301">
        <f t="shared" si="17"/>
        <v>0.27455252514728729</v>
      </c>
      <c r="AT39" s="301">
        <f t="shared" si="17"/>
        <v>0.27375481411711139</v>
      </c>
      <c r="AU39" s="302">
        <f t="shared" si="17"/>
        <v>0.45618798946451278</v>
      </c>
      <c r="AV39" s="253"/>
      <c r="AW39" s="303">
        <f t="shared" ref="AW39:AW44" si="18">AA39-P39</f>
        <v>2.2595007344566542E-2</v>
      </c>
      <c r="AX39" s="303">
        <f t="shared" ref="AX39:AX44" si="19">AU39-P39</f>
        <v>8.1944512085215748E-2</v>
      </c>
    </row>
    <row r="40" spans="1:50" x14ac:dyDescent="0.25">
      <c r="B40" s="258" t="s">
        <v>468</v>
      </c>
      <c r="C40" s="304">
        <f>C5/(C$2-C$3)</f>
        <v>0.1970599631421219</v>
      </c>
      <c r="D40" s="304">
        <f t="shared" si="17"/>
        <v>0.20176245702777151</v>
      </c>
      <c r="E40" s="304">
        <f t="shared" si="17"/>
        <v>0.20639125598493807</v>
      </c>
      <c r="F40" s="304">
        <f t="shared" si="17"/>
        <v>0.20880711239336469</v>
      </c>
      <c r="G40" s="304">
        <f t="shared" si="17"/>
        <v>0.21218072412870306</v>
      </c>
      <c r="H40" s="304">
        <f t="shared" si="17"/>
        <v>0.21441278306119252</v>
      </c>
      <c r="I40" s="304">
        <f t="shared" si="17"/>
        <v>0.22173649519978558</v>
      </c>
      <c r="J40" s="304">
        <f t="shared" si="17"/>
        <v>0.22813189345806981</v>
      </c>
      <c r="K40" s="304">
        <f t="shared" si="17"/>
        <v>0.23264478822532059</v>
      </c>
      <c r="L40" s="304">
        <f t="shared" si="17"/>
        <v>0.24150288922486693</v>
      </c>
      <c r="M40" s="304">
        <f t="shared" si="17"/>
        <v>0.24276769535754644</v>
      </c>
      <c r="N40" s="304">
        <f t="shared" si="17"/>
        <v>0.23970312337210334</v>
      </c>
      <c r="O40" s="304">
        <f t="shared" si="17"/>
        <v>0.23611187679713888</v>
      </c>
      <c r="P40" s="304">
        <f t="shared" si="17"/>
        <v>0.23735694805665986</v>
      </c>
      <c r="Q40" s="304">
        <f t="shared" si="17"/>
        <v>0.24155260953826327</v>
      </c>
      <c r="R40" s="304">
        <f t="shared" si="17"/>
        <v>0.24678557627868405</v>
      </c>
      <c r="S40" s="304">
        <f t="shared" si="17"/>
        <v>0.24731848834028991</v>
      </c>
      <c r="T40" s="304">
        <f t="shared" si="17"/>
        <v>0.24732078066990018</v>
      </c>
      <c r="U40" s="304">
        <f t="shared" si="17"/>
        <v>0.23356302036384066</v>
      </c>
      <c r="V40" s="304">
        <f t="shared" si="17"/>
        <v>0.22265808875408263</v>
      </c>
      <c r="W40" s="304">
        <f t="shared" si="17"/>
        <v>0.22636821756869743</v>
      </c>
      <c r="X40" s="304">
        <f t="shared" si="17"/>
        <v>0.22765071438594486</v>
      </c>
      <c r="Y40" s="304">
        <f t="shared" si="17"/>
        <v>0.22752744653006163</v>
      </c>
      <c r="Z40" s="304">
        <f t="shared" si="17"/>
        <v>0.22643488590166891</v>
      </c>
      <c r="AA40" s="304">
        <f t="shared" si="17"/>
        <v>0.22486091773771488</v>
      </c>
      <c r="AB40" s="304">
        <f t="shared" si="17"/>
        <v>0.22455480581483001</v>
      </c>
      <c r="AC40" s="304">
        <f t="shared" si="17"/>
        <v>0.22406964974045909</v>
      </c>
      <c r="AD40" s="304">
        <f t="shared" si="17"/>
        <v>0.22370601505952573</v>
      </c>
      <c r="AE40" s="304">
        <f t="shared" si="17"/>
        <v>0.2233723949239331</v>
      </c>
      <c r="AF40" s="304">
        <f t="shared" si="17"/>
        <v>0.22309146208591218</v>
      </c>
      <c r="AG40" s="304">
        <f t="shared" si="17"/>
        <v>0.22191409176889304</v>
      </c>
      <c r="AH40" s="304">
        <f t="shared" si="17"/>
        <v>0.22095917920529978</v>
      </c>
      <c r="AI40" s="304">
        <f t="shared" si="17"/>
        <v>0.22026327124755124</v>
      </c>
      <c r="AJ40" s="304">
        <f t="shared" si="17"/>
        <v>0.21972105748568732</v>
      </c>
      <c r="AK40" s="304">
        <f t="shared" si="17"/>
        <v>0.21912356741050629</v>
      </c>
      <c r="AL40" s="304">
        <f t="shared" si="17"/>
        <v>0.21864607750031162</v>
      </c>
      <c r="AM40" s="304">
        <f t="shared" si="17"/>
        <v>0.21803354932823155</v>
      </c>
      <c r="AN40" s="304">
        <f t="shared" si="17"/>
        <v>0.21741710761739419</v>
      </c>
      <c r="AO40" s="304">
        <f t="shared" si="17"/>
        <v>0.21680885260381397</v>
      </c>
      <c r="AP40" s="304">
        <f t="shared" si="17"/>
        <v>0.21496130104566735</v>
      </c>
      <c r="AQ40" s="304">
        <f t="shared" si="17"/>
        <v>0.21358925007479468</v>
      </c>
      <c r="AR40" s="304">
        <f t="shared" si="17"/>
        <v>0.21233764341331621</v>
      </c>
      <c r="AS40" s="304">
        <f t="shared" si="17"/>
        <v>0.21105705731874466</v>
      </c>
      <c r="AT40" s="304">
        <f t="shared" si="17"/>
        <v>0.20981328643920416</v>
      </c>
      <c r="AU40" s="305">
        <f t="shared" si="17"/>
        <v>0.20922635998635741</v>
      </c>
      <c r="AW40" s="303">
        <f t="shared" si="18"/>
        <v>-1.2496030318944973E-2</v>
      </c>
      <c r="AX40" s="303">
        <f t="shared" si="19"/>
        <v>-2.8130588070302442E-2</v>
      </c>
    </row>
    <row r="41" spans="1:50" x14ac:dyDescent="0.25">
      <c r="B41" s="261" t="s">
        <v>469</v>
      </c>
      <c r="C41" s="306">
        <f t="shared" ref="C41:R45" si="20">C6/(C$2-C$3)</f>
        <v>5.6863254489509636E-2</v>
      </c>
      <c r="D41" s="306">
        <f t="shared" si="20"/>
        <v>5.5805279326487385E-2</v>
      </c>
      <c r="E41" s="306">
        <f t="shared" si="20"/>
        <v>5.4656433710909065E-2</v>
      </c>
      <c r="F41" s="306">
        <f t="shared" si="20"/>
        <v>5.4143306306301806E-2</v>
      </c>
      <c r="G41" s="306">
        <f t="shared" si="20"/>
        <v>5.3491016508331844E-2</v>
      </c>
      <c r="H41" s="306">
        <f t="shared" si="20"/>
        <v>5.2852621034917772E-2</v>
      </c>
      <c r="I41" s="306">
        <f t="shared" si="20"/>
        <v>5.1147692831468611E-2</v>
      </c>
      <c r="J41" s="306">
        <f t="shared" si="20"/>
        <v>4.9892585587958511E-2</v>
      </c>
      <c r="K41" s="306">
        <f t="shared" si="20"/>
        <v>4.9071023180618289E-2</v>
      </c>
      <c r="L41" s="306">
        <f t="shared" si="20"/>
        <v>4.7622584351655541E-2</v>
      </c>
      <c r="M41" s="306">
        <f t="shared" si="20"/>
        <v>4.760649515986809E-2</v>
      </c>
      <c r="N41" s="306">
        <f t="shared" si="20"/>
        <v>4.8214016899769445E-2</v>
      </c>
      <c r="O41" s="306">
        <f t="shared" si="20"/>
        <v>4.8689966972431227E-2</v>
      </c>
      <c r="P41" s="306">
        <f t="shared" si="20"/>
        <v>4.8489186856895787E-2</v>
      </c>
      <c r="Q41" s="306">
        <f t="shared" si="20"/>
        <v>0.13489024160588498</v>
      </c>
      <c r="R41" s="306">
        <f t="shared" si="20"/>
        <v>4.6860800276110774E-2</v>
      </c>
      <c r="S41" s="306">
        <f t="shared" si="17"/>
        <v>4.6822303628740361E-2</v>
      </c>
      <c r="T41" s="306">
        <f t="shared" si="17"/>
        <v>4.6879251965548277E-2</v>
      </c>
      <c r="U41" s="306">
        <f t="shared" si="17"/>
        <v>5.0196373230922811E-2</v>
      </c>
      <c r="V41" s="306">
        <f t="shared" si="17"/>
        <v>5.3000037565536735E-2</v>
      </c>
      <c r="W41" s="306">
        <f t="shared" si="17"/>
        <v>5.2979628403707589E-2</v>
      </c>
      <c r="X41" s="306">
        <f t="shared" si="17"/>
        <v>5.3408779399218384E-2</v>
      </c>
      <c r="Y41" s="306">
        <f t="shared" si="17"/>
        <v>5.4088237807168683E-2</v>
      </c>
      <c r="Z41" s="306">
        <f t="shared" si="17"/>
        <v>5.4936222751884575E-2</v>
      </c>
      <c r="AA41" s="306">
        <f t="shared" si="17"/>
        <v>0.17197756698614869</v>
      </c>
      <c r="AB41" s="306">
        <f t="shared" si="17"/>
        <v>5.6271512424101736E-2</v>
      </c>
      <c r="AC41" s="306">
        <f t="shared" si="17"/>
        <v>5.6690377756560835E-2</v>
      </c>
      <c r="AD41" s="306">
        <f t="shared" si="17"/>
        <v>5.706665873341648E-2</v>
      </c>
      <c r="AE41" s="306">
        <f t="shared" si="17"/>
        <v>5.7427663052942265E-2</v>
      </c>
      <c r="AF41" s="306">
        <f t="shared" si="17"/>
        <v>5.7768791355431719E-2</v>
      </c>
      <c r="AG41" s="306">
        <f t="shared" si="17"/>
        <v>5.8307911448402194E-2</v>
      </c>
      <c r="AH41" s="306">
        <f t="shared" si="17"/>
        <v>5.8791648976426088E-2</v>
      </c>
      <c r="AI41" s="306">
        <f t="shared" si="17"/>
        <v>5.9212293039729032E-2</v>
      </c>
      <c r="AJ41" s="306">
        <f t="shared" si="17"/>
        <v>5.9588793721637064E-2</v>
      </c>
      <c r="AK41" s="306">
        <f t="shared" si="17"/>
        <v>5.9965718281725394E-2</v>
      </c>
      <c r="AL41" s="306">
        <f t="shared" si="17"/>
        <v>6.0326645877073606E-2</v>
      </c>
      <c r="AM41" s="306">
        <f t="shared" si="17"/>
        <v>6.0711126285821586E-2</v>
      </c>
      <c r="AN41" s="306">
        <f t="shared" si="17"/>
        <v>6.1091311033695007E-2</v>
      </c>
      <c r="AO41" s="306">
        <f t="shared" si="17"/>
        <v>6.1459875833501078E-2</v>
      </c>
      <c r="AP41" s="306">
        <f t="shared" si="17"/>
        <v>6.2074647553219765E-2</v>
      </c>
      <c r="AQ41" s="306">
        <f t="shared" si="17"/>
        <v>6.256417025527139E-2</v>
      </c>
      <c r="AR41" s="306">
        <f t="shared" si="17"/>
        <v>6.3028164310101831E-2</v>
      </c>
      <c r="AS41" s="306">
        <f t="shared" si="17"/>
        <v>6.3495467828542609E-2</v>
      </c>
      <c r="AT41" s="306">
        <f t="shared" si="17"/>
        <v>6.3941527677907214E-2</v>
      </c>
      <c r="AU41" s="307">
        <f t="shared" si="17"/>
        <v>0.24696162947815536</v>
      </c>
      <c r="AV41" s="253"/>
      <c r="AW41" s="303">
        <f t="shared" si="18"/>
        <v>0.12348838012925289</v>
      </c>
      <c r="AX41" s="303">
        <f t="shared" si="19"/>
        <v>0.19847244262125957</v>
      </c>
    </row>
    <row r="42" spans="1:50" x14ac:dyDescent="0.25">
      <c r="B42" s="258" t="s">
        <v>470</v>
      </c>
      <c r="C42" s="304">
        <f t="shared" si="20"/>
        <v>0.70000000001205542</v>
      </c>
      <c r="D42" s="304">
        <f t="shared" si="17"/>
        <v>0.690999350377278</v>
      </c>
      <c r="E42" s="304">
        <f t="shared" si="17"/>
        <v>0.68297787864017767</v>
      </c>
      <c r="F42" s="304">
        <f t="shared" si="17"/>
        <v>0.67499541573772037</v>
      </c>
      <c r="G42" s="304">
        <f t="shared" si="17"/>
        <v>0.66828496403048077</v>
      </c>
      <c r="H42" s="304">
        <f t="shared" si="17"/>
        <v>0.65907389727800525</v>
      </c>
      <c r="I42" s="304">
        <f t="shared" si="17"/>
        <v>0.64774266763616162</v>
      </c>
      <c r="J42" s="304">
        <f t="shared" si="17"/>
        <v>0.63842150618145355</v>
      </c>
      <c r="K42" s="304">
        <f t="shared" si="17"/>
        <v>0.62985348432999622</v>
      </c>
      <c r="L42" s="304">
        <f t="shared" si="17"/>
        <v>0.62104837518735967</v>
      </c>
      <c r="M42" s="304">
        <f t="shared" si="17"/>
        <v>0.6227129009049116</v>
      </c>
      <c r="N42" s="304">
        <f t="shared" si="17"/>
        <v>0.62501805018084566</v>
      </c>
      <c r="O42" s="304">
        <f t="shared" si="17"/>
        <v>0.62526392330126646</v>
      </c>
      <c r="P42" s="304">
        <f t="shared" si="17"/>
        <v>0.62575652262070303</v>
      </c>
      <c r="Q42" s="304">
        <f t="shared" si="17"/>
        <v>0.62355714885585167</v>
      </c>
      <c r="R42" s="304">
        <f t="shared" si="17"/>
        <v>0.70635362344520514</v>
      </c>
      <c r="S42" s="304">
        <f t="shared" si="17"/>
        <v>0.70585920803096969</v>
      </c>
      <c r="T42" s="304">
        <f t="shared" si="17"/>
        <v>0.70579996736455153</v>
      </c>
      <c r="U42" s="304">
        <f t="shared" si="17"/>
        <v>0.71624060640523646</v>
      </c>
      <c r="V42" s="304">
        <f t="shared" si="17"/>
        <v>0.72434187368038061</v>
      </c>
      <c r="W42" s="304">
        <f t="shared" si="17"/>
        <v>0.72065215402759508</v>
      </c>
      <c r="X42" s="304">
        <f t="shared" si="17"/>
        <v>0.71894050621483685</v>
      </c>
      <c r="Y42" s="304">
        <f t="shared" si="17"/>
        <v>0.71838431566276972</v>
      </c>
      <c r="Z42" s="304">
        <f t="shared" si="17"/>
        <v>0.71862889134644659</v>
      </c>
      <c r="AA42" s="304">
        <f t="shared" si="17"/>
        <v>0.60316151527613637</v>
      </c>
      <c r="AB42" s="304">
        <f t="shared" si="17"/>
        <v>0.71917368176106811</v>
      </c>
      <c r="AC42" s="304">
        <f t="shared" si="17"/>
        <v>0.71923997250298011</v>
      </c>
      <c r="AD42" s="304">
        <f t="shared" si="17"/>
        <v>0.71922732620705776</v>
      </c>
      <c r="AE42" s="304">
        <f t="shared" si="17"/>
        <v>0.71919994202312476</v>
      </c>
      <c r="AF42" s="304">
        <f t="shared" si="17"/>
        <v>0.71913974655865598</v>
      </c>
      <c r="AG42" s="304">
        <f t="shared" si="17"/>
        <v>0.71977799678270471</v>
      </c>
      <c r="AH42" s="304">
        <f t="shared" si="17"/>
        <v>0.72024917181827419</v>
      </c>
      <c r="AI42" s="304">
        <f t="shared" si="17"/>
        <v>0.72052443571271962</v>
      </c>
      <c r="AJ42" s="304">
        <f t="shared" si="17"/>
        <v>0.72069014879267557</v>
      </c>
      <c r="AK42" s="304">
        <f t="shared" si="17"/>
        <v>0.72091071430776832</v>
      </c>
      <c r="AL42" s="304">
        <f t="shared" si="17"/>
        <v>0.72102727662261468</v>
      </c>
      <c r="AM42" s="304">
        <f t="shared" si="17"/>
        <v>0.72125532438594686</v>
      </c>
      <c r="AN42" s="304">
        <f t="shared" si="17"/>
        <v>0.72149158134891078</v>
      </c>
      <c r="AO42" s="304">
        <f t="shared" si="17"/>
        <v>0.72173127156268502</v>
      </c>
      <c r="AP42" s="304">
        <f t="shared" si="17"/>
        <v>0.72296405140111286</v>
      </c>
      <c r="AQ42" s="304">
        <f t="shared" si="17"/>
        <v>0.72384657966993404</v>
      </c>
      <c r="AR42" s="304">
        <f t="shared" si="17"/>
        <v>0.72463419227658199</v>
      </c>
      <c r="AS42" s="304">
        <f t="shared" si="17"/>
        <v>0.72544747485271266</v>
      </c>
      <c r="AT42" s="304">
        <f t="shared" si="17"/>
        <v>0.72624518588288856</v>
      </c>
      <c r="AU42" s="305">
        <f t="shared" si="17"/>
        <v>0.54381201053548711</v>
      </c>
      <c r="AW42" s="303">
        <f t="shared" si="18"/>
        <v>-2.2595007344566653E-2</v>
      </c>
      <c r="AX42" s="303">
        <f t="shared" si="19"/>
        <v>-8.1944512085215915E-2</v>
      </c>
    </row>
    <row r="43" spans="1:50" x14ac:dyDescent="0.25">
      <c r="B43" s="258" t="s">
        <v>471</v>
      </c>
      <c r="C43" s="304">
        <f t="shared" si="20"/>
        <v>0.64313674466660875</v>
      </c>
      <c r="D43" s="304">
        <f t="shared" si="17"/>
        <v>0.63519510998587503</v>
      </c>
      <c r="E43" s="304">
        <f t="shared" si="17"/>
        <v>0.62832496307141994</v>
      </c>
      <c r="F43" s="304">
        <f t="shared" si="17"/>
        <v>0.62085574517100628</v>
      </c>
      <c r="G43" s="304">
        <f t="shared" si="17"/>
        <v>0.61479767908665839</v>
      </c>
      <c r="H43" s="304">
        <f t="shared" si="17"/>
        <v>0.60622505697702345</v>
      </c>
      <c r="I43" s="304">
        <f t="shared" si="17"/>
        <v>0.59660539709800442</v>
      </c>
      <c r="J43" s="304">
        <f t="shared" si="17"/>
        <v>0.58854211551004099</v>
      </c>
      <c r="K43" s="304">
        <f t="shared" si="17"/>
        <v>0.58079573389711359</v>
      </c>
      <c r="L43" s="304">
        <f t="shared" si="17"/>
        <v>0.57344546513904415</v>
      </c>
      <c r="M43" s="304">
        <f t="shared" si="17"/>
        <v>0.57512636752758717</v>
      </c>
      <c r="N43" s="304">
        <f t="shared" si="17"/>
        <v>0.57682616339395054</v>
      </c>
      <c r="O43" s="304">
        <f t="shared" si="17"/>
        <v>0.57659842564172292</v>
      </c>
      <c r="P43" s="304">
        <f t="shared" si="17"/>
        <v>0.57729246285510794</v>
      </c>
      <c r="Q43" s="304">
        <f t="shared" si="17"/>
        <v>0.57584955403048366</v>
      </c>
      <c r="R43" s="304">
        <f t="shared" si="17"/>
        <v>0.5738525178120587</v>
      </c>
      <c r="S43" s="304">
        <f t="shared" si="17"/>
        <v>0.57352793382617684</v>
      </c>
      <c r="T43" s="304">
        <f t="shared" si="17"/>
        <v>0.57337280550979686</v>
      </c>
      <c r="U43" s="304">
        <f t="shared" si="17"/>
        <v>0.57117405984436587</v>
      </c>
      <c r="V43" s="304">
        <f t="shared" si="17"/>
        <v>0.56803645859229257</v>
      </c>
      <c r="W43" s="304">
        <f t="shared" si="17"/>
        <v>0.56301586015587113</v>
      </c>
      <c r="X43" s="304">
        <f t="shared" si="17"/>
        <v>0.55871216091104636</v>
      </c>
      <c r="Y43" s="304">
        <f t="shared" si="17"/>
        <v>0.55475960352134568</v>
      </c>
      <c r="Z43" s="304">
        <f t="shared" si="17"/>
        <v>0.55098365826196882</v>
      </c>
      <c r="AA43" s="304">
        <f t="shared" si="17"/>
        <v>0.54729082374686377</v>
      </c>
      <c r="AB43" s="304">
        <f t="shared" si="17"/>
        <v>0.5440334120863155</v>
      </c>
      <c r="AC43" s="304">
        <f t="shared" si="17"/>
        <v>0.5407699856385968</v>
      </c>
      <c r="AD43" s="304">
        <f t="shared" si="17"/>
        <v>0.53740716432735103</v>
      </c>
      <c r="AE43" s="304">
        <f t="shared" si="17"/>
        <v>0.53400998717464887</v>
      </c>
      <c r="AF43" s="304">
        <f t="shared" si="17"/>
        <v>0.53057107263165693</v>
      </c>
      <c r="AG43" s="304">
        <f t="shared" si="17"/>
        <v>0.5274566534845323</v>
      </c>
      <c r="AH43" s="304">
        <f t="shared" si="17"/>
        <v>0.52423536395685</v>
      </c>
      <c r="AI43" s="304">
        <f t="shared" si="17"/>
        <v>0.52089897192369661</v>
      </c>
      <c r="AJ43" s="304">
        <f t="shared" si="17"/>
        <v>0.51747002570339773</v>
      </c>
      <c r="AK43" s="304">
        <f t="shared" si="17"/>
        <v>0.51403863757427393</v>
      </c>
      <c r="AL43" s="304">
        <f t="shared" si="17"/>
        <v>0.51055220070808138</v>
      </c>
      <c r="AM43" s="304">
        <f t="shared" si="17"/>
        <v>0.50711056882689265</v>
      </c>
      <c r="AN43" s="304">
        <f t="shared" si="17"/>
        <v>0.50366546146259339</v>
      </c>
      <c r="AO43" s="304">
        <f t="shared" si="17"/>
        <v>0.50019445943714558</v>
      </c>
      <c r="AP43" s="304">
        <f t="shared" si="17"/>
        <v>0.49712086994708798</v>
      </c>
      <c r="AQ43" s="304">
        <f t="shared" si="17"/>
        <v>0.49378398553497432</v>
      </c>
      <c r="AR43" s="304">
        <f t="shared" si="17"/>
        <v>0.49041204734480176</v>
      </c>
      <c r="AS43" s="304">
        <f t="shared" si="17"/>
        <v>0.48704881265231503</v>
      </c>
      <c r="AT43" s="304">
        <f t="shared" si="17"/>
        <v>0.48364029236500056</v>
      </c>
      <c r="AU43" s="305">
        <f t="shared" si="17"/>
        <v>0.47967947815978734</v>
      </c>
      <c r="AW43" s="303">
        <f t="shared" si="18"/>
        <v>-3.000163910824416E-2</v>
      </c>
      <c r="AX43" s="303">
        <f t="shared" si="19"/>
        <v>-9.7612984695320593E-2</v>
      </c>
    </row>
    <row r="44" spans="1:50" x14ac:dyDescent="0.25">
      <c r="B44" s="261" t="s">
        <v>472</v>
      </c>
      <c r="C44" s="306">
        <f t="shared" si="20"/>
        <v>0.10294003529066954</v>
      </c>
      <c r="D44" s="306">
        <f t="shared" si="17"/>
        <v>0.10724877979027327</v>
      </c>
      <c r="E44" s="306">
        <f t="shared" si="17"/>
        <v>0.11064431706949063</v>
      </c>
      <c r="F44" s="306">
        <f t="shared" si="17"/>
        <v>0.11626452972097492</v>
      </c>
      <c r="G44" s="306">
        <f t="shared" si="17"/>
        <v>0.11960855419489243</v>
      </c>
      <c r="H44" s="306">
        <f t="shared" si="17"/>
        <v>0.12667664697080269</v>
      </c>
      <c r="I44" s="306">
        <f t="shared" si="17"/>
        <v>0.13068982952966138</v>
      </c>
      <c r="J44" s="306">
        <f t="shared" si="17"/>
        <v>0.13362171738584169</v>
      </c>
      <c r="K44" s="306">
        <f t="shared" si="17"/>
        <v>0.13768563766064001</v>
      </c>
      <c r="L44" s="306">
        <f t="shared" si="17"/>
        <v>0.13769835009993434</v>
      </c>
      <c r="M44" s="306">
        <f t="shared" si="17"/>
        <v>0.1347985233296565</v>
      </c>
      <c r="N44" s="306">
        <f t="shared" si="17"/>
        <v>0.1355708760077296</v>
      </c>
      <c r="O44" s="306">
        <f t="shared" si="17"/>
        <v>0.13898544309262068</v>
      </c>
      <c r="P44" s="306">
        <f t="shared" si="17"/>
        <v>0.13726103138131707</v>
      </c>
      <c r="Q44" s="306">
        <f t="shared" si="17"/>
        <v>4.7707594825368106E-2</v>
      </c>
      <c r="R44" s="306">
        <f t="shared" si="17"/>
        <v>0.13250110563314646</v>
      </c>
      <c r="S44" s="306">
        <f t="shared" si="17"/>
        <v>0.13233127420479276</v>
      </c>
      <c r="T44" s="306">
        <f t="shared" si="17"/>
        <v>0.13242716185475462</v>
      </c>
      <c r="U44" s="306">
        <f t="shared" si="17"/>
        <v>0.14506654656087065</v>
      </c>
      <c r="V44" s="306">
        <f t="shared" si="17"/>
        <v>0.15630541508808804</v>
      </c>
      <c r="W44" s="306">
        <f t="shared" si="17"/>
        <v>0.15763629387172404</v>
      </c>
      <c r="X44" s="306">
        <f t="shared" si="17"/>
        <v>0.16022834530379046</v>
      </c>
      <c r="Y44" s="306">
        <f t="shared" si="17"/>
        <v>0.16362471214142396</v>
      </c>
      <c r="Z44" s="306">
        <f t="shared" si="17"/>
        <v>0.16764523308447771</v>
      </c>
      <c r="AA44" s="306">
        <f t="shared" si="17"/>
        <v>5.5870691529272494E-2</v>
      </c>
      <c r="AB44" s="306">
        <f t="shared" si="17"/>
        <v>0.17514026967475257</v>
      </c>
      <c r="AC44" s="306">
        <f t="shared" si="17"/>
        <v>0.17846998686438328</v>
      </c>
      <c r="AD44" s="306">
        <f t="shared" si="17"/>
        <v>0.18182016187970665</v>
      </c>
      <c r="AE44" s="306">
        <f t="shared" si="17"/>
        <v>0.18518995484847589</v>
      </c>
      <c r="AF44" s="306">
        <f t="shared" si="17"/>
        <v>0.18856867392699911</v>
      </c>
      <c r="AG44" s="306">
        <f t="shared" si="17"/>
        <v>0.19232134329817235</v>
      </c>
      <c r="AH44" s="306">
        <f t="shared" si="17"/>
        <v>0.19601380786142431</v>
      </c>
      <c r="AI44" s="306">
        <f t="shared" si="17"/>
        <v>0.19962546378902296</v>
      </c>
      <c r="AJ44" s="306">
        <f t="shared" si="17"/>
        <v>0.20322012308927781</v>
      </c>
      <c r="AK44" s="306">
        <f t="shared" si="17"/>
        <v>0.20687207673349436</v>
      </c>
      <c r="AL44" s="306">
        <f t="shared" si="17"/>
        <v>0.21047507591453329</v>
      </c>
      <c r="AM44" s="306">
        <f t="shared" si="17"/>
        <v>0.21414475555905424</v>
      </c>
      <c r="AN44" s="306">
        <f t="shared" si="17"/>
        <v>0.21782611988631734</v>
      </c>
      <c r="AO44" s="306">
        <f t="shared" si="17"/>
        <v>0.22153681212553947</v>
      </c>
      <c r="AP44" s="306">
        <f t="shared" si="17"/>
        <v>0.22584318145402488</v>
      </c>
      <c r="AQ44" s="306">
        <f t="shared" si="17"/>
        <v>0.23006259413495972</v>
      </c>
      <c r="AR44" s="306">
        <f t="shared" si="17"/>
        <v>0.23422214493178023</v>
      </c>
      <c r="AS44" s="306">
        <f t="shared" si="17"/>
        <v>0.23839866220039771</v>
      </c>
      <c r="AT44" s="306">
        <f t="shared" si="17"/>
        <v>0.24260489351788805</v>
      </c>
      <c r="AU44" s="307">
        <f t="shared" si="17"/>
        <v>6.4132532375699741E-2</v>
      </c>
      <c r="AW44" s="303">
        <f t="shared" si="18"/>
        <v>-8.139033985204458E-2</v>
      </c>
      <c r="AX44" s="303">
        <f t="shared" si="19"/>
        <v>-7.3128499005617326E-2</v>
      </c>
    </row>
    <row r="45" spans="1:50" x14ac:dyDescent="0.25">
      <c r="B45" s="249" t="s">
        <v>473</v>
      </c>
      <c r="C45" s="308">
        <f t="shared" si="20"/>
        <v>0.84019670780873068</v>
      </c>
      <c r="D45" s="308">
        <f t="shared" si="17"/>
        <v>0.83695756701364654</v>
      </c>
      <c r="E45" s="308">
        <f t="shared" si="17"/>
        <v>0.83471621905635807</v>
      </c>
      <c r="F45" s="308">
        <f t="shared" si="17"/>
        <v>0.82966285756437086</v>
      </c>
      <c r="G45" s="308">
        <f t="shared" si="17"/>
        <v>0.82697840321536142</v>
      </c>
      <c r="H45" s="308">
        <f t="shared" si="17"/>
        <v>0.82063784003821594</v>
      </c>
      <c r="I45" s="308">
        <f t="shared" si="17"/>
        <v>0.81834189229779009</v>
      </c>
      <c r="J45" s="308">
        <f t="shared" ref="J45:AU45" si="21">J10/(J$2-J$3)</f>
        <v>0.81667400896811082</v>
      </c>
      <c r="K45" s="308">
        <f t="shared" si="21"/>
        <v>0.81344052212243412</v>
      </c>
      <c r="L45" s="308">
        <f t="shared" si="21"/>
        <v>0.81494835436391111</v>
      </c>
      <c r="M45" s="308">
        <f t="shared" si="21"/>
        <v>0.81789406288513355</v>
      </c>
      <c r="N45" s="308">
        <f t="shared" si="21"/>
        <v>0.81652928676605396</v>
      </c>
      <c r="O45" s="308">
        <f t="shared" si="21"/>
        <v>0.81271030243886178</v>
      </c>
      <c r="P45" s="308">
        <f t="shared" si="21"/>
        <v>0.81464941091176779</v>
      </c>
      <c r="Q45" s="308">
        <f t="shared" si="21"/>
        <v>0.81740216356874684</v>
      </c>
      <c r="R45" s="308">
        <f t="shared" si="21"/>
        <v>0.82063809409074284</v>
      </c>
      <c r="S45" s="308">
        <f t="shared" si="21"/>
        <v>0.82084642216646675</v>
      </c>
      <c r="T45" s="308">
        <f t="shared" si="21"/>
        <v>0.82069358617969712</v>
      </c>
      <c r="U45" s="308">
        <f t="shared" si="21"/>
        <v>0.80473708020820656</v>
      </c>
      <c r="V45" s="308">
        <f t="shared" si="21"/>
        <v>0.79069454734637523</v>
      </c>
      <c r="W45" s="308">
        <f t="shared" si="21"/>
        <v>0.78938407772456853</v>
      </c>
      <c r="X45" s="308">
        <f t="shared" si="21"/>
        <v>0.78636287529699123</v>
      </c>
      <c r="Y45" s="308">
        <f t="shared" si="21"/>
        <v>0.78228705005140742</v>
      </c>
      <c r="Z45" s="308">
        <f t="shared" si="21"/>
        <v>0.77741854416363776</v>
      </c>
      <c r="AA45" s="308">
        <f t="shared" si="21"/>
        <v>0.77215174148457866</v>
      </c>
      <c r="AB45" s="308">
        <f t="shared" si="21"/>
        <v>0.76858821790114551</v>
      </c>
      <c r="AC45" s="308">
        <f t="shared" si="21"/>
        <v>0.76483963537905586</v>
      </c>
      <c r="AD45" s="308">
        <f t="shared" si="21"/>
        <v>0.76111317938687684</v>
      </c>
      <c r="AE45" s="308">
        <f t="shared" si="21"/>
        <v>0.757382382098582</v>
      </c>
      <c r="AF45" s="308">
        <f t="shared" si="21"/>
        <v>0.75366253471756905</v>
      </c>
      <c r="AG45" s="308">
        <f t="shared" si="21"/>
        <v>0.74937074525342529</v>
      </c>
      <c r="AH45" s="308">
        <f t="shared" si="21"/>
        <v>0.74519454316214973</v>
      </c>
      <c r="AI45" s="308">
        <f t="shared" si="21"/>
        <v>0.7411622431712479</v>
      </c>
      <c r="AJ45" s="308">
        <f t="shared" si="21"/>
        <v>0.73719108318908499</v>
      </c>
      <c r="AK45" s="308">
        <f t="shared" si="21"/>
        <v>0.73316220498478013</v>
      </c>
      <c r="AL45" s="308">
        <f t="shared" si="21"/>
        <v>0.729198278208393</v>
      </c>
      <c r="AM45" s="308">
        <f t="shared" si="21"/>
        <v>0.72514411815512425</v>
      </c>
      <c r="AN45" s="308">
        <f t="shared" si="21"/>
        <v>0.72108256907998758</v>
      </c>
      <c r="AO45" s="308">
        <f t="shared" si="21"/>
        <v>0.71700331204095946</v>
      </c>
      <c r="AP45" s="308">
        <f t="shared" si="21"/>
        <v>0.71208217099275528</v>
      </c>
      <c r="AQ45" s="308">
        <f t="shared" si="21"/>
        <v>0.70737323560976895</v>
      </c>
      <c r="AR45" s="308">
        <f t="shared" si="21"/>
        <v>0.702749690758118</v>
      </c>
      <c r="AS45" s="308">
        <f t="shared" si="21"/>
        <v>0.69810586997105972</v>
      </c>
      <c r="AT45" s="308">
        <f t="shared" si="21"/>
        <v>0.69345357880420466</v>
      </c>
      <c r="AU45" s="309">
        <f t="shared" si="21"/>
        <v>0.68890583814614481</v>
      </c>
      <c r="AW45" s="310">
        <f>AA45-P45</f>
        <v>-4.2497669427189133E-2</v>
      </c>
      <c r="AX45" s="310">
        <f>AU45-P45</f>
        <v>-0.12574357276562298</v>
      </c>
    </row>
    <row r="46" spans="1:50" x14ac:dyDescent="0.25">
      <c r="C46" s="265"/>
      <c r="D46" s="265"/>
      <c r="E46" s="265"/>
      <c r="F46" s="265"/>
      <c r="G46" s="265"/>
      <c r="H46" s="265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</row>
    <row r="47" spans="1:50" s="244" customFormat="1" ht="45" customHeight="1" x14ac:dyDescent="0.25">
      <c r="A47" s="239" t="s">
        <v>474</v>
      </c>
      <c r="B47" s="240" t="s">
        <v>497</v>
      </c>
      <c r="C47" s="242">
        <v>2006</v>
      </c>
      <c r="D47" s="242">
        <v>2007</v>
      </c>
      <c r="E47" s="242">
        <v>2008</v>
      </c>
      <c r="F47" s="242">
        <v>2009</v>
      </c>
      <c r="G47" s="242">
        <v>2010</v>
      </c>
      <c r="H47" s="242">
        <v>2011</v>
      </c>
      <c r="I47" s="242">
        <v>2012</v>
      </c>
      <c r="J47" s="242">
        <v>2013</v>
      </c>
      <c r="K47" s="242">
        <v>2014</v>
      </c>
      <c r="L47" s="242">
        <v>2015</v>
      </c>
      <c r="M47" s="242">
        <v>2016</v>
      </c>
      <c r="N47" s="242">
        <v>2017</v>
      </c>
      <c r="O47" s="242">
        <v>2018</v>
      </c>
      <c r="P47" s="242">
        <v>2019</v>
      </c>
      <c r="Q47" s="242">
        <v>2020</v>
      </c>
      <c r="R47" s="242">
        <v>2021</v>
      </c>
      <c r="S47" s="242">
        <v>2022</v>
      </c>
      <c r="T47" s="242">
        <v>2023</v>
      </c>
      <c r="U47" s="242">
        <v>2024</v>
      </c>
      <c r="V47" s="242">
        <v>2025</v>
      </c>
      <c r="W47" s="242">
        <v>2026</v>
      </c>
      <c r="X47" s="242">
        <v>2027</v>
      </c>
      <c r="Y47" s="242">
        <v>2028</v>
      </c>
      <c r="Z47" s="242">
        <v>2029</v>
      </c>
      <c r="AA47" s="242">
        <v>2030</v>
      </c>
      <c r="AB47" s="242">
        <v>2031</v>
      </c>
      <c r="AC47" s="242">
        <v>2032</v>
      </c>
      <c r="AD47" s="242">
        <v>2033</v>
      </c>
      <c r="AE47" s="242">
        <v>2034</v>
      </c>
      <c r="AF47" s="242">
        <v>2035</v>
      </c>
      <c r="AG47" s="242">
        <v>2036</v>
      </c>
      <c r="AH47" s="242">
        <v>2037</v>
      </c>
      <c r="AI47" s="242">
        <v>2038</v>
      </c>
      <c r="AJ47" s="242">
        <v>2039</v>
      </c>
      <c r="AK47" s="242">
        <v>2040</v>
      </c>
      <c r="AL47" s="242">
        <v>2041</v>
      </c>
      <c r="AM47" s="242">
        <v>2042</v>
      </c>
      <c r="AN47" s="242">
        <v>2043</v>
      </c>
      <c r="AO47" s="242">
        <v>2044</v>
      </c>
      <c r="AP47" s="242">
        <v>2045</v>
      </c>
      <c r="AQ47" s="242">
        <v>2046</v>
      </c>
      <c r="AR47" s="242">
        <v>2047</v>
      </c>
      <c r="AS47" s="242">
        <v>2048</v>
      </c>
      <c r="AT47" s="242">
        <v>2049</v>
      </c>
      <c r="AU47" s="243">
        <v>2050</v>
      </c>
      <c r="AW47" s="242" t="s">
        <v>498</v>
      </c>
      <c r="AX47" s="242" t="s">
        <v>499</v>
      </c>
    </row>
    <row r="48" spans="1:50" x14ac:dyDescent="0.25">
      <c r="B48" s="245" t="s">
        <v>1</v>
      </c>
      <c r="C48" s="246">
        <f t="shared" ref="C48:AU48" si="22">C49+C50+C53</f>
        <v>1</v>
      </c>
      <c r="D48" s="247">
        <f t="shared" si="22"/>
        <v>1</v>
      </c>
      <c r="E48" s="247">
        <f t="shared" si="22"/>
        <v>1</v>
      </c>
      <c r="F48" s="247">
        <f t="shared" si="22"/>
        <v>1</v>
      </c>
      <c r="G48" s="247">
        <f t="shared" si="22"/>
        <v>1</v>
      </c>
      <c r="H48" s="247">
        <f t="shared" si="22"/>
        <v>1</v>
      </c>
      <c r="I48" s="247">
        <f t="shared" si="22"/>
        <v>1</v>
      </c>
      <c r="J48" s="247">
        <f t="shared" si="22"/>
        <v>1.0000000000000002</v>
      </c>
      <c r="K48" s="247">
        <f t="shared" si="22"/>
        <v>1</v>
      </c>
      <c r="L48" s="247">
        <f t="shared" si="22"/>
        <v>0.99999999999999978</v>
      </c>
      <c r="M48" s="247">
        <f t="shared" si="22"/>
        <v>0.99999999999999989</v>
      </c>
      <c r="N48" s="247">
        <f t="shared" si="22"/>
        <v>1</v>
      </c>
      <c r="O48" s="247">
        <f t="shared" si="22"/>
        <v>1</v>
      </c>
      <c r="P48" s="247">
        <f t="shared" si="22"/>
        <v>1</v>
      </c>
      <c r="Q48" s="247">
        <f t="shared" si="22"/>
        <v>0.99547649255850423</v>
      </c>
      <c r="R48" s="247">
        <f t="shared" si="22"/>
        <v>0.99489609329522621</v>
      </c>
      <c r="S48" s="247">
        <f t="shared" si="22"/>
        <v>0.99398116419638427</v>
      </c>
      <c r="T48" s="247">
        <f t="shared" si="22"/>
        <v>0.99339578532639206</v>
      </c>
      <c r="U48" s="247">
        <f t="shared" si="22"/>
        <v>1.0066222599533416</v>
      </c>
      <c r="V48" s="247">
        <f t="shared" si="22"/>
        <v>1.0173188357552556</v>
      </c>
      <c r="W48" s="247">
        <f t="shared" si="22"/>
        <v>1.0159820793538654</v>
      </c>
      <c r="X48" s="247">
        <f t="shared" si="22"/>
        <v>1.0187720142966226</v>
      </c>
      <c r="Y48" s="247">
        <f t="shared" si="22"/>
        <v>1.0240235272452429</v>
      </c>
      <c r="Z48" s="247">
        <f t="shared" si="22"/>
        <v>1.0309530794413433</v>
      </c>
      <c r="AA48" s="247">
        <f t="shared" si="22"/>
        <v>1.0390023052861952</v>
      </c>
      <c r="AB48" s="247">
        <f t="shared" si="22"/>
        <v>1.0451379026954155</v>
      </c>
      <c r="AC48" s="247">
        <f t="shared" si="22"/>
        <v>1.0532799748850867</v>
      </c>
      <c r="AD48" s="247">
        <f t="shared" si="22"/>
        <v>1.0607892411283952</v>
      </c>
      <c r="AE48" s="247">
        <f t="shared" si="22"/>
        <v>1.0679855416045392</v>
      </c>
      <c r="AF48" s="247">
        <f t="shared" si="22"/>
        <v>1.0772131224514252</v>
      </c>
      <c r="AG48" s="247">
        <f t="shared" si="22"/>
        <v>1.0843708226787094</v>
      </c>
      <c r="AH48" s="247">
        <f t="shared" si="22"/>
        <v>1.0912403475614667</v>
      </c>
      <c r="AI48" s="247">
        <f t="shared" si="22"/>
        <v>1.0979901685551376</v>
      </c>
      <c r="AJ48" s="247">
        <f t="shared" si="22"/>
        <v>1.1047713096984182</v>
      </c>
      <c r="AK48" s="247">
        <f t="shared" si="22"/>
        <v>1.1114156030703062</v>
      </c>
      <c r="AL48" s="247">
        <f t="shared" si="22"/>
        <v>1.1185702473232186</v>
      </c>
      <c r="AM48" s="247">
        <f t="shared" si="22"/>
        <v>1.1251233466059007</v>
      </c>
      <c r="AN48" s="247">
        <f t="shared" si="22"/>
        <v>1.1314330673963064</v>
      </c>
      <c r="AO48" s="247">
        <f t="shared" si="22"/>
        <v>1.1375902393634258</v>
      </c>
      <c r="AP48" s="247">
        <f t="shared" si="22"/>
        <v>1.1456125424193933</v>
      </c>
      <c r="AQ48" s="247">
        <f t="shared" si="22"/>
        <v>1.1537463576703737</v>
      </c>
      <c r="AR48" s="247">
        <f t="shared" si="22"/>
        <v>1.1613426744610522</v>
      </c>
      <c r="AS48" s="247">
        <f t="shared" si="22"/>
        <v>1.1684090045819073</v>
      </c>
      <c r="AT48" s="247">
        <f t="shared" si="22"/>
        <v>1.1751251078193128</v>
      </c>
      <c r="AU48" s="248">
        <f t="shared" si="22"/>
        <v>1.1822883877915382</v>
      </c>
    </row>
    <row r="49" spans="1:50" x14ac:dyDescent="0.25">
      <c r="B49" s="249" t="s">
        <v>466</v>
      </c>
      <c r="C49" s="300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2"/>
      <c r="AW49" s="253"/>
    </row>
    <row r="50" spans="1:50" x14ac:dyDescent="0.25">
      <c r="B50" s="254" t="s">
        <v>467</v>
      </c>
      <c r="C50" s="301">
        <f>C15/(C$2-C$3)</f>
        <v>0.29999999998794452</v>
      </c>
      <c r="D50" s="301">
        <f t="shared" ref="D50:AU51" si="23">D15/(D$2-D$3)</f>
        <v>0.30900064962272211</v>
      </c>
      <c r="E50" s="301">
        <f t="shared" si="23"/>
        <v>0.31702212135982227</v>
      </c>
      <c r="F50" s="301">
        <f t="shared" si="23"/>
        <v>0.32500458426227963</v>
      </c>
      <c r="G50" s="301">
        <f t="shared" si="23"/>
        <v>0.33171503596951929</v>
      </c>
      <c r="H50" s="301">
        <f t="shared" si="23"/>
        <v>0.34092610272199475</v>
      </c>
      <c r="I50" s="301">
        <f t="shared" si="23"/>
        <v>0.35225733236383844</v>
      </c>
      <c r="J50" s="301">
        <f t="shared" si="23"/>
        <v>0.36157849381854668</v>
      </c>
      <c r="K50" s="301">
        <f t="shared" si="23"/>
        <v>0.37014651567000378</v>
      </c>
      <c r="L50" s="301">
        <f t="shared" si="23"/>
        <v>0.37895162481264016</v>
      </c>
      <c r="M50" s="301">
        <f t="shared" si="23"/>
        <v>0.37728709909508829</v>
      </c>
      <c r="N50" s="301">
        <f t="shared" si="23"/>
        <v>0.37498194981915439</v>
      </c>
      <c r="O50" s="301">
        <f t="shared" si="23"/>
        <v>0.37473607669873349</v>
      </c>
      <c r="P50" s="301">
        <f t="shared" si="23"/>
        <v>0.37424347737929703</v>
      </c>
      <c r="Q50" s="301">
        <f t="shared" si="23"/>
        <v>0.37289243104020775</v>
      </c>
      <c r="R50" s="301">
        <f t="shared" si="23"/>
        <v>0.37385029659152919</v>
      </c>
      <c r="S50" s="301">
        <f t="shared" si="23"/>
        <v>0.37304394065739316</v>
      </c>
      <c r="T50" s="301">
        <f t="shared" si="23"/>
        <v>0.37229243644517174</v>
      </c>
      <c r="U50" s="301">
        <f t="shared" si="23"/>
        <v>0.37702955966984875</v>
      </c>
      <c r="V50" s="301">
        <f t="shared" si="23"/>
        <v>0.38093890805665975</v>
      </c>
      <c r="W50" s="301">
        <f t="shared" si="23"/>
        <v>0.38029746386188612</v>
      </c>
      <c r="X50" s="301">
        <f t="shared" si="23"/>
        <v>0.38136794068111618</v>
      </c>
      <c r="Y50" s="301">
        <f t="shared" si="23"/>
        <v>0.38328745154338784</v>
      </c>
      <c r="Z50" s="301">
        <f t="shared" si="23"/>
        <v>0.38587318205187743</v>
      </c>
      <c r="AA50" s="301">
        <f t="shared" si="23"/>
        <v>0.3889295806384086</v>
      </c>
      <c r="AB50" s="301">
        <f t="shared" si="23"/>
        <v>0.39129082038261181</v>
      </c>
      <c r="AC50" s="301">
        <f t="shared" si="23"/>
        <v>0.39526804918995118</v>
      </c>
      <c r="AD50" s="301">
        <f t="shared" si="23"/>
        <v>0.39866412580215232</v>
      </c>
      <c r="AE50" s="301">
        <f t="shared" si="23"/>
        <v>0.40179988769125385</v>
      </c>
      <c r="AF50" s="301">
        <f t="shared" si="23"/>
        <v>0.40645413146773263</v>
      </c>
      <c r="AG50" s="301">
        <f t="shared" si="23"/>
        <v>0.40912391152046362</v>
      </c>
      <c r="AH50" s="301">
        <f t="shared" si="23"/>
        <v>0.41184431290021067</v>
      </c>
      <c r="AI50" s="301">
        <f t="shared" si="23"/>
        <v>0.41461115070303339</v>
      </c>
      <c r="AJ50" s="301">
        <f t="shared" si="23"/>
        <v>0.41742545309451279</v>
      </c>
      <c r="AK50" s="301">
        <f t="shared" si="23"/>
        <v>0.42021836313325489</v>
      </c>
      <c r="AL50" s="301">
        <f t="shared" si="23"/>
        <v>0.42328021701891066</v>
      </c>
      <c r="AM50" s="301">
        <f t="shared" si="23"/>
        <v>0.42603315546620713</v>
      </c>
      <c r="AN50" s="301">
        <f t="shared" si="23"/>
        <v>0.42864174698790586</v>
      </c>
      <c r="AO50" s="301">
        <f t="shared" si="23"/>
        <v>0.43117243188711829</v>
      </c>
      <c r="AP50" s="301">
        <f t="shared" si="23"/>
        <v>0.43439715265964679</v>
      </c>
      <c r="AQ50" s="301">
        <f t="shared" si="23"/>
        <v>0.43772383002559961</v>
      </c>
      <c r="AR50" s="301">
        <f t="shared" si="23"/>
        <v>0.4407982130549965</v>
      </c>
      <c r="AS50" s="301">
        <f t="shared" si="23"/>
        <v>0.44364890647491517</v>
      </c>
      <c r="AT50" s="301">
        <f t="shared" si="23"/>
        <v>0.44635160739390128</v>
      </c>
      <c r="AU50" s="302">
        <f t="shared" si="23"/>
        <v>0.44920426334073282</v>
      </c>
      <c r="AW50" s="303">
        <f t="shared" ref="AW50:AW55" si="24">AA50-P50</f>
        <v>1.4686103259111571E-2</v>
      </c>
      <c r="AX50" s="303">
        <f t="shared" ref="AX50:AX55" si="25">AU50-P50</f>
        <v>7.4960785961435794E-2</v>
      </c>
    </row>
    <row r="51" spans="1:50" x14ac:dyDescent="0.25">
      <c r="B51" s="258" t="s">
        <v>468</v>
      </c>
      <c r="C51" s="304">
        <f>C16/(C$2-C$3)</f>
        <v>0.1970599631421219</v>
      </c>
      <c r="D51" s="304">
        <f t="shared" si="23"/>
        <v>0.20176245702777151</v>
      </c>
      <c r="E51" s="304">
        <f t="shared" si="23"/>
        <v>0.20639125598493807</v>
      </c>
      <c r="F51" s="304">
        <f t="shared" si="23"/>
        <v>0.20880711239336469</v>
      </c>
      <c r="G51" s="304">
        <f t="shared" si="23"/>
        <v>0.21218072412870306</v>
      </c>
      <c r="H51" s="304">
        <f t="shared" si="23"/>
        <v>0.21441278306119252</v>
      </c>
      <c r="I51" s="304">
        <f t="shared" si="23"/>
        <v>0.22173649519978558</v>
      </c>
      <c r="J51" s="304">
        <f t="shared" si="23"/>
        <v>0.22813189345806981</v>
      </c>
      <c r="K51" s="304">
        <f t="shared" si="23"/>
        <v>0.23264478822532059</v>
      </c>
      <c r="L51" s="304">
        <f t="shared" si="23"/>
        <v>0.24150288922486693</v>
      </c>
      <c r="M51" s="304">
        <f t="shared" si="23"/>
        <v>0.24276769535754644</v>
      </c>
      <c r="N51" s="304">
        <f t="shared" si="23"/>
        <v>0.23970312337210334</v>
      </c>
      <c r="O51" s="304">
        <f t="shared" si="23"/>
        <v>0.23611187679713888</v>
      </c>
      <c r="P51" s="304">
        <f t="shared" si="23"/>
        <v>0.23735694805665986</v>
      </c>
      <c r="Q51" s="304">
        <f t="shared" si="23"/>
        <v>0.23718676775990646</v>
      </c>
      <c r="R51" s="304">
        <f t="shared" si="23"/>
        <v>0.23980017215627925</v>
      </c>
      <c r="S51" s="304">
        <f t="shared" si="23"/>
        <v>0.23866566893367522</v>
      </c>
      <c r="T51" s="304">
        <f t="shared" si="23"/>
        <v>0.23747619346638746</v>
      </c>
      <c r="U51" s="304">
        <f t="shared" si="23"/>
        <v>0.24023941029234205</v>
      </c>
      <c r="V51" s="304">
        <f t="shared" si="23"/>
        <v>0.24262766384424878</v>
      </c>
      <c r="W51" s="304">
        <f t="shared" si="23"/>
        <v>0.24210240699236518</v>
      </c>
      <c r="X51" s="304">
        <f t="shared" si="23"/>
        <v>0.24292602261551233</v>
      </c>
      <c r="Y51" s="304">
        <f t="shared" si="23"/>
        <v>0.24416608381433222</v>
      </c>
      <c r="Z51" s="304">
        <f t="shared" si="23"/>
        <v>0.24588256093016708</v>
      </c>
      <c r="AA51" s="304">
        <f t="shared" si="23"/>
        <v>0.24797633646860343</v>
      </c>
      <c r="AB51" s="304">
        <f t="shared" si="23"/>
        <v>0.24966109994948577</v>
      </c>
      <c r="AC51" s="304">
        <f t="shared" si="23"/>
        <v>0.25371113187531424</v>
      </c>
      <c r="AD51" s="304">
        <f t="shared" si="23"/>
        <v>0.25685676103722216</v>
      </c>
      <c r="AE51" s="304">
        <f t="shared" si="23"/>
        <v>0.25962158628604792</v>
      </c>
      <c r="AF51" s="304">
        <f t="shared" si="23"/>
        <v>0.2645702949484422</v>
      </c>
      <c r="AG51" s="304">
        <f t="shared" si="23"/>
        <v>0.26633641348820319</v>
      </c>
      <c r="AH51" s="304">
        <f t="shared" si="23"/>
        <v>0.26841080198221157</v>
      </c>
      <c r="AI51" s="304">
        <f t="shared" si="23"/>
        <v>0.2706757475606818</v>
      </c>
      <c r="AJ51" s="304">
        <f t="shared" si="23"/>
        <v>0.27304333967979427</v>
      </c>
      <c r="AK51" s="304">
        <f t="shared" si="23"/>
        <v>0.27545188519938918</v>
      </c>
      <c r="AL51" s="304">
        <f t="shared" si="23"/>
        <v>0.27815494092842646</v>
      </c>
      <c r="AM51" s="304">
        <f t="shared" si="23"/>
        <v>0.28052975917272355</v>
      </c>
      <c r="AN51" s="304">
        <f t="shared" si="23"/>
        <v>0.28272281425573131</v>
      </c>
      <c r="AO51" s="304">
        <f t="shared" si="23"/>
        <v>0.28482992720890205</v>
      </c>
      <c r="AP51" s="304">
        <f t="shared" si="23"/>
        <v>0.28737514479445858</v>
      </c>
      <c r="AQ51" s="304">
        <f t="shared" si="23"/>
        <v>0.29008639760641863</v>
      </c>
      <c r="AR51" s="304">
        <f t="shared" si="23"/>
        <v>0.2925502982196776</v>
      </c>
      <c r="AS51" s="304">
        <f t="shared" si="23"/>
        <v>0.29483112926687377</v>
      </c>
      <c r="AT51" s="304">
        <f t="shared" si="23"/>
        <v>0.29699124841477981</v>
      </c>
      <c r="AU51" s="305">
        <f t="shared" si="23"/>
        <v>0.299221483223922</v>
      </c>
      <c r="AW51" s="303">
        <f t="shared" si="24"/>
        <v>1.061938841194357E-2</v>
      </c>
      <c r="AX51" s="303">
        <f t="shared" si="25"/>
        <v>6.1864535167262147E-2</v>
      </c>
    </row>
    <row r="52" spans="1:50" x14ac:dyDescent="0.25">
      <c r="B52" s="261" t="s">
        <v>469</v>
      </c>
      <c r="C52" s="306">
        <f t="shared" ref="C52:AU56" si="26">C17/(C$2-C$3)</f>
        <v>5.6863254489509636E-2</v>
      </c>
      <c r="D52" s="306">
        <f t="shared" si="26"/>
        <v>5.5805279326487385E-2</v>
      </c>
      <c r="E52" s="306">
        <f t="shared" si="26"/>
        <v>5.4656433710909065E-2</v>
      </c>
      <c r="F52" s="306">
        <f t="shared" si="26"/>
        <v>5.4143306306301806E-2</v>
      </c>
      <c r="G52" s="306">
        <f t="shared" si="26"/>
        <v>5.3491016508331844E-2</v>
      </c>
      <c r="H52" s="306">
        <f t="shared" si="26"/>
        <v>5.2852621034917772E-2</v>
      </c>
      <c r="I52" s="306">
        <f t="shared" si="26"/>
        <v>5.1147692831468611E-2</v>
      </c>
      <c r="J52" s="306">
        <f t="shared" si="26"/>
        <v>4.9892585587958511E-2</v>
      </c>
      <c r="K52" s="306">
        <f t="shared" si="26"/>
        <v>4.9071023180618289E-2</v>
      </c>
      <c r="L52" s="306">
        <f t="shared" si="26"/>
        <v>4.7622584351655541E-2</v>
      </c>
      <c r="M52" s="306">
        <f t="shared" si="26"/>
        <v>4.760649515986809E-2</v>
      </c>
      <c r="N52" s="306">
        <f t="shared" si="26"/>
        <v>4.8214016899769445E-2</v>
      </c>
      <c r="O52" s="306">
        <f t="shared" si="26"/>
        <v>4.8689966972431227E-2</v>
      </c>
      <c r="P52" s="306">
        <f t="shared" si="26"/>
        <v>4.8489186856895787E-2</v>
      </c>
      <c r="Q52" s="306">
        <f t="shared" si="26"/>
        <v>0.1360815241302093</v>
      </c>
      <c r="R52" s="306">
        <f t="shared" si="26"/>
        <v>4.7511069492790811E-2</v>
      </c>
      <c r="S52" s="306">
        <f t="shared" si="26"/>
        <v>4.7636843118860309E-2</v>
      </c>
      <c r="T52" s="306">
        <f t="shared" si="26"/>
        <v>4.7803558617868495E-2</v>
      </c>
      <c r="U52" s="306">
        <f t="shared" si="26"/>
        <v>4.8516877390080378E-2</v>
      </c>
      <c r="V52" s="306">
        <f t="shared" si="26"/>
        <v>4.9066067350881148E-2</v>
      </c>
      <c r="W52" s="306">
        <f t="shared" si="26"/>
        <v>4.9042642267915014E-2</v>
      </c>
      <c r="X52" s="306">
        <f t="shared" si="26"/>
        <v>4.9153271536217985E-2</v>
      </c>
      <c r="Y52" s="306">
        <f t="shared" si="26"/>
        <v>4.9412893943047057E-2</v>
      </c>
      <c r="Z52" s="306">
        <f t="shared" si="26"/>
        <v>4.9739485434139412E-2</v>
      </c>
      <c r="AA52" s="306">
        <f t="shared" si="26"/>
        <v>0.14137529932733214</v>
      </c>
      <c r="AB52" s="306">
        <f t="shared" si="26"/>
        <v>5.0360096251989304E-2</v>
      </c>
      <c r="AC52" s="306">
        <f t="shared" si="26"/>
        <v>5.0380855895680303E-2</v>
      </c>
      <c r="AD52" s="306">
        <f t="shared" si="26"/>
        <v>5.0504999920868841E-2</v>
      </c>
      <c r="AE52" s="306">
        <f t="shared" si="26"/>
        <v>5.0668426000020313E-2</v>
      </c>
      <c r="AF52" s="306">
        <f t="shared" si="26"/>
        <v>5.0633313911419058E-2</v>
      </c>
      <c r="AG52" s="306">
        <f t="shared" si="26"/>
        <v>5.0970054244098943E-2</v>
      </c>
      <c r="AH52" s="306">
        <f t="shared" si="26"/>
        <v>5.1227368674197651E-2</v>
      </c>
      <c r="AI52" s="306">
        <f t="shared" si="26"/>
        <v>5.1441628616704073E-2</v>
      </c>
      <c r="AJ52" s="306">
        <f t="shared" si="26"/>
        <v>5.1641331932249256E-2</v>
      </c>
      <c r="AK52" s="306">
        <f t="shared" si="26"/>
        <v>5.1821713241670744E-2</v>
      </c>
      <c r="AL52" s="306">
        <f t="shared" si="26"/>
        <v>5.1997172305806354E-2</v>
      </c>
      <c r="AM52" s="306">
        <f t="shared" si="26"/>
        <v>5.2176259553778685E-2</v>
      </c>
      <c r="AN52" s="306">
        <f t="shared" si="26"/>
        <v>5.2365164231990689E-2</v>
      </c>
      <c r="AO52" s="306">
        <f t="shared" si="26"/>
        <v>5.255542852183618E-2</v>
      </c>
      <c r="AP52" s="306">
        <f t="shared" si="26"/>
        <v>5.2837015133285106E-2</v>
      </c>
      <c r="AQ52" s="306">
        <f t="shared" si="26"/>
        <v>5.3100135410616471E-2</v>
      </c>
      <c r="AR52" s="306">
        <f t="shared" si="26"/>
        <v>5.3357924796738662E-2</v>
      </c>
      <c r="AS52" s="306">
        <f t="shared" si="26"/>
        <v>5.3599984374675606E-2</v>
      </c>
      <c r="AT52" s="306">
        <f t="shared" si="26"/>
        <v>5.3831697311277647E-2</v>
      </c>
      <c r="AU52" s="307">
        <f t="shared" si="26"/>
        <v>0.15053286041685354</v>
      </c>
      <c r="AW52" s="303">
        <f t="shared" si="24"/>
        <v>9.2886112470436349E-2</v>
      </c>
      <c r="AX52" s="303">
        <f t="shared" si="25"/>
        <v>0.10204367355995775</v>
      </c>
    </row>
    <row r="53" spans="1:50" x14ac:dyDescent="0.25">
      <c r="B53" s="258" t="s">
        <v>470</v>
      </c>
      <c r="C53" s="304">
        <f t="shared" si="26"/>
        <v>0.70000000001205542</v>
      </c>
      <c r="D53" s="304">
        <f t="shared" si="26"/>
        <v>0.690999350377278</v>
      </c>
      <c r="E53" s="304">
        <f t="shared" si="26"/>
        <v>0.68297787864017767</v>
      </c>
      <c r="F53" s="304">
        <f t="shared" si="26"/>
        <v>0.67499541573772037</v>
      </c>
      <c r="G53" s="304">
        <f t="shared" si="26"/>
        <v>0.66828496403048077</v>
      </c>
      <c r="H53" s="304">
        <f t="shared" si="26"/>
        <v>0.65907389727800525</v>
      </c>
      <c r="I53" s="304">
        <f t="shared" si="26"/>
        <v>0.64774266763616162</v>
      </c>
      <c r="J53" s="304">
        <f t="shared" si="26"/>
        <v>0.63842150618145355</v>
      </c>
      <c r="K53" s="304">
        <f t="shared" si="26"/>
        <v>0.62985348432999622</v>
      </c>
      <c r="L53" s="304">
        <f t="shared" si="26"/>
        <v>0.62104837518735967</v>
      </c>
      <c r="M53" s="304">
        <f t="shared" si="26"/>
        <v>0.6227129009049116</v>
      </c>
      <c r="N53" s="304">
        <f t="shared" si="26"/>
        <v>0.62501805018084566</v>
      </c>
      <c r="O53" s="304">
        <f t="shared" si="26"/>
        <v>0.62526392330126646</v>
      </c>
      <c r="P53" s="304">
        <f t="shared" si="26"/>
        <v>0.62575652262070303</v>
      </c>
      <c r="Q53" s="304">
        <f t="shared" si="26"/>
        <v>0.62258406151829648</v>
      </c>
      <c r="R53" s="304">
        <f t="shared" si="26"/>
        <v>0.62104579670369708</v>
      </c>
      <c r="S53" s="304">
        <f t="shared" si="26"/>
        <v>0.62093722353899117</v>
      </c>
      <c r="T53" s="304">
        <f t="shared" si="26"/>
        <v>0.62110334888122032</v>
      </c>
      <c r="U53" s="304">
        <f t="shared" si="26"/>
        <v>0.6295927002834929</v>
      </c>
      <c r="V53" s="304">
        <f t="shared" si="26"/>
        <v>0.63637992769859597</v>
      </c>
      <c r="W53" s="304">
        <f t="shared" si="26"/>
        <v>0.63568461549197941</v>
      </c>
      <c r="X53" s="304">
        <f t="shared" si="26"/>
        <v>0.63740407361550633</v>
      </c>
      <c r="Y53" s="304">
        <f t="shared" si="26"/>
        <v>0.64073607570185509</v>
      </c>
      <c r="Z53" s="304">
        <f t="shared" si="26"/>
        <v>0.64507989738946592</v>
      </c>
      <c r="AA53" s="304">
        <f t="shared" si="26"/>
        <v>0.65007272464778654</v>
      </c>
      <c r="AB53" s="304">
        <f t="shared" si="26"/>
        <v>0.65384708231280364</v>
      </c>
      <c r="AC53" s="304">
        <f t="shared" si="26"/>
        <v>0.65801192569513545</v>
      </c>
      <c r="AD53" s="304">
        <f t="shared" si="26"/>
        <v>0.66212511532624285</v>
      </c>
      <c r="AE53" s="304">
        <f t="shared" si="26"/>
        <v>0.66618565391328532</v>
      </c>
      <c r="AF53" s="304">
        <f t="shared" si="26"/>
        <v>0.67075899098369252</v>
      </c>
      <c r="AG53" s="304">
        <f t="shared" si="26"/>
        <v>0.67524691115824587</v>
      </c>
      <c r="AH53" s="304">
        <f t="shared" si="26"/>
        <v>0.67939603466125609</v>
      </c>
      <c r="AI53" s="304">
        <f t="shared" si="26"/>
        <v>0.68337901785210431</v>
      </c>
      <c r="AJ53" s="304">
        <f t="shared" si="26"/>
        <v>0.68734585660390535</v>
      </c>
      <c r="AK53" s="304">
        <f t="shared" si="26"/>
        <v>0.6911972399370514</v>
      </c>
      <c r="AL53" s="304">
        <f t="shared" si="26"/>
        <v>0.69529003030430792</v>
      </c>
      <c r="AM53" s="304">
        <f t="shared" si="26"/>
        <v>0.69909019113969373</v>
      </c>
      <c r="AN53" s="304">
        <f t="shared" si="26"/>
        <v>0.70279132040840064</v>
      </c>
      <c r="AO53" s="304">
        <f t="shared" si="26"/>
        <v>0.70641780747630767</v>
      </c>
      <c r="AP53" s="304">
        <f t="shared" si="26"/>
        <v>0.71121538975974652</v>
      </c>
      <c r="AQ53" s="304">
        <f t="shared" si="26"/>
        <v>0.71602252764477403</v>
      </c>
      <c r="AR53" s="304">
        <f t="shared" si="26"/>
        <v>0.72054446140605566</v>
      </c>
      <c r="AS53" s="304">
        <f t="shared" si="26"/>
        <v>0.72476009810699227</v>
      </c>
      <c r="AT53" s="304">
        <f t="shared" si="26"/>
        <v>0.72877350042541145</v>
      </c>
      <c r="AU53" s="305">
        <f t="shared" si="26"/>
        <v>0.7330841244508054</v>
      </c>
      <c r="AW53" s="303">
        <f t="shared" si="24"/>
        <v>2.4316202027083511E-2</v>
      </c>
      <c r="AX53" s="303">
        <f t="shared" si="25"/>
        <v>0.10732760183010237</v>
      </c>
    </row>
    <row r="54" spans="1:50" x14ac:dyDescent="0.25">
      <c r="B54" s="258" t="s">
        <v>471</v>
      </c>
      <c r="C54" s="304">
        <f t="shared" si="26"/>
        <v>0.64313674466660875</v>
      </c>
      <c r="D54" s="304">
        <f t="shared" si="26"/>
        <v>0.63519510998587503</v>
      </c>
      <c r="E54" s="304">
        <f t="shared" si="26"/>
        <v>0.62832496307141994</v>
      </c>
      <c r="F54" s="304">
        <f t="shared" si="26"/>
        <v>0.62085574517100628</v>
      </c>
      <c r="G54" s="304">
        <f t="shared" si="26"/>
        <v>0.61479767908665839</v>
      </c>
      <c r="H54" s="304">
        <f t="shared" si="26"/>
        <v>0.60622505697702345</v>
      </c>
      <c r="I54" s="304">
        <f t="shared" si="26"/>
        <v>0.59660539709800442</v>
      </c>
      <c r="J54" s="304">
        <f t="shared" si="26"/>
        <v>0.58854211551004099</v>
      </c>
      <c r="K54" s="304">
        <f t="shared" si="26"/>
        <v>0.58079573389711359</v>
      </c>
      <c r="L54" s="304">
        <f t="shared" si="26"/>
        <v>0.57344546513904415</v>
      </c>
      <c r="M54" s="304">
        <f t="shared" si="26"/>
        <v>0.57512636752758717</v>
      </c>
      <c r="N54" s="304">
        <f t="shared" si="26"/>
        <v>0.57682616339395054</v>
      </c>
      <c r="O54" s="304">
        <f t="shared" si="26"/>
        <v>0.57659842564172292</v>
      </c>
      <c r="P54" s="304">
        <f t="shared" si="26"/>
        <v>0.57729246285510794</v>
      </c>
      <c r="Q54" s="304">
        <f t="shared" si="26"/>
        <v>0.57449411779083137</v>
      </c>
      <c r="R54" s="304">
        <f t="shared" si="26"/>
        <v>0.57174863860196334</v>
      </c>
      <c r="S54" s="304">
        <f t="shared" si="26"/>
        <v>0.57094357941923091</v>
      </c>
      <c r="T54" s="304">
        <f t="shared" si="26"/>
        <v>0.57037197025757191</v>
      </c>
      <c r="U54" s="304">
        <f t="shared" si="26"/>
        <v>0.57753020597642402</v>
      </c>
      <c r="V54" s="304">
        <f t="shared" si="26"/>
        <v>0.58314658984888346</v>
      </c>
      <c r="W54" s="304">
        <f t="shared" si="26"/>
        <v>0.58189707782899813</v>
      </c>
      <c r="X54" s="304">
        <f t="shared" si="26"/>
        <v>0.5829098761711996</v>
      </c>
      <c r="Y54" s="304">
        <f t="shared" si="26"/>
        <v>0.58536867505527623</v>
      </c>
      <c r="Z54" s="304">
        <f t="shared" si="26"/>
        <v>0.58875648696795213</v>
      </c>
      <c r="AA54" s="304">
        <f t="shared" si="26"/>
        <v>0.59274465054737357</v>
      </c>
      <c r="AB54" s="304">
        <f t="shared" si="26"/>
        <v>0.5956211932423473</v>
      </c>
      <c r="AC54" s="304">
        <f t="shared" si="26"/>
        <v>0.59911672454649589</v>
      </c>
      <c r="AD54" s="304">
        <f t="shared" si="26"/>
        <v>0.60245018620315249</v>
      </c>
      <c r="AE54" s="304">
        <f t="shared" si="26"/>
        <v>0.60568530384288144</v>
      </c>
      <c r="AF54" s="304">
        <f t="shared" si="26"/>
        <v>0.60961790020650264</v>
      </c>
      <c r="AG54" s="304">
        <f t="shared" si="26"/>
        <v>0.61308538253505451</v>
      </c>
      <c r="AH54" s="304">
        <f t="shared" si="26"/>
        <v>0.61629185728505131</v>
      </c>
      <c r="AI54" s="304">
        <f t="shared" si="26"/>
        <v>0.61937134910646841</v>
      </c>
      <c r="AJ54" s="304">
        <f t="shared" si="26"/>
        <v>0.62244289033452505</v>
      </c>
      <c r="AK54" s="304">
        <f t="shared" si="26"/>
        <v>0.62541398111138435</v>
      </c>
      <c r="AL54" s="304">
        <f t="shared" si="26"/>
        <v>0.62861988720706963</v>
      </c>
      <c r="AM54" s="304">
        <f t="shared" si="26"/>
        <v>0.63152903415245276</v>
      </c>
      <c r="AN54" s="304">
        <f t="shared" si="26"/>
        <v>0.63432524414417935</v>
      </c>
      <c r="AO54" s="304">
        <f t="shared" si="26"/>
        <v>0.6370410902938185</v>
      </c>
      <c r="AP54" s="304">
        <f t="shared" si="26"/>
        <v>0.64080178136852117</v>
      </c>
      <c r="AQ54" s="304">
        <f t="shared" si="26"/>
        <v>0.64458218346501339</v>
      </c>
      <c r="AR54" s="304">
        <f t="shared" si="26"/>
        <v>0.64808215753086329</v>
      </c>
      <c r="AS54" s="304">
        <f t="shared" si="26"/>
        <v>0.65129239357368962</v>
      </c>
      <c r="AT54" s="304">
        <f t="shared" si="26"/>
        <v>0.6543094701104788</v>
      </c>
      <c r="AU54" s="305">
        <f t="shared" si="26"/>
        <v>0.65758033591927323</v>
      </c>
      <c r="AW54" s="303">
        <f t="shared" si="24"/>
        <v>1.545218769226564E-2</v>
      </c>
      <c r="AX54" s="303">
        <f t="shared" si="25"/>
        <v>8.0287873064165294E-2</v>
      </c>
    </row>
    <row r="55" spans="1:50" x14ac:dyDescent="0.25">
      <c r="B55" s="261" t="s">
        <v>472</v>
      </c>
      <c r="C55" s="306">
        <f t="shared" si="26"/>
        <v>0.10294003529066954</v>
      </c>
      <c r="D55" s="306">
        <f t="shared" si="26"/>
        <v>0.10724877979027327</v>
      </c>
      <c r="E55" s="306">
        <f t="shared" si="26"/>
        <v>0.11064431706949063</v>
      </c>
      <c r="F55" s="306">
        <f t="shared" si="26"/>
        <v>0.11626452972097492</v>
      </c>
      <c r="G55" s="306">
        <f t="shared" si="26"/>
        <v>0.11960855419489243</v>
      </c>
      <c r="H55" s="306">
        <f t="shared" si="26"/>
        <v>0.12667664697080269</v>
      </c>
      <c r="I55" s="306">
        <f t="shared" si="26"/>
        <v>0.13068982952966138</v>
      </c>
      <c r="J55" s="306">
        <f t="shared" si="26"/>
        <v>0.13362171738584169</v>
      </c>
      <c r="K55" s="306">
        <f t="shared" si="26"/>
        <v>0.13768563766064001</v>
      </c>
      <c r="L55" s="306">
        <f t="shared" si="26"/>
        <v>0.13769835009993434</v>
      </c>
      <c r="M55" s="306">
        <f t="shared" si="26"/>
        <v>0.1347985233296565</v>
      </c>
      <c r="N55" s="306">
        <f t="shared" si="26"/>
        <v>0.1355708760077296</v>
      </c>
      <c r="O55" s="306">
        <f t="shared" si="26"/>
        <v>0.13898544309262068</v>
      </c>
      <c r="P55" s="306">
        <f t="shared" si="26"/>
        <v>0.13726103138131707</v>
      </c>
      <c r="Q55" s="306">
        <f t="shared" si="26"/>
        <v>4.8115128387484815E-2</v>
      </c>
      <c r="R55" s="306">
        <f t="shared" si="26"/>
        <v>0.13444987503838909</v>
      </c>
      <c r="S55" s="306">
        <f t="shared" si="26"/>
        <v>0.13477938335667292</v>
      </c>
      <c r="T55" s="306">
        <f t="shared" si="26"/>
        <v>0.13521947846723206</v>
      </c>
      <c r="U55" s="306">
        <f t="shared" si="26"/>
        <v>0.1371988990631291</v>
      </c>
      <c r="V55" s="306">
        <f t="shared" si="26"/>
        <v>0.13872429193588515</v>
      </c>
      <c r="W55" s="306">
        <f t="shared" si="26"/>
        <v>0.13860748643012985</v>
      </c>
      <c r="X55" s="306">
        <f t="shared" si="26"/>
        <v>0.13885562275076732</v>
      </c>
      <c r="Y55" s="306">
        <f t="shared" si="26"/>
        <v>0.13953715651913162</v>
      </c>
      <c r="Z55" s="306">
        <f t="shared" si="26"/>
        <v>0.14040924183740591</v>
      </c>
      <c r="AA55" s="306">
        <f t="shared" si="26"/>
        <v>5.0100155806700103E-2</v>
      </c>
      <c r="AB55" s="306">
        <f t="shared" si="26"/>
        <v>0.14205451518972084</v>
      </c>
      <c r="AC55" s="306">
        <f t="shared" si="26"/>
        <v>0.14199844103690376</v>
      </c>
      <c r="AD55" s="306">
        <f t="shared" si="26"/>
        <v>0.14225773691255905</v>
      </c>
      <c r="AE55" s="306">
        <f t="shared" si="26"/>
        <v>0.14263520830688528</v>
      </c>
      <c r="AF55" s="306">
        <f t="shared" si="26"/>
        <v>0.1423660834629159</v>
      </c>
      <c r="AG55" s="306">
        <f t="shared" si="26"/>
        <v>0.14327291688929891</v>
      </c>
      <c r="AH55" s="306">
        <f t="shared" si="26"/>
        <v>0.14392264768449187</v>
      </c>
      <c r="AI55" s="306">
        <f t="shared" si="26"/>
        <v>0.14442895368566763</v>
      </c>
      <c r="AJ55" s="306">
        <f t="shared" si="26"/>
        <v>0.14488049374929937</v>
      </c>
      <c r="AK55" s="306">
        <f t="shared" si="26"/>
        <v>0.14526996317496463</v>
      </c>
      <c r="AL55" s="306">
        <f t="shared" si="26"/>
        <v>0.14563495010533553</v>
      </c>
      <c r="AM55" s="306">
        <f t="shared" si="26"/>
        <v>0.14601804411603805</v>
      </c>
      <c r="AN55" s="306">
        <f t="shared" si="26"/>
        <v>0.14643789865632084</v>
      </c>
      <c r="AO55" s="306">
        <f t="shared" si="26"/>
        <v>0.14686552068719239</v>
      </c>
      <c r="AP55" s="306">
        <f t="shared" si="26"/>
        <v>0.14754981592282113</v>
      </c>
      <c r="AQ55" s="306">
        <f t="shared" si="26"/>
        <v>0.14817060570365193</v>
      </c>
      <c r="AR55" s="306">
        <f t="shared" si="26"/>
        <v>0.14878575188896362</v>
      </c>
      <c r="AS55" s="306">
        <f t="shared" si="26"/>
        <v>0.14935985294019954</v>
      </c>
      <c r="AT55" s="306">
        <f t="shared" si="26"/>
        <v>0.14990640017508799</v>
      </c>
      <c r="AU55" s="307">
        <f t="shared" si="26"/>
        <v>5.4091542355343247E-2</v>
      </c>
      <c r="AW55" s="303">
        <f t="shared" si="24"/>
        <v>-8.7160875574616964E-2</v>
      </c>
      <c r="AX55" s="303">
        <f t="shared" si="25"/>
        <v>-8.316948902597382E-2</v>
      </c>
    </row>
    <row r="56" spans="1:50" x14ac:dyDescent="0.25">
      <c r="B56" s="249" t="s">
        <v>473</v>
      </c>
      <c r="C56" s="308">
        <f t="shared" si="26"/>
        <v>0.84019670780873068</v>
      </c>
      <c r="D56" s="308">
        <f t="shared" si="26"/>
        <v>0.83695756701364654</v>
      </c>
      <c r="E56" s="308">
        <f t="shared" si="26"/>
        <v>0.83471621905635807</v>
      </c>
      <c r="F56" s="308">
        <f t="shared" si="26"/>
        <v>0.82966285756437086</v>
      </c>
      <c r="G56" s="308">
        <f t="shared" si="26"/>
        <v>0.82697840321536142</v>
      </c>
      <c r="H56" s="308">
        <f t="shared" si="26"/>
        <v>0.82063784003821594</v>
      </c>
      <c r="I56" s="308">
        <f t="shared" si="26"/>
        <v>0.81834189229779009</v>
      </c>
      <c r="J56" s="308">
        <f t="shared" si="26"/>
        <v>0.81667400896811082</v>
      </c>
      <c r="K56" s="308">
        <f t="shared" si="26"/>
        <v>0.81344052212243412</v>
      </c>
      <c r="L56" s="308">
        <f t="shared" si="26"/>
        <v>0.81494835436391111</v>
      </c>
      <c r="M56" s="308">
        <f t="shared" si="26"/>
        <v>0.81789406288513355</v>
      </c>
      <c r="N56" s="308">
        <f t="shared" si="26"/>
        <v>0.81652928676605396</v>
      </c>
      <c r="O56" s="308">
        <f t="shared" si="26"/>
        <v>0.81271030243886178</v>
      </c>
      <c r="P56" s="308">
        <f t="shared" si="26"/>
        <v>0.81464941091176779</v>
      </c>
      <c r="Q56" s="308">
        <f t="shared" si="26"/>
        <v>0.81168088555073781</v>
      </c>
      <c r="R56" s="308">
        <f t="shared" si="26"/>
        <v>0.81154881075824259</v>
      </c>
      <c r="S56" s="308">
        <f t="shared" si="26"/>
        <v>0.80960924835290615</v>
      </c>
      <c r="T56" s="308">
        <f t="shared" si="26"/>
        <v>0.8078481637239594</v>
      </c>
      <c r="U56" s="308">
        <f t="shared" si="26"/>
        <v>0.81776961626876599</v>
      </c>
      <c r="V56" s="308">
        <f t="shared" si="26"/>
        <v>0.82577425369313229</v>
      </c>
      <c r="W56" s="308">
        <f t="shared" si="26"/>
        <v>0.82399948482136331</v>
      </c>
      <c r="X56" s="308">
        <f t="shared" si="26"/>
        <v>0.82583589878671193</v>
      </c>
      <c r="Y56" s="308">
        <f t="shared" si="26"/>
        <v>0.82953475886960848</v>
      </c>
      <c r="Z56" s="308">
        <f t="shared" si="26"/>
        <v>0.83463904789811927</v>
      </c>
      <c r="AA56" s="308">
        <f t="shared" si="26"/>
        <v>0.84072098701597697</v>
      </c>
      <c r="AB56" s="308">
        <f t="shared" si="26"/>
        <v>0.84528229319183301</v>
      </c>
      <c r="AC56" s="308">
        <f t="shared" si="26"/>
        <v>0.85282785642181014</v>
      </c>
      <c r="AD56" s="308">
        <f t="shared" si="26"/>
        <v>0.8593069472403746</v>
      </c>
      <c r="AE56" s="308">
        <f t="shared" si="26"/>
        <v>0.86530689012892936</v>
      </c>
      <c r="AF56" s="308">
        <f t="shared" si="26"/>
        <v>0.87418819515494484</v>
      </c>
      <c r="AG56" s="308">
        <f t="shared" si="26"/>
        <v>0.87942179602325776</v>
      </c>
      <c r="AH56" s="308">
        <f t="shared" si="26"/>
        <v>0.88470265926726288</v>
      </c>
      <c r="AI56" s="308">
        <f t="shared" si="26"/>
        <v>0.89004709666715021</v>
      </c>
      <c r="AJ56" s="308">
        <f t="shared" si="26"/>
        <v>0.89548623001431937</v>
      </c>
      <c r="AK56" s="308">
        <f t="shared" si="26"/>
        <v>0.90086586631077359</v>
      </c>
      <c r="AL56" s="308">
        <f t="shared" si="26"/>
        <v>0.90677482813549604</v>
      </c>
      <c r="AM56" s="308">
        <f t="shared" si="26"/>
        <v>0.91205879332517636</v>
      </c>
      <c r="AN56" s="308">
        <f t="shared" si="26"/>
        <v>0.91704805839991066</v>
      </c>
      <c r="AO56" s="308">
        <f t="shared" si="26"/>
        <v>0.9218710175027206</v>
      </c>
      <c r="AP56" s="308">
        <f t="shared" si="26"/>
        <v>0.92817692616297987</v>
      </c>
      <c r="AQ56" s="308">
        <f t="shared" si="26"/>
        <v>0.93466858107143203</v>
      </c>
      <c r="AR56" s="308">
        <f t="shared" si="26"/>
        <v>0.940632455750541</v>
      </c>
      <c r="AS56" s="308">
        <f t="shared" si="26"/>
        <v>0.94612352284056334</v>
      </c>
      <c r="AT56" s="308">
        <f t="shared" si="26"/>
        <v>0.95130071852525855</v>
      </c>
      <c r="AU56" s="309">
        <f t="shared" si="26"/>
        <v>0.95680181914319529</v>
      </c>
      <c r="AW56" s="310">
        <f>AA56-P56</f>
        <v>2.6071576104209182E-2</v>
      </c>
      <c r="AX56" s="310">
        <f>AU56-P56</f>
        <v>0.1421524082314275</v>
      </c>
    </row>
    <row r="57" spans="1:50" x14ac:dyDescent="0.25"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W57" s="253"/>
    </row>
    <row r="58" spans="1:50" s="244" customFormat="1" ht="45" customHeight="1" x14ac:dyDescent="0.25">
      <c r="A58" s="239" t="str">
        <f>"Ecarts "&amp;[5]Résultats!B1&amp;"  - TEND"</f>
        <v>Ecarts SNBC3  - TEND</v>
      </c>
      <c r="B58" s="266" t="s">
        <v>501</v>
      </c>
      <c r="C58" s="242">
        <v>2006</v>
      </c>
      <c r="D58" s="242">
        <v>2007</v>
      </c>
      <c r="E58" s="242">
        <v>2008</v>
      </c>
      <c r="F58" s="242">
        <v>2009</v>
      </c>
      <c r="G58" s="242">
        <v>2010</v>
      </c>
      <c r="H58" s="242">
        <v>2011</v>
      </c>
      <c r="I58" s="242">
        <v>2012</v>
      </c>
      <c r="J58" s="242">
        <v>2013</v>
      </c>
      <c r="K58" s="242">
        <v>2014</v>
      </c>
      <c r="L58" s="242">
        <v>2015</v>
      </c>
      <c r="M58" s="242">
        <v>2016</v>
      </c>
      <c r="N58" s="242">
        <v>2017</v>
      </c>
      <c r="O58" s="242">
        <v>2018</v>
      </c>
      <c r="P58" s="242">
        <v>2019</v>
      </c>
      <c r="Q58" s="242">
        <v>2020</v>
      </c>
      <c r="R58" s="242">
        <v>2021</v>
      </c>
      <c r="S58" s="242">
        <v>2022</v>
      </c>
      <c r="T58" s="242">
        <v>2023</v>
      </c>
      <c r="U58" s="242">
        <v>2024</v>
      </c>
      <c r="V58" s="242">
        <v>2025</v>
      </c>
      <c r="W58" s="242">
        <v>2026</v>
      </c>
      <c r="X58" s="242">
        <v>2027</v>
      </c>
      <c r="Y58" s="242">
        <v>2028</v>
      </c>
      <c r="Z58" s="242">
        <v>2029</v>
      </c>
      <c r="AA58" s="242">
        <v>2030</v>
      </c>
      <c r="AB58" s="242">
        <v>2031</v>
      </c>
      <c r="AC58" s="242">
        <v>2032</v>
      </c>
      <c r="AD58" s="242">
        <v>2033</v>
      </c>
      <c r="AE58" s="242">
        <v>2034</v>
      </c>
      <c r="AF58" s="242">
        <v>2035</v>
      </c>
      <c r="AG58" s="242">
        <v>2036</v>
      </c>
      <c r="AH58" s="242">
        <v>2037</v>
      </c>
      <c r="AI58" s="242">
        <v>2038</v>
      </c>
      <c r="AJ58" s="242">
        <v>2039</v>
      </c>
      <c r="AK58" s="242">
        <v>2040</v>
      </c>
      <c r="AL58" s="242">
        <v>2041</v>
      </c>
      <c r="AM58" s="242">
        <v>2042</v>
      </c>
      <c r="AN58" s="242">
        <v>2043</v>
      </c>
      <c r="AO58" s="242">
        <v>2044</v>
      </c>
      <c r="AP58" s="242">
        <v>2045</v>
      </c>
      <c r="AQ58" s="242">
        <v>2046</v>
      </c>
      <c r="AR58" s="242">
        <v>2047</v>
      </c>
      <c r="AS58" s="242">
        <v>2048</v>
      </c>
      <c r="AT58" s="242">
        <v>2049</v>
      </c>
      <c r="AU58" s="243">
        <v>2050</v>
      </c>
      <c r="AV58" s="267"/>
    </row>
    <row r="59" spans="1:50" x14ac:dyDescent="0.25">
      <c r="B59" s="245" t="s">
        <v>1</v>
      </c>
      <c r="C59" s="311"/>
      <c r="D59" s="311"/>
      <c r="E59" s="311"/>
      <c r="F59" s="311"/>
      <c r="G59" s="311"/>
      <c r="H59" s="311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  <c r="AQ59" s="311"/>
      <c r="AR59" s="311"/>
      <c r="AS59" s="311"/>
      <c r="AT59" s="311"/>
      <c r="AU59" s="311"/>
      <c r="AV59" s="268"/>
    </row>
    <row r="60" spans="1:50" x14ac:dyDescent="0.25">
      <c r="B60" s="249" t="s">
        <v>466</v>
      </c>
      <c r="C60" s="308"/>
      <c r="D60" s="308"/>
      <c r="E60" s="308"/>
      <c r="F60" s="308"/>
      <c r="G60" s="308"/>
      <c r="H60" s="308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  <c r="V60" s="308"/>
      <c r="W60" s="308"/>
      <c r="X60" s="308"/>
      <c r="Y60" s="308"/>
      <c r="Z60" s="308"/>
      <c r="AA60" s="308"/>
      <c r="AB60" s="308"/>
      <c r="AC60" s="308"/>
      <c r="AD60" s="308"/>
      <c r="AE60" s="308"/>
      <c r="AF60" s="308"/>
      <c r="AG60" s="308"/>
      <c r="AH60" s="308"/>
      <c r="AI60" s="308"/>
      <c r="AJ60" s="308"/>
      <c r="AK60" s="308"/>
      <c r="AL60" s="308"/>
      <c r="AM60" s="308"/>
      <c r="AN60" s="308"/>
      <c r="AO60" s="308"/>
      <c r="AP60" s="308"/>
      <c r="AQ60" s="308"/>
      <c r="AR60" s="308"/>
      <c r="AS60" s="308"/>
      <c r="AT60" s="308"/>
      <c r="AU60" s="308"/>
      <c r="AV60" s="268"/>
    </row>
    <row r="61" spans="1:50" x14ac:dyDescent="0.25">
      <c r="B61" s="254" t="s">
        <v>467</v>
      </c>
      <c r="C61" s="301">
        <f t="shared" ref="C61:AU66" si="27">C39-C50</f>
        <v>0</v>
      </c>
      <c r="D61" s="301">
        <f t="shared" si="27"/>
        <v>0</v>
      </c>
      <c r="E61" s="301">
        <f t="shared" si="27"/>
        <v>0</v>
      </c>
      <c r="F61" s="301">
        <f t="shared" si="27"/>
        <v>0</v>
      </c>
      <c r="G61" s="301">
        <f t="shared" si="27"/>
        <v>0</v>
      </c>
      <c r="H61" s="301">
        <f t="shared" si="27"/>
        <v>0</v>
      </c>
      <c r="I61" s="301">
        <f t="shared" si="27"/>
        <v>0</v>
      </c>
      <c r="J61" s="301">
        <f t="shared" si="27"/>
        <v>0</v>
      </c>
      <c r="K61" s="301">
        <f t="shared" si="27"/>
        <v>0</v>
      </c>
      <c r="L61" s="301">
        <f t="shared" si="27"/>
        <v>0</v>
      </c>
      <c r="M61" s="301">
        <f t="shared" si="27"/>
        <v>0</v>
      </c>
      <c r="N61" s="301">
        <f t="shared" si="27"/>
        <v>0</v>
      </c>
      <c r="O61" s="301">
        <f t="shared" si="27"/>
        <v>0</v>
      </c>
      <c r="P61" s="301">
        <f t="shared" si="27"/>
        <v>0</v>
      </c>
      <c r="Q61" s="301">
        <f t="shared" si="27"/>
        <v>3.5504201039404659E-3</v>
      </c>
      <c r="R61" s="301">
        <f t="shared" si="27"/>
        <v>-8.0203920036734377E-2</v>
      </c>
      <c r="S61" s="301">
        <f t="shared" si="27"/>
        <v>-7.8903148688362901E-2</v>
      </c>
      <c r="T61" s="301">
        <f t="shared" si="27"/>
        <v>-7.8092403809723265E-2</v>
      </c>
      <c r="U61" s="301">
        <f t="shared" si="27"/>
        <v>-9.3270166075085315E-2</v>
      </c>
      <c r="V61" s="301">
        <f t="shared" si="27"/>
        <v>-0.10528078173704042</v>
      </c>
      <c r="W61" s="301">
        <f t="shared" si="27"/>
        <v>-0.10094961788948109</v>
      </c>
      <c r="X61" s="301">
        <f t="shared" si="27"/>
        <v>-0.10030844689595292</v>
      </c>
      <c r="Y61" s="301">
        <f t="shared" si="27"/>
        <v>-0.1016717672061575</v>
      </c>
      <c r="Z61" s="301">
        <f t="shared" si="27"/>
        <v>-0.10450207339832396</v>
      </c>
      <c r="AA61" s="301">
        <f t="shared" si="27"/>
        <v>7.9089040854549708E-3</v>
      </c>
      <c r="AB61" s="301">
        <f t="shared" si="27"/>
        <v>-0.11046450214368009</v>
      </c>
      <c r="AC61" s="301">
        <f t="shared" si="27"/>
        <v>-0.11450802169293128</v>
      </c>
      <c r="AD61" s="301">
        <f t="shared" si="27"/>
        <v>-0.11789145200921014</v>
      </c>
      <c r="AE61" s="301">
        <f t="shared" si="27"/>
        <v>-0.1209998297143785</v>
      </c>
      <c r="AF61" s="301">
        <f t="shared" si="27"/>
        <v>-0.12559387802638872</v>
      </c>
      <c r="AG61" s="301">
        <f t="shared" si="27"/>
        <v>-0.12890190830316839</v>
      </c>
      <c r="AH61" s="301">
        <f t="shared" si="27"/>
        <v>-0.13209348471848481</v>
      </c>
      <c r="AI61" s="301">
        <f t="shared" si="27"/>
        <v>-0.13513558641575313</v>
      </c>
      <c r="AJ61" s="301">
        <f t="shared" si="27"/>
        <v>-0.13811560188718841</v>
      </c>
      <c r="AK61" s="301">
        <f t="shared" si="27"/>
        <v>-0.14112907744102321</v>
      </c>
      <c r="AL61" s="301">
        <f t="shared" si="27"/>
        <v>-0.14430749364152545</v>
      </c>
      <c r="AM61" s="301">
        <f t="shared" si="27"/>
        <v>-0.14728847985215404</v>
      </c>
      <c r="AN61" s="301">
        <f t="shared" si="27"/>
        <v>-0.15013332833681664</v>
      </c>
      <c r="AO61" s="301">
        <f t="shared" si="27"/>
        <v>-0.15290370344980325</v>
      </c>
      <c r="AP61" s="301">
        <f t="shared" si="27"/>
        <v>-0.15736120406075965</v>
      </c>
      <c r="AQ61" s="301">
        <f t="shared" si="27"/>
        <v>-0.16157040969553355</v>
      </c>
      <c r="AR61" s="301">
        <f t="shared" si="27"/>
        <v>-0.16543240533157844</v>
      </c>
      <c r="AS61" s="301">
        <f t="shared" si="27"/>
        <v>-0.16909638132762789</v>
      </c>
      <c r="AT61" s="301">
        <f t="shared" si="27"/>
        <v>-0.17259679327678989</v>
      </c>
      <c r="AU61" s="302">
        <f t="shared" si="27"/>
        <v>6.9837261237799542E-3</v>
      </c>
      <c r="AV61" s="268"/>
    </row>
    <row r="62" spans="1:50" x14ac:dyDescent="0.25">
      <c r="B62" s="258" t="s">
        <v>468</v>
      </c>
      <c r="C62" s="304">
        <f t="shared" si="27"/>
        <v>0</v>
      </c>
      <c r="D62" s="304">
        <f t="shared" si="27"/>
        <v>0</v>
      </c>
      <c r="E62" s="304">
        <f t="shared" si="27"/>
        <v>0</v>
      </c>
      <c r="F62" s="304">
        <f t="shared" si="27"/>
        <v>0</v>
      </c>
      <c r="G62" s="304">
        <f t="shared" si="27"/>
        <v>0</v>
      </c>
      <c r="H62" s="304">
        <f t="shared" si="27"/>
        <v>0</v>
      </c>
      <c r="I62" s="304">
        <f t="shared" si="27"/>
        <v>0</v>
      </c>
      <c r="J62" s="304">
        <f t="shared" si="27"/>
        <v>0</v>
      </c>
      <c r="K62" s="304">
        <f t="shared" si="27"/>
        <v>0</v>
      </c>
      <c r="L62" s="304">
        <f t="shared" si="27"/>
        <v>0</v>
      </c>
      <c r="M62" s="304">
        <f t="shared" si="27"/>
        <v>0</v>
      </c>
      <c r="N62" s="304">
        <f t="shared" si="27"/>
        <v>0</v>
      </c>
      <c r="O62" s="304">
        <f t="shared" si="27"/>
        <v>0</v>
      </c>
      <c r="P62" s="304">
        <f t="shared" si="27"/>
        <v>0</v>
      </c>
      <c r="Q62" s="304">
        <f t="shared" si="27"/>
        <v>4.3658417783568049E-3</v>
      </c>
      <c r="R62" s="304">
        <f t="shared" si="27"/>
        <v>6.9854041224048091E-3</v>
      </c>
      <c r="S62" s="304">
        <f t="shared" si="27"/>
        <v>8.6528194066146924E-3</v>
      </c>
      <c r="T62" s="304">
        <f t="shared" si="27"/>
        <v>9.8445872035127224E-3</v>
      </c>
      <c r="U62" s="304">
        <f t="shared" si="27"/>
        <v>-6.6763899285013917E-3</v>
      </c>
      <c r="V62" s="304">
        <f t="shared" si="27"/>
        <v>-1.9969575090166142E-2</v>
      </c>
      <c r="W62" s="304">
        <f t="shared" si="27"/>
        <v>-1.5734189423667749E-2</v>
      </c>
      <c r="X62" s="304">
        <f t="shared" si="27"/>
        <v>-1.5275308229567464E-2</v>
      </c>
      <c r="Y62" s="304">
        <f t="shared" si="27"/>
        <v>-1.6638637284270591E-2</v>
      </c>
      <c r="Z62" s="304">
        <f t="shared" si="27"/>
        <v>-1.9447675028498174E-2</v>
      </c>
      <c r="AA62" s="304">
        <f t="shared" si="27"/>
        <v>-2.3115418730888543E-2</v>
      </c>
      <c r="AB62" s="304">
        <f t="shared" si="27"/>
        <v>-2.510629413465576E-2</v>
      </c>
      <c r="AC62" s="304">
        <f t="shared" si="27"/>
        <v>-2.9641482134855152E-2</v>
      </c>
      <c r="AD62" s="304">
        <f t="shared" si="27"/>
        <v>-3.3150745977696433E-2</v>
      </c>
      <c r="AE62" s="304">
        <f t="shared" si="27"/>
        <v>-3.6249191362114824E-2</v>
      </c>
      <c r="AF62" s="304">
        <f t="shared" si="27"/>
        <v>-4.1478832862530013E-2</v>
      </c>
      <c r="AG62" s="304">
        <f t="shared" si="27"/>
        <v>-4.4422321719310154E-2</v>
      </c>
      <c r="AH62" s="304">
        <f t="shared" si="27"/>
        <v>-4.7451622776911784E-2</v>
      </c>
      <c r="AI62" s="304">
        <f t="shared" si="27"/>
        <v>-5.0412476313130561E-2</v>
      </c>
      <c r="AJ62" s="304">
        <f t="shared" si="27"/>
        <v>-5.3322282194106951E-2</v>
      </c>
      <c r="AK62" s="304">
        <f t="shared" si="27"/>
        <v>-5.6328317788882892E-2</v>
      </c>
      <c r="AL62" s="304">
        <f t="shared" si="27"/>
        <v>-5.9508863428114844E-2</v>
      </c>
      <c r="AM62" s="304">
        <f t="shared" si="27"/>
        <v>-6.2496209844492001E-2</v>
      </c>
      <c r="AN62" s="304">
        <f t="shared" si="27"/>
        <v>-6.5305706638337124E-2</v>
      </c>
      <c r="AO62" s="304">
        <f t="shared" si="27"/>
        <v>-6.8021074605088078E-2</v>
      </c>
      <c r="AP62" s="304">
        <f t="shared" si="27"/>
        <v>-7.2413843748791229E-2</v>
      </c>
      <c r="AQ62" s="304">
        <f t="shared" si="27"/>
        <v>-7.6497147531623955E-2</v>
      </c>
      <c r="AR62" s="304">
        <f t="shared" si="27"/>
        <v>-8.0212654806361389E-2</v>
      </c>
      <c r="AS62" s="304">
        <f t="shared" si="27"/>
        <v>-8.3774071948129109E-2</v>
      </c>
      <c r="AT62" s="304">
        <f t="shared" si="27"/>
        <v>-8.7177961975575646E-2</v>
      </c>
      <c r="AU62" s="305">
        <f t="shared" si="27"/>
        <v>-8.9995123237564589E-2</v>
      </c>
      <c r="AV62" s="268"/>
    </row>
    <row r="63" spans="1:50" x14ac:dyDescent="0.25">
      <c r="B63" s="261" t="s">
        <v>469</v>
      </c>
      <c r="C63" s="306">
        <f t="shared" si="27"/>
        <v>0</v>
      </c>
      <c r="D63" s="306">
        <f t="shared" si="27"/>
        <v>0</v>
      </c>
      <c r="E63" s="306">
        <f t="shared" si="27"/>
        <v>0</v>
      </c>
      <c r="F63" s="306">
        <f t="shared" si="27"/>
        <v>0</v>
      </c>
      <c r="G63" s="306">
        <f t="shared" si="27"/>
        <v>0</v>
      </c>
      <c r="H63" s="306">
        <f t="shared" si="27"/>
        <v>0</v>
      </c>
      <c r="I63" s="306">
        <f t="shared" si="27"/>
        <v>0</v>
      </c>
      <c r="J63" s="306">
        <f t="shared" si="27"/>
        <v>0</v>
      </c>
      <c r="K63" s="306">
        <f t="shared" si="27"/>
        <v>0</v>
      </c>
      <c r="L63" s="306">
        <f t="shared" si="27"/>
        <v>0</v>
      </c>
      <c r="M63" s="306">
        <f t="shared" si="27"/>
        <v>0</v>
      </c>
      <c r="N63" s="306">
        <f t="shared" si="27"/>
        <v>0</v>
      </c>
      <c r="O63" s="306">
        <f t="shared" si="27"/>
        <v>0</v>
      </c>
      <c r="P63" s="306">
        <f t="shared" si="27"/>
        <v>0</v>
      </c>
      <c r="Q63" s="306">
        <f t="shared" si="27"/>
        <v>-1.1912825243243219E-3</v>
      </c>
      <c r="R63" s="306">
        <f t="shared" si="27"/>
        <v>-6.5026921668003695E-4</v>
      </c>
      <c r="S63" s="306">
        <f t="shared" si="27"/>
        <v>-8.1453949011994764E-4</v>
      </c>
      <c r="T63" s="306">
        <f t="shared" si="27"/>
        <v>-9.2430665232021841E-4</v>
      </c>
      <c r="U63" s="306">
        <f t="shared" si="27"/>
        <v>1.6794958408424335E-3</v>
      </c>
      <c r="V63" s="306">
        <f t="shared" si="27"/>
        <v>3.9339702146555869E-3</v>
      </c>
      <c r="W63" s="306">
        <f t="shared" si="27"/>
        <v>3.9369861357925751E-3</v>
      </c>
      <c r="X63" s="306">
        <f t="shared" si="27"/>
        <v>4.255507863000399E-3</v>
      </c>
      <c r="Y63" s="306">
        <f t="shared" si="27"/>
        <v>4.6753438641216269E-3</v>
      </c>
      <c r="Z63" s="306">
        <f t="shared" si="27"/>
        <v>5.1967373177451634E-3</v>
      </c>
      <c r="AA63" s="306">
        <f t="shared" si="27"/>
        <v>3.0602267658816545E-2</v>
      </c>
      <c r="AB63" s="306">
        <f t="shared" si="27"/>
        <v>5.9114161721124311E-3</v>
      </c>
      <c r="AC63" s="306">
        <f t="shared" si="27"/>
        <v>6.309521860880532E-3</v>
      </c>
      <c r="AD63" s="306">
        <f t="shared" si="27"/>
        <v>6.5616588125476383E-3</v>
      </c>
      <c r="AE63" s="306">
        <f t="shared" si="27"/>
        <v>6.7592370529219528E-3</v>
      </c>
      <c r="AF63" s="306">
        <f t="shared" si="27"/>
        <v>7.1354774440126612E-3</v>
      </c>
      <c r="AG63" s="306">
        <f t="shared" si="27"/>
        <v>7.3378572043032511E-3</v>
      </c>
      <c r="AH63" s="306">
        <f t="shared" si="27"/>
        <v>7.5642803022284363E-3</v>
      </c>
      <c r="AI63" s="306">
        <f t="shared" si="27"/>
        <v>7.7706644230249589E-3</v>
      </c>
      <c r="AJ63" s="306">
        <f t="shared" si="27"/>
        <v>7.947461789387808E-3</v>
      </c>
      <c r="AK63" s="306">
        <f t="shared" si="27"/>
        <v>8.1440050400546499E-3</v>
      </c>
      <c r="AL63" s="306">
        <f t="shared" si="27"/>
        <v>8.3294735712672527E-3</v>
      </c>
      <c r="AM63" s="306">
        <f t="shared" si="27"/>
        <v>8.5348667320429006E-3</v>
      </c>
      <c r="AN63" s="306">
        <f t="shared" si="27"/>
        <v>8.7261468017043181E-3</v>
      </c>
      <c r="AO63" s="306">
        <f t="shared" si="27"/>
        <v>8.9044473116648981E-3</v>
      </c>
      <c r="AP63" s="306">
        <f t="shared" si="27"/>
        <v>9.2376324199346591E-3</v>
      </c>
      <c r="AQ63" s="306">
        <f t="shared" si="27"/>
        <v>9.4640348446549186E-3</v>
      </c>
      <c r="AR63" s="306">
        <f t="shared" si="27"/>
        <v>9.6702395133631686E-3</v>
      </c>
      <c r="AS63" s="306">
        <f t="shared" si="27"/>
        <v>9.8954834538670031E-3</v>
      </c>
      <c r="AT63" s="306">
        <f t="shared" si="27"/>
        <v>1.0109830366629567E-2</v>
      </c>
      <c r="AU63" s="307">
        <f t="shared" si="27"/>
        <v>9.6428769061301822E-2</v>
      </c>
      <c r="AV63" s="268"/>
    </row>
    <row r="64" spans="1:50" x14ac:dyDescent="0.25">
      <c r="B64" s="258" t="s">
        <v>470</v>
      </c>
      <c r="C64" s="304">
        <f t="shared" si="27"/>
        <v>0</v>
      </c>
      <c r="D64" s="304">
        <f t="shared" si="27"/>
        <v>0</v>
      </c>
      <c r="E64" s="304">
        <f t="shared" si="27"/>
        <v>0</v>
      </c>
      <c r="F64" s="304">
        <f t="shared" si="27"/>
        <v>0</v>
      </c>
      <c r="G64" s="304">
        <f t="shared" si="27"/>
        <v>0</v>
      </c>
      <c r="H64" s="304">
        <f t="shared" si="27"/>
        <v>0</v>
      </c>
      <c r="I64" s="304">
        <f t="shared" si="27"/>
        <v>0</v>
      </c>
      <c r="J64" s="304">
        <f t="shared" si="27"/>
        <v>0</v>
      </c>
      <c r="K64" s="304">
        <f t="shared" si="27"/>
        <v>0</v>
      </c>
      <c r="L64" s="304">
        <f t="shared" si="27"/>
        <v>0</v>
      </c>
      <c r="M64" s="304">
        <f t="shared" si="27"/>
        <v>0</v>
      </c>
      <c r="N64" s="304">
        <f t="shared" si="27"/>
        <v>0</v>
      </c>
      <c r="O64" s="304">
        <f t="shared" si="27"/>
        <v>0</v>
      </c>
      <c r="P64" s="304">
        <f t="shared" si="27"/>
        <v>0</v>
      </c>
      <c r="Q64" s="304">
        <f t="shared" si="27"/>
        <v>9.7308733755518961E-4</v>
      </c>
      <c r="R64" s="304">
        <f t="shared" si="27"/>
        <v>8.5307826741508053E-2</v>
      </c>
      <c r="S64" s="304">
        <f t="shared" si="27"/>
        <v>8.4921984491978519E-2</v>
      </c>
      <c r="T64" s="304">
        <f t="shared" si="27"/>
        <v>8.469661848333121E-2</v>
      </c>
      <c r="U64" s="304">
        <f t="shared" si="27"/>
        <v>8.6647906121743556E-2</v>
      </c>
      <c r="V64" s="304">
        <f t="shared" si="27"/>
        <v>8.7961945981784639E-2</v>
      </c>
      <c r="W64" s="304">
        <f t="shared" si="27"/>
        <v>8.4967538535615672E-2</v>
      </c>
      <c r="X64" s="304">
        <f t="shared" si="27"/>
        <v>8.1536432599330522E-2</v>
      </c>
      <c r="Y64" s="304">
        <f t="shared" si="27"/>
        <v>7.7648239960914633E-2</v>
      </c>
      <c r="Z64" s="304">
        <f t="shared" si="27"/>
        <v>7.3548993956980668E-2</v>
      </c>
      <c r="AA64" s="304">
        <f t="shared" si="27"/>
        <v>-4.6911209371650164E-2</v>
      </c>
      <c r="AB64" s="304">
        <f t="shared" si="27"/>
        <v>6.5326599448264466E-2</v>
      </c>
      <c r="AC64" s="304">
        <f t="shared" si="27"/>
        <v>6.122804680784466E-2</v>
      </c>
      <c r="AD64" s="304">
        <f t="shared" si="27"/>
        <v>5.7102210880814908E-2</v>
      </c>
      <c r="AE64" s="304">
        <f t="shared" si="27"/>
        <v>5.3014288109839436E-2</v>
      </c>
      <c r="AF64" s="304">
        <f t="shared" si="27"/>
        <v>4.8380755574963463E-2</v>
      </c>
      <c r="AG64" s="304">
        <f t="shared" si="27"/>
        <v>4.4531085624458844E-2</v>
      </c>
      <c r="AH64" s="304">
        <f t="shared" si="27"/>
        <v>4.0853137157018105E-2</v>
      </c>
      <c r="AI64" s="304">
        <f t="shared" si="27"/>
        <v>3.7145417860615315E-2</v>
      </c>
      <c r="AJ64" s="304">
        <f t="shared" si="27"/>
        <v>3.3344292188770219E-2</v>
      </c>
      <c r="AK64" s="304">
        <f t="shared" si="27"/>
        <v>2.9713474370716919E-2</v>
      </c>
      <c r="AL64" s="304">
        <f t="shared" si="27"/>
        <v>2.5737246318306761E-2</v>
      </c>
      <c r="AM64" s="304">
        <f t="shared" si="27"/>
        <v>2.2165133246253133E-2</v>
      </c>
      <c r="AN64" s="304">
        <f t="shared" si="27"/>
        <v>1.8700260940510138E-2</v>
      </c>
      <c r="AO64" s="304">
        <f t="shared" si="27"/>
        <v>1.5313464086377349E-2</v>
      </c>
      <c r="AP64" s="304">
        <f t="shared" si="27"/>
        <v>1.1748661641366343E-2</v>
      </c>
      <c r="AQ64" s="304">
        <f t="shared" si="27"/>
        <v>7.824052025160011E-3</v>
      </c>
      <c r="AR64" s="304">
        <f t="shared" si="27"/>
        <v>4.0897308705263313E-3</v>
      </c>
      <c r="AS64" s="304">
        <f t="shared" si="27"/>
        <v>6.8737674572039165E-4</v>
      </c>
      <c r="AT64" s="304">
        <f t="shared" si="27"/>
        <v>-2.5283145425228915E-3</v>
      </c>
      <c r="AU64" s="305">
        <f t="shared" si="27"/>
        <v>-0.18927211391531829</v>
      </c>
      <c r="AV64" s="268"/>
    </row>
    <row r="65" spans="2:48" x14ac:dyDescent="0.25">
      <c r="B65" s="258" t="s">
        <v>471</v>
      </c>
      <c r="C65" s="304">
        <f t="shared" si="27"/>
        <v>0</v>
      </c>
      <c r="D65" s="304">
        <f t="shared" si="27"/>
        <v>0</v>
      </c>
      <c r="E65" s="304">
        <f t="shared" si="27"/>
        <v>0</v>
      </c>
      <c r="F65" s="304">
        <f t="shared" si="27"/>
        <v>0</v>
      </c>
      <c r="G65" s="304">
        <f t="shared" si="27"/>
        <v>0</v>
      </c>
      <c r="H65" s="304">
        <f t="shared" si="27"/>
        <v>0</v>
      </c>
      <c r="I65" s="304">
        <f t="shared" si="27"/>
        <v>0</v>
      </c>
      <c r="J65" s="304">
        <f t="shared" si="27"/>
        <v>0</v>
      </c>
      <c r="K65" s="304">
        <f t="shared" si="27"/>
        <v>0</v>
      </c>
      <c r="L65" s="304">
        <f t="shared" si="27"/>
        <v>0</v>
      </c>
      <c r="M65" s="304">
        <f t="shared" si="27"/>
        <v>0</v>
      </c>
      <c r="N65" s="304">
        <f t="shared" si="27"/>
        <v>0</v>
      </c>
      <c r="O65" s="304">
        <f t="shared" si="27"/>
        <v>0</v>
      </c>
      <c r="P65" s="304">
        <f t="shared" si="27"/>
        <v>0</v>
      </c>
      <c r="Q65" s="304">
        <f t="shared" si="27"/>
        <v>1.3554362396522857E-3</v>
      </c>
      <c r="R65" s="304">
        <f t="shared" si="27"/>
        <v>2.1038792100953607E-3</v>
      </c>
      <c r="S65" s="304">
        <f t="shared" si="27"/>
        <v>2.5843544069459323E-3</v>
      </c>
      <c r="T65" s="304">
        <f t="shared" si="27"/>
        <v>3.0008352522249426E-3</v>
      </c>
      <c r="U65" s="304">
        <f t="shared" si="27"/>
        <v>-6.3561461320581492E-3</v>
      </c>
      <c r="V65" s="304">
        <f t="shared" si="27"/>
        <v>-1.5110131256590886E-2</v>
      </c>
      <c r="W65" s="304">
        <f t="shared" si="27"/>
        <v>-1.8881217673127004E-2</v>
      </c>
      <c r="X65" s="304">
        <f t="shared" si="27"/>
        <v>-2.4197715260153241E-2</v>
      </c>
      <c r="Y65" s="304">
        <f t="shared" si="27"/>
        <v>-3.0609071533930554E-2</v>
      </c>
      <c r="Z65" s="304">
        <f t="shared" si="27"/>
        <v>-3.7772828705983308E-2</v>
      </c>
      <c r="AA65" s="304">
        <f t="shared" si="27"/>
        <v>-4.54538268005098E-2</v>
      </c>
      <c r="AB65" s="304">
        <f t="shared" si="27"/>
        <v>-5.1587781156031798E-2</v>
      </c>
      <c r="AC65" s="304">
        <f t="shared" si="27"/>
        <v>-5.8346738907899098E-2</v>
      </c>
      <c r="AD65" s="304">
        <f t="shared" si="27"/>
        <v>-6.5043021875801466E-2</v>
      </c>
      <c r="AE65" s="304">
        <f t="shared" si="27"/>
        <v>-7.1675316668232569E-2</v>
      </c>
      <c r="AF65" s="304">
        <f t="shared" si="27"/>
        <v>-7.9046827574845713E-2</v>
      </c>
      <c r="AG65" s="304">
        <f t="shared" si="27"/>
        <v>-8.5628729050522212E-2</v>
      </c>
      <c r="AH65" s="304">
        <f t="shared" si="27"/>
        <v>-9.2056493328201316E-2</v>
      </c>
      <c r="AI65" s="304">
        <f t="shared" si="27"/>
        <v>-9.8472377182771798E-2</v>
      </c>
      <c r="AJ65" s="304">
        <f t="shared" si="27"/>
        <v>-0.10497286463112732</v>
      </c>
      <c r="AK65" s="304">
        <f t="shared" si="27"/>
        <v>-0.11137534353711043</v>
      </c>
      <c r="AL65" s="304">
        <f t="shared" si="27"/>
        <v>-0.11806768649898824</v>
      </c>
      <c r="AM65" s="304">
        <f t="shared" si="27"/>
        <v>-0.12441846532556011</v>
      </c>
      <c r="AN65" s="304">
        <f t="shared" si="27"/>
        <v>-0.13065978268158596</v>
      </c>
      <c r="AO65" s="304">
        <f t="shared" si="27"/>
        <v>-0.13684663085667292</v>
      </c>
      <c r="AP65" s="304">
        <f t="shared" si="27"/>
        <v>-0.14368091142143319</v>
      </c>
      <c r="AQ65" s="304">
        <f t="shared" si="27"/>
        <v>-0.15079819793003907</v>
      </c>
      <c r="AR65" s="304">
        <f t="shared" si="27"/>
        <v>-0.15767011018606153</v>
      </c>
      <c r="AS65" s="304">
        <f t="shared" si="27"/>
        <v>-0.16424358092137459</v>
      </c>
      <c r="AT65" s="304">
        <f t="shared" si="27"/>
        <v>-0.17066917774547824</v>
      </c>
      <c r="AU65" s="305">
        <f t="shared" si="27"/>
        <v>-0.17790085775948589</v>
      </c>
      <c r="AV65" s="268"/>
    </row>
    <row r="66" spans="2:48" x14ac:dyDescent="0.25">
      <c r="B66" s="261" t="s">
        <v>472</v>
      </c>
      <c r="C66" s="306">
        <f t="shared" si="27"/>
        <v>0</v>
      </c>
      <c r="D66" s="306">
        <f t="shared" si="27"/>
        <v>0</v>
      </c>
      <c r="E66" s="306">
        <f t="shared" si="27"/>
        <v>0</v>
      </c>
      <c r="F66" s="306">
        <f t="shared" si="27"/>
        <v>0</v>
      </c>
      <c r="G66" s="306">
        <f t="shared" si="27"/>
        <v>0</v>
      </c>
      <c r="H66" s="306">
        <f t="shared" si="27"/>
        <v>0</v>
      </c>
      <c r="I66" s="306">
        <f t="shared" si="27"/>
        <v>0</v>
      </c>
      <c r="J66" s="306">
        <f t="shared" si="27"/>
        <v>0</v>
      </c>
      <c r="K66" s="306">
        <f t="shared" si="27"/>
        <v>0</v>
      </c>
      <c r="L66" s="306">
        <f t="shared" si="27"/>
        <v>0</v>
      </c>
      <c r="M66" s="306">
        <f t="shared" si="27"/>
        <v>0</v>
      </c>
      <c r="N66" s="306">
        <f t="shared" si="27"/>
        <v>0</v>
      </c>
      <c r="O66" s="306">
        <f t="shared" si="27"/>
        <v>0</v>
      </c>
      <c r="P66" s="306">
        <f t="shared" si="27"/>
        <v>0</v>
      </c>
      <c r="Q66" s="306">
        <f t="shared" si="27"/>
        <v>-4.0753356211670894E-4</v>
      </c>
      <c r="R66" s="306">
        <f t="shared" si="27"/>
        <v>-1.9487694052426341E-3</v>
      </c>
      <c r="S66" s="306">
        <f t="shared" si="27"/>
        <v>-2.4481091518801512E-3</v>
      </c>
      <c r="T66" s="306">
        <f t="shared" si="27"/>
        <v>-2.7923166124774468E-3</v>
      </c>
      <c r="U66" s="306">
        <f t="shared" si="27"/>
        <v>7.8676474977415478E-3</v>
      </c>
      <c r="V66" s="306">
        <f t="shared" si="27"/>
        <v>1.7581123152202893E-2</v>
      </c>
      <c r="W66" s="306">
        <f t="shared" si="27"/>
        <v>1.9028807441594187E-2</v>
      </c>
      <c r="X66" s="306">
        <f t="shared" si="27"/>
        <v>2.1372722553023138E-2</v>
      </c>
      <c r="Y66" s="306">
        <f t="shared" si="27"/>
        <v>2.4087555622292339E-2</v>
      </c>
      <c r="Z66" s="306">
        <f t="shared" si="27"/>
        <v>2.7235991247071795E-2</v>
      </c>
      <c r="AA66" s="306">
        <f t="shared" si="27"/>
        <v>5.7705357225723911E-3</v>
      </c>
      <c r="AB66" s="306">
        <f t="shared" si="27"/>
        <v>3.3085754485031732E-2</v>
      </c>
      <c r="AC66" s="306">
        <f t="shared" si="27"/>
        <v>3.6471545827479523E-2</v>
      </c>
      <c r="AD66" s="306">
        <f t="shared" si="27"/>
        <v>3.9562424967147597E-2</v>
      </c>
      <c r="AE66" s="306">
        <f t="shared" si="27"/>
        <v>4.255474654159061E-2</v>
      </c>
      <c r="AF66" s="306">
        <f t="shared" si="27"/>
        <v>4.6202590464083204E-2</v>
      </c>
      <c r="AG66" s="306">
        <f t="shared" ref="AG66:AU66" si="28">AG44-AG55</f>
        <v>4.9048426408873441E-2</v>
      </c>
      <c r="AH66" s="306">
        <f t="shared" si="28"/>
        <v>5.2091160176932438E-2</v>
      </c>
      <c r="AI66" s="306">
        <f t="shared" si="28"/>
        <v>5.5196510103355328E-2</v>
      </c>
      <c r="AJ66" s="306">
        <f t="shared" si="28"/>
        <v>5.8339629339978438E-2</v>
      </c>
      <c r="AK66" s="306">
        <f t="shared" si="28"/>
        <v>6.1602113558529736E-2</v>
      </c>
      <c r="AL66" s="306">
        <f t="shared" si="28"/>
        <v>6.4840125809197763E-2</v>
      </c>
      <c r="AM66" s="306">
        <f t="shared" si="28"/>
        <v>6.8126711443016186E-2</v>
      </c>
      <c r="AN66" s="306">
        <f t="shared" si="28"/>
        <v>7.1388221229996496E-2</v>
      </c>
      <c r="AO66" s="306">
        <f t="shared" si="28"/>
        <v>7.4671291438347082E-2</v>
      </c>
      <c r="AP66" s="306">
        <f t="shared" si="28"/>
        <v>7.8293365531203751E-2</v>
      </c>
      <c r="AQ66" s="306">
        <f t="shared" si="28"/>
        <v>8.1891988431307794E-2</v>
      </c>
      <c r="AR66" s="306">
        <f t="shared" si="28"/>
        <v>8.5436393042816611E-2</v>
      </c>
      <c r="AS66" s="306">
        <f t="shared" si="28"/>
        <v>8.9038809260198165E-2</v>
      </c>
      <c r="AT66" s="306">
        <f t="shared" si="28"/>
        <v>9.2698493342800059E-2</v>
      </c>
      <c r="AU66" s="307">
        <f t="shared" si="28"/>
        <v>1.0040990020356494E-2</v>
      </c>
      <c r="AV66" s="268"/>
    </row>
    <row r="67" spans="2:48" x14ac:dyDescent="0.25">
      <c r="B67" s="249" t="s">
        <v>473</v>
      </c>
      <c r="C67" s="308">
        <f t="shared" ref="C67:AU67" si="29">C45-C56</f>
        <v>0</v>
      </c>
      <c r="D67" s="308">
        <f t="shared" si="29"/>
        <v>0</v>
      </c>
      <c r="E67" s="308">
        <f t="shared" si="29"/>
        <v>0</v>
      </c>
      <c r="F67" s="308">
        <f t="shared" si="29"/>
        <v>0</v>
      </c>
      <c r="G67" s="308">
        <f t="shared" si="29"/>
        <v>0</v>
      </c>
      <c r="H67" s="308">
        <f t="shared" si="29"/>
        <v>0</v>
      </c>
      <c r="I67" s="308">
        <f t="shared" si="29"/>
        <v>0</v>
      </c>
      <c r="J67" s="308">
        <f t="shared" si="29"/>
        <v>0</v>
      </c>
      <c r="K67" s="308">
        <f t="shared" si="29"/>
        <v>0</v>
      </c>
      <c r="L67" s="308">
        <f t="shared" si="29"/>
        <v>0</v>
      </c>
      <c r="M67" s="308">
        <f t="shared" si="29"/>
        <v>0</v>
      </c>
      <c r="N67" s="308">
        <f t="shared" si="29"/>
        <v>0</v>
      </c>
      <c r="O67" s="308">
        <f t="shared" si="29"/>
        <v>0</v>
      </c>
      <c r="P67" s="308">
        <f t="shared" si="29"/>
        <v>0</v>
      </c>
      <c r="Q67" s="308">
        <f t="shared" si="29"/>
        <v>5.721278018009035E-3</v>
      </c>
      <c r="R67" s="308">
        <f t="shared" si="29"/>
        <v>9.0892833325002531E-3</v>
      </c>
      <c r="S67" s="308">
        <f t="shared" si="29"/>
        <v>1.1237173813560597E-2</v>
      </c>
      <c r="T67" s="308">
        <f t="shared" si="29"/>
        <v>1.2845422455737721E-2</v>
      </c>
      <c r="U67" s="308">
        <f t="shared" si="29"/>
        <v>-1.303253606055943E-2</v>
      </c>
      <c r="V67" s="308">
        <f t="shared" si="29"/>
        <v>-3.5079706346757056E-2</v>
      </c>
      <c r="W67" s="308">
        <f t="shared" si="29"/>
        <v>-3.4615407096794781E-2</v>
      </c>
      <c r="X67" s="308">
        <f t="shared" si="29"/>
        <v>-3.9473023489720704E-2</v>
      </c>
      <c r="Y67" s="308">
        <f t="shared" si="29"/>
        <v>-4.7247708818201062E-2</v>
      </c>
      <c r="Z67" s="308">
        <f t="shared" si="29"/>
        <v>-5.7220503734481509E-2</v>
      </c>
      <c r="AA67" s="308">
        <f t="shared" si="29"/>
        <v>-6.8569245531398315E-2</v>
      </c>
      <c r="AB67" s="308">
        <f t="shared" si="29"/>
        <v>-7.6694075290687502E-2</v>
      </c>
      <c r="AC67" s="308">
        <f t="shared" si="29"/>
        <v>-8.7988221042754278E-2</v>
      </c>
      <c r="AD67" s="308">
        <f t="shared" si="29"/>
        <v>-9.819376785349776E-2</v>
      </c>
      <c r="AE67" s="308">
        <f t="shared" si="29"/>
        <v>-0.10792450803034737</v>
      </c>
      <c r="AF67" s="308">
        <f t="shared" si="29"/>
        <v>-0.12052566043737578</v>
      </c>
      <c r="AG67" s="308">
        <f t="shared" si="29"/>
        <v>-0.13005105076983248</v>
      </c>
      <c r="AH67" s="308">
        <f t="shared" si="29"/>
        <v>-0.13950811610511316</v>
      </c>
      <c r="AI67" s="308">
        <f t="shared" si="29"/>
        <v>-0.1488848534959023</v>
      </c>
      <c r="AJ67" s="308">
        <f t="shared" si="29"/>
        <v>-0.15829514682523438</v>
      </c>
      <c r="AK67" s="308">
        <f t="shared" si="29"/>
        <v>-0.16770366132599346</v>
      </c>
      <c r="AL67" s="308">
        <f t="shared" si="29"/>
        <v>-0.17757654992710303</v>
      </c>
      <c r="AM67" s="308">
        <f t="shared" si="29"/>
        <v>-0.18691467517005211</v>
      </c>
      <c r="AN67" s="308">
        <f t="shared" si="29"/>
        <v>-0.19596548931992308</v>
      </c>
      <c r="AO67" s="308">
        <f t="shared" si="29"/>
        <v>-0.20486770546176114</v>
      </c>
      <c r="AP67" s="308">
        <f t="shared" si="29"/>
        <v>-0.21609475517022458</v>
      </c>
      <c r="AQ67" s="308">
        <f t="shared" si="29"/>
        <v>-0.22729534546166308</v>
      </c>
      <c r="AR67" s="308">
        <f t="shared" si="29"/>
        <v>-0.237882764992423</v>
      </c>
      <c r="AS67" s="308">
        <f t="shared" si="29"/>
        <v>-0.24801765286950361</v>
      </c>
      <c r="AT67" s="308">
        <f t="shared" si="29"/>
        <v>-0.25784713972105389</v>
      </c>
      <c r="AU67" s="309">
        <f t="shared" si="29"/>
        <v>-0.26789598099705048</v>
      </c>
      <c r="AV67" s="268"/>
    </row>
  </sheetData>
  <pageMargins left="0.7" right="0.7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CU30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:AW300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7" max="49" width="11.7109375" customWidth="1"/>
    <col min="50" max="50" width="21.85546875" customWidth="1"/>
    <col min="51" max="52" width="11.7109375" customWidth="1"/>
  </cols>
  <sheetData>
    <row r="1" spans="1:49" ht="51.75" thickBot="1" x14ac:dyDescent="0.3">
      <c r="A1" s="234" t="s">
        <v>484</v>
      </c>
      <c r="B1" s="269" t="s">
        <v>492</v>
      </c>
      <c r="C1" s="235">
        <v>2</v>
      </c>
      <c r="D1" s="235">
        <f>C1+1</f>
        <v>3</v>
      </c>
      <c r="E1" s="235">
        <f t="shared" ref="E1:AW1" si="0">D1+1</f>
        <v>4</v>
      </c>
      <c r="F1" s="235">
        <f t="shared" si="0"/>
        <v>5</v>
      </c>
      <c r="G1" s="235">
        <f t="shared" si="0"/>
        <v>6</v>
      </c>
      <c r="H1" s="235">
        <f t="shared" si="0"/>
        <v>7</v>
      </c>
      <c r="I1" s="235">
        <f t="shared" si="0"/>
        <v>8</v>
      </c>
      <c r="J1" s="235">
        <f t="shared" si="0"/>
        <v>9</v>
      </c>
      <c r="K1" s="235">
        <f t="shared" si="0"/>
        <v>10</v>
      </c>
      <c r="L1" s="235">
        <f t="shared" si="0"/>
        <v>11</v>
      </c>
      <c r="M1" s="235">
        <f t="shared" si="0"/>
        <v>12</v>
      </c>
      <c r="N1" s="235">
        <f t="shared" si="0"/>
        <v>13</v>
      </c>
      <c r="O1" s="235">
        <f t="shared" si="0"/>
        <v>14</v>
      </c>
      <c r="P1" s="235">
        <f t="shared" si="0"/>
        <v>15</v>
      </c>
      <c r="Q1" s="235">
        <f t="shared" si="0"/>
        <v>16</v>
      </c>
      <c r="R1" s="235">
        <f t="shared" si="0"/>
        <v>17</v>
      </c>
      <c r="S1" s="235">
        <f t="shared" si="0"/>
        <v>18</v>
      </c>
      <c r="T1" s="235">
        <f t="shared" si="0"/>
        <v>19</v>
      </c>
      <c r="U1" s="235">
        <f t="shared" si="0"/>
        <v>20</v>
      </c>
      <c r="V1" s="235">
        <f t="shared" si="0"/>
        <v>21</v>
      </c>
      <c r="W1" s="235">
        <f t="shared" si="0"/>
        <v>22</v>
      </c>
      <c r="X1" s="235">
        <f t="shared" si="0"/>
        <v>23</v>
      </c>
      <c r="Y1" s="235">
        <f t="shared" si="0"/>
        <v>24</v>
      </c>
      <c r="Z1" s="235">
        <f t="shared" si="0"/>
        <v>25</v>
      </c>
      <c r="AA1" s="235">
        <f t="shared" si="0"/>
        <v>26</v>
      </c>
      <c r="AB1" s="235">
        <f t="shared" si="0"/>
        <v>27</v>
      </c>
      <c r="AC1" s="235">
        <f t="shared" si="0"/>
        <v>28</v>
      </c>
      <c r="AD1" s="235">
        <f t="shared" si="0"/>
        <v>29</v>
      </c>
      <c r="AE1" s="235">
        <f t="shared" si="0"/>
        <v>30</v>
      </c>
      <c r="AF1" s="235">
        <f t="shared" si="0"/>
        <v>31</v>
      </c>
      <c r="AG1" s="235">
        <f t="shared" si="0"/>
        <v>32</v>
      </c>
      <c r="AH1" s="235">
        <f t="shared" si="0"/>
        <v>33</v>
      </c>
      <c r="AI1" s="235">
        <f t="shared" si="0"/>
        <v>34</v>
      </c>
      <c r="AJ1" s="235">
        <f t="shared" si="0"/>
        <v>35</v>
      </c>
      <c r="AK1" s="235">
        <f t="shared" si="0"/>
        <v>36</v>
      </c>
      <c r="AL1" s="235">
        <f t="shared" si="0"/>
        <v>37</v>
      </c>
      <c r="AM1" s="235">
        <f t="shared" si="0"/>
        <v>38</v>
      </c>
      <c r="AN1" s="235">
        <f t="shared" si="0"/>
        <v>39</v>
      </c>
      <c r="AO1" s="235">
        <f t="shared" si="0"/>
        <v>40</v>
      </c>
      <c r="AP1" s="235">
        <f t="shared" si="0"/>
        <v>41</v>
      </c>
      <c r="AQ1" s="235">
        <f t="shared" si="0"/>
        <v>42</v>
      </c>
      <c r="AR1" s="235">
        <f t="shared" si="0"/>
        <v>43</v>
      </c>
      <c r="AS1" s="235">
        <f t="shared" si="0"/>
        <v>44</v>
      </c>
      <c r="AT1" s="235">
        <f t="shared" si="0"/>
        <v>45</v>
      </c>
      <c r="AU1" s="235">
        <f t="shared" si="0"/>
        <v>46</v>
      </c>
      <c r="AV1" s="235">
        <f t="shared" si="0"/>
        <v>47</v>
      </c>
      <c r="AW1" s="235">
        <f t="shared" si="0"/>
        <v>48</v>
      </c>
    </row>
    <row r="2" spans="1:49" x14ac:dyDescent="0.25">
      <c r="B2" s="193"/>
      <c r="C2" s="16">
        <v>2004</v>
      </c>
      <c r="D2" s="16">
        <v>2005</v>
      </c>
      <c r="E2" s="16">
        <v>2006</v>
      </c>
      <c r="F2" s="2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3" t="s">
        <v>103</v>
      </c>
      <c r="C3">
        <v>78.155731330970795</v>
      </c>
      <c r="D3" s="39">
        <v>79.410546877677106</v>
      </c>
      <c r="E3" s="39">
        <v>80.669792340000001</v>
      </c>
      <c r="F3" s="39">
        <v>81.250786700000006</v>
      </c>
      <c r="G3">
        <v>78.355801400000004</v>
      </c>
      <c r="H3">
        <v>76.31988149</v>
      </c>
      <c r="I3">
        <v>75.097106449999998</v>
      </c>
      <c r="J3">
        <v>73.62089417</v>
      </c>
      <c r="K3">
        <v>71.808831499999997</v>
      </c>
      <c r="L3">
        <v>70.527297959999999</v>
      </c>
      <c r="M3">
        <v>70.565593919999998</v>
      </c>
      <c r="N3">
        <v>71.259217739999997</v>
      </c>
      <c r="O3">
        <v>69.746538090000001</v>
      </c>
      <c r="P3">
        <v>68.140906950000002</v>
      </c>
      <c r="Q3">
        <v>65.874058520000006</v>
      </c>
      <c r="R3">
        <v>64.649797309999997</v>
      </c>
      <c r="S3">
        <v>63.03237601</v>
      </c>
      <c r="T3">
        <v>62.640839759999999</v>
      </c>
      <c r="U3">
        <v>61.837696860000001</v>
      </c>
      <c r="V3">
        <v>60.79764325</v>
      </c>
      <c r="W3">
        <v>58.768482849999998</v>
      </c>
      <c r="X3">
        <v>56.582999729999997</v>
      </c>
      <c r="Y3">
        <v>54.487681549999998</v>
      </c>
      <c r="Z3">
        <v>52.50573936</v>
      </c>
      <c r="AA3">
        <v>50.588105489999997</v>
      </c>
      <c r="AB3">
        <v>48.582598599999997</v>
      </c>
      <c r="AC3">
        <v>46.585679249999998</v>
      </c>
      <c r="AD3">
        <v>44.566304520000003</v>
      </c>
      <c r="AE3">
        <v>42.615569200000003</v>
      </c>
      <c r="AF3">
        <v>40.70291761</v>
      </c>
      <c r="AG3">
        <v>38.857200939999998</v>
      </c>
      <c r="AH3">
        <v>37.068007850000001</v>
      </c>
      <c r="AI3">
        <v>35.265866420000002</v>
      </c>
      <c r="AJ3">
        <v>33.542203970000003</v>
      </c>
      <c r="AK3">
        <v>31.879567779999999</v>
      </c>
      <c r="AL3">
        <v>30.2884314</v>
      </c>
      <c r="AM3">
        <v>28.792704369999999</v>
      </c>
      <c r="AN3">
        <v>27.453465739999999</v>
      </c>
      <c r="AO3">
        <v>26.15064009</v>
      </c>
      <c r="AP3">
        <v>24.894223159999999</v>
      </c>
      <c r="AQ3">
        <v>23.685472270000002</v>
      </c>
      <c r="AR3">
        <v>22.485386999999999</v>
      </c>
      <c r="AS3">
        <v>21.6155589</v>
      </c>
      <c r="AT3">
        <v>20.785323630000001</v>
      </c>
      <c r="AU3">
        <v>19.997703940000001</v>
      </c>
      <c r="AV3">
        <v>19.243951639999999</v>
      </c>
      <c r="AW3">
        <v>18.52751657</v>
      </c>
    </row>
    <row r="4" spans="1:49" x14ac:dyDescent="0.25">
      <c r="B4" s="13" t="s">
        <v>104</v>
      </c>
      <c r="C4">
        <v>77.477678819662401</v>
      </c>
      <c r="D4" s="39">
        <v>78.721608013977402</v>
      </c>
      <c r="E4" s="39">
        <v>80.002338629999997</v>
      </c>
      <c r="F4" s="39">
        <v>80.247747660000002</v>
      </c>
      <c r="G4">
        <v>77.070817820000002</v>
      </c>
      <c r="H4">
        <v>74.760127179999998</v>
      </c>
      <c r="I4">
        <v>73.260365550000003</v>
      </c>
      <c r="J4">
        <v>71.525433590000006</v>
      </c>
      <c r="K4">
        <v>69.478559340000004</v>
      </c>
      <c r="L4">
        <v>67.958490530000006</v>
      </c>
      <c r="M4">
        <v>67.716267680000001</v>
      </c>
      <c r="N4">
        <v>68.101173560000007</v>
      </c>
      <c r="O4">
        <v>66.605794439999997</v>
      </c>
      <c r="P4">
        <v>65.020785149999995</v>
      </c>
      <c r="Q4">
        <v>62.804492979999999</v>
      </c>
      <c r="R4">
        <v>61.58148173</v>
      </c>
      <c r="S4">
        <v>59.982601029999998</v>
      </c>
      <c r="T4">
        <v>59.450219580000002</v>
      </c>
      <c r="U4">
        <v>58.535363820000001</v>
      </c>
      <c r="V4">
        <v>57.405590709999998</v>
      </c>
      <c r="W4">
        <v>55.125086830000001</v>
      </c>
      <c r="X4">
        <v>52.701141020000001</v>
      </c>
      <c r="Y4">
        <v>50.591751979999998</v>
      </c>
      <c r="Z4">
        <v>48.585684350000001</v>
      </c>
      <c r="AA4">
        <v>46.636301439999997</v>
      </c>
      <c r="AB4">
        <v>44.606079039999997</v>
      </c>
      <c r="AC4">
        <v>42.580523030000002</v>
      </c>
      <c r="AD4">
        <v>39.933822620000001</v>
      </c>
      <c r="AE4">
        <v>37.340381839999999</v>
      </c>
      <c r="AF4">
        <v>34.768434990000003</v>
      </c>
      <c r="AG4">
        <v>32.248313570000001</v>
      </c>
      <c r="AH4">
        <v>29.752789880000002</v>
      </c>
      <c r="AI4">
        <v>27.135658190000001</v>
      </c>
      <c r="AJ4">
        <v>24.541718970000002</v>
      </c>
      <c r="AK4">
        <v>21.941097190000001</v>
      </c>
      <c r="AL4">
        <v>19.364377019999999</v>
      </c>
      <c r="AM4">
        <v>16.754531119999999</v>
      </c>
      <c r="AN4">
        <v>15.19573149</v>
      </c>
      <c r="AO4">
        <v>13.62449266</v>
      </c>
      <c r="AP4">
        <v>12.03417868</v>
      </c>
      <c r="AQ4">
        <v>10.408668349999999</v>
      </c>
      <c r="AR4">
        <v>8.7098088009999994</v>
      </c>
      <c r="AS4">
        <v>8.1952579659999998</v>
      </c>
      <c r="AT4">
        <v>7.6898306539999997</v>
      </c>
      <c r="AU4">
        <v>7.1923671440000003</v>
      </c>
      <c r="AV4">
        <v>6.6968792769999999</v>
      </c>
      <c r="AW4">
        <v>6.2010979099999997</v>
      </c>
    </row>
    <row r="5" spans="1:49" x14ac:dyDescent="0.25">
      <c r="B5" s="13" t="s">
        <v>105</v>
      </c>
      <c r="C5">
        <v>0.67805251130835598</v>
      </c>
      <c r="D5" s="39">
        <v>0.68893886369971102</v>
      </c>
      <c r="E5">
        <v>0.66745370510000002</v>
      </c>
      <c r="F5">
        <v>1.003039043</v>
      </c>
      <c r="G5">
        <v>1.2849835789999999</v>
      </c>
      <c r="H5">
        <v>1.559754313</v>
      </c>
      <c r="I5">
        <v>1.836740899</v>
      </c>
      <c r="J5">
        <v>2.0954605800000001</v>
      </c>
      <c r="K5">
        <v>2.330272162</v>
      </c>
      <c r="L5">
        <v>2.5688074350000001</v>
      </c>
      <c r="M5">
        <v>2.849326236</v>
      </c>
      <c r="N5">
        <v>3.1580441800000001</v>
      </c>
      <c r="O5">
        <v>3.1407436510000002</v>
      </c>
      <c r="P5">
        <v>3.1201218019999999</v>
      </c>
      <c r="Q5">
        <v>3.0695655390000001</v>
      </c>
      <c r="R5">
        <v>3.0683155800000002</v>
      </c>
      <c r="S5">
        <v>3.04977498</v>
      </c>
      <c r="T5">
        <v>3.1906201830000001</v>
      </c>
      <c r="U5">
        <v>3.302333038</v>
      </c>
      <c r="V5">
        <v>3.3920525459999999</v>
      </c>
      <c r="W5">
        <v>3.6433960129999998</v>
      </c>
      <c r="X5">
        <v>3.8818587089999999</v>
      </c>
      <c r="Y5">
        <v>3.8959295709999999</v>
      </c>
      <c r="Z5">
        <v>3.9200550160000001</v>
      </c>
      <c r="AA5">
        <v>3.951804047</v>
      </c>
      <c r="AB5">
        <v>3.9765195530000002</v>
      </c>
      <c r="AC5">
        <v>4.0051562179999998</v>
      </c>
      <c r="AD5">
        <v>4.6324819000000002</v>
      </c>
      <c r="AE5">
        <v>5.2751873629999997</v>
      </c>
      <c r="AF5">
        <v>5.9344826130000001</v>
      </c>
      <c r="AG5">
        <v>6.608887373</v>
      </c>
      <c r="AH5">
        <v>7.3152179620000002</v>
      </c>
      <c r="AI5">
        <v>8.1302082299999903</v>
      </c>
      <c r="AJ5">
        <v>9.0004850019999996</v>
      </c>
      <c r="AK5">
        <v>9.9384705830000009</v>
      </c>
      <c r="AL5">
        <v>10.924054379999999</v>
      </c>
      <c r="AM5">
        <v>12.03817325</v>
      </c>
      <c r="AN5">
        <v>12.25773425</v>
      </c>
      <c r="AO5">
        <v>12.52614743</v>
      </c>
      <c r="AP5">
        <v>12.860044479999999</v>
      </c>
      <c r="AQ5">
        <v>13.27680393</v>
      </c>
      <c r="AR5">
        <v>13.7755782</v>
      </c>
      <c r="AS5">
        <v>13.42030093</v>
      </c>
      <c r="AT5">
        <v>13.09549298</v>
      </c>
      <c r="AU5">
        <v>12.80533679</v>
      </c>
      <c r="AV5">
        <v>12.54707236</v>
      </c>
      <c r="AW5">
        <v>12.32641866</v>
      </c>
    </row>
    <row r="6" spans="1:49" x14ac:dyDescent="0.25">
      <c r="B6" s="13" t="s">
        <v>106</v>
      </c>
      <c r="C6">
        <v>28.634797354551999</v>
      </c>
      <c r="D6" s="39">
        <v>29.094538288267</v>
      </c>
      <c r="E6" s="39">
        <v>29.720911040000001</v>
      </c>
      <c r="F6" s="39">
        <v>30.518609210000001</v>
      </c>
      <c r="G6" s="39">
        <v>31.191116910000002</v>
      </c>
      <c r="H6" s="39">
        <v>28.999107680000002</v>
      </c>
      <c r="I6" s="39">
        <v>30.086507009999998</v>
      </c>
      <c r="J6" s="39">
        <v>31.105670809999999</v>
      </c>
      <c r="K6" s="39">
        <v>31.43847667</v>
      </c>
      <c r="L6" s="39">
        <v>31.273185470000001</v>
      </c>
      <c r="M6">
        <v>31.096154540000001</v>
      </c>
      <c r="N6">
        <v>30.501051709999999</v>
      </c>
      <c r="O6">
        <v>28.783624029999999</v>
      </c>
      <c r="P6">
        <v>28.27741717</v>
      </c>
      <c r="Q6">
        <v>28.213944269999999</v>
      </c>
      <c r="R6">
        <v>27.262805700000001</v>
      </c>
      <c r="S6">
        <v>26.310702769999999</v>
      </c>
      <c r="T6">
        <v>26.254712779999998</v>
      </c>
      <c r="U6">
        <v>26.166055109999999</v>
      </c>
      <c r="V6">
        <v>25.832132229999999</v>
      </c>
      <c r="W6">
        <v>26.785860899999999</v>
      </c>
      <c r="X6">
        <v>27.23634174</v>
      </c>
      <c r="Y6">
        <v>26.911231279999999</v>
      </c>
      <c r="Z6">
        <v>26.54462157</v>
      </c>
      <c r="AA6">
        <v>26.173531059999998</v>
      </c>
      <c r="AB6">
        <v>25.979449599999999</v>
      </c>
      <c r="AC6">
        <v>25.824497969999999</v>
      </c>
      <c r="AD6">
        <v>25.077137260000001</v>
      </c>
      <c r="AE6">
        <v>24.339929619999999</v>
      </c>
      <c r="AF6">
        <v>23.616568470000001</v>
      </c>
      <c r="AG6">
        <v>22.814744820000001</v>
      </c>
      <c r="AH6">
        <v>22.02190307</v>
      </c>
      <c r="AI6">
        <v>21.747269039999999</v>
      </c>
      <c r="AJ6">
        <v>21.46203066</v>
      </c>
      <c r="AK6">
        <v>21.1818116</v>
      </c>
      <c r="AL6">
        <v>20.99506418</v>
      </c>
      <c r="AM6">
        <v>20.802505499999999</v>
      </c>
      <c r="AN6">
        <v>20.01220679</v>
      </c>
      <c r="AO6">
        <v>19.23552707</v>
      </c>
      <c r="AP6">
        <v>18.465808469999999</v>
      </c>
      <c r="AQ6">
        <v>17.703961979999999</v>
      </c>
      <c r="AR6">
        <v>16.944837769999999</v>
      </c>
      <c r="AS6">
        <v>16.222349260000001</v>
      </c>
      <c r="AT6">
        <v>15.514268169999999</v>
      </c>
      <c r="AU6">
        <v>14.811125179999999</v>
      </c>
      <c r="AV6">
        <v>14.111687720000001</v>
      </c>
      <c r="AW6">
        <v>13.416511610000001</v>
      </c>
    </row>
    <row r="7" spans="1:49" x14ac:dyDescent="0.25">
      <c r="B7" s="13" t="s">
        <v>107</v>
      </c>
      <c r="C7">
        <v>0.36749349586970598</v>
      </c>
      <c r="D7">
        <v>0.37339372281503302</v>
      </c>
      <c r="E7">
        <v>0.38143247060000002</v>
      </c>
      <c r="F7">
        <v>0.3710886175</v>
      </c>
      <c r="G7">
        <v>0.35933636790000001</v>
      </c>
      <c r="H7">
        <v>0.31652807300000002</v>
      </c>
      <c r="I7">
        <v>0.31114062609999998</v>
      </c>
      <c r="J7">
        <v>0.304776779</v>
      </c>
      <c r="K7">
        <v>0.29185097589999998</v>
      </c>
      <c r="L7">
        <v>0.27506107000000002</v>
      </c>
      <c r="M7">
        <v>0.25913199910000001</v>
      </c>
      <c r="N7">
        <v>0.24081665869999999</v>
      </c>
      <c r="O7">
        <v>0.2091808023</v>
      </c>
      <c r="P7">
        <v>0.1863364747</v>
      </c>
      <c r="Q7">
        <v>0.1652177672</v>
      </c>
      <c r="R7">
        <v>0.13792382789999999</v>
      </c>
      <c r="S7">
        <v>0.1102560013</v>
      </c>
      <c r="T7">
        <v>0.14627149749999999</v>
      </c>
      <c r="U7">
        <v>0.18307936599999999</v>
      </c>
      <c r="V7">
        <v>0.2187852757</v>
      </c>
      <c r="W7">
        <v>0.15536643620000001</v>
      </c>
      <c r="X7">
        <v>9.2698197499999996E-2</v>
      </c>
      <c r="Y7">
        <v>7.0581985099999994E-2</v>
      </c>
      <c r="Z7">
        <v>4.8866579799999997E-2</v>
      </c>
      <c r="AA7">
        <v>2.76896755E-2</v>
      </c>
      <c r="AB7">
        <v>2.46915615E-2</v>
      </c>
      <c r="AC7">
        <v>2.1762172600000001E-2</v>
      </c>
      <c r="AD7">
        <v>2.1287808500000002E-2</v>
      </c>
      <c r="AE7">
        <v>2.0818950100000001E-2</v>
      </c>
      <c r="AF7">
        <v>2.0358789400000001E-2</v>
      </c>
      <c r="AG7">
        <v>1.98133996E-2</v>
      </c>
      <c r="AH7">
        <v>1.92708672E-2</v>
      </c>
      <c r="AI7">
        <v>1.5518933299999999E-2</v>
      </c>
      <c r="AJ7">
        <v>1.1820562099999999E-2</v>
      </c>
      <c r="AK7">
        <v>8.1877732399999997E-3</v>
      </c>
      <c r="AL7">
        <v>8.7670203800000006E-3</v>
      </c>
      <c r="AM7">
        <v>9.3368694799999905E-3</v>
      </c>
      <c r="AN7">
        <v>8.9672850000000002E-3</v>
      </c>
      <c r="AO7">
        <v>8.6040668600000005E-3</v>
      </c>
      <c r="AP7" s="39">
        <v>8.2442350099999999E-3</v>
      </c>
      <c r="AQ7" s="39">
        <v>7.8882046899999905E-3</v>
      </c>
      <c r="AR7" s="39">
        <v>7.5336942900000002E-3</v>
      </c>
      <c r="AS7" s="39">
        <v>7.4851479699999997E-3</v>
      </c>
      <c r="AT7" s="39">
        <v>7.4396956900000004E-3</v>
      </c>
      <c r="AU7" s="39">
        <v>7.3929904400000003E-3</v>
      </c>
      <c r="AV7" s="39">
        <v>7.3442304700000001E-3</v>
      </c>
      <c r="AW7" s="39">
        <v>7.2934433599999996E-3</v>
      </c>
    </row>
    <row r="8" spans="1:49" x14ac:dyDescent="0.25">
      <c r="B8" t="s">
        <v>108</v>
      </c>
      <c r="C8">
        <v>1.4676116307532601</v>
      </c>
      <c r="D8" s="39">
        <v>1.4911746101974399</v>
      </c>
      <c r="E8" s="39">
        <v>1.523277926</v>
      </c>
      <c r="F8" s="39">
        <v>1.5664371500000001</v>
      </c>
      <c r="G8" s="39">
        <v>1.6032836669999999</v>
      </c>
      <c r="H8" s="39">
        <v>1.492778191</v>
      </c>
      <c r="I8" s="39">
        <v>1.5510065159999999</v>
      </c>
      <c r="J8" s="39">
        <v>1.6058783000000001</v>
      </c>
      <c r="K8" s="39">
        <v>1.6254205930000001</v>
      </c>
      <c r="L8" s="39">
        <v>1.61922645</v>
      </c>
      <c r="M8">
        <v>1.612402119</v>
      </c>
      <c r="N8">
        <v>1.5838450589999999</v>
      </c>
      <c r="O8">
        <v>1.673952884</v>
      </c>
      <c r="P8">
        <v>1.834608529</v>
      </c>
      <c r="Q8">
        <v>2.03580937</v>
      </c>
      <c r="R8">
        <v>2.1826517019999998</v>
      </c>
      <c r="S8">
        <v>2.3330768669999999</v>
      </c>
      <c r="T8">
        <v>2.2505570559999999</v>
      </c>
      <c r="U8">
        <v>2.1631523590000001</v>
      </c>
      <c r="V8">
        <v>2.0541576720000001</v>
      </c>
      <c r="W8">
        <v>2.2596477039999998</v>
      </c>
      <c r="X8">
        <v>2.416029526</v>
      </c>
      <c r="Y8">
        <v>2.3266184939999999</v>
      </c>
      <c r="Z8">
        <v>2.2350889700000001</v>
      </c>
      <c r="AA8">
        <v>2.1447584580000001</v>
      </c>
      <c r="AB8">
        <v>2.0719416329999998</v>
      </c>
      <c r="AC8">
        <v>2.0028881749999998</v>
      </c>
      <c r="AD8">
        <v>1.8768740740000001</v>
      </c>
      <c r="AE8">
        <v>1.752982853</v>
      </c>
      <c r="AF8">
        <v>1.631466104</v>
      </c>
      <c r="AG8">
        <v>1.5123076559999999</v>
      </c>
      <c r="AH8">
        <v>1.3959059979999999</v>
      </c>
      <c r="AI8">
        <v>1.1339925829999999</v>
      </c>
      <c r="AJ8">
        <v>0.87578256180000003</v>
      </c>
      <c r="AK8">
        <v>0.62215121910000004</v>
      </c>
      <c r="AL8">
        <v>0.38670320289999999</v>
      </c>
      <c r="AM8">
        <v>0.15360912639999999</v>
      </c>
      <c r="AN8">
        <v>0.16322520870000001</v>
      </c>
      <c r="AO8">
        <v>0.1726782815</v>
      </c>
      <c r="AP8">
        <v>0.1819106342</v>
      </c>
      <c r="AQ8">
        <v>0.19092239329999999</v>
      </c>
      <c r="AR8">
        <v>0.1996445637</v>
      </c>
      <c r="AS8">
        <v>0.20625087710000001</v>
      </c>
      <c r="AT8">
        <v>0.21284332780000001</v>
      </c>
      <c r="AU8">
        <v>0.2193027555</v>
      </c>
      <c r="AV8">
        <v>0.2256005683</v>
      </c>
      <c r="AW8">
        <v>0.23173114289999999</v>
      </c>
    </row>
    <row r="9" spans="1:49" x14ac:dyDescent="0.25">
      <c r="B9" t="s">
        <v>109</v>
      </c>
      <c r="C9">
        <v>1.4643633957556199</v>
      </c>
      <c r="D9">
        <v>1.4878742237362399</v>
      </c>
      <c r="E9">
        <v>1.519906486</v>
      </c>
      <c r="F9">
        <v>1.4371305860000001</v>
      </c>
      <c r="G9">
        <v>1.352505888</v>
      </c>
      <c r="H9">
        <v>1.1578961670000001</v>
      </c>
      <c r="I9">
        <v>1.106199596</v>
      </c>
      <c r="J9">
        <v>1.053120437</v>
      </c>
      <c r="K9">
        <v>0.98011425910000005</v>
      </c>
      <c r="L9">
        <v>0.89776790900000003</v>
      </c>
      <c r="M9">
        <v>0.82200675519999999</v>
      </c>
      <c r="N9">
        <v>0.74243811429999995</v>
      </c>
      <c r="O9">
        <v>0.62216875760000001</v>
      </c>
      <c r="P9">
        <v>0.52803332609999998</v>
      </c>
      <c r="Q9">
        <v>0.43699179710000002</v>
      </c>
      <c r="R9">
        <v>0.32796001400000002</v>
      </c>
      <c r="S9">
        <v>0.21731484149999999</v>
      </c>
      <c r="T9">
        <v>0.20950362820000001</v>
      </c>
      <c r="U9">
        <v>0.2012342097</v>
      </c>
      <c r="V9">
        <v>0.1909540435</v>
      </c>
      <c r="W9">
        <v>0.122094836</v>
      </c>
      <c r="X9">
        <v>5.4837821199999998E-2</v>
      </c>
      <c r="Y9">
        <v>4.2173387200000002E-2</v>
      </c>
      <c r="Z9">
        <v>2.9735251599999998E-2</v>
      </c>
      <c r="AA9">
        <v>1.76046373E-2</v>
      </c>
      <c r="AB9">
        <v>1.74929141E-2</v>
      </c>
      <c r="AC9">
        <v>1.7407326000000001E-2</v>
      </c>
      <c r="AD9">
        <v>1.4364920200000001E-2</v>
      </c>
      <c r="AE9">
        <v>1.1379176600000001E-2</v>
      </c>
      <c r="AF9">
        <v>8.4512845599999994E-3</v>
      </c>
      <c r="AG9">
        <v>8.3138145899999995E-3</v>
      </c>
      <c r="AH9">
        <v>8.1745514699999994E-3</v>
      </c>
      <c r="AI9">
        <v>8.1065594300000002E-3</v>
      </c>
      <c r="AJ9">
        <v>8.0340234399999995E-3</v>
      </c>
      <c r="AK9">
        <v>7.9627589999999998E-3</v>
      </c>
      <c r="AL9">
        <v>7.9217801399999906E-3</v>
      </c>
      <c r="AM9">
        <v>7.8782958499999996E-3</v>
      </c>
      <c r="AN9">
        <v>7.8104715899999996E-3</v>
      </c>
      <c r="AO9">
        <v>7.7438565899999997E-3</v>
      </c>
      <c r="AP9">
        <v>7.6758013499999998E-3</v>
      </c>
      <c r="AQ9">
        <v>7.6065519999999999E-3</v>
      </c>
      <c r="AR9">
        <v>7.5336942900000002E-3</v>
      </c>
      <c r="AS9">
        <v>7.4851479699999997E-3</v>
      </c>
      <c r="AT9">
        <v>7.4396956900000004E-3</v>
      </c>
      <c r="AU9">
        <v>7.3929904400000003E-3</v>
      </c>
      <c r="AV9">
        <v>7.3442304700000001E-3</v>
      </c>
      <c r="AW9">
        <v>7.2934433599999996E-3</v>
      </c>
    </row>
    <row r="10" spans="1:49" x14ac:dyDescent="0.25">
      <c r="B10" t="s">
        <v>110</v>
      </c>
      <c r="C10">
        <v>0.29584764130791702</v>
      </c>
      <c r="D10" s="39">
        <v>0.300597570883747</v>
      </c>
      <c r="E10" s="39">
        <v>0.30706909919999997</v>
      </c>
      <c r="F10">
        <v>0.65459424209999995</v>
      </c>
      <c r="G10">
        <v>0.98923510739999998</v>
      </c>
      <c r="H10">
        <v>1.1908699810000001</v>
      </c>
      <c r="I10">
        <v>1.486394064</v>
      </c>
      <c r="J10">
        <v>1.7603600800000001</v>
      </c>
      <c r="K10">
        <v>1.9630884500000001</v>
      </c>
      <c r="L10">
        <v>2.0856864480000001</v>
      </c>
      <c r="M10">
        <v>2.1454220820000001</v>
      </c>
      <c r="N10">
        <v>2.1007258470000001</v>
      </c>
      <c r="O10">
        <v>2.2365471870000002</v>
      </c>
      <c r="P10">
        <v>2.4666353079999999</v>
      </c>
      <c r="Q10">
        <v>2.7520970870000001</v>
      </c>
      <c r="R10">
        <v>2.9647090309999999</v>
      </c>
      <c r="S10">
        <v>3.1824034810000001</v>
      </c>
      <c r="T10">
        <v>3.3757677880000001</v>
      </c>
      <c r="U10">
        <v>3.5703112620000002</v>
      </c>
      <c r="V10">
        <v>3.7347792860000002</v>
      </c>
      <c r="W10">
        <v>3.9622039180000002</v>
      </c>
      <c r="X10">
        <v>4.1105919220000002</v>
      </c>
      <c r="Y10">
        <v>4.3488596900000003</v>
      </c>
      <c r="Z10">
        <v>4.57345106</v>
      </c>
      <c r="AA10">
        <v>4.7897929189999999</v>
      </c>
      <c r="AB10">
        <v>5.0239501300000002</v>
      </c>
      <c r="AC10">
        <v>5.2626292650000002</v>
      </c>
      <c r="AD10">
        <v>5.8629530770000002</v>
      </c>
      <c r="AE10">
        <v>6.4505763470000002</v>
      </c>
      <c r="AF10">
        <v>7.0266372710000002</v>
      </c>
      <c r="AG10">
        <v>7.5098021749999999</v>
      </c>
      <c r="AH10">
        <v>7.9714602899999996</v>
      </c>
      <c r="AI10">
        <v>8.4973587439999996</v>
      </c>
      <c r="AJ10">
        <v>9.0082283269999994</v>
      </c>
      <c r="AK10">
        <v>9.5100187340000009</v>
      </c>
      <c r="AL10">
        <v>10.0132631</v>
      </c>
      <c r="AM10">
        <v>10.507453079999999</v>
      </c>
      <c r="AN10">
        <v>11.05390686</v>
      </c>
      <c r="AO10">
        <v>11.591109100000001</v>
      </c>
      <c r="AP10">
        <v>12.11517375</v>
      </c>
      <c r="AQ10">
        <v>12.62615703</v>
      </c>
      <c r="AR10">
        <v>13.11956251</v>
      </c>
      <c r="AS10">
        <v>13.637489130000001</v>
      </c>
      <c r="AT10">
        <v>14.153487119999999</v>
      </c>
      <c r="AU10">
        <v>14.6596838</v>
      </c>
      <c r="AV10">
        <v>15.154122299999999</v>
      </c>
      <c r="AW10">
        <v>15.63636561</v>
      </c>
    </row>
    <row r="11" spans="1:49" x14ac:dyDescent="0.25">
      <c r="B11" t="s">
        <v>111</v>
      </c>
      <c r="C11">
        <v>6.65657192942814E-2</v>
      </c>
      <c r="D11" s="39">
        <v>6.7634453448843099E-2</v>
      </c>
      <c r="E11" s="39">
        <v>6.9090547299999999E-2</v>
      </c>
      <c r="F11" s="39">
        <v>9.4385256299999998E-2</v>
      </c>
      <c r="G11" s="39">
        <v>0.12833740499999999</v>
      </c>
      <c r="H11" s="39">
        <v>0.1587412762</v>
      </c>
      <c r="I11">
        <v>0.21910884459999999</v>
      </c>
      <c r="J11">
        <v>0.30137735459999998</v>
      </c>
      <c r="K11">
        <v>0.4052429286</v>
      </c>
      <c r="L11">
        <v>0.53630145740000001</v>
      </c>
      <c r="M11">
        <v>0.7094576051</v>
      </c>
      <c r="N11">
        <v>0.92580065369999998</v>
      </c>
      <c r="O11">
        <v>0.98565781480000003</v>
      </c>
      <c r="P11">
        <v>1.0870588299999999</v>
      </c>
      <c r="Q11">
        <v>1.2128632989999999</v>
      </c>
      <c r="R11">
        <v>1.3065624739999999</v>
      </c>
      <c r="S11">
        <v>1.402501534</v>
      </c>
      <c r="T11">
        <v>1.4672711199999999</v>
      </c>
      <c r="U11">
        <v>1.532036212</v>
      </c>
      <c r="V11">
        <v>1.583588733</v>
      </c>
      <c r="W11">
        <v>1.814055857</v>
      </c>
      <c r="X11">
        <v>2.0016128009999998</v>
      </c>
      <c r="Y11">
        <v>2.3438907800000002</v>
      </c>
      <c r="Z11">
        <v>2.6736717890000001</v>
      </c>
      <c r="AA11">
        <v>2.9934723700000001</v>
      </c>
      <c r="AB11">
        <v>3.316281112</v>
      </c>
      <c r="AC11">
        <v>3.6401890990000001</v>
      </c>
      <c r="AD11">
        <v>3.9770944250000002</v>
      </c>
      <c r="AE11">
        <v>4.3067521080000004</v>
      </c>
      <c r="AF11">
        <v>4.6299093119999997</v>
      </c>
      <c r="AG11">
        <v>4.8927637969999997</v>
      </c>
      <c r="AH11">
        <v>5.1433068500000001</v>
      </c>
      <c r="AI11">
        <v>5.3560893619999996</v>
      </c>
      <c r="AJ11">
        <v>5.5614394440000003</v>
      </c>
      <c r="AK11">
        <v>5.7631363870000003</v>
      </c>
      <c r="AL11">
        <v>5.9733785949999998</v>
      </c>
      <c r="AM11">
        <v>6.1791737400000004</v>
      </c>
      <c r="AN11">
        <v>6.4193783120000001</v>
      </c>
      <c r="AO11">
        <v>6.6555265490000002</v>
      </c>
      <c r="AP11">
        <v>6.8853780589999998</v>
      </c>
      <c r="AQ11">
        <v>7.1090005639999996</v>
      </c>
      <c r="AR11">
        <v>7.3239124650000003</v>
      </c>
      <c r="AS11">
        <v>7.4903252189999998</v>
      </c>
      <c r="AT11">
        <v>7.6571516690000001</v>
      </c>
      <c r="AU11">
        <v>7.8200585800000004</v>
      </c>
      <c r="AV11">
        <v>7.9780677369999999</v>
      </c>
      <c r="AW11">
        <v>8.1310339870000004</v>
      </c>
    </row>
    <row r="12" spans="1:49" x14ac:dyDescent="0.25">
      <c r="B12" t="s">
        <v>112</v>
      </c>
      <c r="C12">
        <v>3.32767453113023</v>
      </c>
      <c r="D12" s="39">
        <v>3.3811014220943498</v>
      </c>
      <c r="E12">
        <v>3.4538927410000002</v>
      </c>
      <c r="F12" s="39">
        <v>3.4216903080000001</v>
      </c>
      <c r="G12" s="39">
        <v>3.3739304099999998</v>
      </c>
      <c r="H12" s="39">
        <v>3.0263493600000002</v>
      </c>
      <c r="I12">
        <v>3.029252182</v>
      </c>
      <c r="J12">
        <v>3.0215686349999999</v>
      </c>
      <c r="K12">
        <v>2.9463451379999999</v>
      </c>
      <c r="L12">
        <v>2.8276358419999998</v>
      </c>
      <c r="M12" s="39">
        <v>2.7126094850000002</v>
      </c>
      <c r="N12">
        <v>2.5669927220000002</v>
      </c>
      <c r="O12">
        <v>2.7329603050000002</v>
      </c>
      <c r="P12">
        <v>3.014117664</v>
      </c>
      <c r="Q12">
        <v>3.3629391480000002</v>
      </c>
      <c r="R12">
        <v>3.6227414040000001</v>
      </c>
      <c r="S12">
        <v>3.8887542540000002</v>
      </c>
      <c r="T12">
        <v>4.1056139070000004</v>
      </c>
      <c r="U12">
        <v>4.3234165459999998</v>
      </c>
      <c r="V12">
        <v>4.5045080730000002</v>
      </c>
      <c r="W12">
        <v>4.481282717</v>
      </c>
      <c r="X12">
        <v>4.3835917320000002</v>
      </c>
      <c r="Y12">
        <v>4.3405301889999999</v>
      </c>
      <c r="Z12">
        <v>4.2905504849999998</v>
      </c>
      <c r="AA12">
        <v>4.2396054449999996</v>
      </c>
      <c r="AB12">
        <v>4.2151015120000004</v>
      </c>
      <c r="AC12">
        <v>4.1968680059999999</v>
      </c>
      <c r="AD12">
        <v>4.2019510069999999</v>
      </c>
      <c r="AE12">
        <v>4.2062007939999999</v>
      </c>
      <c r="AF12">
        <v>4.2102824209999996</v>
      </c>
      <c r="AG12">
        <v>4.1641870660000002</v>
      </c>
      <c r="AH12">
        <v>4.1164483040000004</v>
      </c>
      <c r="AI12">
        <v>4.0518615599999999</v>
      </c>
      <c r="AJ12">
        <v>3.9855297250000001</v>
      </c>
      <c r="AK12">
        <v>3.9203670239999999</v>
      </c>
      <c r="AL12">
        <v>3.8761646930000002</v>
      </c>
      <c r="AM12">
        <v>3.8309926230000002</v>
      </c>
      <c r="AN12">
        <v>3.8186523229999998</v>
      </c>
      <c r="AO12">
        <v>3.8065479670000002</v>
      </c>
      <c r="AP12">
        <v>3.7933797579999999</v>
      </c>
      <c r="AQ12">
        <v>3.7792585660000002</v>
      </c>
      <c r="AR12">
        <v>3.762969038</v>
      </c>
      <c r="AS12">
        <v>3.7298958780000002</v>
      </c>
      <c r="AT12">
        <v>3.6984753210000001</v>
      </c>
      <c r="AU12">
        <v>3.666540532</v>
      </c>
      <c r="AV12">
        <v>3.6336992609999998</v>
      </c>
      <c r="AW12">
        <v>3.5999723910000001</v>
      </c>
    </row>
    <row r="13" spans="1:49" x14ac:dyDescent="0.25">
      <c r="B13" t="s">
        <v>113</v>
      </c>
      <c r="C13">
        <v>0.21556468620722</v>
      </c>
      <c r="D13" s="39">
        <v>0.21902564697065</v>
      </c>
      <c r="E13" s="39">
        <v>0.22374102330000001</v>
      </c>
      <c r="F13" s="39">
        <v>0.25753046829999998</v>
      </c>
      <c r="G13" s="39">
        <v>0.29503611660000001</v>
      </c>
      <c r="H13" s="39">
        <v>0.30747461619999999</v>
      </c>
      <c r="I13" s="39">
        <v>0.35758293159999999</v>
      </c>
      <c r="J13" s="39">
        <v>0.41440497380000002</v>
      </c>
      <c r="K13" s="39">
        <v>0.46949098690000002</v>
      </c>
      <c r="L13" s="39">
        <v>0.52350190019999998</v>
      </c>
      <c r="M13">
        <v>0.58348971449999998</v>
      </c>
      <c r="N13">
        <v>0.64153700260000002</v>
      </c>
      <c r="O13">
        <v>0.5885101277</v>
      </c>
      <c r="P13">
        <v>0.5602377409</v>
      </c>
      <c r="Q13">
        <v>0.53962237300000004</v>
      </c>
      <c r="R13">
        <v>0.50111565270000002</v>
      </c>
      <c r="S13">
        <v>0.46224613170000001</v>
      </c>
      <c r="T13">
        <v>0.49074922539999999</v>
      </c>
      <c r="U13">
        <v>0.51943427860000002</v>
      </c>
      <c r="V13">
        <v>0.54375000060000001</v>
      </c>
      <c r="W13">
        <v>0.63829606110000003</v>
      </c>
      <c r="X13">
        <v>0.71702768149999996</v>
      </c>
      <c r="Y13">
        <v>0.69403902809999996</v>
      </c>
      <c r="Z13">
        <v>0.67033014609999997</v>
      </c>
      <c r="AA13">
        <v>0.64688362560000001</v>
      </c>
      <c r="AB13">
        <v>0.62770380439999995</v>
      </c>
      <c r="AC13">
        <v>0.6096318288</v>
      </c>
      <c r="AD13">
        <v>0.63104788109999999</v>
      </c>
      <c r="AE13">
        <v>0.65193712010000004</v>
      </c>
      <c r="AF13">
        <v>0.67240674349999996</v>
      </c>
      <c r="AG13">
        <v>0.68635602299999998</v>
      </c>
      <c r="AH13">
        <v>0.69932888879999999</v>
      </c>
      <c r="AI13">
        <v>0.73077728770000006</v>
      </c>
      <c r="AJ13">
        <v>0.76117007209999998</v>
      </c>
      <c r="AK13">
        <v>0.79102229120000001</v>
      </c>
      <c r="AL13">
        <v>0.82216064249999998</v>
      </c>
      <c r="AM13">
        <v>0.85266356330000004</v>
      </c>
      <c r="AN13">
        <v>0.85321491679999995</v>
      </c>
      <c r="AO13">
        <v>0.85376252890000004</v>
      </c>
      <c r="AP13">
        <v>0.85401527919999998</v>
      </c>
      <c r="AQ13">
        <v>0.85399643520000001</v>
      </c>
      <c r="AR13">
        <v>0.85342888669999994</v>
      </c>
      <c r="AS13">
        <v>0.85554946809999999</v>
      </c>
      <c r="AT13">
        <v>0.85792800520000001</v>
      </c>
      <c r="AU13">
        <v>0.86006823489999995</v>
      </c>
      <c r="AV13">
        <v>0.86187224220000003</v>
      </c>
      <c r="AW13">
        <v>0.86333701750000003</v>
      </c>
    </row>
    <row r="14" spans="1:49" x14ac:dyDescent="0.25">
      <c r="B14" t="s">
        <v>114</v>
      </c>
      <c r="C14">
        <v>35.839918454870201</v>
      </c>
      <c r="D14" s="39">
        <v>36.415339938413297</v>
      </c>
      <c r="E14">
        <v>37.199321339999997</v>
      </c>
      <c r="F14">
        <v>38.321465840000002</v>
      </c>
      <c r="G14">
        <v>39.292781869999999</v>
      </c>
      <c r="H14">
        <v>36.649745340000003</v>
      </c>
      <c r="I14">
        <v>38.147191769999999</v>
      </c>
      <c r="J14">
        <v>39.567157369999997</v>
      </c>
      <c r="K14">
        <v>40.12003</v>
      </c>
      <c r="L14">
        <v>40.038366549999999</v>
      </c>
      <c r="M14">
        <v>39.940674299999998</v>
      </c>
      <c r="N14">
        <v>39.30320777</v>
      </c>
      <c r="O14">
        <v>37.832601910000001</v>
      </c>
      <c r="P14">
        <v>37.954445040000003</v>
      </c>
      <c r="Q14">
        <v>38.719485110000001</v>
      </c>
      <c r="R14">
        <v>38.306469800000002</v>
      </c>
      <c r="S14">
        <v>37.907255880000001</v>
      </c>
      <c r="T14">
        <v>38.300446999999998</v>
      </c>
      <c r="U14">
        <v>38.658719339999998</v>
      </c>
      <c r="V14">
        <v>38.662655309999998</v>
      </c>
      <c r="W14">
        <v>40.218808430000003</v>
      </c>
      <c r="X14">
        <v>41.012731420000001</v>
      </c>
      <c r="Y14">
        <v>41.077924830000001</v>
      </c>
      <c r="Z14">
        <v>41.066315860000003</v>
      </c>
      <c r="AA14">
        <v>41.033338190000002</v>
      </c>
      <c r="AB14">
        <v>41.276612270000001</v>
      </c>
      <c r="AC14">
        <v>41.57587384</v>
      </c>
      <c r="AD14">
        <v>41.662710449999999</v>
      </c>
      <c r="AE14">
        <v>41.740576969999999</v>
      </c>
      <c r="AF14">
        <v>41.816080390000003</v>
      </c>
      <c r="AG14">
        <v>41.60828875</v>
      </c>
      <c r="AH14">
        <v>41.37579882</v>
      </c>
      <c r="AI14">
        <v>41.540974069999997</v>
      </c>
      <c r="AJ14">
        <v>41.674035369999999</v>
      </c>
      <c r="AK14">
        <v>41.80465779</v>
      </c>
      <c r="AL14">
        <v>42.083423209999999</v>
      </c>
      <c r="AM14">
        <v>42.343612790000002</v>
      </c>
      <c r="AN14">
        <v>42.337362169999999</v>
      </c>
      <c r="AO14">
        <v>42.331499409999999</v>
      </c>
      <c r="AP14">
        <v>42.311585979999997</v>
      </c>
      <c r="AQ14">
        <v>42.278791720000001</v>
      </c>
      <c r="AR14">
        <v>42.219422610000002</v>
      </c>
      <c r="AS14">
        <v>42.156830130000003</v>
      </c>
      <c r="AT14">
        <v>42.109033009999997</v>
      </c>
      <c r="AU14">
        <v>42.051565070000002</v>
      </c>
      <c r="AV14">
        <v>41.97973829</v>
      </c>
      <c r="AW14">
        <v>41.893538650000004</v>
      </c>
    </row>
    <row r="15" spans="1:49" x14ac:dyDescent="0.25">
      <c r="B15" t="s">
        <v>115</v>
      </c>
      <c r="C15">
        <v>36.006525643363197</v>
      </c>
      <c r="D15" s="39">
        <v>36.584622059208101</v>
      </c>
      <c r="E15" s="39">
        <v>37.372055510000003</v>
      </c>
      <c r="F15" s="39">
        <v>38.551811069999999</v>
      </c>
      <c r="G15" s="39">
        <v>38.418501089999999</v>
      </c>
      <c r="H15" s="39">
        <v>37.678854919999999</v>
      </c>
      <c r="I15" s="39">
        <v>39.42760509</v>
      </c>
      <c r="J15" s="39">
        <v>40.258883689999998</v>
      </c>
      <c r="K15" s="39">
        <v>39.623900849999998</v>
      </c>
      <c r="L15" s="39">
        <v>39.777425399999998</v>
      </c>
      <c r="M15">
        <v>40.933576950000003</v>
      </c>
      <c r="N15">
        <v>42.899116980000002</v>
      </c>
      <c r="O15">
        <v>44.182451399999998</v>
      </c>
      <c r="P15" s="39">
        <v>44.47364975</v>
      </c>
      <c r="Q15">
        <v>42.681695429999998</v>
      </c>
      <c r="R15">
        <v>41.544350659999999</v>
      </c>
      <c r="S15">
        <v>40.880677689999999</v>
      </c>
      <c r="T15">
        <v>40.705833040000002</v>
      </c>
      <c r="U15">
        <v>40.556105539999997</v>
      </c>
      <c r="V15">
        <v>41.15660939</v>
      </c>
      <c r="W15">
        <v>40.541415200000003</v>
      </c>
      <c r="X15">
        <v>39.802489829999999</v>
      </c>
      <c r="Y15">
        <v>39.156500620000003</v>
      </c>
      <c r="Z15">
        <v>38.685039150000001</v>
      </c>
      <c r="AA15">
        <v>38.189233729999998</v>
      </c>
      <c r="AB15">
        <v>37.124664240000001</v>
      </c>
      <c r="AC15">
        <v>36.05484818</v>
      </c>
      <c r="AD15">
        <v>35.692549370000002</v>
      </c>
      <c r="AE15">
        <v>35.371562820000001</v>
      </c>
      <c r="AF15">
        <v>35.104071589999997</v>
      </c>
      <c r="AG15">
        <v>34.742771230000002</v>
      </c>
      <c r="AH15">
        <v>34.399427180000004</v>
      </c>
      <c r="AI15">
        <v>34.193358670000002</v>
      </c>
      <c r="AJ15">
        <v>34.039674580000003</v>
      </c>
      <c r="AK15">
        <v>33.918283799999998</v>
      </c>
      <c r="AL15">
        <v>33.246857169999998</v>
      </c>
      <c r="AM15">
        <v>32.629802310000002</v>
      </c>
      <c r="AN15">
        <v>32.595478890000003</v>
      </c>
      <c r="AO15">
        <v>32.593305919999999</v>
      </c>
      <c r="AP15">
        <v>32.626812999999999</v>
      </c>
      <c r="AQ15">
        <v>32.708223259999997</v>
      </c>
      <c r="AR15">
        <v>32.827881830000003</v>
      </c>
      <c r="AS15">
        <v>32.393309870000003</v>
      </c>
      <c r="AT15">
        <v>31.96726941</v>
      </c>
      <c r="AU15">
        <v>31.553567650000002</v>
      </c>
      <c r="AV15">
        <v>31.146491640000001</v>
      </c>
      <c r="AW15">
        <v>30.756234190000001</v>
      </c>
    </row>
    <row r="16" spans="1:49" x14ac:dyDescent="0.25">
      <c r="B16" t="s">
        <v>116</v>
      </c>
      <c r="C16">
        <v>33.108335480742298</v>
      </c>
      <c r="D16">
        <v>33.639900516080203</v>
      </c>
      <c r="E16">
        <v>34.363952900000001</v>
      </c>
      <c r="F16">
        <v>34.38627271</v>
      </c>
      <c r="G16">
        <v>33.240299120000003</v>
      </c>
      <c r="H16">
        <v>31.623241929999999</v>
      </c>
      <c r="I16">
        <v>32.09913143</v>
      </c>
      <c r="J16">
        <v>31.793533650000001</v>
      </c>
      <c r="K16">
        <v>30.354178780000002</v>
      </c>
      <c r="L16">
        <v>29.55848138</v>
      </c>
      <c r="M16">
        <v>29.505931709999999</v>
      </c>
      <c r="N16">
        <v>29.995919350000001</v>
      </c>
      <c r="O16">
        <v>30.762022510000001</v>
      </c>
      <c r="P16">
        <v>30.83291286</v>
      </c>
      <c r="Q16">
        <v>29.464262380000001</v>
      </c>
      <c r="R16">
        <v>28.55639622</v>
      </c>
      <c r="S16">
        <v>27.97965628</v>
      </c>
      <c r="T16">
        <v>26.733451909999999</v>
      </c>
      <c r="U16">
        <v>25.485871249999999</v>
      </c>
      <c r="V16">
        <v>24.422047330000002</v>
      </c>
      <c r="W16">
        <v>23.953190339999999</v>
      </c>
      <c r="X16">
        <v>23.097675070000001</v>
      </c>
      <c r="Y16">
        <v>21.80034096</v>
      </c>
      <c r="Z16">
        <v>20.637602350000002</v>
      </c>
      <c r="AA16">
        <v>19.491953689999999</v>
      </c>
      <c r="AB16">
        <v>18.13020994</v>
      </c>
      <c r="AC16">
        <v>16.815520190000001</v>
      </c>
      <c r="AD16">
        <v>14.981851150000001</v>
      </c>
      <c r="AE16">
        <v>13.230570200000001</v>
      </c>
      <c r="AF16">
        <v>11.55915983</v>
      </c>
      <c r="AG16">
        <v>10.596850420000001</v>
      </c>
      <c r="AH16">
        <v>9.6732891379999995</v>
      </c>
      <c r="AI16">
        <v>8.7776825709999997</v>
      </c>
      <c r="AJ16">
        <v>7.9231975449999998</v>
      </c>
      <c r="AK16">
        <v>7.1003647250000004</v>
      </c>
      <c r="AL16">
        <v>8.1800286369999995</v>
      </c>
      <c r="AM16">
        <v>9.1942024100000008</v>
      </c>
      <c r="AN16">
        <v>7.8984466050000002</v>
      </c>
      <c r="AO16">
        <v>6.6363899320000002</v>
      </c>
      <c r="AP16">
        <v>5.4036819510000003</v>
      </c>
      <c r="AQ16">
        <v>4.1968040330000003</v>
      </c>
      <c r="AR16">
        <v>3.0077736079999999</v>
      </c>
      <c r="AS16">
        <v>3.4775072460000001</v>
      </c>
      <c r="AT16">
        <v>3.924469422</v>
      </c>
      <c r="AU16">
        <v>4.35019635</v>
      </c>
      <c r="AV16">
        <v>4.7546990029999998</v>
      </c>
      <c r="AW16">
        <v>5.1408601059999999</v>
      </c>
    </row>
    <row r="17" spans="2:49" x14ac:dyDescent="0.25">
      <c r="B17" t="s">
        <v>117</v>
      </c>
      <c r="C17">
        <v>1.54983431156195</v>
      </c>
      <c r="D17">
        <v>1.57471740274219</v>
      </c>
      <c r="E17">
        <v>1.608611019</v>
      </c>
      <c r="F17" s="39">
        <v>2.643983564</v>
      </c>
      <c r="G17" s="39">
        <v>3.550571616</v>
      </c>
      <c r="H17" s="39">
        <v>4.3084027550000004</v>
      </c>
      <c r="I17">
        <v>5.2869968900000002</v>
      </c>
      <c r="J17">
        <v>6.0915788659999999</v>
      </c>
      <c r="K17">
        <v>6.5591458200000003</v>
      </c>
      <c r="L17">
        <v>7.0077340970000002</v>
      </c>
      <c r="M17">
        <v>7.4686654409999997</v>
      </c>
      <c r="N17">
        <v>7.8677095860000001</v>
      </c>
      <c r="O17">
        <v>8.1969129600000006</v>
      </c>
      <c r="P17">
        <v>8.3452248230000006</v>
      </c>
      <c r="Q17">
        <v>8.0993002020000002</v>
      </c>
      <c r="R17">
        <v>7.9712371209999997</v>
      </c>
      <c r="S17">
        <v>7.9300988889999999</v>
      </c>
      <c r="T17">
        <v>8.1062133749999994</v>
      </c>
      <c r="U17">
        <v>8.2906617560000004</v>
      </c>
      <c r="V17">
        <v>8.8455036899999904</v>
      </c>
      <c r="W17">
        <v>8.4023294740000001</v>
      </c>
      <c r="X17">
        <v>8.2118143660000005</v>
      </c>
      <c r="Y17">
        <v>8.1265418769999904</v>
      </c>
      <c r="Z17">
        <v>8.0758311159999998</v>
      </c>
      <c r="AA17">
        <v>8.0217932580000006</v>
      </c>
      <c r="AB17">
        <v>7.8755491170000003</v>
      </c>
      <c r="AC17">
        <v>7.7323338079999999</v>
      </c>
      <c r="AD17">
        <v>8.2179669549999996</v>
      </c>
      <c r="AE17">
        <v>8.6918239350000004</v>
      </c>
      <c r="AF17">
        <v>9.1584452439999904</v>
      </c>
      <c r="AG17">
        <v>9.1776993860000005</v>
      </c>
      <c r="AH17">
        <v>9.1988301620000001</v>
      </c>
      <c r="AI17">
        <v>9.2606733049999903</v>
      </c>
      <c r="AJ17">
        <v>9.3309786399999997</v>
      </c>
      <c r="AK17">
        <v>9.4056451849999902</v>
      </c>
      <c r="AL17">
        <v>8.1074594690000001</v>
      </c>
      <c r="AM17">
        <v>6.8958030949999998</v>
      </c>
      <c r="AN17">
        <v>7.4963147450000003</v>
      </c>
      <c r="AO17">
        <v>8.0893973769999903</v>
      </c>
      <c r="AP17">
        <v>8.6778478289999903</v>
      </c>
      <c r="AQ17">
        <v>9.2663217590000002</v>
      </c>
      <c r="AR17">
        <v>9.8556126010000007</v>
      </c>
      <c r="AS17">
        <v>9.1626574929999904</v>
      </c>
      <c r="AT17">
        <v>8.4998405170000009</v>
      </c>
      <c r="AU17">
        <v>7.8665452020000002</v>
      </c>
      <c r="AV17">
        <v>7.2607458850000004</v>
      </c>
      <c r="AW17">
        <v>6.6824331719999996</v>
      </c>
    </row>
    <row r="18" spans="2:49" x14ac:dyDescent="0.25">
      <c r="B18" t="s">
        <v>118</v>
      </c>
      <c r="C18">
        <v>0.19372928894524399</v>
      </c>
      <c r="D18">
        <v>0.196839675342774</v>
      </c>
      <c r="E18">
        <v>0.20107637740000001</v>
      </c>
      <c r="F18">
        <v>0.19509552999999999</v>
      </c>
      <c r="G18">
        <v>0.18286534839999999</v>
      </c>
      <c r="H18">
        <v>0.16868527129999999</v>
      </c>
      <c r="I18">
        <v>0.16602302890000001</v>
      </c>
      <c r="J18">
        <v>0.1594476527</v>
      </c>
      <c r="K18">
        <v>0.14760534929999999</v>
      </c>
      <c r="L18">
        <v>0.13937022639999999</v>
      </c>
      <c r="M18">
        <v>0.13489675400000001</v>
      </c>
      <c r="N18">
        <v>0.13297151669999999</v>
      </c>
      <c r="O18">
        <v>0.2056705707</v>
      </c>
      <c r="P18">
        <v>0.27607540120000001</v>
      </c>
      <c r="Q18">
        <v>0.33109929020000001</v>
      </c>
      <c r="R18">
        <v>0.3865454821</v>
      </c>
      <c r="S18">
        <v>0.4434989258</v>
      </c>
      <c r="T18">
        <v>0.68777384009999998</v>
      </c>
      <c r="U18">
        <v>0.93637852340000005</v>
      </c>
      <c r="V18">
        <v>1.2231619220000001</v>
      </c>
      <c r="W18">
        <v>1.3059159849999999</v>
      </c>
      <c r="X18">
        <v>1.390022133</v>
      </c>
      <c r="Y18">
        <v>1.789795877</v>
      </c>
      <c r="Z18">
        <v>2.1802668810000001</v>
      </c>
      <c r="AA18">
        <v>2.5539271160000001</v>
      </c>
      <c r="AB18">
        <v>2.8119004799999998</v>
      </c>
      <c r="AC18">
        <v>3.0454165039999999</v>
      </c>
      <c r="AD18">
        <v>3.5835244579999999</v>
      </c>
      <c r="AE18">
        <v>4.103170328</v>
      </c>
      <c r="AF18">
        <v>4.608638011</v>
      </c>
      <c r="AG18">
        <v>4.9767648619999996</v>
      </c>
      <c r="AH18">
        <v>5.3301522410000004</v>
      </c>
      <c r="AI18">
        <v>5.7864782999999997</v>
      </c>
      <c r="AJ18">
        <v>6.2367159340000002</v>
      </c>
      <c r="AK18">
        <v>6.679511443</v>
      </c>
      <c r="AL18">
        <v>6.7670496260000004</v>
      </c>
      <c r="AM18">
        <v>6.8508876470000004</v>
      </c>
      <c r="AN18">
        <v>7.2008431010000002</v>
      </c>
      <c r="AO18">
        <v>7.5522909580000004</v>
      </c>
      <c r="AP18">
        <v>7.9077485110000003</v>
      </c>
      <c r="AQ18">
        <v>8.2724641499999905</v>
      </c>
      <c r="AR18">
        <v>8.6456587969999994</v>
      </c>
      <c r="AS18" s="39">
        <v>8.8022110139999903</v>
      </c>
      <c r="AT18">
        <v>8.9477065889999903</v>
      </c>
      <c r="AU18">
        <v>9.0840008040000004</v>
      </c>
      <c r="AV18">
        <v>9.2097356349999995</v>
      </c>
      <c r="AW18">
        <v>9.3290843690000003</v>
      </c>
    </row>
    <row r="19" spans="2:49" x14ac:dyDescent="0.25">
      <c r="B19" t="s">
        <v>119</v>
      </c>
      <c r="C19">
        <v>0.57343869527792402</v>
      </c>
      <c r="D19" s="39">
        <v>0.58264543901461296</v>
      </c>
      <c r="E19" s="39">
        <v>0.59518607720000005</v>
      </c>
      <c r="F19">
        <v>0.5892515492</v>
      </c>
      <c r="G19">
        <v>0.56356827139999999</v>
      </c>
      <c r="H19">
        <v>0.53046163989999995</v>
      </c>
      <c r="I19">
        <v>0.53272963350000002</v>
      </c>
      <c r="J19">
        <v>0.52205751960000002</v>
      </c>
      <c r="K19">
        <v>0.49313295359999998</v>
      </c>
      <c r="L19">
        <v>0.47510941499999998</v>
      </c>
      <c r="M19">
        <v>0.4692311481</v>
      </c>
      <c r="N19">
        <v>0.4719605073</v>
      </c>
      <c r="O19">
        <v>0.71249003970000002</v>
      </c>
      <c r="P19">
        <v>0.94467766819999999</v>
      </c>
      <c r="Q19">
        <v>1.124546168</v>
      </c>
      <c r="R19">
        <v>1.306322813</v>
      </c>
      <c r="S19">
        <v>1.493439255</v>
      </c>
      <c r="T19">
        <v>1.5493516700000001</v>
      </c>
      <c r="U19">
        <v>1.6072084499999999</v>
      </c>
      <c r="V19">
        <v>1.70295471</v>
      </c>
      <c r="W19">
        <v>1.431313399</v>
      </c>
      <c r="X19">
        <v>1.219415337</v>
      </c>
      <c r="Y19">
        <v>1.2365931809999999</v>
      </c>
      <c r="Z19">
        <v>1.2577837890000001</v>
      </c>
      <c r="AA19">
        <v>1.2769889059999999</v>
      </c>
      <c r="AB19">
        <v>1.2657039299999999</v>
      </c>
      <c r="AC19">
        <v>1.252899344</v>
      </c>
      <c r="AD19">
        <v>1.2890223169999999</v>
      </c>
      <c r="AE19">
        <v>1.3247487760000001</v>
      </c>
      <c r="AF19">
        <v>1.3607245349999999</v>
      </c>
      <c r="AG19">
        <v>1.345389409</v>
      </c>
      <c r="AH19">
        <v>1.3308695669999999</v>
      </c>
      <c r="AI19">
        <v>1.3357216059999999</v>
      </c>
      <c r="AJ19">
        <v>1.342139561</v>
      </c>
      <c r="AK19">
        <v>1.349427113</v>
      </c>
      <c r="AL19">
        <v>1.2032139070000001</v>
      </c>
      <c r="AM19">
        <v>1.066665813</v>
      </c>
      <c r="AN19">
        <v>1.119412096</v>
      </c>
      <c r="AO19">
        <v>1.172101099</v>
      </c>
      <c r="AP19">
        <v>1.2250580470000001</v>
      </c>
      <c r="AQ19">
        <v>1.2789381660000001</v>
      </c>
      <c r="AR19">
        <v>1.3336565010000001</v>
      </c>
      <c r="AS19">
        <v>1.251923356</v>
      </c>
      <c r="AT19">
        <v>1.173515619</v>
      </c>
      <c r="AU19">
        <v>1.0984338339999999</v>
      </c>
      <c r="AV19">
        <v>1.0263816960000001</v>
      </c>
      <c r="AW19">
        <v>0.95751838499999997</v>
      </c>
    </row>
    <row r="20" spans="2:49" x14ac:dyDescent="0.25">
      <c r="B20" t="s">
        <v>120</v>
      </c>
      <c r="C20">
        <v>0.19372928894524399</v>
      </c>
      <c r="D20" s="39">
        <v>0.196839675342774</v>
      </c>
      <c r="E20">
        <v>0.20107637740000001</v>
      </c>
      <c r="F20" s="39">
        <v>0.20694482149999999</v>
      </c>
      <c r="G20">
        <v>0.205752872</v>
      </c>
      <c r="H20" s="39">
        <v>0.20132555090000001</v>
      </c>
      <c r="I20" s="39">
        <v>0.21018286580000001</v>
      </c>
      <c r="J20" s="39">
        <v>0.21411857810000001</v>
      </c>
      <c r="K20" s="39">
        <v>0.21025462680000001</v>
      </c>
      <c r="L20" s="39">
        <v>0.2105817421</v>
      </c>
      <c r="M20">
        <v>0.2162018731</v>
      </c>
      <c r="N20">
        <v>0.22606005000000001</v>
      </c>
      <c r="O20">
        <v>0.27022987230000001</v>
      </c>
      <c r="P20">
        <v>0.30959670309999998</v>
      </c>
      <c r="Q20">
        <v>0.33312861830000001</v>
      </c>
      <c r="R20">
        <v>0.35923544200000002</v>
      </c>
      <c r="S20">
        <v>0.38785956649999997</v>
      </c>
      <c r="T20">
        <v>0.45957319819999998</v>
      </c>
      <c r="U20">
        <v>0.53273442090000001</v>
      </c>
      <c r="V20">
        <v>0.63977418610000003</v>
      </c>
      <c r="W20">
        <v>0.60125901250000002</v>
      </c>
      <c r="X20">
        <v>0.59360389790000001</v>
      </c>
      <c r="Y20">
        <v>0.63004119830000005</v>
      </c>
      <c r="Z20">
        <v>0.66743118050000005</v>
      </c>
      <c r="AA20">
        <v>0.70305747870000002</v>
      </c>
      <c r="AB20">
        <v>0.73045671960000003</v>
      </c>
      <c r="AC20">
        <v>0.75527158110000003</v>
      </c>
      <c r="AD20">
        <v>0.87785461539999998</v>
      </c>
      <c r="AE20">
        <v>0.99638712480000002</v>
      </c>
      <c r="AF20">
        <v>1.1117422770000001</v>
      </c>
      <c r="AG20">
        <v>1.170008851</v>
      </c>
      <c r="AH20">
        <v>1.226161251</v>
      </c>
      <c r="AI20">
        <v>1.251077019</v>
      </c>
      <c r="AJ20">
        <v>1.2767512809999999</v>
      </c>
      <c r="AK20">
        <v>1.3026516260000001</v>
      </c>
      <c r="AL20">
        <v>1.1491847399999999</v>
      </c>
      <c r="AM20">
        <v>1.005886536</v>
      </c>
      <c r="AN20">
        <v>1.0959495189999999</v>
      </c>
      <c r="AO20">
        <v>1.185146705</v>
      </c>
      <c r="AP20">
        <v>1.2739451399999999</v>
      </c>
      <c r="AQ20">
        <v>1.3631624840000001</v>
      </c>
      <c r="AR20">
        <v>1.452888886</v>
      </c>
      <c r="AS20">
        <v>1.371091405</v>
      </c>
      <c r="AT20">
        <v>1.2926201070000001</v>
      </c>
      <c r="AU20">
        <v>1.2174815729999999</v>
      </c>
      <c r="AV20">
        <v>1.1453673849999999</v>
      </c>
      <c r="AW20">
        <v>1.076456372</v>
      </c>
    </row>
    <row r="21" spans="2:49" x14ac:dyDescent="0.25">
      <c r="B21" t="s">
        <v>121</v>
      </c>
      <c r="C21">
        <v>0.38745857789048899</v>
      </c>
      <c r="D21" s="39">
        <v>0.39367935068554899</v>
      </c>
      <c r="E21" s="39">
        <v>0.40215275490000002</v>
      </c>
      <c r="F21" s="39">
        <v>0.53026289609999999</v>
      </c>
      <c r="G21" s="39">
        <v>0.67544386739999995</v>
      </c>
      <c r="H21">
        <v>0.84673777230000002</v>
      </c>
      <c r="I21">
        <v>1.1325412459999999</v>
      </c>
      <c r="J21">
        <v>1.47814742</v>
      </c>
      <c r="K21" s="39">
        <v>1.8595833159999999</v>
      </c>
      <c r="L21" s="39">
        <v>2.3861485340000002</v>
      </c>
      <c r="M21">
        <v>3.1386500289999999</v>
      </c>
      <c r="N21">
        <v>4.2044959720000001</v>
      </c>
      <c r="O21">
        <v>4.0351254479999996</v>
      </c>
      <c r="P21">
        <v>3.7651623019999998</v>
      </c>
      <c r="Q21">
        <v>3.329358773</v>
      </c>
      <c r="R21">
        <v>2.9646135870000001</v>
      </c>
      <c r="S21">
        <v>2.6461247769999998</v>
      </c>
      <c r="T21">
        <v>3.1694690470000002</v>
      </c>
      <c r="U21">
        <v>3.7032511330000002</v>
      </c>
      <c r="V21">
        <v>4.3231675430000003</v>
      </c>
      <c r="W21">
        <v>4.8474069890000004</v>
      </c>
      <c r="X21">
        <v>5.2899590239999998</v>
      </c>
      <c r="Y21">
        <v>5.5731875290000001</v>
      </c>
      <c r="Z21">
        <v>5.8661238329999996</v>
      </c>
      <c r="AA21">
        <v>6.1415132860000003</v>
      </c>
      <c r="AB21">
        <v>6.3108440559999996</v>
      </c>
      <c r="AC21">
        <v>6.4534067520000002</v>
      </c>
      <c r="AD21">
        <v>6.7423298809999999</v>
      </c>
      <c r="AE21">
        <v>7.0248624499999996</v>
      </c>
      <c r="AF21">
        <v>7.3053616960000003</v>
      </c>
      <c r="AG21">
        <v>7.4760583049999996</v>
      </c>
      <c r="AH21">
        <v>7.6401248239999999</v>
      </c>
      <c r="AI21">
        <v>7.7817258679999997</v>
      </c>
      <c r="AJ21">
        <v>7.929891617</v>
      </c>
      <c r="AK21">
        <v>8.0806837130000009</v>
      </c>
      <c r="AL21">
        <v>7.8399207950000003</v>
      </c>
      <c r="AM21">
        <v>7.6163568069999998</v>
      </c>
      <c r="AN21">
        <v>7.7845128189999997</v>
      </c>
      <c r="AO21">
        <v>7.9579798479999999</v>
      </c>
      <c r="AP21">
        <v>8.1385315200000008</v>
      </c>
      <c r="AQ21">
        <v>8.3305326649999998</v>
      </c>
      <c r="AR21">
        <v>8.5322914349999994</v>
      </c>
      <c r="AS21">
        <v>8.3279193580000008</v>
      </c>
      <c r="AT21">
        <v>8.1291171539999905</v>
      </c>
      <c r="AU21">
        <v>7.9369098830000002</v>
      </c>
      <c r="AV21">
        <v>7.7495620389999997</v>
      </c>
      <c r="AW21">
        <v>7.569881788</v>
      </c>
    </row>
    <row r="22" spans="2:49" x14ac:dyDescent="0.25">
      <c r="B22" t="s">
        <v>122</v>
      </c>
      <c r="C22">
        <v>5.5705789795526002</v>
      </c>
      <c r="D22" s="39">
        <v>5.6600164269241402</v>
      </c>
      <c r="E22">
        <v>5.7508898210000003</v>
      </c>
      <c r="F22">
        <v>5.8023842989999999</v>
      </c>
      <c r="G22">
        <v>4.8416800809999998</v>
      </c>
      <c r="H22">
        <v>4.2395293430000001</v>
      </c>
      <c r="I22">
        <v>4.1106642520000003</v>
      </c>
      <c r="J22">
        <v>3.931993844</v>
      </c>
      <c r="K22">
        <v>3.8008705599999999</v>
      </c>
      <c r="L22">
        <v>4.0478281269999998</v>
      </c>
      <c r="M22">
        <v>4.1498832410000004</v>
      </c>
      <c r="N22">
        <v>4.2193120510000002</v>
      </c>
      <c r="O22">
        <v>3.311763827</v>
      </c>
      <c r="P22">
        <v>2.7932713140000001</v>
      </c>
      <c r="Q22">
        <v>2.4621726910000001</v>
      </c>
      <c r="R22">
        <v>2.2477257349999999</v>
      </c>
      <c r="S22">
        <v>2.062420516</v>
      </c>
      <c r="T22">
        <v>2.0475836049999998</v>
      </c>
      <c r="U22">
        <v>2.0123358539999998</v>
      </c>
      <c r="V22">
        <v>1.7120392419999999</v>
      </c>
      <c r="W22">
        <v>1.330220623</v>
      </c>
      <c r="X22">
        <v>0.97370411980000005</v>
      </c>
      <c r="Y22">
        <v>0.72808990019999997</v>
      </c>
      <c r="Z22">
        <v>0.56370066780000005</v>
      </c>
      <c r="AA22">
        <v>0.44879287179999999</v>
      </c>
      <c r="AB22">
        <v>0.36577980329999998</v>
      </c>
      <c r="AC22">
        <v>0.30519171859999999</v>
      </c>
      <c r="AD22">
        <v>0.2704015924</v>
      </c>
      <c r="AE22">
        <v>0.2451906693</v>
      </c>
      <c r="AF22">
        <v>0.22496483040000001</v>
      </c>
      <c r="AG22">
        <v>0.20827217079999999</v>
      </c>
      <c r="AH22">
        <v>0.1942664872</v>
      </c>
      <c r="AI22">
        <v>0.18287025339999999</v>
      </c>
      <c r="AJ22">
        <v>0.17314112970000001</v>
      </c>
      <c r="AK22">
        <v>0.16482742910000001</v>
      </c>
      <c r="AL22">
        <v>0.15734511470000001</v>
      </c>
      <c r="AM22">
        <v>0.15088655200000001</v>
      </c>
      <c r="AN22">
        <v>0.14428359060000001</v>
      </c>
      <c r="AO22">
        <v>0.1381939089</v>
      </c>
      <c r="AP22">
        <v>0.13248234049999999</v>
      </c>
      <c r="AQ22">
        <v>0.1271918071</v>
      </c>
      <c r="AR22">
        <v>0.1220672952</v>
      </c>
      <c r="AS22">
        <v>0.1176830696</v>
      </c>
      <c r="AT22">
        <v>0.1137541834</v>
      </c>
      <c r="AU22">
        <v>0.1101204266</v>
      </c>
      <c r="AV22">
        <v>0.1066790824</v>
      </c>
      <c r="AW22">
        <v>0.1034625856</v>
      </c>
    </row>
    <row r="23" spans="2:49" x14ac:dyDescent="0.25">
      <c r="B23" t="s">
        <v>123</v>
      </c>
      <c r="C23">
        <v>155.572754408756</v>
      </c>
      <c r="D23" s="39">
        <v>158.07052530222199</v>
      </c>
      <c r="E23" s="39">
        <v>160.99205900000001</v>
      </c>
      <c r="F23" s="39">
        <v>163.9264479</v>
      </c>
      <c r="G23">
        <v>160.9087644</v>
      </c>
      <c r="H23">
        <v>154.8880111</v>
      </c>
      <c r="I23">
        <v>156.78256759999999</v>
      </c>
      <c r="J23">
        <v>157.37892909999999</v>
      </c>
      <c r="K23">
        <v>155.35363290000001</v>
      </c>
      <c r="L23">
        <v>154.390918</v>
      </c>
      <c r="M23">
        <v>155.58972840000001</v>
      </c>
      <c r="N23">
        <v>157.68085450000001</v>
      </c>
      <c r="O23">
        <v>155.07335520000001</v>
      </c>
      <c r="P23">
        <v>153.36227310000001</v>
      </c>
      <c r="Q23">
        <v>149.7374117</v>
      </c>
      <c r="R23">
        <v>146.7483435</v>
      </c>
      <c r="S23">
        <v>143.8827301</v>
      </c>
      <c r="T23">
        <v>143.69470340000001</v>
      </c>
      <c r="U23">
        <v>143.06485760000001</v>
      </c>
      <c r="V23">
        <v>142.32894719999999</v>
      </c>
      <c r="W23">
        <v>140.85892709999999</v>
      </c>
      <c r="X23">
        <v>138.3719251</v>
      </c>
      <c r="Y23">
        <v>135.45019690000001</v>
      </c>
      <c r="Z23">
        <v>132.820795</v>
      </c>
      <c r="AA23">
        <v>130.2594703</v>
      </c>
      <c r="AB23">
        <v>127.3496549</v>
      </c>
      <c r="AC23">
        <v>124.521593</v>
      </c>
      <c r="AD23">
        <v>122.1919659</v>
      </c>
      <c r="AE23">
        <v>119.9728997</v>
      </c>
      <c r="AF23">
        <v>117.8480344</v>
      </c>
      <c r="AG23">
        <v>115.4165331</v>
      </c>
      <c r="AH23">
        <v>113.0375003</v>
      </c>
      <c r="AI23">
        <v>111.18306939999999</v>
      </c>
      <c r="AJ23">
        <v>109.42905500000001</v>
      </c>
      <c r="AK23">
        <v>107.7673368</v>
      </c>
      <c r="AL23">
        <v>105.7760569</v>
      </c>
      <c r="AM23">
        <v>103.917006</v>
      </c>
      <c r="AN23">
        <v>102.53059039999999</v>
      </c>
      <c r="AO23">
        <v>101.2136393</v>
      </c>
      <c r="AP23">
        <v>99.965104490000002</v>
      </c>
      <c r="AQ23">
        <v>98.799679060000003</v>
      </c>
      <c r="AR23">
        <v>97.654758740000005</v>
      </c>
      <c r="AS23">
        <v>96.283381969999894</v>
      </c>
      <c r="AT23">
        <v>94.975380240000007</v>
      </c>
      <c r="AU23">
        <v>93.712957079999995</v>
      </c>
      <c r="AV23">
        <v>92.476860650000006</v>
      </c>
      <c r="AW23">
        <v>91.280751989999999</v>
      </c>
    </row>
    <row r="24" spans="2:49" x14ac:dyDescent="0.25">
      <c r="B24" t="s">
        <v>124</v>
      </c>
      <c r="C24">
        <v>2.7703288319169999</v>
      </c>
      <c r="D24">
        <v>2.8148073574016701</v>
      </c>
      <c r="E24">
        <v>2.86</v>
      </c>
      <c r="F24">
        <v>2.9588350019999998</v>
      </c>
      <c r="G24">
        <v>2.8517157389999999</v>
      </c>
      <c r="H24">
        <v>2.9727293170000002</v>
      </c>
      <c r="I24">
        <v>3.0839641709999999</v>
      </c>
      <c r="J24">
        <v>2.9564336689999999</v>
      </c>
      <c r="K24">
        <v>2.8756634700000001</v>
      </c>
      <c r="L24">
        <v>2.8032912140000001</v>
      </c>
      <c r="M24">
        <v>2.9915006690000001</v>
      </c>
      <c r="N24">
        <v>3.158178505</v>
      </c>
      <c r="O24">
        <v>3.237675292</v>
      </c>
      <c r="P24">
        <v>3.2640754740000002</v>
      </c>
      <c r="Q24">
        <v>3.065679625</v>
      </c>
      <c r="R24">
        <v>3.0592625930000001</v>
      </c>
      <c r="S24">
        <v>3.0812866649999999</v>
      </c>
      <c r="T24">
        <v>3.1163371070000001</v>
      </c>
      <c r="U24">
        <v>3.141926046</v>
      </c>
      <c r="V24">
        <v>3.2068067509999998</v>
      </c>
      <c r="W24">
        <v>3.2381711709999998</v>
      </c>
      <c r="X24">
        <v>3.241955548</v>
      </c>
      <c r="Y24">
        <v>3.2818702289999999</v>
      </c>
      <c r="Z24">
        <v>3.3328332029999999</v>
      </c>
      <c r="AA24">
        <v>3.3878777869999999</v>
      </c>
      <c r="AB24">
        <v>3.437317138</v>
      </c>
      <c r="AC24">
        <v>3.48043893</v>
      </c>
      <c r="AD24">
        <v>3.5285330090000002</v>
      </c>
      <c r="AE24">
        <v>3.582259965</v>
      </c>
      <c r="AF24">
        <v>3.6360178059999999</v>
      </c>
      <c r="AG24">
        <v>3.6886968090000001</v>
      </c>
      <c r="AH24">
        <v>3.7450258000000001</v>
      </c>
      <c r="AI24">
        <v>3.80811162</v>
      </c>
      <c r="AJ24">
        <v>3.877612617</v>
      </c>
      <c r="AK24">
        <v>3.9478564930000002</v>
      </c>
      <c r="AL24">
        <v>4.0087555510000001</v>
      </c>
      <c r="AM24">
        <v>4.0729625179999998</v>
      </c>
      <c r="AN24">
        <v>4.1435331480000004</v>
      </c>
      <c r="AO24">
        <v>4.218125691</v>
      </c>
      <c r="AP24">
        <v>4.2916053349999999</v>
      </c>
      <c r="AQ24">
        <v>4.3652981229999996</v>
      </c>
      <c r="AR24">
        <v>4.4379970220000002</v>
      </c>
      <c r="AS24">
        <v>4.4969669980000004</v>
      </c>
      <c r="AT24">
        <v>4.5549407540000004</v>
      </c>
      <c r="AU24">
        <v>4.6162415149999996</v>
      </c>
      <c r="AV24">
        <v>4.6793219410000004</v>
      </c>
      <c r="AW24">
        <v>4.7435790520000003</v>
      </c>
    </row>
    <row r="25" spans="2:49" x14ac:dyDescent="0.25">
      <c r="B25" t="s">
        <v>125</v>
      </c>
      <c r="C25">
        <v>46.663857241186399</v>
      </c>
      <c r="D25">
        <v>47.413060563046002</v>
      </c>
      <c r="E25">
        <v>48.17429259</v>
      </c>
      <c r="F25">
        <v>49.07412386</v>
      </c>
      <c r="G25">
        <v>46.526409209999997</v>
      </c>
      <c r="H25">
        <v>42.407811479999999</v>
      </c>
      <c r="I25">
        <v>42.366779029999996</v>
      </c>
      <c r="J25">
        <v>42.843743590000003</v>
      </c>
      <c r="K25">
        <v>40.834612919999998</v>
      </c>
      <c r="L25">
        <v>40.412368059999999</v>
      </c>
      <c r="M25">
        <v>40.89638703</v>
      </c>
      <c r="N25">
        <v>41.706474739999997</v>
      </c>
      <c r="O25">
        <v>39.403451250000003</v>
      </c>
      <c r="P25">
        <v>37.675730199999997</v>
      </c>
      <c r="Q25">
        <v>35.5143013</v>
      </c>
      <c r="R25">
        <v>33.947808170000002</v>
      </c>
      <c r="S25">
        <v>32.673850250000001</v>
      </c>
      <c r="T25">
        <v>33.048041619999999</v>
      </c>
      <c r="U25">
        <v>33.020810349999998</v>
      </c>
      <c r="V25">
        <v>33.56181625</v>
      </c>
      <c r="W25">
        <v>31.965659469999999</v>
      </c>
      <c r="X25">
        <v>30.261699650000001</v>
      </c>
      <c r="Y25">
        <v>29.17079987</v>
      </c>
      <c r="Z25">
        <v>28.658006199999999</v>
      </c>
      <c r="AA25">
        <v>28.441249800000001</v>
      </c>
      <c r="AB25">
        <v>28.432235460000001</v>
      </c>
      <c r="AC25">
        <v>28.642586210000001</v>
      </c>
      <c r="AD25">
        <v>28.803754430000001</v>
      </c>
      <c r="AE25">
        <v>29.099288489999999</v>
      </c>
      <c r="AF25">
        <v>29.427886600000001</v>
      </c>
      <c r="AG25">
        <v>29.760087739999999</v>
      </c>
      <c r="AH25">
        <v>30.135935499999999</v>
      </c>
      <c r="AI25">
        <v>30.586296430000001</v>
      </c>
      <c r="AJ25">
        <v>31.045731159999999</v>
      </c>
      <c r="AK25">
        <v>31.52475446</v>
      </c>
      <c r="AL25">
        <v>31.954686779999999</v>
      </c>
      <c r="AM25">
        <v>32.413150719999997</v>
      </c>
      <c r="AN25">
        <v>32.9066039</v>
      </c>
      <c r="AO25">
        <v>33.418766460000001</v>
      </c>
      <c r="AP25">
        <v>33.931551890000001</v>
      </c>
      <c r="AQ25">
        <v>34.459134380000002</v>
      </c>
      <c r="AR25">
        <v>34.980681230000002</v>
      </c>
      <c r="AS25">
        <v>35.411345619999999</v>
      </c>
      <c r="AT25">
        <v>35.860399149999999</v>
      </c>
      <c r="AU25">
        <v>36.322674120000002</v>
      </c>
      <c r="AV25">
        <v>36.790047319999999</v>
      </c>
      <c r="AW25">
        <v>37.270848360000002</v>
      </c>
    </row>
    <row r="26" spans="2:49" x14ac:dyDescent="0.25">
      <c r="B26" t="s">
        <v>126</v>
      </c>
      <c r="C26">
        <v>39.525714811669303</v>
      </c>
      <c r="D26">
        <v>40.160312947925298</v>
      </c>
      <c r="E26">
        <v>40.805099759999997</v>
      </c>
      <c r="F26">
        <v>40.72635725</v>
      </c>
      <c r="G26">
        <v>40.377323519999997</v>
      </c>
      <c r="H26">
        <v>40.314652389999999</v>
      </c>
      <c r="I26">
        <v>40.392865239999999</v>
      </c>
      <c r="J26">
        <v>40.252905509999998</v>
      </c>
      <c r="K26">
        <v>39.880739769999998</v>
      </c>
      <c r="L26">
        <v>39.636099639999998</v>
      </c>
      <c r="M26">
        <v>39.554164329999999</v>
      </c>
      <c r="N26">
        <v>39.686757579999998</v>
      </c>
      <c r="O26">
        <v>40.04717119</v>
      </c>
      <c r="P26">
        <v>40.158452060000002</v>
      </c>
      <c r="Q26">
        <v>39.800278480000003</v>
      </c>
      <c r="R26">
        <v>39.416764239999999</v>
      </c>
      <c r="S26">
        <v>39.002798660000003</v>
      </c>
      <c r="T26">
        <v>38.43301992</v>
      </c>
      <c r="U26">
        <v>38.167725099999998</v>
      </c>
      <c r="V26">
        <v>38.027354610000003</v>
      </c>
      <c r="W26">
        <v>37.78278238</v>
      </c>
      <c r="X26">
        <v>37.375170920000002</v>
      </c>
      <c r="Y26">
        <v>36.888677020000003</v>
      </c>
      <c r="Z26">
        <v>36.349574779999998</v>
      </c>
      <c r="AA26">
        <v>35.801924489999998</v>
      </c>
      <c r="AB26">
        <v>35.125325259999997</v>
      </c>
      <c r="AC26">
        <v>34.460465769999999</v>
      </c>
      <c r="AD26">
        <v>33.915762129999997</v>
      </c>
      <c r="AE26">
        <v>33.388925180000001</v>
      </c>
      <c r="AF26">
        <v>32.903423529999998</v>
      </c>
      <c r="AG26">
        <v>32.417257020000001</v>
      </c>
      <c r="AH26">
        <v>31.9532487</v>
      </c>
      <c r="AI26">
        <v>31.54490998</v>
      </c>
      <c r="AJ26">
        <v>31.17560044</v>
      </c>
      <c r="AK26">
        <v>30.833928910000001</v>
      </c>
      <c r="AL26">
        <v>30.353740630000001</v>
      </c>
      <c r="AM26">
        <v>29.8872754</v>
      </c>
      <c r="AN26">
        <v>29.57267787</v>
      </c>
      <c r="AO26">
        <v>29.255866940000001</v>
      </c>
      <c r="AP26">
        <v>28.958379650000001</v>
      </c>
      <c r="AQ26">
        <v>28.686814630000001</v>
      </c>
      <c r="AR26">
        <v>28.438924570000001</v>
      </c>
      <c r="AS26">
        <v>28.062380319999999</v>
      </c>
      <c r="AT26">
        <v>27.69196749</v>
      </c>
      <c r="AU26">
        <v>27.311872180000002</v>
      </c>
      <c r="AV26">
        <v>26.91854464</v>
      </c>
      <c r="AW26">
        <v>26.52310602</v>
      </c>
    </row>
    <row r="27" spans="2:49" x14ac:dyDescent="0.25">
      <c r="B27" t="s">
        <v>127</v>
      </c>
      <c r="C27">
        <v>21.072806770403201</v>
      </c>
      <c r="D27">
        <v>21.411137499294501</v>
      </c>
      <c r="E27">
        <v>21.754900240000001</v>
      </c>
      <c r="F27">
        <v>23.111618490000001</v>
      </c>
      <c r="G27">
        <v>23.888674080000001</v>
      </c>
      <c r="H27">
        <v>23.451884719999999</v>
      </c>
      <c r="I27">
        <v>24.614072740000001</v>
      </c>
      <c r="J27">
        <v>25.456155330000001</v>
      </c>
      <c r="K27">
        <v>25.802904689999998</v>
      </c>
      <c r="L27">
        <v>26.259227249999999</v>
      </c>
      <c r="M27">
        <v>27.122504630000002</v>
      </c>
      <c r="N27">
        <v>28.369625389999999</v>
      </c>
      <c r="O27">
        <v>28.0070084</v>
      </c>
      <c r="P27">
        <v>27.606159510000001</v>
      </c>
      <c r="Q27">
        <v>26.857592050000001</v>
      </c>
      <c r="R27">
        <v>25.887347070000001</v>
      </c>
      <c r="S27">
        <v>25.081150099999999</v>
      </c>
      <c r="T27">
        <v>25.091841469999999</v>
      </c>
      <c r="U27">
        <v>25.066795020000001</v>
      </c>
      <c r="V27">
        <v>25.161601789999999</v>
      </c>
      <c r="W27">
        <v>26.567654610000002</v>
      </c>
      <c r="X27">
        <v>27.247417479999999</v>
      </c>
      <c r="Y27">
        <v>27.300588050000002</v>
      </c>
      <c r="Z27">
        <v>27.079359719999999</v>
      </c>
      <c r="AA27">
        <v>26.650931150000002</v>
      </c>
      <c r="AB27">
        <v>25.939983380000001</v>
      </c>
      <c r="AC27">
        <v>25.123423219999999</v>
      </c>
      <c r="AD27">
        <v>24.893432600000001</v>
      </c>
      <c r="AE27">
        <v>24.623324230000001</v>
      </c>
      <c r="AF27">
        <v>24.350893419999998</v>
      </c>
      <c r="AG27">
        <v>24.04948757</v>
      </c>
      <c r="AH27">
        <v>23.754853700000002</v>
      </c>
      <c r="AI27">
        <v>23.48470184</v>
      </c>
      <c r="AJ27">
        <v>23.214922359999999</v>
      </c>
      <c r="AK27">
        <v>22.946526519999999</v>
      </c>
      <c r="AL27">
        <v>22.559847269999999</v>
      </c>
      <c r="AM27">
        <v>22.169963190000001</v>
      </c>
      <c r="AN27">
        <v>21.911312809999998</v>
      </c>
      <c r="AO27">
        <v>21.66900862</v>
      </c>
      <c r="AP27">
        <v>21.433747530000002</v>
      </c>
      <c r="AQ27">
        <v>21.206381409999999</v>
      </c>
      <c r="AR27">
        <v>20.98695352</v>
      </c>
      <c r="AS27">
        <v>20.656988869999999</v>
      </c>
      <c r="AT27">
        <v>20.32179159</v>
      </c>
      <c r="AU27">
        <v>19.989186010000001</v>
      </c>
      <c r="AV27">
        <v>19.660603869999999</v>
      </c>
      <c r="AW27">
        <v>19.336478830000001</v>
      </c>
    </row>
    <row r="28" spans="2:49" x14ac:dyDescent="0.25">
      <c r="B28" t="s">
        <v>128</v>
      </c>
      <c r="C28">
        <v>23.690458989791001</v>
      </c>
      <c r="D28">
        <v>24.070816971768199</v>
      </c>
      <c r="E28">
        <v>24.457281720000001</v>
      </c>
      <c r="F28">
        <v>24.57436478</v>
      </c>
      <c r="G28">
        <v>24.637372160000002</v>
      </c>
      <c r="H28">
        <v>24.824092239999999</v>
      </c>
      <c r="I28">
        <v>24.962266169999999</v>
      </c>
      <c r="J28">
        <v>25.045629089999998</v>
      </c>
      <c r="K28">
        <v>24.918431999999999</v>
      </c>
      <c r="L28">
        <v>24.723423539999999</v>
      </c>
      <c r="M28">
        <v>24.53782661</v>
      </c>
      <c r="N28">
        <v>24.284641919999999</v>
      </c>
      <c r="O28">
        <v>24.100557940000002</v>
      </c>
      <c r="P28">
        <v>24.109233809999999</v>
      </c>
      <c r="Q28">
        <v>24.123276180000001</v>
      </c>
      <c r="R28">
        <v>24.134988490000001</v>
      </c>
      <c r="S28">
        <v>23.934547330000001</v>
      </c>
      <c r="T28">
        <v>23.606148529999999</v>
      </c>
      <c r="U28">
        <v>23.14396283</v>
      </c>
      <c r="V28">
        <v>22.636725290000001</v>
      </c>
      <c r="W28">
        <v>22.358272889999999</v>
      </c>
      <c r="X28">
        <v>22.144364029999998</v>
      </c>
      <c r="Y28">
        <v>21.725378030000002</v>
      </c>
      <c r="Z28">
        <v>21.191131179999999</v>
      </c>
      <c r="AA28">
        <v>20.576643910000001</v>
      </c>
      <c r="AB28">
        <v>19.894017900000001</v>
      </c>
      <c r="AC28">
        <v>19.160350059999999</v>
      </c>
      <c r="AD28">
        <v>18.402624320000001</v>
      </c>
      <c r="AE28">
        <v>17.63923321</v>
      </c>
      <c r="AF28">
        <v>16.88715148</v>
      </c>
      <c r="AG28">
        <v>16.15905214</v>
      </c>
      <c r="AH28">
        <v>15.461950180000001</v>
      </c>
      <c r="AI28">
        <v>14.801691529999999</v>
      </c>
      <c r="AJ28">
        <v>14.18010095</v>
      </c>
      <c r="AK28">
        <v>13.593563509999999</v>
      </c>
      <c r="AL28">
        <v>13.0390549</v>
      </c>
      <c r="AM28">
        <v>12.514910560000001</v>
      </c>
      <c r="AN28">
        <v>12.020556729999999</v>
      </c>
      <c r="AO28">
        <v>11.555318489999999</v>
      </c>
      <c r="AP28">
        <v>11.11711953</v>
      </c>
      <c r="AQ28">
        <v>10.703846889999999</v>
      </c>
      <c r="AR28">
        <v>10.278234749999999</v>
      </c>
      <c r="AS28">
        <v>9.8797504180000004</v>
      </c>
      <c r="AT28">
        <v>9.5067048140000008</v>
      </c>
      <c r="AU28">
        <v>9.1570754969999903</v>
      </c>
      <c r="AV28">
        <v>8.8286557349999999</v>
      </c>
      <c r="AW28">
        <v>8.5166784480000004</v>
      </c>
    </row>
    <row r="29" spans="2:49" x14ac:dyDescent="0.25">
      <c r="B29" t="s">
        <v>129</v>
      </c>
      <c r="C29">
        <v>22.212930412666701</v>
      </c>
      <c r="D29">
        <v>22.569566195417998</v>
      </c>
      <c r="E29">
        <v>22.940484690000002</v>
      </c>
      <c r="F29">
        <v>23.48114854</v>
      </c>
      <c r="G29">
        <v>22.627269739999999</v>
      </c>
      <c r="H29">
        <v>20.916840959999998</v>
      </c>
      <c r="I29">
        <v>21.362620209999999</v>
      </c>
      <c r="J29">
        <v>20.824061879999999</v>
      </c>
      <c r="K29">
        <v>21.041280059999998</v>
      </c>
      <c r="L29">
        <v>20.556508310000002</v>
      </c>
      <c r="M29">
        <v>20.487345139999999</v>
      </c>
      <c r="N29">
        <v>20.47517641</v>
      </c>
      <c r="O29">
        <v>20.27749116</v>
      </c>
      <c r="P29">
        <v>20.54862202</v>
      </c>
      <c r="Q29">
        <v>20.376284120000001</v>
      </c>
      <c r="R29">
        <v>20.302172949999999</v>
      </c>
      <c r="S29">
        <v>20.1090971</v>
      </c>
      <c r="T29">
        <v>20.399314759999999</v>
      </c>
      <c r="U29">
        <v>20.523638250000001</v>
      </c>
      <c r="V29">
        <v>20.861729180000001</v>
      </c>
      <c r="W29">
        <v>21.12102192</v>
      </c>
      <c r="X29">
        <v>21.22700867</v>
      </c>
      <c r="Y29">
        <v>21.128669299999999</v>
      </c>
      <c r="Z29">
        <v>21.130454400000001</v>
      </c>
      <c r="AA29">
        <v>21.164244830000001</v>
      </c>
      <c r="AB29">
        <v>21.106935329999999</v>
      </c>
      <c r="AC29">
        <v>21.05057231</v>
      </c>
      <c r="AD29">
        <v>20.852321839999998</v>
      </c>
      <c r="AE29">
        <v>20.64880475</v>
      </c>
      <c r="AF29">
        <v>20.44788831</v>
      </c>
      <c r="AG29">
        <v>20.247456249999999</v>
      </c>
      <c r="AH29">
        <v>20.06847565</v>
      </c>
      <c r="AI29">
        <v>19.889232289999999</v>
      </c>
      <c r="AJ29">
        <v>19.71204041</v>
      </c>
      <c r="AK29">
        <v>19.537334789999999</v>
      </c>
      <c r="AL29">
        <v>19.309874829999998</v>
      </c>
      <c r="AM29">
        <v>19.136665520000001</v>
      </c>
      <c r="AN29">
        <v>19.072168609999999</v>
      </c>
      <c r="AO29">
        <v>19.002618869999999</v>
      </c>
      <c r="AP29">
        <v>18.940044919999998</v>
      </c>
      <c r="AQ29">
        <v>18.87822577</v>
      </c>
      <c r="AR29">
        <v>18.81296854</v>
      </c>
      <c r="AS29">
        <v>18.84549093</v>
      </c>
      <c r="AT29">
        <v>18.891603369999999</v>
      </c>
      <c r="AU29">
        <v>18.94377802</v>
      </c>
      <c r="AV29">
        <v>18.995742870000001</v>
      </c>
      <c r="AW29">
        <v>19.047063919999999</v>
      </c>
    </row>
    <row r="30" spans="2:49" x14ac:dyDescent="0.25">
      <c r="B30" t="s">
        <v>130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37179.433069999999</v>
      </c>
      <c r="T30">
        <v>37014.380270000001</v>
      </c>
      <c r="U30">
        <v>36687.539709999997</v>
      </c>
      <c r="V30">
        <v>36318.101560000003</v>
      </c>
      <c r="W30">
        <v>36456.715470000003</v>
      </c>
      <c r="X30">
        <v>36762.837140000003</v>
      </c>
      <c r="Y30">
        <v>36638.10873</v>
      </c>
      <c r="Z30">
        <v>36313.892820000001</v>
      </c>
      <c r="AA30">
        <v>35896.839469999999</v>
      </c>
      <c r="AB30">
        <v>35414.42858</v>
      </c>
      <c r="AC30">
        <v>34893.727729999999</v>
      </c>
      <c r="AD30">
        <v>34353.449430000001</v>
      </c>
      <c r="AE30">
        <v>33817.743499999997</v>
      </c>
      <c r="AF30">
        <v>33291.168519999999</v>
      </c>
      <c r="AG30">
        <v>32777.907619999998</v>
      </c>
      <c r="AH30">
        <v>32278.396199999999</v>
      </c>
      <c r="AI30">
        <v>31834.17108</v>
      </c>
      <c r="AJ30">
        <v>31428.593919999999</v>
      </c>
      <c r="AK30">
        <v>31044.272400000002</v>
      </c>
      <c r="AL30">
        <v>30670.348720000002</v>
      </c>
      <c r="AM30">
        <v>30304.93577</v>
      </c>
      <c r="AN30">
        <v>29947.084159999999</v>
      </c>
      <c r="AO30">
        <v>29598.847989999998</v>
      </c>
      <c r="AP30">
        <v>29258.144390000001</v>
      </c>
      <c r="AQ30">
        <v>28922.241699999999</v>
      </c>
      <c r="AR30">
        <v>28518.344079999999</v>
      </c>
      <c r="AS30">
        <v>28142.938450000001</v>
      </c>
      <c r="AT30">
        <v>27784.679899999999</v>
      </c>
      <c r="AU30">
        <v>27440.71488</v>
      </c>
      <c r="AV30">
        <v>27106.677769999998</v>
      </c>
      <c r="AW30">
        <v>26764.013500000001</v>
      </c>
    </row>
    <row r="31" spans="2:49" x14ac:dyDescent="0.25">
      <c r="B31" t="s">
        <v>131</v>
      </c>
      <c r="C31">
        <v>17.998489648965599</v>
      </c>
      <c r="D31">
        <v>18.287461222056098</v>
      </c>
      <c r="E31">
        <v>18.581072330000001</v>
      </c>
      <c r="F31">
        <v>17.559112219999999</v>
      </c>
      <c r="G31">
        <v>43.500128019999998</v>
      </c>
      <c r="H31">
        <v>73.298808629999996</v>
      </c>
      <c r="I31">
        <v>103.35346610000001</v>
      </c>
      <c r="J31">
        <v>142.7632059</v>
      </c>
      <c r="K31">
        <v>178.52899650000001</v>
      </c>
      <c r="L31">
        <v>209.24838209999999</v>
      </c>
      <c r="M31">
        <v>238.12304459999999</v>
      </c>
      <c r="N31">
        <v>253.1926948</v>
      </c>
      <c r="O31">
        <v>263.99269759999999</v>
      </c>
      <c r="P31">
        <v>269.3001117</v>
      </c>
      <c r="Q31">
        <v>293.19606110000001</v>
      </c>
      <c r="R31">
        <v>321.1236864</v>
      </c>
      <c r="S31">
        <v>364.18439489999997</v>
      </c>
      <c r="T31">
        <v>397.16169150000002</v>
      </c>
      <c r="U31">
        <v>450.67898750000001</v>
      </c>
      <c r="V31">
        <v>513.20852879999995</v>
      </c>
      <c r="W31">
        <v>596.43013289999999</v>
      </c>
      <c r="X31">
        <v>686.54471539999997</v>
      </c>
      <c r="Y31">
        <v>752.18669820000002</v>
      </c>
      <c r="Z31">
        <v>798.73919020000005</v>
      </c>
      <c r="AA31">
        <v>826.53311399999996</v>
      </c>
      <c r="AB31">
        <v>836.73157270000002</v>
      </c>
      <c r="AC31">
        <v>830.65364750000003</v>
      </c>
      <c r="AD31">
        <v>810.44170399999996</v>
      </c>
      <c r="AE31">
        <v>780.101944</v>
      </c>
      <c r="AF31">
        <v>743.63094890000002</v>
      </c>
      <c r="AG31">
        <v>704.34031179999999</v>
      </c>
      <c r="AH31">
        <v>664.46527979999996</v>
      </c>
      <c r="AI31">
        <v>625.36432860000002</v>
      </c>
      <c r="AJ31">
        <v>587.68387040000005</v>
      </c>
      <c r="AK31">
        <v>551.73701840000001</v>
      </c>
      <c r="AL31">
        <v>517.64403059999995</v>
      </c>
      <c r="AM31">
        <v>485.41860880000002</v>
      </c>
      <c r="AN31">
        <v>455.1450529</v>
      </c>
      <c r="AO31">
        <v>426.73180989999997</v>
      </c>
      <c r="AP31">
        <v>400.0780828</v>
      </c>
      <c r="AQ31">
        <v>375.08186490000003</v>
      </c>
      <c r="AR31">
        <v>350.08123749999999</v>
      </c>
      <c r="AS31">
        <v>326.74497489999999</v>
      </c>
      <c r="AT31">
        <v>304.96325009999998</v>
      </c>
      <c r="AU31">
        <v>284.63301760000002</v>
      </c>
      <c r="AV31">
        <v>265.65781479999998</v>
      </c>
      <c r="AW31">
        <v>247.94746079999999</v>
      </c>
    </row>
    <row r="32" spans="2:49" x14ac:dyDescent="0.25">
      <c r="B32" t="s">
        <v>132</v>
      </c>
      <c r="C32">
        <v>1571.8931047778699</v>
      </c>
      <c r="D32">
        <v>1597.13035701831</v>
      </c>
      <c r="E32">
        <v>1622.772802</v>
      </c>
      <c r="F32">
        <v>1970.0279969999999</v>
      </c>
      <c r="G32">
        <v>2306.304513</v>
      </c>
      <c r="H32">
        <v>2674.533144</v>
      </c>
      <c r="I32">
        <v>3008.8889960000001</v>
      </c>
      <c r="J32">
        <v>3315.7384040000002</v>
      </c>
      <c r="K32">
        <v>3539.4077459999999</v>
      </c>
      <c r="L32">
        <v>3727.6240699999998</v>
      </c>
      <c r="M32">
        <v>3906.4366500000001</v>
      </c>
      <c r="N32">
        <v>4050.9903389999999</v>
      </c>
      <c r="O32">
        <v>4204.0890289999998</v>
      </c>
      <c r="P32">
        <v>4379.3366100000003</v>
      </c>
      <c r="Q32">
        <v>4559.7067230000002</v>
      </c>
      <c r="R32">
        <v>4735.4887650000001</v>
      </c>
      <c r="S32">
        <v>4853.6185649999998</v>
      </c>
      <c r="T32">
        <v>4914.4059200000002</v>
      </c>
      <c r="U32">
        <v>4957.3006500000001</v>
      </c>
      <c r="V32">
        <v>4988.2881390000002</v>
      </c>
      <c r="W32">
        <v>5092.5471980000002</v>
      </c>
      <c r="X32">
        <v>5207.8035799999998</v>
      </c>
      <c r="Y32">
        <v>5230.1709659999997</v>
      </c>
      <c r="Z32">
        <v>5190.9927310000003</v>
      </c>
      <c r="AA32">
        <v>5098.7011380000004</v>
      </c>
      <c r="AB32">
        <v>4957.7680209999999</v>
      </c>
      <c r="AC32">
        <v>4775.9549260000003</v>
      </c>
      <c r="AD32">
        <v>4563.6789980000003</v>
      </c>
      <c r="AE32">
        <v>4333.3676519999999</v>
      </c>
      <c r="AF32">
        <v>4096.0277779999997</v>
      </c>
      <c r="AG32">
        <v>3860.1366849999999</v>
      </c>
      <c r="AH32">
        <v>3631.0061470000001</v>
      </c>
      <c r="AI32">
        <v>3411.5616989999999</v>
      </c>
      <c r="AJ32">
        <v>3202.9096509999999</v>
      </c>
      <c r="AK32">
        <v>3005.3629150000002</v>
      </c>
      <c r="AL32">
        <v>2818.7989510000002</v>
      </c>
      <c r="AM32">
        <v>2642.8701099999998</v>
      </c>
      <c r="AN32">
        <v>2477.8129039999999</v>
      </c>
      <c r="AO32">
        <v>2323.010323</v>
      </c>
      <c r="AP32">
        <v>2177.8523169999999</v>
      </c>
      <c r="AQ32">
        <v>2041.751479</v>
      </c>
      <c r="AR32">
        <v>1905.6424199999999</v>
      </c>
      <c r="AS32">
        <v>1778.6034520000001</v>
      </c>
      <c r="AT32">
        <v>1660.0318110000001</v>
      </c>
      <c r="AU32">
        <v>1549.363979</v>
      </c>
      <c r="AV32">
        <v>1446.073521</v>
      </c>
      <c r="AW32">
        <v>1349.668852</v>
      </c>
    </row>
    <row r="33" spans="2:49" x14ac:dyDescent="0.25">
      <c r="B33" t="s">
        <v>133</v>
      </c>
      <c r="C33">
        <v>3720.5673609549599</v>
      </c>
      <c r="D33">
        <v>3780.3022733867101</v>
      </c>
      <c r="E33">
        <v>3840.9962489999998</v>
      </c>
      <c r="F33">
        <v>4321.8929959999996</v>
      </c>
      <c r="G33">
        <v>4767.7167330000002</v>
      </c>
      <c r="H33">
        <v>5257.856409</v>
      </c>
      <c r="I33">
        <v>5701.6780419999996</v>
      </c>
      <c r="J33">
        <v>6103.6119420000005</v>
      </c>
      <c r="K33">
        <v>6382.9762899999996</v>
      </c>
      <c r="L33">
        <v>6611.4752349999999</v>
      </c>
      <c r="M33">
        <v>6827.1943600000004</v>
      </c>
      <c r="N33">
        <v>7001.1554429999997</v>
      </c>
      <c r="O33">
        <v>7191.324235</v>
      </c>
      <c r="P33">
        <v>7428.9709160000002</v>
      </c>
      <c r="Q33">
        <v>7666.7770909999999</v>
      </c>
      <c r="R33">
        <v>7896.804408</v>
      </c>
      <c r="S33">
        <v>8026.4786770000001</v>
      </c>
      <c r="T33">
        <v>8077.6624430000002</v>
      </c>
      <c r="U33">
        <v>8083.9641810000003</v>
      </c>
      <c r="V33">
        <v>8065.604327</v>
      </c>
      <c r="W33">
        <v>8153.8628189999999</v>
      </c>
      <c r="X33">
        <v>8258.2969799999901</v>
      </c>
      <c r="Y33">
        <v>8230.8785069999994</v>
      </c>
      <c r="Z33">
        <v>8118.3984220000002</v>
      </c>
      <c r="AA33">
        <v>7934.1180329999997</v>
      </c>
      <c r="AB33">
        <v>7684.7972490000002</v>
      </c>
      <c r="AC33">
        <v>7381.605595</v>
      </c>
      <c r="AD33">
        <v>7039.3544389999997</v>
      </c>
      <c r="AE33">
        <v>6675.3384759999999</v>
      </c>
      <c r="AF33">
        <v>6304.6305039999997</v>
      </c>
      <c r="AG33">
        <v>5938.7117509999998</v>
      </c>
      <c r="AH33">
        <v>5584.6730809999999</v>
      </c>
      <c r="AI33">
        <v>5246.3284009999998</v>
      </c>
      <c r="AJ33">
        <v>4925.0209249999998</v>
      </c>
      <c r="AK33">
        <v>4621.0277679999999</v>
      </c>
      <c r="AL33">
        <v>4334.0478130000001</v>
      </c>
      <c r="AM33">
        <v>4063.4857419999998</v>
      </c>
      <c r="AN33">
        <v>3809.673796</v>
      </c>
      <c r="AO33">
        <v>3571.6462080000001</v>
      </c>
      <c r="AP33">
        <v>3348.456322</v>
      </c>
      <c r="AQ33">
        <v>3139.1965169999999</v>
      </c>
      <c r="AR33">
        <v>2929.9261889999998</v>
      </c>
      <c r="AS33">
        <v>2734.6024769999999</v>
      </c>
      <c r="AT33">
        <v>2552.297971</v>
      </c>
      <c r="AU33">
        <v>2382.1459209999998</v>
      </c>
      <c r="AV33">
        <v>2223.3367600000001</v>
      </c>
      <c r="AW33">
        <v>2075.1145839999999</v>
      </c>
    </row>
    <row r="34" spans="2:49" x14ac:dyDescent="0.25">
      <c r="B34" t="s">
        <v>134</v>
      </c>
      <c r="C34">
        <v>5208.7853750706299</v>
      </c>
      <c r="D34">
        <v>5292.4141090967596</v>
      </c>
      <c r="E34">
        <v>5377.3855290000001</v>
      </c>
      <c r="F34">
        <v>5765.3062970000001</v>
      </c>
      <c r="G34">
        <v>6121.3518610000001</v>
      </c>
      <c r="H34">
        <v>6523.4189319999996</v>
      </c>
      <c r="I34">
        <v>6884.4590740000003</v>
      </c>
      <c r="J34">
        <v>7206.7340519999998</v>
      </c>
      <c r="K34">
        <v>7412.4941639999997</v>
      </c>
      <c r="L34">
        <v>7572.103161</v>
      </c>
      <c r="M34">
        <v>7722.351345</v>
      </c>
      <c r="N34">
        <v>7827.0189920000003</v>
      </c>
      <c r="O34">
        <v>7951.6653100000003</v>
      </c>
      <c r="P34">
        <v>8133.0151400000004</v>
      </c>
      <c r="Q34">
        <v>8310.1070099999997</v>
      </c>
      <c r="R34">
        <v>8483.5469790000006</v>
      </c>
      <c r="S34">
        <v>8551.8904170000005</v>
      </c>
      <c r="T34">
        <v>8559.4340680000005</v>
      </c>
      <c r="U34">
        <v>8513.8216560000001</v>
      </c>
      <c r="V34">
        <v>8441.2894309999901</v>
      </c>
      <c r="W34">
        <v>8471.3089020000007</v>
      </c>
      <c r="X34">
        <v>8517.9921479999903</v>
      </c>
      <c r="Y34">
        <v>8442.3609890000007</v>
      </c>
      <c r="Z34">
        <v>8289.3075570000001</v>
      </c>
      <c r="AA34">
        <v>8071.8223019999996</v>
      </c>
      <c r="AB34">
        <v>7796.3424450000002</v>
      </c>
      <c r="AC34">
        <v>7473.3893189999999</v>
      </c>
      <c r="AD34">
        <v>7116.8427769999998</v>
      </c>
      <c r="AE34">
        <v>6742.6876620000003</v>
      </c>
      <c r="AF34">
        <v>6364.7265809999999</v>
      </c>
      <c r="AG34">
        <v>5993.3976229999998</v>
      </c>
      <c r="AH34">
        <v>5635.0789349999995</v>
      </c>
      <c r="AI34">
        <v>5293.1357740000003</v>
      </c>
      <c r="AJ34">
        <v>4968.676023</v>
      </c>
      <c r="AK34">
        <v>4661.840631</v>
      </c>
      <c r="AL34">
        <v>4372.2503989999996</v>
      </c>
      <c r="AM34">
        <v>4099.2647589999997</v>
      </c>
      <c r="AN34">
        <v>3843.198429</v>
      </c>
      <c r="AO34">
        <v>3603.0663239999999</v>
      </c>
      <c r="AP34">
        <v>3377.9080130000002</v>
      </c>
      <c r="AQ34">
        <v>3166.8051230000001</v>
      </c>
      <c r="AR34">
        <v>2955.692931</v>
      </c>
      <c r="AS34">
        <v>2758.6507799999999</v>
      </c>
      <c r="AT34">
        <v>2574.7427210000001</v>
      </c>
      <c r="AU34">
        <v>2403.094188</v>
      </c>
      <c r="AV34">
        <v>2242.888391</v>
      </c>
      <c r="AW34">
        <v>2093.3627320000001</v>
      </c>
    </row>
    <row r="35" spans="2:49" x14ac:dyDescent="0.25">
      <c r="B35" t="s">
        <v>135</v>
      </c>
      <c r="C35">
        <v>13521.9613593495</v>
      </c>
      <c r="D35">
        <v>13739.0608227762</v>
      </c>
      <c r="E35" s="39">
        <v>13959.64589</v>
      </c>
      <c r="F35" s="39">
        <v>13633.74929</v>
      </c>
      <c r="G35" s="39">
        <v>13309.759749999999</v>
      </c>
      <c r="H35" s="39">
        <v>13039.97935</v>
      </c>
      <c r="I35">
        <v>12773.810869999999</v>
      </c>
      <c r="J35">
        <v>12507.686040000001</v>
      </c>
      <c r="K35" s="39">
        <v>12194.380370000001</v>
      </c>
      <c r="L35" s="39">
        <v>11881.54248</v>
      </c>
      <c r="M35" s="39">
        <v>11584.67218</v>
      </c>
      <c r="N35" s="39">
        <v>11272.314759999999</v>
      </c>
      <c r="O35" s="39">
        <v>10994.14033</v>
      </c>
      <c r="P35">
        <v>10798.59677</v>
      </c>
      <c r="Q35">
        <v>10609.240529999999</v>
      </c>
      <c r="R35">
        <v>10425.6433</v>
      </c>
      <c r="S35">
        <v>10176.90259</v>
      </c>
      <c r="T35">
        <v>9919.818346</v>
      </c>
      <c r="U35">
        <v>9596.4848529999999</v>
      </c>
      <c r="V35">
        <v>9252.8406360000008</v>
      </c>
      <c r="W35">
        <v>8979.3328569999994</v>
      </c>
      <c r="X35">
        <v>8729.0647590000008</v>
      </c>
      <c r="Y35">
        <v>8428.2500220000002</v>
      </c>
      <c r="Z35">
        <v>8101.2443810000004</v>
      </c>
      <c r="AA35">
        <v>7755.1063029999996</v>
      </c>
      <c r="AB35">
        <v>7392.8597900000004</v>
      </c>
      <c r="AC35">
        <v>7019.4897739999997</v>
      </c>
      <c r="AD35">
        <v>6641.6317499999996</v>
      </c>
      <c r="AE35">
        <v>6266.747891</v>
      </c>
      <c r="AF35">
        <v>5901.0599099999999</v>
      </c>
      <c r="AG35">
        <v>5549.0828940000001</v>
      </c>
      <c r="AH35">
        <v>5213.3398239999997</v>
      </c>
      <c r="AI35">
        <v>4894.9039059999996</v>
      </c>
      <c r="AJ35">
        <v>4593.7861919999996</v>
      </c>
      <c r="AK35">
        <v>4309.5618379999996</v>
      </c>
      <c r="AL35">
        <v>4041.5847119999999</v>
      </c>
      <c r="AM35">
        <v>3789.1096229999998</v>
      </c>
      <c r="AN35">
        <v>3552.35077</v>
      </c>
      <c r="AO35">
        <v>3330.3584040000001</v>
      </c>
      <c r="AP35">
        <v>3122.2254330000001</v>
      </c>
      <c r="AQ35">
        <v>2927.0933759999998</v>
      </c>
      <c r="AR35">
        <v>2731.957238</v>
      </c>
      <c r="AS35">
        <v>2549.8284440000002</v>
      </c>
      <c r="AT35">
        <v>2379.8407080000002</v>
      </c>
      <c r="AU35">
        <v>2221.1850669999999</v>
      </c>
      <c r="AV35">
        <v>2073.10626</v>
      </c>
      <c r="AW35">
        <v>1934.8992720000001</v>
      </c>
    </row>
    <row r="36" spans="2:49" x14ac:dyDescent="0.25">
      <c r="B36" t="s">
        <v>136</v>
      </c>
      <c r="C36">
        <v>4769.5635809194901</v>
      </c>
      <c r="D36" s="39">
        <v>4846.1404669702097</v>
      </c>
      <c r="E36">
        <v>4923.9468200000001</v>
      </c>
      <c r="F36">
        <v>4802.9456920000002</v>
      </c>
      <c r="G36">
        <v>4673.7276009999996</v>
      </c>
      <c r="H36">
        <v>4557.9893220000004</v>
      </c>
      <c r="I36">
        <v>4445.7910519999996</v>
      </c>
      <c r="J36">
        <v>4332.5221449999999</v>
      </c>
      <c r="K36">
        <v>4206.5746069999996</v>
      </c>
      <c r="L36">
        <v>4079.681568</v>
      </c>
      <c r="M36">
        <v>3958.4594010000001</v>
      </c>
      <c r="N36">
        <v>3830.998321</v>
      </c>
      <c r="O36">
        <v>3715.1408219999998</v>
      </c>
      <c r="P36">
        <v>3635.9111090000001</v>
      </c>
      <c r="Q36">
        <v>3556.149856</v>
      </c>
      <c r="R36">
        <v>3475.9556109999999</v>
      </c>
      <c r="S36">
        <v>3369.6787810000001</v>
      </c>
      <c r="T36">
        <v>3243.2250990000002</v>
      </c>
      <c r="U36">
        <v>3092.102445</v>
      </c>
      <c r="V36">
        <v>2934.9358670000001</v>
      </c>
      <c r="W36">
        <v>2792.1705769999999</v>
      </c>
      <c r="X36">
        <v>2657.321023</v>
      </c>
      <c r="Y36">
        <v>2521.4005790000001</v>
      </c>
      <c r="Z36">
        <v>2387.890625</v>
      </c>
      <c r="AA36">
        <v>2257.8368559999999</v>
      </c>
      <c r="AB36">
        <v>2131.494494</v>
      </c>
      <c r="AC36">
        <v>2009.2638099999999</v>
      </c>
      <c r="AD36">
        <v>1891.675373</v>
      </c>
      <c r="AE36">
        <v>1779.2203059999999</v>
      </c>
      <c r="AF36">
        <v>1672.2026739999999</v>
      </c>
      <c r="AG36">
        <v>1570.7533289999999</v>
      </c>
      <c r="AH36">
        <v>1474.831921</v>
      </c>
      <c r="AI36">
        <v>1384.2865380000001</v>
      </c>
      <c r="AJ36">
        <v>1298.894184</v>
      </c>
      <c r="AK36">
        <v>1218.411051</v>
      </c>
      <c r="AL36">
        <v>1142.5887379999999</v>
      </c>
      <c r="AM36">
        <v>1071.1826470000001</v>
      </c>
      <c r="AN36">
        <v>1004.23637</v>
      </c>
      <c r="AO36">
        <v>941.47281729999997</v>
      </c>
      <c r="AP36">
        <v>882.63133149999999</v>
      </c>
      <c r="AQ36">
        <v>827.46713499999998</v>
      </c>
      <c r="AR36">
        <v>772.30276570000001</v>
      </c>
      <c r="AS36">
        <v>720.81596490000004</v>
      </c>
      <c r="AT36">
        <v>672.76159070000006</v>
      </c>
      <c r="AU36">
        <v>627.91082900000004</v>
      </c>
      <c r="AV36">
        <v>586.05011219999994</v>
      </c>
      <c r="AW36">
        <v>546.98010720000002</v>
      </c>
    </row>
    <row r="37" spans="2:49" x14ac:dyDescent="0.25">
      <c r="B37" t="s">
        <v>137</v>
      </c>
      <c r="C37">
        <v>2185.3248924602099</v>
      </c>
      <c r="D37">
        <v>2220.4109904720199</v>
      </c>
      <c r="E37">
        <v>2256.0604069999999</v>
      </c>
      <c r="F37">
        <v>2171.0796930000001</v>
      </c>
      <c r="G37">
        <v>2081.2164200000002</v>
      </c>
      <c r="H37">
        <v>1996.001162</v>
      </c>
      <c r="I37">
        <v>1914.532616</v>
      </c>
      <c r="J37">
        <v>1833.2948859999999</v>
      </c>
      <c r="K37">
        <v>1752.155135</v>
      </c>
      <c r="L37">
        <v>1670.7647360000001</v>
      </c>
      <c r="M37">
        <v>1593.386051</v>
      </c>
      <c r="N37">
        <v>1522.281189</v>
      </c>
      <c r="O37">
        <v>1455.4943920000001</v>
      </c>
      <c r="P37">
        <v>1405.616972</v>
      </c>
      <c r="Q37">
        <v>1354.14517</v>
      </c>
      <c r="R37">
        <v>1301.171685</v>
      </c>
      <c r="S37">
        <v>1243.6131780000001</v>
      </c>
      <c r="T37">
        <v>1182.8074409999999</v>
      </c>
      <c r="U37">
        <v>1117.0959170000001</v>
      </c>
      <c r="V37">
        <v>1051.3843919999999</v>
      </c>
      <c r="W37">
        <v>989.53825159999997</v>
      </c>
      <c r="X37">
        <v>931.33011910000005</v>
      </c>
      <c r="Y37">
        <v>876.33030889999998</v>
      </c>
      <c r="Z37">
        <v>824.37396650000005</v>
      </c>
      <c r="AA37">
        <v>775.30408750000004</v>
      </c>
      <c r="AB37">
        <v>728.97117390000005</v>
      </c>
      <c r="AC37">
        <v>685.23290350000002</v>
      </c>
      <c r="AD37">
        <v>643.9538129</v>
      </c>
      <c r="AE37">
        <v>605.00499360000003</v>
      </c>
      <c r="AF37">
        <v>568.26379970000005</v>
      </c>
      <c r="AG37">
        <v>533.61356799999999</v>
      </c>
      <c r="AH37">
        <v>500.94334950000001</v>
      </c>
      <c r="AI37">
        <v>470.14765180000001</v>
      </c>
      <c r="AJ37">
        <v>441.12619180000002</v>
      </c>
      <c r="AK37">
        <v>413.78365930000001</v>
      </c>
      <c r="AL37">
        <v>388.02948959999998</v>
      </c>
      <c r="AM37">
        <v>363.7776465</v>
      </c>
      <c r="AN37">
        <v>341.04154360000001</v>
      </c>
      <c r="AO37">
        <v>319.72644709999997</v>
      </c>
      <c r="AP37">
        <v>299.74354419999997</v>
      </c>
      <c r="AQ37">
        <v>281.00957269999998</v>
      </c>
      <c r="AR37">
        <v>262.27560119999998</v>
      </c>
      <c r="AS37">
        <v>244.79056109999999</v>
      </c>
      <c r="AT37">
        <v>228.47119029999999</v>
      </c>
      <c r="AU37">
        <v>213.23977769999999</v>
      </c>
      <c r="AV37">
        <v>199.02379250000001</v>
      </c>
      <c r="AW37">
        <v>185.75553959999999</v>
      </c>
    </row>
    <row r="38" spans="2:49" x14ac:dyDescent="0.25">
      <c r="B38" t="s">
        <v>138</v>
      </c>
      <c r="C38">
        <v>6.9573204344700098E-3</v>
      </c>
      <c r="D38" s="39">
        <v>7.06902246445449E-3</v>
      </c>
      <c r="E38">
        <v>7.1825179100000001E-3</v>
      </c>
      <c r="F38">
        <v>1.77811922E-2</v>
      </c>
      <c r="G38">
        <v>4.2289114799999999E-2</v>
      </c>
      <c r="H38">
        <v>0.1111770514</v>
      </c>
      <c r="I38">
        <v>0.21092037029999999</v>
      </c>
      <c r="J38">
        <v>0.34765670920000002</v>
      </c>
      <c r="K38">
        <v>0.49890455709999998</v>
      </c>
      <c r="L38">
        <v>0.69941698600000002</v>
      </c>
      <c r="M38">
        <v>1.016930517</v>
      </c>
      <c r="N38">
        <v>1.42720772</v>
      </c>
      <c r="O38">
        <v>2.0195603059999998</v>
      </c>
      <c r="P38">
        <v>2.2975554790000001</v>
      </c>
      <c r="Q38">
        <v>2.8112478780000001</v>
      </c>
      <c r="R38">
        <v>3.736218579</v>
      </c>
      <c r="S38">
        <v>5.1076637959999998</v>
      </c>
      <c r="T38">
        <v>6.9922365529999997</v>
      </c>
      <c r="U38">
        <v>11.425184870000001</v>
      </c>
      <c r="V38">
        <v>18.50010563</v>
      </c>
      <c r="W38">
        <v>29.407234370000001</v>
      </c>
      <c r="X38">
        <v>43.8352529</v>
      </c>
      <c r="Y38">
        <v>59.682922949999998</v>
      </c>
      <c r="Z38">
        <v>79.506987069999994</v>
      </c>
      <c r="AA38">
        <v>106.03510300000001</v>
      </c>
      <c r="AB38">
        <v>140.10338400000001</v>
      </c>
      <c r="AC38">
        <v>182.014734</v>
      </c>
      <c r="AD38">
        <v>231.1647169</v>
      </c>
      <c r="AE38">
        <v>286.45802099999997</v>
      </c>
      <c r="AF38">
        <v>346.09200679999998</v>
      </c>
      <c r="AG38">
        <v>408.49256939999998</v>
      </c>
      <c r="AH38">
        <v>472.43337559999998</v>
      </c>
      <c r="AI38">
        <v>539.41410540000004</v>
      </c>
      <c r="AJ38">
        <v>608.37668780000001</v>
      </c>
      <c r="AK38">
        <v>678.2475058</v>
      </c>
      <c r="AL38">
        <v>748.32485870000005</v>
      </c>
      <c r="AM38">
        <v>818.39789489999998</v>
      </c>
      <c r="AN38">
        <v>887.29992649999997</v>
      </c>
      <c r="AO38">
        <v>955.19223910000005</v>
      </c>
      <c r="AP38">
        <v>1021.9562539999999</v>
      </c>
      <c r="AQ38">
        <v>1087.4231910000001</v>
      </c>
      <c r="AR38">
        <v>1163.6475439999999</v>
      </c>
      <c r="AS38">
        <v>1239.4424329999999</v>
      </c>
      <c r="AT38">
        <v>1314.1078769999999</v>
      </c>
      <c r="AU38">
        <v>1387.5228320000001</v>
      </c>
      <c r="AV38">
        <v>1459.3954940000001</v>
      </c>
      <c r="AW38">
        <v>1527.9787610000001</v>
      </c>
    </row>
    <row r="39" spans="2:49" x14ac:dyDescent="0.25">
      <c r="B39" t="s">
        <v>139</v>
      </c>
      <c r="C39">
        <v>1.59483191497851E-2</v>
      </c>
      <c r="D39">
        <v>1.6204374572364899E-2</v>
      </c>
      <c r="E39">
        <v>1.6464540999999999E-2</v>
      </c>
      <c r="F39">
        <v>4.0034392299999999E-2</v>
      </c>
      <c r="G39">
        <v>8.2735307999999896E-2</v>
      </c>
      <c r="H39">
        <v>0.17095687709999999</v>
      </c>
      <c r="I39">
        <v>0.29468510860000002</v>
      </c>
      <c r="J39">
        <v>0.46251157749999999</v>
      </c>
      <c r="K39">
        <v>0.652426281</v>
      </c>
      <c r="L39">
        <v>0.89845845619999998</v>
      </c>
      <c r="M39">
        <v>1.258993601</v>
      </c>
      <c r="N39">
        <v>1.7110739619999999</v>
      </c>
      <c r="O39">
        <v>2.3511493520000002</v>
      </c>
      <c r="P39">
        <v>2.8673108599999999</v>
      </c>
      <c r="Q39">
        <v>3.6476147650000001</v>
      </c>
      <c r="R39">
        <v>4.830361173</v>
      </c>
      <c r="S39">
        <v>6.3368633519999999</v>
      </c>
      <c r="T39">
        <v>8.2242920359999996</v>
      </c>
      <c r="U39">
        <v>11.92096879</v>
      </c>
      <c r="V39">
        <v>17.492383419999999</v>
      </c>
      <c r="W39">
        <v>26.13341664</v>
      </c>
      <c r="X39">
        <v>37.43782659</v>
      </c>
      <c r="Y39">
        <v>49.525871940000002</v>
      </c>
      <c r="Z39">
        <v>64.415898380000002</v>
      </c>
      <c r="AA39">
        <v>84.154726310000001</v>
      </c>
      <c r="AB39">
        <v>109.26054449999999</v>
      </c>
      <c r="AC39">
        <v>139.8276448</v>
      </c>
      <c r="AD39">
        <v>175.2609147</v>
      </c>
      <c r="AE39">
        <v>214.64690830000001</v>
      </c>
      <c r="AF39">
        <v>256.56337680000001</v>
      </c>
      <c r="AG39">
        <v>299.80836299999999</v>
      </c>
      <c r="AH39">
        <v>343.466385</v>
      </c>
      <c r="AI39">
        <v>388.59104880000001</v>
      </c>
      <c r="AJ39">
        <v>434.3760307</v>
      </c>
      <c r="AK39">
        <v>480.03108850000001</v>
      </c>
      <c r="AL39">
        <v>525.04761659999997</v>
      </c>
      <c r="AM39">
        <v>569.28173630000003</v>
      </c>
      <c r="AN39">
        <v>612.09344750000002</v>
      </c>
      <c r="AO39">
        <v>653.60685369999999</v>
      </c>
      <c r="AP39">
        <v>693.75705730000004</v>
      </c>
      <c r="AQ39">
        <v>732.4461652</v>
      </c>
      <c r="AR39">
        <v>774.59717179999996</v>
      </c>
      <c r="AS39">
        <v>815.88020280000001</v>
      </c>
      <c r="AT39">
        <v>855.82417599999997</v>
      </c>
      <c r="AU39">
        <v>894.35878830000001</v>
      </c>
      <c r="AV39">
        <v>931.31139989999997</v>
      </c>
      <c r="AW39">
        <v>965.62750540000002</v>
      </c>
    </row>
    <row r="40" spans="2:49" x14ac:dyDescent="0.25">
      <c r="B40" t="s">
        <v>140</v>
      </c>
      <c r="C40">
        <v>6.5291776385026298E-2</v>
      </c>
      <c r="D40" s="39">
        <v>6.63400569741113E-2</v>
      </c>
      <c r="E40">
        <v>6.7405168000000001E-2</v>
      </c>
      <c r="F40">
        <v>0.16274611980000001</v>
      </c>
      <c r="G40">
        <v>0.3161943042</v>
      </c>
      <c r="H40">
        <v>0.5675690699</v>
      </c>
      <c r="I40">
        <v>0.90900081160000001</v>
      </c>
      <c r="J40">
        <v>1.3670251840000001</v>
      </c>
      <c r="K40">
        <v>1.8977173469999999</v>
      </c>
      <c r="L40">
        <v>2.5690072549999998</v>
      </c>
      <c r="M40">
        <v>3.4691591910000001</v>
      </c>
      <c r="N40">
        <v>4.5553942750000003</v>
      </c>
      <c r="O40">
        <v>6.0534936930000001</v>
      </c>
      <c r="P40">
        <v>7.9729656220000003</v>
      </c>
      <c r="Q40">
        <v>10.538360320000001</v>
      </c>
      <c r="R40">
        <v>13.903484130000001</v>
      </c>
      <c r="S40">
        <v>17.507587709999999</v>
      </c>
      <c r="T40">
        <v>21.447566040000002</v>
      </c>
      <c r="U40">
        <v>26.740024980000001</v>
      </c>
      <c r="V40">
        <v>33.578615290000002</v>
      </c>
      <c r="W40">
        <v>44.422632399999998</v>
      </c>
      <c r="X40">
        <v>58.200732129999999</v>
      </c>
      <c r="Y40">
        <v>71.828014229999894</v>
      </c>
      <c r="Z40">
        <v>87.880152129999999</v>
      </c>
      <c r="AA40">
        <v>108.6063855</v>
      </c>
      <c r="AB40">
        <v>134.24394380000001</v>
      </c>
      <c r="AC40">
        <v>164.51235500000001</v>
      </c>
      <c r="AD40">
        <v>198.38046790000001</v>
      </c>
      <c r="AE40">
        <v>234.64408259999999</v>
      </c>
      <c r="AF40">
        <v>271.63418669999999</v>
      </c>
      <c r="AG40">
        <v>308.07452540000003</v>
      </c>
      <c r="AH40">
        <v>343.07632360000002</v>
      </c>
      <c r="AI40">
        <v>377.65056870000001</v>
      </c>
      <c r="AJ40">
        <v>410.99192859999999</v>
      </c>
      <c r="AK40">
        <v>442.3914848</v>
      </c>
      <c r="AL40">
        <v>471.4481442</v>
      </c>
      <c r="AM40">
        <v>498.1303557</v>
      </c>
      <c r="AN40">
        <v>522.34925229999999</v>
      </c>
      <c r="AO40">
        <v>544.29322260000004</v>
      </c>
      <c r="AP40">
        <v>563.99904760000004</v>
      </c>
      <c r="AQ40">
        <v>581.4768249</v>
      </c>
      <c r="AR40">
        <v>594.47650080000005</v>
      </c>
      <c r="AS40">
        <v>605.97951869999997</v>
      </c>
      <c r="AT40">
        <v>615.68124450000005</v>
      </c>
      <c r="AU40">
        <v>623.5938711</v>
      </c>
      <c r="AV40">
        <v>629.67384700000002</v>
      </c>
      <c r="AW40">
        <v>633.39516679999997</v>
      </c>
    </row>
    <row r="41" spans="2:49" x14ac:dyDescent="0.25">
      <c r="B41" t="s">
        <v>141</v>
      </c>
      <c r="C41">
        <v>1.5338215665531501</v>
      </c>
      <c r="D41">
        <v>1.55844756793281</v>
      </c>
      <c r="E41">
        <v>1.5834689479999999</v>
      </c>
      <c r="F41">
        <v>3.8199750610000001</v>
      </c>
      <c r="G41">
        <v>7.3654924619999997</v>
      </c>
      <c r="H41">
        <v>12.972661759999999</v>
      </c>
      <c r="I41">
        <v>20.547090959999998</v>
      </c>
      <c r="J41">
        <v>30.688629219999999</v>
      </c>
      <c r="K41">
        <v>42.487619559999999</v>
      </c>
      <c r="L41">
        <v>57.350952630000002</v>
      </c>
      <c r="M41">
        <v>76.960617170000006</v>
      </c>
      <c r="N41">
        <v>100.44915690000001</v>
      </c>
      <c r="O41">
        <v>132.67584450000001</v>
      </c>
      <c r="P41">
        <v>177.21449419999999</v>
      </c>
      <c r="Q41">
        <v>235.74127440000001</v>
      </c>
      <c r="R41">
        <v>310.78634010000002</v>
      </c>
      <c r="S41">
        <v>388.64630549999998</v>
      </c>
      <c r="T41">
        <v>471.35024659999999</v>
      </c>
      <c r="U41">
        <v>572.13256630000001</v>
      </c>
      <c r="V41">
        <v>696.73161159999995</v>
      </c>
      <c r="W41">
        <v>896.19743149999999</v>
      </c>
      <c r="X41">
        <v>1147.8889369999999</v>
      </c>
      <c r="Y41">
        <v>1391.5836650000001</v>
      </c>
      <c r="Z41">
        <v>1675.6031660000001</v>
      </c>
      <c r="AA41">
        <v>2040.5152860000001</v>
      </c>
      <c r="AB41">
        <v>2489.4953569999998</v>
      </c>
      <c r="AC41">
        <v>3016.4535070000002</v>
      </c>
      <c r="AD41">
        <v>3602.1738260000002</v>
      </c>
      <c r="AE41">
        <v>4225.19067</v>
      </c>
      <c r="AF41">
        <v>4856.2797039999996</v>
      </c>
      <c r="AG41">
        <v>5473.8040419999998</v>
      </c>
      <c r="AH41">
        <v>6063.2727130000003</v>
      </c>
      <c r="AI41">
        <v>6643.1793859999998</v>
      </c>
      <c r="AJ41">
        <v>7200.5405259999998</v>
      </c>
      <c r="AK41">
        <v>7724.2729410000002</v>
      </c>
      <c r="AL41">
        <v>8208.6940630000008</v>
      </c>
      <c r="AM41">
        <v>8654.4246309999999</v>
      </c>
      <c r="AN41">
        <v>9060.6894429999902</v>
      </c>
      <c r="AO41">
        <v>9431.3900439999998</v>
      </c>
      <c r="AP41">
        <v>9767.7813870000009</v>
      </c>
      <c r="AQ41">
        <v>10070.604439999999</v>
      </c>
      <c r="AR41">
        <v>10322.205239999999</v>
      </c>
      <c r="AS41">
        <v>10555.392830000001</v>
      </c>
      <c r="AT41">
        <v>10765.562760000001</v>
      </c>
      <c r="AU41">
        <v>10953.23337</v>
      </c>
      <c r="AV41">
        <v>11117.86716</v>
      </c>
      <c r="AW41">
        <v>11250.231589999999</v>
      </c>
    </row>
    <row r="42" spans="2:49" x14ac:dyDescent="0.25">
      <c r="B42" t="s">
        <v>142</v>
      </c>
      <c r="C42">
        <v>0.60453762790594801</v>
      </c>
      <c r="D42" s="39">
        <v>0.61424367506521405</v>
      </c>
      <c r="E42">
        <v>0.62410555599999995</v>
      </c>
      <c r="F42">
        <v>1.505353438</v>
      </c>
      <c r="G42">
        <v>2.8982349379999999</v>
      </c>
      <c r="H42">
        <v>5.0847642219999996</v>
      </c>
      <c r="I42">
        <v>8.0348091069999903</v>
      </c>
      <c r="J42">
        <v>11.98294825</v>
      </c>
      <c r="K42">
        <v>16.580583699999998</v>
      </c>
      <c r="L42" s="39">
        <v>22.36687216</v>
      </c>
      <c r="M42" s="39">
        <v>29.972187420000001</v>
      </c>
      <c r="N42" s="39">
        <v>39.065611939999997</v>
      </c>
      <c r="O42" s="39">
        <v>51.525964999999999</v>
      </c>
      <c r="P42" s="39">
        <v>69.039489329999995</v>
      </c>
      <c r="Q42" s="39">
        <v>91.973255230000007</v>
      </c>
      <c r="R42">
        <v>121.2356293</v>
      </c>
      <c r="S42">
        <v>151.3723894</v>
      </c>
      <c r="T42">
        <v>183.151803</v>
      </c>
      <c r="U42">
        <v>220.7183359</v>
      </c>
      <c r="V42">
        <v>266.30359220000003</v>
      </c>
      <c r="W42">
        <v>339.50714640000001</v>
      </c>
      <c r="X42">
        <v>431.52352990000003</v>
      </c>
      <c r="Y42">
        <v>519.61779730000001</v>
      </c>
      <c r="Z42">
        <v>621.57784519999996</v>
      </c>
      <c r="AA42">
        <v>752.02957919999994</v>
      </c>
      <c r="AB42">
        <v>911.79757280000001</v>
      </c>
      <c r="AC42">
        <v>1098.3247329999999</v>
      </c>
      <c r="AD42">
        <v>1304.3424460000001</v>
      </c>
      <c r="AE42">
        <v>1521.9523340000001</v>
      </c>
      <c r="AF42">
        <v>1740.562062</v>
      </c>
      <c r="AG42">
        <v>1952.461861</v>
      </c>
      <c r="AH42">
        <v>2152.5870439999999</v>
      </c>
      <c r="AI42">
        <v>2347.4978580000002</v>
      </c>
      <c r="AJ42">
        <v>2532.64624</v>
      </c>
      <c r="AK42">
        <v>2704.243391</v>
      </c>
      <c r="AL42">
        <v>2860.4424680000002</v>
      </c>
      <c r="AM42">
        <v>3001.630189</v>
      </c>
      <c r="AN42">
        <v>3128.0738470000001</v>
      </c>
      <c r="AO42">
        <v>3241.2519010000001</v>
      </c>
      <c r="AP42">
        <v>3341.7388740000001</v>
      </c>
      <c r="AQ42">
        <v>3429.9308420000002</v>
      </c>
      <c r="AR42">
        <v>3494.3878690000001</v>
      </c>
      <c r="AS42">
        <v>3552.2124260000001</v>
      </c>
      <c r="AT42">
        <v>3601.971266</v>
      </c>
      <c r="AU42">
        <v>3643.9479759999999</v>
      </c>
      <c r="AV42">
        <v>3678.0889750000001</v>
      </c>
      <c r="AW42">
        <v>3701.6016249999998</v>
      </c>
    </row>
    <row r="43" spans="2:49" x14ac:dyDescent="0.25">
      <c r="B43" t="s">
        <v>143</v>
      </c>
      <c r="C43">
        <v>8.2417488223721705E-3</v>
      </c>
      <c r="D43">
        <v>8.3740727655845504E-3</v>
      </c>
      <c r="E43">
        <v>8.5085212099999998E-3</v>
      </c>
      <c r="F43">
        <v>2.0174545200000001E-2</v>
      </c>
      <c r="G43">
        <v>3.27298995E-2</v>
      </c>
      <c r="H43">
        <v>4.0086367499999997E-2</v>
      </c>
      <c r="I43">
        <v>5.0504288500000001E-2</v>
      </c>
      <c r="J43">
        <v>6.4893555199999994E-2</v>
      </c>
      <c r="K43">
        <v>8.1865127900000001E-2</v>
      </c>
      <c r="L43">
        <v>0.1035588912</v>
      </c>
      <c r="M43">
        <v>0.13253494639999999</v>
      </c>
      <c r="N43">
        <v>0.16746920800000001</v>
      </c>
      <c r="O43">
        <v>0.2157608503</v>
      </c>
      <c r="P43">
        <v>0.36685768699999999</v>
      </c>
      <c r="Q43">
        <v>0.46294453540000002</v>
      </c>
      <c r="R43">
        <v>0.57204347980000003</v>
      </c>
      <c r="S43">
        <v>0.68570147869999998</v>
      </c>
      <c r="T43">
        <v>0.80700693430000003</v>
      </c>
      <c r="U43">
        <v>0.95582258119999997</v>
      </c>
      <c r="V43">
        <v>1.141269254</v>
      </c>
      <c r="W43">
        <v>1.4413761039999999</v>
      </c>
      <c r="X43">
        <v>1.821723153</v>
      </c>
      <c r="Y43">
        <v>2.190534795</v>
      </c>
      <c r="Z43">
        <v>2.621672013</v>
      </c>
      <c r="AA43">
        <v>3.1772835399999999</v>
      </c>
      <c r="AB43">
        <v>3.862425698</v>
      </c>
      <c r="AC43">
        <v>4.6680077009999996</v>
      </c>
      <c r="AD43">
        <v>5.5648503749999998</v>
      </c>
      <c r="AE43">
        <v>6.5202401969999997</v>
      </c>
      <c r="AF43">
        <v>7.489539948</v>
      </c>
      <c r="AG43">
        <v>8.4396463589999904</v>
      </c>
      <c r="AH43">
        <v>9.3483547120000008</v>
      </c>
      <c r="AI43">
        <v>10.24413251</v>
      </c>
      <c r="AJ43">
        <v>11.10711422</v>
      </c>
      <c r="AK43">
        <v>11.920290189999999</v>
      </c>
      <c r="AL43">
        <v>12.674915629999999</v>
      </c>
      <c r="AM43">
        <v>13.37190451</v>
      </c>
      <c r="AN43">
        <v>14.00960997</v>
      </c>
      <c r="AO43">
        <v>14.59398831</v>
      </c>
      <c r="AP43">
        <v>15.126899760000001</v>
      </c>
      <c r="AQ43">
        <v>15.6094068</v>
      </c>
      <c r="AR43">
        <v>16.022101129999999</v>
      </c>
      <c r="AS43">
        <v>16.40763785</v>
      </c>
      <c r="AT43">
        <v>16.758825770000001</v>
      </c>
      <c r="AU43">
        <v>17.076388779999998</v>
      </c>
      <c r="AV43">
        <v>17.35938294</v>
      </c>
      <c r="AW43">
        <v>17.59313964</v>
      </c>
    </row>
    <row r="44" spans="2:49" x14ac:dyDescent="0.25">
      <c r="B44" t="s">
        <v>144</v>
      </c>
      <c r="C44">
        <v>0.101255771246286</v>
      </c>
      <c r="D44" s="39">
        <v>0.10288146540575301</v>
      </c>
      <c r="E44">
        <v>0.1045332606</v>
      </c>
      <c r="F44">
        <v>0.25185640120000002</v>
      </c>
      <c r="G44">
        <v>0.48002700450000002</v>
      </c>
      <c r="H44">
        <v>0.82059828779999999</v>
      </c>
      <c r="I44">
        <v>1.2763199489999999</v>
      </c>
      <c r="J44">
        <v>1.884455862</v>
      </c>
      <c r="K44">
        <v>2.59707694</v>
      </c>
      <c r="L44">
        <v>3.4883225919999998</v>
      </c>
      <c r="M44">
        <v>4.6304075109999996</v>
      </c>
      <c r="N44">
        <v>5.979700126</v>
      </c>
      <c r="O44">
        <v>7.812860895</v>
      </c>
      <c r="P44">
        <v>10.698076629999999</v>
      </c>
      <c r="Q44">
        <v>14.389015819999999</v>
      </c>
      <c r="R44">
        <v>18.94533646</v>
      </c>
      <c r="S44">
        <v>23.409956640000001</v>
      </c>
      <c r="T44">
        <v>27.892108279999999</v>
      </c>
      <c r="U44">
        <v>32.198119419999998</v>
      </c>
      <c r="V44">
        <v>36.802659380000001</v>
      </c>
      <c r="W44">
        <v>44.415492059999998</v>
      </c>
      <c r="X44">
        <v>53.775809250000002</v>
      </c>
      <c r="Y44">
        <v>62.101853589999997</v>
      </c>
      <c r="Z44">
        <v>71.340229019999995</v>
      </c>
      <c r="AA44">
        <v>82.89927643</v>
      </c>
      <c r="AB44">
        <v>96.700605969999998</v>
      </c>
      <c r="AC44">
        <v>112.33677059999999</v>
      </c>
      <c r="AD44">
        <v>128.98335990000001</v>
      </c>
      <c r="AE44">
        <v>145.8623197</v>
      </c>
      <c r="AF44">
        <v>162.0054456</v>
      </c>
      <c r="AG44">
        <v>176.7904546</v>
      </c>
      <c r="AH44">
        <v>189.87346310000001</v>
      </c>
      <c r="AI44">
        <v>201.86568700000001</v>
      </c>
      <c r="AJ44">
        <v>212.4583509</v>
      </c>
      <c r="AK44">
        <v>221.4408147</v>
      </c>
      <c r="AL44">
        <v>228.77251680000001</v>
      </c>
      <c r="AM44">
        <v>234.58992380000001</v>
      </c>
      <c r="AN44">
        <v>239.1097666</v>
      </c>
      <c r="AO44">
        <v>242.50741289999999</v>
      </c>
      <c r="AP44">
        <v>244.8898236</v>
      </c>
      <c r="AQ44">
        <v>246.34576300000001</v>
      </c>
      <c r="AR44">
        <v>245.12927769999999</v>
      </c>
      <c r="AS44">
        <v>243.5867413</v>
      </c>
      <c r="AT44">
        <v>241.6645054</v>
      </c>
      <c r="AU44">
        <v>239.4088691</v>
      </c>
      <c r="AV44">
        <v>236.84486340000001</v>
      </c>
      <c r="AW44">
        <v>233.8571618</v>
      </c>
    </row>
    <row r="45" spans="2:49" x14ac:dyDescent="0.25">
      <c r="B45" t="s">
        <v>145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146</v>
      </c>
      <c r="C46">
        <v>30996.0941631817</v>
      </c>
      <c r="D46">
        <v>31493.7464809423</v>
      </c>
      <c r="E46">
        <v>31999.388770000001</v>
      </c>
      <c r="F46">
        <v>32682.561079999999</v>
      </c>
      <c r="G46">
        <v>33303.577010000001</v>
      </c>
      <c r="H46">
        <v>34123.077129999998</v>
      </c>
      <c r="I46">
        <v>34832.514109999996</v>
      </c>
      <c r="J46">
        <v>35442.350680000003</v>
      </c>
      <c r="K46">
        <v>35666.517310000003</v>
      </c>
      <c r="L46">
        <v>35752.439630000001</v>
      </c>
      <c r="M46">
        <v>35830.623039999999</v>
      </c>
      <c r="N46">
        <v>35757.951739999997</v>
      </c>
      <c r="O46">
        <v>35775.846810000003</v>
      </c>
      <c r="P46">
        <v>36050.747629999998</v>
      </c>
      <c r="Q46">
        <v>36349.322440000004</v>
      </c>
      <c r="R46">
        <v>36639.73444</v>
      </c>
      <c r="S46">
        <v>36586.366600000001</v>
      </c>
      <c r="T46">
        <v>36294.515010000003</v>
      </c>
      <c r="U46">
        <v>35811.448689999997</v>
      </c>
      <c r="V46">
        <v>35247.551319999999</v>
      </c>
      <c r="W46">
        <v>35075.190739999998</v>
      </c>
      <c r="X46">
        <v>34988.353320000002</v>
      </c>
      <c r="Y46">
        <v>34481.578070000003</v>
      </c>
      <c r="Z46">
        <v>33710.94687</v>
      </c>
      <c r="AA46">
        <v>32719.421829999999</v>
      </c>
      <c r="AB46">
        <v>31528.964739999999</v>
      </c>
      <c r="AC46">
        <v>30175.589970000001</v>
      </c>
      <c r="AD46">
        <v>28707.578850000002</v>
      </c>
      <c r="AE46">
        <v>27182.468919999999</v>
      </c>
      <c r="AF46">
        <v>25650.5422</v>
      </c>
      <c r="AG46">
        <v>24150.03616</v>
      </c>
      <c r="AH46">
        <v>22704.338540000001</v>
      </c>
      <c r="AI46">
        <v>21325.728299999999</v>
      </c>
      <c r="AJ46">
        <v>20018.097040000001</v>
      </c>
      <c r="AK46">
        <v>18781.724880000002</v>
      </c>
      <c r="AL46">
        <v>17614.94413</v>
      </c>
      <c r="AM46" s="39">
        <v>16515.10914</v>
      </c>
      <c r="AN46" s="39">
        <v>15483.45887</v>
      </c>
      <c r="AO46" s="39">
        <v>14516.01233</v>
      </c>
      <c r="AP46" s="39">
        <v>13608.895039999999</v>
      </c>
      <c r="AQ46" s="39">
        <v>12758.405070000001</v>
      </c>
      <c r="AR46" s="39">
        <v>11907.87838</v>
      </c>
      <c r="AS46" s="39">
        <v>11114.03665</v>
      </c>
      <c r="AT46" s="39">
        <v>10373.10924</v>
      </c>
      <c r="AU46" s="39">
        <v>9681.5727790000001</v>
      </c>
      <c r="AV46" s="39">
        <v>9036.1366510000007</v>
      </c>
      <c r="AW46" s="39">
        <v>8433.7285470000006</v>
      </c>
    </row>
    <row r="47" spans="2:49" x14ac:dyDescent="0.25">
      <c r="B47" t="s">
        <v>147</v>
      </c>
      <c r="C47">
        <v>2.3360541304970401</v>
      </c>
      <c r="D47">
        <v>2.3735602351802898</v>
      </c>
      <c r="E47">
        <v>2.411668513</v>
      </c>
      <c r="F47" s="39">
        <v>5.8179211500000001</v>
      </c>
      <c r="G47" s="39">
        <v>11.217703029999999</v>
      </c>
      <c r="H47">
        <v>19.76781364</v>
      </c>
      <c r="I47">
        <v>31.323330590000001</v>
      </c>
      <c r="J47">
        <v>46.798120359999999</v>
      </c>
      <c r="K47">
        <v>64.796193509999995</v>
      </c>
      <c r="L47">
        <v>87.476588969999995</v>
      </c>
      <c r="M47">
        <v>117.4408304</v>
      </c>
      <c r="N47">
        <v>153.3556141</v>
      </c>
      <c r="O47">
        <v>202.65463460000001</v>
      </c>
      <c r="P47" s="39">
        <v>270.45674980000001</v>
      </c>
      <c r="Q47" s="39">
        <v>359.56371289999998</v>
      </c>
      <c r="R47" s="39">
        <v>474.00941330000001</v>
      </c>
      <c r="S47" s="39">
        <v>593.06646780000005</v>
      </c>
      <c r="T47" s="39">
        <v>719.86525940000001</v>
      </c>
      <c r="U47" s="39">
        <v>876.09102280000002</v>
      </c>
      <c r="V47" s="39">
        <v>1070.5502369999999</v>
      </c>
      <c r="W47" s="39">
        <v>1381.524729</v>
      </c>
      <c r="X47" s="39">
        <v>1774.4838110000001</v>
      </c>
      <c r="Y47" s="39">
        <v>2156.5306599999999</v>
      </c>
      <c r="Z47" s="39">
        <v>2602.9459499999998</v>
      </c>
      <c r="AA47" s="39">
        <v>3177.4176400000001</v>
      </c>
      <c r="AB47" s="39">
        <v>3885.4638340000001</v>
      </c>
      <c r="AC47" s="39">
        <v>4718.137753</v>
      </c>
      <c r="AD47" s="39">
        <v>5645.8705819999996</v>
      </c>
      <c r="AE47" s="39">
        <v>6635.2745750000004</v>
      </c>
      <c r="AF47" s="39">
        <v>7640.6263220000001</v>
      </c>
      <c r="AG47" s="39">
        <v>8627.8714610000006</v>
      </c>
      <c r="AH47" s="39">
        <v>9574.0576590000001</v>
      </c>
      <c r="AI47">
        <v>10508.442789999999</v>
      </c>
      <c r="AJ47">
        <v>11410.496880000001</v>
      </c>
      <c r="AK47">
        <v>12262.54752</v>
      </c>
      <c r="AL47">
        <v>13055.40458</v>
      </c>
      <c r="AM47">
        <v>13789.82663</v>
      </c>
      <c r="AN47">
        <v>14463.62529</v>
      </c>
      <c r="AO47">
        <v>15082.835660000001</v>
      </c>
      <c r="AP47">
        <v>15649.24934</v>
      </c>
      <c r="AQ47">
        <v>16163.83663</v>
      </c>
      <c r="AR47">
        <v>16610.465700000001</v>
      </c>
      <c r="AS47">
        <v>17028.90179</v>
      </c>
      <c r="AT47">
        <v>17411.570660000001</v>
      </c>
      <c r="AU47">
        <v>17759.142100000001</v>
      </c>
      <c r="AV47">
        <v>18070.541120000002</v>
      </c>
      <c r="AW47">
        <v>18330.284950000001</v>
      </c>
    </row>
    <row r="48" spans="2:49" x14ac:dyDescent="0.25">
      <c r="B48" t="s">
        <v>148</v>
      </c>
      <c r="C48">
        <v>2.1906436884240502E-2</v>
      </c>
      <c r="D48">
        <v>2.2258151814254699E-2</v>
      </c>
      <c r="E48">
        <v>2.2615513600000001E-2</v>
      </c>
      <c r="F48" s="39">
        <v>2.1808166800000001E-2</v>
      </c>
      <c r="G48" s="39">
        <v>5.1452387000000002E-2</v>
      </c>
      <c r="H48">
        <v>8.5486916999999996E-2</v>
      </c>
      <c r="I48">
        <v>0.1197767746</v>
      </c>
      <c r="J48">
        <v>0.16460842010000001</v>
      </c>
      <c r="K48" s="39">
        <v>0.2052399818</v>
      </c>
      <c r="L48" s="39">
        <v>0.2401347043</v>
      </c>
      <c r="M48" s="39">
        <v>0.27293587019999999</v>
      </c>
      <c r="N48" s="39">
        <v>0.29010598920000003</v>
      </c>
      <c r="O48" s="39">
        <v>0.3024608412</v>
      </c>
      <c r="P48" s="39">
        <v>0.30863236109999997</v>
      </c>
      <c r="Q48" s="39">
        <v>0.33581017590000001</v>
      </c>
      <c r="R48" s="39">
        <v>0.3675383565</v>
      </c>
      <c r="S48" s="39">
        <v>0.41630611639999998</v>
      </c>
      <c r="T48" s="39">
        <v>0.45362437890000001</v>
      </c>
      <c r="U48" s="39">
        <v>0.51413066910000005</v>
      </c>
      <c r="V48" s="39">
        <v>0.58480701180000005</v>
      </c>
      <c r="W48" s="39">
        <v>0.67893434649999995</v>
      </c>
      <c r="X48" s="39">
        <v>0.78086030799999995</v>
      </c>
      <c r="Y48" s="39">
        <v>0.8550444411</v>
      </c>
      <c r="Z48" s="39">
        <v>0.90759988079999998</v>
      </c>
      <c r="AA48" s="39">
        <v>0.938908933</v>
      </c>
      <c r="AB48" s="39">
        <v>0.95029013370000004</v>
      </c>
      <c r="AC48" s="39">
        <v>0.94324153119999998</v>
      </c>
      <c r="AD48" s="39">
        <v>0.9201939697</v>
      </c>
      <c r="AE48" s="39">
        <v>0.88568605010000001</v>
      </c>
      <c r="AF48" s="39">
        <v>0.84424408360000003</v>
      </c>
      <c r="AG48" s="39">
        <v>0.7996179578</v>
      </c>
      <c r="AH48" s="39">
        <v>0.75433834799999999</v>
      </c>
      <c r="AI48" s="39">
        <v>0.70994297439999998</v>
      </c>
      <c r="AJ48" s="39">
        <v>0.66716325440000002</v>
      </c>
      <c r="AK48" s="39">
        <v>0.62635325350000004</v>
      </c>
      <c r="AL48" s="39">
        <v>0.58764871559999998</v>
      </c>
      <c r="AM48" s="39">
        <v>0.55106477359999995</v>
      </c>
      <c r="AN48">
        <v>0.51669690489999998</v>
      </c>
      <c r="AO48">
        <v>0.4844410569</v>
      </c>
      <c r="AP48">
        <v>0.45418273990000002</v>
      </c>
      <c r="AQ48">
        <v>0.42580612010000002</v>
      </c>
      <c r="AR48">
        <v>0.39742451029999998</v>
      </c>
      <c r="AS48">
        <v>0.37093235619999998</v>
      </c>
      <c r="AT48">
        <v>0.34620497319999999</v>
      </c>
      <c r="AU48">
        <v>0.32312537790000001</v>
      </c>
      <c r="AV48">
        <v>0.30158406119999998</v>
      </c>
      <c r="AW48">
        <v>0.28147864610000001</v>
      </c>
    </row>
    <row r="49" spans="2:99" x14ac:dyDescent="0.25">
      <c r="B49" t="s">
        <v>149</v>
      </c>
      <c r="C49">
        <v>2298.5980133353301</v>
      </c>
      <c r="D49">
        <v>2335.5027479420201</v>
      </c>
      <c r="E49">
        <v>2373</v>
      </c>
      <c r="F49" s="39">
        <v>2446.6775899999998</v>
      </c>
      <c r="G49" s="39">
        <v>2424.2765530000001</v>
      </c>
      <c r="H49">
        <v>2660.3639440000002</v>
      </c>
      <c r="I49">
        <v>2598.8489709999999</v>
      </c>
      <c r="J49">
        <v>2542.822412</v>
      </c>
      <c r="K49" s="39">
        <v>2194.0678939999998</v>
      </c>
      <c r="L49" s="39">
        <v>2073.8249529999998</v>
      </c>
      <c r="M49" s="39">
        <v>2079.3430400000002</v>
      </c>
      <c r="N49" s="39">
        <v>1940.3869999999999</v>
      </c>
      <c r="O49" s="39">
        <v>2042.316</v>
      </c>
      <c r="P49" s="39">
        <v>2141.6280000000002</v>
      </c>
      <c r="Q49" s="39">
        <v>2203.7420000000002</v>
      </c>
      <c r="R49" s="39">
        <v>2240.3020000000001</v>
      </c>
      <c r="S49" s="39">
        <v>1921.3764100000001</v>
      </c>
      <c r="T49" s="39">
        <v>1693.9188529999999</v>
      </c>
      <c r="U49" s="39">
        <v>1729.513895</v>
      </c>
      <c r="V49" s="39">
        <v>1788.6524159999999</v>
      </c>
      <c r="W49" s="39">
        <v>2274.9728540000001</v>
      </c>
      <c r="X49" s="39">
        <v>2450.6343430000002</v>
      </c>
      <c r="Y49" s="39">
        <v>2046.3052829999999</v>
      </c>
      <c r="Z49" s="39">
        <v>1848.0039790000001</v>
      </c>
      <c r="AA49" s="39">
        <v>1744.487889</v>
      </c>
      <c r="AB49" s="39">
        <v>1662.8185559999999</v>
      </c>
      <c r="AC49" s="39">
        <v>1604.1648640000001</v>
      </c>
      <c r="AD49" s="39">
        <v>1561.753498</v>
      </c>
      <c r="AE49" s="39">
        <v>1542.123668</v>
      </c>
      <c r="AF49" s="39">
        <v>1527.1341359999999</v>
      </c>
      <c r="AG49" s="39">
        <v>1516.6884050000001</v>
      </c>
      <c r="AH49" s="39">
        <v>1507.2992449999999</v>
      </c>
      <c r="AI49" s="39">
        <v>1540.102523</v>
      </c>
      <c r="AJ49" s="39">
        <v>1559.495122</v>
      </c>
      <c r="AK49" s="39">
        <v>1563.731822</v>
      </c>
      <c r="AL49" s="39">
        <v>1558.2924439999999</v>
      </c>
      <c r="AM49" s="39">
        <v>1551.4838500000001</v>
      </c>
      <c r="AN49">
        <v>1536.2068730000001</v>
      </c>
      <c r="AO49">
        <v>1523.456596</v>
      </c>
      <c r="AP49">
        <v>1509.2243920000001</v>
      </c>
      <c r="AQ49">
        <v>1492.7313360000001</v>
      </c>
      <c r="AR49">
        <v>1524.251829</v>
      </c>
      <c r="AS49">
        <v>1525.8173039999999</v>
      </c>
      <c r="AT49">
        <v>1517.9373479999999</v>
      </c>
      <c r="AU49">
        <v>1508.3469720000001</v>
      </c>
      <c r="AV49">
        <v>1495.343887</v>
      </c>
      <c r="AW49">
        <v>1464.447576</v>
      </c>
    </row>
    <row r="50" spans="2:99" x14ac:dyDescent="0.25">
      <c r="B50" t="s">
        <v>150</v>
      </c>
      <c r="C50">
        <v>2297.4487143286601</v>
      </c>
      <c r="D50">
        <v>2334.33499656805</v>
      </c>
      <c r="E50">
        <v>2370.8218320000001</v>
      </c>
      <c r="F50" s="39">
        <v>2443.138696</v>
      </c>
      <c r="G50" s="39">
        <v>2418.5567860000001</v>
      </c>
      <c r="H50">
        <v>2651.1968590000001</v>
      </c>
      <c r="I50">
        <v>2586.206224</v>
      </c>
      <c r="J50">
        <v>2525.6248390000001</v>
      </c>
      <c r="K50" s="39">
        <v>2173.4959250000002</v>
      </c>
      <c r="L50" s="39">
        <v>2047.5807669999999</v>
      </c>
      <c r="M50" s="39">
        <v>2044.567587</v>
      </c>
      <c r="N50" s="39">
        <v>1898.0129710000001</v>
      </c>
      <c r="O50" s="39">
        <v>1984.5824210000001</v>
      </c>
      <c r="P50" s="39">
        <v>2063.6931530000002</v>
      </c>
      <c r="Q50" s="39">
        <v>2101.1121990000001</v>
      </c>
      <c r="R50" s="39">
        <v>2107.8781140000001</v>
      </c>
      <c r="S50" s="39">
        <v>1778.6188850000001</v>
      </c>
      <c r="T50" s="39">
        <v>1537.4667380000001</v>
      </c>
      <c r="U50" s="39">
        <v>1533.2956180000001</v>
      </c>
      <c r="V50" s="39">
        <v>1542.6584359999999</v>
      </c>
      <c r="W50" s="39">
        <v>1901.024819</v>
      </c>
      <c r="X50" s="39">
        <v>1976.409101</v>
      </c>
      <c r="Y50" s="39">
        <v>1559.466083</v>
      </c>
      <c r="Z50" s="39">
        <v>1273.7311400000001</v>
      </c>
      <c r="AA50" s="39">
        <v>1015.07894</v>
      </c>
      <c r="AB50" s="39">
        <v>764.88684620000004</v>
      </c>
      <c r="AC50" s="39">
        <v>538.36311460000002</v>
      </c>
      <c r="AD50" s="39">
        <v>349.79550380000001</v>
      </c>
      <c r="AE50" s="39">
        <v>211.23556669999999</v>
      </c>
      <c r="AF50" s="39">
        <v>118.83049269999999</v>
      </c>
      <c r="AG50" s="39">
        <v>63.551416529999997</v>
      </c>
      <c r="AH50" s="39">
        <v>32.876018350000002</v>
      </c>
      <c r="AI50" s="39">
        <v>17.148277780000001</v>
      </c>
      <c r="AJ50" s="39">
        <v>8.7717215629999998</v>
      </c>
      <c r="AK50" s="39">
        <v>4.4189808499999996</v>
      </c>
      <c r="AL50" s="39">
        <v>2.2062786480000001</v>
      </c>
      <c r="AM50" s="39">
        <v>1.099011652</v>
      </c>
      <c r="AN50" s="39">
        <v>0.54404994080000002</v>
      </c>
      <c r="AO50" s="39">
        <v>0.269647364</v>
      </c>
      <c r="AP50" s="39">
        <v>0.13348041299999999</v>
      </c>
      <c r="AQ50" s="39">
        <v>6.5963307600000007E-2</v>
      </c>
      <c r="AR50" s="39">
        <v>3.36532207E-2</v>
      </c>
      <c r="AS50" s="39">
        <v>1.6830946699999998E-2</v>
      </c>
      <c r="AT50" s="39">
        <v>8.3653920800000007E-3</v>
      </c>
      <c r="AU50" s="39">
        <v>4.1529330699999999E-3</v>
      </c>
      <c r="AV50">
        <v>2.0568918000000002E-3</v>
      </c>
      <c r="AW50" s="39">
        <v>1.0063689099999999E-3</v>
      </c>
    </row>
    <row r="51" spans="2:99" x14ac:dyDescent="0.25">
      <c r="B51" t="s">
        <v>151</v>
      </c>
      <c r="C51">
        <v>1.1492990066676601</v>
      </c>
      <c r="D51">
        <v>1.1677513739710099</v>
      </c>
      <c r="E51">
        <v>1.1860039179999999</v>
      </c>
      <c r="F51" s="39">
        <v>-1.12432407E-6</v>
      </c>
      <c r="G51" s="39">
        <v>26.90676697</v>
      </c>
      <c r="H51">
        <v>32.191187650000003</v>
      </c>
      <c r="I51">
        <v>34.086091930000002</v>
      </c>
      <c r="J51">
        <v>45.094180479999999</v>
      </c>
      <c r="K51" s="39">
        <v>43.617766889999999</v>
      </c>
      <c r="L51" s="39">
        <v>40.538480440000001</v>
      </c>
      <c r="M51" s="39">
        <v>40.383323509999997</v>
      </c>
      <c r="N51" s="39">
        <v>28.166417599999999</v>
      </c>
      <c r="O51" s="39">
        <v>24.725601059999999</v>
      </c>
      <c r="P51" s="39">
        <v>18.507049009999999</v>
      </c>
      <c r="Q51" s="39">
        <v>37.360954960000001</v>
      </c>
      <c r="R51" s="39">
        <v>42.58742831</v>
      </c>
      <c r="S51" s="39">
        <v>59.116892890000003</v>
      </c>
      <c r="T51" s="39">
        <v>51.186516320000003</v>
      </c>
      <c r="U51" s="39">
        <v>75.581834439999994</v>
      </c>
      <c r="V51" s="39">
        <v>89.040069950000003</v>
      </c>
      <c r="W51" s="39">
        <v>113.4103411</v>
      </c>
      <c r="X51" s="39">
        <v>125.1987079</v>
      </c>
      <c r="Y51" s="39">
        <v>106.185962</v>
      </c>
      <c r="Z51" s="39">
        <v>91.14854133</v>
      </c>
      <c r="AA51" s="39">
        <v>75.337923200000006</v>
      </c>
      <c r="AB51" s="39">
        <v>59.59286796</v>
      </c>
      <c r="AC51" s="39">
        <v>44.125969079999997</v>
      </c>
      <c r="AD51" s="39">
        <v>29.827432850000001</v>
      </c>
      <c r="AE51" s="39">
        <v>18.678891499999999</v>
      </c>
      <c r="AF51" s="39">
        <v>10.903616899999999</v>
      </c>
      <c r="AG51" s="39">
        <v>6.0527134130000002</v>
      </c>
      <c r="AH51" s="39">
        <v>3.2478441980000001</v>
      </c>
      <c r="AI51" s="39">
        <v>1.74732424</v>
      </c>
      <c r="AJ51" s="39">
        <v>0.92227817690000002</v>
      </c>
      <c r="AK51" s="39">
        <v>0.4798341827</v>
      </c>
      <c r="AL51" s="39">
        <v>0.24749043849999999</v>
      </c>
      <c r="AM51" s="39">
        <v>0.12733016859999999</v>
      </c>
      <c r="AN51" s="39">
        <v>6.5107183099999896E-2</v>
      </c>
      <c r="AO51" s="39">
        <v>3.3322797600000002E-2</v>
      </c>
      <c r="AP51" s="39">
        <v>1.7010978600000001E-2</v>
      </c>
      <c r="AQ51" s="39">
        <v>8.6622773300000008E-3</v>
      </c>
      <c r="AR51" s="39">
        <v>4.8302514699999997E-3</v>
      </c>
      <c r="AS51" s="39">
        <v>2.4866232099999999E-3</v>
      </c>
      <c r="AT51" s="39">
        <v>1.2734899200000001E-3</v>
      </c>
      <c r="AU51" s="39">
        <v>6.5085751900000001E-4</v>
      </c>
      <c r="AV51">
        <v>3.31669918E-4</v>
      </c>
      <c r="AW51" s="39">
        <v>1.67024527E-4</v>
      </c>
    </row>
    <row r="52" spans="2:99" x14ac:dyDescent="0.25">
      <c r="B52" t="s">
        <v>152</v>
      </c>
      <c r="C52">
        <v>413.74764240035898</v>
      </c>
      <c r="D52">
        <v>420.39049462956399</v>
      </c>
      <c r="E52">
        <v>426.9614105</v>
      </c>
      <c r="F52" s="39">
        <v>436.5077</v>
      </c>
      <c r="G52" s="39">
        <v>444.6280557</v>
      </c>
      <c r="H52">
        <v>495.07537930000001</v>
      </c>
      <c r="I52">
        <v>481.45517489999997</v>
      </c>
      <c r="J52">
        <v>472.338302</v>
      </c>
      <c r="K52" s="39">
        <v>406.03495509999999</v>
      </c>
      <c r="L52" s="39">
        <v>382.88374959999999</v>
      </c>
      <c r="M52" s="39">
        <v>383.83190439999998</v>
      </c>
      <c r="N52" s="39">
        <v>359.40770429999998</v>
      </c>
      <c r="O52" s="39">
        <v>375.90315900000002</v>
      </c>
      <c r="P52" s="39">
        <v>385.45203220000002</v>
      </c>
      <c r="Q52" s="39">
        <v>399.33694370000001</v>
      </c>
      <c r="R52" s="39">
        <v>403.76737759999997</v>
      </c>
      <c r="S52" s="39">
        <v>354.90423809999999</v>
      </c>
      <c r="T52" s="39">
        <v>303.46828379999999</v>
      </c>
      <c r="U52" s="39">
        <v>315.91728069999999</v>
      </c>
      <c r="V52" s="39">
        <v>322.59341000000001</v>
      </c>
      <c r="W52" s="39">
        <v>397.68777260000002</v>
      </c>
      <c r="X52" s="39">
        <v>414.81798209999999</v>
      </c>
      <c r="Y52" s="39">
        <v>329.9148414</v>
      </c>
      <c r="Z52" s="39">
        <v>270.91095330000002</v>
      </c>
      <c r="AA52" s="39">
        <v>216.69606870000001</v>
      </c>
      <c r="AB52" s="39">
        <v>163.77013840000001</v>
      </c>
      <c r="AC52" s="39">
        <v>115.65298610000001</v>
      </c>
      <c r="AD52" s="39">
        <v>75.432200539999997</v>
      </c>
      <c r="AE52" s="39">
        <v>45.71762536</v>
      </c>
      <c r="AF52" s="39">
        <v>25.820104789999998</v>
      </c>
      <c r="AG52" s="39">
        <v>13.86669816</v>
      </c>
      <c r="AH52" s="39">
        <v>7.2043610170000001</v>
      </c>
      <c r="AI52" s="39">
        <v>3.7731436519999999</v>
      </c>
      <c r="AJ52" s="39">
        <v>1.9381801190000001</v>
      </c>
      <c r="AK52" s="39">
        <v>0.98072137299999995</v>
      </c>
      <c r="AL52" s="39">
        <v>0.4918190294</v>
      </c>
      <c r="AM52" s="39">
        <v>0.24609347400000001</v>
      </c>
      <c r="AN52" s="39">
        <v>0.122176513</v>
      </c>
      <c r="AO52" s="39">
        <v>6.0725274199999998E-2</v>
      </c>
      <c r="AP52" s="39">
        <v>3.01391614E-2</v>
      </c>
      <c r="AQ52" s="39">
        <v>1.49313876E-2</v>
      </c>
      <c r="AR52" s="39">
        <v>7.7062067199999999E-3</v>
      </c>
      <c r="AS52" s="39">
        <v>3.8605029999999999E-3</v>
      </c>
      <c r="AT52" s="39">
        <v>1.9220229000000001E-3</v>
      </c>
      <c r="AU52" s="39">
        <v>9.5557499299999999E-4</v>
      </c>
      <c r="AV52">
        <v>4.7389128599999999E-4</v>
      </c>
      <c r="AW52" s="39">
        <v>2.32141461E-4</v>
      </c>
    </row>
    <row r="53" spans="2:99" x14ac:dyDescent="0.25">
      <c r="B53" t="s">
        <v>153</v>
      </c>
      <c r="C53">
        <v>652.80183578723302</v>
      </c>
      <c r="D53">
        <v>663.28278041553403</v>
      </c>
      <c r="E53">
        <v>673.65022550000003</v>
      </c>
      <c r="F53" s="39">
        <v>692.15154050000001</v>
      </c>
      <c r="G53" s="39">
        <v>683.52785229999995</v>
      </c>
      <c r="H53">
        <v>752.36409549999996</v>
      </c>
      <c r="I53">
        <v>733.00373549999995</v>
      </c>
      <c r="J53">
        <v>715.52619270000002</v>
      </c>
      <c r="K53" s="39">
        <v>615.06300469999996</v>
      </c>
      <c r="L53" s="39">
        <v>579.56264099999999</v>
      </c>
      <c r="M53" s="39">
        <v>579.35026310000001</v>
      </c>
      <c r="N53" s="39">
        <v>549.456773</v>
      </c>
      <c r="O53" s="39">
        <v>575.23234100000002</v>
      </c>
      <c r="P53" s="39">
        <v>597.21289309999997</v>
      </c>
      <c r="Q53" s="39">
        <v>609.25472019999995</v>
      </c>
      <c r="R53" s="39">
        <v>613.36617209999997</v>
      </c>
      <c r="S53" s="39">
        <v>524.51448960000005</v>
      </c>
      <c r="T53" s="39">
        <v>452.50769919999999</v>
      </c>
      <c r="U53" s="39">
        <v>455.06076259999998</v>
      </c>
      <c r="V53" s="39">
        <v>457.16745070000002</v>
      </c>
      <c r="W53" s="39">
        <v>562.70580529999995</v>
      </c>
      <c r="X53" s="39">
        <v>584.07315080000001</v>
      </c>
      <c r="Y53" s="39">
        <v>460.27623030000001</v>
      </c>
      <c r="Z53" s="39">
        <v>375.5166648</v>
      </c>
      <c r="AA53" s="39">
        <v>298.9576118</v>
      </c>
      <c r="AB53" s="39">
        <v>224.8296958</v>
      </c>
      <c r="AC53" s="39">
        <v>157.89618100000001</v>
      </c>
      <c r="AD53" s="39">
        <v>102.42388</v>
      </c>
      <c r="AE53" s="39">
        <v>61.751442879999999</v>
      </c>
      <c r="AF53" s="39">
        <v>34.676955669999998</v>
      </c>
      <c r="AG53" s="39">
        <v>18.509935970000001</v>
      </c>
      <c r="AH53" s="39">
        <v>9.5559276200000003</v>
      </c>
      <c r="AI53" s="39">
        <v>4.9753856130000003</v>
      </c>
      <c r="AJ53" s="39">
        <v>2.5399570649999998</v>
      </c>
      <c r="AK53" s="39">
        <v>1.2767345349999999</v>
      </c>
      <c r="AL53" s="39">
        <v>0.63588102310000005</v>
      </c>
      <c r="AM53" s="39">
        <v>0.31591759270000003</v>
      </c>
      <c r="AN53" s="39">
        <v>0.1559129206</v>
      </c>
      <c r="AO53" s="39">
        <v>7.7024324699999897E-2</v>
      </c>
      <c r="AP53" s="39">
        <v>3.80017146E-2</v>
      </c>
      <c r="AQ53" s="39">
        <v>1.87148785E-2</v>
      </c>
      <c r="AR53" s="39">
        <v>9.43999643E-3</v>
      </c>
      <c r="AS53" s="39">
        <v>4.7008559200000001E-3</v>
      </c>
      <c r="AT53" s="39">
        <v>2.3254014599999998E-3</v>
      </c>
      <c r="AU53" s="39">
        <v>1.1488228200000001E-3</v>
      </c>
      <c r="AV53">
        <v>5.6613746499999996E-4</v>
      </c>
      <c r="AW53" s="39">
        <v>2.7550313399999997E-4</v>
      </c>
    </row>
    <row r="54" spans="2:99" x14ac:dyDescent="0.25">
      <c r="B54" t="s">
        <v>154</v>
      </c>
      <c r="C54">
        <v>643.60744373389196</v>
      </c>
      <c r="D54">
        <v>653.94076942376603</v>
      </c>
      <c r="E54">
        <v>664.16219420000004</v>
      </c>
      <c r="F54" s="39">
        <v>683.67697129999999</v>
      </c>
      <c r="G54" s="39">
        <v>673.13741089999996</v>
      </c>
      <c r="H54">
        <v>738.74142329999995</v>
      </c>
      <c r="I54">
        <v>719.82818329999998</v>
      </c>
      <c r="J54">
        <v>700.92022699999995</v>
      </c>
      <c r="K54" s="39">
        <v>602.13048490000006</v>
      </c>
      <c r="L54" s="39">
        <v>567.29617559999997</v>
      </c>
      <c r="M54" s="39">
        <v>566.71385859999998</v>
      </c>
      <c r="N54" s="39">
        <v>529.39697079999996</v>
      </c>
      <c r="O54" s="39">
        <v>555.13236199999994</v>
      </c>
      <c r="P54" s="39">
        <v>578.93309529999999</v>
      </c>
      <c r="Q54" s="39">
        <v>583.74262729999998</v>
      </c>
      <c r="R54" s="39">
        <v>588.94531949999998</v>
      </c>
      <c r="S54" s="39">
        <v>492.52078710000001</v>
      </c>
      <c r="T54" s="39">
        <v>435.13817130000001</v>
      </c>
      <c r="U54" s="39">
        <v>429.91170310000001</v>
      </c>
      <c r="V54" s="39">
        <v>428.28081329999998</v>
      </c>
      <c r="W54" s="39">
        <v>526.56590870000002</v>
      </c>
      <c r="X54" s="39">
        <v>544.99553400000002</v>
      </c>
      <c r="Y54" s="39">
        <v>427.3998737</v>
      </c>
      <c r="Z54" s="39">
        <v>347.48180439999999</v>
      </c>
      <c r="AA54" s="39">
        <v>275.92590860000001</v>
      </c>
      <c r="AB54" s="39">
        <v>206.8999622</v>
      </c>
      <c r="AC54" s="39">
        <v>144.82742110000001</v>
      </c>
      <c r="AD54" s="39">
        <v>93.657633279999999</v>
      </c>
      <c r="AE54" s="39">
        <v>56.299085949999998</v>
      </c>
      <c r="AF54" s="39">
        <v>31.513877870000002</v>
      </c>
      <c r="AG54" s="39">
        <v>16.764126050000002</v>
      </c>
      <c r="AH54" s="39">
        <v>8.6240236620000008</v>
      </c>
      <c r="AI54" s="39">
        <v>4.4756258229999997</v>
      </c>
      <c r="AJ54" s="39">
        <v>2.2770253509999998</v>
      </c>
      <c r="AK54" s="39">
        <v>1.140394549</v>
      </c>
      <c r="AL54" s="39">
        <v>0.56582414609999998</v>
      </c>
      <c r="AM54" s="39">
        <v>0.2800095856</v>
      </c>
      <c r="AN54" s="39">
        <v>0.13771722920000001</v>
      </c>
      <c r="AO54" s="39">
        <v>6.7797076900000003E-2</v>
      </c>
      <c r="AP54" s="39">
        <v>3.3334478700000003E-2</v>
      </c>
      <c r="AQ54" s="39">
        <v>1.63602303E-2</v>
      </c>
      <c r="AR54" s="39">
        <v>8.1497951400000008E-3</v>
      </c>
      <c r="AS54" s="39">
        <v>4.0444864299999999E-3</v>
      </c>
      <c r="AT54" s="39">
        <v>1.9934250299999999E-3</v>
      </c>
      <c r="AU54" s="39">
        <v>9.81303812E-4</v>
      </c>
      <c r="AV54">
        <v>4.8187671099999998E-4</v>
      </c>
      <c r="AW54" s="39">
        <v>2.3364335300000001E-4</v>
      </c>
    </row>
    <row r="55" spans="2:99" x14ac:dyDescent="0.25">
      <c r="B55" t="s">
        <v>155</v>
      </c>
      <c r="C55">
        <v>413.74764240035898</v>
      </c>
      <c r="D55">
        <v>420.39049462956399</v>
      </c>
      <c r="E55">
        <v>426.9614105</v>
      </c>
      <c r="F55" s="39">
        <v>441.88392959999999</v>
      </c>
      <c r="G55" s="39">
        <v>425.86666739999998</v>
      </c>
      <c r="H55">
        <v>462.2563902</v>
      </c>
      <c r="I55">
        <v>451.03037810000001</v>
      </c>
      <c r="J55">
        <v>436.4347717</v>
      </c>
      <c r="K55" s="39">
        <v>374.61706470000001</v>
      </c>
      <c r="L55" s="39">
        <v>357.8530227</v>
      </c>
      <c r="M55" s="39">
        <v>356.61454270000002</v>
      </c>
      <c r="N55" s="39">
        <v>324.79954659999999</v>
      </c>
      <c r="O55" s="39">
        <v>341.80288139999999</v>
      </c>
      <c r="P55" s="39">
        <v>354.1634555</v>
      </c>
      <c r="Q55" s="39">
        <v>350.57360360000001</v>
      </c>
      <c r="R55" s="39">
        <v>346.8647962</v>
      </c>
      <c r="S55" s="39">
        <v>272.54144960000002</v>
      </c>
      <c r="T55" s="39">
        <v>251.7608879</v>
      </c>
      <c r="U55" s="39">
        <v>227.76752640000001</v>
      </c>
      <c r="V55" s="39">
        <v>220.8548921</v>
      </c>
      <c r="W55" s="39">
        <v>270.77696479999997</v>
      </c>
      <c r="X55" s="39">
        <v>277.92795230000002</v>
      </c>
      <c r="Y55" s="39">
        <v>214.68121260000001</v>
      </c>
      <c r="Z55" s="39">
        <v>172.6929773</v>
      </c>
      <c r="AA55" s="39">
        <v>136.0788498</v>
      </c>
      <c r="AB55" s="39">
        <v>101.20605430000001</v>
      </c>
      <c r="AC55" s="39">
        <v>70.20157141</v>
      </c>
      <c r="AD55" s="39">
        <v>45.002805649999999</v>
      </c>
      <c r="AE55" s="39">
        <v>26.82773877</v>
      </c>
      <c r="AF55" s="39">
        <v>14.88375373</v>
      </c>
      <c r="AG55" s="39">
        <v>7.8437097009999999</v>
      </c>
      <c r="AH55" s="39">
        <v>3.9966989700000002</v>
      </c>
      <c r="AI55" s="39">
        <v>2.0562847290000001</v>
      </c>
      <c r="AJ55" s="39">
        <v>1.036848298</v>
      </c>
      <c r="AK55" s="39">
        <v>0.51445920950000001</v>
      </c>
      <c r="AL55" s="39">
        <v>0.252864168</v>
      </c>
      <c r="AM55" s="39">
        <v>0.1239555482</v>
      </c>
      <c r="AN55" s="39">
        <v>6.0498048200000001E-2</v>
      </c>
      <c r="AO55" s="39">
        <v>2.9557371499999999E-2</v>
      </c>
      <c r="AP55" s="39">
        <v>1.4428806000000001E-2</v>
      </c>
      <c r="AQ55" s="39">
        <v>7.0328569800000001E-3</v>
      </c>
      <c r="AR55" s="39">
        <v>3.4205418199999998E-3</v>
      </c>
      <c r="AS55" s="39">
        <v>1.6882756700000001E-3</v>
      </c>
      <c r="AT55" s="39">
        <v>8.2756145400000002E-4</v>
      </c>
      <c r="AU55" s="39">
        <v>4.0535750200000002E-4</v>
      </c>
      <c r="AV55">
        <v>1.98147943E-4</v>
      </c>
      <c r="AW55" s="39">
        <v>9.56593854E-5</v>
      </c>
    </row>
    <row r="56" spans="2:99" x14ac:dyDescent="0.25">
      <c r="B56" t="s">
        <v>156</v>
      </c>
      <c r="C56">
        <v>137.915880800119</v>
      </c>
      <c r="D56">
        <v>140.13016487652101</v>
      </c>
      <c r="E56">
        <v>142.32047019999999</v>
      </c>
      <c r="F56" s="39">
        <v>149.81594720000001</v>
      </c>
      <c r="G56" s="39">
        <v>134.94392260000001</v>
      </c>
      <c r="H56">
        <v>141.31673910000001</v>
      </c>
      <c r="I56">
        <v>138.49114209999999</v>
      </c>
      <c r="J56">
        <v>131.2496007</v>
      </c>
      <c r="K56" s="39">
        <v>112.34117999999999</v>
      </c>
      <c r="L56" s="39">
        <v>104.4685649</v>
      </c>
      <c r="M56" s="39">
        <v>103.1603192</v>
      </c>
      <c r="N56" s="39">
        <v>90.254187049999999</v>
      </c>
      <c r="O56" s="39">
        <v>94.8474085</v>
      </c>
      <c r="P56" s="39">
        <v>106.5273277</v>
      </c>
      <c r="Q56" s="39">
        <v>102.0343031</v>
      </c>
      <c r="R56" s="39">
        <v>97.613247400000006</v>
      </c>
      <c r="S56" s="39">
        <v>67.520950859999999</v>
      </c>
      <c r="T56" s="39">
        <v>42.030257159999998</v>
      </c>
      <c r="U56" s="39">
        <v>29.056518400000002</v>
      </c>
      <c r="V56" s="39">
        <v>24.721800160000001</v>
      </c>
      <c r="W56" s="39">
        <v>29.877997069999999</v>
      </c>
      <c r="X56" s="39">
        <v>29.395773850000001</v>
      </c>
      <c r="Y56" s="39">
        <v>21.00796244</v>
      </c>
      <c r="Z56" s="39">
        <v>15.98019897</v>
      </c>
      <c r="AA56" s="39">
        <v>12.082577840000001</v>
      </c>
      <c r="AB56" s="39">
        <v>8.5881275529999996</v>
      </c>
      <c r="AC56" s="39">
        <v>5.6589858709999996</v>
      </c>
      <c r="AD56" s="39">
        <v>3.451551314</v>
      </c>
      <c r="AE56" s="39">
        <v>1.960782182</v>
      </c>
      <c r="AF56" s="39">
        <v>1.032183786</v>
      </c>
      <c r="AG56" s="39">
        <v>0.51423323639999996</v>
      </c>
      <c r="AH56" s="39">
        <v>0.2471628864</v>
      </c>
      <c r="AI56" s="39">
        <v>0.1205137233</v>
      </c>
      <c r="AJ56" s="39">
        <v>5.7432552099999999E-2</v>
      </c>
      <c r="AK56" s="39">
        <v>2.6837000699999999E-2</v>
      </c>
      <c r="AL56" s="39">
        <v>1.2399842600000001E-2</v>
      </c>
      <c r="AM56" s="39">
        <v>5.7052828100000001E-3</v>
      </c>
      <c r="AN56" s="39">
        <v>2.6380466600000002E-3</v>
      </c>
      <c r="AO56" s="39">
        <v>1.2205192399999999E-3</v>
      </c>
      <c r="AP56" s="39">
        <v>5.6527367900000003E-4</v>
      </c>
      <c r="AQ56" s="39">
        <v>2.6167693500000002E-4</v>
      </c>
      <c r="AR56" s="39">
        <v>1.06429072E-4</v>
      </c>
      <c r="AS56" s="39">
        <v>5.0202441200000001E-5</v>
      </c>
      <c r="AT56" s="39">
        <v>2.34913139E-5</v>
      </c>
      <c r="AU56" s="39">
        <v>1.10164307E-5</v>
      </c>
      <c r="AV56" s="39">
        <v>5.1684760200000004E-6</v>
      </c>
      <c r="AW56" s="39">
        <v>2.3970498999999998E-6</v>
      </c>
    </row>
    <row r="57" spans="2:99" x14ac:dyDescent="0.25">
      <c r="B57" t="s">
        <v>157</v>
      </c>
      <c r="C57">
        <v>34.478970200029899</v>
      </c>
      <c r="D57">
        <v>35.032541219130302</v>
      </c>
      <c r="E57">
        <v>35.580117540000003</v>
      </c>
      <c r="F57" s="39">
        <v>39.102608709999998</v>
      </c>
      <c r="G57" s="39">
        <v>29.54610989</v>
      </c>
      <c r="H57">
        <v>29.25164448</v>
      </c>
      <c r="I57">
        <v>28.311518249999999</v>
      </c>
      <c r="J57">
        <v>24.061563960000001</v>
      </c>
      <c r="K57" s="39">
        <v>19.691468149999999</v>
      </c>
      <c r="L57" s="39">
        <v>14.97813303</v>
      </c>
      <c r="M57" s="39">
        <v>14.5133752</v>
      </c>
      <c r="N57" s="39">
        <v>16.531371249999999</v>
      </c>
      <c r="O57" s="39">
        <v>16.93866783</v>
      </c>
      <c r="P57" s="39">
        <v>22.89730033</v>
      </c>
      <c r="Q57" s="39">
        <v>18.80904645</v>
      </c>
      <c r="R57" s="39">
        <v>14.733772979999999</v>
      </c>
      <c r="S57" s="39">
        <v>7.500077375</v>
      </c>
      <c r="T57" s="39">
        <v>1.374922397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v>0</v>
      </c>
      <c r="AI57" s="39">
        <v>0</v>
      </c>
      <c r="AJ57" s="39">
        <v>0</v>
      </c>
      <c r="AK57" s="39">
        <v>0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>
        <v>0</v>
      </c>
      <c r="AS57">
        <v>0</v>
      </c>
      <c r="AT57">
        <v>0</v>
      </c>
      <c r="AU57">
        <v>0</v>
      </c>
      <c r="AV57" s="39">
        <v>0</v>
      </c>
      <c r="AW57" s="39">
        <v>0</v>
      </c>
      <c r="CT57" s="39"/>
      <c r="CU57" s="39"/>
    </row>
    <row r="58" spans="2:99" x14ac:dyDescent="0.25">
      <c r="B58" t="s">
        <v>158</v>
      </c>
      <c r="C58">
        <v>1.1492990066676601</v>
      </c>
      <c r="D58">
        <v>1.1677513739710099</v>
      </c>
      <c r="E58">
        <v>2.1781676650000001</v>
      </c>
      <c r="F58" s="39">
        <v>3.5388944059999998</v>
      </c>
      <c r="G58" s="39">
        <v>5.7197675439999998</v>
      </c>
      <c r="H58">
        <v>9.167084268</v>
      </c>
      <c r="I58">
        <v>12.6427467</v>
      </c>
      <c r="J58">
        <v>17.197572950000001</v>
      </c>
      <c r="K58" s="39">
        <v>20.571969769999999</v>
      </c>
      <c r="L58" s="39">
        <v>26.2441861</v>
      </c>
      <c r="M58" s="39">
        <v>34.775453779999999</v>
      </c>
      <c r="N58" s="39">
        <v>42.374029460000003</v>
      </c>
      <c r="O58" s="39">
        <v>57.733579229999997</v>
      </c>
      <c r="P58" s="39">
        <v>77.934846930000006</v>
      </c>
      <c r="Q58" s="39">
        <v>102.6298006</v>
      </c>
      <c r="R58" s="39">
        <v>132.42388600000001</v>
      </c>
      <c r="S58" s="39">
        <v>142.7575252</v>
      </c>
      <c r="T58" s="39">
        <v>156.45211499999999</v>
      </c>
      <c r="U58" s="39">
        <v>196.218277</v>
      </c>
      <c r="V58" s="39">
        <v>245.99397999999999</v>
      </c>
      <c r="W58" s="39">
        <v>373.94803489999998</v>
      </c>
      <c r="X58" s="39">
        <v>474.22524229999999</v>
      </c>
      <c r="Y58" s="39">
        <v>486.83920000000001</v>
      </c>
      <c r="Z58" s="39">
        <v>574.27283880000005</v>
      </c>
      <c r="AA58" s="39">
        <v>729.40894900000001</v>
      </c>
      <c r="AB58" s="39">
        <v>897.93170999999995</v>
      </c>
      <c r="AC58" s="39">
        <v>1065.801749</v>
      </c>
      <c r="AD58" s="39">
        <v>1211.9579940000001</v>
      </c>
      <c r="AE58" s="39">
        <v>1330.888101</v>
      </c>
      <c r="AF58" s="39">
        <v>1408.3036440000001</v>
      </c>
      <c r="AG58" s="39">
        <v>1453.136988</v>
      </c>
      <c r="AH58" s="39">
        <v>1474.4232260000001</v>
      </c>
      <c r="AI58" s="39">
        <v>1522.9542449999999</v>
      </c>
      <c r="AJ58" s="39">
        <v>1550.7234000000001</v>
      </c>
      <c r="AK58" s="39">
        <v>1559.3128409999999</v>
      </c>
      <c r="AL58" s="39">
        <v>1556.0861649999999</v>
      </c>
      <c r="AM58" s="39">
        <v>1550.3848379999999</v>
      </c>
      <c r="AN58">
        <v>1535.6628229999999</v>
      </c>
      <c r="AO58">
        <v>1523.1869489999999</v>
      </c>
      <c r="AP58">
        <v>1509.0909119999999</v>
      </c>
      <c r="AQ58">
        <v>1492.6653719999999</v>
      </c>
      <c r="AR58">
        <v>1524.218175</v>
      </c>
      <c r="AS58">
        <v>1525.800473</v>
      </c>
      <c r="AT58">
        <v>1517.928983</v>
      </c>
      <c r="AU58">
        <v>1508.3428200000001</v>
      </c>
      <c r="AV58">
        <v>1495.3418300000001</v>
      </c>
      <c r="AW58">
        <v>1464.4465700000001</v>
      </c>
    </row>
    <row r="59" spans="2:99" x14ac:dyDescent="0.25">
      <c r="B59" t="s">
        <v>159</v>
      </c>
      <c r="C59">
        <v>3.4228836395600501E-3</v>
      </c>
      <c r="D59">
        <v>3.4778391435562701E-3</v>
      </c>
      <c r="E59">
        <v>6.4870972799999996E-3</v>
      </c>
      <c r="F59" s="39">
        <v>1.09937128E-2</v>
      </c>
      <c r="G59" s="39">
        <v>2.5485888200000001E-2</v>
      </c>
      <c r="H59">
        <v>7.1213838000000002E-2</v>
      </c>
      <c r="I59">
        <v>0.10585805669999999</v>
      </c>
      <c r="J59">
        <v>0.14833695920000001</v>
      </c>
      <c r="K59" s="39">
        <v>0.17036896700000001</v>
      </c>
      <c r="L59" s="39">
        <v>0.22795217949999999</v>
      </c>
      <c r="M59" s="39">
        <v>0.3559814657</v>
      </c>
      <c r="N59" s="39">
        <v>0.46620838079999999</v>
      </c>
      <c r="O59" s="39">
        <v>0.67084901109999995</v>
      </c>
      <c r="P59" s="39">
        <v>0.37897318810000002</v>
      </c>
      <c r="Q59" s="39">
        <v>0.62857017270000004</v>
      </c>
      <c r="R59" s="39">
        <v>1.0655330949999999</v>
      </c>
      <c r="S59" s="39">
        <v>1.5582561450000001</v>
      </c>
      <c r="T59" s="39">
        <v>2.1399559469999998</v>
      </c>
      <c r="U59" s="39">
        <v>4.8214059059999999</v>
      </c>
      <c r="V59" s="39">
        <v>7.7469904539999996</v>
      </c>
      <c r="W59" s="39">
        <v>11.995370250000001</v>
      </c>
      <c r="X59" s="39">
        <v>16.157855850000001</v>
      </c>
      <c r="Y59" s="39">
        <v>18.436366079999999</v>
      </c>
      <c r="Z59" s="39">
        <v>23.362577340000001</v>
      </c>
      <c r="AA59" s="39">
        <v>31.260674659999999</v>
      </c>
      <c r="AB59" s="39">
        <v>40.40504018</v>
      </c>
      <c r="AC59" s="39">
        <v>50.317552980000002</v>
      </c>
      <c r="AD59" s="39">
        <v>60.114725970000002</v>
      </c>
      <c r="AE59" s="39">
        <v>69.27504098</v>
      </c>
      <c r="AF59" s="39">
        <v>77.030221900000001</v>
      </c>
      <c r="AG59" s="39">
        <v>83.503733740000001</v>
      </c>
      <c r="AH59" s="39">
        <v>88.950555390000005</v>
      </c>
      <c r="AI59" s="39">
        <v>96.023765190000006</v>
      </c>
      <c r="AJ59" s="39">
        <v>102.2597494</v>
      </c>
      <c r="AK59" s="39">
        <v>107.58011689999999</v>
      </c>
      <c r="AL59" s="39">
        <v>112.2919279</v>
      </c>
      <c r="AM59" s="39">
        <v>116.8433398</v>
      </c>
      <c r="AN59">
        <v>120.0519</v>
      </c>
      <c r="AO59">
        <v>123.348558</v>
      </c>
      <c r="AP59">
        <v>126.46353000000001</v>
      </c>
      <c r="AQ59">
        <v>129.3392029</v>
      </c>
      <c r="AR59">
        <v>148.7192326</v>
      </c>
      <c r="AS59">
        <v>153.37139120000001</v>
      </c>
      <c r="AT59">
        <v>157.2949399</v>
      </c>
      <c r="AU59">
        <v>161.02214649999999</v>
      </c>
      <c r="AV59">
        <v>164.37418460000001</v>
      </c>
      <c r="AW59">
        <v>165.87629960000001</v>
      </c>
    </row>
    <row r="60" spans="2:99" x14ac:dyDescent="0.25">
      <c r="B60" t="s">
        <v>160</v>
      </c>
      <c r="C60">
        <v>7.8463024968376607E-3</v>
      </c>
      <c r="D60">
        <v>7.9722774213828399E-3</v>
      </c>
      <c r="E60">
        <v>1.4870423000000001E-2</v>
      </c>
      <c r="F60" s="39">
        <v>2.4475401099999999E-2</v>
      </c>
      <c r="G60" s="39">
        <v>4.4902807199999999E-2</v>
      </c>
      <c r="H60">
        <v>9.2772011000000001E-2</v>
      </c>
      <c r="I60">
        <v>0.1331308598</v>
      </c>
      <c r="J60">
        <v>0.18403414979999999</v>
      </c>
      <c r="K60" s="39">
        <v>0.21535284029999999</v>
      </c>
      <c r="L60" s="39">
        <v>0.28191562060000003</v>
      </c>
      <c r="M60" s="39">
        <v>0.4099503598</v>
      </c>
      <c r="N60" s="39">
        <v>0.52132500940000004</v>
      </c>
      <c r="O60" s="39">
        <v>0.73418445730000004</v>
      </c>
      <c r="P60" s="39">
        <v>0.63371897570000002</v>
      </c>
      <c r="Q60" s="39">
        <v>0.92366944770000003</v>
      </c>
      <c r="R60" s="39">
        <v>1.3651271469999999</v>
      </c>
      <c r="S60" s="39">
        <v>1.7480202380000001</v>
      </c>
      <c r="T60" s="39">
        <v>2.2042718510000001</v>
      </c>
      <c r="U60" s="39">
        <v>4.1535818710000001</v>
      </c>
      <c r="V60" s="39">
        <v>6.2726480889999996</v>
      </c>
      <c r="W60" s="39">
        <v>9.6699969469999996</v>
      </c>
      <c r="X60" s="39">
        <v>12.84166976</v>
      </c>
      <c r="Y60" s="39">
        <v>14.298940610000001</v>
      </c>
      <c r="Z60" s="39">
        <v>17.826342960000002</v>
      </c>
      <c r="AA60" s="39">
        <v>23.573107589999999</v>
      </c>
      <c r="AB60" s="39">
        <v>30.13498512</v>
      </c>
      <c r="AC60" s="39">
        <v>37.122732990000003</v>
      </c>
      <c r="AD60" s="39">
        <v>43.856621920000002</v>
      </c>
      <c r="AE60" s="39">
        <v>49.986452219999997</v>
      </c>
      <c r="AF60" s="39">
        <v>54.951705779999998</v>
      </c>
      <c r="AG60" s="39">
        <v>58.889094620000002</v>
      </c>
      <c r="AH60" s="39">
        <v>62.013636050000002</v>
      </c>
      <c r="AI60" s="39">
        <v>66.239400540000005</v>
      </c>
      <c r="AJ60" s="39">
        <v>69.772083719999998</v>
      </c>
      <c r="AK60" s="39">
        <v>72.579191940000001</v>
      </c>
      <c r="AL60" s="39">
        <v>74.893981729999894</v>
      </c>
      <c r="AM60" s="39">
        <v>77.049595740000001</v>
      </c>
      <c r="AN60">
        <v>78.391819709999893</v>
      </c>
      <c r="AO60">
        <v>79.769246640000006</v>
      </c>
      <c r="AP60">
        <v>81.000631949999999</v>
      </c>
      <c r="AQ60">
        <v>82.048923970000004</v>
      </c>
      <c r="AR60">
        <v>90.980750959999995</v>
      </c>
      <c r="AS60">
        <v>92.922842470000006</v>
      </c>
      <c r="AT60">
        <v>94.335986719999994</v>
      </c>
      <c r="AU60">
        <v>95.589557319999997</v>
      </c>
      <c r="AV60">
        <v>96.576530899999995</v>
      </c>
      <c r="AW60">
        <v>96.403532069999997</v>
      </c>
    </row>
    <row r="61" spans="2:99" x14ac:dyDescent="0.25">
      <c r="B61" t="s">
        <v>161</v>
      </c>
      <c r="C61">
        <v>3.2122446463563603E-2</v>
      </c>
      <c r="D61">
        <v>3.2638182731835802E-2</v>
      </c>
      <c r="E61">
        <v>6.0878913E-2</v>
      </c>
      <c r="F61" s="39">
        <v>9.9048235999999998E-2</v>
      </c>
      <c r="G61" s="39">
        <v>0.1623992209</v>
      </c>
      <c r="H61">
        <v>0.26876545239999999</v>
      </c>
      <c r="I61">
        <v>0.3726480405</v>
      </c>
      <c r="J61">
        <v>0.50801941719999999</v>
      </c>
      <c r="K61" s="39">
        <v>0.60587854819999998</v>
      </c>
      <c r="L61" s="39">
        <v>0.77566436149999995</v>
      </c>
      <c r="M61" s="39">
        <v>1.041447335</v>
      </c>
      <c r="N61" s="39">
        <v>1.2770388399999999</v>
      </c>
      <c r="O61" s="39">
        <v>1.7486461019999999</v>
      </c>
      <c r="P61" s="39">
        <v>2.2221466140000001</v>
      </c>
      <c r="Q61" s="39">
        <v>2.9640429799999999</v>
      </c>
      <c r="R61" s="39">
        <v>3.8920418259999998</v>
      </c>
      <c r="S61" s="39">
        <v>4.2992777880000004</v>
      </c>
      <c r="T61" s="39">
        <v>4.8153577109999999</v>
      </c>
      <c r="U61" s="39">
        <v>6.4839903889999997</v>
      </c>
      <c r="V61" s="39">
        <v>8.4115329560000003</v>
      </c>
      <c r="W61" s="39">
        <v>12.81922977</v>
      </c>
      <c r="X61" s="39">
        <v>16.391195750000001</v>
      </c>
      <c r="Y61" s="39">
        <v>17.064333220000002</v>
      </c>
      <c r="Z61" s="39">
        <v>20.310715819999999</v>
      </c>
      <c r="AA61" s="39">
        <v>25.95719476</v>
      </c>
      <c r="AB61" s="39">
        <v>32.127979750000002</v>
      </c>
      <c r="AC61" s="39">
        <v>38.323047899999999</v>
      </c>
      <c r="AD61" s="39">
        <v>43.77849569</v>
      </c>
      <c r="AE61" s="39">
        <v>48.262433289999997</v>
      </c>
      <c r="AF61" s="39">
        <v>51.239744780000002</v>
      </c>
      <c r="AG61" s="39">
        <v>53.00339889</v>
      </c>
      <c r="AH61" s="39">
        <v>53.863503850000001</v>
      </c>
      <c r="AI61" s="39">
        <v>55.665002649999998</v>
      </c>
      <c r="AJ61" s="39">
        <v>56.653123399999998</v>
      </c>
      <c r="AK61" s="39">
        <v>56.87426258</v>
      </c>
      <c r="AL61" s="39">
        <v>56.59139905</v>
      </c>
      <c r="AM61" s="39">
        <v>56.147720530000001</v>
      </c>
      <c r="AN61">
        <v>55.352043879999997</v>
      </c>
      <c r="AO61">
        <v>54.590798499999998</v>
      </c>
      <c r="AP61">
        <v>53.724151390000003</v>
      </c>
      <c r="AQ61">
        <v>52.727717830000003</v>
      </c>
      <c r="AR61">
        <v>51.764797540000004</v>
      </c>
      <c r="AS61">
        <v>51.134784629999999</v>
      </c>
      <c r="AT61">
        <v>50.100360369999997</v>
      </c>
      <c r="AU61" s="39">
        <v>48.958042880000001</v>
      </c>
      <c r="AV61">
        <v>47.652900639999999</v>
      </c>
      <c r="AW61">
        <v>45.699576260000001</v>
      </c>
    </row>
    <row r="62" spans="2:99" x14ac:dyDescent="0.25">
      <c r="B62" t="s">
        <v>162</v>
      </c>
      <c r="C62">
        <v>0.75461419315223899</v>
      </c>
      <c r="D62">
        <v>0.76672976811017601</v>
      </c>
      <c r="E62">
        <v>1.430155447</v>
      </c>
      <c r="F62" s="39">
        <v>2.3235969060000001</v>
      </c>
      <c r="G62" s="39">
        <v>3.755616029</v>
      </c>
      <c r="H62">
        <v>6.0122713870000002</v>
      </c>
      <c r="I62">
        <v>8.2879255890000003</v>
      </c>
      <c r="J62">
        <v>11.271628270000001</v>
      </c>
      <c r="K62" s="39">
        <v>13.486864949999999</v>
      </c>
      <c r="L62" s="39">
        <v>17.20015214</v>
      </c>
      <c r="M62" s="39">
        <v>22.763966929999999</v>
      </c>
      <c r="N62" s="39">
        <v>27.72137369</v>
      </c>
      <c r="O62" s="39">
        <v>37.751391220000002</v>
      </c>
      <c r="P62" s="39">
        <v>51.172441919999997</v>
      </c>
      <c r="Q62" s="39">
        <v>67.387504890000002</v>
      </c>
      <c r="R62" s="39">
        <v>86.832129469999998</v>
      </c>
      <c r="S62" s="39">
        <v>93.399282360000001</v>
      </c>
      <c r="T62" s="39">
        <v>102.13625639999999</v>
      </c>
      <c r="U62" s="39">
        <v>126.9684445</v>
      </c>
      <c r="V62" s="39">
        <v>158.2539021</v>
      </c>
      <c r="W62" s="39">
        <v>240.4500323</v>
      </c>
      <c r="X62" s="39">
        <v>304.40900169999998</v>
      </c>
      <c r="Y62" s="39">
        <v>311.48344489999999</v>
      </c>
      <c r="Z62" s="39">
        <v>366.5244611</v>
      </c>
      <c r="AA62" s="39">
        <v>464.65040370000003</v>
      </c>
      <c r="AB62" s="39">
        <v>570.92321560000005</v>
      </c>
      <c r="AC62" s="39">
        <v>676.32787169999995</v>
      </c>
      <c r="AD62" s="39">
        <v>767.43438519999995</v>
      </c>
      <c r="AE62" s="39">
        <v>840.89026109999998</v>
      </c>
      <c r="AF62" s="39">
        <v>887.67956040000001</v>
      </c>
      <c r="AG62" s="39">
        <v>913.63895390000005</v>
      </c>
      <c r="AH62" s="39">
        <v>924.59953069999995</v>
      </c>
      <c r="AI62" s="39">
        <v>952.64884810000001</v>
      </c>
      <c r="AJ62" s="39">
        <v>967.43394160000003</v>
      </c>
      <c r="AK62" s="39">
        <v>970.04691019999996</v>
      </c>
      <c r="AL62" s="39">
        <v>965.18499840000004</v>
      </c>
      <c r="AM62" s="39">
        <v>958.77394660000004</v>
      </c>
      <c r="AN62">
        <v>947.16635129999997</v>
      </c>
      <c r="AO62">
        <v>936.99369119999994</v>
      </c>
      <c r="AP62">
        <v>925.85322099999996</v>
      </c>
      <c r="AQ62">
        <v>913.30938920000006</v>
      </c>
      <c r="AR62">
        <v>922.97442509999996</v>
      </c>
      <c r="AS62">
        <v>921.33461420000003</v>
      </c>
      <c r="AT62">
        <v>913.86278330000005</v>
      </c>
      <c r="AU62">
        <v>905.37479629999996</v>
      </c>
      <c r="AV62">
        <v>894.84934429999998</v>
      </c>
      <c r="AW62">
        <v>873.55557510000006</v>
      </c>
    </row>
    <row r="63" spans="2:99" x14ac:dyDescent="0.25">
      <c r="B63" t="s">
        <v>163</v>
      </c>
      <c r="C63">
        <v>0.29742225840361802</v>
      </c>
      <c r="D63">
        <v>0.302197468966243</v>
      </c>
      <c r="E63">
        <v>0.56367885309999999</v>
      </c>
      <c r="F63" s="39">
        <v>0.91557368809999995</v>
      </c>
      <c r="G63" s="39">
        <v>1.475675939</v>
      </c>
      <c r="H63">
        <v>2.3459322060000001</v>
      </c>
      <c r="I63">
        <v>3.2297069170000001</v>
      </c>
      <c r="J63">
        <v>4.390053644</v>
      </c>
      <c r="K63" s="39">
        <v>5.2566976040000002</v>
      </c>
      <c r="L63" s="39">
        <v>6.6982205649999997</v>
      </c>
      <c r="M63" s="39">
        <v>8.8354932290000008</v>
      </c>
      <c r="N63" s="39">
        <v>10.74189483</v>
      </c>
      <c r="O63" s="39">
        <v>14.608961710000001</v>
      </c>
      <c r="P63" s="39">
        <v>20.08982258</v>
      </c>
      <c r="Q63" s="39">
        <v>26.385740370000001</v>
      </c>
      <c r="R63" s="39">
        <v>33.861036859999999</v>
      </c>
      <c r="S63" s="39">
        <v>36.198541499999997</v>
      </c>
      <c r="T63" s="39">
        <v>39.34803307</v>
      </c>
      <c r="U63" s="39">
        <v>47.741633090000001</v>
      </c>
      <c r="V63" s="39">
        <v>58.568687840000003</v>
      </c>
      <c r="W63" s="39">
        <v>88.86847143</v>
      </c>
      <c r="X63" s="39">
        <v>111.98739209999999</v>
      </c>
      <c r="Y63" s="39">
        <v>113.5779404</v>
      </c>
      <c r="Z63" s="39">
        <v>132.76742719999999</v>
      </c>
      <c r="AA63" s="39">
        <v>167.4504153</v>
      </c>
      <c r="AB63" s="39">
        <v>204.71000029999999</v>
      </c>
      <c r="AC63" s="39">
        <v>241.23501479999999</v>
      </c>
      <c r="AD63" s="39">
        <v>272.18185360000001</v>
      </c>
      <c r="AE63" s="39">
        <v>296.50156779999998</v>
      </c>
      <c r="AF63" s="39">
        <v>311.0359838</v>
      </c>
      <c r="AG63" s="39">
        <v>318.03163139999998</v>
      </c>
      <c r="AH63" s="39">
        <v>319.66366499999998</v>
      </c>
      <c r="AI63" s="39">
        <v>327.241984</v>
      </c>
      <c r="AJ63" s="39">
        <v>330.05565790000003</v>
      </c>
      <c r="AK63" s="39">
        <v>328.5793559</v>
      </c>
      <c r="AL63" s="39">
        <v>324.5129804</v>
      </c>
      <c r="AM63" s="39">
        <v>319.96537519999998</v>
      </c>
      <c r="AN63">
        <v>314.04554560000003</v>
      </c>
      <c r="AO63">
        <v>308.68266870000002</v>
      </c>
      <c r="AP63">
        <v>303.06521750000002</v>
      </c>
      <c r="AQ63">
        <v>297.05064679999998</v>
      </c>
      <c r="AR63">
        <v>293.11908310000001</v>
      </c>
      <c r="AS63">
        <v>290.78374839999998</v>
      </c>
      <c r="AT63">
        <v>286.5730021</v>
      </c>
      <c r="AU63">
        <v>282.10812770000001</v>
      </c>
      <c r="AV63">
        <v>277.07086370000002</v>
      </c>
      <c r="AW63">
        <v>268.71858200000003</v>
      </c>
    </row>
    <row r="64" spans="2:99" x14ac:dyDescent="0.25">
      <c r="B64" t="s">
        <v>164</v>
      </c>
      <c r="C64">
        <v>4.0548006191711396E-3</v>
      </c>
      <c r="D64">
        <v>4.1199017546743504E-3</v>
      </c>
      <c r="E64">
        <v>7.6847152399999999E-3</v>
      </c>
      <c r="F64" s="39">
        <v>1.2133992600000001E-2</v>
      </c>
      <c r="G64" s="39">
        <v>1.3664954300000001E-2</v>
      </c>
      <c r="H64">
        <v>9.1566124700000005E-3</v>
      </c>
      <c r="I64" s="39">
        <v>1.2622671199999999E-2</v>
      </c>
      <c r="J64" s="39">
        <v>1.71670025E-2</v>
      </c>
      <c r="K64" s="39">
        <v>2.05407183E-2</v>
      </c>
      <c r="L64" s="39">
        <v>2.61963453E-2</v>
      </c>
      <c r="M64" s="39">
        <v>3.4671794200000002E-2</v>
      </c>
      <c r="N64" s="39">
        <v>4.22236837E-2</v>
      </c>
      <c r="O64" s="39">
        <v>5.75024487E-2</v>
      </c>
      <c r="P64" s="39">
        <v>0.1618848792</v>
      </c>
      <c r="Q64" s="39">
        <v>0.1144297328</v>
      </c>
      <c r="R64" s="39">
        <v>0.13224617120000001</v>
      </c>
      <c r="S64" s="39">
        <v>0.14226017290000001</v>
      </c>
      <c r="T64" s="39">
        <v>0.15559052949999999</v>
      </c>
      <c r="U64" s="39">
        <v>0.1936493655</v>
      </c>
      <c r="V64" s="39">
        <v>0.24167153020000001</v>
      </c>
      <c r="W64" s="39">
        <v>0.36724033540000001</v>
      </c>
      <c r="X64" s="39">
        <v>0.46513387899999997</v>
      </c>
      <c r="Y64" s="39">
        <v>0.47639371800000002</v>
      </c>
      <c r="Z64" s="39">
        <v>0.56101082270000002</v>
      </c>
      <c r="AA64" s="39">
        <v>0.71166343259999998</v>
      </c>
      <c r="AB64" s="39">
        <v>0.87501965999999998</v>
      </c>
      <c r="AC64" s="39">
        <v>1.0373275449999999</v>
      </c>
      <c r="AD64" s="39">
        <v>1.178047957</v>
      </c>
      <c r="AE64" s="39">
        <v>1.2919735139999999</v>
      </c>
      <c r="AF64" s="39">
        <v>1.3652657560000001</v>
      </c>
      <c r="AG64" s="39">
        <v>1.4067856759999999</v>
      </c>
      <c r="AH64" s="39">
        <v>1.4254213950000001</v>
      </c>
      <c r="AI64" s="39">
        <v>1.470471737</v>
      </c>
      <c r="AJ64" s="39">
        <v>1.4953355699999999</v>
      </c>
      <c r="AK64" s="39">
        <v>1.5016334579999999</v>
      </c>
      <c r="AL64" s="39">
        <v>1.4965522170000001</v>
      </c>
      <c r="AM64" s="39">
        <v>1.4891711059999999</v>
      </c>
      <c r="AN64">
        <v>1.473449496</v>
      </c>
      <c r="AO64">
        <v>1.4599789590000001</v>
      </c>
      <c r="AP64">
        <v>1.4450357229999999</v>
      </c>
      <c r="AQ64">
        <v>1.4279382759999999</v>
      </c>
      <c r="AR64">
        <v>1.453321444</v>
      </c>
      <c r="AS64">
        <v>1.4536768</v>
      </c>
      <c r="AT64">
        <v>1.44503044</v>
      </c>
      <c r="AU64">
        <v>1.43481806</v>
      </c>
      <c r="AV64">
        <v>1.4214200850000001</v>
      </c>
      <c r="AW64" s="39">
        <v>1.39104889</v>
      </c>
      <c r="BV64" s="39"/>
    </row>
    <row r="65" spans="2:49" x14ac:dyDescent="0.25">
      <c r="B65" t="s">
        <v>165</v>
      </c>
      <c r="C65">
        <v>4.9816121892674002E-2</v>
      </c>
      <c r="D65">
        <v>5.0615935843142099E-2</v>
      </c>
      <c r="E65">
        <v>9.4412215800000004E-2</v>
      </c>
      <c r="F65" s="39">
        <v>0.15307246999999999</v>
      </c>
      <c r="G65" s="39">
        <v>0.2420227053</v>
      </c>
      <c r="H65">
        <v>0.36697276849999999</v>
      </c>
      <c r="I65">
        <v>0.50085456689999996</v>
      </c>
      <c r="J65">
        <v>0.67833351050000001</v>
      </c>
      <c r="K65" s="39">
        <v>0.81626615020000004</v>
      </c>
      <c r="L65" s="39">
        <v>1.034084883</v>
      </c>
      <c r="M65" s="39">
        <v>1.3339426619999999</v>
      </c>
      <c r="N65" s="39">
        <v>1.603965028</v>
      </c>
      <c r="O65" s="39">
        <v>2.162044276</v>
      </c>
      <c r="P65" s="39">
        <v>3.275858784</v>
      </c>
      <c r="Q65" s="39">
        <v>4.2258430159999998</v>
      </c>
      <c r="R65" s="39">
        <v>5.2757714350000002</v>
      </c>
      <c r="S65" s="39">
        <v>5.4118869969999999</v>
      </c>
      <c r="T65" s="39">
        <v>5.65264948</v>
      </c>
      <c r="U65" s="39">
        <v>5.8555727099999997</v>
      </c>
      <c r="V65" s="39">
        <v>6.4985469780000003</v>
      </c>
      <c r="W65" s="39">
        <v>9.7776949969999905</v>
      </c>
      <c r="X65" s="39">
        <v>11.97299319</v>
      </c>
      <c r="Y65" s="39">
        <v>11.50178111</v>
      </c>
      <c r="Z65" s="39">
        <v>12.92030351</v>
      </c>
      <c r="AA65" s="39">
        <v>15.80548961</v>
      </c>
      <c r="AB65" s="39">
        <v>18.755469560000002</v>
      </c>
      <c r="AC65" s="39">
        <v>21.438201039999999</v>
      </c>
      <c r="AD65" s="39">
        <v>23.413864570000001</v>
      </c>
      <c r="AE65" s="39">
        <v>24.680372670000001</v>
      </c>
      <c r="AF65" s="39">
        <v>25.001161549999999</v>
      </c>
      <c r="AG65" s="39">
        <v>24.663389810000002</v>
      </c>
      <c r="AH65" s="39">
        <v>23.90691391</v>
      </c>
      <c r="AI65" s="39">
        <v>23.664772859999999</v>
      </c>
      <c r="AJ65" s="39">
        <v>23.053508770000001</v>
      </c>
      <c r="AK65" s="39">
        <v>22.15136983</v>
      </c>
      <c r="AL65" s="39">
        <v>21.11432546</v>
      </c>
      <c r="AM65" s="39">
        <v>20.115689289999999</v>
      </c>
      <c r="AN65">
        <v>19.18171306</v>
      </c>
      <c r="AO65">
        <v>18.34200667</v>
      </c>
      <c r="AP65">
        <v>17.53912399</v>
      </c>
      <c r="AQ65">
        <v>16.761553360000001</v>
      </c>
      <c r="AR65">
        <v>15.206565599999999</v>
      </c>
      <c r="AS65">
        <v>14.799415460000001</v>
      </c>
      <c r="AT65">
        <v>14.316880149999999</v>
      </c>
      <c r="AU65">
        <v>13.85533077</v>
      </c>
      <c r="AV65">
        <v>13.396585569999999</v>
      </c>
      <c r="AW65">
        <v>12.801955960000001</v>
      </c>
    </row>
    <row r="66" spans="2:49" x14ac:dyDescent="0.25">
      <c r="B66" t="s">
        <v>166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167</v>
      </c>
      <c r="C67">
        <v>5.2121797950038999</v>
      </c>
      <c r="D67">
        <v>5.29586302754001</v>
      </c>
      <c r="E67">
        <v>5.3808898210000002</v>
      </c>
      <c r="F67">
        <v>5.4354083549999999</v>
      </c>
      <c r="G67">
        <v>4.4785857309999999</v>
      </c>
      <c r="H67">
        <v>3.8807068729999998</v>
      </c>
      <c r="I67">
        <v>3.7540045970000002</v>
      </c>
      <c r="J67">
        <v>3.5776002550000001</v>
      </c>
      <c r="K67">
        <v>3.4500698999999999</v>
      </c>
      <c r="L67">
        <v>3.7021434879999999</v>
      </c>
      <c r="M67">
        <v>3.809251519</v>
      </c>
      <c r="N67">
        <v>3.8823198269999999</v>
      </c>
      <c r="O67">
        <v>2.9754537189999999</v>
      </c>
      <c r="P67">
        <v>2.4565310980000001</v>
      </c>
      <c r="Q67">
        <v>2.1260994580000001</v>
      </c>
      <c r="R67">
        <v>1.9163274100000001</v>
      </c>
      <c r="S67">
        <v>1.737091792</v>
      </c>
      <c r="T67">
        <v>1.730135465</v>
      </c>
      <c r="U67">
        <v>1.7029797250000001</v>
      </c>
      <c r="V67">
        <v>1.6977078249999999</v>
      </c>
      <c r="W67">
        <v>1.5596749560000001</v>
      </c>
      <c r="X67">
        <v>1.3765542719999999</v>
      </c>
      <c r="Y67">
        <v>1.248927232</v>
      </c>
      <c r="Z67">
        <v>1.1579563690000001</v>
      </c>
      <c r="AA67">
        <v>1.0849391500000001</v>
      </c>
      <c r="AB67">
        <v>1.0227435389999999</v>
      </c>
      <c r="AC67">
        <v>0.97121677039999998</v>
      </c>
      <c r="AD67">
        <v>0.96839036820000002</v>
      </c>
      <c r="AE67">
        <v>0.97725740000000005</v>
      </c>
      <c r="AF67">
        <v>0.98868479970000001</v>
      </c>
      <c r="AG67">
        <v>1.0014289430000001</v>
      </c>
      <c r="AH67">
        <v>1.013834262</v>
      </c>
      <c r="AI67">
        <v>1.0278519989999999</v>
      </c>
      <c r="AJ67">
        <v>1.0430960520000001</v>
      </c>
      <c r="AK67">
        <v>1.0591392019999999</v>
      </c>
      <c r="AL67">
        <v>1.0748172760000001</v>
      </c>
      <c r="AM67">
        <v>1.0918301500000001</v>
      </c>
      <c r="AN67">
        <v>1.1029603100000001</v>
      </c>
      <c r="AO67">
        <v>1.1126103389999999</v>
      </c>
      <c r="AP67">
        <v>1.120820275</v>
      </c>
      <c r="AQ67">
        <v>1.1280498729999999</v>
      </c>
      <c r="AR67">
        <v>1.13320749</v>
      </c>
      <c r="AS67">
        <v>1.141756225</v>
      </c>
      <c r="AT67">
        <v>1.1509279109999999</v>
      </c>
      <c r="AU67">
        <v>1.1602002929999999</v>
      </c>
      <c r="AV67">
        <v>1.169006022</v>
      </c>
      <c r="AW67">
        <v>1.17767036</v>
      </c>
    </row>
    <row r="68" spans="2:49" x14ac:dyDescent="0.25">
      <c r="B68" t="s">
        <v>168</v>
      </c>
      <c r="C68">
        <v>0.35839918454870201</v>
      </c>
      <c r="D68">
        <v>0.36415339938413299</v>
      </c>
      <c r="E68">
        <v>0.37</v>
      </c>
      <c r="F68">
        <v>0.36697594420000001</v>
      </c>
      <c r="G68">
        <v>0.36309435010000002</v>
      </c>
      <c r="H68">
        <v>0.35882246969999998</v>
      </c>
      <c r="I68">
        <v>0.3566596548</v>
      </c>
      <c r="J68">
        <v>0.35439358869999998</v>
      </c>
      <c r="K68">
        <v>0.35080065970000002</v>
      </c>
      <c r="L68">
        <v>0.34568463840000002</v>
      </c>
      <c r="M68">
        <v>0.3406317224</v>
      </c>
      <c r="N68">
        <v>0.33699222420000002</v>
      </c>
      <c r="O68">
        <v>0.33631010779999998</v>
      </c>
      <c r="P68">
        <v>0.33674021640000001</v>
      </c>
      <c r="Q68">
        <v>0.33607323319999999</v>
      </c>
      <c r="R68">
        <v>0.33139832499999999</v>
      </c>
      <c r="S68">
        <v>0.32532872340000002</v>
      </c>
      <c r="T68">
        <v>0.31744814059999998</v>
      </c>
      <c r="U68">
        <v>0.30935612940000001</v>
      </c>
      <c r="V68">
        <v>0.30123443</v>
      </c>
      <c r="W68">
        <v>0.29305469200000001</v>
      </c>
      <c r="X68">
        <v>0.2834379736</v>
      </c>
      <c r="Y68">
        <v>0.27299268399999999</v>
      </c>
      <c r="Z68">
        <v>0.26264153089999998</v>
      </c>
      <c r="AA68">
        <v>0.25284228390000002</v>
      </c>
      <c r="AB68">
        <v>0.2437322358</v>
      </c>
      <c r="AC68">
        <v>0.23478648969999999</v>
      </c>
      <c r="AD68">
        <v>0.22575568539999999</v>
      </c>
      <c r="AE68">
        <v>0.21716909230000001</v>
      </c>
      <c r="AF68">
        <v>0.20921020100000001</v>
      </c>
      <c r="AG68">
        <v>0.20183589669999999</v>
      </c>
      <c r="AH68">
        <v>0.1950066255</v>
      </c>
      <c r="AI68">
        <v>0.18871271349999999</v>
      </c>
      <c r="AJ68">
        <v>0.18291443960000001</v>
      </c>
      <c r="AK68" s="39">
        <v>0.17758710110000001</v>
      </c>
      <c r="AL68" s="39">
        <v>0.17261088359999999</v>
      </c>
      <c r="AM68" s="39">
        <v>0.16759702409999999</v>
      </c>
      <c r="AN68" s="39">
        <v>0.16261921469999999</v>
      </c>
      <c r="AO68" s="39">
        <v>0.15787191</v>
      </c>
      <c r="AP68" s="39">
        <v>0.1534055393</v>
      </c>
      <c r="AQ68" s="39">
        <v>0.14923440700000001</v>
      </c>
      <c r="AR68" s="39">
        <v>0.14535554079999999</v>
      </c>
      <c r="AS68" s="39">
        <v>0.14168603809999999</v>
      </c>
      <c r="AT68" s="39">
        <v>0.13799274919999999</v>
      </c>
      <c r="AU68" s="39">
        <v>0.1342144706</v>
      </c>
      <c r="AV68">
        <v>0.13034776310000001</v>
      </c>
      <c r="AW68">
        <v>0.1264337522</v>
      </c>
    </row>
    <row r="69" spans="2:49" x14ac:dyDescent="0.25">
      <c r="B69" t="s">
        <v>169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170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171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</row>
    <row r="72" spans="2:49" x14ac:dyDescent="0.25">
      <c r="B72" t="s">
        <v>172</v>
      </c>
      <c r="C72">
        <v>2.1503951072922098</v>
      </c>
      <c r="D72">
        <v>2.1849203963048001</v>
      </c>
      <c r="E72">
        <v>2.2200000000000002</v>
      </c>
      <c r="F72">
        <v>2.29221582</v>
      </c>
      <c r="G72">
        <v>2.1902872809999998</v>
      </c>
      <c r="H72">
        <v>2.3150787309999998</v>
      </c>
      <c r="I72">
        <v>2.3854662210000002</v>
      </c>
      <c r="J72">
        <v>2.2583421650000002</v>
      </c>
      <c r="K72">
        <v>2.1755668090000002</v>
      </c>
      <c r="L72">
        <v>2.1222155950000001</v>
      </c>
      <c r="M72">
        <v>2.2773066700000002</v>
      </c>
      <c r="N72">
        <v>2.4414492499999998</v>
      </c>
      <c r="O72">
        <v>2.5326545249999999</v>
      </c>
      <c r="P72">
        <v>2.5478217449999998</v>
      </c>
      <c r="Q72">
        <v>2.3708109089999998</v>
      </c>
      <c r="R72">
        <v>2.3746183099999998</v>
      </c>
      <c r="S72">
        <v>2.3920678209999999</v>
      </c>
      <c r="T72">
        <v>2.4160296689999998</v>
      </c>
      <c r="U72">
        <v>2.430687442</v>
      </c>
      <c r="V72">
        <v>2.4695994379999999</v>
      </c>
      <c r="W72">
        <v>2.4877173950000002</v>
      </c>
      <c r="X72">
        <v>2.4879314739999998</v>
      </c>
      <c r="Y72">
        <v>2.5258656500000001</v>
      </c>
      <c r="Z72">
        <v>2.5685883070000002</v>
      </c>
      <c r="AA72">
        <v>2.613475389</v>
      </c>
      <c r="AB72">
        <v>2.652976684</v>
      </c>
      <c r="AC72">
        <v>2.6866915869999999</v>
      </c>
      <c r="AD72">
        <v>2.7220900100000001</v>
      </c>
      <c r="AE72">
        <v>2.7623387359999998</v>
      </c>
      <c r="AF72">
        <v>2.8028763470000002</v>
      </c>
      <c r="AG72">
        <v>2.844591673</v>
      </c>
      <c r="AH72">
        <v>2.888209539</v>
      </c>
      <c r="AI72">
        <v>2.9368644929999999</v>
      </c>
      <c r="AJ72">
        <v>2.9916528790000001</v>
      </c>
      <c r="AK72">
        <v>3.047293373</v>
      </c>
      <c r="AL72">
        <v>3.1019964469999999</v>
      </c>
      <c r="AM72">
        <v>3.160367114</v>
      </c>
      <c r="AN72">
        <v>3.2128364220000001</v>
      </c>
      <c r="AO72">
        <v>3.2675642749999998</v>
      </c>
      <c r="AP72">
        <v>3.3216460589999999</v>
      </c>
      <c r="AQ72">
        <v>3.375984093</v>
      </c>
      <c r="AR72">
        <v>3.4296987830000001</v>
      </c>
      <c r="AS72">
        <v>3.4780571550000001</v>
      </c>
      <c r="AT72">
        <v>3.5249256020000002</v>
      </c>
      <c r="AU72">
        <v>3.5743997740000002</v>
      </c>
      <c r="AV72">
        <v>3.625253206</v>
      </c>
      <c r="AW72">
        <v>3.676984123</v>
      </c>
    </row>
    <row r="73" spans="2:49" x14ac:dyDescent="0.25">
      <c r="B73" t="s">
        <v>173</v>
      </c>
      <c r="C73">
        <v>17.283948650263198</v>
      </c>
      <c r="D73">
        <v>17.561448036494799</v>
      </c>
      <c r="E73">
        <v>17.843402770000001</v>
      </c>
      <c r="F73">
        <v>18.09738947</v>
      </c>
      <c r="G73">
        <v>16.925291810000001</v>
      </c>
      <c r="H73">
        <v>15.96225184</v>
      </c>
      <c r="I73">
        <v>14.844301529999999</v>
      </c>
      <c r="J73">
        <v>14.736224</v>
      </c>
      <c r="K73">
        <v>13.58383881</v>
      </c>
      <c r="L73">
        <v>13.29400923</v>
      </c>
      <c r="M73">
        <v>13.5555997</v>
      </c>
      <c r="N73">
        <v>14.15502992</v>
      </c>
      <c r="O73">
        <v>13.19655406</v>
      </c>
      <c r="P73">
        <v>11.88641672</v>
      </c>
      <c r="Q73">
        <v>10.5242591</v>
      </c>
      <c r="R73">
        <v>9.6435766100000002</v>
      </c>
      <c r="S73">
        <v>8.8571648360000008</v>
      </c>
      <c r="T73">
        <v>8.7399514499999995</v>
      </c>
      <c r="U73">
        <v>8.5222442370000007</v>
      </c>
      <c r="V73">
        <v>8.3783867149999995</v>
      </c>
      <c r="W73">
        <v>7.5753892919999997</v>
      </c>
      <c r="X73">
        <v>6.578643123</v>
      </c>
      <c r="Y73">
        <v>5.9577122060000001</v>
      </c>
      <c r="Z73">
        <v>5.4977401800000001</v>
      </c>
      <c r="AA73">
        <v>5.1385078789999996</v>
      </c>
      <c r="AB73">
        <v>4.849080024</v>
      </c>
      <c r="AC73">
        <v>4.6301262919999999</v>
      </c>
      <c r="AD73">
        <v>4.6298525679999996</v>
      </c>
      <c r="AE73">
        <v>4.6953028970000004</v>
      </c>
      <c r="AF73">
        <v>4.7762367809999997</v>
      </c>
      <c r="AG73">
        <v>4.8654704129999997</v>
      </c>
      <c r="AH73">
        <v>4.9567651210000001</v>
      </c>
      <c r="AI73">
        <v>5.0596551009999997</v>
      </c>
      <c r="AJ73">
        <v>5.173222386</v>
      </c>
      <c r="AK73">
        <v>5.2957695850000004</v>
      </c>
      <c r="AL73">
        <v>5.4198707390000003</v>
      </c>
      <c r="AM73">
        <v>5.5604265369999997</v>
      </c>
      <c r="AN73">
        <v>5.6801352950000004</v>
      </c>
      <c r="AO73">
        <v>5.7984457059999999</v>
      </c>
      <c r="AP73">
        <v>5.9195620470000003</v>
      </c>
      <c r="AQ73">
        <v>6.0490669229999998</v>
      </c>
      <c r="AR73">
        <v>6.1829823360000002</v>
      </c>
      <c r="AS73">
        <v>6.2995088590000003</v>
      </c>
      <c r="AT73">
        <v>6.4196241990000003</v>
      </c>
      <c r="AU73">
        <v>6.5452268440000001</v>
      </c>
      <c r="AV73">
        <v>6.6744947569999997</v>
      </c>
      <c r="AW73">
        <v>6.8112361119999996</v>
      </c>
    </row>
    <row r="74" spans="2:49" x14ac:dyDescent="0.25">
      <c r="B74" t="s">
        <v>174</v>
      </c>
      <c r="C74">
        <v>9.6518912203120095</v>
      </c>
      <c r="D74">
        <v>9.8068554558467902</v>
      </c>
      <c r="E74">
        <v>9.9643076920000002</v>
      </c>
      <c r="F74">
        <v>9.5339187380000006</v>
      </c>
      <c r="G74">
        <v>8.8571504609999998</v>
      </c>
      <c r="H74">
        <v>9.0521601670000003</v>
      </c>
      <c r="I74">
        <v>8.4256430219999903</v>
      </c>
      <c r="J74">
        <v>7.8510133780000002</v>
      </c>
      <c r="K74">
        <v>7.4388998649999998</v>
      </c>
      <c r="L74">
        <v>7.2571938090000003</v>
      </c>
      <c r="M74">
        <v>7.1180821349999999</v>
      </c>
      <c r="N74">
        <v>7.1888095700000001</v>
      </c>
      <c r="O74">
        <v>7.1801138660000001</v>
      </c>
      <c r="P74">
        <v>6.9477488320000003</v>
      </c>
      <c r="Q74">
        <v>6.6683585880000003</v>
      </c>
      <c r="R74">
        <v>6.6360026660000004</v>
      </c>
      <c r="S74">
        <v>6.4300083509999997</v>
      </c>
      <c r="T74">
        <v>6.2798757109999999</v>
      </c>
      <c r="U74">
        <v>6.1157140869999997</v>
      </c>
      <c r="V74">
        <v>5.9023560890000004</v>
      </c>
      <c r="W74">
        <v>5.7411236429999999</v>
      </c>
      <c r="X74">
        <v>5.5836514299999997</v>
      </c>
      <c r="Y74">
        <v>5.479806752</v>
      </c>
      <c r="Z74">
        <v>5.3193105310000002</v>
      </c>
      <c r="AA74">
        <v>5.1638329120000002</v>
      </c>
      <c r="AB74">
        <v>5.0045401219999999</v>
      </c>
      <c r="AC74">
        <v>4.8481705870000003</v>
      </c>
      <c r="AD74">
        <v>4.683558444</v>
      </c>
      <c r="AE74">
        <v>4.5317211349999997</v>
      </c>
      <c r="AF74">
        <v>4.3921218780000002</v>
      </c>
      <c r="AG74">
        <v>4.2769647510000004</v>
      </c>
      <c r="AH74">
        <v>4.1618765680000003</v>
      </c>
      <c r="AI74">
        <v>4.0570824989999998</v>
      </c>
      <c r="AJ74">
        <v>3.96894583</v>
      </c>
      <c r="AK74">
        <v>3.888530147</v>
      </c>
      <c r="AL74">
        <v>3.8496812930000002</v>
      </c>
      <c r="AM74">
        <v>3.8075837830000001</v>
      </c>
      <c r="AN74">
        <v>3.7013015710000001</v>
      </c>
      <c r="AO74">
        <v>3.6015149229999999</v>
      </c>
      <c r="AP74">
        <v>3.5062855800000001</v>
      </c>
      <c r="AQ74">
        <v>3.4150338520000001</v>
      </c>
      <c r="AR74">
        <v>3.3283489140000002</v>
      </c>
      <c r="AS74">
        <v>3.2731780690000001</v>
      </c>
      <c r="AT74">
        <v>3.2111303869999999</v>
      </c>
      <c r="AU74">
        <v>3.147246741</v>
      </c>
      <c r="AV74">
        <v>3.0807143510000001</v>
      </c>
      <c r="AW74">
        <v>3.0127805859999999</v>
      </c>
    </row>
    <row r="75" spans="2:49" x14ac:dyDescent="0.25">
      <c r="B75" t="s">
        <v>175</v>
      </c>
      <c r="C75">
        <v>4.6065844460580001</v>
      </c>
      <c r="D75">
        <v>4.68054464938142</v>
      </c>
      <c r="E75">
        <v>4.7556923080000004</v>
      </c>
      <c r="F75">
        <v>4.8598532920000004</v>
      </c>
      <c r="G75">
        <v>4.6764146990000004</v>
      </c>
      <c r="H75">
        <v>4.6137795349999999</v>
      </c>
      <c r="I75">
        <v>4.5415950929999997</v>
      </c>
      <c r="J75">
        <v>4.3425981949999999</v>
      </c>
      <c r="K75">
        <v>4.1274580350000001</v>
      </c>
      <c r="L75">
        <v>4.049681455</v>
      </c>
      <c r="M75">
        <v>4.0633737950000004</v>
      </c>
      <c r="N75">
        <v>4.1772130589999996</v>
      </c>
      <c r="O75">
        <v>3.9144185</v>
      </c>
      <c r="P75">
        <v>3.6373001679999999</v>
      </c>
      <c r="Q75">
        <v>3.401255946</v>
      </c>
      <c r="R75">
        <v>3.2156950549999999</v>
      </c>
      <c r="S75">
        <v>3.0099661740000001</v>
      </c>
      <c r="T75">
        <v>3.0053110350000001</v>
      </c>
      <c r="U75">
        <v>3.0091726259999998</v>
      </c>
      <c r="V75">
        <v>2.995326886</v>
      </c>
      <c r="W75">
        <v>2.5173652579999999</v>
      </c>
      <c r="X75">
        <v>2.1715927289999999</v>
      </c>
      <c r="Y75">
        <v>1.9353028290000001</v>
      </c>
      <c r="Z75">
        <v>1.7448090979999999</v>
      </c>
      <c r="AA75">
        <v>1.588687228</v>
      </c>
      <c r="AB75">
        <v>1.477226838</v>
      </c>
      <c r="AC75">
        <v>1.3836594250000001</v>
      </c>
      <c r="AD75">
        <v>1.371305169</v>
      </c>
      <c r="AE75">
        <v>1.366174346</v>
      </c>
      <c r="AF75">
        <v>1.361591279</v>
      </c>
      <c r="AG75">
        <v>1.361525648</v>
      </c>
      <c r="AH75">
        <v>1.360174947</v>
      </c>
      <c r="AI75">
        <v>1.355025205</v>
      </c>
      <c r="AJ75">
        <v>1.3500208499999999</v>
      </c>
      <c r="AK75">
        <v>1.344778341</v>
      </c>
      <c r="AL75">
        <v>1.3571676699999999</v>
      </c>
      <c r="AM75">
        <v>1.370224112</v>
      </c>
      <c r="AN75">
        <v>1.3636120920000001</v>
      </c>
      <c r="AO75">
        <v>1.354495435</v>
      </c>
      <c r="AP75">
        <v>1.3443081530000001</v>
      </c>
      <c r="AQ75">
        <v>1.3329447590000001</v>
      </c>
      <c r="AR75">
        <v>1.320395969</v>
      </c>
      <c r="AS75">
        <v>1.3242148739999999</v>
      </c>
      <c r="AT75">
        <v>1.328707517</v>
      </c>
      <c r="AU75">
        <v>1.332779462</v>
      </c>
      <c r="AV75">
        <v>1.336209296</v>
      </c>
      <c r="AW75">
        <v>1.3389495380000001</v>
      </c>
    </row>
    <row r="76" spans="2:49" x14ac:dyDescent="0.25">
      <c r="B76" t="s">
        <v>176</v>
      </c>
      <c r="C76">
        <v>23.690015269078899</v>
      </c>
      <c r="D76">
        <v>24.070366126976499</v>
      </c>
      <c r="E76">
        <v>24.45682364</v>
      </c>
      <c r="F76">
        <v>24.57322538</v>
      </c>
      <c r="G76">
        <v>24.635217749999999</v>
      </c>
      <c r="H76">
        <v>24.820302330000001</v>
      </c>
      <c r="I76">
        <v>24.956271569999998</v>
      </c>
      <c r="J76">
        <v>25.036749520000001</v>
      </c>
      <c r="K76">
        <v>24.906190330000001</v>
      </c>
      <c r="L76">
        <v>24.706916700000001</v>
      </c>
      <c r="M76">
        <v>24.51563625</v>
      </c>
      <c r="N76">
        <v>24.25561944</v>
      </c>
      <c r="O76">
        <v>24.06210536</v>
      </c>
      <c r="P76">
        <v>24.058471999999998</v>
      </c>
      <c r="Q76">
        <v>24.056649969999999</v>
      </c>
      <c r="R76">
        <v>24.048192409999999</v>
      </c>
      <c r="S76">
        <v>23.824529770000002</v>
      </c>
      <c r="T76">
        <v>23.4708842</v>
      </c>
      <c r="U76">
        <v>22.97724345</v>
      </c>
      <c r="V76">
        <v>22.430434420000001</v>
      </c>
      <c r="W76">
        <v>22.1003814</v>
      </c>
      <c r="X76">
        <v>21.823808280000002</v>
      </c>
      <c r="Y76">
        <v>21.33676784</v>
      </c>
      <c r="Z76">
        <v>20.723236780000001</v>
      </c>
      <c r="AA76">
        <v>20.00690204</v>
      </c>
      <c r="AB76">
        <v>19.199049039999998</v>
      </c>
      <c r="AC76">
        <v>18.318548929999999</v>
      </c>
      <c r="AD76">
        <v>17.39056592</v>
      </c>
      <c r="AE76">
        <v>16.444254000000001</v>
      </c>
      <c r="AF76">
        <v>15.50470526</v>
      </c>
      <c r="AG76">
        <v>14.59074249</v>
      </c>
      <c r="AH76">
        <v>13.713617510000001</v>
      </c>
      <c r="AI76">
        <v>12.878972360000001</v>
      </c>
      <c r="AJ76">
        <v>12.088253569999999</v>
      </c>
      <c r="AK76">
        <v>11.34112702</v>
      </c>
      <c r="AL76">
        <v>10.636313449999999</v>
      </c>
      <c r="AM76">
        <v>9.9720719669999998</v>
      </c>
      <c r="AN76">
        <v>9.3490775730000006</v>
      </c>
      <c r="AO76">
        <v>8.7648884710000008</v>
      </c>
      <c r="AP76">
        <v>8.2171461019999903</v>
      </c>
      <c r="AQ76">
        <v>7.7036055240000003</v>
      </c>
      <c r="AR76">
        <v>7.1900474040000004</v>
      </c>
      <c r="AS76">
        <v>6.7107186609999996</v>
      </c>
      <c r="AT76">
        <v>6.2633412469999996</v>
      </c>
      <c r="AU76">
        <v>5.8457870549999997</v>
      </c>
      <c r="AV76">
        <v>5.4560688490000002</v>
      </c>
      <c r="AW76">
        <v>5.0923313779999999</v>
      </c>
    </row>
    <row r="77" spans="2:49" x14ac:dyDescent="0.25">
      <c r="B77" t="s">
        <v>177</v>
      </c>
      <c r="C77">
        <v>20.7498358478441</v>
      </c>
      <c r="D77">
        <v>21.0829811741058</v>
      </c>
      <c r="E77">
        <v>21.429565929999999</v>
      </c>
      <c r="F77">
        <v>21.89418401</v>
      </c>
      <c r="G77">
        <v>21.071439399999999</v>
      </c>
      <c r="H77">
        <v>19.55630888</v>
      </c>
      <c r="I77">
        <v>19.943829019999999</v>
      </c>
      <c r="J77">
        <v>19.395966919999999</v>
      </c>
      <c r="K77">
        <v>19.57687765</v>
      </c>
      <c r="L77">
        <v>19.097281169999999</v>
      </c>
      <c r="M77">
        <v>19.035595369999999</v>
      </c>
      <c r="N77">
        <v>19.041096499999998</v>
      </c>
      <c r="O77">
        <v>18.86069178</v>
      </c>
      <c r="P77">
        <v>19.063147489999999</v>
      </c>
      <c r="Q77">
        <v>18.852724009999999</v>
      </c>
      <c r="R77">
        <v>18.731712259999998</v>
      </c>
      <c r="S77">
        <v>18.518639060000002</v>
      </c>
      <c r="T77">
        <v>18.728787700000002</v>
      </c>
      <c r="U77">
        <v>18.78263501</v>
      </c>
      <c r="V77">
        <v>19.045877610000002</v>
      </c>
      <c r="W77">
        <v>19.19387193</v>
      </c>
      <c r="X77">
        <v>19.206508199999998</v>
      </c>
      <c r="Y77">
        <v>18.94175255</v>
      </c>
      <c r="Z77">
        <v>18.760512460000001</v>
      </c>
      <c r="AA77">
        <v>18.602413609999999</v>
      </c>
      <c r="AB77">
        <v>18.339988550000001</v>
      </c>
      <c r="AC77">
        <v>18.070496970000001</v>
      </c>
      <c r="AD77">
        <v>17.531595190000001</v>
      </c>
      <c r="AE77">
        <v>16.98635565</v>
      </c>
      <c r="AF77">
        <v>16.44088069</v>
      </c>
      <c r="AG77">
        <v>15.89515218</v>
      </c>
      <c r="AH77">
        <v>15.362649879999999</v>
      </c>
      <c r="AI77">
        <v>14.7464473</v>
      </c>
      <c r="AJ77">
        <v>14.126321040000001</v>
      </c>
      <c r="AK77">
        <v>13.501054119999999</v>
      </c>
      <c r="AL77">
        <v>12.839603690000001</v>
      </c>
      <c r="AM77">
        <v>12.209918869999999</v>
      </c>
      <c r="AN77">
        <v>11.802060989999999</v>
      </c>
      <c r="AO77">
        <v>11.38018005</v>
      </c>
      <c r="AP77">
        <v>10.95562279</v>
      </c>
      <c r="AQ77">
        <v>10.525584240000001</v>
      </c>
      <c r="AR77">
        <v>10.087302490000001</v>
      </c>
      <c r="AS77">
        <v>9.9246721470000008</v>
      </c>
      <c r="AT77">
        <v>9.7675891109999995</v>
      </c>
      <c r="AU77">
        <v>9.6110990669999996</v>
      </c>
      <c r="AV77">
        <v>9.4519763460000004</v>
      </c>
      <c r="AW77">
        <v>9.2911051820000008</v>
      </c>
    </row>
    <row r="78" spans="2:49" x14ac:dyDescent="0.25">
      <c r="B78" t="s">
        <v>178</v>
      </c>
      <c r="C78">
        <v>0.28090746897060398</v>
      </c>
      <c r="D78">
        <v>0.28541752924702302</v>
      </c>
      <c r="E78">
        <v>0.28999999999999998</v>
      </c>
      <c r="F78">
        <v>0.3008413036</v>
      </c>
      <c r="G78">
        <v>0.30305687669999998</v>
      </c>
      <c r="H78">
        <v>0.29517862119999999</v>
      </c>
      <c r="I78">
        <v>0.31102289119999998</v>
      </c>
      <c r="J78">
        <v>0.31408829929999998</v>
      </c>
      <c r="K78">
        <v>0.32120680670000001</v>
      </c>
      <c r="L78">
        <v>0.31275133719999998</v>
      </c>
      <c r="M78">
        <v>0.32436002079999998</v>
      </c>
      <c r="N78">
        <v>0.31740027170000001</v>
      </c>
      <c r="O78">
        <v>0.30474058799999998</v>
      </c>
      <c r="P78">
        <v>0.31057001569999998</v>
      </c>
      <c r="Q78">
        <v>0.31202432520000001</v>
      </c>
      <c r="R78">
        <v>0.31065554690000002</v>
      </c>
      <c r="S78">
        <v>0.31408186599999999</v>
      </c>
      <c r="T78">
        <v>0.31970899749999998</v>
      </c>
      <c r="U78">
        <v>0.3244461153</v>
      </c>
      <c r="V78">
        <v>0.33340383959999997</v>
      </c>
      <c r="W78">
        <v>0.33765438479999998</v>
      </c>
      <c r="X78">
        <v>0.33744006380000002</v>
      </c>
      <c r="Y78">
        <v>0.3360603995</v>
      </c>
      <c r="Z78">
        <v>0.33812982829999999</v>
      </c>
      <c r="AA78">
        <v>0.34154784589999998</v>
      </c>
      <c r="AB78">
        <v>0.34524294319999999</v>
      </c>
      <c r="AC78">
        <v>0.348695541</v>
      </c>
      <c r="AD78">
        <v>0.35280379000000001</v>
      </c>
      <c r="AE78">
        <v>0.35737341350000001</v>
      </c>
      <c r="AF78">
        <v>0.36189021170000002</v>
      </c>
      <c r="AG78">
        <v>0.36606289450000001</v>
      </c>
      <c r="AH78">
        <v>0.37163223649999999</v>
      </c>
      <c r="AI78">
        <v>0.37824609990000002</v>
      </c>
      <c r="AJ78">
        <v>0.38458354239999998</v>
      </c>
      <c r="AK78">
        <v>0.39076317370000002</v>
      </c>
      <c r="AL78">
        <v>0.39680403009999998</v>
      </c>
      <c r="AM78">
        <v>0.40245177989999997</v>
      </c>
      <c r="AN78">
        <v>0.4090815398</v>
      </c>
      <c r="AO78">
        <v>0.41644357520000003</v>
      </c>
      <c r="AP78">
        <v>0.42372073960000001</v>
      </c>
      <c r="AQ78">
        <v>0.43098958770000001</v>
      </c>
      <c r="AR78">
        <v>0.43816143569999999</v>
      </c>
      <c r="AS78">
        <v>0.44478144159999999</v>
      </c>
      <c r="AT78">
        <v>0.45170399439999998</v>
      </c>
      <c r="AU78">
        <v>0.45880800109999997</v>
      </c>
      <c r="AV78">
        <v>0.46605172210000001</v>
      </c>
      <c r="AW78">
        <v>0.4733191034</v>
      </c>
    </row>
    <row r="79" spans="2:49" x14ac:dyDescent="0.25">
      <c r="B79" t="s">
        <v>179</v>
      </c>
      <c r="C79">
        <v>11.323476938849501</v>
      </c>
      <c r="D79">
        <v>11.5052790237851</v>
      </c>
      <c r="E79">
        <v>11.69</v>
      </c>
      <c r="F79">
        <v>11.90020859</v>
      </c>
      <c r="G79">
        <v>11.88724906</v>
      </c>
      <c r="H79">
        <v>10.390552469999999</v>
      </c>
      <c r="I79">
        <v>11.01947882</v>
      </c>
      <c r="J79">
        <v>11.49572064</v>
      </c>
      <c r="K79">
        <v>11.34824832</v>
      </c>
      <c r="L79">
        <v>11.159847839999999</v>
      </c>
      <c r="M79">
        <v>11.084507260000001</v>
      </c>
      <c r="N79">
        <v>10.887530870000001</v>
      </c>
      <c r="O79">
        <v>10.11744974</v>
      </c>
      <c r="P79">
        <v>9.8686400709999997</v>
      </c>
      <c r="Q79">
        <v>9.6940283889999996</v>
      </c>
      <c r="R79">
        <v>9.2975555700000001</v>
      </c>
      <c r="S79">
        <v>8.950402789</v>
      </c>
      <c r="T79">
        <v>9.1754683470000007</v>
      </c>
      <c r="U79">
        <v>9.3335611279999995</v>
      </c>
      <c r="V79">
        <v>9.6100343610000003</v>
      </c>
      <c r="W79">
        <v>11.23425623</v>
      </c>
      <c r="X79">
        <v>12.6607178</v>
      </c>
      <c r="Y79">
        <v>13.65368649</v>
      </c>
      <c r="Z79">
        <v>14.568349319999999</v>
      </c>
      <c r="AA79">
        <v>15.417468850000001</v>
      </c>
      <c r="AB79">
        <v>16.23995579</v>
      </c>
      <c r="AC79">
        <v>17.075497890000001</v>
      </c>
      <c r="AD79">
        <v>17.24395474</v>
      </c>
      <c r="AE79">
        <v>17.374074029999999</v>
      </c>
      <c r="AF79">
        <v>17.49797598</v>
      </c>
      <c r="AG79">
        <v>17.614991870000001</v>
      </c>
      <c r="AH79">
        <v>17.773809790000001</v>
      </c>
      <c r="AI79">
        <v>17.98115189</v>
      </c>
      <c r="AJ79">
        <v>18.176338909999998</v>
      </c>
      <c r="AK79">
        <v>18.37469716</v>
      </c>
      <c r="AL79">
        <v>18.562137140000001</v>
      </c>
      <c r="AM79">
        <v>18.75135762</v>
      </c>
      <c r="AN79">
        <v>18.955236750000001</v>
      </c>
      <c r="AO79">
        <v>19.172445969999998</v>
      </c>
      <c r="AP79">
        <v>19.386855839999999</v>
      </c>
      <c r="AQ79">
        <v>19.602898719999999</v>
      </c>
      <c r="AR79">
        <v>19.81180758</v>
      </c>
      <c r="AS79">
        <v>19.992021279999999</v>
      </c>
      <c r="AT79">
        <v>20.185251279999999</v>
      </c>
      <c r="AU79">
        <v>20.382150620000001</v>
      </c>
      <c r="AV79">
        <v>20.580148130000001</v>
      </c>
      <c r="AW79">
        <v>20.780053980000002</v>
      </c>
    </row>
    <row r="80" spans="2:49" x14ac:dyDescent="0.25">
      <c r="B80" t="s">
        <v>180</v>
      </c>
      <c r="C80">
        <v>12.401465507675301</v>
      </c>
      <c r="D80">
        <v>12.6005750477687</v>
      </c>
      <c r="E80">
        <v>12.802881360000001</v>
      </c>
      <c r="F80">
        <v>12.94863627</v>
      </c>
      <c r="G80">
        <v>13.33707444</v>
      </c>
      <c r="H80">
        <v>13.0556003</v>
      </c>
      <c r="I80">
        <v>13.32602958</v>
      </c>
      <c r="J80">
        <v>13.686881959999999</v>
      </c>
      <c r="K80">
        <v>14.014462119999999</v>
      </c>
      <c r="L80">
        <v>14.06434836</v>
      </c>
      <c r="M80">
        <v>14.01361107</v>
      </c>
      <c r="N80">
        <v>13.80657761</v>
      </c>
      <c r="O80">
        <v>13.72936226</v>
      </c>
      <c r="P80">
        <v>13.965273270000001</v>
      </c>
      <c r="Q80">
        <v>14.405983389999999</v>
      </c>
      <c r="R80">
        <v>14.459136519999999</v>
      </c>
      <c r="S80">
        <v>14.548150400000001</v>
      </c>
      <c r="T80">
        <v>14.56153286</v>
      </c>
      <c r="U80">
        <v>14.6733075</v>
      </c>
      <c r="V80">
        <v>14.75915927</v>
      </c>
      <c r="W80">
        <v>14.843653720000001</v>
      </c>
      <c r="X80">
        <v>14.86758438</v>
      </c>
      <c r="Y80">
        <v>14.791697810000001</v>
      </c>
      <c r="Z80">
        <v>14.73151058</v>
      </c>
      <c r="AA80">
        <v>14.668163030000001</v>
      </c>
      <c r="AB80">
        <v>14.68921967</v>
      </c>
      <c r="AC80">
        <v>14.68863019</v>
      </c>
      <c r="AD80">
        <v>14.607801390000001</v>
      </c>
      <c r="AE80">
        <v>14.52307367</v>
      </c>
      <c r="AF80">
        <v>14.435952820000001</v>
      </c>
      <c r="AG80">
        <v>14.357240109999999</v>
      </c>
      <c r="AH80">
        <v>14.29110281</v>
      </c>
      <c r="AI80">
        <v>14.21417035</v>
      </c>
      <c r="AJ80">
        <v>14.12713649</v>
      </c>
      <c r="AK80">
        <v>14.04138069</v>
      </c>
      <c r="AL80">
        <v>14.01600099</v>
      </c>
      <c r="AM80">
        <v>13.965232049999999</v>
      </c>
      <c r="AN80">
        <v>13.86562436</v>
      </c>
      <c r="AO80">
        <v>13.7707686</v>
      </c>
      <c r="AP80">
        <v>13.67500879</v>
      </c>
      <c r="AQ80">
        <v>13.578888170000001</v>
      </c>
      <c r="AR80">
        <v>13.48237308</v>
      </c>
      <c r="AS80">
        <v>13.444626789999999</v>
      </c>
      <c r="AT80">
        <v>13.39992803</v>
      </c>
      <c r="AU80">
        <v>13.348261109999999</v>
      </c>
      <c r="AV80">
        <v>13.2909998</v>
      </c>
      <c r="AW80">
        <v>13.2321364</v>
      </c>
    </row>
    <row r="81" spans="2:99" x14ac:dyDescent="0.25">
      <c r="B81" t="s">
        <v>181</v>
      </c>
      <c r="C81">
        <v>10.826676236859401</v>
      </c>
      <c r="D81">
        <v>11.000502025829901</v>
      </c>
      <c r="E81">
        <v>11.17711864</v>
      </c>
      <c r="F81">
        <v>11.88502555</v>
      </c>
      <c r="G81">
        <v>12.50056758</v>
      </c>
      <c r="H81">
        <v>11.7872377</v>
      </c>
      <c r="I81">
        <v>12.313194449999999</v>
      </c>
      <c r="J81">
        <v>12.875190659999999</v>
      </c>
      <c r="K81">
        <v>13.221004049999999</v>
      </c>
      <c r="L81">
        <v>13.283189330000001</v>
      </c>
      <c r="M81">
        <v>13.2940246</v>
      </c>
      <c r="N81">
        <v>13.072682670000001</v>
      </c>
      <c r="O81">
        <v>12.45818764</v>
      </c>
      <c r="P81">
        <v>12.511884309999999</v>
      </c>
      <c r="Q81">
        <v>12.96084218</v>
      </c>
      <c r="R81">
        <v>12.834344979999999</v>
      </c>
      <c r="S81">
        <v>12.6621223</v>
      </c>
      <c r="T81">
        <v>12.76541982</v>
      </c>
      <c r="U81">
        <v>12.79573796</v>
      </c>
      <c r="V81">
        <v>12.77417271</v>
      </c>
      <c r="W81">
        <v>12.85624477</v>
      </c>
      <c r="X81">
        <v>12.42076833</v>
      </c>
      <c r="Y81">
        <v>11.77166444</v>
      </c>
      <c r="Z81">
        <v>11.0810113</v>
      </c>
      <c r="AA81">
        <v>10.407401480000001</v>
      </c>
      <c r="AB81">
        <v>9.9118784640000008</v>
      </c>
      <c r="AC81">
        <v>9.4554667810000002</v>
      </c>
      <c r="AD81">
        <v>9.3806963430000003</v>
      </c>
      <c r="AE81">
        <v>9.3232205550000007</v>
      </c>
      <c r="AF81">
        <v>9.2627616380000006</v>
      </c>
      <c r="AG81">
        <v>9.2265302489999996</v>
      </c>
      <c r="AH81">
        <v>9.1912816970000009</v>
      </c>
      <c r="AI81">
        <v>9.1323513779999903</v>
      </c>
      <c r="AJ81">
        <v>9.0652377749999999</v>
      </c>
      <c r="AK81">
        <v>8.9945055360000001</v>
      </c>
      <c r="AL81">
        <v>9.0365916639999995</v>
      </c>
      <c r="AM81">
        <v>9.0766573039999905</v>
      </c>
      <c r="AN81">
        <v>8.9995706670000004</v>
      </c>
      <c r="AO81">
        <v>8.9085007130000005</v>
      </c>
      <c r="AP81">
        <v>8.8107033010000002</v>
      </c>
      <c r="AQ81">
        <v>8.7053065119999999</v>
      </c>
      <c r="AR81">
        <v>8.5928024270000005</v>
      </c>
      <c r="AS81">
        <v>8.5819936919999904</v>
      </c>
      <c r="AT81">
        <v>8.5776398339999904</v>
      </c>
      <c r="AU81">
        <v>8.5691964909999996</v>
      </c>
      <c r="AV81">
        <v>8.5561284620000002</v>
      </c>
      <c r="AW81">
        <v>8.5376198209999998</v>
      </c>
    </row>
    <row r="82" spans="2:99" x14ac:dyDescent="0.25">
      <c r="B82" t="s">
        <v>182</v>
      </c>
      <c r="C82" s="39">
        <v>4.42659733299524E-4</v>
      </c>
      <c r="D82" s="39">
        <v>4.4976677849999601E-4</v>
      </c>
      <c r="E82" s="39">
        <v>4.5698792999999998E-4</v>
      </c>
      <c r="F82" s="39">
        <v>1.1382258200000001E-3</v>
      </c>
      <c r="G82" s="39">
        <v>2.1523179100000002E-3</v>
      </c>
      <c r="H82">
        <v>3.7867752900000002E-3</v>
      </c>
      <c r="I82">
        <v>5.9904382799999996E-3</v>
      </c>
      <c r="J82" s="39">
        <v>8.8740894500000007E-3</v>
      </c>
      <c r="K82" s="39">
        <v>1.22350134E-2</v>
      </c>
      <c r="L82" s="39">
        <v>1.6499171600000001E-2</v>
      </c>
      <c r="M82" s="39">
        <v>2.2181736600000002E-2</v>
      </c>
      <c r="N82" s="39">
        <v>2.90133404E-2</v>
      </c>
      <c r="O82" s="39">
        <v>3.8443056699999999E-2</v>
      </c>
      <c r="P82" s="39">
        <v>5.0752064899999998E-2</v>
      </c>
      <c r="Q82" s="39">
        <v>6.6615671200000004E-2</v>
      </c>
      <c r="R82" s="39">
        <v>8.6784615999999995E-2</v>
      </c>
      <c r="S82" s="39">
        <v>0.110004725</v>
      </c>
      <c r="T82" s="39">
        <v>0.13525046230000001</v>
      </c>
      <c r="U82" s="39">
        <v>0.16670382750000001</v>
      </c>
      <c r="V82" s="39">
        <v>0.2062733819</v>
      </c>
      <c r="W82" s="39">
        <v>0.25787138430000001</v>
      </c>
      <c r="X82" s="39">
        <v>0.32053281849999998</v>
      </c>
      <c r="Y82" s="39">
        <v>0.38858522270000001</v>
      </c>
      <c r="Z82" s="39">
        <v>0.46786799229999998</v>
      </c>
      <c r="AA82" s="39">
        <v>0.56971463229999997</v>
      </c>
      <c r="AB82" s="39">
        <v>0.69494136129999995</v>
      </c>
      <c r="AC82" s="39">
        <v>0.84177387540000004</v>
      </c>
      <c r="AD82" s="39">
        <v>1.012031841</v>
      </c>
      <c r="AE82" s="39">
        <v>1.1949536650000001</v>
      </c>
      <c r="AF82" s="39">
        <v>1.3824218850000001</v>
      </c>
      <c r="AG82" s="39">
        <v>1.5682866049999999</v>
      </c>
      <c r="AH82" s="39">
        <v>1.7483109240000001</v>
      </c>
      <c r="AI82" s="39">
        <v>1.9226987099999999</v>
      </c>
      <c r="AJ82" s="39">
        <v>2.0918281570000001</v>
      </c>
      <c r="AK82" s="39">
        <v>2.2524184370000002</v>
      </c>
      <c r="AL82" s="39">
        <v>2.4027245129999999</v>
      </c>
      <c r="AM82" s="39">
        <v>2.5428227149999998</v>
      </c>
      <c r="AN82" s="39">
        <v>2.671464265</v>
      </c>
      <c r="AO82" s="39">
        <v>2.7904160569999998</v>
      </c>
      <c r="AP82" s="39">
        <v>2.8999603399999998</v>
      </c>
      <c r="AQ82" s="39">
        <v>3.0002290939999998</v>
      </c>
      <c r="AR82" s="39">
        <v>3.088175895</v>
      </c>
      <c r="AS82" s="39">
        <v>3.1690210670000001</v>
      </c>
      <c r="AT82" s="39">
        <v>3.2433535899999999</v>
      </c>
      <c r="AU82" s="39">
        <v>3.311279131</v>
      </c>
      <c r="AV82" s="39">
        <v>3.3725781960000001</v>
      </c>
      <c r="AW82" s="39">
        <v>3.4243389579999999</v>
      </c>
    </row>
    <row r="83" spans="2:99" x14ac:dyDescent="0.25">
      <c r="B83" t="s">
        <v>183</v>
      </c>
      <c r="C83">
        <v>1.1996237928359601</v>
      </c>
      <c r="D83">
        <v>1.2188841408592499</v>
      </c>
      <c r="E83">
        <v>1.238864347</v>
      </c>
      <c r="F83">
        <v>1.2856159039999999</v>
      </c>
      <c r="G83">
        <v>1.2626816080000001</v>
      </c>
      <c r="H83">
        <v>1.1173894849999999</v>
      </c>
      <c r="I83">
        <v>1.171475598</v>
      </c>
      <c r="J83">
        <v>1.1864017259999999</v>
      </c>
      <c r="K83">
        <v>1.202873691</v>
      </c>
      <c r="L83">
        <v>1.2017305030000001</v>
      </c>
      <c r="M83">
        <v>1.2019896189999999</v>
      </c>
      <c r="N83">
        <v>1.190003014</v>
      </c>
      <c r="O83">
        <v>1.184418617</v>
      </c>
      <c r="P83">
        <v>1.247325314</v>
      </c>
      <c r="Q83">
        <v>1.279991155</v>
      </c>
      <c r="R83">
        <v>1.317992563</v>
      </c>
      <c r="S83">
        <v>1.3224937999999999</v>
      </c>
      <c r="T83">
        <v>1.343066512</v>
      </c>
      <c r="U83">
        <v>1.3649628119999999</v>
      </c>
      <c r="V83">
        <v>1.3954575149999999</v>
      </c>
      <c r="W83">
        <v>1.4938881799999999</v>
      </c>
      <c r="X83">
        <v>1.575955601</v>
      </c>
      <c r="Y83">
        <v>1.698659784</v>
      </c>
      <c r="Z83">
        <v>1.8346560510000001</v>
      </c>
      <c r="AA83">
        <v>1.9777418980000001</v>
      </c>
      <c r="AB83">
        <v>2.140574977</v>
      </c>
      <c r="AC83">
        <v>2.3092270109999999</v>
      </c>
      <c r="AD83">
        <v>2.5834774980000001</v>
      </c>
      <c r="AE83">
        <v>2.8570044289999998</v>
      </c>
      <c r="AF83">
        <v>3.1318797940000001</v>
      </c>
      <c r="AG83">
        <v>3.408442602</v>
      </c>
      <c r="AH83">
        <v>3.6917904269999999</v>
      </c>
      <c r="AI83">
        <v>4.0423549159999999</v>
      </c>
      <c r="AJ83">
        <v>4.3967814369999996</v>
      </c>
      <c r="AK83">
        <v>4.7566369880000003</v>
      </c>
      <c r="AL83">
        <v>5.1127830049999998</v>
      </c>
      <c r="AM83">
        <v>5.4865845799999997</v>
      </c>
      <c r="AN83">
        <v>5.7557931419999999</v>
      </c>
      <c r="AO83">
        <v>6.0302531229999996</v>
      </c>
      <c r="AP83">
        <v>6.3105903019999996</v>
      </c>
      <c r="AQ83">
        <v>6.593662192</v>
      </c>
      <c r="AR83">
        <v>6.8772184569999997</v>
      </c>
      <c r="AS83">
        <v>7.033376992</v>
      </c>
      <c r="AT83">
        <v>7.1980223079999996</v>
      </c>
      <c r="AU83">
        <v>7.3666106459999998</v>
      </c>
      <c r="AV83">
        <v>7.5364478330000004</v>
      </c>
      <c r="AW83">
        <v>7.7065611509999998</v>
      </c>
    </row>
    <row r="84" spans="2:99" x14ac:dyDescent="0.25">
      <c r="B84" t="s">
        <v>184</v>
      </c>
      <c r="C84">
        <v>0.33902625565417799</v>
      </c>
      <c r="D84">
        <v>0.34446943184985501</v>
      </c>
      <c r="E84">
        <v>0.35</v>
      </c>
      <c r="F84">
        <v>0.36577787880000001</v>
      </c>
      <c r="G84">
        <v>0.3583715817</v>
      </c>
      <c r="H84">
        <v>0.3624719643</v>
      </c>
      <c r="I84">
        <v>0.38747505869999999</v>
      </c>
      <c r="J84">
        <v>0.3840032042</v>
      </c>
      <c r="K84">
        <v>0.37888985400000003</v>
      </c>
      <c r="L84">
        <v>0.36832428150000002</v>
      </c>
      <c r="M84">
        <v>0.38983397860000002</v>
      </c>
      <c r="N84">
        <v>0.39932898379999998</v>
      </c>
      <c r="O84">
        <v>0.40028017849999997</v>
      </c>
      <c r="P84">
        <v>0.40568371349999999</v>
      </c>
      <c r="Q84">
        <v>0.38284439100000001</v>
      </c>
      <c r="R84">
        <v>0.37398873690000001</v>
      </c>
      <c r="S84">
        <v>0.3751369779</v>
      </c>
      <c r="T84">
        <v>0.3805984409</v>
      </c>
      <c r="U84">
        <v>0.38679248859999998</v>
      </c>
      <c r="V84">
        <v>0.40380347350000001</v>
      </c>
      <c r="W84">
        <v>0.41279939170000002</v>
      </c>
      <c r="X84">
        <v>0.41658401010000001</v>
      </c>
      <c r="Y84">
        <v>0.41994418</v>
      </c>
      <c r="Z84">
        <v>0.42611506760000001</v>
      </c>
      <c r="AA84">
        <v>0.43285455239999998</v>
      </c>
      <c r="AB84">
        <v>0.43909751089999999</v>
      </c>
      <c r="AC84">
        <v>0.44505180189999999</v>
      </c>
      <c r="AD84">
        <v>0.45363920930000001</v>
      </c>
      <c r="AE84">
        <v>0.46254781509999998</v>
      </c>
      <c r="AF84">
        <v>0.47125124709999999</v>
      </c>
      <c r="AG84">
        <v>0.4780422413</v>
      </c>
      <c r="AH84">
        <v>0.48518402490000001</v>
      </c>
      <c r="AI84">
        <v>0.4930010279</v>
      </c>
      <c r="AJ84">
        <v>0.50137619519999999</v>
      </c>
      <c r="AK84">
        <v>0.50979994679999996</v>
      </c>
      <c r="AL84">
        <v>0.5099550746</v>
      </c>
      <c r="AM84">
        <v>0.51014362499999999</v>
      </c>
      <c r="AN84">
        <v>0.52161518640000004</v>
      </c>
      <c r="AO84">
        <v>0.53411784100000004</v>
      </c>
      <c r="AP84">
        <v>0.54623853649999998</v>
      </c>
      <c r="AQ84">
        <v>0.55832444299999995</v>
      </c>
      <c r="AR84">
        <v>0.57013680320000004</v>
      </c>
      <c r="AS84">
        <v>0.57412840119999997</v>
      </c>
      <c r="AT84">
        <v>0.57831115769999997</v>
      </c>
      <c r="AU84">
        <v>0.58303373989999996</v>
      </c>
      <c r="AV84">
        <v>0.58801701230000003</v>
      </c>
      <c r="AW84">
        <v>0.59327582599999995</v>
      </c>
    </row>
    <row r="85" spans="2:99" x14ac:dyDescent="0.25">
      <c r="B85" t="s">
        <v>185</v>
      </c>
      <c r="C85">
        <v>12.8442518570697</v>
      </c>
      <c r="D85">
        <v>13.0504704752259</v>
      </c>
      <c r="E85">
        <v>13.26</v>
      </c>
      <c r="F85">
        <v>13.641117449999999</v>
      </c>
      <c r="G85">
        <v>13.23528262</v>
      </c>
      <c r="H85">
        <v>12.17430029</v>
      </c>
      <c r="I85">
        <v>12.74899409</v>
      </c>
      <c r="J85">
        <v>13.03419871</v>
      </c>
      <c r="K85">
        <v>12.45245588</v>
      </c>
      <c r="L85">
        <v>12.2563675</v>
      </c>
      <c r="M85">
        <v>12.447028550000001</v>
      </c>
      <c r="N85">
        <v>12.78159413</v>
      </c>
      <c r="O85">
        <v>13.113993730000001</v>
      </c>
      <c r="P85" s="39">
        <v>13.46414231</v>
      </c>
      <c r="Q85" s="39">
        <v>13.169914350000001</v>
      </c>
      <c r="R85" s="39">
        <v>13.090348580000001</v>
      </c>
      <c r="S85" s="39">
        <v>13.129190830000001</v>
      </c>
      <c r="T85" s="39">
        <v>13.40248635</v>
      </c>
      <c r="U85" s="39">
        <v>13.46202525</v>
      </c>
      <c r="V85" s="39">
        <v>13.87568735</v>
      </c>
      <c r="W85" s="39">
        <v>11.596339</v>
      </c>
      <c r="X85" s="39">
        <v>9.645784463</v>
      </c>
      <c r="Y85" s="39">
        <v>8.3104739429999999</v>
      </c>
      <c r="Z85" s="39">
        <v>7.433960334</v>
      </c>
      <c r="AA85" s="39">
        <v>6.8003339240000003</v>
      </c>
      <c r="AB85" s="39">
        <v>6.320456106</v>
      </c>
      <c r="AC85" s="39">
        <v>5.9657452629999996</v>
      </c>
      <c r="AD85" s="39">
        <v>5.9615567540000001</v>
      </c>
      <c r="AE85" s="39">
        <v>6.0526541710000004</v>
      </c>
      <c r="AF85">
        <v>6.1649890389999999</v>
      </c>
      <c r="AG85">
        <v>6.2781965209999999</v>
      </c>
      <c r="AH85">
        <v>6.3915263280000003</v>
      </c>
      <c r="AI85">
        <v>6.5176374340000001</v>
      </c>
      <c r="AJ85">
        <v>6.6530738090000003</v>
      </c>
      <c r="AK85">
        <v>6.7951485140000001</v>
      </c>
      <c r="AL85">
        <v>6.8978616260000001</v>
      </c>
      <c r="AM85">
        <v>7.0095364120000001</v>
      </c>
      <c r="AN85">
        <v>7.1682715520000002</v>
      </c>
      <c r="AO85">
        <v>7.3352644409999996</v>
      </c>
      <c r="AP85">
        <v>7.504313732</v>
      </c>
      <c r="AQ85">
        <v>7.6791188659999996</v>
      </c>
      <c r="AR85">
        <v>7.8526838239999996</v>
      </c>
      <c r="AS85">
        <v>7.9780592549999998</v>
      </c>
      <c r="AT85">
        <v>8.1045957649999902</v>
      </c>
      <c r="AU85">
        <v>8.2350963640000003</v>
      </c>
      <c r="AV85">
        <v>8.3663984150000008</v>
      </c>
      <c r="AW85">
        <v>8.5018879100000007</v>
      </c>
    </row>
    <row r="86" spans="2:99" x14ac:dyDescent="0.25">
      <c r="B86" t="s">
        <v>186</v>
      </c>
      <c r="C86">
        <v>17.113958899133198</v>
      </c>
      <c r="D86">
        <v>17.388729044925601</v>
      </c>
      <c r="E86">
        <v>17.667910710000001</v>
      </c>
      <c r="F86">
        <v>17.876826300000001</v>
      </c>
      <c r="G86">
        <v>17.820004269999998</v>
      </c>
      <c r="H86">
        <v>17.848069450000001</v>
      </c>
      <c r="I86">
        <v>18.284532980000002</v>
      </c>
      <c r="J86">
        <v>18.360616589999999</v>
      </c>
      <c r="K86" s="39">
        <v>18.07657712</v>
      </c>
      <c r="L86" s="39">
        <v>17.968872829999999</v>
      </c>
      <c r="M86" s="39">
        <v>18.0818394</v>
      </c>
      <c r="N86" s="39">
        <v>18.35437817</v>
      </c>
      <c r="O86" s="39">
        <v>18.80138496</v>
      </c>
      <c r="P86" s="39">
        <v>18.90868974</v>
      </c>
      <c r="Q86" s="39">
        <v>18.389863259999998</v>
      </c>
      <c r="R86" s="39">
        <v>17.99022673</v>
      </c>
      <c r="S86" s="39">
        <v>17.699311179999999</v>
      </c>
      <c r="T86" s="39">
        <v>17.274163210000001</v>
      </c>
      <c r="U86" s="39">
        <v>17.069347390000001</v>
      </c>
      <c r="V86" s="39">
        <v>17.06460482</v>
      </c>
      <c r="W86" s="39">
        <v>16.904950320000001</v>
      </c>
      <c r="X86" s="39">
        <v>16.64049713</v>
      </c>
      <c r="Y86" s="39">
        <v>16.34417977</v>
      </c>
      <c r="Z86">
        <v>16.03611214</v>
      </c>
      <c r="AA86">
        <v>15.71708626</v>
      </c>
      <c r="AB86">
        <v>15.18783324</v>
      </c>
      <c r="AC86">
        <v>14.68887851</v>
      </c>
      <c r="AD86">
        <v>14.398646619999999</v>
      </c>
      <c r="AE86">
        <v>14.116961290000001</v>
      </c>
      <c r="AF86">
        <v>13.86613863</v>
      </c>
      <c r="AG86">
        <v>13.581216270000001</v>
      </c>
      <c r="AH86">
        <v>13.3052627</v>
      </c>
      <c r="AI86">
        <v>13.084944419999999</v>
      </c>
      <c r="AJ86">
        <v>12.89660368</v>
      </c>
      <c r="AK86">
        <v>12.726430969999999</v>
      </c>
      <c r="AL86">
        <v>12.315447470000001</v>
      </c>
      <c r="AM86">
        <v>11.946862550000001</v>
      </c>
      <c r="AN86">
        <v>11.84313272</v>
      </c>
      <c r="AO86">
        <v>11.725711499999999</v>
      </c>
      <c r="AP86">
        <v>11.623679750000001</v>
      </c>
      <c r="AQ86">
        <v>11.543658199999999</v>
      </c>
      <c r="AR86">
        <v>11.48284703</v>
      </c>
      <c r="AS86">
        <v>11.202889430000001</v>
      </c>
      <c r="AT86" s="39">
        <v>10.94291632</v>
      </c>
      <c r="AU86" s="39">
        <v>10.682149860000001</v>
      </c>
      <c r="AV86">
        <v>10.41648273</v>
      </c>
      <c r="AW86">
        <v>10.151755290000001</v>
      </c>
    </row>
    <row r="87" spans="2:99" x14ac:dyDescent="0.25">
      <c r="B87" t="s">
        <v>187</v>
      </c>
      <c r="C87">
        <v>5.6395460874857797</v>
      </c>
      <c r="D87">
        <v>5.7300908240832298</v>
      </c>
      <c r="E87">
        <v>5.8220892859999998</v>
      </c>
      <c r="F87">
        <v>6.3667396480000003</v>
      </c>
      <c r="G87">
        <v>6.7116918060000001</v>
      </c>
      <c r="H87">
        <v>7.0508674850000004</v>
      </c>
      <c r="I87">
        <v>7.7592831999999996</v>
      </c>
      <c r="J87">
        <v>8.2383664729999904</v>
      </c>
      <c r="K87">
        <v>8.4544426050000006</v>
      </c>
      <c r="L87">
        <v>8.9263564679999998</v>
      </c>
      <c r="M87">
        <v>9.7651062450000001</v>
      </c>
      <c r="N87">
        <v>11.11972967</v>
      </c>
      <c r="O87">
        <v>11.634402250000001</v>
      </c>
      <c r="P87">
        <v>11.45697504</v>
      </c>
      <c r="Q87">
        <v>10.49549393</v>
      </c>
      <c r="R87">
        <v>9.8373070340000002</v>
      </c>
      <c r="S87">
        <v>9.4090616249999997</v>
      </c>
      <c r="T87">
        <v>9.3211106160000003</v>
      </c>
      <c r="U87">
        <v>9.2618844360000008</v>
      </c>
      <c r="V87">
        <v>9.3921021909999904</v>
      </c>
      <c r="W87">
        <v>11.19404458</v>
      </c>
      <c r="X87">
        <v>12.655056419999999</v>
      </c>
      <c r="Y87">
        <v>13.59362078</v>
      </c>
      <c r="Z87">
        <v>14.25353932</v>
      </c>
      <c r="AA87">
        <v>14.654842439999999</v>
      </c>
      <c r="AB87">
        <v>14.55087808</v>
      </c>
      <c r="AC87">
        <v>14.28429702</v>
      </c>
      <c r="AD87">
        <v>14.14143108</v>
      </c>
      <c r="AE87">
        <v>13.933929320000001</v>
      </c>
      <c r="AF87">
        <v>13.7265405</v>
      </c>
      <c r="AG87">
        <v>13.46143168</v>
      </c>
      <c r="AH87">
        <v>13.20339705</v>
      </c>
      <c r="AI87">
        <v>12.997325249999999</v>
      </c>
      <c r="AJ87">
        <v>12.79966374</v>
      </c>
      <c r="AK87">
        <v>12.607242640000001</v>
      </c>
      <c r="AL87">
        <v>12.16608793</v>
      </c>
      <c r="AM87">
        <v>11.723081779999999</v>
      </c>
      <c r="AN87">
        <v>11.548130049999999</v>
      </c>
      <c r="AO87">
        <v>11.40601247</v>
      </c>
      <c r="AP87">
        <v>11.278736070000001</v>
      </c>
      <c r="AQ87">
        <v>11.16813013</v>
      </c>
      <c r="AR87">
        <v>11.07375512</v>
      </c>
      <c r="AS87">
        <v>10.75078031</v>
      </c>
      <c r="AT87">
        <v>10.415444239999999</v>
      </c>
      <c r="AU87">
        <v>10.08721006</v>
      </c>
      <c r="AV87">
        <v>9.7682661090000007</v>
      </c>
      <c r="AW87">
        <v>9.4599094669999904</v>
      </c>
    </row>
    <row r="88" spans="2:99" x14ac:dyDescent="0.25">
      <c r="B88" t="s">
        <v>188</v>
      </c>
      <c r="C88" s="39">
        <v>1.0609788529198101E-6</v>
      </c>
      <c r="D88" s="39">
        <v>1.0780132115867701E-6</v>
      </c>
      <c r="E88" s="39">
        <v>1.0953210600000001E-6</v>
      </c>
      <c r="F88" s="39">
        <v>1.17490666E-6</v>
      </c>
      <c r="G88" s="39">
        <v>2.0860707699999999E-6</v>
      </c>
      <c r="H88" s="39">
        <v>3.1269495399999998E-6</v>
      </c>
      <c r="I88" s="39">
        <v>4.1649058100000002E-6</v>
      </c>
      <c r="J88" s="39">
        <v>5.4837957599999998E-6</v>
      </c>
      <c r="K88" s="39">
        <v>6.6631801699999999E-6</v>
      </c>
      <c r="L88" s="39">
        <v>7.6749108800000005E-6</v>
      </c>
      <c r="M88" s="39">
        <v>8.6264946200000007E-6</v>
      </c>
      <c r="N88" s="39">
        <v>9.1395362099999892E-6</v>
      </c>
      <c r="O88" s="39">
        <v>9.5230758600000005E-6</v>
      </c>
      <c r="P88" s="39">
        <v>9.7435944799999996E-6</v>
      </c>
      <c r="Q88" s="39">
        <v>1.0541476799999999E-5</v>
      </c>
      <c r="R88" s="39">
        <v>1.14627582E-5</v>
      </c>
      <c r="S88" s="39">
        <v>1.28342724E-5</v>
      </c>
      <c r="T88" s="39">
        <v>1.38751151E-5</v>
      </c>
      <c r="U88" s="39">
        <v>1.55463896E-5</v>
      </c>
      <c r="V88" s="39">
        <v>1.7492976400000001E-5</v>
      </c>
      <c r="W88" s="39">
        <v>2.0103907699999999E-5</v>
      </c>
      <c r="X88" s="39">
        <v>2.2931850599999999E-5</v>
      </c>
      <c r="Y88" s="39">
        <v>2.49720744E-5</v>
      </c>
      <c r="Z88" s="39">
        <v>2.6401344699999999E-5</v>
      </c>
      <c r="AA88" s="39">
        <v>2.7232612E-5</v>
      </c>
      <c r="AB88" s="39">
        <v>2.75033323E-5</v>
      </c>
      <c r="AC88" s="39">
        <v>2.72568463E-5</v>
      </c>
      <c r="AD88" s="39">
        <v>2.6562844199999999E-5</v>
      </c>
      <c r="AE88" s="39">
        <v>2.5549386699999999E-5</v>
      </c>
      <c r="AF88" s="39">
        <v>2.4343781700000002E-5</v>
      </c>
      <c r="AG88" s="39">
        <v>2.3051310899999999E-5</v>
      </c>
      <c r="AH88" s="39">
        <v>2.1742906000000001E-5</v>
      </c>
      <c r="AI88" s="39">
        <v>2.04615786E-5</v>
      </c>
      <c r="AJ88" s="39">
        <v>1.92277038E-5</v>
      </c>
      <c r="AK88" s="39">
        <v>1.8051079500000001E-5</v>
      </c>
      <c r="AL88" s="39">
        <v>1.6935391100000001E-5</v>
      </c>
      <c r="AM88" s="39">
        <v>1.58809517E-5</v>
      </c>
      <c r="AN88" s="39">
        <v>1.48904478E-5</v>
      </c>
      <c r="AO88" s="39">
        <v>1.3960846400000001E-5</v>
      </c>
      <c r="AP88" s="39">
        <v>1.3088829999999999E-5</v>
      </c>
      <c r="AQ88" s="39">
        <v>1.2271051199999999E-5</v>
      </c>
      <c r="AR88" s="39">
        <v>1.1453133200000001E-5</v>
      </c>
      <c r="AS88" s="39">
        <v>1.06896692E-5</v>
      </c>
      <c r="AT88" s="39">
        <v>9.97706465E-6</v>
      </c>
      <c r="AU88" s="39">
        <v>9.3119474700000002E-6</v>
      </c>
      <c r="AV88" s="39">
        <v>8.6911614000000005E-6</v>
      </c>
      <c r="AW88" s="39">
        <v>8.1117558900000007E-6</v>
      </c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</row>
    <row r="89" spans="2:99" x14ac:dyDescent="0.25">
      <c r="B89" t="s">
        <v>189</v>
      </c>
      <c r="C89" s="39">
        <v>0.26347077198670499</v>
      </c>
      <c r="D89" s="39">
        <v>0.26770088045298701</v>
      </c>
      <c r="E89" s="39">
        <v>0.27205441330000002</v>
      </c>
      <c r="F89" s="39">
        <v>0.30134862429999998</v>
      </c>
      <c r="G89" s="39">
        <v>0.2931487317</v>
      </c>
      <c r="H89" s="39">
        <v>0.2431425978</v>
      </c>
      <c r="I89" s="39">
        <v>0.24731559359999999</v>
      </c>
      <c r="J89" s="39">
        <v>0.2416932349</v>
      </c>
      <c r="K89" s="39">
        <v>0.26152871799999999</v>
      </c>
      <c r="L89" s="39">
        <v>0.25749663849999999</v>
      </c>
      <c r="M89" s="39">
        <v>0.2497601458</v>
      </c>
      <c r="N89" s="39">
        <v>0.24407689390000001</v>
      </c>
      <c r="O89" s="39">
        <v>0.23238076369999999</v>
      </c>
      <c r="P89" s="39">
        <v>0.23814921180000001</v>
      </c>
      <c r="Q89" s="39">
        <v>0.24356895579999999</v>
      </c>
      <c r="R89" s="39">
        <v>0.25246812489999998</v>
      </c>
      <c r="S89" s="39">
        <v>0.2679642425</v>
      </c>
      <c r="T89" s="39">
        <v>0.32746054740000002</v>
      </c>
      <c r="U89" s="39">
        <v>0.37604042539999999</v>
      </c>
      <c r="V89" s="39">
        <v>0.42039405369999999</v>
      </c>
      <c r="W89" s="39">
        <v>0.4332618111</v>
      </c>
      <c r="X89" s="39">
        <v>0.44454486599999998</v>
      </c>
      <c r="Y89" s="39">
        <v>0.48825696810000002</v>
      </c>
      <c r="Z89" s="39">
        <v>0.53528588560000001</v>
      </c>
      <c r="AA89" s="39">
        <v>0.58408931789999996</v>
      </c>
      <c r="AB89" s="39">
        <v>0.62637180189999997</v>
      </c>
      <c r="AC89" s="39">
        <v>0.67084833440000002</v>
      </c>
      <c r="AD89" s="39">
        <v>0.73724914880000003</v>
      </c>
      <c r="AE89" s="39">
        <v>0.80544466859999997</v>
      </c>
      <c r="AF89" s="39">
        <v>0.87512783159999996</v>
      </c>
      <c r="AG89" s="39">
        <v>0.94386147030000001</v>
      </c>
      <c r="AH89" s="39">
        <v>1.014035341</v>
      </c>
      <c r="AI89" s="39">
        <v>1.1004300760000001</v>
      </c>
      <c r="AJ89" s="39">
        <v>1.188937932</v>
      </c>
      <c r="AK89" s="39">
        <v>1.2796436849999999</v>
      </c>
      <c r="AL89" s="39">
        <v>1.3574881379999999</v>
      </c>
      <c r="AM89" s="39">
        <v>1.440162065</v>
      </c>
      <c r="AN89" s="39">
        <v>1.5143144820000001</v>
      </c>
      <c r="AO89" s="39">
        <v>1.592185698</v>
      </c>
      <c r="AP89" s="39">
        <v>1.6738318210000001</v>
      </c>
      <c r="AQ89" s="39">
        <v>1.7589793380000001</v>
      </c>
      <c r="AR89" s="39">
        <v>1.848447591</v>
      </c>
      <c r="AS89" s="39">
        <v>1.8874417939999999</v>
      </c>
      <c r="AT89" s="39">
        <v>1.925991947</v>
      </c>
      <c r="AU89" s="39">
        <v>1.966068312</v>
      </c>
      <c r="AV89">
        <v>2.0073186889999999</v>
      </c>
      <c r="AW89">
        <v>2.049397591</v>
      </c>
    </row>
    <row r="90" spans="2:99" x14ac:dyDescent="0.25">
      <c r="B90" t="s">
        <v>190</v>
      </c>
      <c r="C90">
        <v>2318131524.4374599</v>
      </c>
      <c r="D90">
        <v>2355349875.8831902</v>
      </c>
      <c r="E90">
        <v>2393165780</v>
      </c>
      <c r="F90">
        <v>2417743066</v>
      </c>
      <c r="G90">
        <v>2442572755</v>
      </c>
      <c r="H90">
        <v>2467657440</v>
      </c>
      <c r="I90">
        <v>2492999739</v>
      </c>
      <c r="J90">
        <v>2518602297</v>
      </c>
      <c r="K90">
        <v>2544467789</v>
      </c>
      <c r="L90">
        <v>2570598913</v>
      </c>
      <c r="M9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2893294392</v>
      </c>
      <c r="X90">
        <v>2920683496</v>
      </c>
      <c r="Y90">
        <v>2946016305</v>
      </c>
      <c r="Z90">
        <v>2969192311</v>
      </c>
      <c r="AA90">
        <v>2990333273</v>
      </c>
      <c r="AB90">
        <v>3009261245</v>
      </c>
      <c r="AC90">
        <v>3025888722</v>
      </c>
      <c r="AD90">
        <v>3041817748</v>
      </c>
      <c r="AE90">
        <v>3056903629</v>
      </c>
      <c r="AF90">
        <v>3071089561</v>
      </c>
      <c r="AG90">
        <v>3084363564</v>
      </c>
      <c r="AH90">
        <v>3096983722</v>
      </c>
      <c r="AI90">
        <v>3108626593</v>
      </c>
      <c r="AJ90">
        <v>3119146419</v>
      </c>
      <c r="AK90">
        <v>3128804146</v>
      </c>
      <c r="AL90">
        <v>3137546654</v>
      </c>
      <c r="AM90">
        <v>3145275685</v>
      </c>
      <c r="AN90">
        <v>3152779717</v>
      </c>
      <c r="AO90">
        <v>3159874851</v>
      </c>
      <c r="AP90">
        <v>3166558568</v>
      </c>
      <c r="AQ90">
        <v>3173103141</v>
      </c>
      <c r="AR90">
        <v>3179324132</v>
      </c>
      <c r="AS90">
        <v>3185265549</v>
      </c>
      <c r="AT90">
        <v>3191063906</v>
      </c>
      <c r="AU90">
        <v>3196626001</v>
      </c>
      <c r="AV90">
        <v>3201950414</v>
      </c>
      <c r="AW90">
        <v>3207035723</v>
      </c>
    </row>
    <row r="91" spans="2:99" x14ac:dyDescent="0.25">
      <c r="B91" t="s">
        <v>191</v>
      </c>
      <c r="C91">
        <v>640398.31806251395</v>
      </c>
      <c r="D91">
        <v>650680.12020171306</v>
      </c>
      <c r="E91">
        <v>661127</v>
      </c>
      <c r="F91">
        <v>1875691.4240000001</v>
      </c>
      <c r="G91">
        <v>3531050.3420000002</v>
      </c>
      <c r="H91">
        <v>5256734.8899999997</v>
      </c>
      <c r="I91">
        <v>6659155</v>
      </c>
      <c r="J91">
        <v>7994934.3710000003</v>
      </c>
      <c r="K91">
        <v>9407847.8210000005</v>
      </c>
      <c r="L91">
        <v>10965461.109999999</v>
      </c>
      <c r="M91">
        <v>12666268.359999999</v>
      </c>
      <c r="N91">
        <v>14455010.630000001</v>
      </c>
      <c r="O91">
        <v>16086364.380000001</v>
      </c>
      <c r="P91">
        <v>18076069.41</v>
      </c>
      <c r="Q91">
        <v>20692600.420000002</v>
      </c>
      <c r="R91">
        <v>24761715.600000001</v>
      </c>
      <c r="S91">
        <v>29800599.010000002</v>
      </c>
      <c r="T91">
        <v>36015344.049999997</v>
      </c>
      <c r="U91">
        <v>43024519.789999999</v>
      </c>
      <c r="V91">
        <v>50589869.229999997</v>
      </c>
      <c r="W91">
        <v>59012758.100000001</v>
      </c>
      <c r="X91">
        <v>69864770.239999995</v>
      </c>
      <c r="Y91">
        <v>83577461.25</v>
      </c>
      <c r="Z91">
        <v>99502539.25</v>
      </c>
      <c r="AA91">
        <v>117090886.90000001</v>
      </c>
      <c r="AB91">
        <v>135830792.40000001</v>
      </c>
      <c r="AC91">
        <v>155649956.40000001</v>
      </c>
      <c r="AD91">
        <v>177050447.59999999</v>
      </c>
      <c r="AE91">
        <v>199615291</v>
      </c>
      <c r="AF91">
        <v>222977182.5</v>
      </c>
      <c r="AG91">
        <v>247184951.90000001</v>
      </c>
      <c r="AH91">
        <v>272164968.89999998</v>
      </c>
      <c r="AI91">
        <v>297579249.89999998</v>
      </c>
      <c r="AJ91">
        <v>323410898.30000001</v>
      </c>
      <c r="AK91">
        <v>349717175.60000002</v>
      </c>
      <c r="AL91">
        <v>376523441.30000001</v>
      </c>
      <c r="AM91">
        <v>404514804.19999999</v>
      </c>
      <c r="AN91">
        <v>433636269.69999999</v>
      </c>
      <c r="AO91">
        <v>463339674.19999999</v>
      </c>
      <c r="AP91">
        <v>493422896.80000001</v>
      </c>
      <c r="AQ91">
        <v>523813923.60000002</v>
      </c>
      <c r="AR91">
        <v>554401335.39999998</v>
      </c>
      <c r="AS91">
        <v>585258376.10000002</v>
      </c>
      <c r="AT91">
        <v>616764862</v>
      </c>
      <c r="AU91">
        <v>648967579.70000005</v>
      </c>
      <c r="AV91">
        <v>681904826.79999995</v>
      </c>
      <c r="AW91">
        <v>715572061.5</v>
      </c>
    </row>
    <row r="92" spans="2:99" x14ac:dyDescent="0.25">
      <c r="B92" t="s">
        <v>192</v>
      </c>
      <c r="C92">
        <v>41062689.603059798</v>
      </c>
      <c r="D92">
        <v>41721964.366740197</v>
      </c>
      <c r="E92">
        <v>42391824</v>
      </c>
      <c r="F92">
        <v>48327797.350000001</v>
      </c>
      <c r="G92">
        <v>55246987.710000001</v>
      </c>
      <c r="H92">
        <v>62334992.270000003</v>
      </c>
      <c r="I92">
        <v>67923206.430000007</v>
      </c>
      <c r="J92">
        <v>73311926.799999997</v>
      </c>
      <c r="K92">
        <v>79019560.629999995</v>
      </c>
      <c r="L92" s="273">
        <v>85686810.739999995</v>
      </c>
      <c r="M92">
        <v>92822209.859999999</v>
      </c>
      <c r="N92">
        <v>99963264.049999997</v>
      </c>
      <c r="O92">
        <v>105740186.90000001</v>
      </c>
      <c r="P92">
        <v>112677970.8</v>
      </c>
      <c r="Q92">
        <v>121504490.40000001</v>
      </c>
      <c r="R92">
        <v>135904659.30000001</v>
      </c>
      <c r="S92">
        <v>152452830.5</v>
      </c>
      <c r="T92">
        <v>172687440.69999999</v>
      </c>
      <c r="U92">
        <v>193405807.69999999</v>
      </c>
      <c r="V92">
        <v>214886830</v>
      </c>
      <c r="W92">
        <v>237463429.69999999</v>
      </c>
      <c r="X92">
        <v>264763817.90000001</v>
      </c>
      <c r="Y92">
        <v>295675963.89999998</v>
      </c>
      <c r="Z92">
        <v>328490762</v>
      </c>
      <c r="AA92">
        <v>361530428.60000002</v>
      </c>
      <c r="AB92">
        <v>393488703</v>
      </c>
      <c r="AC92">
        <v>424496444.19999999</v>
      </c>
      <c r="AD92">
        <v>455171469.69999999</v>
      </c>
      <c r="AE92">
        <v>484600855.89999998</v>
      </c>
      <c r="AF92">
        <v>512505967</v>
      </c>
      <c r="AG92">
        <v>538999074.20000005</v>
      </c>
      <c r="AH92">
        <v>564039337.10000002</v>
      </c>
      <c r="AI92">
        <v>587450691.60000002</v>
      </c>
      <c r="AJ92">
        <v>609312687.89999998</v>
      </c>
      <c r="AK92">
        <v>629725186.29999995</v>
      </c>
      <c r="AL92">
        <v>648822708.60000002</v>
      </c>
      <c r="AM92">
        <v>667159796.10000002</v>
      </c>
      <c r="AN92">
        <v>684650189.5</v>
      </c>
      <c r="AO92">
        <v>701012471.29999995</v>
      </c>
      <c r="AP92">
        <v>716178462.39999998</v>
      </c>
      <c r="AQ92">
        <v>730211112.79999995</v>
      </c>
      <c r="AR92">
        <v>743106025.20000005</v>
      </c>
      <c r="AS92">
        <v>754983354.79999995</v>
      </c>
      <c r="AT92">
        <v>766118794</v>
      </c>
      <c r="AU92">
        <v>776555671.20000005</v>
      </c>
      <c r="AV92">
        <v>786318129.89999998</v>
      </c>
      <c r="AW92">
        <v>795405131.20000005</v>
      </c>
    </row>
    <row r="93" spans="2:99" x14ac:dyDescent="0.25">
      <c r="B93" t="s">
        <v>193</v>
      </c>
      <c r="C93">
        <v>291506404.18067801</v>
      </c>
      <c r="D93">
        <v>296186633.79021603</v>
      </c>
      <c r="E93">
        <v>300942006</v>
      </c>
      <c r="F93">
        <v>329969297.60000002</v>
      </c>
      <c r="G93">
        <v>359742700</v>
      </c>
      <c r="H93">
        <v>389215747.30000001</v>
      </c>
      <c r="I93">
        <v>413578731.80000001</v>
      </c>
      <c r="J93">
        <v>437576984.80000001</v>
      </c>
      <c r="K93">
        <v>463484353.60000002</v>
      </c>
      <c r="L93">
        <v>491584419.10000002</v>
      </c>
      <c r="M93">
        <v>518896396.89999998</v>
      </c>
      <c r="N93">
        <v>542965479.89999998</v>
      </c>
      <c r="O93">
        <v>562545207</v>
      </c>
      <c r="P93">
        <v>579549240.79999995</v>
      </c>
      <c r="Q93">
        <v>598050840</v>
      </c>
      <c r="R93">
        <v>622216441.10000002</v>
      </c>
      <c r="S93">
        <v>647543118.89999998</v>
      </c>
      <c r="T93">
        <v>674636551.39999998</v>
      </c>
      <c r="U93">
        <v>700801880.70000005</v>
      </c>
      <c r="V93">
        <v>726936793</v>
      </c>
      <c r="W93">
        <v>751663155.10000002</v>
      </c>
      <c r="X93">
        <v>776362385.5</v>
      </c>
      <c r="Y93">
        <v>799537069.10000002</v>
      </c>
      <c r="Z93">
        <v>819629072</v>
      </c>
      <c r="AA93">
        <v>836138223.29999995</v>
      </c>
      <c r="AB93">
        <v>849058815.70000005</v>
      </c>
      <c r="AC93">
        <v>859434286.60000002</v>
      </c>
      <c r="AD93">
        <v>868279705.60000002</v>
      </c>
      <c r="AE93">
        <v>874939394</v>
      </c>
      <c r="AF93">
        <v>879358884.20000005</v>
      </c>
      <c r="AG93">
        <v>881667531</v>
      </c>
      <c r="AH93">
        <v>882126278.5</v>
      </c>
      <c r="AI93">
        <v>880853466.29999995</v>
      </c>
      <c r="AJ93">
        <v>877930855.39999998</v>
      </c>
      <c r="AK93">
        <v>873527961.5</v>
      </c>
      <c r="AL93">
        <v>867836070.39999998</v>
      </c>
      <c r="AM93">
        <v>861118809.5</v>
      </c>
      <c r="AN93">
        <v>853658442.39999998</v>
      </c>
      <c r="AO93">
        <v>845463548.20000005</v>
      </c>
      <c r="AP93">
        <v>836612090.89999998</v>
      </c>
      <c r="AQ93">
        <v>827259694.20000005</v>
      </c>
      <c r="AR93">
        <v>817401512.79999995</v>
      </c>
      <c r="AS93">
        <v>807152103.89999998</v>
      </c>
      <c r="AT93">
        <v>796743751</v>
      </c>
      <c r="AU93">
        <v>786210002</v>
      </c>
      <c r="AV93">
        <v>775539858.39999998</v>
      </c>
      <c r="AW93">
        <v>764703966.70000005</v>
      </c>
    </row>
    <row r="94" spans="2:99" x14ac:dyDescent="0.25">
      <c r="B94" t="s">
        <v>194</v>
      </c>
      <c r="C94">
        <v>640671991.67983496</v>
      </c>
      <c r="D94">
        <v>650958187.73748195</v>
      </c>
      <c r="E94">
        <v>661409532</v>
      </c>
      <c r="F94">
        <v>679048358.89999998</v>
      </c>
      <c r="G94">
        <v>696700866.10000002</v>
      </c>
      <c r="H94">
        <v>714621712</v>
      </c>
      <c r="I94">
        <v>730411692.70000005</v>
      </c>
      <c r="J94">
        <v>746557353</v>
      </c>
      <c r="K94">
        <v>764544554.29999995</v>
      </c>
      <c r="L94">
        <v>783836993.60000002</v>
      </c>
      <c r="M94">
        <v>802262679.70000005</v>
      </c>
      <c r="N94">
        <v>818139898</v>
      </c>
      <c r="O94">
        <v>832553063.70000005</v>
      </c>
      <c r="P94">
        <v>843827707.5</v>
      </c>
      <c r="Q94">
        <v>854827711.60000002</v>
      </c>
      <c r="R94">
        <v>864860588.5</v>
      </c>
      <c r="S94">
        <v>874399468.5</v>
      </c>
      <c r="T94">
        <v>881924485.70000005</v>
      </c>
      <c r="U94">
        <v>888831347.39999998</v>
      </c>
      <c r="V94">
        <v>895867669.5</v>
      </c>
      <c r="W94">
        <v>900701833.70000005</v>
      </c>
      <c r="X94">
        <v>900272406.89999998</v>
      </c>
      <c r="Y94">
        <v>894825721.39999998</v>
      </c>
      <c r="Z94">
        <v>885127029.39999998</v>
      </c>
      <c r="AA94">
        <v>872625186</v>
      </c>
      <c r="AB94">
        <v>858602650.10000002</v>
      </c>
      <c r="AC94">
        <v>843595041</v>
      </c>
      <c r="AD94">
        <v>828020761.79999995</v>
      </c>
      <c r="AE94">
        <v>812135594.10000002</v>
      </c>
      <c r="AF94">
        <v>796048063.20000005</v>
      </c>
      <c r="AG94">
        <v>779636564.39999998</v>
      </c>
      <c r="AH94">
        <v>763177487.60000002</v>
      </c>
      <c r="AI94">
        <v>746787903.10000002</v>
      </c>
      <c r="AJ94">
        <v>730330053.20000005</v>
      </c>
      <c r="AK94">
        <v>713857595.79999995</v>
      </c>
      <c r="AL94">
        <v>697351381.70000005</v>
      </c>
      <c r="AM94">
        <v>680418280.79999995</v>
      </c>
      <c r="AN94">
        <v>663542775.29999995</v>
      </c>
      <c r="AO94">
        <v>646814866</v>
      </c>
      <c r="AP94">
        <v>630296933.79999995</v>
      </c>
      <c r="AQ94">
        <v>614088552.29999995</v>
      </c>
      <c r="AR94">
        <v>598129205.79999995</v>
      </c>
      <c r="AS94">
        <v>582409783.10000002</v>
      </c>
      <c r="AT94">
        <v>566900615.70000005</v>
      </c>
      <c r="AU94">
        <v>551567542.89999998</v>
      </c>
      <c r="AV94">
        <v>536362614.39999998</v>
      </c>
      <c r="AW94">
        <v>521881024.89999998</v>
      </c>
    </row>
    <row r="95" spans="2:99" x14ac:dyDescent="0.25">
      <c r="B95" t="s">
        <v>195</v>
      </c>
      <c r="C95">
        <v>762047427.55376601</v>
      </c>
      <c r="D95">
        <v>774282345.494367</v>
      </c>
      <c r="E95">
        <v>786713699</v>
      </c>
      <c r="F95">
        <v>767697315.20000005</v>
      </c>
      <c r="G95">
        <v>747867086.29999995</v>
      </c>
      <c r="H95">
        <v>728430631.79999995</v>
      </c>
      <c r="I95">
        <v>714280416.60000002</v>
      </c>
      <c r="J95">
        <v>700681344.79999995</v>
      </c>
      <c r="K95">
        <v>685365464.70000005</v>
      </c>
      <c r="L95">
        <v>668066588.89999998</v>
      </c>
      <c r="M95">
        <v>651608861.20000005</v>
      </c>
      <c r="N95">
        <v>638329540.5</v>
      </c>
      <c r="O95">
        <v>630965417.79999995</v>
      </c>
      <c r="P95">
        <v>625921224.89999998</v>
      </c>
      <c r="Q95">
        <v>619119672.39999998</v>
      </c>
      <c r="R95">
        <v>605555013.79999995</v>
      </c>
      <c r="S95">
        <v>590111586.29999995</v>
      </c>
      <c r="T95">
        <v>572016937.29999995</v>
      </c>
      <c r="U95">
        <v>554128849.20000005</v>
      </c>
      <c r="V95">
        <v>536660753.80000001</v>
      </c>
      <c r="W95">
        <v>519528075.5</v>
      </c>
      <c r="X95">
        <v>500271972.5</v>
      </c>
      <c r="Y95">
        <v>479963611.80000001</v>
      </c>
      <c r="Z95">
        <v>460246646.10000002</v>
      </c>
      <c r="AA95">
        <v>441913255.10000002</v>
      </c>
      <c r="AB95">
        <v>425205797.10000002</v>
      </c>
      <c r="AC95">
        <v>409257736.69999999</v>
      </c>
      <c r="AD95">
        <v>393535077.80000001</v>
      </c>
      <c r="AE95">
        <v>378829195.39999998</v>
      </c>
      <c r="AF95">
        <v>365395585.5</v>
      </c>
      <c r="AG95">
        <v>353112527.10000002</v>
      </c>
      <c r="AH95">
        <v>341887450.10000002</v>
      </c>
      <c r="AI95">
        <v>331698358.5</v>
      </c>
      <c r="AJ95">
        <v>322447572.5</v>
      </c>
      <c r="AK95">
        <v>314056210.10000002</v>
      </c>
      <c r="AL95">
        <v>306320308.89999998</v>
      </c>
      <c r="AM95">
        <v>298601342.80000001</v>
      </c>
      <c r="AN95">
        <v>290982459.69999999</v>
      </c>
      <c r="AO95">
        <v>283740232.39999998</v>
      </c>
      <c r="AP95">
        <v>276935749.39999998</v>
      </c>
      <c r="AQ95">
        <v>270579260.30000001</v>
      </c>
      <c r="AR95">
        <v>264667323.40000001</v>
      </c>
      <c r="AS95">
        <v>259067774.80000001</v>
      </c>
      <c r="AT95">
        <v>253407458.30000001</v>
      </c>
      <c r="AU95">
        <v>247593672.19999999</v>
      </c>
      <c r="AV95">
        <v>241623100.19999999</v>
      </c>
      <c r="AW95">
        <v>235532646.80000001</v>
      </c>
    </row>
    <row r="96" spans="2:99" x14ac:dyDescent="0.25">
      <c r="B96" t="s">
        <v>196</v>
      </c>
      <c r="C96">
        <v>399231640.45290101</v>
      </c>
      <c r="D96">
        <v>405641433.57550502</v>
      </c>
      <c r="E96">
        <v>412154138</v>
      </c>
      <c r="F96">
        <v>399760841.10000002</v>
      </c>
      <c r="G96">
        <v>387113174.30000001</v>
      </c>
      <c r="H96">
        <v>374756494.19999999</v>
      </c>
      <c r="I96">
        <v>365465593.80000001</v>
      </c>
      <c r="J96">
        <v>356468435</v>
      </c>
      <c r="K96">
        <v>346439416.80000001</v>
      </c>
      <c r="L96">
        <v>335377600.10000002</v>
      </c>
      <c r="M96">
        <v>325017050.10000002</v>
      </c>
      <c r="N96">
        <v>316704904.30000001</v>
      </c>
      <c r="O96">
        <v>311816568.69999999</v>
      </c>
      <c r="P96">
        <v>308486200.69999999</v>
      </c>
      <c r="Q96">
        <v>304380859.89999998</v>
      </c>
      <c r="R96">
        <v>296998277.30000001</v>
      </c>
      <c r="S96">
        <v>288783084.89999998</v>
      </c>
      <c r="T96">
        <v>279421683.5</v>
      </c>
      <c r="U96">
        <v>270170955.19999999</v>
      </c>
      <c r="V96">
        <v>261154462</v>
      </c>
      <c r="W96">
        <v>252346472.59999999</v>
      </c>
      <c r="X96">
        <v>242686590.19999999</v>
      </c>
      <c r="Y96">
        <v>232661896.09999999</v>
      </c>
      <c r="Z96">
        <v>223041210.19999999</v>
      </c>
      <c r="AA96">
        <v>214127153</v>
      </c>
      <c r="AB96">
        <v>205966927.5</v>
      </c>
      <c r="AC96">
        <v>198103163.69999999</v>
      </c>
      <c r="AD96">
        <v>190290827.09999999</v>
      </c>
      <c r="AE96">
        <v>182912421</v>
      </c>
      <c r="AF96">
        <v>176105037.69999999</v>
      </c>
      <c r="AG96">
        <v>169828995.5</v>
      </c>
      <c r="AH96">
        <v>164046634.69999999</v>
      </c>
      <c r="AI96">
        <v>158744164.30000001</v>
      </c>
      <c r="AJ96">
        <v>153886020.30000001</v>
      </c>
      <c r="AK96">
        <v>149444885.69999999</v>
      </c>
      <c r="AL96">
        <v>145329183.30000001</v>
      </c>
      <c r="AM96">
        <v>141253755.19999999</v>
      </c>
      <c r="AN96">
        <v>137246758.30000001</v>
      </c>
      <c r="AO96">
        <v>133415596.90000001</v>
      </c>
      <c r="AP96">
        <v>129782762</v>
      </c>
      <c r="AQ96">
        <v>126353832.3</v>
      </c>
      <c r="AR96">
        <v>123130508.8</v>
      </c>
      <c r="AS96">
        <v>120055359.40000001</v>
      </c>
      <c r="AT96">
        <v>116960849.90000001</v>
      </c>
      <c r="AU96">
        <v>113804709.7</v>
      </c>
      <c r="AV96">
        <v>110587532.90000001</v>
      </c>
      <c r="AW96">
        <v>107327783.3</v>
      </c>
    </row>
    <row r="97" spans="2:49" x14ac:dyDescent="0.25">
      <c r="B97" t="s">
        <v>197</v>
      </c>
      <c r="C97">
        <v>182970972.649156</v>
      </c>
      <c r="D97">
        <v>185908630.79867601</v>
      </c>
      <c r="E97">
        <v>188893454</v>
      </c>
      <c r="F97">
        <v>191063764.30000001</v>
      </c>
      <c r="G97">
        <v>192370890.30000001</v>
      </c>
      <c r="H97">
        <v>193041127.30000001</v>
      </c>
      <c r="I97">
        <v>194680942.30000001</v>
      </c>
      <c r="J97">
        <v>196011318.5</v>
      </c>
      <c r="K97">
        <v>196206590.80000001</v>
      </c>
      <c r="L97">
        <v>195081039.30000001</v>
      </c>
      <c r="M97">
        <v>193724931.90000001</v>
      </c>
      <c r="N97">
        <v>193110902.69999999</v>
      </c>
      <c r="O97">
        <v>194281637.40000001</v>
      </c>
      <c r="P97">
        <v>196119853.19999999</v>
      </c>
      <c r="Q97">
        <v>197106337.90000001</v>
      </c>
      <c r="R97">
        <v>195170429.80000001</v>
      </c>
      <c r="S97">
        <v>192061051.5</v>
      </c>
      <c r="T97">
        <v>187527128.69999999</v>
      </c>
      <c r="U97">
        <v>182694217</v>
      </c>
      <c r="V97">
        <v>177686812</v>
      </c>
      <c r="W97">
        <v>172578667.09999999</v>
      </c>
      <c r="X97">
        <v>166461552.59999999</v>
      </c>
      <c r="Y97">
        <v>159774581.90000001</v>
      </c>
      <c r="Z97">
        <v>153155052.5</v>
      </c>
      <c r="AA97">
        <v>146908139.90000001</v>
      </c>
      <c r="AB97">
        <v>141107559.5</v>
      </c>
      <c r="AC97">
        <v>135352093</v>
      </c>
      <c r="AD97">
        <v>129469458.09999999</v>
      </c>
      <c r="AE97">
        <v>123870877.59999999</v>
      </c>
      <c r="AF97">
        <v>118698841.40000001</v>
      </c>
      <c r="AG97">
        <v>113933920.2</v>
      </c>
      <c r="AH97">
        <v>109541565.5</v>
      </c>
      <c r="AI97">
        <v>105512758.90000001</v>
      </c>
      <c r="AJ97">
        <v>101828331.5</v>
      </c>
      <c r="AK97">
        <v>98475130.920000002</v>
      </c>
      <c r="AL97">
        <v>95363559.989999995</v>
      </c>
      <c r="AM97">
        <v>92208896.260000005</v>
      </c>
      <c r="AN97">
        <v>89062822.159999996</v>
      </c>
      <c r="AO97">
        <v>86088461.730000004</v>
      </c>
      <c r="AP97">
        <v>83329673.129999995</v>
      </c>
      <c r="AQ97">
        <v>80796765.760000005</v>
      </c>
      <c r="AR97">
        <v>78488220.269999996</v>
      </c>
      <c r="AS97">
        <v>76338797.379999995</v>
      </c>
      <c r="AT97">
        <v>74167575.200000003</v>
      </c>
      <c r="AU97">
        <v>71926823.560000002</v>
      </c>
      <c r="AV97">
        <v>69614350.920000002</v>
      </c>
      <c r="AW97">
        <v>67248186.879999995</v>
      </c>
    </row>
    <row r="98" spans="2:49" x14ac:dyDescent="0.25">
      <c r="B98" t="s">
        <v>198</v>
      </c>
      <c r="C98">
        <v>61.608374519870097</v>
      </c>
      <c r="D98">
        <v>61.608374519870097</v>
      </c>
      <c r="E98">
        <v>62.774391799999997</v>
      </c>
      <c r="F98">
        <v>63.169097069999999</v>
      </c>
      <c r="G98">
        <v>64.291258429999999</v>
      </c>
      <c r="H98">
        <v>64.876815789999995</v>
      </c>
      <c r="I98">
        <v>67.657443099999995</v>
      </c>
      <c r="J98">
        <v>68.523170269999994</v>
      </c>
      <c r="K98">
        <v>69.458888200000004</v>
      </c>
      <c r="L98">
        <v>69.750783389999995</v>
      </c>
      <c r="M98">
        <v>74.968555080000002</v>
      </c>
      <c r="N98">
        <v>80.265499360000007</v>
      </c>
      <c r="O98">
        <v>87.427367039999893</v>
      </c>
      <c r="P98">
        <v>95.100803470000002</v>
      </c>
      <c r="Q98">
        <v>107.4026606</v>
      </c>
      <c r="R98">
        <v>107.6927584</v>
      </c>
      <c r="S98">
        <v>107.4932994</v>
      </c>
      <c r="T98">
        <v>107.4912662</v>
      </c>
      <c r="U98">
        <v>108.0236553</v>
      </c>
      <c r="V98">
        <v>109.13997449999999</v>
      </c>
      <c r="W98">
        <v>109.7020995</v>
      </c>
      <c r="X98">
        <v>111.2130605</v>
      </c>
      <c r="Y98">
        <v>110.3522985</v>
      </c>
      <c r="Z98">
        <v>109.534944</v>
      </c>
      <c r="AA98">
        <v>108.8369309</v>
      </c>
      <c r="AB98">
        <v>126.51264519999999</v>
      </c>
      <c r="AC98">
        <v>145.5400248</v>
      </c>
      <c r="AD98">
        <v>152.71693540000001</v>
      </c>
      <c r="AE98">
        <v>159.87394459999999</v>
      </c>
      <c r="AF98">
        <v>167.06769070000001</v>
      </c>
      <c r="AG98">
        <v>173.55277169999999</v>
      </c>
      <c r="AH98">
        <v>179.98209919999999</v>
      </c>
      <c r="AI98">
        <v>181.29960990000001</v>
      </c>
      <c r="AJ98">
        <v>182.65726900000001</v>
      </c>
      <c r="AK98">
        <v>184.0641718</v>
      </c>
      <c r="AL98">
        <v>181.74563929999999</v>
      </c>
      <c r="AM98">
        <v>179.1160227</v>
      </c>
      <c r="AN98">
        <v>188.33012790000001</v>
      </c>
      <c r="AO98">
        <v>197.88081099999999</v>
      </c>
      <c r="AP98">
        <v>207.95510179999999</v>
      </c>
      <c r="AQ98">
        <v>218.8115363</v>
      </c>
      <c r="AR98">
        <v>231.0634465</v>
      </c>
      <c r="AS98">
        <v>235.44502299999999</v>
      </c>
      <c r="AT98">
        <v>239.88922690000001</v>
      </c>
      <c r="AU98">
        <v>244.23574199999999</v>
      </c>
      <c r="AV98">
        <v>248.47857160000001</v>
      </c>
      <c r="AW98">
        <v>252.5642479</v>
      </c>
    </row>
    <row r="99" spans="2:49" x14ac:dyDescent="0.25">
      <c r="B99" t="s">
        <v>507</v>
      </c>
      <c r="C99">
        <v>61.608374519870097</v>
      </c>
      <c r="D99">
        <v>61.608374519870097</v>
      </c>
      <c r="E99">
        <v>62.774391799999997</v>
      </c>
      <c r="F99">
        <v>63.169097069999999</v>
      </c>
      <c r="G99">
        <v>64.291258429999999</v>
      </c>
      <c r="H99">
        <v>64.876815789999995</v>
      </c>
      <c r="I99">
        <v>67.657443099999995</v>
      </c>
      <c r="J99">
        <v>68.523170269999994</v>
      </c>
      <c r="K99">
        <v>69.458888200000004</v>
      </c>
      <c r="L99">
        <v>69.750783389999995</v>
      </c>
      <c r="M99">
        <v>74.968555080000002</v>
      </c>
      <c r="N99">
        <v>80.265499360000007</v>
      </c>
      <c r="O99">
        <v>87.427367039999893</v>
      </c>
      <c r="P99">
        <v>95.100803470000002</v>
      </c>
      <c r="Q99">
        <v>107.4026606</v>
      </c>
      <c r="R99">
        <v>107.6927584</v>
      </c>
      <c r="S99">
        <v>107.5068311</v>
      </c>
      <c r="T99">
        <v>107.52070740000001</v>
      </c>
      <c r="U99">
        <v>108.06747249999999</v>
      </c>
      <c r="V99">
        <v>108.91060969999999</v>
      </c>
      <c r="W99">
        <v>109.22745620000001</v>
      </c>
      <c r="X99">
        <v>110.3141074</v>
      </c>
      <c r="Y99">
        <v>108.65455040000001</v>
      </c>
      <c r="Z99">
        <v>106.926085</v>
      </c>
      <c r="AA99">
        <v>105.2336859</v>
      </c>
      <c r="AB99">
        <v>103.5979959</v>
      </c>
      <c r="AC99">
        <v>102.0010762</v>
      </c>
      <c r="AD99">
        <v>100.6430412</v>
      </c>
      <c r="AE99">
        <v>99.309797309999894</v>
      </c>
      <c r="AF99">
        <v>98.013689150000005</v>
      </c>
      <c r="AG99">
        <v>96.744814419999997</v>
      </c>
      <c r="AH99">
        <v>95.505075689999998</v>
      </c>
      <c r="AI99">
        <v>94.260882120000005</v>
      </c>
      <c r="AJ99">
        <v>93.047839100000004</v>
      </c>
      <c r="AK99">
        <v>91.86952058</v>
      </c>
      <c r="AL99">
        <v>90.729491019999998</v>
      </c>
      <c r="AM99">
        <v>89.623636450000006</v>
      </c>
      <c r="AN99">
        <v>90.035046120000004</v>
      </c>
      <c r="AO99">
        <v>90.601176859999995</v>
      </c>
      <c r="AP99">
        <v>91.336022740000004</v>
      </c>
      <c r="AQ99">
        <v>92.249390460000001</v>
      </c>
      <c r="AR99">
        <v>93.435259029999997</v>
      </c>
      <c r="AS99">
        <v>93.729328510000002</v>
      </c>
      <c r="AT99">
        <v>94.153474970000005</v>
      </c>
      <c r="AU99">
        <v>94.68488807</v>
      </c>
      <c r="AV99">
        <v>95.321569100000005</v>
      </c>
      <c r="AW99">
        <v>96.076559750000001</v>
      </c>
    </row>
    <row r="100" spans="2:49" x14ac:dyDescent="0.25">
      <c r="B100" t="s">
        <v>199</v>
      </c>
      <c r="C100">
        <v>0.96116878123798499</v>
      </c>
      <c r="D100">
        <v>0.98039215686274495</v>
      </c>
      <c r="E100">
        <v>0.98083842099999996</v>
      </c>
      <c r="F100">
        <v>0.97936688449999998</v>
      </c>
      <c r="G100">
        <v>0.98295318440000001</v>
      </c>
      <c r="H100">
        <v>0.99749278959999998</v>
      </c>
      <c r="I100">
        <v>0.9940074955</v>
      </c>
      <c r="J100">
        <v>0.98784277109999996</v>
      </c>
      <c r="K100">
        <v>0.98354141240000004</v>
      </c>
      <c r="L100">
        <v>0.98740802819999995</v>
      </c>
      <c r="M100">
        <v>0.99449218340000001</v>
      </c>
      <c r="N100">
        <v>1.003327654</v>
      </c>
      <c r="O100">
        <v>1.0091695009999999</v>
      </c>
      <c r="P100">
        <v>1.0138871060000001</v>
      </c>
      <c r="Q100">
        <v>1.024952356</v>
      </c>
      <c r="R100">
        <v>1.047066898</v>
      </c>
      <c r="S100">
        <v>1.0671054369999999</v>
      </c>
      <c r="T100">
        <v>1.087672142</v>
      </c>
      <c r="U100">
        <v>1.1078285670000001</v>
      </c>
      <c r="V100">
        <v>1.128342602</v>
      </c>
      <c r="W100">
        <v>1.1491177990000001</v>
      </c>
      <c r="X100">
        <v>1.17116146</v>
      </c>
      <c r="Y100">
        <v>1.19657291</v>
      </c>
      <c r="Z100">
        <v>1.222153069</v>
      </c>
      <c r="AA100">
        <v>1.2480300769999999</v>
      </c>
      <c r="AB100">
        <v>1.2755590590000001</v>
      </c>
      <c r="AC100">
        <v>1.3037907879999999</v>
      </c>
      <c r="AD100">
        <v>1.3319236000000001</v>
      </c>
      <c r="AE100">
        <v>1.3601889570000001</v>
      </c>
      <c r="AF100">
        <v>1.3889702100000001</v>
      </c>
      <c r="AG100">
        <v>1.4183647989999999</v>
      </c>
      <c r="AH100">
        <v>1.4481987140000001</v>
      </c>
      <c r="AI100">
        <v>1.478355928</v>
      </c>
      <c r="AJ100">
        <v>1.509125515</v>
      </c>
      <c r="AK100">
        <v>1.540577031</v>
      </c>
      <c r="AL100">
        <v>1.5732838840000001</v>
      </c>
      <c r="AM100">
        <v>1.6063664040000001</v>
      </c>
      <c r="AN100">
        <v>1.640421514</v>
      </c>
      <c r="AO100">
        <v>1.6751144360000001</v>
      </c>
      <c r="AP100">
        <v>1.7103840029999999</v>
      </c>
      <c r="AQ100">
        <v>1.746395519</v>
      </c>
      <c r="AR100">
        <v>1.782967668</v>
      </c>
      <c r="AS100">
        <v>1.8205156469999999</v>
      </c>
      <c r="AT100">
        <v>1.858878381</v>
      </c>
      <c r="AU100">
        <v>1.8979269169999999</v>
      </c>
      <c r="AV100">
        <v>1.937615756</v>
      </c>
      <c r="AW100">
        <v>1.9782458999999999</v>
      </c>
    </row>
    <row r="101" spans="2:49" x14ac:dyDescent="0.25">
      <c r="B101" t="s">
        <v>508</v>
      </c>
      <c r="C101">
        <v>0.96116878123798499</v>
      </c>
      <c r="D101">
        <v>0.98039215686274495</v>
      </c>
      <c r="E101">
        <v>0.98083842099999996</v>
      </c>
      <c r="F101">
        <v>0.97936688449999998</v>
      </c>
      <c r="G101">
        <v>0.98295318440000001</v>
      </c>
      <c r="H101">
        <v>0.99749278959999998</v>
      </c>
      <c r="I101">
        <v>0.9940074955</v>
      </c>
      <c r="J101">
        <v>0.98784277109999996</v>
      </c>
      <c r="K101">
        <v>0.98354141240000004</v>
      </c>
      <c r="L101">
        <v>0.98740802819999995</v>
      </c>
      <c r="M101">
        <v>0.99449218340000001</v>
      </c>
      <c r="N101">
        <v>1.003327654</v>
      </c>
      <c r="O101">
        <v>1.0091695009999999</v>
      </c>
      <c r="P101">
        <v>1.0138871060000001</v>
      </c>
      <c r="Q101">
        <v>1.024952356</v>
      </c>
      <c r="R101">
        <v>1.047066898</v>
      </c>
      <c r="S101">
        <v>1.066967191</v>
      </c>
      <c r="T101">
        <v>1.087417512</v>
      </c>
      <c r="U101">
        <v>1.107440934</v>
      </c>
      <c r="V101">
        <v>1.127909611</v>
      </c>
      <c r="W101">
        <v>1.148677459</v>
      </c>
      <c r="X101">
        <v>1.1696357399999999</v>
      </c>
      <c r="Y101">
        <v>1.1925800639999999</v>
      </c>
      <c r="Z101">
        <v>1.216132547</v>
      </c>
      <c r="AA101">
        <v>1.2400978499999999</v>
      </c>
      <c r="AB101">
        <v>1.2644809379999999</v>
      </c>
      <c r="AC101">
        <v>1.28928365</v>
      </c>
      <c r="AD101">
        <v>1.3145184110000001</v>
      </c>
      <c r="AE101">
        <v>1.340371604</v>
      </c>
      <c r="AF101">
        <v>1.366732649</v>
      </c>
      <c r="AG101">
        <v>1.393615364</v>
      </c>
      <c r="AH101">
        <v>1.4211535120000001</v>
      </c>
      <c r="AI101">
        <v>1.4491738759999999</v>
      </c>
      <c r="AJ101">
        <v>1.477782393</v>
      </c>
      <c r="AK101">
        <v>1.507059001</v>
      </c>
      <c r="AL101">
        <v>1.536960764</v>
      </c>
      <c r="AM101">
        <v>1.567463609</v>
      </c>
      <c r="AN101">
        <v>1.5982226669999999</v>
      </c>
      <c r="AO101">
        <v>1.629548854</v>
      </c>
      <c r="AP101">
        <v>1.661431071</v>
      </c>
      <c r="AQ101">
        <v>1.6939088689999999</v>
      </c>
      <c r="AR101">
        <v>1.7269755</v>
      </c>
      <c r="AS101">
        <v>1.760552946</v>
      </c>
      <c r="AT101">
        <v>1.794770459</v>
      </c>
      <c r="AU101">
        <v>1.8296215259999999</v>
      </c>
      <c r="AV101">
        <v>1.8651367219999999</v>
      </c>
      <c r="AW101">
        <v>1.9015830460000001</v>
      </c>
    </row>
    <row r="102" spans="2:49" x14ac:dyDescent="0.25">
      <c r="B102" t="s">
        <v>509</v>
      </c>
      <c r="C102">
        <v>0</v>
      </c>
      <c r="D102" s="39">
        <v>0</v>
      </c>
      <c r="E102" s="39">
        <v>0</v>
      </c>
      <c r="F102" s="39">
        <v>0</v>
      </c>
      <c r="G102" s="39">
        <v>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1.21424084773558E-3</v>
      </c>
      <c r="T102" s="39">
        <v>3.4315456359901297E-2</v>
      </c>
      <c r="U102" s="39">
        <v>9.4939028665685904E-2</v>
      </c>
      <c r="V102" s="39">
        <v>0.24295904843611901</v>
      </c>
      <c r="W102">
        <v>0.57776448549276005</v>
      </c>
      <c r="X102">
        <v>0.78718800469861305</v>
      </c>
      <c r="Y102">
        <v>1.1052966617286</v>
      </c>
      <c r="Z102">
        <v>1.3228781547645501</v>
      </c>
      <c r="AA102">
        <v>1.4856492848596099</v>
      </c>
      <c r="AB102">
        <v>1.46598604386734</v>
      </c>
      <c r="AC102">
        <v>1.37422522000341</v>
      </c>
      <c r="AD102">
        <v>1.6447422901292501</v>
      </c>
      <c r="AE102">
        <v>1.7919868352155299</v>
      </c>
      <c r="AF102">
        <v>1.8429417146832201</v>
      </c>
      <c r="AG102" s="39">
        <v>1.72564347843988</v>
      </c>
      <c r="AH102" s="39">
        <v>1.5981506146370299</v>
      </c>
      <c r="AI102">
        <v>1.59598090986719</v>
      </c>
      <c r="AJ102">
        <v>1.5815863756950099</v>
      </c>
      <c r="AK102">
        <v>1.5654634003661601</v>
      </c>
      <c r="AL102" s="39">
        <v>1.4356281811269</v>
      </c>
      <c r="AM102">
        <v>1.40122599825691</v>
      </c>
      <c r="AN102">
        <v>1.5229529969826801</v>
      </c>
      <c r="AO102">
        <v>1.6043667003112501</v>
      </c>
      <c r="AP102">
        <v>1.669865054747</v>
      </c>
      <c r="AQ102">
        <v>1.7220300754881599</v>
      </c>
      <c r="AR102">
        <v>1.7360655625119701</v>
      </c>
      <c r="AS102">
        <v>1.5971550082977299</v>
      </c>
      <c r="AT102">
        <v>1.5340260793636999</v>
      </c>
      <c r="AU102">
        <v>1.50546035759486</v>
      </c>
      <c r="AV102">
        <v>1.4839763722297801</v>
      </c>
      <c r="AW102">
        <v>1.4121592545957899</v>
      </c>
    </row>
    <row r="103" spans="2:49" x14ac:dyDescent="0.25">
      <c r="B103" t="s">
        <v>510</v>
      </c>
      <c r="C103" s="39">
        <v>0</v>
      </c>
      <c r="D103" s="39">
        <v>0</v>
      </c>
      <c r="E103" s="39">
        <v>0</v>
      </c>
      <c r="F103" s="39">
        <v>0</v>
      </c>
      <c r="G103" s="39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-0.12834652639149799</v>
      </c>
      <c r="T103" s="39">
        <v>-0.150866937657234</v>
      </c>
      <c r="U103" s="39">
        <v>-8.0843279197728699E-2</v>
      </c>
      <c r="V103" s="39">
        <v>4.9768829940766098E-2</v>
      </c>
      <c r="W103" s="39">
        <v>0.81022398061187895</v>
      </c>
      <c r="X103">
        <v>1.3054916542291199</v>
      </c>
      <c r="Y103">
        <v>1.4614369489963199</v>
      </c>
      <c r="Z103">
        <v>1.6990119452603201</v>
      </c>
      <c r="AA103">
        <v>1.9235591220675201</v>
      </c>
      <c r="AB103">
        <v>1.8750524651901701</v>
      </c>
      <c r="AC103">
        <v>1.6486166005597001</v>
      </c>
      <c r="AD103">
        <v>1.7053119889814701</v>
      </c>
      <c r="AE103">
        <v>1.9997179928422799</v>
      </c>
      <c r="AF103">
        <v>2.0755614717678998</v>
      </c>
      <c r="AG103">
        <v>2.0012498517724802</v>
      </c>
      <c r="AH103">
        <v>1.9065288230195601</v>
      </c>
      <c r="AI103">
        <v>1.7068805696834799</v>
      </c>
      <c r="AJ103">
        <v>1.60870249478655</v>
      </c>
      <c r="AK103">
        <v>1.5084787521965</v>
      </c>
      <c r="AL103">
        <v>1.3077093568054801</v>
      </c>
      <c r="AM103">
        <v>1.21987707590443</v>
      </c>
      <c r="AN103">
        <v>1.2496858060549301</v>
      </c>
      <c r="AO103">
        <v>1.35624462055234</v>
      </c>
      <c r="AP103">
        <v>1.42428825544538</v>
      </c>
      <c r="AQ103">
        <v>1.46828942322041</v>
      </c>
      <c r="AR103">
        <v>1.54672329026039</v>
      </c>
      <c r="AS103">
        <v>1.51485006750169</v>
      </c>
      <c r="AT103">
        <v>1.426011544681</v>
      </c>
      <c r="AU103">
        <v>1.3913319633246799</v>
      </c>
      <c r="AV103">
        <v>1.38862234071386</v>
      </c>
      <c r="AW103">
        <v>1.27472611295451</v>
      </c>
    </row>
    <row r="104" spans="2:49" x14ac:dyDescent="0.25">
      <c r="B104" t="s">
        <v>511</v>
      </c>
      <c r="C104">
        <v>0</v>
      </c>
      <c r="D104" s="39">
        <v>0</v>
      </c>
      <c r="E104" s="39">
        <v>0</v>
      </c>
      <c r="F104" s="39">
        <v>0</v>
      </c>
      <c r="G104" s="39">
        <v>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-6.8441970389865298E-2</v>
      </c>
      <c r="T104">
        <v>6.4835578655975099E-2</v>
      </c>
      <c r="U104">
        <v>0.18852642535413999</v>
      </c>
      <c r="V104">
        <v>1.0159779145724399</v>
      </c>
      <c r="W104">
        <v>1.5757614777568401</v>
      </c>
      <c r="X104">
        <v>1.1976932051387099</v>
      </c>
      <c r="Y104">
        <v>2.0794865153431901</v>
      </c>
      <c r="Z104">
        <v>2.4667453153629499</v>
      </c>
      <c r="AA104">
        <v>2.7534212201138102</v>
      </c>
      <c r="AB104">
        <v>2.4644836339977299</v>
      </c>
      <c r="AC104">
        <v>2.36914439701598</v>
      </c>
      <c r="AD104">
        <v>4.8450652637834102</v>
      </c>
      <c r="AE104">
        <v>5.2016725365119498</v>
      </c>
      <c r="AF104">
        <v>5.3043176852490301</v>
      </c>
      <c r="AG104">
        <v>5.0029672942339003</v>
      </c>
      <c r="AH104">
        <v>5.0359216579425299</v>
      </c>
      <c r="AI104">
        <v>5.8439117629671902</v>
      </c>
      <c r="AJ104">
        <v>6.0150120000451004</v>
      </c>
      <c r="AK104">
        <v>6.16416865531379</v>
      </c>
      <c r="AL104">
        <v>5.7136023388379504</v>
      </c>
      <c r="AM104" s="39">
        <v>5.7225470609647298</v>
      </c>
      <c r="AN104">
        <v>7.0471174583204199</v>
      </c>
      <c r="AO104">
        <v>7.3522363798628598</v>
      </c>
      <c r="AP104">
        <v>7.6160575858199797</v>
      </c>
      <c r="AQ104">
        <v>7.8275923480982401</v>
      </c>
      <c r="AR104">
        <v>7.5563274687634197</v>
      </c>
      <c r="AS104">
        <v>6.2816859702037302</v>
      </c>
      <c r="AT104">
        <v>6.2295154225029403</v>
      </c>
      <c r="AU104">
        <v>6.3460952146833201</v>
      </c>
      <c r="AV104">
        <v>6.3835861710454402</v>
      </c>
      <c r="AW104" s="39">
        <v>6.35285139531178</v>
      </c>
    </row>
    <row r="105" spans="2:49" x14ac:dyDescent="0.25">
      <c r="B105" t="s">
        <v>512</v>
      </c>
      <c r="C105" s="39">
        <v>0</v>
      </c>
      <c r="D105" s="39">
        <v>0</v>
      </c>
      <c r="E105" s="39">
        <v>0</v>
      </c>
      <c r="F105" s="39">
        <v>0</v>
      </c>
      <c r="G105" s="39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1.3288150849888299E-3</v>
      </c>
      <c r="T105" s="39">
        <v>-1.7847692836192499E-3</v>
      </c>
      <c r="U105" s="39">
        <v>-7.15573371867783E-3</v>
      </c>
      <c r="V105" s="39">
        <v>-1.3475722232492099E-2</v>
      </c>
      <c r="W105" s="39">
        <v>-3.1037627226970701E-2</v>
      </c>
      <c r="X105" s="39">
        <v>-5.1682002040365202E-2</v>
      </c>
      <c r="Y105">
        <v>-0.100843654433002</v>
      </c>
      <c r="Z105">
        <v>-0.17023484260515401</v>
      </c>
      <c r="AA105">
        <v>-0.24969690006652001</v>
      </c>
      <c r="AB105">
        <v>-0.33939470175972097</v>
      </c>
      <c r="AC105">
        <v>-0.44613031224893801</v>
      </c>
      <c r="AD105" s="39">
        <v>-0.50734694271693503</v>
      </c>
      <c r="AE105" s="39">
        <v>-0.56821101608973601</v>
      </c>
      <c r="AF105" s="39">
        <v>-0.63213645587215594</v>
      </c>
      <c r="AG105" s="39">
        <v>-0.94308177702858698</v>
      </c>
      <c r="AH105">
        <v>-1.24754593741219</v>
      </c>
      <c r="AI105" s="39">
        <v>-1.3275969962997101</v>
      </c>
      <c r="AJ105" s="39">
        <v>-1.40369232971206</v>
      </c>
      <c r="AK105" s="39">
        <v>-1.47603035679078</v>
      </c>
      <c r="AL105" s="39">
        <v>-1.5621486623513099</v>
      </c>
      <c r="AM105" s="39">
        <v>-1.63362684755388</v>
      </c>
      <c r="AN105" s="39">
        <v>-1.72430586304046</v>
      </c>
      <c r="AO105">
        <v>-1.8182139363060099</v>
      </c>
      <c r="AP105">
        <v>-1.91026679098241</v>
      </c>
      <c r="AQ105">
        <v>-2.00358321453961</v>
      </c>
      <c r="AR105">
        <v>-2.0959910246563802</v>
      </c>
      <c r="AS105">
        <v>-2.19900248639075</v>
      </c>
      <c r="AT105">
        <v>-2.3018179780947201</v>
      </c>
      <c r="AU105">
        <v>-2.4031030969449501</v>
      </c>
      <c r="AV105">
        <v>-2.5013160115307498</v>
      </c>
      <c r="AW105">
        <v>-2.5959799958250702</v>
      </c>
    </row>
    <row r="106" spans="2:49" x14ac:dyDescent="0.25">
      <c r="B106" t="s">
        <v>513</v>
      </c>
      <c r="C106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-0.27303137919392201</v>
      </c>
      <c r="T106" s="39">
        <v>-0.35331331958485801</v>
      </c>
      <c r="U106">
        <v>-0.36128797321226502</v>
      </c>
      <c r="V106" s="39">
        <v>-0.173417451378998</v>
      </c>
      <c r="W106" s="39">
        <v>0.407161970562541</v>
      </c>
      <c r="X106">
        <v>0.411481198618246</v>
      </c>
      <c r="Y106">
        <v>5.9813880620773703E-2</v>
      </c>
      <c r="Z106">
        <v>-8.4433330041355698E-2</v>
      </c>
      <c r="AA106">
        <v>-0.13681259934416001</v>
      </c>
      <c r="AB106">
        <v>-0.40038369001803498</v>
      </c>
      <c r="AC106">
        <v>-0.67150300244664896</v>
      </c>
      <c r="AD106">
        <v>-0.24882744019907299</v>
      </c>
      <c r="AE106">
        <v>-8.2420106462954806E-2</v>
      </c>
      <c r="AF106">
        <v>-0.12779379784181299</v>
      </c>
      <c r="AG106">
        <v>-0.360048850358274</v>
      </c>
      <c r="AH106">
        <v>-0.42514742800285799</v>
      </c>
      <c r="AI106">
        <v>-0.44389904499342298</v>
      </c>
      <c r="AJ106">
        <v>-0.56677856497276902</v>
      </c>
      <c r="AK106">
        <v>-0.69522554221923505</v>
      </c>
      <c r="AL106">
        <v>-0.95800318368124404</v>
      </c>
      <c r="AM106">
        <v>-1.07741368499364</v>
      </c>
      <c r="AN106">
        <v>-0.85816137808307702</v>
      </c>
      <c r="AO106">
        <v>-0.87740990935125596</v>
      </c>
      <c r="AP106">
        <v>-0.93543268256398504</v>
      </c>
      <c r="AQ106">
        <v>-1.02174173694937</v>
      </c>
      <c r="AR106">
        <v>-1.16954989899908</v>
      </c>
      <c r="AS106">
        <v>-1.5343230671557899</v>
      </c>
      <c r="AT106">
        <v>-1.63211468313357</v>
      </c>
      <c r="AU106">
        <v>-1.65779144598924</v>
      </c>
      <c r="AV106">
        <v>-1.68602848005012</v>
      </c>
      <c r="AW106">
        <v>-1.77647836981046</v>
      </c>
    </row>
    <row r="107" spans="2:49" x14ac:dyDescent="0.25">
      <c r="B107" t="s">
        <v>514</v>
      </c>
      <c r="C107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0.105057614989979</v>
      </c>
      <c r="T107" s="39">
        <v>0.13825215825692599</v>
      </c>
      <c r="U107">
        <v>0.14603022801443</v>
      </c>
      <c r="V107" s="39">
        <v>8.2024071713646104E-2</v>
      </c>
      <c r="W107" s="39">
        <v>-0.119560580825989</v>
      </c>
      <c r="X107">
        <v>-9.1885125360000694E-2</v>
      </c>
      <c r="Y107">
        <v>7.1908069331198796E-2</v>
      </c>
      <c r="Z107" s="39">
        <v>0.13637626222918001</v>
      </c>
      <c r="AA107">
        <v>0.151892977599107</v>
      </c>
      <c r="AB107">
        <v>0.26678854172722999</v>
      </c>
      <c r="AC107">
        <v>0.374130000848646</v>
      </c>
      <c r="AD107">
        <v>0.22542610230888899</v>
      </c>
      <c r="AE107">
        <v>0.155861808425065</v>
      </c>
      <c r="AF107">
        <v>0.157110122135874</v>
      </c>
      <c r="AG107">
        <v>0.13496316509175799</v>
      </c>
      <c r="AH107" s="39">
        <v>4.5196322921988497E-2</v>
      </c>
      <c r="AI107" s="39">
        <v>1.2123929553523E-2</v>
      </c>
      <c r="AJ107">
        <v>1.7183654576807102E-2</v>
      </c>
      <c r="AK107" s="39">
        <v>2.3424385120496199E-2</v>
      </c>
      <c r="AL107">
        <v>7.5656921421256906E-2</v>
      </c>
      <c r="AM107">
        <v>7.7866010750420003E-2</v>
      </c>
      <c r="AN107">
        <v>-2.3691425806736301E-2</v>
      </c>
      <c r="AO107">
        <v>-4.39197410723485E-2</v>
      </c>
      <c r="AP107">
        <v>-5.2944222733065198E-2</v>
      </c>
      <c r="AQ107">
        <v>-5.3184106079516499E-2</v>
      </c>
      <c r="AR107">
        <v>-3.4842539538805499E-2</v>
      </c>
      <c r="AS107">
        <v>7.1930627252540694E-2</v>
      </c>
      <c r="AT107">
        <v>8.3956054779524197E-2</v>
      </c>
      <c r="AU107">
        <v>7.0134575259792706E-2</v>
      </c>
      <c r="AV107">
        <v>5.7189426657292597E-2</v>
      </c>
      <c r="AW107">
        <v>6.6472429949939599E-2</v>
      </c>
    </row>
    <row r="108" spans="2:49" x14ac:dyDescent="0.25">
      <c r="B108" t="s">
        <v>515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-3.8465899999992601E-3</v>
      </c>
      <c r="T108" s="39">
        <v>-1.8596480000000699E-2</v>
      </c>
      <c r="U108" s="39">
        <v>-4.4773350000000503E-2</v>
      </c>
      <c r="V108" s="39">
        <v>-9.0693469999999998E-2</v>
      </c>
      <c r="W108" s="39">
        <v>-0.17226568</v>
      </c>
      <c r="X108">
        <v>-0.246253789999999</v>
      </c>
      <c r="Y108">
        <v>-0.31402123999999998</v>
      </c>
      <c r="Z108">
        <v>-0.43498438</v>
      </c>
      <c r="AA108">
        <v>-0.54500472999999905</v>
      </c>
      <c r="AB108">
        <v>-0.56677150999999903</v>
      </c>
      <c r="AC108">
        <v>-0.51130819999999999</v>
      </c>
      <c r="AD108" s="39">
        <v>-0.519792170000001</v>
      </c>
      <c r="AE108">
        <v>-0.61501240999999995</v>
      </c>
      <c r="AF108">
        <v>-0.67515674000000003</v>
      </c>
      <c r="AG108">
        <v>-0.67170216999999999</v>
      </c>
      <c r="AH108">
        <v>-0.64003314</v>
      </c>
      <c r="AI108">
        <v>-0.62919962999999901</v>
      </c>
      <c r="AJ108">
        <v>-0.64233102999999903</v>
      </c>
      <c r="AK108" s="39">
        <v>-0.65380174000000102</v>
      </c>
      <c r="AL108">
        <v>-0.64255755999999897</v>
      </c>
      <c r="AM108" s="39">
        <v>-0.60216396000000005</v>
      </c>
      <c r="AN108" s="39">
        <v>-0.63326111999999901</v>
      </c>
      <c r="AO108">
        <v>-0.69499692000000002</v>
      </c>
      <c r="AP108">
        <v>-0.73784513999999901</v>
      </c>
      <c r="AQ108">
        <v>-0.77046204999999901</v>
      </c>
      <c r="AR108">
        <v>-0.79465052000000003</v>
      </c>
      <c r="AS108" s="39">
        <v>-0.77399858999999904</v>
      </c>
      <c r="AT108" s="39">
        <v>-0.72153754000000003</v>
      </c>
      <c r="AU108">
        <v>-0.69386939999999897</v>
      </c>
      <c r="AV108">
        <v>-0.68700176999999996</v>
      </c>
      <c r="AW108">
        <v>-0.67579871000000002</v>
      </c>
    </row>
    <row r="109" spans="2:49" x14ac:dyDescent="0.25">
      <c r="B109" t="s">
        <v>516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6.2927186504690901E-3</v>
      </c>
      <c r="T109" s="39">
        <v>3.0429920596231001E-2</v>
      </c>
      <c r="U109" s="39">
        <v>7.3284347416535597E-2</v>
      </c>
      <c r="V109" s="39">
        <v>0.14850071550598301</v>
      </c>
      <c r="W109" s="39">
        <v>0.28223518748049498</v>
      </c>
      <c r="X109">
        <v>0.40367014731925699</v>
      </c>
      <c r="Y109">
        <v>0.51500629033882594</v>
      </c>
      <c r="Z109">
        <v>0.71391929229698203</v>
      </c>
      <c r="AA109">
        <v>0.89506131252643495</v>
      </c>
      <c r="AB109">
        <v>0.93099189791121495</v>
      </c>
      <c r="AC109">
        <v>0.839745038951766</v>
      </c>
      <c r="AD109">
        <v>0.85372245662971302</v>
      </c>
      <c r="AE109">
        <v>1.01047296280585</v>
      </c>
      <c r="AF109">
        <v>1.10947466766895</v>
      </c>
      <c r="AG109">
        <v>1.1036259766655301</v>
      </c>
      <c r="AH109">
        <v>1.0513040830162801</v>
      </c>
      <c r="AI109">
        <v>1.03331830581581</v>
      </c>
      <c r="AJ109">
        <v>1.0547981154517001</v>
      </c>
      <c r="AK109">
        <v>1.0735983354030101</v>
      </c>
      <c r="AL109">
        <v>1.0550311531354499</v>
      </c>
      <c r="AM109">
        <v>0.98849631733857102</v>
      </c>
      <c r="AN109">
        <v>1.0397291286587</v>
      </c>
      <c r="AO109">
        <v>1.14157243484531</v>
      </c>
      <c r="AP109">
        <v>1.2123548295909401</v>
      </c>
      <c r="AQ109">
        <v>1.26626594044956</v>
      </c>
      <c r="AR109">
        <v>1.3062757551778501</v>
      </c>
      <c r="AS109">
        <v>1.272333436124</v>
      </c>
      <c r="AT109">
        <v>1.1859255181525299</v>
      </c>
      <c r="AU109">
        <v>1.1403784945291</v>
      </c>
      <c r="AV109">
        <v>1.1291000748875999</v>
      </c>
      <c r="AW109">
        <v>1.1105610596227899</v>
      </c>
    </row>
    <row r="110" spans="2:49" x14ac:dyDescent="0.25">
      <c r="B110" t="s">
        <v>517</v>
      </c>
      <c r="C110" s="39">
        <v>0</v>
      </c>
      <c r="D110" s="39">
        <v>0</v>
      </c>
      <c r="E110" s="39">
        <v>0</v>
      </c>
      <c r="F110" s="39">
        <v>0</v>
      </c>
      <c r="G110" s="39">
        <v>0</v>
      </c>
      <c r="H110" s="39">
        <v>0</v>
      </c>
      <c r="I110" s="39">
        <v>0</v>
      </c>
      <c r="J110" s="39">
        <v>0</v>
      </c>
      <c r="K110" s="39">
        <v>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3.0815307680009899E-3</v>
      </c>
      <c r="T110" s="39">
        <v>2.64591197150831E-2</v>
      </c>
      <c r="U110" s="39">
        <v>6.3910301909730904E-2</v>
      </c>
      <c r="V110" s="39">
        <v>0.15000823130379901</v>
      </c>
      <c r="W110">
        <v>0.27023949195514801</v>
      </c>
      <c r="X110">
        <v>0.31771945166176802</v>
      </c>
      <c r="Y110">
        <v>0.499440188949829</v>
      </c>
      <c r="Z110">
        <v>0.75667986152447797</v>
      </c>
      <c r="AA110">
        <v>1.0166624387182901</v>
      </c>
      <c r="AB110">
        <v>1.19628341919424</v>
      </c>
      <c r="AC110">
        <v>1.34253326509412</v>
      </c>
      <c r="AD110">
        <v>1.5533374991953901</v>
      </c>
      <c r="AE110">
        <v>1.6629389129621599</v>
      </c>
      <c r="AF110">
        <v>1.7784292378393001</v>
      </c>
      <c r="AG110">
        <v>1.8823581463727399</v>
      </c>
      <c r="AH110">
        <v>1.96725954385557</v>
      </c>
      <c r="AI110">
        <v>2.03416521148718</v>
      </c>
      <c r="AJ110">
        <v>2.0704887103706699</v>
      </c>
      <c r="AK110">
        <v>2.11660261491906</v>
      </c>
      <c r="AL110">
        <v>2.1041974425232501</v>
      </c>
      <c r="AM110">
        <v>2.1626111956513498</v>
      </c>
      <c r="AN110" s="39">
        <v>2.19792990846801</v>
      </c>
      <c r="AO110">
        <v>2.2353124495877399</v>
      </c>
      <c r="AP110">
        <v>2.3210301361168399</v>
      </c>
      <c r="AQ110">
        <v>2.42127315179716</v>
      </c>
      <c r="AR110">
        <v>2.5213991721169702</v>
      </c>
      <c r="AS110">
        <v>2.5537393289405999</v>
      </c>
      <c r="AT110">
        <v>2.6004582111816199</v>
      </c>
      <c r="AU110">
        <v>2.6084791370651201</v>
      </c>
      <c r="AV110">
        <v>2.5984897932116402</v>
      </c>
      <c r="AW110">
        <v>2.5703917802023901</v>
      </c>
    </row>
    <row r="111" spans="2:49" x14ac:dyDescent="0.25">
      <c r="B111" t="s">
        <v>518</v>
      </c>
      <c r="C111" s="39">
        <v>0</v>
      </c>
      <c r="D111" s="39">
        <v>0</v>
      </c>
      <c r="E111" s="39">
        <v>0</v>
      </c>
      <c r="F111" s="39">
        <v>0</v>
      </c>
      <c r="G111" s="39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1.0206119999999899E-4</v>
      </c>
      <c r="T111" s="39">
        <v>2.2337700000003101E-5</v>
      </c>
      <c r="U111" s="39">
        <v>-1.06601000000004E-5</v>
      </c>
      <c r="V111" s="39">
        <v>-1.6085839999999799E-4</v>
      </c>
      <c r="W111" s="39">
        <v>-3.7344280000000101E-4</v>
      </c>
      <c r="X111" s="39">
        <v>7.3578940000000202E-4</v>
      </c>
      <c r="Y111" s="39">
        <v>2.0837313999999998E-3</v>
      </c>
      <c r="Z111" s="39">
        <v>1.3920566E-3</v>
      </c>
      <c r="AA111" s="39">
        <v>1.224239E-3</v>
      </c>
      <c r="AB111" s="39">
        <v>2.2153770999999902E-3</v>
      </c>
      <c r="AC111" s="39">
        <v>2.3874058999999999E-3</v>
      </c>
      <c r="AD111" s="39">
        <v>1.7987401999999899E-3</v>
      </c>
      <c r="AE111" s="39">
        <v>1.34291019999999E-3</v>
      </c>
      <c r="AF111" s="39">
        <v>1.3403525999999999E-3</v>
      </c>
      <c r="AG111" s="39">
        <v>1.4559603E-3</v>
      </c>
      <c r="AH111" s="39">
        <v>1.2415702000000001E-3</v>
      </c>
      <c r="AI111" s="39">
        <v>1.0674681000000001E-3</v>
      </c>
      <c r="AJ111" s="39">
        <v>1.0345884999999899E-3</v>
      </c>
      <c r="AK111" s="39">
        <v>1.003405E-3</v>
      </c>
      <c r="AL111" s="39">
        <v>1.4973607999999999E-3</v>
      </c>
      <c r="AM111" s="39">
        <v>1.30262699999999E-3</v>
      </c>
      <c r="AN111" s="39">
        <v>1.4036802000000001E-3</v>
      </c>
      <c r="AO111" s="39">
        <v>1.4164041E-3</v>
      </c>
      <c r="AP111" s="39">
        <v>1.3693570999999999E-3</v>
      </c>
      <c r="AQ111" s="39">
        <v>1.3731119999999899E-3</v>
      </c>
      <c r="AR111" s="39">
        <v>1.2771352999999899E-3</v>
      </c>
      <c r="AS111" s="39">
        <v>1.4427929999999999E-3</v>
      </c>
      <c r="AT111" s="39">
        <v>1.46588259999999E-3</v>
      </c>
      <c r="AU111" s="39">
        <v>1.4182035E-3</v>
      </c>
      <c r="AV111" s="39">
        <v>1.3277668999999901E-3</v>
      </c>
      <c r="AW111" s="39">
        <v>1.2727993999999999E-3</v>
      </c>
    </row>
    <row r="112" spans="2:49" x14ac:dyDescent="0.25">
      <c r="B112" t="s">
        <v>519</v>
      </c>
      <c r="C112" s="39">
        <v>0</v>
      </c>
      <c r="D112" s="39">
        <v>0</v>
      </c>
      <c r="E112" s="39">
        <v>0</v>
      </c>
      <c r="F112" s="39">
        <v>0</v>
      </c>
      <c r="G112" s="39">
        <v>0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1.02061099999998E-4</v>
      </c>
      <c r="T112" s="39">
        <v>2.2337699999999601E-5</v>
      </c>
      <c r="U112" s="39">
        <v>-1.06601000000004E-5</v>
      </c>
      <c r="V112" s="39">
        <v>-1.60858400000001E-4</v>
      </c>
      <c r="W112" s="39">
        <v>-3.7344279999999798E-4</v>
      </c>
      <c r="X112" s="39">
        <v>7.3578939999999898E-4</v>
      </c>
      <c r="Y112" s="39">
        <v>2.0837313999999998E-3</v>
      </c>
      <c r="Z112" s="39">
        <v>1.3920567E-3</v>
      </c>
      <c r="AA112" s="39">
        <v>1.224239E-3</v>
      </c>
      <c r="AB112" s="39">
        <v>2.2153770999999902E-3</v>
      </c>
      <c r="AC112" s="39">
        <v>2.3874057999999998E-3</v>
      </c>
      <c r="AD112" s="39">
        <v>1.7987401999999899E-3</v>
      </c>
      <c r="AE112" s="39">
        <v>1.34291019999999E-3</v>
      </c>
      <c r="AF112" s="39">
        <v>1.3403525999999999E-3</v>
      </c>
      <c r="AG112" s="39">
        <v>1.4559603E-3</v>
      </c>
      <c r="AH112" s="39">
        <v>1.2415700999999901E-3</v>
      </c>
      <c r="AI112" s="39">
        <v>1.0674681000000001E-3</v>
      </c>
      <c r="AJ112" s="39">
        <v>1.0345884000000001E-3</v>
      </c>
      <c r="AK112" s="39">
        <v>1.00340489999999E-3</v>
      </c>
      <c r="AL112" s="39">
        <v>1.49736089999999E-3</v>
      </c>
      <c r="AM112" s="39">
        <v>1.302627E-3</v>
      </c>
      <c r="AN112" s="39">
        <v>1.4036802000000001E-3</v>
      </c>
      <c r="AO112" s="39">
        <v>1.416404E-3</v>
      </c>
      <c r="AP112" s="39">
        <v>1.3693570999999899E-3</v>
      </c>
      <c r="AQ112" s="39">
        <v>1.3731119999999899E-3</v>
      </c>
      <c r="AR112" s="39">
        <v>1.2771353000000001E-3</v>
      </c>
      <c r="AS112" s="39">
        <v>1.44279309999999E-3</v>
      </c>
      <c r="AT112" s="39">
        <v>1.4658825999999999E-3</v>
      </c>
      <c r="AU112" s="39">
        <v>1.4182036E-3</v>
      </c>
      <c r="AV112" s="39">
        <v>1.3277667999999901E-3</v>
      </c>
      <c r="AW112" s="39">
        <v>1.2727993999999999E-3</v>
      </c>
    </row>
    <row r="113" spans="2:50" x14ac:dyDescent="0.25">
      <c r="B113" t="s">
        <v>520</v>
      </c>
      <c r="C113">
        <v>0</v>
      </c>
      <c r="D113" s="39">
        <v>0</v>
      </c>
      <c r="E113" s="39">
        <v>0</v>
      </c>
      <c r="F113" s="39">
        <v>0</v>
      </c>
      <c r="G113" s="39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2.1042810921068002E-2</v>
      </c>
      <c r="T113">
        <v>1.5015303863830101E-3</v>
      </c>
      <c r="U113" s="39">
        <v>-6.6744811092989104E-2</v>
      </c>
      <c r="V113">
        <v>-0.25243329692312599</v>
      </c>
      <c r="W113">
        <v>-0.60916318497003996</v>
      </c>
      <c r="X113">
        <v>-1.03864780433975</v>
      </c>
      <c r="Y113">
        <v>-1.7301958126233901</v>
      </c>
      <c r="Z113">
        <v>-2.3515186092198901</v>
      </c>
      <c r="AA113">
        <v>-2.9429751156653898</v>
      </c>
      <c r="AB113">
        <v>-3.5333677352775901</v>
      </c>
      <c r="AC113">
        <v>-4.0408043664314297</v>
      </c>
      <c r="AD113">
        <v>-4.8960609215200801</v>
      </c>
      <c r="AE113">
        <v>-5.6302851825500397</v>
      </c>
      <c r="AF113">
        <v>-6.2589115767432304</v>
      </c>
      <c r="AG113">
        <v>-6.6167994416669904</v>
      </c>
      <c r="AH113">
        <v>-6.83908901396146</v>
      </c>
      <c r="AI113">
        <v>-7.1215098061485396</v>
      </c>
      <c r="AJ113">
        <v>-7.3483831786045499</v>
      </c>
      <c r="AK113">
        <v>-7.5309256549089998</v>
      </c>
      <c r="AL113">
        <v>-7.6054632405120302</v>
      </c>
      <c r="AM113">
        <v>-7.6535240894899301</v>
      </c>
      <c r="AN113">
        <v>-8.1287998466025702</v>
      </c>
      <c r="AO113">
        <v>-8.5847231048580497</v>
      </c>
      <c r="AP113">
        <v>-9.0353399454550001</v>
      </c>
      <c r="AQ113">
        <v>-9.4810507546530598</v>
      </c>
      <c r="AR113">
        <v>-9.8474509018595402</v>
      </c>
      <c r="AS113">
        <v>-9.9416914065282302</v>
      </c>
      <c r="AT113">
        <v>-10.1191330920047</v>
      </c>
      <c r="AU113">
        <v>-10.333241197320801</v>
      </c>
      <c r="AV113">
        <v>-10.543295714355001</v>
      </c>
      <c r="AW113">
        <v>-10.6163813608747</v>
      </c>
    </row>
    <row r="114" spans="2:50" x14ac:dyDescent="0.25">
      <c r="B114" t="s">
        <v>521</v>
      </c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39">
        <v>3.44747299999996E-2</v>
      </c>
      <c r="T114" s="39">
        <v>2.2883219999999999E-2</v>
      </c>
      <c r="U114" s="39">
        <v>2.4976600000003999E-3</v>
      </c>
      <c r="V114" s="39">
        <v>-3.7788839999999803E-2</v>
      </c>
      <c r="W114">
        <v>-2.5867739999999698E-2</v>
      </c>
      <c r="X114" s="39">
        <v>-0.132528849999999</v>
      </c>
      <c r="Y114">
        <v>-0.15985489</v>
      </c>
      <c r="Z114">
        <v>-0.25605522000000103</v>
      </c>
      <c r="AA114">
        <v>-0.31300024999999998</v>
      </c>
      <c r="AB114">
        <v>-0.42222653999999998</v>
      </c>
      <c r="AC114">
        <v>-0.41996976000000102</v>
      </c>
      <c r="AD114">
        <v>-0.39841246000000002</v>
      </c>
      <c r="AE114">
        <v>-0.49877918999999898</v>
      </c>
      <c r="AF114">
        <v>-0.53793236999999905</v>
      </c>
      <c r="AG114">
        <v>-0.50191378999999903</v>
      </c>
      <c r="AH114">
        <v>-0.42486810000000003</v>
      </c>
      <c r="AI114">
        <v>-0.35062904</v>
      </c>
      <c r="AJ114">
        <v>-0.32595337999999902</v>
      </c>
      <c r="AK114">
        <v>-0.29756684999999999</v>
      </c>
      <c r="AL114">
        <v>-0.31005573999999902</v>
      </c>
      <c r="AM114">
        <v>-0.17204950999999899</v>
      </c>
      <c r="AN114">
        <v>-0.28740365000000101</v>
      </c>
      <c r="AO114">
        <v>-0.347199919999999</v>
      </c>
      <c r="AP114">
        <v>-0.38185792000000002</v>
      </c>
      <c r="AQ114">
        <v>-0.40255653000000002</v>
      </c>
      <c r="AR114">
        <v>-0.40588285000000002</v>
      </c>
      <c r="AS114">
        <v>-0.37387588999999999</v>
      </c>
      <c r="AT114">
        <v>-0.31659911999999901</v>
      </c>
      <c r="AU114">
        <v>-0.29847499999999899</v>
      </c>
      <c r="AV114">
        <v>-0.29757550999999899</v>
      </c>
      <c r="AW114">
        <v>-0.28160354999999998</v>
      </c>
    </row>
    <row r="115" spans="2:50" x14ac:dyDescent="0.25">
      <c r="B115" s="40" t="s">
        <v>486</v>
      </c>
      <c r="C115">
        <v>96.864644472622402</v>
      </c>
      <c r="D115">
        <v>98.419837671387299</v>
      </c>
      <c r="E115">
        <v>100.025729854421</v>
      </c>
      <c r="F115">
        <v>99.986100932218406</v>
      </c>
      <c r="G115">
        <v>95.510762233035905</v>
      </c>
      <c r="H115">
        <v>90.899575889821193</v>
      </c>
      <c r="I115">
        <v>89.747602551601801</v>
      </c>
      <c r="J115">
        <v>87.661336350171695</v>
      </c>
      <c r="K115">
        <v>84.456726875613597</v>
      </c>
      <c r="L115">
        <v>82.422418821411597</v>
      </c>
      <c r="M115">
        <v>81.727569849173506</v>
      </c>
      <c r="N115">
        <v>81.840284076040106</v>
      </c>
      <c r="O115">
        <v>79.8489522925356</v>
      </c>
      <c r="P115">
        <v>78.052244320037005</v>
      </c>
      <c r="Q115">
        <v>75.091974714631405</v>
      </c>
      <c r="R115">
        <v>73.168302797143795</v>
      </c>
      <c r="S115">
        <v>71.083016105665493</v>
      </c>
      <c r="T115">
        <v>70.105600445092804</v>
      </c>
      <c r="U115">
        <v>68.7349183105067</v>
      </c>
      <c r="V115">
        <v>67.391174525402207</v>
      </c>
      <c r="W115">
        <v>65.345799686636298</v>
      </c>
      <c r="X115">
        <v>62.836410261938497</v>
      </c>
      <c r="Y115">
        <v>60.126369996251299</v>
      </c>
      <c r="Z115">
        <v>57.638327126090502</v>
      </c>
      <c r="AA115">
        <v>55.238315419040397</v>
      </c>
      <c r="AB115">
        <v>52.773785109567399</v>
      </c>
      <c r="AC115">
        <v>50.378612780728602</v>
      </c>
      <c r="AD115">
        <v>47.1098704571477</v>
      </c>
      <c r="AE115">
        <v>43.935126028858498</v>
      </c>
      <c r="AF115">
        <v>40.829310332033202</v>
      </c>
      <c r="AG115">
        <v>38.236348407334098</v>
      </c>
      <c r="AH115">
        <v>35.695046006672101</v>
      </c>
      <c r="AI115">
        <v>33.082403979351497</v>
      </c>
      <c r="AJ115">
        <v>30.503622091719201</v>
      </c>
      <c r="AK115">
        <v>27.940067883693398</v>
      </c>
      <c r="AL115">
        <v>26.620997108859001</v>
      </c>
      <c r="AM115">
        <v>25.181933152428702</v>
      </c>
      <c r="AN115">
        <v>23.264237465932499</v>
      </c>
      <c r="AO115">
        <v>21.331425926946501</v>
      </c>
      <c r="AP115">
        <v>19.3712435005476</v>
      </c>
      <c r="AQ115">
        <v>17.371658919292202</v>
      </c>
      <c r="AR115">
        <v>15.282661197365201</v>
      </c>
      <c r="AS115">
        <v>15.127615981044601</v>
      </c>
      <c r="AT115">
        <v>14.9821607685129</v>
      </c>
      <c r="AU115">
        <v>14.836389190121199</v>
      </c>
      <c r="AV115">
        <v>14.683096867203499</v>
      </c>
      <c r="AW115">
        <v>14.5286406279844</v>
      </c>
      <c r="AX115">
        <v>9.0244863402317499</v>
      </c>
    </row>
    <row r="116" spans="2:50" x14ac:dyDescent="0.25">
      <c r="B116" t="s">
        <v>522</v>
      </c>
      <c r="C116">
        <v>0</v>
      </c>
      <c r="D116" s="39">
        <v>0</v>
      </c>
      <c r="E116" s="39">
        <v>0</v>
      </c>
      <c r="F116" s="39">
        <v>0</v>
      </c>
      <c r="G116" s="39">
        <v>0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39">
        <v>1.21424084773558E-3</v>
      </c>
      <c r="T116" s="39">
        <v>3.4315456359901297E-2</v>
      </c>
      <c r="U116" s="39">
        <v>9.4939028665685904E-2</v>
      </c>
      <c r="V116" s="39">
        <v>0.24295904843611901</v>
      </c>
      <c r="W116">
        <v>0.57776448549276005</v>
      </c>
      <c r="X116">
        <v>0.78718800469861305</v>
      </c>
      <c r="Y116">
        <v>1.1052966617286</v>
      </c>
      <c r="Z116">
        <v>1.3228781547645501</v>
      </c>
      <c r="AA116">
        <v>1.4856492848596099</v>
      </c>
      <c r="AB116">
        <v>1.46598604386734</v>
      </c>
      <c r="AC116">
        <v>1.37422522000341</v>
      </c>
      <c r="AD116">
        <v>1.6447422901292501</v>
      </c>
      <c r="AE116">
        <v>1.7919868352155299</v>
      </c>
      <c r="AF116">
        <v>1.8429417146832201</v>
      </c>
      <c r="AG116" s="39">
        <v>1.72564347843988</v>
      </c>
      <c r="AH116" s="39">
        <v>1.5981506146370299</v>
      </c>
      <c r="AI116">
        <v>1.59598090986719</v>
      </c>
      <c r="AJ116">
        <v>1.5815863756950099</v>
      </c>
      <c r="AK116">
        <v>1.5654634003661601</v>
      </c>
      <c r="AL116" s="39">
        <v>1.4356281811269</v>
      </c>
      <c r="AM116">
        <v>1.40122599825691</v>
      </c>
      <c r="AN116">
        <v>1.5229529969826801</v>
      </c>
      <c r="AO116">
        <v>1.6043667003112501</v>
      </c>
      <c r="AP116">
        <v>1.669865054747</v>
      </c>
      <c r="AQ116">
        <v>1.7220300754881599</v>
      </c>
      <c r="AR116">
        <v>1.7360655625119701</v>
      </c>
      <c r="AS116">
        <v>1.5971550082977299</v>
      </c>
      <c r="AT116">
        <v>1.5340260793636999</v>
      </c>
      <c r="AU116">
        <v>1.50546035759486</v>
      </c>
      <c r="AV116">
        <v>1.4839763722297801</v>
      </c>
      <c r="AW116">
        <v>1.4121592545957899</v>
      </c>
    </row>
    <row r="117" spans="2:50" x14ac:dyDescent="0.25">
      <c r="B117" t="s">
        <v>523</v>
      </c>
      <c r="C117" s="39">
        <v>0</v>
      </c>
      <c r="D117" s="39">
        <v>0</v>
      </c>
      <c r="E117" s="39">
        <v>0</v>
      </c>
      <c r="F117" s="39">
        <v>0</v>
      </c>
      <c r="G117" s="39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-0.12834652639149799</v>
      </c>
      <c r="T117" s="39">
        <v>-0.150866937657234</v>
      </c>
      <c r="U117" s="39">
        <v>-8.0843279197728699E-2</v>
      </c>
      <c r="V117" s="39">
        <v>4.9768829940766098E-2</v>
      </c>
      <c r="W117" s="39">
        <v>0.81022398061187895</v>
      </c>
      <c r="X117">
        <v>1.3054916542291199</v>
      </c>
      <c r="Y117">
        <v>1.4614369489963199</v>
      </c>
      <c r="Z117">
        <v>1.6990119452603201</v>
      </c>
      <c r="AA117">
        <v>1.9235591220675201</v>
      </c>
      <c r="AB117">
        <v>1.8750524651901701</v>
      </c>
      <c r="AC117">
        <v>1.6486166005597001</v>
      </c>
      <c r="AD117">
        <v>1.7053119889814701</v>
      </c>
      <c r="AE117">
        <v>1.9997179928422799</v>
      </c>
      <c r="AF117">
        <v>2.0755614717678998</v>
      </c>
      <c r="AG117">
        <v>2.0012498517724802</v>
      </c>
      <c r="AH117">
        <v>1.9065288230195601</v>
      </c>
      <c r="AI117">
        <v>1.7068805696834799</v>
      </c>
      <c r="AJ117">
        <v>1.60870249478655</v>
      </c>
      <c r="AK117">
        <v>1.5084787521965</v>
      </c>
      <c r="AL117">
        <v>1.3077093568054801</v>
      </c>
      <c r="AM117">
        <v>1.21987707590443</v>
      </c>
      <c r="AN117">
        <v>1.2496858060549301</v>
      </c>
      <c r="AO117">
        <v>1.35624462055234</v>
      </c>
      <c r="AP117">
        <v>1.42428825544538</v>
      </c>
      <c r="AQ117">
        <v>1.46828942322041</v>
      </c>
      <c r="AR117">
        <v>1.54672329026039</v>
      </c>
      <c r="AS117">
        <v>1.51485006750169</v>
      </c>
      <c r="AT117">
        <v>1.426011544681</v>
      </c>
      <c r="AU117">
        <v>1.3913319633246799</v>
      </c>
      <c r="AV117">
        <v>1.38862234071386</v>
      </c>
      <c r="AW117">
        <v>1.27472611295451</v>
      </c>
    </row>
    <row r="118" spans="2:50" x14ac:dyDescent="0.25">
      <c r="B118" t="s">
        <v>524</v>
      </c>
      <c r="C118">
        <v>0</v>
      </c>
      <c r="D118" s="39">
        <v>0</v>
      </c>
      <c r="E118" s="39">
        <v>0</v>
      </c>
      <c r="F118" s="39">
        <v>0</v>
      </c>
      <c r="G118" s="39">
        <v>0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39">
        <v>-6.8441970389865298E-2</v>
      </c>
      <c r="T118">
        <v>6.4835578655975099E-2</v>
      </c>
      <c r="U118">
        <v>0.18852642535413999</v>
      </c>
      <c r="V118">
        <v>1.0159779145724399</v>
      </c>
      <c r="W118">
        <v>1.5757614777568401</v>
      </c>
      <c r="X118">
        <v>1.1976932051387099</v>
      </c>
      <c r="Y118">
        <v>2.0794865153431901</v>
      </c>
      <c r="Z118">
        <v>2.4667453153629499</v>
      </c>
      <c r="AA118">
        <v>2.7534212201138102</v>
      </c>
      <c r="AB118">
        <v>2.4644836339977299</v>
      </c>
      <c r="AC118">
        <v>2.36914439701598</v>
      </c>
      <c r="AD118">
        <v>4.8450652637834102</v>
      </c>
      <c r="AE118">
        <v>5.2016725365119498</v>
      </c>
      <c r="AF118">
        <v>5.3043176852490301</v>
      </c>
      <c r="AG118">
        <v>5.0029672942339003</v>
      </c>
      <c r="AH118">
        <v>5.0359216579425299</v>
      </c>
      <c r="AI118">
        <v>5.8439117629671902</v>
      </c>
      <c r="AJ118">
        <v>6.0150120000451004</v>
      </c>
      <c r="AK118">
        <v>6.16416865531379</v>
      </c>
      <c r="AL118">
        <v>5.7136023388379504</v>
      </c>
      <c r="AM118" s="39">
        <v>5.7225470609647298</v>
      </c>
      <c r="AN118">
        <v>7.0471174583204199</v>
      </c>
      <c r="AO118">
        <v>7.3522363798628598</v>
      </c>
      <c r="AP118">
        <v>7.6160575858199797</v>
      </c>
      <c r="AQ118">
        <v>7.8275923480982401</v>
      </c>
      <c r="AR118">
        <v>7.5563274687634197</v>
      </c>
      <c r="AS118">
        <v>6.2816859702037302</v>
      </c>
      <c r="AT118">
        <v>6.2295154225029403</v>
      </c>
      <c r="AU118">
        <v>6.3460952146833201</v>
      </c>
      <c r="AV118">
        <v>6.3835861710454402</v>
      </c>
      <c r="AW118" s="39">
        <v>6.35285139531178</v>
      </c>
    </row>
    <row r="119" spans="2:50" x14ac:dyDescent="0.25">
      <c r="B119" t="s">
        <v>525</v>
      </c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1.3288150849888299E-3</v>
      </c>
      <c r="T119" s="39">
        <v>-1.7847692836192499E-3</v>
      </c>
      <c r="U119" s="39">
        <v>-7.15573371867783E-3</v>
      </c>
      <c r="V119" s="39">
        <v>-1.3475722232492099E-2</v>
      </c>
      <c r="W119" s="39">
        <v>-3.1037627226970701E-2</v>
      </c>
      <c r="X119" s="39">
        <v>-5.1682002040365202E-2</v>
      </c>
      <c r="Y119">
        <v>-0.100843654433002</v>
      </c>
      <c r="Z119">
        <v>-0.17023484260515401</v>
      </c>
      <c r="AA119">
        <v>-0.24969690006652001</v>
      </c>
      <c r="AB119">
        <v>-0.33939470175972097</v>
      </c>
      <c r="AC119">
        <v>-0.44613031224893801</v>
      </c>
      <c r="AD119" s="39">
        <v>-0.50734694271693503</v>
      </c>
      <c r="AE119" s="39">
        <v>-0.56821101608973601</v>
      </c>
      <c r="AF119" s="39">
        <v>-0.63213645587215594</v>
      </c>
      <c r="AG119" s="39">
        <v>-0.94308177702858698</v>
      </c>
      <c r="AH119">
        <v>-1.24754593741219</v>
      </c>
      <c r="AI119" s="39">
        <v>-1.3275969962997101</v>
      </c>
      <c r="AJ119" s="39">
        <v>-1.40369232971206</v>
      </c>
      <c r="AK119" s="39">
        <v>-1.47603035679078</v>
      </c>
      <c r="AL119" s="39">
        <v>-1.5621486623513099</v>
      </c>
      <c r="AM119" s="39">
        <v>-1.63362684755388</v>
      </c>
      <c r="AN119" s="39">
        <v>-1.72430586304046</v>
      </c>
      <c r="AO119">
        <v>-1.8182139363060099</v>
      </c>
      <c r="AP119">
        <v>-1.91026679098241</v>
      </c>
      <c r="AQ119">
        <v>-2.00358321453961</v>
      </c>
      <c r="AR119">
        <v>-2.0959910246563802</v>
      </c>
      <c r="AS119">
        <v>-2.19900248639075</v>
      </c>
      <c r="AT119">
        <v>-2.3018179780947201</v>
      </c>
      <c r="AU119">
        <v>-2.4031030969449501</v>
      </c>
      <c r="AV119">
        <v>-2.5013160115307498</v>
      </c>
      <c r="AW119">
        <v>-2.5959799958250702</v>
      </c>
    </row>
    <row r="120" spans="2:50" x14ac:dyDescent="0.25">
      <c r="B120" t="s">
        <v>526</v>
      </c>
      <c r="C120">
        <v>0</v>
      </c>
      <c r="D120" s="39">
        <v>0</v>
      </c>
      <c r="E120" s="39">
        <v>0</v>
      </c>
      <c r="F120" s="39">
        <v>0</v>
      </c>
      <c r="G120" s="39">
        <v>0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-0.27303137919392201</v>
      </c>
      <c r="T120" s="39">
        <v>-0.35331331958485801</v>
      </c>
      <c r="U120">
        <v>-0.36128797321226502</v>
      </c>
      <c r="V120" s="39">
        <v>-0.173417451378998</v>
      </c>
      <c r="W120" s="39">
        <v>0.407161970562541</v>
      </c>
      <c r="X120">
        <v>0.411481198618246</v>
      </c>
      <c r="Y120">
        <v>5.9813880620773703E-2</v>
      </c>
      <c r="Z120">
        <v>-8.4433330041355698E-2</v>
      </c>
      <c r="AA120">
        <v>-0.13681259934416001</v>
      </c>
      <c r="AB120">
        <v>-0.40038369001803498</v>
      </c>
      <c r="AC120">
        <v>-0.67150300244664896</v>
      </c>
      <c r="AD120">
        <v>-0.24882744019907299</v>
      </c>
      <c r="AE120">
        <v>-8.2420106462954806E-2</v>
      </c>
      <c r="AF120">
        <v>-0.12779379784181299</v>
      </c>
      <c r="AG120">
        <v>-0.360048850358274</v>
      </c>
      <c r="AH120">
        <v>-0.42514742800285799</v>
      </c>
      <c r="AI120">
        <v>-0.44389904499342298</v>
      </c>
      <c r="AJ120">
        <v>-0.56677856497276902</v>
      </c>
      <c r="AK120">
        <v>-0.69522554221923505</v>
      </c>
      <c r="AL120">
        <v>-0.95800318368124404</v>
      </c>
      <c r="AM120">
        <v>-1.07741368499364</v>
      </c>
      <c r="AN120">
        <v>-0.85816137808307702</v>
      </c>
      <c r="AO120">
        <v>-0.87740990935125596</v>
      </c>
      <c r="AP120">
        <v>-0.93543268256398504</v>
      </c>
      <c r="AQ120">
        <v>-1.02174173694937</v>
      </c>
      <c r="AR120">
        <v>-1.16954989899908</v>
      </c>
      <c r="AS120">
        <v>-1.5343230671557899</v>
      </c>
      <c r="AT120">
        <v>-1.63211468313357</v>
      </c>
      <c r="AU120">
        <v>-1.65779144598924</v>
      </c>
      <c r="AV120">
        <v>-1.68602848005012</v>
      </c>
      <c r="AW120">
        <v>-1.77647836981046</v>
      </c>
    </row>
    <row r="121" spans="2:50" x14ac:dyDescent="0.25">
      <c r="B121" t="s">
        <v>527</v>
      </c>
      <c r="C121" s="39">
        <v>0</v>
      </c>
      <c r="D121" s="39">
        <v>0</v>
      </c>
      <c r="E121" s="39">
        <v>0</v>
      </c>
      <c r="F121" s="39">
        <v>0</v>
      </c>
      <c r="G121" s="39">
        <v>0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39">
        <v>-3.8465899999992601E-3</v>
      </c>
      <c r="T121" s="39">
        <v>-1.8596480000000699E-2</v>
      </c>
      <c r="U121" s="39">
        <v>-4.4773350000000503E-2</v>
      </c>
      <c r="V121" s="39">
        <v>-9.0693469999999998E-2</v>
      </c>
      <c r="W121" s="39">
        <v>-0.17226568</v>
      </c>
      <c r="X121">
        <v>-0.246253789999999</v>
      </c>
      <c r="Y121">
        <v>-0.31402123999999998</v>
      </c>
      <c r="Z121">
        <v>-0.43498438</v>
      </c>
      <c r="AA121">
        <v>-0.54500472999999905</v>
      </c>
      <c r="AB121">
        <v>-0.56677150999999903</v>
      </c>
      <c r="AC121">
        <v>-0.51130819999999999</v>
      </c>
      <c r="AD121" s="39">
        <v>-0.519792170000001</v>
      </c>
      <c r="AE121">
        <v>-0.61501240999999995</v>
      </c>
      <c r="AF121">
        <v>-0.67515674000000003</v>
      </c>
      <c r="AG121">
        <v>-0.67170216999999999</v>
      </c>
      <c r="AH121">
        <v>-0.64003314</v>
      </c>
      <c r="AI121">
        <v>-0.62919962999999901</v>
      </c>
      <c r="AJ121">
        <v>-0.64233102999999903</v>
      </c>
      <c r="AK121" s="39">
        <v>-0.65380174000000102</v>
      </c>
      <c r="AL121">
        <v>-0.64255755999999897</v>
      </c>
      <c r="AM121" s="39">
        <v>-0.60216396000000005</v>
      </c>
      <c r="AN121" s="39">
        <v>-0.63326111999999901</v>
      </c>
      <c r="AO121">
        <v>-0.69499692000000002</v>
      </c>
      <c r="AP121">
        <v>-0.73784513999999901</v>
      </c>
      <c r="AQ121">
        <v>-0.77046204999999901</v>
      </c>
      <c r="AR121">
        <v>-0.79465052000000003</v>
      </c>
      <c r="AS121" s="39">
        <v>-0.77399858999999904</v>
      </c>
      <c r="AT121" s="39">
        <v>-0.72153754000000003</v>
      </c>
      <c r="AU121">
        <v>-0.69386939999999897</v>
      </c>
      <c r="AV121">
        <v>-0.68700176999999996</v>
      </c>
      <c r="AW121">
        <v>-0.67579871000000002</v>
      </c>
    </row>
    <row r="122" spans="2:50" x14ac:dyDescent="0.25">
      <c r="B122" t="s">
        <v>528</v>
      </c>
      <c r="C122" s="39">
        <v>0</v>
      </c>
      <c r="D122" s="39">
        <v>0</v>
      </c>
      <c r="E122" s="39">
        <v>0</v>
      </c>
      <c r="F122" s="39">
        <v>0</v>
      </c>
      <c r="G122" s="39">
        <v>0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39">
        <v>6.2927186504690901E-3</v>
      </c>
      <c r="T122" s="39">
        <v>3.0429920596231001E-2</v>
      </c>
      <c r="U122" s="39">
        <v>7.3284347416535597E-2</v>
      </c>
      <c r="V122" s="39">
        <v>0.14850071550598301</v>
      </c>
      <c r="W122" s="39">
        <v>0.28223518748049498</v>
      </c>
      <c r="X122">
        <v>0.40367014731925699</v>
      </c>
      <c r="Y122">
        <v>0.51500629033882594</v>
      </c>
      <c r="Z122">
        <v>0.71391929229698203</v>
      </c>
      <c r="AA122">
        <v>0.89506131252643495</v>
      </c>
      <c r="AB122">
        <v>0.93099189791121495</v>
      </c>
      <c r="AC122">
        <v>0.839745038951766</v>
      </c>
      <c r="AD122">
        <v>0.85372245662971302</v>
      </c>
      <c r="AE122">
        <v>1.01047296280585</v>
      </c>
      <c r="AF122">
        <v>1.10947466766895</v>
      </c>
      <c r="AG122">
        <v>1.1036259766655301</v>
      </c>
      <c r="AH122">
        <v>1.0513040830162801</v>
      </c>
      <c r="AI122">
        <v>1.03331830581581</v>
      </c>
      <c r="AJ122">
        <v>1.0547981154517001</v>
      </c>
      <c r="AK122">
        <v>1.0735983354030101</v>
      </c>
      <c r="AL122">
        <v>1.0550311531354499</v>
      </c>
      <c r="AM122">
        <v>0.98849631733857102</v>
      </c>
      <c r="AN122">
        <v>1.0397291286587</v>
      </c>
      <c r="AO122">
        <v>1.14157243484531</v>
      </c>
      <c r="AP122">
        <v>1.2123548295909401</v>
      </c>
      <c r="AQ122">
        <v>1.26626594044956</v>
      </c>
      <c r="AR122">
        <v>1.3062757551778501</v>
      </c>
      <c r="AS122">
        <v>1.272333436124</v>
      </c>
      <c r="AT122">
        <v>1.1859255181525299</v>
      </c>
      <c r="AU122">
        <v>1.1403784945291</v>
      </c>
      <c r="AV122">
        <v>1.1291000748875999</v>
      </c>
      <c r="AW122">
        <v>1.1105610596227899</v>
      </c>
    </row>
    <row r="123" spans="2:50" x14ac:dyDescent="0.25">
      <c r="B123" t="s">
        <v>529</v>
      </c>
      <c r="C123" s="39">
        <v>0</v>
      </c>
      <c r="D123" s="39">
        <v>0</v>
      </c>
      <c r="E123" s="39">
        <v>0</v>
      </c>
      <c r="F123" s="39">
        <v>0</v>
      </c>
      <c r="G123" s="39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5.5335663862177099E-3</v>
      </c>
      <c r="T123" s="39">
        <v>2.98023942730152E-2</v>
      </c>
      <c r="U123" s="39">
        <v>6.8916599469015502E-2</v>
      </c>
      <c r="V123">
        <v>0.15810516001761801</v>
      </c>
      <c r="W123" s="39">
        <v>0.277513112813143</v>
      </c>
      <c r="X123">
        <v>0.32728193183397802</v>
      </c>
      <c r="Y123">
        <v>0.51776682564814702</v>
      </c>
      <c r="Z123">
        <v>0.77624982289141697</v>
      </c>
      <c r="AA123">
        <v>1.03962596330138</v>
      </c>
      <c r="AB123" s="39">
        <v>1.2228769552641201</v>
      </c>
      <c r="AC123">
        <v>1.3724885277526899</v>
      </c>
      <c r="AD123">
        <v>1.58992540316758</v>
      </c>
      <c r="AE123">
        <v>1.70158510392568</v>
      </c>
      <c r="AF123">
        <v>1.81954686816634</v>
      </c>
      <c r="AG123">
        <v>1.92594507733858</v>
      </c>
      <c r="AH123">
        <v>2.0123688920225198</v>
      </c>
      <c r="AI123">
        <v>2.0825343759974499</v>
      </c>
      <c r="AJ123">
        <v>2.1210817956540402</v>
      </c>
      <c r="AK123">
        <v>2.1693804560963299</v>
      </c>
      <c r="AL123">
        <v>2.1581462517074899</v>
      </c>
      <c r="AM123">
        <v>2.2183205666674599</v>
      </c>
      <c r="AN123">
        <v>2.2567867336679099</v>
      </c>
      <c r="AO123">
        <v>2.29592810968377</v>
      </c>
      <c r="AP123">
        <v>2.3832701686632598</v>
      </c>
      <c r="AQ123">
        <v>2.48570685593412</v>
      </c>
      <c r="AR123">
        <v>2.5874926979288602</v>
      </c>
      <c r="AS123">
        <v>2.6201759217105098</v>
      </c>
      <c r="AT123">
        <v>2.66828828183827</v>
      </c>
      <c r="AU123">
        <v>2.6775221978213999</v>
      </c>
      <c r="AV123">
        <v>2.6684518913581998</v>
      </c>
      <c r="AW123">
        <v>2.6410164866771302</v>
      </c>
    </row>
    <row r="124" spans="2:50" x14ac:dyDescent="0.25">
      <c r="B124" t="s">
        <v>530</v>
      </c>
      <c r="C124" s="39">
        <v>0</v>
      </c>
      <c r="D124" s="39">
        <v>0</v>
      </c>
      <c r="E124" s="39">
        <v>0</v>
      </c>
      <c r="F124" s="39">
        <v>0</v>
      </c>
      <c r="G124" s="39">
        <v>0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39">
        <v>9.9974242813827205E-3</v>
      </c>
      <c r="T124" s="39">
        <v>1.2185867162539599E-2</v>
      </c>
      <c r="U124" s="39">
        <v>1.1141087728105899E-2</v>
      </c>
      <c r="V124">
        <v>-4.6257907952762497E-3</v>
      </c>
      <c r="W124" s="39">
        <v>-4.1217233951729097E-2</v>
      </c>
      <c r="X124">
        <v>3.0855569053311799E-2</v>
      </c>
      <c r="Y124">
        <v>0.23537333669287899</v>
      </c>
      <c r="Z124">
        <v>0.37228256656647302</v>
      </c>
      <c r="AA124">
        <v>0.49285860433969603</v>
      </c>
      <c r="AB124">
        <v>0.71132281178440904</v>
      </c>
      <c r="AC124">
        <v>0.94726969942380201</v>
      </c>
      <c r="AD124">
        <v>1.12545082277244</v>
      </c>
      <c r="AE124">
        <v>1.2587049803918799</v>
      </c>
      <c r="AF124">
        <v>1.3918819619949101</v>
      </c>
      <c r="AG124">
        <v>1.5367342932878401</v>
      </c>
      <c r="AH124">
        <v>1.6604228325264001</v>
      </c>
      <c r="AI124">
        <v>1.7668985051138</v>
      </c>
      <c r="AJ124">
        <v>1.8701930550122501</v>
      </c>
      <c r="AK124">
        <v>1.9704655796657999</v>
      </c>
      <c r="AL124">
        <v>2.1202404428961099</v>
      </c>
      <c r="AM124">
        <v>2.2507245456331701</v>
      </c>
      <c r="AN124">
        <v>2.3914943991270698</v>
      </c>
      <c r="AO124">
        <v>2.5337408003625201</v>
      </c>
      <c r="AP124">
        <v>2.67145826883405</v>
      </c>
      <c r="AQ124">
        <v>2.8097409369564699</v>
      </c>
      <c r="AR124">
        <v>2.93853387880822</v>
      </c>
      <c r="AS124">
        <v>3.0842076895511301</v>
      </c>
      <c r="AT124">
        <v>3.2324220320250499</v>
      </c>
      <c r="AU124">
        <v>3.37602378332824</v>
      </c>
      <c r="AV124">
        <v>3.51065587591747</v>
      </c>
      <c r="AW124">
        <v>3.6398660681835802</v>
      </c>
    </row>
    <row r="125" spans="2:50" x14ac:dyDescent="0.25">
      <c r="B125" t="s">
        <v>531</v>
      </c>
      <c r="C125" s="39">
        <v>0</v>
      </c>
      <c r="D125" s="39">
        <v>0</v>
      </c>
      <c r="E125" s="39">
        <v>0</v>
      </c>
      <c r="F125" s="39">
        <v>0</v>
      </c>
      <c r="G125" s="39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1.02061099999998E-2</v>
      </c>
      <c r="T125" s="39">
        <v>2.23376999999996E-3</v>
      </c>
      <c r="U125" s="39">
        <v>-1.0660100000000399E-3</v>
      </c>
      <c r="V125" s="39">
        <v>-1.6085840000000101E-2</v>
      </c>
      <c r="W125">
        <v>-3.7344279999999799E-2</v>
      </c>
      <c r="X125">
        <v>7.3578939999999898E-2</v>
      </c>
      <c r="Y125">
        <v>0.20837314000000001</v>
      </c>
      <c r="Z125">
        <v>0.13920567</v>
      </c>
      <c r="AA125">
        <v>0.1224239</v>
      </c>
      <c r="AB125">
        <v>0.221537709999999</v>
      </c>
      <c r="AC125">
        <v>0.23874058000000001</v>
      </c>
      <c r="AD125">
        <v>0.179874019999999</v>
      </c>
      <c r="AE125">
        <v>0.13429101999999901</v>
      </c>
      <c r="AF125">
        <v>0.13403525999999999</v>
      </c>
      <c r="AG125">
        <v>0.14559602999999999</v>
      </c>
      <c r="AH125">
        <v>0.124157009999999</v>
      </c>
      <c r="AI125">
        <v>0.10674681</v>
      </c>
      <c r="AJ125">
        <v>0.10345884</v>
      </c>
      <c r="AK125">
        <v>0.10034048999999901</v>
      </c>
      <c r="AL125">
        <v>0.14973608999999899</v>
      </c>
      <c r="AM125">
        <v>0.13026270000000001</v>
      </c>
      <c r="AN125">
        <v>0.14036802000000001</v>
      </c>
      <c r="AO125" s="39">
        <v>0.1416404</v>
      </c>
      <c r="AP125" s="39">
        <v>0.13693570999999899</v>
      </c>
      <c r="AQ125" s="39">
        <v>0.137311199999999</v>
      </c>
      <c r="AR125">
        <v>0.12771352999999999</v>
      </c>
      <c r="AS125">
        <v>0.14427930999999899</v>
      </c>
      <c r="AT125" s="39">
        <v>0.14658826</v>
      </c>
      <c r="AU125">
        <v>0.14182036000000001</v>
      </c>
      <c r="AV125">
        <v>0.13277667999999901</v>
      </c>
      <c r="AW125">
        <v>0.12727994000000001</v>
      </c>
    </row>
    <row r="126" spans="2:50" x14ac:dyDescent="0.25">
      <c r="B126" t="s">
        <v>532</v>
      </c>
      <c r="C126">
        <v>0</v>
      </c>
      <c r="D126" s="39">
        <v>0</v>
      </c>
      <c r="E126" s="39">
        <v>0</v>
      </c>
      <c r="F126" s="39">
        <v>0</v>
      </c>
      <c r="G126" s="39">
        <v>0</v>
      </c>
      <c r="H126" s="39">
        <v>0</v>
      </c>
      <c r="I126" s="39">
        <v>0</v>
      </c>
      <c r="J126" s="39">
        <v>0</v>
      </c>
      <c r="K126" s="39">
        <v>0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39">
        <v>2.1042810921068002E-2</v>
      </c>
      <c r="T126">
        <v>1.5015303863830101E-3</v>
      </c>
      <c r="U126" s="39">
        <v>-6.6744811092989104E-2</v>
      </c>
      <c r="V126">
        <v>-0.25243329692312599</v>
      </c>
      <c r="W126">
        <v>-0.60916318497003996</v>
      </c>
      <c r="X126">
        <v>-1.03864780433975</v>
      </c>
      <c r="Y126">
        <v>-1.7301958126233901</v>
      </c>
      <c r="Z126">
        <v>-2.3515186092198901</v>
      </c>
      <c r="AA126">
        <v>-2.9429751156653898</v>
      </c>
      <c r="AB126">
        <v>-3.5333677352775901</v>
      </c>
      <c r="AC126">
        <v>-4.0408043664314297</v>
      </c>
      <c r="AD126">
        <v>-4.8960609215200801</v>
      </c>
      <c r="AE126">
        <v>-5.6302851825500397</v>
      </c>
      <c r="AF126">
        <v>-6.2589115767432304</v>
      </c>
      <c r="AG126">
        <v>-6.6167994416669904</v>
      </c>
      <c r="AH126">
        <v>-6.83908901396146</v>
      </c>
      <c r="AI126">
        <v>-7.1215098061485396</v>
      </c>
      <c r="AJ126">
        <v>-7.3483831786045499</v>
      </c>
      <c r="AK126">
        <v>-7.5309256549089998</v>
      </c>
      <c r="AL126">
        <v>-7.6054632405120302</v>
      </c>
      <c r="AM126">
        <v>-7.6535240894899301</v>
      </c>
      <c r="AN126">
        <v>-8.1287998466025702</v>
      </c>
      <c r="AO126">
        <v>-8.5847231048580497</v>
      </c>
      <c r="AP126">
        <v>-9.0353399454550001</v>
      </c>
      <c r="AQ126">
        <v>-9.4810507546530598</v>
      </c>
      <c r="AR126">
        <v>-9.8474509018595402</v>
      </c>
      <c r="AS126">
        <v>-9.9416914065282302</v>
      </c>
      <c r="AT126">
        <v>-10.1191330920047</v>
      </c>
      <c r="AU126">
        <v>-10.333241197320801</v>
      </c>
      <c r="AV126">
        <v>-10.543295714355001</v>
      </c>
      <c r="AW126">
        <v>-10.6163813608747</v>
      </c>
    </row>
    <row r="127" spans="2:50" x14ac:dyDescent="0.25">
      <c r="B127" t="s">
        <v>533</v>
      </c>
      <c r="C127" s="39">
        <v>0</v>
      </c>
      <c r="D127" s="39">
        <v>0</v>
      </c>
      <c r="E127" s="39">
        <v>0</v>
      </c>
      <c r="F127" s="39">
        <v>0</v>
      </c>
      <c r="G127" s="39">
        <v>0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39">
        <v>3.44747299999996E-2</v>
      </c>
      <c r="T127" s="39">
        <v>2.2883219999999999E-2</v>
      </c>
      <c r="U127" s="39">
        <v>2.4976600000003999E-3</v>
      </c>
      <c r="V127" s="39">
        <v>-3.7788839999999803E-2</v>
      </c>
      <c r="W127">
        <v>-2.5867739999999698E-2</v>
      </c>
      <c r="X127" s="39">
        <v>-0.132528849999999</v>
      </c>
      <c r="Y127">
        <v>-0.15985489</v>
      </c>
      <c r="Z127">
        <v>-0.25605522000000103</v>
      </c>
      <c r="AA127">
        <v>-0.31300024999999998</v>
      </c>
      <c r="AB127">
        <v>-0.42222653999999998</v>
      </c>
      <c r="AC127">
        <v>-0.41996976000000102</v>
      </c>
      <c r="AD127">
        <v>-0.39841246000000002</v>
      </c>
      <c r="AE127">
        <v>-0.49877918999999898</v>
      </c>
      <c r="AF127">
        <v>-0.53793236999999905</v>
      </c>
      <c r="AG127">
        <v>-0.50191378999999903</v>
      </c>
      <c r="AH127">
        <v>-0.42486810000000003</v>
      </c>
      <c r="AI127">
        <v>-0.35062904</v>
      </c>
      <c r="AJ127">
        <v>-0.32595337999999902</v>
      </c>
      <c r="AK127">
        <v>-0.29756684999999999</v>
      </c>
      <c r="AL127">
        <v>-0.31005573999999902</v>
      </c>
      <c r="AM127">
        <v>-0.17204950999999899</v>
      </c>
      <c r="AN127">
        <v>-0.28740365000000101</v>
      </c>
      <c r="AO127">
        <v>-0.347199919999999</v>
      </c>
      <c r="AP127">
        <v>-0.38185792000000002</v>
      </c>
      <c r="AQ127">
        <v>-0.40255653000000002</v>
      </c>
      <c r="AR127">
        <v>-0.40588285000000002</v>
      </c>
      <c r="AS127">
        <v>-0.37387588999999999</v>
      </c>
      <c r="AT127">
        <v>-0.31659911999999901</v>
      </c>
      <c r="AU127">
        <v>-0.29847499999999899</v>
      </c>
      <c r="AV127">
        <v>-0.29757550999999899</v>
      </c>
      <c r="AW127">
        <v>-0.28160354999999998</v>
      </c>
    </row>
    <row r="128" spans="2:50" x14ac:dyDescent="0.25">
      <c r="B128" t="s">
        <v>200</v>
      </c>
      <c r="C128">
        <v>97.300564634779803</v>
      </c>
      <c r="D128">
        <v>98.862756672750606</v>
      </c>
      <c r="E128">
        <v>100</v>
      </c>
      <c r="F128">
        <v>103.576723423486</v>
      </c>
      <c r="G128">
        <v>103.939746127576</v>
      </c>
      <c r="H128">
        <v>100.31447100215</v>
      </c>
      <c r="I128">
        <v>102.811231306639</v>
      </c>
      <c r="J128">
        <v>105.176780717498</v>
      </c>
      <c r="K128">
        <v>105.848819497291</v>
      </c>
      <c r="L128">
        <v>106.16222584567301</v>
      </c>
      <c r="M128">
        <v>107.309878369673</v>
      </c>
      <c r="N128">
        <v>108.35657057213901</v>
      </c>
      <c r="O128">
        <v>109.862610607721</v>
      </c>
      <c r="P128">
        <v>112.952792038723</v>
      </c>
      <c r="Q128">
        <v>115.537526800916</v>
      </c>
      <c r="R128">
        <v>118.028264200595</v>
      </c>
      <c r="S128">
        <v>118.910574572653</v>
      </c>
      <c r="T128">
        <v>121.366400198543</v>
      </c>
      <c r="U128">
        <v>122.361871589787</v>
      </c>
      <c r="V128">
        <v>124.658107522091</v>
      </c>
      <c r="W128">
        <v>126.519826334868</v>
      </c>
      <c r="X128">
        <v>127.688098918769</v>
      </c>
      <c r="Y128">
        <v>128.532722259157</v>
      </c>
      <c r="Z128">
        <v>129.744713949443</v>
      </c>
      <c r="AA128">
        <v>131.031671114327</v>
      </c>
      <c r="AB128">
        <v>132.124101747428</v>
      </c>
      <c r="AC128">
        <v>133.17427434568799</v>
      </c>
      <c r="AD128">
        <v>134.60628151380601</v>
      </c>
      <c r="AE128">
        <v>136.01538587140899</v>
      </c>
      <c r="AF128">
        <v>137.417497592845</v>
      </c>
      <c r="AG128">
        <v>138.716003614069</v>
      </c>
      <c r="AH128">
        <v>140.131255309316</v>
      </c>
      <c r="AI128">
        <v>141.913439422729</v>
      </c>
      <c r="AJ128">
        <v>143.77250157506501</v>
      </c>
      <c r="AK128">
        <v>145.71217402884599</v>
      </c>
      <c r="AL128">
        <v>147.55094357025601</v>
      </c>
      <c r="AM128">
        <v>149.55341225653501</v>
      </c>
      <c r="AN128">
        <v>151.74445070425301</v>
      </c>
      <c r="AO128">
        <v>154.01069665649001</v>
      </c>
      <c r="AP128">
        <v>156.26486612160599</v>
      </c>
      <c r="AQ128">
        <v>158.53065085540399</v>
      </c>
      <c r="AR128">
        <v>160.711490701413</v>
      </c>
      <c r="AS128">
        <v>162.69554599598001</v>
      </c>
      <c r="AT128">
        <v>164.793851027557</v>
      </c>
      <c r="AU128">
        <v>166.96881707697</v>
      </c>
      <c r="AV128">
        <v>169.174386934338</v>
      </c>
      <c r="AW128">
        <v>171.43623916823501</v>
      </c>
      <c r="AX128">
        <v>178.52723229718001</v>
      </c>
    </row>
    <row r="129" spans="2:50" x14ac:dyDescent="0.25">
      <c r="B129" t="s">
        <v>534</v>
      </c>
      <c r="C129" s="39">
        <v>0</v>
      </c>
      <c r="D129" s="39">
        <v>0</v>
      </c>
      <c r="E129" s="39">
        <v>0</v>
      </c>
      <c r="F129" s="39">
        <v>0</v>
      </c>
      <c r="G129" s="39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-0.12569852531084599</v>
      </c>
      <c r="T129" s="39">
        <v>-0.27669167128063699</v>
      </c>
      <c r="U129" s="39">
        <v>-0.43259642106533402</v>
      </c>
      <c r="V129" s="39">
        <v>-1.06701775157711</v>
      </c>
      <c r="W129">
        <v>-4.0787635546915597</v>
      </c>
      <c r="X129">
        <v>-7.2059407273772402</v>
      </c>
      <c r="Y129">
        <v>-10.5207051192065</v>
      </c>
      <c r="Z129">
        <v>-14.026136614988401</v>
      </c>
      <c r="AA129">
        <v>-17.584537222278101</v>
      </c>
      <c r="AB129">
        <v>-21.3674268303342</v>
      </c>
      <c r="AC129">
        <v>-25.145368747652</v>
      </c>
      <c r="AD129">
        <v>-29.639515562729901</v>
      </c>
      <c r="AE129">
        <v>-34.048502499988402</v>
      </c>
      <c r="AF129">
        <v>-38.418788209846099</v>
      </c>
      <c r="AG129">
        <v>-42.082615938227903</v>
      </c>
      <c r="AH129">
        <v>-45.711430092557698</v>
      </c>
      <c r="AI129">
        <v>-49.6021675185616</v>
      </c>
      <c r="AJ129">
        <v>-53.470164063867102</v>
      </c>
      <c r="AK129">
        <v>-57.344701202406199</v>
      </c>
      <c r="AL129">
        <v>-59.3411866850468</v>
      </c>
      <c r="AM129">
        <v>-61.527074379115099</v>
      </c>
      <c r="AN129">
        <v>-64.363326985439201</v>
      </c>
      <c r="AO129">
        <v>-67.241501345104496</v>
      </c>
      <c r="AP129">
        <v>-70.169196401176194</v>
      </c>
      <c r="AQ129">
        <v>-73.173768700603702</v>
      </c>
      <c r="AR129">
        <v>-76.326390261728207</v>
      </c>
      <c r="AS129">
        <v>-76.607527543771099</v>
      </c>
      <c r="AT129">
        <v>-76.884864527167295</v>
      </c>
      <c r="AU129">
        <v>-77.162314548225893</v>
      </c>
      <c r="AV129">
        <v>-77.4493097548593</v>
      </c>
      <c r="AW129">
        <v>-77.748163529452199</v>
      </c>
    </row>
    <row r="130" spans="2:50" x14ac:dyDescent="0.25">
      <c r="B130" t="s">
        <v>201</v>
      </c>
      <c r="C130">
        <v>96.839727751649406</v>
      </c>
      <c r="D130">
        <v>98.394520904399599</v>
      </c>
      <c r="E130">
        <v>100</v>
      </c>
      <c r="F130">
        <v>99.960381271637701</v>
      </c>
      <c r="G130">
        <v>95.486193774384802</v>
      </c>
      <c r="H130">
        <v>90.876193577509596</v>
      </c>
      <c r="I130">
        <v>89.724516564109194</v>
      </c>
      <c r="J130">
        <v>87.638787017854995</v>
      </c>
      <c r="K130">
        <v>84.4350018725507</v>
      </c>
      <c r="L130">
        <v>82.401217108207803</v>
      </c>
      <c r="M130">
        <v>81.706546873609895</v>
      </c>
      <c r="N130">
        <v>81.819232106729999</v>
      </c>
      <c r="O130">
        <v>79.828412558197101</v>
      </c>
      <c r="P130">
        <v>78.032166757128195</v>
      </c>
      <c r="Q130">
        <v>75.072658628855606</v>
      </c>
      <c r="R130">
        <v>73.149481542032703</v>
      </c>
      <c r="S130">
        <v>71.064731253768699</v>
      </c>
      <c r="T130">
        <v>70.0875670161318</v>
      </c>
      <c r="U130">
        <v>68.717237465344198</v>
      </c>
      <c r="V130">
        <v>67.373839334623</v>
      </c>
      <c r="W130">
        <v>65.328990632451294</v>
      </c>
      <c r="X130">
        <v>62.820246703914101</v>
      </c>
      <c r="Y130">
        <v>60.110903548276703</v>
      </c>
      <c r="Z130">
        <v>57.623500683251898</v>
      </c>
      <c r="AA130">
        <v>55.2241063368742</v>
      </c>
      <c r="AB130">
        <v>52.760209984345799</v>
      </c>
      <c r="AC130">
        <v>50.365653771334699</v>
      </c>
      <c r="AD130">
        <v>47.097752274051601</v>
      </c>
      <c r="AE130">
        <v>43.923824492759998</v>
      </c>
      <c r="AF130">
        <v>40.8188077122321</v>
      </c>
      <c r="AG130">
        <v>38.226512781244999</v>
      </c>
      <c r="AH130">
        <v>35.685864085793597</v>
      </c>
      <c r="AI130">
        <v>33.073894114544203</v>
      </c>
      <c r="AJ130">
        <v>30.4957755730595</v>
      </c>
      <c r="AK130">
        <v>27.9328807941293</v>
      </c>
      <c r="AL130">
        <v>26.6141493269816</v>
      </c>
      <c r="AM130">
        <v>25.1754555443671</v>
      </c>
      <c r="AN130">
        <v>23.258253151255701</v>
      </c>
      <c r="AO130">
        <v>21.325938793940701</v>
      </c>
      <c r="AP130">
        <v>19.366260589890899</v>
      </c>
      <c r="AQ130">
        <v>17.367190366493801</v>
      </c>
      <c r="AR130">
        <v>15.278730002378101</v>
      </c>
      <c r="AS130">
        <v>15.123724668704201</v>
      </c>
      <c r="AT130">
        <v>14.9783068719599</v>
      </c>
      <c r="AU130">
        <v>14.832572790735201</v>
      </c>
      <c r="AV130">
        <v>14.6793198995632</v>
      </c>
      <c r="AW130">
        <v>14.5249033914869</v>
      </c>
      <c r="AX130">
        <v>9.0244863084901095</v>
      </c>
    </row>
    <row r="131" spans="2:50" x14ac:dyDescent="0.25">
      <c r="B131" t="s">
        <v>202</v>
      </c>
      <c r="C131">
        <v>651205.12405279896</v>
      </c>
      <c r="D131">
        <v>661660.432957732</v>
      </c>
      <c r="E131">
        <v>672283.60519999999</v>
      </c>
      <c r="F131">
        <v>690924.66559999995</v>
      </c>
      <c r="G131">
        <v>678581.71100000001</v>
      </c>
      <c r="H131">
        <v>619435.65870000003</v>
      </c>
      <c r="I131">
        <v>636180.69220000005</v>
      </c>
      <c r="J131">
        <v>653802.57869999995</v>
      </c>
      <c r="K131">
        <v>644454.95090000005</v>
      </c>
      <c r="L131">
        <v>636957.33299999998</v>
      </c>
      <c r="M131">
        <v>640329.71609999996</v>
      </c>
      <c r="N131">
        <v>649163.82010000001</v>
      </c>
      <c r="O131">
        <v>659683.12349999999</v>
      </c>
      <c r="P131">
        <v>687399.4203</v>
      </c>
      <c r="Q131">
        <v>700150.70160000003</v>
      </c>
      <c r="R131">
        <v>714944.25320000004</v>
      </c>
      <c r="S131">
        <v>715860.00490000006</v>
      </c>
      <c r="T131">
        <v>732602.21790000005</v>
      </c>
      <c r="U131">
        <v>738117.65430000005</v>
      </c>
      <c r="V131">
        <v>753352.93440000003</v>
      </c>
      <c r="W131">
        <v>805645.61490000004</v>
      </c>
      <c r="X131">
        <v>866866.94460000005</v>
      </c>
      <c r="Y131">
        <v>939902.58719999995</v>
      </c>
      <c r="Z131">
        <v>1034854.0919999999</v>
      </c>
      <c r="AA131">
        <v>1152587.2109999999</v>
      </c>
      <c r="AB131">
        <v>1294725.719</v>
      </c>
      <c r="AC131">
        <v>1467565.3389999999</v>
      </c>
      <c r="AD131">
        <v>1474335.686</v>
      </c>
      <c r="AE131">
        <v>1481372.9909999999</v>
      </c>
      <c r="AF131">
        <v>1487630.855</v>
      </c>
      <c r="AG131">
        <v>1493381.469</v>
      </c>
      <c r="AH131">
        <v>1499822.9850000001</v>
      </c>
      <c r="AI131">
        <v>1509035.48</v>
      </c>
      <c r="AJ131">
        <v>1518695.9650000001</v>
      </c>
      <c r="AK131">
        <v>1528438.4480000001</v>
      </c>
      <c r="AL131">
        <v>1537120.6839999999</v>
      </c>
      <c r="AM131">
        <v>1546803.764</v>
      </c>
      <c r="AN131">
        <v>1557070.11</v>
      </c>
      <c r="AO131">
        <v>1568322.0079999999</v>
      </c>
      <c r="AP131">
        <v>1579328.861</v>
      </c>
      <c r="AQ131">
        <v>1590237.943</v>
      </c>
      <c r="AR131">
        <v>1600765.483</v>
      </c>
      <c r="AS131">
        <v>1609552.452</v>
      </c>
      <c r="AT131">
        <v>1618674.9069999999</v>
      </c>
      <c r="AU131">
        <v>1628243.855</v>
      </c>
      <c r="AV131">
        <v>1637909.7180000001</v>
      </c>
      <c r="AW131">
        <v>1647621.3629999999</v>
      </c>
    </row>
    <row r="132" spans="2:50" x14ac:dyDescent="0.25">
      <c r="B132" t="s">
        <v>203</v>
      </c>
      <c r="C132">
        <v>11699515.674308199</v>
      </c>
      <c r="D132">
        <v>11887355.182774801</v>
      </c>
      <c r="E132">
        <v>12078210.52</v>
      </c>
      <c r="F132">
        <v>12394208.23</v>
      </c>
      <c r="G132">
        <v>12130936.02</v>
      </c>
      <c r="H132">
        <v>11018218.310000001</v>
      </c>
      <c r="I132">
        <v>11233802.220000001</v>
      </c>
      <c r="J132">
        <v>11656711.98</v>
      </c>
      <c r="K132">
        <v>11446952.24</v>
      </c>
      <c r="L132">
        <v>11263843.59</v>
      </c>
      <c r="M132">
        <v>11300821.92</v>
      </c>
      <c r="N132">
        <v>11409654.07</v>
      </c>
      <c r="O132">
        <v>11619492.98</v>
      </c>
      <c r="P132">
        <v>12136393.41</v>
      </c>
      <c r="Q132">
        <v>12362443.25</v>
      </c>
      <c r="R132">
        <v>12640256.91</v>
      </c>
      <c r="S132">
        <v>12693693.67</v>
      </c>
      <c r="T132">
        <v>13176631.18</v>
      </c>
      <c r="U132">
        <v>13201490.470000001</v>
      </c>
      <c r="V132">
        <v>13538570.310000001</v>
      </c>
      <c r="W132">
        <v>13587935.699999999</v>
      </c>
      <c r="X132">
        <v>13618239.029999999</v>
      </c>
      <c r="Y132">
        <v>13555952.140000001</v>
      </c>
      <c r="Z132">
        <v>13574519.34</v>
      </c>
      <c r="AA132">
        <v>13598721.630000001</v>
      </c>
      <c r="AB132">
        <v>13593605.970000001</v>
      </c>
      <c r="AC132">
        <v>13622294.140000001</v>
      </c>
      <c r="AD132">
        <v>13713661.359999999</v>
      </c>
      <c r="AE132">
        <v>13751947.890000001</v>
      </c>
      <c r="AF132">
        <v>13780244.880000001</v>
      </c>
      <c r="AG132">
        <v>13804958.689999999</v>
      </c>
      <c r="AH132">
        <v>13859424.48</v>
      </c>
      <c r="AI132">
        <v>13942469.039999999</v>
      </c>
      <c r="AJ132">
        <v>14005939.289999999</v>
      </c>
      <c r="AK132">
        <v>14091792.77</v>
      </c>
      <c r="AL132">
        <v>14161581.539999999</v>
      </c>
      <c r="AM132">
        <v>14263297.5</v>
      </c>
      <c r="AN132">
        <v>14414016.699999999</v>
      </c>
      <c r="AO132">
        <v>14545714.880000001</v>
      </c>
      <c r="AP132">
        <v>14671609.4</v>
      </c>
      <c r="AQ132">
        <v>14810304.09</v>
      </c>
      <c r="AR132">
        <v>14918599.33</v>
      </c>
      <c r="AS132">
        <v>14999888.960000001</v>
      </c>
      <c r="AT132">
        <v>15125374.779999999</v>
      </c>
      <c r="AU132">
        <v>15257168.189999999</v>
      </c>
      <c r="AV132">
        <v>15389639.039999999</v>
      </c>
      <c r="AW132">
        <v>15547315.029999999</v>
      </c>
    </row>
    <row r="133" spans="2:50" x14ac:dyDescent="0.25">
      <c r="B133" t="s">
        <v>204</v>
      </c>
      <c r="C133">
        <v>12350720.798361</v>
      </c>
      <c r="D133">
        <v>12549015.615732601</v>
      </c>
      <c r="E133">
        <v>12750494.119999999</v>
      </c>
      <c r="F133">
        <v>13085132.9</v>
      </c>
      <c r="G133">
        <v>12809517.73</v>
      </c>
      <c r="H133">
        <v>11637653.970000001</v>
      </c>
      <c r="I133">
        <v>11869982.91</v>
      </c>
      <c r="J133">
        <v>12310514.560000001</v>
      </c>
      <c r="K133">
        <v>12091407.189999999</v>
      </c>
      <c r="L133">
        <v>11900800.92</v>
      </c>
      <c r="M133">
        <v>11941151.640000001</v>
      </c>
      <c r="N133">
        <v>12058817.890000001</v>
      </c>
      <c r="O133">
        <v>12279176.1</v>
      </c>
      <c r="P133">
        <v>12823792.83</v>
      </c>
      <c r="Q133">
        <v>13062593.949999999</v>
      </c>
      <c r="R133">
        <v>13355201.16</v>
      </c>
      <c r="S133">
        <v>13409553.67</v>
      </c>
      <c r="T133">
        <v>13909233.4</v>
      </c>
      <c r="U133">
        <v>13939608.119999999</v>
      </c>
      <c r="V133">
        <v>14291923.24</v>
      </c>
      <c r="W133">
        <v>14393581.32</v>
      </c>
      <c r="X133">
        <v>14485105.98</v>
      </c>
      <c r="Y133">
        <v>14495854.73</v>
      </c>
      <c r="Z133">
        <v>14609373.43</v>
      </c>
      <c r="AA133">
        <v>14751308.84</v>
      </c>
      <c r="AB133">
        <v>14888331.689999999</v>
      </c>
      <c r="AC133">
        <v>15089859.48</v>
      </c>
      <c r="AD133">
        <v>15187997.050000001</v>
      </c>
      <c r="AE133">
        <v>15233320.880000001</v>
      </c>
      <c r="AF133">
        <v>15267875.73</v>
      </c>
      <c r="AG133">
        <v>15298340.16</v>
      </c>
      <c r="AH133">
        <v>15359247.470000001</v>
      </c>
      <c r="AI133">
        <v>15451504.52</v>
      </c>
      <c r="AJ133">
        <v>15524635.25</v>
      </c>
      <c r="AK133">
        <v>15620231.220000001</v>
      </c>
      <c r="AL133">
        <v>15698702.220000001</v>
      </c>
      <c r="AM133">
        <v>15810101.26</v>
      </c>
      <c r="AN133">
        <v>15971086.810000001</v>
      </c>
      <c r="AO133">
        <v>16114036.890000001</v>
      </c>
      <c r="AP133">
        <v>16250938.26</v>
      </c>
      <c r="AQ133">
        <v>16400542.029999999</v>
      </c>
      <c r="AR133">
        <v>16519364.810000001</v>
      </c>
      <c r="AS133">
        <v>16609441.41</v>
      </c>
      <c r="AT133">
        <v>16744049.689999999</v>
      </c>
      <c r="AU133">
        <v>16885412.050000001</v>
      </c>
      <c r="AV133">
        <v>17027548.760000002</v>
      </c>
      <c r="AW133">
        <v>17194936.390000001</v>
      </c>
    </row>
    <row r="134" spans="2:50" x14ac:dyDescent="0.25">
      <c r="B134" t="s">
        <v>205</v>
      </c>
      <c r="C134">
        <v>144913116.15770999</v>
      </c>
      <c r="D134">
        <v>147239743.11109701</v>
      </c>
      <c r="E134">
        <v>149603724.80000001</v>
      </c>
      <c r="F134">
        <v>147428138.80000001</v>
      </c>
      <c r="G134">
        <v>143766548.09999999</v>
      </c>
      <c r="H134">
        <v>143455283</v>
      </c>
      <c r="I134">
        <v>141254503.69999999</v>
      </c>
      <c r="J134">
        <v>138351510.90000001</v>
      </c>
      <c r="K134">
        <v>134666957.30000001</v>
      </c>
      <c r="L134">
        <v>131870893.5</v>
      </c>
      <c r="M134">
        <v>129666847.3</v>
      </c>
      <c r="N134">
        <v>128195058.7</v>
      </c>
      <c r="O134">
        <v>128121770.2</v>
      </c>
      <c r="P134">
        <v>127371130.8</v>
      </c>
      <c r="Q134">
        <v>125431981.5</v>
      </c>
      <c r="R134">
        <v>124415014.7</v>
      </c>
      <c r="S134">
        <v>122388554.8</v>
      </c>
      <c r="T134">
        <v>118732289.8</v>
      </c>
      <c r="U134">
        <v>114988168.40000001</v>
      </c>
      <c r="V134">
        <v>110400958.3</v>
      </c>
      <c r="W134">
        <v>107409981.5</v>
      </c>
      <c r="X134">
        <v>104093396.5</v>
      </c>
      <c r="Y134">
        <v>100102989.59999999</v>
      </c>
      <c r="Z134">
        <v>95612324.739999995</v>
      </c>
      <c r="AA134">
        <v>90881684.540000007</v>
      </c>
      <c r="AB134">
        <v>85723671.680000007</v>
      </c>
      <c r="AC134">
        <v>80486086.200000003</v>
      </c>
      <c r="AD134">
        <v>73665373.670000002</v>
      </c>
      <c r="AE134">
        <v>67000192.100000001</v>
      </c>
      <c r="AF134">
        <v>60569747.810000002</v>
      </c>
      <c r="AG134">
        <v>55050738.619999997</v>
      </c>
      <c r="AH134">
        <v>49740896.689999998</v>
      </c>
      <c r="AI134">
        <v>44537671.100000001</v>
      </c>
      <c r="AJ134">
        <v>39582405.280000001</v>
      </c>
      <c r="AK134">
        <v>34817067.450000003</v>
      </c>
      <c r="AL134">
        <v>31976122.84</v>
      </c>
      <c r="AM134">
        <v>29118149.399999999</v>
      </c>
      <c r="AN134">
        <v>25503214.059999999</v>
      </c>
      <c r="AO134">
        <v>22029547.359999999</v>
      </c>
      <c r="AP134">
        <v>18691687.050000001</v>
      </c>
      <c r="AQ134">
        <v>15464781.76</v>
      </c>
      <c r="AR134">
        <v>12283055.189999999</v>
      </c>
      <c r="AS134">
        <v>11782186.32</v>
      </c>
      <c r="AT134">
        <v>11306716.93</v>
      </c>
      <c r="AU134">
        <v>10852587.49</v>
      </c>
      <c r="AV134">
        <v>10412409.640000001</v>
      </c>
      <c r="AW134">
        <v>9985515.9780000001</v>
      </c>
    </row>
    <row r="135" spans="2:50" x14ac:dyDescent="0.25">
      <c r="B135" t="s">
        <v>206</v>
      </c>
      <c r="C135">
        <v>1098851.8998263199</v>
      </c>
      <c r="D135">
        <v>1116494.32251175</v>
      </c>
      <c r="E135">
        <v>1134420</v>
      </c>
      <c r="F135">
        <v>1125148.2450000001</v>
      </c>
      <c r="G135">
        <v>1113247.277</v>
      </c>
      <c r="H135">
        <v>1100149.692</v>
      </c>
      <c r="I135">
        <v>1093518.5020000001</v>
      </c>
      <c r="J135">
        <v>1086570.743</v>
      </c>
      <c r="K135">
        <v>1075554.8230000001</v>
      </c>
      <c r="L135">
        <v>1059869.101</v>
      </c>
      <c r="M135">
        <v>1044376.861</v>
      </c>
      <c r="N135">
        <v>1033218.159</v>
      </c>
      <c r="O135">
        <v>1031126.791</v>
      </c>
      <c r="P135">
        <v>1032445.503</v>
      </c>
      <c r="Q135">
        <v>1030400.5330000001</v>
      </c>
      <c r="R135">
        <v>1016067.264</v>
      </c>
      <c r="S135">
        <v>997457.86580000003</v>
      </c>
      <c r="T135">
        <v>973295.99899999995</v>
      </c>
      <c r="U135">
        <v>948485.89260000002</v>
      </c>
      <c r="V135">
        <v>923584.76240000001</v>
      </c>
      <c r="W135">
        <v>898505.68559999997</v>
      </c>
      <c r="X135">
        <v>869020.82720000006</v>
      </c>
      <c r="Y135">
        <v>836995.56920000003</v>
      </c>
      <c r="Z135">
        <v>805258.9338</v>
      </c>
      <c r="AA135">
        <v>775214.4423</v>
      </c>
      <c r="AB135">
        <v>747283.03489999997</v>
      </c>
      <c r="AC135">
        <v>719855.37749999994</v>
      </c>
      <c r="AD135">
        <v>692166.93149999995</v>
      </c>
      <c r="AE135">
        <v>665840.43689999997</v>
      </c>
      <c r="AF135">
        <v>641438.47620000003</v>
      </c>
      <c r="AG135">
        <v>618828.85919999995</v>
      </c>
      <c r="AH135">
        <v>597890.31389999995</v>
      </c>
      <c r="AI135">
        <v>578593.17940000002</v>
      </c>
      <c r="AJ135">
        <v>560815.67180000001</v>
      </c>
      <c r="AK135">
        <v>544482.05209999997</v>
      </c>
      <c r="AL135">
        <v>529224.9693</v>
      </c>
      <c r="AM135">
        <v>513852.47600000002</v>
      </c>
      <c r="AN135">
        <v>498590.5122</v>
      </c>
      <c r="AO135">
        <v>484035.27610000002</v>
      </c>
      <c r="AP135">
        <v>470341.38339999999</v>
      </c>
      <c r="AQ135">
        <v>457552.69189999998</v>
      </c>
      <c r="AR135">
        <v>445660.08799999999</v>
      </c>
      <c r="AS135">
        <v>434409.39279999997</v>
      </c>
      <c r="AT135">
        <v>423085.76899999997</v>
      </c>
      <c r="AU135">
        <v>411501.56670000002</v>
      </c>
      <c r="AV135">
        <v>399646.24170000001</v>
      </c>
      <c r="AW135">
        <v>387645.88419999997</v>
      </c>
    </row>
    <row r="136" spans="2:50" x14ac:dyDescent="0.25">
      <c r="B136" t="s">
        <v>207</v>
      </c>
      <c r="C136">
        <v>1098851.8998263199</v>
      </c>
      <c r="D136">
        <v>1116494.32251175</v>
      </c>
      <c r="E136">
        <v>1134420</v>
      </c>
      <c r="F136">
        <v>1125148.2450000001</v>
      </c>
      <c r="G136">
        <v>1113247.277</v>
      </c>
      <c r="H136">
        <v>1100149.692</v>
      </c>
      <c r="I136">
        <v>1093518.5020000001</v>
      </c>
      <c r="J136">
        <v>1086570.743</v>
      </c>
      <c r="K136">
        <v>1075554.8230000001</v>
      </c>
      <c r="L136">
        <v>1059869.101</v>
      </c>
      <c r="M136">
        <v>1044376.861</v>
      </c>
      <c r="N136">
        <v>1033218.159</v>
      </c>
      <c r="O136">
        <v>1031126.791</v>
      </c>
      <c r="P136">
        <v>1032445.503</v>
      </c>
      <c r="Q136">
        <v>1030400.5330000001</v>
      </c>
      <c r="R136">
        <v>1016067.264</v>
      </c>
      <c r="S136">
        <v>997457.86580000003</v>
      </c>
      <c r="T136">
        <v>973295.99899999995</v>
      </c>
      <c r="U136">
        <v>948485.89260000002</v>
      </c>
      <c r="V136">
        <v>923584.76240000001</v>
      </c>
      <c r="W136">
        <v>898505.68559999997</v>
      </c>
      <c r="X136">
        <v>869020.82720000006</v>
      </c>
      <c r="Y136">
        <v>836995.56920000003</v>
      </c>
      <c r="Z136">
        <v>805258.9338</v>
      </c>
      <c r="AA136">
        <v>775214.4423</v>
      </c>
      <c r="AB136">
        <v>747283.03489999997</v>
      </c>
      <c r="AC136">
        <v>719855.37749999994</v>
      </c>
      <c r="AD136">
        <v>692166.93149999995</v>
      </c>
      <c r="AE136">
        <v>665840.43689999997</v>
      </c>
      <c r="AF136">
        <v>641438.47620000003</v>
      </c>
      <c r="AG136">
        <v>618828.85919999995</v>
      </c>
      <c r="AH136">
        <v>597890.31389999995</v>
      </c>
      <c r="AI136">
        <v>578593.17940000002</v>
      </c>
      <c r="AJ136">
        <v>560815.67180000001</v>
      </c>
      <c r="AK136">
        <v>544482.05209999997</v>
      </c>
      <c r="AL136">
        <v>529224.9693</v>
      </c>
      <c r="AM136">
        <v>513852.47600000002</v>
      </c>
      <c r="AN136">
        <v>498590.5122</v>
      </c>
      <c r="AO136">
        <v>484035.27610000002</v>
      </c>
      <c r="AP136">
        <v>470341.38339999999</v>
      </c>
      <c r="AQ136">
        <v>457552.69189999998</v>
      </c>
      <c r="AR136">
        <v>445660.08799999999</v>
      </c>
      <c r="AS136">
        <v>434409.39279999997</v>
      </c>
      <c r="AT136">
        <v>423085.76899999997</v>
      </c>
      <c r="AU136">
        <v>411501.56670000002</v>
      </c>
      <c r="AV136">
        <v>399646.24170000001</v>
      </c>
      <c r="AW136">
        <v>387645.88419999997</v>
      </c>
    </row>
    <row r="137" spans="2:50" x14ac:dyDescent="0.25">
      <c r="B137" t="s">
        <v>208</v>
      </c>
      <c r="C137">
        <v>105875266.531468</v>
      </c>
      <c r="D137">
        <v>107575128.18195701</v>
      </c>
      <c r="E137">
        <v>109302281.7</v>
      </c>
      <c r="F137">
        <v>107860636.09999999</v>
      </c>
      <c r="G137">
        <v>105481673.59999999</v>
      </c>
      <c r="H137">
        <v>106240830.90000001</v>
      </c>
      <c r="I137">
        <v>104272422.5</v>
      </c>
      <c r="J137">
        <v>102307173.90000001</v>
      </c>
      <c r="K137">
        <v>100205983.59999999</v>
      </c>
      <c r="L137">
        <v>98619193.319999903</v>
      </c>
      <c r="M137">
        <v>97199179.739999995</v>
      </c>
      <c r="N137">
        <v>96220941.569999903</v>
      </c>
      <c r="O137">
        <v>95530835.530000001</v>
      </c>
      <c r="P137">
        <v>94733913.700000003</v>
      </c>
      <c r="Q137">
        <v>93795207.620000005</v>
      </c>
      <c r="R137">
        <v>93585819.099999994</v>
      </c>
      <c r="S137">
        <v>92185897.269999996</v>
      </c>
      <c r="T137">
        <v>90407882.799999997</v>
      </c>
      <c r="U137">
        <v>88179012.950000003</v>
      </c>
      <c r="V137">
        <v>85064529.700000003</v>
      </c>
      <c r="W137">
        <v>82431386.810000002</v>
      </c>
      <c r="X137">
        <v>79943241.469999999</v>
      </c>
      <c r="Y137">
        <v>77327721.909999996</v>
      </c>
      <c r="Z137">
        <v>74182006.260000005</v>
      </c>
      <c r="AA137">
        <v>70766026.640000001</v>
      </c>
      <c r="AB137">
        <v>67094387.560000002</v>
      </c>
      <c r="AC137">
        <v>63249834.619999997</v>
      </c>
      <c r="AD137">
        <v>58402198.789999999</v>
      </c>
      <c r="AE137">
        <v>53603849.509999998</v>
      </c>
      <c r="AF137">
        <v>48920414.049999997</v>
      </c>
      <c r="AG137">
        <v>44445003.770000003</v>
      </c>
      <c r="AH137">
        <v>40122595.210000001</v>
      </c>
      <c r="AI137">
        <v>35860852.109999999</v>
      </c>
      <c r="AJ137">
        <v>31784394.219999999</v>
      </c>
      <c r="AK137">
        <v>27849654.609999999</v>
      </c>
      <c r="AL137">
        <v>24141662.190000001</v>
      </c>
      <c r="AM137">
        <v>20488460.699999999</v>
      </c>
      <c r="AN137">
        <v>18085825.170000002</v>
      </c>
      <c r="AO137">
        <v>15789490.460000001</v>
      </c>
      <c r="AP137">
        <v>13580058.26</v>
      </c>
      <c r="AQ137">
        <v>11436270.02</v>
      </c>
      <c r="AR137">
        <v>9300914.7239999995</v>
      </c>
      <c r="AS137">
        <v>8448281.7290000003</v>
      </c>
      <c r="AT137">
        <v>7644801.5949999997</v>
      </c>
      <c r="AU137">
        <v>6890511.2860000003</v>
      </c>
      <c r="AV137">
        <v>6179094.8080000002</v>
      </c>
      <c r="AW137">
        <v>5506928.057</v>
      </c>
    </row>
    <row r="138" spans="2:50" x14ac:dyDescent="0.25">
      <c r="B138" t="s">
        <v>209</v>
      </c>
      <c r="C138">
        <v>105875266.531468</v>
      </c>
      <c r="D138">
        <v>107575128.18195701</v>
      </c>
      <c r="E138">
        <v>109302281.7</v>
      </c>
      <c r="F138">
        <v>107860636.09999999</v>
      </c>
      <c r="G138">
        <v>105481673.59999999</v>
      </c>
      <c r="H138">
        <v>106240830.90000001</v>
      </c>
      <c r="I138">
        <v>104272422.5</v>
      </c>
      <c r="J138">
        <v>102307173.90000001</v>
      </c>
      <c r="K138">
        <v>100205983.59999999</v>
      </c>
      <c r="L138">
        <v>98619193.319999903</v>
      </c>
      <c r="M138">
        <v>97199179.739999995</v>
      </c>
      <c r="N138">
        <v>96220941.569999903</v>
      </c>
      <c r="O138">
        <v>95530835.530000001</v>
      </c>
      <c r="P138">
        <v>94733913.700000003</v>
      </c>
      <c r="Q138">
        <v>93795207.620000005</v>
      </c>
      <c r="R138">
        <v>93585819.099999994</v>
      </c>
      <c r="S138">
        <v>92185897.269999996</v>
      </c>
      <c r="T138">
        <v>90407882.799999997</v>
      </c>
      <c r="U138">
        <v>88179012.950000003</v>
      </c>
      <c r="V138">
        <v>85064529.700000003</v>
      </c>
      <c r="W138">
        <v>82431386.810000002</v>
      </c>
      <c r="X138">
        <v>79943241.469999999</v>
      </c>
      <c r="Y138">
        <v>77327721.909999996</v>
      </c>
      <c r="Z138">
        <v>74182006.260000005</v>
      </c>
      <c r="AA138">
        <v>70766026.640000001</v>
      </c>
      <c r="AB138">
        <v>67094387.560000002</v>
      </c>
      <c r="AC138">
        <v>63249834.619999997</v>
      </c>
      <c r="AD138">
        <v>58402198.789999999</v>
      </c>
      <c r="AE138">
        <v>53603849.509999998</v>
      </c>
      <c r="AF138">
        <v>48920414.049999997</v>
      </c>
      <c r="AG138">
        <v>44445003.770000003</v>
      </c>
      <c r="AH138">
        <v>40122595.210000001</v>
      </c>
      <c r="AI138">
        <v>35860852.109999999</v>
      </c>
      <c r="AJ138">
        <v>31784394.219999999</v>
      </c>
      <c r="AK138">
        <v>27849654.609999999</v>
      </c>
      <c r="AL138">
        <v>24141662.190000001</v>
      </c>
      <c r="AM138">
        <v>20488460.699999999</v>
      </c>
      <c r="AN138">
        <v>18085825.170000002</v>
      </c>
      <c r="AO138">
        <v>15789490.460000001</v>
      </c>
      <c r="AP138">
        <v>13580058.26</v>
      </c>
      <c r="AQ138">
        <v>11436270.02</v>
      </c>
      <c r="AR138">
        <v>9300914.7239999995</v>
      </c>
      <c r="AS138">
        <v>8448281.7290000003</v>
      </c>
      <c r="AT138">
        <v>7644801.5949999997</v>
      </c>
      <c r="AU138">
        <v>6890511.2860000003</v>
      </c>
      <c r="AV138">
        <v>6179094.8080000002</v>
      </c>
      <c r="AW138">
        <v>5506928.057</v>
      </c>
    </row>
    <row r="139" spans="2:50" x14ac:dyDescent="0.25">
      <c r="B139" t="s">
        <v>210</v>
      </c>
      <c r="C139">
        <v>37938997.726415001</v>
      </c>
      <c r="D139">
        <v>38548120.6066292</v>
      </c>
      <c r="E139">
        <v>39167023.149999999</v>
      </c>
      <c r="F139">
        <v>38442354.469999999</v>
      </c>
      <c r="G139">
        <v>37171627.210000001</v>
      </c>
      <c r="H139">
        <v>36114302.390000001</v>
      </c>
      <c r="I139">
        <v>35888562.740000002</v>
      </c>
      <c r="J139">
        <v>34957766.289999999</v>
      </c>
      <c r="K139">
        <v>33385418.91</v>
      </c>
      <c r="L139">
        <v>32191831.100000001</v>
      </c>
      <c r="M139">
        <v>31423290.690000001</v>
      </c>
      <c r="N139">
        <v>30940899.010000002</v>
      </c>
      <c r="O139">
        <v>31559807.879999999</v>
      </c>
      <c r="P139">
        <v>31604771.559999999</v>
      </c>
      <c r="Q139">
        <v>30606373.359999999</v>
      </c>
      <c r="R139">
        <v>29813128.309999999</v>
      </c>
      <c r="S139">
        <v>29205199.699999999</v>
      </c>
      <c r="T139">
        <v>27351111.02</v>
      </c>
      <c r="U139">
        <v>25860669.550000001</v>
      </c>
      <c r="V139">
        <v>24412843.800000001</v>
      </c>
      <c r="W139">
        <v>24080089.030000001</v>
      </c>
      <c r="X139">
        <v>23281134.219999999</v>
      </c>
      <c r="Y139">
        <v>21938272.149999999</v>
      </c>
      <c r="Z139">
        <v>20625059.539999999</v>
      </c>
      <c r="AA139">
        <v>19340443.460000001</v>
      </c>
      <c r="AB139">
        <v>17882001.079999998</v>
      </c>
      <c r="AC139">
        <v>16516396.199999999</v>
      </c>
      <c r="AD139">
        <v>14571007.949999999</v>
      </c>
      <c r="AE139">
        <v>12730502.16</v>
      </c>
      <c r="AF139">
        <v>11007895.279999999</v>
      </c>
      <c r="AG139">
        <v>9986905.9839999899</v>
      </c>
      <c r="AH139">
        <v>9020411.1610000003</v>
      </c>
      <c r="AI139">
        <v>8098225.8169999998</v>
      </c>
      <c r="AJ139">
        <v>7237195.3909999998</v>
      </c>
      <c r="AK139">
        <v>6422930.7860000003</v>
      </c>
      <c r="AL139">
        <v>7305235.682</v>
      </c>
      <c r="AM139">
        <v>8115836.2209999999</v>
      </c>
      <c r="AN139">
        <v>6918798.3779999996</v>
      </c>
      <c r="AO139">
        <v>5756021.6220000004</v>
      </c>
      <c r="AP139">
        <v>4641287.409</v>
      </c>
      <c r="AQ139">
        <v>3570959.051</v>
      </c>
      <c r="AR139">
        <v>2536480.3810000001</v>
      </c>
      <c r="AS139">
        <v>2899495.199</v>
      </c>
      <c r="AT139">
        <v>3238829.5619999999</v>
      </c>
      <c r="AU139">
        <v>3550574.6349999998</v>
      </c>
      <c r="AV139">
        <v>3833668.5920000002</v>
      </c>
      <c r="AW139">
        <v>4090942.037</v>
      </c>
    </row>
    <row r="140" spans="2:50" x14ac:dyDescent="0.25">
      <c r="B140" t="s">
        <v>211</v>
      </c>
      <c r="C140">
        <v>37938997.726415001</v>
      </c>
      <c r="D140">
        <v>38548120.6066292</v>
      </c>
      <c r="E140">
        <v>39167023.149999999</v>
      </c>
      <c r="F140">
        <v>38442354.469999999</v>
      </c>
      <c r="G140">
        <v>37171627.210000001</v>
      </c>
      <c r="H140">
        <v>36114302.390000001</v>
      </c>
      <c r="I140">
        <v>35888562.740000002</v>
      </c>
      <c r="J140">
        <v>34957766.289999999</v>
      </c>
      <c r="K140">
        <v>33385418.91</v>
      </c>
      <c r="L140">
        <v>32191831.100000001</v>
      </c>
      <c r="M140">
        <v>31423290.690000001</v>
      </c>
      <c r="N140">
        <v>30940899.010000002</v>
      </c>
      <c r="O140">
        <v>31559807.879999999</v>
      </c>
      <c r="P140">
        <v>31604771.559999999</v>
      </c>
      <c r="Q140">
        <v>30606373.359999999</v>
      </c>
      <c r="R140">
        <v>29813128.309999999</v>
      </c>
      <c r="S140">
        <v>29205199.699999999</v>
      </c>
      <c r="T140">
        <v>27351111.02</v>
      </c>
      <c r="U140">
        <v>25860669.550000001</v>
      </c>
      <c r="V140">
        <v>24412843.800000001</v>
      </c>
      <c r="W140">
        <v>24080089.030000001</v>
      </c>
      <c r="X140">
        <v>23281134.219999999</v>
      </c>
      <c r="Y140">
        <v>21938272.149999999</v>
      </c>
      <c r="Z140">
        <v>20625059.539999999</v>
      </c>
      <c r="AA140">
        <v>19340443.460000001</v>
      </c>
      <c r="AB140">
        <v>17882001.079999998</v>
      </c>
      <c r="AC140">
        <v>16516396.199999999</v>
      </c>
      <c r="AD140">
        <v>14571007.949999999</v>
      </c>
      <c r="AE140">
        <v>12730502.16</v>
      </c>
      <c r="AF140">
        <v>11007895.279999999</v>
      </c>
      <c r="AG140">
        <v>9986905.9839999899</v>
      </c>
      <c r="AH140">
        <v>9020411.1610000003</v>
      </c>
      <c r="AI140">
        <v>8098225.8169999998</v>
      </c>
      <c r="AJ140">
        <v>7237195.3909999998</v>
      </c>
      <c r="AK140">
        <v>6422930.7860000003</v>
      </c>
      <c r="AL140">
        <v>7305235.682</v>
      </c>
      <c r="AM140">
        <v>8115836.2209999999</v>
      </c>
      <c r="AN140">
        <v>6918798.3779999996</v>
      </c>
      <c r="AO140">
        <v>5756021.6220000004</v>
      </c>
      <c r="AP140">
        <v>4641287.409</v>
      </c>
      <c r="AQ140">
        <v>3570959.051</v>
      </c>
      <c r="AR140">
        <v>2536480.3810000001</v>
      </c>
      <c r="AS140">
        <v>2899495.199</v>
      </c>
      <c r="AT140">
        <v>3238829.5619999999</v>
      </c>
      <c r="AU140">
        <v>3550574.6349999998</v>
      </c>
      <c r="AV140">
        <v>3833668.5920000002</v>
      </c>
      <c r="AW140">
        <v>4090942.037</v>
      </c>
    </row>
    <row r="141" spans="2:50" x14ac:dyDescent="0.25">
      <c r="B141" t="s">
        <v>212</v>
      </c>
      <c r="C141">
        <v>7249974.6999914004</v>
      </c>
      <c r="D141">
        <v>7366375.3888705196</v>
      </c>
      <c r="E141">
        <v>7487365.2489999998</v>
      </c>
      <c r="F141">
        <v>7687964.3770000003</v>
      </c>
      <c r="G141">
        <v>7314987.5549999997</v>
      </c>
      <c r="H141">
        <v>7646804.4119999995</v>
      </c>
      <c r="I141">
        <v>7854812.6940000001</v>
      </c>
      <c r="J141">
        <v>7419711.7070000004</v>
      </c>
      <c r="K141">
        <v>7116753.7170000002</v>
      </c>
      <c r="L141">
        <v>6893882.5959999999</v>
      </c>
      <c r="M141">
        <v>7339730.267</v>
      </c>
      <c r="N141">
        <v>7786537.1639999999</v>
      </c>
      <c r="O141">
        <v>8045619.3899999997</v>
      </c>
      <c r="P141">
        <v>8090045.1579999998</v>
      </c>
      <c r="Q141">
        <v>7528317.4759999998</v>
      </c>
      <c r="R141">
        <v>7515814.6040000003</v>
      </c>
      <c r="S141">
        <v>7559009.8930000002</v>
      </c>
      <c r="T141">
        <v>7593451.9230000004</v>
      </c>
      <c r="U141">
        <v>7601041.102</v>
      </c>
      <c r="V141">
        <v>7637813.2209999999</v>
      </c>
      <c r="W141">
        <v>7601330.3420000002</v>
      </c>
      <c r="X141">
        <v>7492751.6160000004</v>
      </c>
      <c r="Y141">
        <v>7499054.2410000004</v>
      </c>
      <c r="Z141">
        <v>7515002.4160000002</v>
      </c>
      <c r="AA141">
        <v>7529215.2719999999</v>
      </c>
      <c r="AB141">
        <v>7519960.4859999996</v>
      </c>
      <c r="AC141">
        <v>7485311.0990000004</v>
      </c>
      <c r="AD141">
        <v>7317176.0310000004</v>
      </c>
      <c r="AE141">
        <v>7139396.5630000001</v>
      </c>
      <c r="AF141">
        <v>6936860.3310000002</v>
      </c>
      <c r="AG141">
        <v>6732737.1749999998</v>
      </c>
      <c r="AH141">
        <v>6502591.6890000002</v>
      </c>
      <c r="AI141">
        <v>6227255.2410000004</v>
      </c>
      <c r="AJ141">
        <v>5920912.8219999997</v>
      </c>
      <c r="AK141">
        <v>5564134.9819999998</v>
      </c>
      <c r="AL141">
        <v>5225460.926</v>
      </c>
      <c r="AM141">
        <v>4821048.43</v>
      </c>
      <c r="AN141">
        <v>4544576.2139999997</v>
      </c>
      <c r="AO141">
        <v>4235084.3689999999</v>
      </c>
      <c r="AP141">
        <v>3882240.4440000001</v>
      </c>
      <c r="AQ141">
        <v>3479591.49</v>
      </c>
      <c r="AR141">
        <v>3014183.8820000002</v>
      </c>
      <c r="AS141">
        <v>2951370.159</v>
      </c>
      <c r="AT141">
        <v>2879639.0410000002</v>
      </c>
      <c r="AU141">
        <v>2801685.003</v>
      </c>
      <c r="AV141">
        <v>2714953.4160000002</v>
      </c>
      <c r="AW141">
        <v>2617737.1510000001</v>
      </c>
    </row>
    <row r="142" spans="2:50" x14ac:dyDescent="0.25">
      <c r="B142" t="s">
        <v>213</v>
      </c>
      <c r="C142">
        <v>11428306.3019633</v>
      </c>
      <c r="D142">
        <v>11611791.4562317</v>
      </c>
      <c r="E142">
        <v>11800890.689999999</v>
      </c>
      <c r="F142">
        <v>11972246.51</v>
      </c>
      <c r="G142">
        <v>11277514</v>
      </c>
      <c r="H142">
        <v>11411452.67</v>
      </c>
      <c r="I142">
        <v>11259902.210000001</v>
      </c>
      <c r="J142">
        <v>10925982.34</v>
      </c>
      <c r="K142">
        <v>10227970.939999999</v>
      </c>
      <c r="L142">
        <v>9941675.7970000003</v>
      </c>
      <c r="M142">
        <v>10034534.279999999</v>
      </c>
      <c r="N142">
        <v>10184533.369999999</v>
      </c>
      <c r="O142">
        <v>9461219.09799999</v>
      </c>
      <c r="P142">
        <v>8717157.5889999997</v>
      </c>
      <c r="Q142">
        <v>7836249.6950000003</v>
      </c>
      <c r="R142">
        <v>7294105.6699999999</v>
      </c>
      <c r="S142">
        <v>7028750.8810000001</v>
      </c>
      <c r="T142">
        <v>6875081.1880000001</v>
      </c>
      <c r="U142">
        <v>6802650.2429999998</v>
      </c>
      <c r="V142">
        <v>6743669.6900000004</v>
      </c>
      <c r="W142">
        <v>5894331.2199999997</v>
      </c>
      <c r="X142">
        <v>5005590.2510000002</v>
      </c>
      <c r="Y142">
        <v>4304143.375</v>
      </c>
      <c r="Z142">
        <v>3753404.3509999998</v>
      </c>
      <c r="AA142">
        <v>3313033.4440000001</v>
      </c>
      <c r="AB142">
        <v>2948732.1839999999</v>
      </c>
      <c r="AC142">
        <v>2640664.4330000002</v>
      </c>
      <c r="AD142">
        <v>2493397.81</v>
      </c>
      <c r="AE142">
        <v>2387345.0809999998</v>
      </c>
      <c r="AF142">
        <v>2281644.4500000002</v>
      </c>
      <c r="AG142">
        <v>2213821.9619999998</v>
      </c>
      <c r="AH142">
        <v>2135573.5120000001</v>
      </c>
      <c r="AI142">
        <v>2041496.34</v>
      </c>
      <c r="AJ142">
        <v>1940693.433</v>
      </c>
      <c r="AK142">
        <v>1825746.56</v>
      </c>
      <c r="AL142">
        <v>1843706.6470000001</v>
      </c>
      <c r="AM142">
        <v>1846545.598</v>
      </c>
      <c r="AN142">
        <v>1712229.716</v>
      </c>
      <c r="AO142">
        <v>1566193.6310000001</v>
      </c>
      <c r="AP142">
        <v>1404729.9350000001</v>
      </c>
      <c r="AQ142">
        <v>1225849.209</v>
      </c>
      <c r="AR142">
        <v>1025539.937</v>
      </c>
      <c r="AS142">
        <v>1062242.2960000001</v>
      </c>
      <c r="AT142">
        <v>1096831.5789999999</v>
      </c>
      <c r="AU142">
        <v>1130474.8570000001</v>
      </c>
      <c r="AV142">
        <v>1162383.6240000001</v>
      </c>
      <c r="AW142">
        <v>1192090.659</v>
      </c>
    </row>
    <row r="143" spans="2:50" x14ac:dyDescent="0.25">
      <c r="B143" t="s">
        <v>214</v>
      </c>
      <c r="C143">
        <v>1153294.1412084801</v>
      </c>
      <c r="D143">
        <v>1171810.6516891399</v>
      </c>
      <c r="E143">
        <v>1190798.162</v>
      </c>
      <c r="F143">
        <v>1181023.5859999999</v>
      </c>
      <c r="G143">
        <v>1106010.203</v>
      </c>
      <c r="H143">
        <v>957152.21849999996</v>
      </c>
      <c r="I143">
        <v>1036791.228</v>
      </c>
      <c r="J143">
        <v>1012988.627</v>
      </c>
      <c r="K143">
        <v>966109.23</v>
      </c>
      <c r="L143">
        <v>952177.63710000005</v>
      </c>
      <c r="M143">
        <v>986106.55310000002</v>
      </c>
      <c r="N143">
        <v>1082697.2549999999</v>
      </c>
      <c r="O143">
        <v>1031587.52</v>
      </c>
      <c r="P143">
        <v>968330.29980000004</v>
      </c>
      <c r="Q143">
        <v>860821.9314</v>
      </c>
      <c r="R143">
        <v>799814.14899999998</v>
      </c>
      <c r="S143">
        <v>702710.58849999995</v>
      </c>
      <c r="T143">
        <v>681235.63950000005</v>
      </c>
      <c r="U143">
        <v>658462.23609999998</v>
      </c>
      <c r="V143">
        <v>655685.97420000006</v>
      </c>
      <c r="W143">
        <v>546467.64749999996</v>
      </c>
      <c r="X143">
        <v>432445.77909999999</v>
      </c>
      <c r="Y143">
        <v>332834.68569999997</v>
      </c>
      <c r="Z143">
        <v>268450.22249999997</v>
      </c>
      <c r="AA143">
        <v>221675.1924</v>
      </c>
      <c r="AB143">
        <v>185582.2023</v>
      </c>
      <c r="AC143">
        <v>157387.68609999999</v>
      </c>
      <c r="AD143">
        <v>142746.81159999999</v>
      </c>
      <c r="AE143">
        <v>132193.01800000001</v>
      </c>
      <c r="AF143">
        <v>122665.2766</v>
      </c>
      <c r="AG143">
        <v>117047.40850000001</v>
      </c>
      <c r="AH143">
        <v>111435.4088</v>
      </c>
      <c r="AI143">
        <v>105799.3766</v>
      </c>
      <c r="AJ143">
        <v>99576.779930000004</v>
      </c>
      <c r="AK143">
        <v>92603.304659999994</v>
      </c>
      <c r="AL143">
        <v>96858.655910000001</v>
      </c>
      <c r="AM143">
        <v>100589.77559999999</v>
      </c>
      <c r="AN143">
        <v>91123.463199999998</v>
      </c>
      <c r="AO143">
        <v>81290.216090000002</v>
      </c>
      <c r="AP143">
        <v>70903.786470000006</v>
      </c>
      <c r="AQ143">
        <v>59896.367509999996</v>
      </c>
      <c r="AR143">
        <v>48313.404609999998</v>
      </c>
      <c r="AS143">
        <v>51405.133329999997</v>
      </c>
      <c r="AT143">
        <v>54455.142679999997</v>
      </c>
      <c r="AU143">
        <v>57467.051359999998</v>
      </c>
      <c r="AV143">
        <v>60397.553890000003</v>
      </c>
      <c r="AW143">
        <v>63178.03398</v>
      </c>
    </row>
    <row r="144" spans="2:50" x14ac:dyDescent="0.25">
      <c r="B144" t="s">
        <v>215</v>
      </c>
      <c r="C144">
        <v>6211298.5004764497</v>
      </c>
      <c r="D144">
        <v>6311022.9070030199</v>
      </c>
      <c r="E144">
        <v>6414338.9579999996</v>
      </c>
      <c r="F144">
        <v>6441446.7960000001</v>
      </c>
      <c r="G144">
        <v>5827049.0209999997</v>
      </c>
      <c r="H144">
        <v>5202274.1469999999</v>
      </c>
      <c r="I144">
        <v>4565497.1030000001</v>
      </c>
      <c r="J144">
        <v>4794049.8530000001</v>
      </c>
      <c r="K144">
        <v>4285197.6619999995</v>
      </c>
      <c r="L144">
        <v>4082867.8530000001</v>
      </c>
      <c r="M144">
        <v>4152070.662</v>
      </c>
      <c r="N144">
        <v>4217007.0209999997</v>
      </c>
      <c r="O144">
        <v>4003555.3939999999</v>
      </c>
      <c r="P144">
        <v>3704360.2910000002</v>
      </c>
      <c r="Q144">
        <v>3341176.5329999998</v>
      </c>
      <c r="R144">
        <v>3061729.5290000001</v>
      </c>
      <c r="S144">
        <v>2817803.7829999998</v>
      </c>
      <c r="T144">
        <v>2681632.852</v>
      </c>
      <c r="U144">
        <v>2528695.7409999999</v>
      </c>
      <c r="V144">
        <v>2377710.7510000002</v>
      </c>
      <c r="W144">
        <v>2137036.213</v>
      </c>
      <c r="X144">
        <v>1843803.7890000001</v>
      </c>
      <c r="Y144">
        <v>1705468.7960000001</v>
      </c>
      <c r="Z144">
        <v>1636274.8259999999</v>
      </c>
      <c r="AA144">
        <v>1607366.209</v>
      </c>
      <c r="AB144">
        <v>1605865.463</v>
      </c>
      <c r="AC144">
        <v>1630567.145</v>
      </c>
      <c r="AD144">
        <v>1535736.2390000001</v>
      </c>
      <c r="AE144">
        <v>1464560.689</v>
      </c>
      <c r="AF144">
        <v>1394224.986</v>
      </c>
      <c r="AG144">
        <v>1345226.3940000001</v>
      </c>
      <c r="AH144">
        <v>1290620.8929999999</v>
      </c>
      <c r="AI144">
        <v>1228525.922</v>
      </c>
      <c r="AJ144">
        <v>1162458.3970000001</v>
      </c>
      <c r="AK144">
        <v>1089195.588</v>
      </c>
      <c r="AL144">
        <v>1085832.281</v>
      </c>
      <c r="AM144">
        <v>1073197.041</v>
      </c>
      <c r="AN144">
        <v>988870.84620000003</v>
      </c>
      <c r="AO144">
        <v>898714.27619999996</v>
      </c>
      <c r="AP144">
        <v>802071.86510000005</v>
      </c>
      <c r="AQ144">
        <v>698124.35699999996</v>
      </c>
      <c r="AR144">
        <v>584722.50560000003</v>
      </c>
      <c r="AS144">
        <v>596851.57409999997</v>
      </c>
      <c r="AT144">
        <v>607287.29850000003</v>
      </c>
      <c r="AU144">
        <v>616668.23829999997</v>
      </c>
      <c r="AV144">
        <v>624615.0808</v>
      </c>
      <c r="AW144">
        <v>630990.11540000001</v>
      </c>
    </row>
    <row r="145" spans="2:49" x14ac:dyDescent="0.25">
      <c r="B145" t="s">
        <v>216</v>
      </c>
      <c r="C145">
        <v>19068539.7330263</v>
      </c>
      <c r="D145">
        <v>19374691.306334</v>
      </c>
      <c r="E145">
        <v>19692663.129999999</v>
      </c>
      <c r="F145">
        <v>19853506.09</v>
      </c>
      <c r="G145">
        <v>18039703.539999999</v>
      </c>
      <c r="H145">
        <v>16044152.85</v>
      </c>
      <c r="I145">
        <v>14758811.609999999</v>
      </c>
      <c r="J145">
        <v>15769489.689999999</v>
      </c>
      <c r="K145">
        <v>14123115.880000001</v>
      </c>
      <c r="L145">
        <v>13504642.050000001</v>
      </c>
      <c r="M145">
        <v>13770703.02</v>
      </c>
      <c r="N145">
        <v>13971879.09</v>
      </c>
      <c r="O145">
        <v>13351602.07</v>
      </c>
      <c r="P145">
        <v>12406110.880000001</v>
      </c>
      <c r="Q145">
        <v>11200714.890000001</v>
      </c>
      <c r="R145">
        <v>10324737.119999999</v>
      </c>
      <c r="S145">
        <v>9536095.6750000007</v>
      </c>
      <c r="T145">
        <v>9365166.6380000003</v>
      </c>
      <c r="U145">
        <v>8953139.0260000005</v>
      </c>
      <c r="V145">
        <v>8618032.6569999997</v>
      </c>
      <c r="W145">
        <v>7441345.9170000004</v>
      </c>
      <c r="X145">
        <v>6137835.7609999999</v>
      </c>
      <c r="Y145">
        <v>5332107.6330000004</v>
      </c>
      <c r="Z145">
        <v>4733394.8909999998</v>
      </c>
      <c r="AA145">
        <v>4245541.7750000004</v>
      </c>
      <c r="AB145">
        <v>3826410.5440000002</v>
      </c>
      <c r="AC145">
        <v>3480184.639</v>
      </c>
      <c r="AD145">
        <v>3344457.6370000001</v>
      </c>
      <c r="AE145">
        <v>3236059.4330000002</v>
      </c>
      <c r="AF145">
        <v>3126393.69</v>
      </c>
      <c r="AG145">
        <v>3029615.0780000002</v>
      </c>
      <c r="AH145">
        <v>2924968.2590000001</v>
      </c>
      <c r="AI145">
        <v>2803312.7</v>
      </c>
      <c r="AJ145">
        <v>2665159.0839999998</v>
      </c>
      <c r="AK145">
        <v>2512343.4739999999</v>
      </c>
      <c r="AL145">
        <v>2398527.9720000001</v>
      </c>
      <c r="AM145">
        <v>2263688.4470000002</v>
      </c>
      <c r="AN145">
        <v>2132745.2769999998</v>
      </c>
      <c r="AO145">
        <v>1981108.2409999999</v>
      </c>
      <c r="AP145">
        <v>1812387.32</v>
      </c>
      <c r="AQ145">
        <v>1626430.67</v>
      </c>
      <c r="AR145">
        <v>1413224.49</v>
      </c>
      <c r="AS145">
        <v>1395830.389</v>
      </c>
      <c r="AT145">
        <v>1378328.4979999999</v>
      </c>
      <c r="AU145">
        <v>1358089.004</v>
      </c>
      <c r="AV145">
        <v>1333969.639</v>
      </c>
      <c r="AW145">
        <v>1307710.4380000001</v>
      </c>
    </row>
    <row r="146" spans="2:49" x14ac:dyDescent="0.25">
      <c r="B146" t="s">
        <v>217</v>
      </c>
      <c r="C146">
        <v>14426006.8404216</v>
      </c>
      <c r="D146">
        <v>14657621.046468699</v>
      </c>
      <c r="E146">
        <v>14897820.91</v>
      </c>
      <c r="F146">
        <v>14865153.460000001</v>
      </c>
      <c r="G146">
        <v>13692369.43</v>
      </c>
      <c r="H146">
        <v>12732258.619999999</v>
      </c>
      <c r="I146">
        <v>11128758.48</v>
      </c>
      <c r="J146">
        <v>10033750.26</v>
      </c>
      <c r="K146">
        <v>9124963.1809999999</v>
      </c>
      <c r="L146">
        <v>8992739.8029999901</v>
      </c>
      <c r="M146">
        <v>8906041.6390000004</v>
      </c>
      <c r="N146">
        <v>9194354.9969999995</v>
      </c>
      <c r="O146">
        <v>8436359.7809999995</v>
      </c>
      <c r="P146">
        <v>7547805.6869999999</v>
      </c>
      <c r="Q146">
        <v>6763842.693</v>
      </c>
      <c r="R146">
        <v>6101633.9390000002</v>
      </c>
      <c r="S146">
        <v>5650787.8789999997</v>
      </c>
      <c r="T146">
        <v>5388542.7790000001</v>
      </c>
      <c r="U146">
        <v>5049804.7130000005</v>
      </c>
      <c r="V146">
        <v>4709239.4890000001</v>
      </c>
      <c r="W146">
        <v>4059734.8829999999</v>
      </c>
      <c r="X146">
        <v>3365604.7119999998</v>
      </c>
      <c r="Y146">
        <v>3022884.3640000001</v>
      </c>
      <c r="Z146">
        <v>2818168.55</v>
      </c>
      <c r="AA146">
        <v>2688504.764</v>
      </c>
      <c r="AB146">
        <v>2609991.503</v>
      </c>
      <c r="AC146">
        <v>2579513.0159999998</v>
      </c>
      <c r="AD146">
        <v>2453268.068</v>
      </c>
      <c r="AE146">
        <v>2363989.3160000001</v>
      </c>
      <c r="AF146">
        <v>2276574.4649999999</v>
      </c>
      <c r="AG146">
        <v>2215732.62</v>
      </c>
      <c r="AH146">
        <v>2145094.4049999998</v>
      </c>
      <c r="AI146">
        <v>2061537.983</v>
      </c>
      <c r="AJ146">
        <v>1971365.544</v>
      </c>
      <c r="AK146">
        <v>1869050.6329999999</v>
      </c>
      <c r="AL146">
        <v>1851716.5390000001</v>
      </c>
      <c r="AM146">
        <v>1818764.629</v>
      </c>
      <c r="AN146">
        <v>1705831.9750000001</v>
      </c>
      <c r="AO146">
        <v>1581304.8119999999</v>
      </c>
      <c r="AP146">
        <v>1443946.814</v>
      </c>
      <c r="AQ146">
        <v>1292225.2919999999</v>
      </c>
      <c r="AR146">
        <v>1121701.9739999999</v>
      </c>
      <c r="AS146">
        <v>1138935.9639999999</v>
      </c>
      <c r="AT146">
        <v>1153686.3459999999</v>
      </c>
      <c r="AU146">
        <v>1166904.5190000001</v>
      </c>
      <c r="AV146">
        <v>1177768.5530000001</v>
      </c>
      <c r="AW146">
        <v>1186056.642</v>
      </c>
    </row>
    <row r="147" spans="2:49" x14ac:dyDescent="0.25">
      <c r="B147" t="s">
        <v>218</v>
      </c>
      <c r="C147">
        <v>9279692.21316991</v>
      </c>
      <c r="D147">
        <v>9428680.6732538398</v>
      </c>
      <c r="E147">
        <v>9581386.1769999899</v>
      </c>
      <c r="F147">
        <v>9543130.534</v>
      </c>
      <c r="G147">
        <v>9142624.1879999898</v>
      </c>
      <c r="H147">
        <v>8588572.4550000001</v>
      </c>
      <c r="I147">
        <v>8222942.7560000001</v>
      </c>
      <c r="J147">
        <v>7977006.7010000004</v>
      </c>
      <c r="K147">
        <v>7575825.9759999998</v>
      </c>
      <c r="L147">
        <v>7504097.4649999999</v>
      </c>
      <c r="M147">
        <v>7474260.6140000001</v>
      </c>
      <c r="N147">
        <v>7729492.557</v>
      </c>
      <c r="O147">
        <v>7563770.5619999999</v>
      </c>
      <c r="P147">
        <v>7307417.2560000001</v>
      </c>
      <c r="Q147">
        <v>6954559.7039999999</v>
      </c>
      <c r="R147">
        <v>6821421.1799999997</v>
      </c>
      <c r="S147">
        <v>6591283.7170000002</v>
      </c>
      <c r="T147">
        <v>6453944.1950000003</v>
      </c>
      <c r="U147">
        <v>6214739.9689999996</v>
      </c>
      <c r="V147">
        <v>6003910.142</v>
      </c>
      <c r="W147">
        <v>5314128.8039999995</v>
      </c>
      <c r="X147">
        <v>4531094.4859999996</v>
      </c>
      <c r="Y147">
        <v>3965460.5890000002</v>
      </c>
      <c r="Z147">
        <v>3561200.8569999998</v>
      </c>
      <c r="AA147">
        <v>3247402.0269999998</v>
      </c>
      <c r="AB147">
        <v>2999485.003</v>
      </c>
      <c r="AC147">
        <v>2803734.5929999999</v>
      </c>
      <c r="AD147">
        <v>2636602.9750000001</v>
      </c>
      <c r="AE147">
        <v>2504605.7319999998</v>
      </c>
      <c r="AF147">
        <v>2374251.2590000001</v>
      </c>
      <c r="AG147">
        <v>2301491.9339999999</v>
      </c>
      <c r="AH147">
        <v>2221612.9909999999</v>
      </c>
      <c r="AI147">
        <v>2130265.1340000001</v>
      </c>
      <c r="AJ147">
        <v>2033821.4010000001</v>
      </c>
      <c r="AK147">
        <v>1928420.17</v>
      </c>
      <c r="AL147">
        <v>2018705.3759999999</v>
      </c>
      <c r="AM147">
        <v>2100252.298</v>
      </c>
      <c r="AN147">
        <v>1947589.92</v>
      </c>
      <c r="AO147">
        <v>1785739.1310000001</v>
      </c>
      <c r="AP147">
        <v>1612221.9509999999</v>
      </c>
      <c r="AQ147">
        <v>1425435.5449999999</v>
      </c>
      <c r="AR147">
        <v>1221669.841</v>
      </c>
      <c r="AS147">
        <v>1288733.423</v>
      </c>
      <c r="AT147">
        <v>1354802.615</v>
      </c>
      <c r="AU147">
        <v>1420547.777</v>
      </c>
      <c r="AV147">
        <v>1485279.5430000001</v>
      </c>
      <c r="AW147">
        <v>1548862.044</v>
      </c>
    </row>
    <row r="148" spans="2:49" x14ac:dyDescent="0.25">
      <c r="B148" t="s">
        <v>219</v>
      </c>
      <c r="C148">
        <v>10783636.5742715</v>
      </c>
      <c r="D148">
        <v>10956771.347537501</v>
      </c>
      <c r="E148">
        <v>11150806.48</v>
      </c>
      <c r="F148">
        <v>11155248.369999999</v>
      </c>
      <c r="G148">
        <v>11099222.32</v>
      </c>
      <c r="H148">
        <v>10297304.85</v>
      </c>
      <c r="I148">
        <v>10630261.92</v>
      </c>
      <c r="J148">
        <v>10707797.460000001</v>
      </c>
      <c r="K148">
        <v>10466541.49</v>
      </c>
      <c r="L148">
        <v>10414625.02</v>
      </c>
      <c r="M148">
        <v>10418313.140000001</v>
      </c>
      <c r="N148">
        <v>10715459.859999999</v>
      </c>
      <c r="O148">
        <v>10792197.550000001</v>
      </c>
      <c r="P148">
        <v>10935285.75</v>
      </c>
      <c r="Q148">
        <v>10884976.449999999</v>
      </c>
      <c r="R148">
        <v>11078643.359999999</v>
      </c>
      <c r="S148">
        <v>11052385.439999999</v>
      </c>
      <c r="T148">
        <v>10901180.539999999</v>
      </c>
      <c r="U148">
        <v>10836768.460000001</v>
      </c>
      <c r="V148">
        <v>10760735.15</v>
      </c>
      <c r="W148">
        <v>10534409.51</v>
      </c>
      <c r="X148">
        <v>10223391.43</v>
      </c>
      <c r="Y148">
        <v>9932460.6349999998</v>
      </c>
      <c r="Z148">
        <v>9687931.0010000002</v>
      </c>
      <c r="AA148">
        <v>9473103.1799999997</v>
      </c>
      <c r="AB148">
        <v>9320439.1689999998</v>
      </c>
      <c r="AC148">
        <v>9194288.3110000007</v>
      </c>
      <c r="AD148">
        <v>8782673.0930000003</v>
      </c>
      <c r="AE148">
        <v>8382838.6670000004</v>
      </c>
      <c r="AF148">
        <v>7972616.6030000001</v>
      </c>
      <c r="AG148">
        <v>7657417.1900000004</v>
      </c>
      <c r="AH148">
        <v>7325388.1639999999</v>
      </c>
      <c r="AI148">
        <v>6954627.9309999999</v>
      </c>
      <c r="AJ148">
        <v>6558980.3660000004</v>
      </c>
      <c r="AK148">
        <v>6123897.4100000001</v>
      </c>
      <c r="AL148">
        <v>5999836.3269999996</v>
      </c>
      <c r="AM148">
        <v>5818579.3190000001</v>
      </c>
      <c r="AN148">
        <v>5390514.3779999996</v>
      </c>
      <c r="AO148">
        <v>4930230.801</v>
      </c>
      <c r="AP148">
        <v>4431383.0259999996</v>
      </c>
      <c r="AQ148">
        <v>3886920.466</v>
      </c>
      <c r="AR148">
        <v>3286061.26</v>
      </c>
      <c r="AS148">
        <v>3323045.92</v>
      </c>
      <c r="AT148">
        <v>3353709.3539999998</v>
      </c>
      <c r="AU148">
        <v>3378197.2650000001</v>
      </c>
      <c r="AV148">
        <v>3394892.5290000001</v>
      </c>
      <c r="AW148">
        <v>3402700.8820000002</v>
      </c>
    </row>
    <row r="149" spans="2:49" x14ac:dyDescent="0.25">
      <c r="B149" t="s">
        <v>220</v>
      </c>
      <c r="C149">
        <v>584010.86634464201</v>
      </c>
      <c r="D149">
        <v>593387.34970747295</v>
      </c>
      <c r="E149">
        <v>603045.05370000005</v>
      </c>
      <c r="F149">
        <v>619094.54310000001</v>
      </c>
      <c r="G149">
        <v>586723.84770000004</v>
      </c>
      <c r="H149">
        <v>507164.0895</v>
      </c>
      <c r="I149">
        <v>525543.22930000001</v>
      </c>
      <c r="J149">
        <v>526875.11860000005</v>
      </c>
      <c r="K149">
        <v>485171.94130000001</v>
      </c>
      <c r="L149">
        <v>453737.92810000002</v>
      </c>
      <c r="M149">
        <v>444664.36070000002</v>
      </c>
      <c r="N149">
        <v>467867.35379999998</v>
      </c>
      <c r="O149">
        <v>446341.51669999998</v>
      </c>
      <c r="P149">
        <v>428352.84129999997</v>
      </c>
      <c r="Q149">
        <v>397711.3529</v>
      </c>
      <c r="R149">
        <v>368386.22409999999</v>
      </c>
      <c r="S149">
        <v>350640.6789</v>
      </c>
      <c r="T149">
        <v>346418.75069999998</v>
      </c>
      <c r="U149">
        <v>338627.42479999998</v>
      </c>
      <c r="V149">
        <v>335822.67879999999</v>
      </c>
      <c r="W149">
        <v>287863.47100000002</v>
      </c>
      <c r="X149">
        <v>245385.7599</v>
      </c>
      <c r="Y149">
        <v>214812.41819999999</v>
      </c>
      <c r="Z149">
        <v>194279.16260000001</v>
      </c>
      <c r="AA149">
        <v>179152.86850000001</v>
      </c>
      <c r="AB149">
        <v>167337.30100000001</v>
      </c>
      <c r="AC149">
        <v>157968.57579999999</v>
      </c>
      <c r="AD149">
        <v>149821.43969999999</v>
      </c>
      <c r="AE149">
        <v>143201.8842</v>
      </c>
      <c r="AF149">
        <v>136583.45929999999</v>
      </c>
      <c r="AG149">
        <v>131227.77420000001</v>
      </c>
      <c r="AH149">
        <v>125593.8009</v>
      </c>
      <c r="AI149">
        <v>119322.34</v>
      </c>
      <c r="AJ149">
        <v>112407.29369999999</v>
      </c>
      <c r="AK149">
        <v>104722.8753</v>
      </c>
      <c r="AL149">
        <v>101336.60219999999</v>
      </c>
      <c r="AM149">
        <v>97007.22292</v>
      </c>
      <c r="AN149">
        <v>89776.769870000004</v>
      </c>
      <c r="AO149">
        <v>82029.129870000004</v>
      </c>
      <c r="AP149">
        <v>73615.842789999995</v>
      </c>
      <c r="AQ149">
        <v>64454.277909999997</v>
      </c>
      <c r="AR149">
        <v>54340.269110000001</v>
      </c>
      <c r="AS149">
        <v>54437.786500000002</v>
      </c>
      <c r="AT149">
        <v>54450.279569999999</v>
      </c>
      <c r="AU149">
        <v>54370.796970000003</v>
      </c>
      <c r="AV149">
        <v>54164.718309999997</v>
      </c>
      <c r="AW149">
        <v>53822.22939</v>
      </c>
    </row>
    <row r="150" spans="2:49" x14ac:dyDescent="0.25">
      <c r="B150" t="s">
        <v>221</v>
      </c>
      <c r="C150">
        <v>22712835.5539211</v>
      </c>
      <c r="D150">
        <v>23077497.475414101</v>
      </c>
      <c r="E150">
        <v>23460488.449999999</v>
      </c>
      <c r="F150">
        <v>23550894.68</v>
      </c>
      <c r="G150">
        <v>19990817.68</v>
      </c>
      <c r="H150">
        <v>16633562.59</v>
      </c>
      <c r="I150">
        <v>17081220.460000001</v>
      </c>
      <c r="J150">
        <v>16676859.24</v>
      </c>
      <c r="K150">
        <v>15802209.390000001</v>
      </c>
      <c r="L150">
        <v>16453900.439999999</v>
      </c>
      <c r="M150">
        <v>16816905.23</v>
      </c>
      <c r="N150">
        <v>17152971.09</v>
      </c>
      <c r="O150">
        <v>14363320.460000001</v>
      </c>
      <c r="P150">
        <v>13045125.91</v>
      </c>
      <c r="Q150">
        <v>11927980.83</v>
      </c>
      <c r="R150">
        <v>10988925.699999999</v>
      </c>
      <c r="S150">
        <v>10314573.539999999</v>
      </c>
      <c r="T150">
        <v>10332960.35</v>
      </c>
      <c r="U150">
        <v>10186139.029999999</v>
      </c>
      <c r="V150">
        <v>10193852.720000001</v>
      </c>
      <c r="W150">
        <v>9447579.6229999997</v>
      </c>
      <c r="X150">
        <v>8568537.3110000007</v>
      </c>
      <c r="Y150">
        <v>7941894.2199999997</v>
      </c>
      <c r="Z150">
        <v>7529137.6909999996</v>
      </c>
      <c r="AA150">
        <v>7214448.4910000004</v>
      </c>
      <c r="AB150">
        <v>6953744.2470000004</v>
      </c>
      <c r="AC150">
        <v>6743177.5159999998</v>
      </c>
      <c r="AD150">
        <v>6702378.8739999998</v>
      </c>
      <c r="AE150">
        <v>6707754.5669999998</v>
      </c>
      <c r="AF150">
        <v>6722689.3190000001</v>
      </c>
      <c r="AG150">
        <v>6754609.5750000002</v>
      </c>
      <c r="AH150">
        <v>6789345.1969999997</v>
      </c>
      <c r="AI150">
        <v>6834855.3990000002</v>
      </c>
      <c r="AJ150">
        <v>6881815.5999999996</v>
      </c>
      <c r="AK150">
        <v>6931663.7860000003</v>
      </c>
      <c r="AL150">
        <v>7018178.3969999999</v>
      </c>
      <c r="AM150">
        <v>7109058.0700000003</v>
      </c>
      <c r="AN150">
        <v>7124203.5779999997</v>
      </c>
      <c r="AO150">
        <v>7134058.1849999996</v>
      </c>
      <c r="AP150">
        <v>7136471.0700000003</v>
      </c>
      <c r="AQ150">
        <v>7134362.2790000001</v>
      </c>
      <c r="AR150">
        <v>7121554.0700000003</v>
      </c>
      <c r="AS150">
        <v>7157922.0039999997</v>
      </c>
      <c r="AT150">
        <v>7197105.4759999998</v>
      </c>
      <c r="AU150">
        <v>7235486.5140000004</v>
      </c>
      <c r="AV150">
        <v>7270633.7010000004</v>
      </c>
      <c r="AW150">
        <v>7304438.1849999996</v>
      </c>
    </row>
    <row r="151" spans="2:49" x14ac:dyDescent="0.25">
      <c r="B151" t="s">
        <v>222</v>
      </c>
      <c r="C151">
        <v>611949.61832884501</v>
      </c>
      <c r="D151">
        <v>621774.66739182698</v>
      </c>
      <c r="E151">
        <v>631757.4608</v>
      </c>
      <c r="F151">
        <v>620273.50589999999</v>
      </c>
      <c r="G151">
        <v>558597.26870000002</v>
      </c>
      <c r="H151">
        <v>469464.23690000002</v>
      </c>
      <c r="I151">
        <v>503985.47749999998</v>
      </c>
      <c r="J151">
        <v>488113.02500000002</v>
      </c>
      <c r="K151">
        <v>440809.47619999998</v>
      </c>
      <c r="L151">
        <v>418992.364</v>
      </c>
      <c r="M151">
        <v>418037.27830000001</v>
      </c>
      <c r="N151">
        <v>419042.21220000001</v>
      </c>
      <c r="O151">
        <v>387905.8297</v>
      </c>
      <c r="P151">
        <v>374722.11210000003</v>
      </c>
      <c r="Q151">
        <v>333302.81229999999</v>
      </c>
      <c r="R151">
        <v>306928.15759999998</v>
      </c>
      <c r="S151">
        <v>295513.946</v>
      </c>
      <c r="T151">
        <v>294744.2352</v>
      </c>
      <c r="U151">
        <v>284135.32280000002</v>
      </c>
      <c r="V151">
        <v>280539.45750000002</v>
      </c>
      <c r="W151">
        <v>217701.5809</v>
      </c>
      <c r="X151">
        <v>166151.26</v>
      </c>
      <c r="Y151">
        <v>128539.86719999999</v>
      </c>
      <c r="Z151">
        <v>105091.1862</v>
      </c>
      <c r="AA151">
        <v>88812.081219999905</v>
      </c>
      <c r="AB151">
        <v>77017.709950000004</v>
      </c>
      <c r="AC151">
        <v>68192.434070000003</v>
      </c>
      <c r="AD151">
        <v>60610.052340000002</v>
      </c>
      <c r="AE151">
        <v>54680.542880000001</v>
      </c>
      <c r="AF151">
        <v>48988.930359999998</v>
      </c>
      <c r="AG151">
        <v>46224.25763</v>
      </c>
      <c r="AH151">
        <v>43429.972829999999</v>
      </c>
      <c r="AI151">
        <v>40472.925000000003</v>
      </c>
      <c r="AJ151">
        <v>37480.187189999997</v>
      </c>
      <c r="AK151">
        <v>34432.787759999999</v>
      </c>
      <c r="AL151">
        <v>41152.308799999999</v>
      </c>
      <c r="AM151">
        <v>47943.921430000002</v>
      </c>
      <c r="AN151">
        <v>42154.961410000004</v>
      </c>
      <c r="AO151">
        <v>36247.930959999998</v>
      </c>
      <c r="AP151">
        <v>30147.83685</v>
      </c>
      <c r="AQ151">
        <v>23879.086429999999</v>
      </c>
      <c r="AR151">
        <v>17414.690849999999</v>
      </c>
      <c r="AS151">
        <v>20761.366020000001</v>
      </c>
      <c r="AT151">
        <v>24154.640289999999</v>
      </c>
      <c r="AU151">
        <v>27602.893220000002</v>
      </c>
      <c r="AV151">
        <v>31096.79725</v>
      </c>
      <c r="AW151">
        <v>34647.630089999999</v>
      </c>
    </row>
    <row r="152" spans="2:49" x14ac:dyDescent="0.25">
      <c r="B152" t="s">
        <v>223</v>
      </c>
      <c r="C152">
        <v>18604230.451297902</v>
      </c>
      <c r="D152">
        <v>18902927.3889024</v>
      </c>
      <c r="E152">
        <v>19209702.579999998</v>
      </c>
      <c r="F152">
        <v>19523657.620000001</v>
      </c>
      <c r="G152">
        <v>18333440.629999999</v>
      </c>
      <c r="H152">
        <v>16861373.59</v>
      </c>
      <c r="I152">
        <v>16990304.98</v>
      </c>
      <c r="J152">
        <v>16549625.6</v>
      </c>
      <c r="K152">
        <v>15660293.65</v>
      </c>
      <c r="L152">
        <v>15333564.550000001</v>
      </c>
      <c r="M152">
        <v>15379527.029999999</v>
      </c>
      <c r="N152">
        <v>15750766.23</v>
      </c>
      <c r="O152">
        <v>14955305.82</v>
      </c>
      <c r="P152">
        <v>14164061.390000001</v>
      </c>
      <c r="Q152">
        <v>13145111.98</v>
      </c>
      <c r="R152">
        <v>12842707.68</v>
      </c>
      <c r="S152">
        <v>12491195.93</v>
      </c>
      <c r="T152">
        <v>12559900.310000001</v>
      </c>
      <c r="U152">
        <v>12350900.85</v>
      </c>
      <c r="V152">
        <v>12307141.789999999</v>
      </c>
      <c r="W152">
        <v>10501861.1</v>
      </c>
      <c r="X152">
        <v>8802848.5429999996</v>
      </c>
      <c r="Y152">
        <v>7453414.3380000005</v>
      </c>
      <c r="Z152">
        <v>6487030.2810000004</v>
      </c>
      <c r="AA152">
        <v>5729343.1840000004</v>
      </c>
      <c r="AB152">
        <v>5109599.318</v>
      </c>
      <c r="AC152">
        <v>4595607.3</v>
      </c>
      <c r="AD152">
        <v>4341740.2010000004</v>
      </c>
      <c r="AE152">
        <v>4151300.29</v>
      </c>
      <c r="AF152">
        <v>3965000.267</v>
      </c>
      <c r="AG152">
        <v>3849500.3879999998</v>
      </c>
      <c r="AH152">
        <v>3722331.284</v>
      </c>
      <c r="AI152">
        <v>3579972.0959999999</v>
      </c>
      <c r="AJ152">
        <v>3423290.5759999999</v>
      </c>
      <c r="AK152">
        <v>3248573.5359999998</v>
      </c>
      <c r="AL152">
        <v>3314463.5010000002</v>
      </c>
      <c r="AM152">
        <v>3361659.3829999999</v>
      </c>
      <c r="AN152">
        <v>3150014.8450000002</v>
      </c>
      <c r="AO152">
        <v>2921665.4530000002</v>
      </c>
      <c r="AP152">
        <v>2672065.7629999998</v>
      </c>
      <c r="AQ152">
        <v>2399152.4879999999</v>
      </c>
      <c r="AR152">
        <v>2095778.3130000001</v>
      </c>
      <c r="AS152">
        <v>2172201.1809999999</v>
      </c>
      <c r="AT152">
        <v>2248691.176</v>
      </c>
      <c r="AU152">
        <v>2324778.4210000001</v>
      </c>
      <c r="AV152">
        <v>2398591.108</v>
      </c>
      <c r="AW152">
        <v>2470279.9559999998</v>
      </c>
    </row>
    <row r="153" spans="2:49" x14ac:dyDescent="0.25">
      <c r="B153" t="s">
        <v>224</v>
      </c>
      <c r="C153">
        <v>583438.22926562198</v>
      </c>
      <c r="D153">
        <v>592805.51875492395</v>
      </c>
      <c r="E153">
        <v>602323.20449999999</v>
      </c>
      <c r="F153">
        <v>629532.47730000003</v>
      </c>
      <c r="G153">
        <v>616318.9889</v>
      </c>
      <c r="H153">
        <v>535624.9608</v>
      </c>
      <c r="I153">
        <v>534370.01760000002</v>
      </c>
      <c r="J153">
        <v>544842.78989999997</v>
      </c>
      <c r="K153">
        <v>520992.13530000002</v>
      </c>
      <c r="L153">
        <v>505540.5355</v>
      </c>
      <c r="M153">
        <v>470231.96759999997</v>
      </c>
      <c r="N153">
        <v>429801.99890000001</v>
      </c>
      <c r="O153">
        <v>414813.45890000003</v>
      </c>
      <c r="P153">
        <v>414311.41580000002</v>
      </c>
      <c r="Q153">
        <v>398880.44280000002</v>
      </c>
      <c r="R153">
        <v>399269.54700000002</v>
      </c>
      <c r="S153">
        <v>398868.51390000002</v>
      </c>
      <c r="T153">
        <v>402377.56709999999</v>
      </c>
      <c r="U153">
        <v>391223.80070000002</v>
      </c>
      <c r="V153">
        <v>391339.82250000001</v>
      </c>
      <c r="W153">
        <v>396738.4167</v>
      </c>
      <c r="X153">
        <v>395346.4571</v>
      </c>
      <c r="Y153">
        <v>380421.14529999997</v>
      </c>
      <c r="Z153">
        <v>367583.22710000002</v>
      </c>
      <c r="AA153">
        <v>353452.64270000003</v>
      </c>
      <c r="AB153">
        <v>337854.48129999998</v>
      </c>
      <c r="AC153">
        <v>323134.88459999999</v>
      </c>
      <c r="AD153">
        <v>298973.6128</v>
      </c>
      <c r="AE153">
        <v>271129.77240000002</v>
      </c>
      <c r="AF153">
        <v>242334.8063</v>
      </c>
      <c r="AG153">
        <v>226065.6943</v>
      </c>
      <c r="AH153">
        <v>210327.1262</v>
      </c>
      <c r="AI153">
        <v>194260.9356</v>
      </c>
      <c r="AJ153">
        <v>177538.6532</v>
      </c>
      <c r="AK153">
        <v>161234.04810000001</v>
      </c>
      <c r="AL153">
        <v>186396.67290000001</v>
      </c>
      <c r="AM153">
        <v>210556.28349999999</v>
      </c>
      <c r="AN153">
        <v>185619.45550000001</v>
      </c>
      <c r="AO153">
        <v>159611.272</v>
      </c>
      <c r="AP153">
        <v>132672.48610000001</v>
      </c>
      <c r="AQ153">
        <v>105108.2074</v>
      </c>
      <c r="AR153">
        <v>76437.888760000002</v>
      </c>
      <c r="AS153">
        <v>89058.433409999998</v>
      </c>
      <c r="AT153">
        <v>101859.89810000001</v>
      </c>
      <c r="AU153">
        <v>114518.6091</v>
      </c>
      <c r="AV153">
        <v>126959.62579999999</v>
      </c>
      <c r="AW153">
        <v>139740.15700000001</v>
      </c>
    </row>
    <row r="154" spans="2:49" x14ac:dyDescent="0.25">
      <c r="B154" t="s">
        <v>225</v>
      </c>
      <c r="C154">
        <v>640997.091904014</v>
      </c>
      <c r="D154">
        <v>651288.50755091803</v>
      </c>
      <c r="E154">
        <v>661996.35600000003</v>
      </c>
      <c r="F154">
        <v>674155.99380000005</v>
      </c>
      <c r="G154">
        <v>633606.37</v>
      </c>
      <c r="H154">
        <v>621189.72939999995</v>
      </c>
      <c r="I154">
        <v>628965.16359999997</v>
      </c>
      <c r="J154">
        <v>603138.81920000003</v>
      </c>
      <c r="K154">
        <v>567574.37679999997</v>
      </c>
      <c r="L154">
        <v>571675.22129999998</v>
      </c>
      <c r="M154">
        <v>581094.93689999997</v>
      </c>
      <c r="N154">
        <v>610746.51170000003</v>
      </c>
      <c r="O154">
        <v>646053.64820000005</v>
      </c>
      <c r="P154">
        <v>659772.75179999997</v>
      </c>
      <c r="Q154">
        <v>614623.97279999999</v>
      </c>
      <c r="R154">
        <v>631888.63489999995</v>
      </c>
      <c r="S154">
        <v>629828.72210000001</v>
      </c>
      <c r="T154">
        <v>627225.20059999998</v>
      </c>
      <c r="U154">
        <v>625139.26540000003</v>
      </c>
      <c r="V154">
        <v>623274.12879999995</v>
      </c>
      <c r="W154">
        <v>640721.46799999999</v>
      </c>
      <c r="X154">
        <v>650303.19680000003</v>
      </c>
      <c r="Y154">
        <v>653334.78280000004</v>
      </c>
      <c r="Z154">
        <v>656448.37430000002</v>
      </c>
      <c r="AA154">
        <v>658967.71050000004</v>
      </c>
      <c r="AB154">
        <v>633324.30539999995</v>
      </c>
      <c r="AC154">
        <v>606261.22959999996</v>
      </c>
      <c r="AD154">
        <v>583905.29110000003</v>
      </c>
      <c r="AE154">
        <v>563716.88710000005</v>
      </c>
      <c r="AF154">
        <v>543048.0601</v>
      </c>
      <c r="AG154">
        <v>523385.42460000003</v>
      </c>
      <c r="AH154">
        <v>501606.636</v>
      </c>
      <c r="AI154">
        <v>481545.12</v>
      </c>
      <c r="AJ154">
        <v>460196.61989999999</v>
      </c>
      <c r="AK154">
        <v>435099.62170000002</v>
      </c>
      <c r="AL154">
        <v>410677.41590000002</v>
      </c>
      <c r="AM154">
        <v>381352.45640000002</v>
      </c>
      <c r="AN154">
        <v>358517.6286</v>
      </c>
      <c r="AO154">
        <v>332813.886</v>
      </c>
      <c r="AP154">
        <v>304654.62939999998</v>
      </c>
      <c r="AQ154">
        <v>273574.35100000002</v>
      </c>
      <c r="AR154">
        <v>238542.05429999999</v>
      </c>
      <c r="AS154">
        <v>232671.4958</v>
      </c>
      <c r="AT154">
        <v>225992.5906</v>
      </c>
      <c r="AU154">
        <v>218906.06599999999</v>
      </c>
      <c r="AV154">
        <v>211225.2788</v>
      </c>
      <c r="AW154">
        <v>202851.4564</v>
      </c>
    </row>
    <row r="155" spans="2:49" x14ac:dyDescent="0.25">
      <c r="B155" t="s">
        <v>226</v>
      </c>
      <c r="C155">
        <v>2194958.1052306499</v>
      </c>
      <c r="D155">
        <v>2230198.86758945</v>
      </c>
      <c r="E155">
        <v>2254498.5079999999</v>
      </c>
      <c r="F155">
        <v>2243121.7140000002</v>
      </c>
      <c r="G155">
        <v>2234427.3110000002</v>
      </c>
      <c r="H155">
        <v>2230668.648</v>
      </c>
      <c r="I155">
        <v>2237589.5419999999</v>
      </c>
      <c r="J155">
        <v>2251864.8229999999</v>
      </c>
      <c r="K155">
        <v>2253914.2689999999</v>
      </c>
      <c r="L155">
        <v>2252314.145</v>
      </c>
      <c r="M155">
        <v>2267086.0350000001</v>
      </c>
      <c r="N155">
        <v>2246024.2549999999</v>
      </c>
      <c r="O155">
        <v>2273881.8760000002</v>
      </c>
      <c r="P155">
        <v>2296366.9679999999</v>
      </c>
      <c r="Q155">
        <v>2325273.67</v>
      </c>
      <c r="R155">
        <v>2354810.1979999999</v>
      </c>
      <c r="S155">
        <v>2339338.5490000001</v>
      </c>
      <c r="T155">
        <v>2305986.659</v>
      </c>
      <c r="U155">
        <v>2293557.4240000001</v>
      </c>
      <c r="V155">
        <v>2272381.9730000002</v>
      </c>
      <c r="W155">
        <v>2271444.4109999998</v>
      </c>
      <c r="X155">
        <v>2244869.87</v>
      </c>
      <c r="Y155">
        <v>2166504.4900000002</v>
      </c>
      <c r="Z155">
        <v>2096109.622</v>
      </c>
      <c r="AA155">
        <v>2029789.4580000001</v>
      </c>
      <c r="AB155">
        <v>1964749.8319999999</v>
      </c>
      <c r="AC155">
        <v>1898612.578</v>
      </c>
      <c r="AD155">
        <v>1751768.1370000001</v>
      </c>
      <c r="AE155">
        <v>1606817.202</v>
      </c>
      <c r="AF155">
        <v>1462641.611</v>
      </c>
      <c r="AG155">
        <v>1328334.932</v>
      </c>
      <c r="AH155">
        <v>1196100.0249999999</v>
      </c>
      <c r="AI155">
        <v>1057654.861</v>
      </c>
      <c r="AJ155">
        <v>922524.8933</v>
      </c>
      <c r="AK155">
        <v>790712.15359999996</v>
      </c>
      <c r="AL155">
        <v>690076.73149999999</v>
      </c>
      <c r="AM155">
        <v>594807.79700000002</v>
      </c>
      <c r="AN155">
        <v>508863.42739999999</v>
      </c>
      <c r="AO155">
        <v>425922.70309999998</v>
      </c>
      <c r="AP155">
        <v>346139.08039999998</v>
      </c>
      <c r="AQ155" s="39">
        <v>269995.6789</v>
      </c>
      <c r="AR155" s="39">
        <v>198349.07430000001</v>
      </c>
      <c r="AS155" s="39">
        <v>184376.364</v>
      </c>
      <c r="AT155" s="39">
        <v>172130.8266</v>
      </c>
      <c r="AU155" s="39">
        <v>161747.40520000001</v>
      </c>
      <c r="AV155">
        <v>153239.35930000001</v>
      </c>
      <c r="AW155">
        <v>146479.986</v>
      </c>
    </row>
    <row r="156" spans="2:49" x14ac:dyDescent="0.25">
      <c r="B156" t="s">
        <v>227</v>
      </c>
      <c r="C156">
        <v>48301536.741083004</v>
      </c>
      <c r="D156">
        <v>49077033.537035801</v>
      </c>
      <c r="E156">
        <v>49922164.840000004</v>
      </c>
      <c r="F156">
        <v>49623071.32</v>
      </c>
      <c r="G156">
        <v>48649684.859999999</v>
      </c>
      <c r="H156">
        <v>46898873.25</v>
      </c>
      <c r="I156">
        <v>46511895.030000001</v>
      </c>
      <c r="J156">
        <v>46216129.140000001</v>
      </c>
      <c r="K156">
        <v>45634393.359999999</v>
      </c>
      <c r="L156">
        <v>44782812.100000001</v>
      </c>
      <c r="M156">
        <v>44313096.07</v>
      </c>
      <c r="N156">
        <v>43781031.149999999</v>
      </c>
      <c r="O156">
        <v>43732161.18</v>
      </c>
      <c r="P156">
        <v>43896352.18</v>
      </c>
      <c r="Q156">
        <v>43297090.270000003</v>
      </c>
      <c r="R156">
        <v>42715224.280000001</v>
      </c>
      <c r="S156">
        <v>42133055.049999997</v>
      </c>
      <c r="T156">
        <v>42857618.670000002</v>
      </c>
      <c r="U156">
        <v>42938956.810000002</v>
      </c>
      <c r="V156">
        <v>43237634.189999998</v>
      </c>
      <c r="W156">
        <v>42968274.340000004</v>
      </c>
      <c r="X156">
        <v>42349874.469999999</v>
      </c>
      <c r="Y156">
        <v>41195516.789999999</v>
      </c>
      <c r="Z156">
        <v>40230018.090000004</v>
      </c>
      <c r="AA156">
        <v>39292281.020000003</v>
      </c>
      <c r="AB156">
        <v>38235363.229999997</v>
      </c>
      <c r="AC156">
        <v>37158156.960000001</v>
      </c>
      <c r="AD156">
        <v>34791095.149999999</v>
      </c>
      <c r="AE156">
        <v>32388658.030000001</v>
      </c>
      <c r="AF156">
        <v>29972988.84</v>
      </c>
      <c r="AG156">
        <v>27588914.77</v>
      </c>
      <c r="AH156">
        <v>25228745.34</v>
      </c>
      <c r="AI156">
        <v>22596639.440000001</v>
      </c>
      <c r="AJ156">
        <v>19975560.710000001</v>
      </c>
      <c r="AK156">
        <v>17375516.579999998</v>
      </c>
      <c r="AL156">
        <v>14938557.699999999</v>
      </c>
      <c r="AM156">
        <v>12616121</v>
      </c>
      <c r="AN156">
        <v>11186786.369999999</v>
      </c>
      <c r="AO156">
        <v>9759262.2780000009</v>
      </c>
      <c r="AP156">
        <v>8342937.6540000001</v>
      </c>
      <c r="AQ156">
        <v>6932794.2429999998</v>
      </c>
      <c r="AR156">
        <v>5525178.1979999999</v>
      </c>
      <c r="AS156">
        <v>5222158.38</v>
      </c>
      <c r="AT156">
        <v>4929328.5420000004</v>
      </c>
      <c r="AU156">
        <v>4643028.6289999997</v>
      </c>
      <c r="AV156">
        <v>4360600.9950000001</v>
      </c>
      <c r="AW156">
        <v>4082339.125</v>
      </c>
    </row>
    <row r="157" spans="2:49" x14ac:dyDescent="0.25">
      <c r="B157" t="s">
        <v>228</v>
      </c>
      <c r="C157">
        <v>9397840.0105028208</v>
      </c>
      <c r="D157">
        <v>9548725.3716889191</v>
      </c>
      <c r="E157">
        <v>9705874.77999999</v>
      </c>
      <c r="F157">
        <v>11072178.859999999</v>
      </c>
      <c r="G157">
        <v>9338846.12099999</v>
      </c>
      <c r="H157">
        <v>6731753.125</v>
      </c>
      <c r="I157">
        <v>7984601.7400000002</v>
      </c>
      <c r="J157">
        <v>6289437.8530000001</v>
      </c>
      <c r="K157">
        <v>7287019.4139999999</v>
      </c>
      <c r="L157">
        <v>6539071.9890000001</v>
      </c>
      <c r="M157">
        <v>6551361.8380000005</v>
      </c>
      <c r="N157">
        <v>6711206.1459999997</v>
      </c>
      <c r="O157">
        <v>6115191.1579999998</v>
      </c>
      <c r="P157">
        <v>6474538.4299999997</v>
      </c>
      <c r="Q157">
        <v>6360671.4270000001</v>
      </c>
      <c r="R157">
        <v>6474351.4220000003</v>
      </c>
      <c r="S157">
        <v>6463780.3700000001</v>
      </c>
      <c r="T157">
        <v>6365737.4620000003</v>
      </c>
      <c r="U157">
        <v>6397367.5549999997</v>
      </c>
      <c r="V157">
        <v>6436453.3600000003</v>
      </c>
      <c r="W157">
        <v>6411793.4939999999</v>
      </c>
      <c r="X157">
        <v>6346836.7920000004</v>
      </c>
      <c r="Y157">
        <v>6312721.0880000005</v>
      </c>
      <c r="Z157">
        <v>6287456.4189999998</v>
      </c>
      <c r="AA157">
        <v>6261598.7280000001</v>
      </c>
      <c r="AB157">
        <v>6061913.0870000003</v>
      </c>
      <c r="AC157">
        <v>5841726.8760000002</v>
      </c>
      <c r="AD157">
        <v>5629390.9929999998</v>
      </c>
      <c r="AE157">
        <v>5418760.1960000005</v>
      </c>
      <c r="AF157">
        <v>5205165.7560000001</v>
      </c>
      <c r="AG157">
        <v>4988463.3669999996</v>
      </c>
      <c r="AH157">
        <v>4766209.2850000001</v>
      </c>
      <c r="AI157">
        <v>4546996.9380000001</v>
      </c>
      <c r="AJ157">
        <v>4311252.8289999999</v>
      </c>
      <c r="AK157">
        <v>4047826.0929999999</v>
      </c>
      <c r="AL157">
        <v>3760421.2629999998</v>
      </c>
      <c r="AM157">
        <v>3431136.2910000002</v>
      </c>
      <c r="AN157">
        <v>3245484.2030000002</v>
      </c>
      <c r="AO157">
        <v>3029149.835</v>
      </c>
      <c r="AP157">
        <v>2785516.5639999998</v>
      </c>
      <c r="AQ157">
        <v>2510472.4440000001</v>
      </c>
      <c r="AR157">
        <v>2193711.7050000001</v>
      </c>
      <c r="AS157">
        <v>2128750.773</v>
      </c>
      <c r="AT157">
        <v>2059646.679</v>
      </c>
      <c r="AU157">
        <v>1985196.0120000001</v>
      </c>
      <c r="AV157">
        <v>1903898.4890000001</v>
      </c>
      <c r="AW157">
        <v>1815166.943</v>
      </c>
    </row>
    <row r="158" spans="2:49" x14ac:dyDescent="0.25">
      <c r="B158" t="s">
        <v>229</v>
      </c>
      <c r="C158">
        <v>2784044.1169573502</v>
      </c>
      <c r="D158">
        <v>2828742.8457796802</v>
      </c>
      <c r="E158">
        <v>2875233.8760000002</v>
      </c>
      <c r="F158">
        <v>2985460.3080000002</v>
      </c>
      <c r="G158">
        <v>2966103.074</v>
      </c>
      <c r="H158">
        <v>2435010.4270000001</v>
      </c>
      <c r="I158">
        <v>2461098.2779999999</v>
      </c>
      <c r="J158">
        <v>2571423.781</v>
      </c>
      <c r="K158">
        <v>2509770.4210000001</v>
      </c>
      <c r="L158">
        <v>2438549.057</v>
      </c>
      <c r="M158">
        <v>2433694.483</v>
      </c>
      <c r="N158">
        <v>2562163.196</v>
      </c>
      <c r="O158">
        <v>2555727.4550000001</v>
      </c>
      <c r="P158">
        <v>2549515.4679999999</v>
      </c>
      <c r="Q158">
        <v>2627296.2310000001</v>
      </c>
      <c r="R158">
        <v>2660438.7820000001</v>
      </c>
      <c r="S158">
        <v>2623175.679</v>
      </c>
      <c r="T158">
        <v>2572817.64</v>
      </c>
      <c r="U158">
        <v>2539841.0150000001</v>
      </c>
      <c r="V158">
        <v>2497736.6889999998</v>
      </c>
      <c r="W158">
        <v>2453621.358</v>
      </c>
      <c r="X158">
        <v>2391312.054</v>
      </c>
      <c r="Y158">
        <v>2352622.4309999999</v>
      </c>
      <c r="Z158">
        <v>2318779.0729999999</v>
      </c>
      <c r="AA158">
        <v>2290788.6230000001</v>
      </c>
      <c r="AB158">
        <v>2266401.0440000002</v>
      </c>
      <c r="AC158">
        <v>2241228.2280000001</v>
      </c>
      <c r="AD158">
        <v>2169483.673</v>
      </c>
      <c r="AE158">
        <v>2093770.97</v>
      </c>
      <c r="AF158">
        <v>2012904.723</v>
      </c>
      <c r="AG158">
        <v>1927959.304</v>
      </c>
      <c r="AH158">
        <v>1837861.8729999999</v>
      </c>
      <c r="AI158">
        <v>1738031.642</v>
      </c>
      <c r="AJ158">
        <v>1630135.419</v>
      </c>
      <c r="AK158">
        <v>1510910.2139999999</v>
      </c>
      <c r="AL158">
        <v>1384379.317</v>
      </c>
      <c r="AM158">
        <v>1243535.7350000001</v>
      </c>
      <c r="AN158">
        <v>1160767.5149999999</v>
      </c>
      <c r="AO158">
        <v>1071707.4890000001</v>
      </c>
      <c r="AP158">
        <v>974556.66079999995</v>
      </c>
      <c r="AQ158">
        <v>867391.35950000002</v>
      </c>
      <c r="AR158">
        <v>747154.44929999998</v>
      </c>
      <c r="AS158">
        <v>718003.60360000003</v>
      </c>
      <c r="AT158">
        <v>687709.21649999998</v>
      </c>
      <c r="AU158">
        <v>656302.4534</v>
      </c>
      <c r="AV158">
        <v>623361.15139999997</v>
      </c>
      <c r="AW158">
        <v>588486.28579999995</v>
      </c>
    </row>
    <row r="159" spans="2:49" x14ac:dyDescent="0.25">
      <c r="B159" t="s">
        <v>230</v>
      </c>
      <c r="C159">
        <v>20640520.667746101</v>
      </c>
      <c r="D159">
        <v>20971910.903432399</v>
      </c>
      <c r="E159">
        <v>21313932.760000002</v>
      </c>
      <c r="F159">
        <v>22213166.170000002</v>
      </c>
      <c r="G159">
        <v>21958879.789999999</v>
      </c>
      <c r="H159">
        <v>21691656.050000001</v>
      </c>
      <c r="I159">
        <v>22255344.539999999</v>
      </c>
      <c r="J159">
        <v>22103264.309999999</v>
      </c>
      <c r="K159">
        <v>21469973.260000002</v>
      </c>
      <c r="L159">
        <v>21499544.010000002</v>
      </c>
      <c r="M159">
        <v>22255053.5</v>
      </c>
      <c r="N159">
        <v>23848944.280000001</v>
      </c>
      <c r="O159">
        <v>23785279.57</v>
      </c>
      <c r="P159">
        <v>22880834.739999998</v>
      </c>
      <c r="Q159">
        <v>21140180.079999998</v>
      </c>
      <c r="R159">
        <v>19869032.129999999</v>
      </c>
      <c r="S159">
        <v>18823273.91</v>
      </c>
      <c r="T159">
        <v>18259860.66</v>
      </c>
      <c r="U159">
        <v>17742804.149999999</v>
      </c>
      <c r="V159">
        <v>17230670.239999998</v>
      </c>
      <c r="W159">
        <v>17945448.57</v>
      </c>
      <c r="X159">
        <v>18454348.030000001</v>
      </c>
      <c r="Y159">
        <v>18336928.280000001</v>
      </c>
      <c r="Z159">
        <v>17980502.329999998</v>
      </c>
      <c r="AA159">
        <v>17405201.780000001</v>
      </c>
      <c r="AB159">
        <v>16455018.23</v>
      </c>
      <c r="AC159">
        <v>15407816.73</v>
      </c>
      <c r="AD159">
        <v>13965231.85</v>
      </c>
      <c r="AE159">
        <v>12532389.33</v>
      </c>
      <c r="AF159">
        <v>11151935.220000001</v>
      </c>
      <c r="AG159">
        <v>10272544.82</v>
      </c>
      <c r="AH159">
        <v>9420587.1679999996</v>
      </c>
      <c r="AI159">
        <v>8575115.7709999997</v>
      </c>
      <c r="AJ159">
        <v>7753016.0319999997</v>
      </c>
      <c r="AK159">
        <v>6947764.5690000001</v>
      </c>
      <c r="AL159">
        <v>7392917.6150000002</v>
      </c>
      <c r="AM159">
        <v>7731285.4869999997</v>
      </c>
      <c r="AN159">
        <v>6693936.574</v>
      </c>
      <c r="AO159">
        <v>5698894.8449999997</v>
      </c>
      <c r="AP159">
        <v>4732444.8839999996</v>
      </c>
      <c r="AQ159">
        <v>3788742.7779999999</v>
      </c>
      <c r="AR159">
        <v>2859586.92</v>
      </c>
      <c r="AS159">
        <v>3062428.0329999998</v>
      </c>
      <c r="AT159">
        <v>3236305.1120000002</v>
      </c>
      <c r="AU159">
        <v>3385027.9649999999</v>
      </c>
      <c r="AV159">
        <v>3509922.4160000002</v>
      </c>
      <c r="AW159">
        <v>3612724.3309999998</v>
      </c>
    </row>
    <row r="160" spans="2:49" x14ac:dyDescent="0.25">
      <c r="B160" t="s">
        <v>231</v>
      </c>
      <c r="C160">
        <v>261855678.291933</v>
      </c>
      <c r="D160">
        <v>266059855.90652901</v>
      </c>
      <c r="E160">
        <v>270442862.30000001</v>
      </c>
      <c r="F160">
        <v>272112340.89999998</v>
      </c>
      <c r="G160">
        <v>256685393.90000001</v>
      </c>
      <c r="H160">
        <v>238216576.40000001</v>
      </c>
      <c r="I160">
        <v>235200602.19999999</v>
      </c>
      <c r="J160">
        <v>228636086.80000001</v>
      </c>
      <c r="K160">
        <v>218673859.19999999</v>
      </c>
      <c r="L160">
        <v>212858368.09999999</v>
      </c>
      <c r="M160">
        <v>212015551.19999999</v>
      </c>
      <c r="N160">
        <v>213857371.80000001</v>
      </c>
      <c r="O160">
        <v>205094093.30000001</v>
      </c>
      <c r="P160">
        <v>197526016.59999999</v>
      </c>
      <c r="Q160">
        <v>186417699.90000001</v>
      </c>
      <c r="R160">
        <v>178818605.19999999</v>
      </c>
      <c r="S160">
        <v>171767974.19999999</v>
      </c>
      <c r="T160">
        <v>170695421.19999999</v>
      </c>
      <c r="U160">
        <v>168478421.59999999</v>
      </c>
      <c r="V160">
        <v>166899128.69999999</v>
      </c>
      <c r="W160">
        <v>160938401.80000001</v>
      </c>
      <c r="X160">
        <v>153305691.69999999</v>
      </c>
      <c r="Y160">
        <v>145559391.80000001</v>
      </c>
      <c r="Z160">
        <v>139171131</v>
      </c>
      <c r="AA160">
        <v>133375327</v>
      </c>
      <c r="AB160">
        <v>127732645.59999999</v>
      </c>
      <c r="AC160">
        <v>122405133.8</v>
      </c>
      <c r="AD160">
        <v>114984326.5</v>
      </c>
      <c r="AE160">
        <v>107867517.40000001</v>
      </c>
      <c r="AF160">
        <v>100824984.90000001</v>
      </c>
      <c r="AG160">
        <v>95094152.819999903</v>
      </c>
      <c r="AH160">
        <v>89347234.049999997</v>
      </c>
      <c r="AI160">
        <v>83153672.819999903</v>
      </c>
      <c r="AJ160">
        <v>76877786.120000005</v>
      </c>
      <c r="AK160">
        <v>70455394.120000005</v>
      </c>
      <c r="AL160">
        <v>67510436.390000001</v>
      </c>
      <c r="AM160">
        <v>64030386.130000003</v>
      </c>
      <c r="AN160">
        <v>59186739.93</v>
      </c>
      <c r="AO160">
        <v>54154456.409999996</v>
      </c>
      <c r="AP160">
        <v>48873985.280000001</v>
      </c>
      <c r="AQ160">
        <v>43299369.219999999</v>
      </c>
      <c r="AR160">
        <v>37323477.509999998</v>
      </c>
      <c r="AS160">
        <v>37063411.210000001</v>
      </c>
      <c r="AT160">
        <v>36774908.359999999</v>
      </c>
      <c r="AU160">
        <v>36456942.579999998</v>
      </c>
      <c r="AV160">
        <v>36091709.68</v>
      </c>
      <c r="AW160">
        <v>35682905.57</v>
      </c>
    </row>
    <row r="161" spans="2:49" x14ac:dyDescent="0.25">
      <c r="B161" t="s">
        <v>232</v>
      </c>
      <c r="C161">
        <v>5733144.4507061103</v>
      </c>
      <c r="D161">
        <v>5825191.9393003099</v>
      </c>
      <c r="E161">
        <v>5919233.7230000002</v>
      </c>
      <c r="F161">
        <v>6055548.5259999996</v>
      </c>
      <c r="G161">
        <v>6007230.5489999996</v>
      </c>
      <c r="H161">
        <v>6295205.0930000003</v>
      </c>
      <c r="I161">
        <v>6418654.6430000002</v>
      </c>
      <c r="J161">
        <v>6379219.9720000001</v>
      </c>
      <c r="K161">
        <v>6254065.7429999998</v>
      </c>
      <c r="L161">
        <v>6321660.8710000003</v>
      </c>
      <c r="M161">
        <v>6531245.8159999996</v>
      </c>
      <c r="N161">
        <v>6987254.9249999998</v>
      </c>
      <c r="O161">
        <v>7057155.2800000003</v>
      </c>
      <c r="P161">
        <v>6768032.0219999999</v>
      </c>
      <c r="Q161">
        <v>6138992.9380000001</v>
      </c>
      <c r="R161">
        <v>5701869.926</v>
      </c>
      <c r="S161">
        <v>5368392.9060000004</v>
      </c>
      <c r="T161">
        <v>5131333.7769999998</v>
      </c>
      <c r="U161">
        <v>4913669.5619999999</v>
      </c>
      <c r="V161">
        <v>4711282.6689999998</v>
      </c>
      <c r="W161">
        <v>5027283.1880000001</v>
      </c>
      <c r="X161">
        <v>5204455.9610000001</v>
      </c>
      <c r="Y161">
        <v>5142630.2690000003</v>
      </c>
      <c r="Z161">
        <v>5003206.375</v>
      </c>
      <c r="AA161">
        <v>4801111.0619999999</v>
      </c>
      <c r="AB161">
        <v>4500237.5350000001</v>
      </c>
      <c r="AC161">
        <v>4179433.182</v>
      </c>
      <c r="AD161">
        <v>3736703.0839999998</v>
      </c>
      <c r="AE161">
        <v>3301804.0380000002</v>
      </c>
      <c r="AF161">
        <v>2884748.3730000001</v>
      </c>
      <c r="AG161">
        <v>2636548.6570000001</v>
      </c>
      <c r="AH161">
        <v>2398404.2930000001</v>
      </c>
      <c r="AI161">
        <v>2165524.6609999998</v>
      </c>
      <c r="AJ161">
        <v>1942788.4110000001</v>
      </c>
      <c r="AK161">
        <v>1728673.4550000001</v>
      </c>
      <c r="AL161">
        <v>1945550.963</v>
      </c>
      <c r="AM161">
        <v>2137176.6669999999</v>
      </c>
      <c r="AN161">
        <v>1822097.1140000001</v>
      </c>
      <c r="AO161">
        <v>1522233.703</v>
      </c>
      <c r="AP161">
        <v>1234055.9410000001</v>
      </c>
      <c r="AQ161">
        <v>956393.24739999999</v>
      </c>
      <c r="AR161">
        <v>687627.60129999998</v>
      </c>
      <c r="AS161">
        <v>774839.26619999995</v>
      </c>
      <c r="AT161">
        <v>853706.33519999997</v>
      </c>
      <c r="AU161">
        <v>925363.7476</v>
      </c>
      <c r="AV161">
        <v>990202.36029999994</v>
      </c>
      <c r="AW161">
        <v>1048747.0319999999</v>
      </c>
    </row>
    <row r="162" spans="2:49" x14ac:dyDescent="0.25">
      <c r="B162" t="s">
        <v>233</v>
      </c>
      <c r="C162">
        <v>746221.21464997705</v>
      </c>
      <c r="D162">
        <v>758202.03762327298</v>
      </c>
      <c r="E162">
        <v>770375.21660000004</v>
      </c>
      <c r="F162">
        <v>784831.66059999994</v>
      </c>
      <c r="G162">
        <v>645499.46719999996</v>
      </c>
      <c r="H162">
        <v>572683.96979999996</v>
      </c>
      <c r="I162">
        <v>365249.06479999999</v>
      </c>
      <c r="J162">
        <v>367471.40039999998</v>
      </c>
      <c r="K162">
        <v>338640.03200000001</v>
      </c>
      <c r="L162">
        <v>333403.12890000001</v>
      </c>
      <c r="M162">
        <v>335895.39279999997</v>
      </c>
      <c r="N162">
        <v>324685.8995</v>
      </c>
      <c r="O162">
        <v>273959.26</v>
      </c>
      <c r="P162">
        <v>233634.7561</v>
      </c>
      <c r="Q162">
        <v>203867.1496</v>
      </c>
      <c r="R162">
        <v>181125.68909999999</v>
      </c>
      <c r="S162">
        <v>160503.4124</v>
      </c>
      <c r="T162">
        <v>153140.1844</v>
      </c>
      <c r="U162">
        <v>142324.45189999999</v>
      </c>
      <c r="V162">
        <v>133733.38990000001</v>
      </c>
      <c r="W162">
        <v>116841.8781</v>
      </c>
      <c r="X162">
        <v>98059.458910000001</v>
      </c>
      <c r="Y162">
        <v>88357.529840000003</v>
      </c>
      <c r="Z162">
        <v>81616.905129999999</v>
      </c>
      <c r="AA162">
        <v>76140.946320000003</v>
      </c>
      <c r="AB162">
        <v>71304.182029999996</v>
      </c>
      <c r="AC162">
        <v>67329.972800000003</v>
      </c>
      <c r="AD162">
        <v>67314.501999999906</v>
      </c>
      <c r="AE162">
        <v>67726.030429999999</v>
      </c>
      <c r="AF162">
        <v>68239.791849999994</v>
      </c>
      <c r="AG162">
        <v>68794.03628</v>
      </c>
      <c r="AH162">
        <v>69475.918300000005</v>
      </c>
      <c r="AI162">
        <v>70300.804990000004</v>
      </c>
      <c r="AJ162">
        <v>71081.424910000002</v>
      </c>
      <c r="AK162">
        <v>71997.194680000001</v>
      </c>
      <c r="AL162">
        <v>72841.216799999995</v>
      </c>
      <c r="AM162">
        <v>73904.465719999906</v>
      </c>
      <c r="AN162">
        <v>74499.404429999995</v>
      </c>
      <c r="AO162">
        <v>74805.083159999995</v>
      </c>
      <c r="AP162">
        <v>75007.420809999996</v>
      </c>
      <c r="AQ162">
        <v>75237.323990000004</v>
      </c>
      <c r="AR162">
        <v>75291.599459999998</v>
      </c>
      <c r="AS162">
        <v>75408.986229999995</v>
      </c>
      <c r="AT162">
        <v>75765.092869999906</v>
      </c>
      <c r="AU162">
        <v>76138.693079999997</v>
      </c>
      <c r="AV162">
        <v>76489.913149999906</v>
      </c>
      <c r="AW162">
        <v>76946.942920000001</v>
      </c>
    </row>
    <row r="163" spans="2:49" x14ac:dyDescent="0.25">
      <c r="B163" t="s">
        <v>234</v>
      </c>
      <c r="C163">
        <v>480333.66960581898</v>
      </c>
      <c r="D163">
        <v>488045.58203966799</v>
      </c>
      <c r="E163">
        <v>495881.31170000002</v>
      </c>
      <c r="F163">
        <v>500882.20049999998</v>
      </c>
      <c r="G163">
        <v>417045.16009999998</v>
      </c>
      <c r="H163">
        <v>385021.92839999998</v>
      </c>
      <c r="I163">
        <v>347545.03419999999</v>
      </c>
      <c r="J163">
        <v>311245.09350000002</v>
      </c>
      <c r="K163">
        <v>299857.76280000003</v>
      </c>
      <c r="L163">
        <v>320483.58199999999</v>
      </c>
      <c r="M163">
        <v>320559.3493</v>
      </c>
      <c r="N163">
        <v>320096.79889999999</v>
      </c>
      <c r="O163">
        <v>237394.25690000001</v>
      </c>
      <c r="P163">
        <v>181310.9731</v>
      </c>
      <c r="Q163">
        <v>152675.9534</v>
      </c>
      <c r="R163">
        <v>134693.23060000001</v>
      </c>
      <c r="S163">
        <v>120050.56510000001</v>
      </c>
      <c r="T163">
        <v>118362.4549</v>
      </c>
      <c r="U163">
        <v>116136.9685</v>
      </c>
      <c r="V163">
        <v>113834.26850000001</v>
      </c>
      <c r="W163">
        <v>116922.6866</v>
      </c>
      <c r="X163">
        <v>112619.3989</v>
      </c>
      <c r="Y163">
        <v>112225.31050000001</v>
      </c>
      <c r="Z163">
        <v>113831.6228</v>
      </c>
      <c r="AA163">
        <v>116824.811</v>
      </c>
      <c r="AB163">
        <v>121066.15</v>
      </c>
      <c r="AC163">
        <v>126992.8514</v>
      </c>
      <c r="AD163">
        <v>127139.05499999999</v>
      </c>
      <c r="AE163">
        <v>128518.2372</v>
      </c>
      <c r="AF163">
        <v>130163.4445</v>
      </c>
      <c r="AG163">
        <v>131963.51629999999</v>
      </c>
      <c r="AH163">
        <v>133782.74729999999</v>
      </c>
      <c r="AI163">
        <v>135822.86679999999</v>
      </c>
      <c r="AJ163">
        <v>138052.2322</v>
      </c>
      <c r="AK163">
        <v>140378.10320000001</v>
      </c>
      <c r="AL163">
        <v>142758.5723</v>
      </c>
      <c r="AM163">
        <v>145322.48000000001</v>
      </c>
      <c r="AN163">
        <v>147016.22529999999</v>
      </c>
      <c r="AO163">
        <v>148565.06880000001</v>
      </c>
      <c r="AP163">
        <v>149941.2911</v>
      </c>
      <c r="AQ163">
        <v>151186.48130000001</v>
      </c>
      <c r="AR163">
        <v>152196.47829999999</v>
      </c>
      <c r="AS163">
        <v>153718.764</v>
      </c>
      <c r="AT163">
        <v>155322.4614</v>
      </c>
      <c r="AU163">
        <v>156974.73360000001</v>
      </c>
      <c r="AV163">
        <v>158607.69680000001</v>
      </c>
      <c r="AW163">
        <v>160229.19649999999</v>
      </c>
    </row>
    <row r="164" spans="2:49" x14ac:dyDescent="0.25">
      <c r="B164" t="s">
        <v>235</v>
      </c>
      <c r="C164">
        <v>1469582.3108926199</v>
      </c>
      <c r="D164">
        <v>1493176.93024387</v>
      </c>
      <c r="E164">
        <v>1517150.3689999999</v>
      </c>
      <c r="F164">
        <v>1533735.541</v>
      </c>
      <c r="G164">
        <v>1321722.6259999999</v>
      </c>
      <c r="H164">
        <v>1268139.5689999999</v>
      </c>
      <c r="I164">
        <v>968904.17110000004</v>
      </c>
      <c r="J164">
        <v>893152.36289999995</v>
      </c>
      <c r="K164">
        <v>889473.34010000003</v>
      </c>
      <c r="L164">
        <v>942277.20620000002</v>
      </c>
      <c r="M164">
        <v>942407.37829999998</v>
      </c>
      <c r="N164">
        <v>944476.99690000003</v>
      </c>
      <c r="O164">
        <v>719672.59790000005</v>
      </c>
      <c r="P164">
        <v>561272.54929999996</v>
      </c>
      <c r="Q164">
        <v>475473.31229999999</v>
      </c>
      <c r="R164">
        <v>429790.98239999998</v>
      </c>
      <c r="S164">
        <v>378616.54580000002</v>
      </c>
      <c r="T164">
        <v>368160.60330000002</v>
      </c>
      <c r="U164">
        <v>354684.48369999998</v>
      </c>
      <c r="V164">
        <v>341162.52439999999</v>
      </c>
      <c r="W164">
        <v>330453.08029999997</v>
      </c>
      <c r="X164">
        <v>300816.81270000001</v>
      </c>
      <c r="Y164">
        <v>284904.22320000001</v>
      </c>
      <c r="Z164">
        <v>274349.3407</v>
      </c>
      <c r="AA164">
        <v>266501.7696</v>
      </c>
      <c r="AB164">
        <v>260767.40119999999</v>
      </c>
      <c r="AC164">
        <v>257375.04759999999</v>
      </c>
      <c r="AD164">
        <v>258228.75020000001</v>
      </c>
      <c r="AE164">
        <v>261576.92449999999</v>
      </c>
      <c r="AF164">
        <v>265489.47480000003</v>
      </c>
      <c r="AG164">
        <v>269759.78090000001</v>
      </c>
      <c r="AH164">
        <v>274196.61050000001</v>
      </c>
      <c r="AI164">
        <v>279075.66360000003</v>
      </c>
      <c r="AJ164">
        <v>284306.19</v>
      </c>
      <c r="AK164">
        <v>289780.29960000003</v>
      </c>
      <c r="AL164">
        <v>295411.04320000001</v>
      </c>
      <c r="AM164">
        <v>301456.1874</v>
      </c>
      <c r="AN164">
        <v>305273.49839999998</v>
      </c>
      <c r="AO164">
        <v>308728.2855</v>
      </c>
      <c r="AP164">
        <v>311858.68459999998</v>
      </c>
      <c r="AQ164">
        <v>314732.75420000002</v>
      </c>
      <c r="AR164">
        <v>317195.79920000001</v>
      </c>
      <c r="AS164">
        <v>321120.46059999999</v>
      </c>
      <c r="AT164">
        <v>325233.90720000002</v>
      </c>
      <c r="AU164">
        <v>329385.1177</v>
      </c>
      <c r="AV164">
        <v>333451.75900000002</v>
      </c>
      <c r="AW164">
        <v>337432.75089999998</v>
      </c>
    </row>
    <row r="165" spans="2:49" x14ac:dyDescent="0.25">
      <c r="B165" t="s">
        <v>236</v>
      </c>
      <c r="C165">
        <v>225722.47732836599</v>
      </c>
      <c r="D165">
        <v>229346.52471387701</v>
      </c>
      <c r="E165">
        <v>233028.7574</v>
      </c>
      <c r="F165">
        <v>236612.7218</v>
      </c>
      <c r="G165">
        <v>214155.27619999999</v>
      </c>
      <c r="H165">
        <v>204028.0607</v>
      </c>
      <c r="I165">
        <v>186532.76879999999</v>
      </c>
      <c r="J165">
        <v>180460.63310000001</v>
      </c>
      <c r="K165">
        <v>182560.00260000001</v>
      </c>
      <c r="L165">
        <v>194292.48069999999</v>
      </c>
      <c r="M165">
        <v>197883.13269999999</v>
      </c>
      <c r="N165">
        <v>202121.02059999999</v>
      </c>
      <c r="O165">
        <v>169152.27040000001</v>
      </c>
      <c r="P165">
        <v>147330.0373</v>
      </c>
      <c r="Q165">
        <v>135376.1721</v>
      </c>
      <c r="R165">
        <v>131402.6746</v>
      </c>
      <c r="S165">
        <v>124096.5854</v>
      </c>
      <c r="T165">
        <v>120917.6125</v>
      </c>
      <c r="U165">
        <v>118943.2512</v>
      </c>
      <c r="V165">
        <v>117001.4638</v>
      </c>
      <c r="W165">
        <v>109803.0791</v>
      </c>
      <c r="X165">
        <v>99397.690669999996</v>
      </c>
      <c r="Y165">
        <v>93644.371509999997</v>
      </c>
      <c r="Z165">
        <v>89182.362439999997</v>
      </c>
      <c r="AA165">
        <v>85416.659729999999</v>
      </c>
      <c r="AB165">
        <v>82447.794309999997</v>
      </c>
      <c r="AC165">
        <v>80050.34302</v>
      </c>
      <c r="AD165">
        <v>79992.230630000005</v>
      </c>
      <c r="AE165">
        <v>80752.522840000005</v>
      </c>
      <c r="AF165">
        <v>81716.666729999997</v>
      </c>
      <c r="AG165">
        <v>82813.686400000006</v>
      </c>
      <c r="AH165">
        <v>83917.908410000004</v>
      </c>
      <c r="AI165">
        <v>85165.740550000002</v>
      </c>
      <c r="AJ165">
        <v>86646.45233</v>
      </c>
      <c r="AK165">
        <v>88222.491779999997</v>
      </c>
      <c r="AL165">
        <v>89876.918909999906</v>
      </c>
      <c r="AM165">
        <v>91637.820059999998</v>
      </c>
      <c r="AN165">
        <v>92913.110620000007</v>
      </c>
      <c r="AO165">
        <v>94060.884940000004</v>
      </c>
      <c r="AP165">
        <v>95122.988580000005</v>
      </c>
      <c r="AQ165">
        <v>96106.586750000002</v>
      </c>
      <c r="AR165">
        <v>97011.856799999994</v>
      </c>
      <c r="AS165">
        <v>98205.125069999995</v>
      </c>
      <c r="AT165">
        <v>99410.324519999995</v>
      </c>
      <c r="AU165">
        <v>100624.76059999999</v>
      </c>
      <c r="AV165">
        <v>101819.5937</v>
      </c>
      <c r="AW165">
        <v>102996.36689999999</v>
      </c>
    </row>
    <row r="166" spans="2:49" x14ac:dyDescent="0.25">
      <c r="B166" t="s">
        <v>237</v>
      </c>
      <c r="C166">
        <v>20679763.666016001</v>
      </c>
      <c r="D166">
        <v>21011783.9607329</v>
      </c>
      <c r="E166">
        <v>21361609.239999998</v>
      </c>
      <c r="F166">
        <v>21496865.300000001</v>
      </c>
      <c r="G166">
        <v>18176805.800000001</v>
      </c>
      <c r="H166">
        <v>15176099.039999999</v>
      </c>
      <c r="I166">
        <v>15555308.9</v>
      </c>
      <c r="J166">
        <v>15186907.83</v>
      </c>
      <c r="K166">
        <v>14454035.09</v>
      </c>
      <c r="L166">
        <v>15139783.42</v>
      </c>
      <c r="M166">
        <v>15510405.82</v>
      </c>
      <c r="N166">
        <v>15834622.76</v>
      </c>
      <c r="O166">
        <v>13070944.4</v>
      </c>
      <c r="P166">
        <v>11709054.539999999</v>
      </c>
      <c r="Q166">
        <v>10628376.24</v>
      </c>
      <c r="R166">
        <v>9750257.50699999</v>
      </c>
      <c r="S166">
        <v>9100993.40499999</v>
      </c>
      <c r="T166">
        <v>9160534.2770000007</v>
      </c>
      <c r="U166">
        <v>9082402.3080000002</v>
      </c>
      <c r="V166">
        <v>9144803.9800000004</v>
      </c>
      <c r="W166">
        <v>8596808.4869999997</v>
      </c>
      <c r="X166">
        <v>7896259.4670000002</v>
      </c>
      <c r="Y166">
        <v>7395799.1560000004</v>
      </c>
      <c r="Z166">
        <v>7068446.3839999996</v>
      </c>
      <c r="AA166">
        <v>6818201.7309999997</v>
      </c>
      <c r="AB166">
        <v>6608426.8030000003</v>
      </c>
      <c r="AC166">
        <v>6439105.2230000002</v>
      </c>
      <c r="AD166">
        <v>6430863.0449999999</v>
      </c>
      <c r="AE166">
        <v>6463747.125</v>
      </c>
      <c r="AF166">
        <v>6505330.5489999996</v>
      </c>
      <c r="AG166">
        <v>6550764.4280000003</v>
      </c>
      <c r="AH166">
        <v>6599234.8219999997</v>
      </c>
      <c r="AI166">
        <v>6659092.1670000004</v>
      </c>
      <c r="AJ166">
        <v>6720231.5099999998</v>
      </c>
      <c r="AK166">
        <v>6784244.0130000003</v>
      </c>
      <c r="AL166">
        <v>6843161.0769999996</v>
      </c>
      <c r="AM166">
        <v>6906448.6639999999</v>
      </c>
      <c r="AN166">
        <v>6947862.96</v>
      </c>
      <c r="AO166">
        <v>6984115.1890000002</v>
      </c>
      <c r="AP166">
        <v>7013137.4060000004</v>
      </c>
      <c r="AQ166">
        <v>7037765.9570000004</v>
      </c>
      <c r="AR166">
        <v>7051904.2379999999</v>
      </c>
      <c r="AS166">
        <v>7075746.6229999997</v>
      </c>
      <c r="AT166">
        <v>7102524.824</v>
      </c>
      <c r="AU166">
        <v>7128606.9819999998</v>
      </c>
      <c r="AV166">
        <v>7151617.7719999999</v>
      </c>
      <c r="AW166">
        <v>7173412.9809999997</v>
      </c>
    </row>
    <row r="167" spans="2:49" x14ac:dyDescent="0.25">
      <c r="B167" t="s">
        <v>238</v>
      </c>
      <c r="C167">
        <v>2009388.6600685499</v>
      </c>
      <c r="D167">
        <v>2041650.04496113</v>
      </c>
      <c r="E167">
        <v>2074429.3970000001</v>
      </c>
      <c r="F167">
        <v>2144554.9040000001</v>
      </c>
      <c r="G167">
        <v>1718686.2919999999</v>
      </c>
      <c r="H167">
        <v>1631913.639</v>
      </c>
      <c r="I167">
        <v>1641988.486</v>
      </c>
      <c r="J167">
        <v>1518110.544</v>
      </c>
      <c r="K167">
        <v>1558061.2790000001</v>
      </c>
      <c r="L167">
        <v>1790102.0689999999</v>
      </c>
      <c r="M167">
        <v>1867474.2819999999</v>
      </c>
      <c r="N167">
        <v>1880138.1910000001</v>
      </c>
      <c r="O167">
        <v>1192121.52</v>
      </c>
      <c r="P167">
        <v>820652.16319999995</v>
      </c>
      <c r="Q167">
        <v>660557.46640000003</v>
      </c>
      <c r="R167">
        <v>596594.44649999996</v>
      </c>
      <c r="S167">
        <v>521192.48259999999</v>
      </c>
      <c r="T167">
        <v>527348.39020000002</v>
      </c>
      <c r="U167">
        <v>531381.0209</v>
      </c>
      <c r="V167">
        <v>543908.1226</v>
      </c>
      <c r="W167">
        <v>565062.04059999995</v>
      </c>
      <c r="X167">
        <v>559340.4399</v>
      </c>
      <c r="Y167">
        <v>534240.97519999999</v>
      </c>
      <c r="Z167">
        <v>510637.96850000002</v>
      </c>
      <c r="AA167">
        <v>486827.20500000002</v>
      </c>
      <c r="AB167">
        <v>462941.54239999998</v>
      </c>
      <c r="AC167">
        <v>440473.82439999998</v>
      </c>
      <c r="AD167">
        <v>442773.77399999998</v>
      </c>
      <c r="AE167">
        <v>450138.15250000003</v>
      </c>
      <c r="AF167">
        <v>458828.64150000003</v>
      </c>
      <c r="AG167">
        <v>468036.72090000001</v>
      </c>
      <c r="AH167">
        <v>477483.03950000001</v>
      </c>
      <c r="AI167">
        <v>488475.54359999998</v>
      </c>
      <c r="AJ167">
        <v>499944.41009999998</v>
      </c>
      <c r="AK167">
        <v>511926.35800000001</v>
      </c>
      <c r="AL167">
        <v>523715.15669999999</v>
      </c>
      <c r="AM167">
        <v>536243.16599999997</v>
      </c>
      <c r="AN167">
        <v>549288.06559999997</v>
      </c>
      <c r="AO167">
        <v>562755.0159</v>
      </c>
      <c r="AP167">
        <v>576240.24289999995</v>
      </c>
      <c r="AQ167">
        <v>589881.36899999995</v>
      </c>
      <c r="AR167">
        <v>602971.38789999997</v>
      </c>
      <c r="AS167">
        <v>615625.7696</v>
      </c>
      <c r="AT167">
        <v>629006.80240000004</v>
      </c>
      <c r="AU167">
        <v>642998.09010000003</v>
      </c>
      <c r="AV167">
        <v>657241.8872</v>
      </c>
      <c r="AW167">
        <v>671907.44759999996</v>
      </c>
    </row>
    <row r="168" spans="2:49" x14ac:dyDescent="0.25">
      <c r="B168" t="s">
        <v>239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</row>
    <row r="169" spans="2:49" x14ac:dyDescent="0.25">
      <c r="B169" t="s">
        <v>240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</row>
    <row r="170" spans="2:49" x14ac:dyDescent="0.25">
      <c r="B170" t="s">
        <v>241</v>
      </c>
      <c r="C170">
        <v>20174774.421468802</v>
      </c>
      <c r="D170">
        <v>20498686.950521201</v>
      </c>
      <c r="E170">
        <v>20827800</v>
      </c>
      <c r="F170">
        <v>19728417.02</v>
      </c>
      <c r="G170">
        <v>18537090.329999998</v>
      </c>
      <c r="H170">
        <v>16322442.32</v>
      </c>
      <c r="I170">
        <v>15247192.5</v>
      </c>
      <c r="J170">
        <v>14382015.380000001</v>
      </c>
      <c r="K170">
        <v>13409740.859999999</v>
      </c>
      <c r="L170">
        <v>12302608.720000001</v>
      </c>
      <c r="M170">
        <v>11244805.630000001</v>
      </c>
      <c r="N170">
        <v>10152463.300000001</v>
      </c>
      <c r="O170">
        <v>8595716.1899999995</v>
      </c>
      <c r="P170">
        <v>7262975.3689999999</v>
      </c>
      <c r="Q170">
        <v>6000199.3839999996</v>
      </c>
      <c r="R170">
        <v>4543883.4610000001</v>
      </c>
      <c r="S170">
        <v>3043549.037</v>
      </c>
      <c r="T170">
        <v>2797515.1460000002</v>
      </c>
      <c r="U170">
        <v>2651104.628</v>
      </c>
      <c r="V170">
        <v>2515738.3119999999</v>
      </c>
      <c r="W170">
        <v>1684742.287</v>
      </c>
      <c r="X170">
        <v>794239.42099999997</v>
      </c>
      <c r="Y170">
        <v>580048.21550000005</v>
      </c>
      <c r="Z170">
        <v>410468.74780000001</v>
      </c>
      <c r="AA170">
        <v>247291.93229999999</v>
      </c>
      <c r="AB170">
        <v>234060.6937</v>
      </c>
      <c r="AC170">
        <v>232568.95970000001</v>
      </c>
      <c r="AD170">
        <v>197770.8708</v>
      </c>
      <c r="AE170">
        <v>159451.68340000001</v>
      </c>
      <c r="AF170">
        <v>120542.6513</v>
      </c>
      <c r="AG170">
        <v>113087.70600000001</v>
      </c>
      <c r="AH170">
        <v>108405.1684</v>
      </c>
      <c r="AI170">
        <v>107890.985</v>
      </c>
      <c r="AJ170">
        <v>107851.0285</v>
      </c>
      <c r="AK170">
        <v>107851.4105</v>
      </c>
      <c r="AL170">
        <v>108175.2864</v>
      </c>
      <c r="AM170">
        <v>108470.4411</v>
      </c>
      <c r="AN170">
        <v>108681.00930000001</v>
      </c>
      <c r="AO170">
        <v>108852.1112</v>
      </c>
      <c r="AP170">
        <v>108975.1482</v>
      </c>
      <c r="AQ170">
        <v>109054.31299999999</v>
      </c>
      <c r="AR170">
        <v>109060.36350000001</v>
      </c>
      <c r="AS170">
        <v>109372.3253</v>
      </c>
      <c r="AT170">
        <v>109731.2485</v>
      </c>
      <c r="AU170">
        <v>110062.5515</v>
      </c>
      <c r="AV170">
        <v>110349.3803</v>
      </c>
      <c r="AW170">
        <v>110596.68670000001</v>
      </c>
    </row>
    <row r="171" spans="2:49" x14ac:dyDescent="0.25">
      <c r="B171" t="s">
        <v>242</v>
      </c>
      <c r="C171">
        <v>16278956.881142</v>
      </c>
      <c r="D171">
        <v>16540320.799446501</v>
      </c>
      <c r="E171">
        <v>16805881</v>
      </c>
      <c r="F171">
        <v>16657099.779999999</v>
      </c>
      <c r="G171">
        <v>15807545.390000001</v>
      </c>
      <c r="H171">
        <v>15151388.560000001</v>
      </c>
      <c r="I171">
        <v>14670989.970000001</v>
      </c>
      <c r="J171">
        <v>12855429.9</v>
      </c>
      <c r="K171">
        <v>11207601.390000001</v>
      </c>
      <c r="L171">
        <v>9838782.5629999898</v>
      </c>
      <c r="M171">
        <v>8798860.2280000001</v>
      </c>
      <c r="N171">
        <v>7941888.1979999999</v>
      </c>
      <c r="O171">
        <v>7197327.7790000001</v>
      </c>
      <c r="P171">
        <v>6469451.341</v>
      </c>
      <c r="Q171">
        <v>5711303.9740000004</v>
      </c>
      <c r="R171">
        <v>5072925.1550000003</v>
      </c>
      <c r="S171">
        <v>4427739.6239999998</v>
      </c>
      <c r="T171">
        <v>5201801.9129999997</v>
      </c>
      <c r="U171">
        <v>5922598.0920000002</v>
      </c>
      <c r="V171">
        <v>6593675.6189999999</v>
      </c>
      <c r="W171">
        <v>7352452</v>
      </c>
      <c r="X171">
        <v>8004986.9919999996</v>
      </c>
      <c r="Y171">
        <v>7775247.9270000001</v>
      </c>
      <c r="Z171">
        <v>7554012.6979999999</v>
      </c>
      <c r="AA171">
        <v>7334502.2220000001</v>
      </c>
      <c r="AB171">
        <v>7116619.3839999996</v>
      </c>
      <c r="AC171">
        <v>6890260.3360000001</v>
      </c>
      <c r="AD171">
        <v>6658781.2089999998</v>
      </c>
      <c r="AE171">
        <v>6410358.335</v>
      </c>
      <c r="AF171">
        <v>6140169.2599999998</v>
      </c>
      <c r="AG171">
        <v>5928876.2029999997</v>
      </c>
      <c r="AH171">
        <v>5685747.517</v>
      </c>
      <c r="AI171">
        <v>5538748.2999999998</v>
      </c>
      <c r="AJ171">
        <v>5328667.9670000002</v>
      </c>
      <c r="AK171">
        <v>5049536.5199999996</v>
      </c>
      <c r="AL171">
        <v>4941704.9840000002</v>
      </c>
      <c r="AM171">
        <v>4695470.0049999999</v>
      </c>
      <c r="AN171">
        <v>4625143.4249999998</v>
      </c>
      <c r="AO171">
        <v>4475532.7070000004</v>
      </c>
      <c r="AP171">
        <v>4243397.8219999997</v>
      </c>
      <c r="AQ171">
        <v>3921285.077</v>
      </c>
      <c r="AR171">
        <v>3491353.9249999998</v>
      </c>
      <c r="AS171">
        <v>3114802.16</v>
      </c>
      <c r="AT171">
        <v>2762912.531</v>
      </c>
      <c r="AU171">
        <v>2434723.71</v>
      </c>
      <c r="AV171">
        <v>2127836.5989999999</v>
      </c>
      <c r="AW171">
        <v>1841454.2039999999</v>
      </c>
    </row>
    <row r="172" spans="2:49" x14ac:dyDescent="0.25">
      <c r="B172" t="s">
        <v>243</v>
      </c>
      <c r="C172">
        <v>6501803.9853722304</v>
      </c>
      <c r="D172">
        <v>6606192.55142547</v>
      </c>
      <c r="E172">
        <v>6714977.4309999999</v>
      </c>
      <c r="F172">
        <v>6904951.3329999996</v>
      </c>
      <c r="G172">
        <v>6570822.432</v>
      </c>
      <c r="H172">
        <v>6916684.2230000002</v>
      </c>
      <c r="I172">
        <v>7097722.0530000003</v>
      </c>
      <c r="J172">
        <v>6691893.0880000005</v>
      </c>
      <c r="K172">
        <v>6420150.4979999997</v>
      </c>
      <c r="L172">
        <v>6237001.0829999996</v>
      </c>
      <c r="M172">
        <v>6665325.5980000002</v>
      </c>
      <c r="N172">
        <v>7116412.0420000004</v>
      </c>
      <c r="O172">
        <v>7376751.4129999997</v>
      </c>
      <c r="P172">
        <v>7415034.5489999996</v>
      </c>
      <c r="Q172">
        <v>6894028.0939999996</v>
      </c>
      <c r="R172">
        <v>6898848.665</v>
      </c>
      <c r="S172">
        <v>6942804.6260000002</v>
      </c>
      <c r="T172">
        <v>6993554.9929999998</v>
      </c>
      <c r="U172">
        <v>7017686.6540000001</v>
      </c>
      <c r="V172">
        <v>7062739.1699999999</v>
      </c>
      <c r="W172">
        <v>7015981.5159999998</v>
      </c>
      <c r="X172">
        <v>6912559.443</v>
      </c>
      <c r="Y172">
        <v>6937925.8770000003</v>
      </c>
      <c r="Z172">
        <v>6969427.5769999996</v>
      </c>
      <c r="AA172">
        <v>6998981.1679999996</v>
      </c>
      <c r="AB172">
        <v>7005309.8480000002</v>
      </c>
      <c r="AC172">
        <v>6987151.5710000005</v>
      </c>
      <c r="AD172">
        <v>6860182.8329999996</v>
      </c>
      <c r="AE172">
        <v>6724163.2489999998</v>
      </c>
      <c r="AF172">
        <v>6564440.7290000003</v>
      </c>
      <c r="AG172">
        <v>6382800.176</v>
      </c>
      <c r="AH172">
        <v>6175144.9330000002</v>
      </c>
      <c r="AI172">
        <v>5923518.6069999998</v>
      </c>
      <c r="AJ172">
        <v>5640827.7019999996</v>
      </c>
      <c r="AK172">
        <v>5308006.5360000003</v>
      </c>
      <c r="AL172">
        <v>4924335.5290000001</v>
      </c>
      <c r="AM172">
        <v>4476060.9579999996</v>
      </c>
      <c r="AN172">
        <v>4241224.9630000005</v>
      </c>
      <c r="AO172">
        <v>3974077.5759999999</v>
      </c>
      <c r="AP172">
        <v>3665116.0079999999</v>
      </c>
      <c r="AQ172">
        <v>3307658.34</v>
      </c>
      <c r="AR172">
        <v>2888814.1779999998</v>
      </c>
      <c r="AS172">
        <v>2803448.0830000001</v>
      </c>
      <c r="AT172">
        <v>2709247.4249999998</v>
      </c>
      <c r="AU172">
        <v>2608770.3050000002</v>
      </c>
      <c r="AV172">
        <v>2499519.0279999999</v>
      </c>
      <c r="AW172">
        <v>2379740.6779999998</v>
      </c>
    </row>
    <row r="173" spans="2:49" x14ac:dyDescent="0.25">
      <c r="B173" t="s">
        <v>244</v>
      </c>
      <c r="C173">
        <v>6377150.6112568304</v>
      </c>
      <c r="D173">
        <v>6479537.8270683698</v>
      </c>
      <c r="E173">
        <v>6586237.0690000001</v>
      </c>
      <c r="F173">
        <v>6723888.7589999996</v>
      </c>
      <c r="G173">
        <v>6338463.6059999997</v>
      </c>
      <c r="H173">
        <v>6607967.2580000004</v>
      </c>
      <c r="I173">
        <v>6493362.0180000002</v>
      </c>
      <c r="J173">
        <v>6250564.2719999999</v>
      </c>
      <c r="K173">
        <v>5857691.0099999998</v>
      </c>
      <c r="L173">
        <v>5765410.8689999999</v>
      </c>
      <c r="M173">
        <v>5875167.0460000001</v>
      </c>
      <c r="N173">
        <v>6078418.9419999998</v>
      </c>
      <c r="O173">
        <v>5382294.8739999998</v>
      </c>
      <c r="P173">
        <v>4639430.8159999996</v>
      </c>
      <c r="Q173">
        <v>3942887.8169999998</v>
      </c>
      <c r="R173">
        <v>3536730.0249999999</v>
      </c>
      <c r="S173">
        <v>3261795.5440000002</v>
      </c>
      <c r="T173">
        <v>3234625.1519999998</v>
      </c>
      <c r="U173">
        <v>3266984.5649999999</v>
      </c>
      <c r="V173">
        <v>3285567.6269999999</v>
      </c>
      <c r="W173">
        <v>3055482.8139999998</v>
      </c>
      <c r="X173">
        <v>2720122.9679999999</v>
      </c>
      <c r="Y173">
        <v>2449406.9190000002</v>
      </c>
      <c r="Z173">
        <v>2205353.5699999998</v>
      </c>
      <c r="AA173">
        <v>1997008.7860000001</v>
      </c>
      <c r="AB173">
        <v>1814982.132</v>
      </c>
      <c r="AC173">
        <v>1655377.6640000001</v>
      </c>
      <c r="AD173">
        <v>1607812.8219999999</v>
      </c>
      <c r="AE173">
        <v>1583395.4369999999</v>
      </c>
      <c r="AF173">
        <v>1558041.41</v>
      </c>
      <c r="AG173">
        <v>1528319.7490000001</v>
      </c>
      <c r="AH173">
        <v>1489740.9750000001</v>
      </c>
      <c r="AI173">
        <v>1438680.4439999999</v>
      </c>
      <c r="AJ173">
        <v>1380478.077</v>
      </c>
      <c r="AK173">
        <v>1309293.848</v>
      </c>
      <c r="AL173">
        <v>1224126.345</v>
      </c>
      <c r="AM173">
        <v>1121717.3910000001</v>
      </c>
      <c r="AN173">
        <v>1072690.297</v>
      </c>
      <c r="AO173">
        <v>1014439.33</v>
      </c>
      <c r="AP173">
        <v>944228.69669999997</v>
      </c>
      <c r="AQ173">
        <v>859935.69530000002</v>
      </c>
      <c r="AR173">
        <v>757761.70660000003</v>
      </c>
      <c r="AS173">
        <v>742030.09920000006</v>
      </c>
      <c r="AT173">
        <v>723376.91910000006</v>
      </c>
      <c r="AU173">
        <v>702560.77919999999</v>
      </c>
      <c r="AV173">
        <v>678895.15800000005</v>
      </c>
      <c r="AW173">
        <v>651874.07700000005</v>
      </c>
    </row>
    <row r="174" spans="2:49" x14ac:dyDescent="0.25">
      <c r="B174" t="s">
        <v>245</v>
      </c>
      <c r="C174">
        <v>415184.68418409303</v>
      </c>
      <c r="D174">
        <v>421850.60858395998</v>
      </c>
      <c r="E174">
        <v>428797.26770000003</v>
      </c>
      <c r="F174">
        <v>429160.8628</v>
      </c>
      <c r="G174">
        <v>402359.39049999998</v>
      </c>
      <c r="H174">
        <v>363702.21220000001</v>
      </c>
      <c r="I174">
        <v>391606.81640000001</v>
      </c>
      <c r="J174">
        <v>378175.11969999998</v>
      </c>
      <c r="K174">
        <v>361263.69380000001</v>
      </c>
      <c r="L174">
        <v>362651.73200000002</v>
      </c>
      <c r="M174">
        <v>384996.60210000002</v>
      </c>
      <c r="N174">
        <v>441490.61489999999</v>
      </c>
      <c r="O174">
        <v>397132.74979999999</v>
      </c>
      <c r="P174">
        <v>341104.27470000001</v>
      </c>
      <c r="Q174">
        <v>282206.7035</v>
      </c>
      <c r="R174">
        <v>248334.97260000001</v>
      </c>
      <c r="S174">
        <v>204156.8725</v>
      </c>
      <c r="T174">
        <v>201219.85190000001</v>
      </c>
      <c r="U174">
        <v>199740.052</v>
      </c>
      <c r="V174">
        <v>202559.2732</v>
      </c>
      <c r="W174">
        <v>184725.2023</v>
      </c>
      <c r="X174">
        <v>156239.97099999999</v>
      </c>
      <c r="Y174">
        <v>128427.0178</v>
      </c>
      <c r="Z174">
        <v>108695.4935</v>
      </c>
      <c r="AA174">
        <v>93296.072579999905</v>
      </c>
      <c r="AB174">
        <v>80606.397190000003</v>
      </c>
      <c r="AC174">
        <v>70265.36563</v>
      </c>
      <c r="AD174">
        <v>66483.552219999998</v>
      </c>
      <c r="AE174">
        <v>64246.649149999997</v>
      </c>
      <c r="AF174">
        <v>62339.315979999999</v>
      </c>
      <c r="AG174">
        <v>60487.50963</v>
      </c>
      <c r="AH174">
        <v>58517.169580000002</v>
      </c>
      <c r="AI174">
        <v>56437.197800000002</v>
      </c>
      <c r="AJ174">
        <v>53890.043319999997</v>
      </c>
      <c r="AK174">
        <v>50747.792300000001</v>
      </c>
      <c r="AL174">
        <v>47026.554600000003</v>
      </c>
      <c r="AM174">
        <v>42717.583169999998</v>
      </c>
      <c r="AN174">
        <v>40481.411930000002</v>
      </c>
      <c r="AO174">
        <v>37949.431040000003</v>
      </c>
      <c r="AP174">
        <v>35017.37012</v>
      </c>
      <c r="AQ174">
        <v>31609.817439999999</v>
      </c>
      <c r="AR174">
        <v>27705.363389999999</v>
      </c>
      <c r="AS174">
        <v>26928.269929999999</v>
      </c>
      <c r="AT174">
        <v>26078.069780000002</v>
      </c>
      <c r="AU174">
        <v>25153.64071</v>
      </c>
      <c r="AV174">
        <v>24129.109690000001</v>
      </c>
      <c r="AW174">
        <v>22971.360270000001</v>
      </c>
    </row>
    <row r="175" spans="2:49" x14ac:dyDescent="0.25">
      <c r="B175" t="s">
        <v>246</v>
      </c>
      <c r="C175">
        <v>4757556.1935294</v>
      </c>
      <c r="D175">
        <v>4833940.2970916703</v>
      </c>
      <c r="E175">
        <v>4913541.3090000004</v>
      </c>
      <c r="F175">
        <v>4950688.33</v>
      </c>
      <c r="G175">
        <v>4480388.9340000004</v>
      </c>
      <c r="H175">
        <v>4062783.1069999998</v>
      </c>
      <c r="I175">
        <v>3413936.4980000001</v>
      </c>
      <c r="J175">
        <v>3547870.9810000001</v>
      </c>
      <c r="K175">
        <v>3176856.9270000001</v>
      </c>
      <c r="L175">
        <v>3046449.0120000001</v>
      </c>
      <c r="M175">
        <v>3112937.48</v>
      </c>
      <c r="N175">
        <v>3187966.6179999998</v>
      </c>
      <c r="O175">
        <v>2923702.6740000001</v>
      </c>
      <c r="P175">
        <v>2583866.2230000002</v>
      </c>
      <c r="Q175">
        <v>2238709.9989999998</v>
      </c>
      <c r="R175">
        <v>1981952.1340000001</v>
      </c>
      <c r="S175">
        <v>1754546.787</v>
      </c>
      <c r="T175">
        <v>1657762.4410000001</v>
      </c>
      <c r="U175">
        <v>1553146.838</v>
      </c>
      <c r="V175">
        <v>1441500.257</v>
      </c>
      <c r="W175">
        <v>1299518.4620000001</v>
      </c>
      <c r="X175">
        <v>1114980.5989999999</v>
      </c>
      <c r="Y175">
        <v>1054085.9010000001</v>
      </c>
      <c r="Z175">
        <v>1030638.58</v>
      </c>
      <c r="AA175">
        <v>1029607.998</v>
      </c>
      <c r="AB175">
        <v>1043714.64</v>
      </c>
      <c r="AC175">
        <v>1074392.2169999999</v>
      </c>
      <c r="AD175">
        <v>1037512.142</v>
      </c>
      <c r="AE175">
        <v>1014944.341</v>
      </c>
      <c r="AF175">
        <v>992144.17409999995</v>
      </c>
      <c r="AG175">
        <v>967088.78280000004</v>
      </c>
      <c r="AH175">
        <v>937053.15760000004</v>
      </c>
      <c r="AI175">
        <v>900740.35100000002</v>
      </c>
      <c r="AJ175">
        <v>860136.08559999999</v>
      </c>
      <c r="AK175">
        <v>812561.6152</v>
      </c>
      <c r="AL175">
        <v>757315.72530000005</v>
      </c>
      <c r="AM175">
        <v>692852.76740000001</v>
      </c>
      <c r="AN175">
        <v>656419.41619999998</v>
      </c>
      <c r="AO175">
        <v>614405.91650000005</v>
      </c>
      <c r="AP175">
        <v>566634.64520000003</v>
      </c>
      <c r="AQ175">
        <v>512302.48570000002</v>
      </c>
      <c r="AR175">
        <v>449457.49560000002</v>
      </c>
      <c r="AS175">
        <v>436703.913</v>
      </c>
      <c r="AT175">
        <v>422486.39730000001</v>
      </c>
      <c r="AU175">
        <v>407266.49800000002</v>
      </c>
      <c r="AV175">
        <v>390735.82799999998</v>
      </c>
      <c r="AW175">
        <v>372730.38919999998</v>
      </c>
    </row>
    <row r="176" spans="2:49" x14ac:dyDescent="0.25">
      <c r="B176" t="s">
        <v>247</v>
      </c>
      <c r="C176">
        <v>16503281.675133999</v>
      </c>
      <c r="D176">
        <v>16768247.200565999</v>
      </c>
      <c r="E176">
        <v>17044371.719999999</v>
      </c>
      <c r="F176">
        <v>17200380.690000001</v>
      </c>
      <c r="G176">
        <v>15692458.84</v>
      </c>
      <c r="H176">
        <v>14049912.789999999</v>
      </c>
      <c r="I176">
        <v>12926820.75</v>
      </c>
      <c r="J176">
        <v>13788011.960000001</v>
      </c>
      <c r="K176">
        <v>12347083.41</v>
      </c>
      <c r="L176">
        <v>11830333</v>
      </c>
      <c r="M176">
        <v>12095386.210000001</v>
      </c>
      <c r="N176">
        <v>12338424.970000001</v>
      </c>
      <c r="O176">
        <v>11672418.73</v>
      </c>
      <c r="P176">
        <v>10666441.619999999</v>
      </c>
      <c r="Q176">
        <v>9475826.1980000008</v>
      </c>
      <c r="R176">
        <v>8622836.1510000005</v>
      </c>
      <c r="S176">
        <v>7844632.9670000002</v>
      </c>
      <c r="T176">
        <v>7704856.426</v>
      </c>
      <c r="U176">
        <v>7372149.4409999996</v>
      </c>
      <c r="V176">
        <v>7081864.4069999997</v>
      </c>
      <c r="W176">
        <v>6151759.2869999995</v>
      </c>
      <c r="X176">
        <v>5079968.6560000004</v>
      </c>
      <c r="Y176">
        <v>4454840.4079999998</v>
      </c>
      <c r="Z176">
        <v>3983447.98</v>
      </c>
      <c r="AA176">
        <v>3594737.05</v>
      </c>
      <c r="AB176">
        <v>3256212.61</v>
      </c>
      <c r="AC176">
        <v>2975230.5350000001</v>
      </c>
      <c r="AD176">
        <v>2883881.0589999999</v>
      </c>
      <c r="AE176">
        <v>2814387.99</v>
      </c>
      <c r="AF176">
        <v>2742659.9470000002</v>
      </c>
      <c r="AG176">
        <v>2665017.0279999999</v>
      </c>
      <c r="AH176">
        <v>2579177.969</v>
      </c>
      <c r="AI176">
        <v>2476995.0279999999</v>
      </c>
      <c r="AJ176">
        <v>2358523.8259999999</v>
      </c>
      <c r="AK176">
        <v>2224979.5580000002</v>
      </c>
      <c r="AL176">
        <v>2070027.5390000001</v>
      </c>
      <c r="AM176">
        <v>1893347.8430000001</v>
      </c>
      <c r="AN176">
        <v>1798443.463</v>
      </c>
      <c r="AO176">
        <v>1684070.3529999999</v>
      </c>
      <c r="AP176">
        <v>1553349.997</v>
      </c>
      <c r="AQ176">
        <v>1405797.585</v>
      </c>
      <c r="AR176">
        <v>1232162.0589999999</v>
      </c>
      <c r="AS176">
        <v>1195313.8019999999</v>
      </c>
      <c r="AT176">
        <v>1157899.763</v>
      </c>
      <c r="AU176">
        <v>1117666.1399999999</v>
      </c>
      <c r="AV176">
        <v>1073583.7109999999</v>
      </c>
      <c r="AW176">
        <v>1026902.968</v>
      </c>
    </row>
    <row r="177" spans="2:49" x14ac:dyDescent="0.25">
      <c r="B177" t="s">
        <v>248</v>
      </c>
      <c r="C177">
        <v>11632594.838881901</v>
      </c>
      <c r="D177">
        <v>11819359.911689499</v>
      </c>
      <c r="E177">
        <v>12013990.58</v>
      </c>
      <c r="F177">
        <v>12010771.34</v>
      </c>
      <c r="G177">
        <v>11102676.300000001</v>
      </c>
      <c r="H177">
        <v>10440797.16</v>
      </c>
      <c r="I177">
        <v>8796446.1349999998</v>
      </c>
      <c r="J177">
        <v>7866674.6050000004</v>
      </c>
      <c r="K177">
        <v>7150813.9680000003</v>
      </c>
      <c r="L177">
        <v>7060528.7300000004</v>
      </c>
      <c r="M177">
        <v>7012795.1919999998</v>
      </c>
      <c r="N177">
        <v>7288991.6579999998</v>
      </c>
      <c r="O177">
        <v>6556403.04</v>
      </c>
      <c r="P177">
        <v>5685094.7649999997</v>
      </c>
      <c r="Q177">
        <v>4943963.9009999996</v>
      </c>
      <c r="R177">
        <v>4337009.5630000001</v>
      </c>
      <c r="S177">
        <v>3891079.6889999998</v>
      </c>
      <c r="T177">
        <v>3675702.3769999999</v>
      </c>
      <c r="U177">
        <v>3411463.99</v>
      </c>
      <c r="V177">
        <v>3131546.949</v>
      </c>
      <c r="W177">
        <v>2681789.699</v>
      </c>
      <c r="X177">
        <v>2192782.182</v>
      </c>
      <c r="Y177">
        <v>1997669.361</v>
      </c>
      <c r="Z177">
        <v>1886154.8840000001</v>
      </c>
      <c r="AA177">
        <v>1819613.7350000001</v>
      </c>
      <c r="AB177">
        <v>1783076.6850000001</v>
      </c>
      <c r="AC177">
        <v>1777706.71</v>
      </c>
      <c r="AD177">
        <v>1720858.9809999999</v>
      </c>
      <c r="AE177">
        <v>1688210.6510000001</v>
      </c>
      <c r="AF177">
        <v>1655817.6070000001</v>
      </c>
      <c r="AG177">
        <v>1620760.4720000001</v>
      </c>
      <c r="AH177">
        <v>1576872.5190000001</v>
      </c>
      <c r="AI177">
        <v>1521647.1329999999</v>
      </c>
      <c r="AJ177">
        <v>1459285.845</v>
      </c>
      <c r="AK177">
        <v>1385056.6159999999</v>
      </c>
      <c r="AL177">
        <v>1298426.0549999999</v>
      </c>
      <c r="AM177">
        <v>1195077.5330000001</v>
      </c>
      <c r="AN177">
        <v>1138463.0959999999</v>
      </c>
      <c r="AO177">
        <v>1071448.2849999999</v>
      </c>
      <c r="AP177">
        <v>993413.75959999999</v>
      </c>
      <c r="AQ177">
        <v>902772.34569999995</v>
      </c>
      <c r="AR177">
        <v>795490.83649999998</v>
      </c>
      <c r="AS177">
        <v>777825.56700000004</v>
      </c>
      <c r="AT177">
        <v>757351.16749999998</v>
      </c>
      <c r="AU177">
        <v>734838.51340000005</v>
      </c>
      <c r="AV177">
        <v>709635.80700000003</v>
      </c>
      <c r="AW177">
        <v>681441.47609999997</v>
      </c>
    </row>
    <row r="178" spans="2:49" x14ac:dyDescent="0.25">
      <c r="B178" t="s">
        <v>249</v>
      </c>
      <c r="C178">
        <v>3166830.51938263</v>
      </c>
      <c r="D178">
        <v>3217675.0077116699</v>
      </c>
      <c r="E178">
        <v>3270660.8059999999</v>
      </c>
      <c r="F178">
        <v>3287421.1869999999</v>
      </c>
      <c r="G178">
        <v>3225020.3620000002</v>
      </c>
      <c r="H178">
        <v>3123894.602</v>
      </c>
      <c r="I178">
        <v>3028222.2259999998</v>
      </c>
      <c r="J178">
        <v>2941942.594</v>
      </c>
      <c r="K178">
        <v>2799071.84</v>
      </c>
      <c r="L178">
        <v>2793971.1030000001</v>
      </c>
      <c r="M178">
        <v>2824008.1919999998</v>
      </c>
      <c r="N178">
        <v>3007070.4360000002</v>
      </c>
      <c r="O178">
        <v>2935705.6669999999</v>
      </c>
      <c r="P178">
        <v>2760730.9959999998</v>
      </c>
      <c r="Q178">
        <v>2551882.3110000002</v>
      </c>
      <c r="R178">
        <v>2461002.202</v>
      </c>
      <c r="S178">
        <v>2330761.0550000002</v>
      </c>
      <c r="T178">
        <v>2319338.5419999999</v>
      </c>
      <c r="U178">
        <v>2275456.6379999998</v>
      </c>
      <c r="V178">
        <v>2235860.0959999999</v>
      </c>
      <c r="W178">
        <v>1993329.138</v>
      </c>
      <c r="X178">
        <v>1708387.9439999999</v>
      </c>
      <c r="Y178">
        <v>1531388.2560000001</v>
      </c>
      <c r="Z178">
        <v>1403230.5049999999</v>
      </c>
      <c r="AA178">
        <v>1303069.676</v>
      </c>
      <c r="AB178">
        <v>1222827.534</v>
      </c>
      <c r="AC178">
        <v>1160386.621</v>
      </c>
      <c r="AD178">
        <v>1127989.554</v>
      </c>
      <c r="AE178">
        <v>1108751.2039999999</v>
      </c>
      <c r="AF178">
        <v>1088993.243</v>
      </c>
      <c r="AG178">
        <v>1066771.6170000001</v>
      </c>
      <c r="AH178">
        <v>1039084.2879999999</v>
      </c>
      <c r="AI178">
        <v>1003574.29</v>
      </c>
      <c r="AJ178">
        <v>962574.73860000004</v>
      </c>
      <c r="AK178">
        <v>913436.42660000001</v>
      </c>
      <c r="AL178">
        <v>854678.68050000002</v>
      </c>
      <c r="AM178">
        <v>784397.80359999998</v>
      </c>
      <c r="AN178">
        <v>748733.12190000003</v>
      </c>
      <c r="AO178">
        <v>706656.89130000002</v>
      </c>
      <c r="AP178">
        <v>657108.11809999996</v>
      </c>
      <c r="AQ178">
        <v>598704.74250000005</v>
      </c>
      <c r="AR178">
        <v>528693.56629999995</v>
      </c>
      <c r="AS178">
        <v>518064.83260000002</v>
      </c>
      <c r="AT178">
        <v>505423.60060000001</v>
      </c>
      <c r="AU178">
        <v>491143.36709999997</v>
      </c>
      <c r="AV178">
        <v>474825.22930000001</v>
      </c>
      <c r="AW178">
        <v>456235.97529999999</v>
      </c>
    </row>
    <row r="179" spans="2:49" x14ac:dyDescent="0.25">
      <c r="B179" t="s">
        <v>250</v>
      </c>
      <c r="C179">
        <v>6723975.7599636996</v>
      </c>
      <c r="D179">
        <v>6831931.3657214995</v>
      </c>
      <c r="E179">
        <v>6946020.0939999996</v>
      </c>
      <c r="F179">
        <v>7003385.9419999998</v>
      </c>
      <c r="G179">
        <v>7029204.7800000003</v>
      </c>
      <c r="H179">
        <v>6607725.4170000004</v>
      </c>
      <c r="I179">
        <v>6867920.2340000002</v>
      </c>
      <c r="J179">
        <v>6943299.1179999998</v>
      </c>
      <c r="K179">
        <v>6824219.1550000003</v>
      </c>
      <c r="L179">
        <v>6840312.6859999998</v>
      </c>
      <c r="M179">
        <v>6899488.5599999996</v>
      </c>
      <c r="N179">
        <v>7192338.8640000001</v>
      </c>
      <c r="O179">
        <v>7196339.0559999999</v>
      </c>
      <c r="P179">
        <v>7197775.1809999999</v>
      </c>
      <c r="Q179">
        <v>7075308.273</v>
      </c>
      <c r="R179">
        <v>7140536.5049999999</v>
      </c>
      <c r="S179">
        <v>7061928.8969999999</v>
      </c>
      <c r="T179">
        <v>7058242.6940000001</v>
      </c>
      <c r="U179">
        <v>7125321.3109999998</v>
      </c>
      <c r="V179">
        <v>7185407.2649999997</v>
      </c>
      <c r="W179">
        <v>7104382.5779999997</v>
      </c>
      <c r="X179">
        <v>6963827.1390000004</v>
      </c>
      <c r="Y179">
        <v>6865236.2410000004</v>
      </c>
      <c r="Z179">
        <v>6774328.949</v>
      </c>
      <c r="AA179">
        <v>6693143.6030000001</v>
      </c>
      <c r="AB179">
        <v>6646080.665</v>
      </c>
      <c r="AC179">
        <v>6613874.8020000001</v>
      </c>
      <c r="AD179">
        <v>6441809.8049999997</v>
      </c>
      <c r="AE179">
        <v>6272227.1430000002</v>
      </c>
      <c r="AF179">
        <v>6088940.4060000004</v>
      </c>
      <c r="AG179">
        <v>5890545.0259999996</v>
      </c>
      <c r="AH179">
        <v>5673109.318</v>
      </c>
      <c r="AI179">
        <v>5420215.6540000001</v>
      </c>
      <c r="AJ179">
        <v>5140244.7240000004</v>
      </c>
      <c r="AK179">
        <v>4820454.6629999997</v>
      </c>
      <c r="AL179">
        <v>4461557.1229999997</v>
      </c>
      <c r="AM179">
        <v>4044263.8679999998</v>
      </c>
      <c r="AN179">
        <v>3828435.5189999999</v>
      </c>
      <c r="AO179">
        <v>3582651.085</v>
      </c>
      <c r="AP179">
        <v>3301072.094</v>
      </c>
      <c r="AQ179">
        <v>2976668.932</v>
      </c>
      <c r="AR179">
        <v>2598854.1129999999</v>
      </c>
      <c r="AS179">
        <v>2523816.1940000001</v>
      </c>
      <c r="AT179">
        <v>2441699.1329999999</v>
      </c>
      <c r="AU179">
        <v>2352528.2549999999</v>
      </c>
      <c r="AV179">
        <v>2254824.8280000002</v>
      </c>
      <c r="AW179">
        <v>2147406.5240000002</v>
      </c>
    </row>
    <row r="180" spans="2:49" x14ac:dyDescent="0.25">
      <c r="B180" t="s">
        <v>251</v>
      </c>
      <c r="C180">
        <v>312332.22295347298</v>
      </c>
      <c r="D180">
        <v>317346.817819711</v>
      </c>
      <c r="E180">
        <v>322572.6018</v>
      </c>
      <c r="F180">
        <v>334218.08439999999</v>
      </c>
      <c r="G180">
        <v>321550.66800000001</v>
      </c>
      <c r="H180">
        <v>280461.49849999999</v>
      </c>
      <c r="I180">
        <v>293137.45189999999</v>
      </c>
      <c r="J180">
        <v>297137.94449999998</v>
      </c>
      <c r="K180">
        <v>277942.12599999999</v>
      </c>
      <c r="L180">
        <v>263003.42619999999</v>
      </c>
      <c r="M180">
        <v>259026.83290000001</v>
      </c>
      <c r="N180">
        <v>273209.3187</v>
      </c>
      <c r="O180">
        <v>251229.68049999999</v>
      </c>
      <c r="P180">
        <v>232616.5931</v>
      </c>
      <c r="Q180">
        <v>211544.58679999999</v>
      </c>
      <c r="R180">
        <v>192568.04949999999</v>
      </c>
      <c r="S180">
        <v>179586.1918</v>
      </c>
      <c r="T180">
        <v>181263.90830000001</v>
      </c>
      <c r="U180">
        <v>181804.1243</v>
      </c>
      <c r="V180">
        <v>184479.66380000001</v>
      </c>
      <c r="W180">
        <v>171742.02910000001</v>
      </c>
      <c r="X180">
        <v>157118.82870000001</v>
      </c>
      <c r="Y180">
        <v>145533.52590000001</v>
      </c>
      <c r="Z180">
        <v>137267.75690000001</v>
      </c>
      <c r="AA180">
        <v>130898.4452</v>
      </c>
      <c r="AB180">
        <v>125660.11599999999</v>
      </c>
      <c r="AC180">
        <v>121400.2641</v>
      </c>
      <c r="AD180">
        <v>117279.8167</v>
      </c>
      <c r="AE180">
        <v>113939.6257</v>
      </c>
      <c r="AF180">
        <v>110477.16250000001</v>
      </c>
      <c r="AG180">
        <v>106705.73480000001</v>
      </c>
      <c r="AH180">
        <v>102665.2689</v>
      </c>
      <c r="AI180">
        <v>98051.65582</v>
      </c>
      <c r="AJ180">
        <v>92786.978109999996</v>
      </c>
      <c r="AK180">
        <v>86768.212409999906</v>
      </c>
      <c r="AL180">
        <v>79957.947539999994</v>
      </c>
      <c r="AM180">
        <v>72178.769780000002</v>
      </c>
      <c r="AN180">
        <v>68051.61636</v>
      </c>
      <c r="AO180">
        <v>63444.431879999996</v>
      </c>
      <c r="AP180">
        <v>58229.024530000002</v>
      </c>
      <c r="AQ180">
        <v>52316.413780000003</v>
      </c>
      <c r="AR180">
        <v>45513.334990000003</v>
      </c>
      <c r="AS180">
        <v>43964.580549999999</v>
      </c>
      <c r="AT180">
        <v>42327.090609999999</v>
      </c>
      <c r="AU180">
        <v>40588.176370000001</v>
      </c>
      <c r="AV180">
        <v>38718.290939999999</v>
      </c>
      <c r="AW180">
        <v>36703.415569999997</v>
      </c>
    </row>
    <row r="181" spans="2:49" x14ac:dyDescent="0.25">
      <c r="B181" t="s">
        <v>252</v>
      </c>
      <c r="C181">
        <v>7845653.0561234802</v>
      </c>
      <c r="D181">
        <v>7971617.5536879301</v>
      </c>
      <c r="E181">
        <v>8102887.0319999997</v>
      </c>
      <c r="F181">
        <v>8279890.7939999998</v>
      </c>
      <c r="G181">
        <v>7921651.5690000001</v>
      </c>
      <c r="H181">
        <v>7527655.0329999998</v>
      </c>
      <c r="I181">
        <v>7547208.9469999997</v>
      </c>
      <c r="J181">
        <v>7319183.4910000004</v>
      </c>
      <c r="K181">
        <v>6875309.8619999997</v>
      </c>
      <c r="L181">
        <v>6703387.2249999996</v>
      </c>
      <c r="M181">
        <v>6844714.2690000003</v>
      </c>
      <c r="N181">
        <v>7298971.5439999998</v>
      </c>
      <c r="O181">
        <v>6959569.091</v>
      </c>
      <c r="P181">
        <v>6332883.2319999998</v>
      </c>
      <c r="Q181">
        <v>5646286.7980000004</v>
      </c>
      <c r="R181">
        <v>5317729.7410000004</v>
      </c>
      <c r="S181">
        <v>4940984.1449999996</v>
      </c>
      <c r="T181">
        <v>5028545.5060000001</v>
      </c>
      <c r="U181">
        <v>5038651.7649999997</v>
      </c>
      <c r="V181">
        <v>5083403.7980000004</v>
      </c>
      <c r="W181">
        <v>4598015.591</v>
      </c>
      <c r="X181">
        <v>4018043.5920000002</v>
      </c>
      <c r="Y181">
        <v>3548419.7590000001</v>
      </c>
      <c r="Z181">
        <v>3174982.7790000001</v>
      </c>
      <c r="AA181">
        <v>2864270.389</v>
      </c>
      <c r="AB181">
        <v>2597140.3560000001</v>
      </c>
      <c r="AC181">
        <v>2368660.2069999999</v>
      </c>
      <c r="AD181">
        <v>2294886.054</v>
      </c>
      <c r="AE181">
        <v>2249749.4279999998</v>
      </c>
      <c r="AF181">
        <v>2203981.4840000002</v>
      </c>
      <c r="AG181">
        <v>2152130.193</v>
      </c>
      <c r="AH181">
        <v>2089849.378</v>
      </c>
      <c r="AI181">
        <v>2014334.21</v>
      </c>
      <c r="AJ181">
        <v>1925147.628</v>
      </c>
      <c r="AK181">
        <v>1818868.757</v>
      </c>
      <c r="AL181">
        <v>1693445.29</v>
      </c>
      <c r="AM181">
        <v>1545742.5970000001</v>
      </c>
      <c r="AN181">
        <v>1473783.6059999999</v>
      </c>
      <c r="AO181">
        <v>1388891.281</v>
      </c>
      <c r="AP181">
        <v>1288135.219</v>
      </c>
      <c r="AQ181">
        <v>1168954.594</v>
      </c>
      <c r="AR181">
        <v>1025620.752</v>
      </c>
      <c r="AS181">
        <v>999986.23759999999</v>
      </c>
      <c r="AT181">
        <v>972093.41449999996</v>
      </c>
      <c r="AU181">
        <v>941496.27599999995</v>
      </c>
      <c r="AV181">
        <v>907058.4044</v>
      </c>
      <c r="AW181">
        <v>868451.36069999996</v>
      </c>
    </row>
    <row r="182" spans="2:49" x14ac:dyDescent="0.25">
      <c r="B182" t="s">
        <v>253</v>
      </c>
      <c r="C182">
        <v>3.3990718667427999</v>
      </c>
      <c r="D182">
        <v>3.4536450650243098</v>
      </c>
      <c r="E182">
        <v>3.5105166080000001</v>
      </c>
      <c r="F182">
        <v>3.721707114</v>
      </c>
      <c r="G182">
        <v>3.6483624190000001</v>
      </c>
      <c r="H182">
        <v>3.4016245839999999</v>
      </c>
      <c r="I182">
        <v>3.3585368880000002</v>
      </c>
      <c r="J182">
        <v>3.3585237540000001</v>
      </c>
      <c r="K182">
        <v>3.2191903819999999</v>
      </c>
      <c r="L182">
        <v>3.2180667629999999</v>
      </c>
      <c r="M182">
        <v>3.2232301400000001</v>
      </c>
      <c r="N182">
        <v>3.3034706190000001</v>
      </c>
      <c r="O182">
        <v>3.4858790810000002</v>
      </c>
      <c r="P182">
        <v>3.622757671</v>
      </c>
      <c r="Q182">
        <v>3.6181634300000001</v>
      </c>
      <c r="R182">
        <v>3.738578988</v>
      </c>
      <c r="S182">
        <v>3.7477015709999999</v>
      </c>
      <c r="T182">
        <v>3.8789906059999999</v>
      </c>
      <c r="U182">
        <v>3.8549256559999998</v>
      </c>
      <c r="V182">
        <v>3.9058878849999998</v>
      </c>
      <c r="W182">
        <v>3.8453031379999998</v>
      </c>
      <c r="X182">
        <v>3.7841449909999998</v>
      </c>
      <c r="Y182">
        <v>3.7417414990000002</v>
      </c>
      <c r="Z182">
        <v>3.701092552</v>
      </c>
      <c r="AA182">
        <v>3.6458382829999998</v>
      </c>
      <c r="AB182">
        <v>3.565396808</v>
      </c>
      <c r="AC182">
        <v>3.4879362920000001</v>
      </c>
      <c r="AD182">
        <v>3.4180445339999999</v>
      </c>
      <c r="AE182">
        <v>3.3028000300000002</v>
      </c>
      <c r="AF182">
        <v>3.174709698</v>
      </c>
      <c r="AG182">
        <v>3.0377015360000001</v>
      </c>
      <c r="AH182">
        <v>2.8993591680000002</v>
      </c>
      <c r="AI182">
        <v>2.748051131</v>
      </c>
      <c r="AJ182">
        <v>2.5734720090000001</v>
      </c>
      <c r="AK182">
        <v>2.3869570429999998</v>
      </c>
      <c r="AL182">
        <v>2.1798047290000002</v>
      </c>
      <c r="AM182">
        <v>1.9583866080000001</v>
      </c>
      <c r="AN182">
        <v>1.8482890110000001</v>
      </c>
      <c r="AO182">
        <v>1.7158855369999999</v>
      </c>
      <c r="AP182">
        <v>1.567251672</v>
      </c>
      <c r="AQ182">
        <v>1.4026814830000001</v>
      </c>
      <c r="AR182">
        <v>1.2111773850000001</v>
      </c>
      <c r="AS182">
        <v>1.159946374</v>
      </c>
      <c r="AT182">
        <v>1.114252359</v>
      </c>
      <c r="AU182">
        <v>1.066689349</v>
      </c>
      <c r="AV182">
        <v>1.015652169</v>
      </c>
      <c r="AW182">
        <v>0.96433879489999996</v>
      </c>
    </row>
    <row r="183" spans="2:49" x14ac:dyDescent="0.25">
      <c r="B183" t="s">
        <v>254</v>
      </c>
      <c r="C183">
        <v>600391.80946004798</v>
      </c>
      <c r="D183">
        <v>610031.29416316305</v>
      </c>
      <c r="E183">
        <v>620076.74470000004</v>
      </c>
      <c r="F183">
        <v>632032.41480000003</v>
      </c>
      <c r="G183">
        <v>594084.57779999997</v>
      </c>
      <c r="H183">
        <v>584882.11569999997</v>
      </c>
      <c r="I183">
        <v>591870.0564</v>
      </c>
      <c r="J183">
        <v>566938.4987</v>
      </c>
      <c r="K183">
        <v>533592.82310000004</v>
      </c>
      <c r="L183">
        <v>538383.91599999997</v>
      </c>
      <c r="M183">
        <v>547718.46900000004</v>
      </c>
      <c r="N183">
        <v>576869.80759999994</v>
      </c>
      <c r="O183">
        <v>610037.90119999996</v>
      </c>
      <c r="P183">
        <v>621592.20790000004</v>
      </c>
      <c r="Q183">
        <v>577339.97779999999</v>
      </c>
      <c r="R183">
        <v>594400.65639999998</v>
      </c>
      <c r="S183">
        <v>592842.57579999999</v>
      </c>
      <c r="T183">
        <v>591786.03300000005</v>
      </c>
      <c r="U183">
        <v>591081.55630000005</v>
      </c>
      <c r="V183">
        <v>590182.27659999998</v>
      </c>
      <c r="W183">
        <v>606123.90989999997</v>
      </c>
      <c r="X183">
        <v>615203.63789999997</v>
      </c>
      <c r="Y183">
        <v>619445.15480000002</v>
      </c>
      <c r="Z183">
        <v>623586.64300000004</v>
      </c>
      <c r="AA183">
        <v>627138.36060000001</v>
      </c>
      <c r="AB183">
        <v>602347.84550000005</v>
      </c>
      <c r="AC183">
        <v>576113.64099999995</v>
      </c>
      <c r="AD183">
        <v>556308.80539999995</v>
      </c>
      <c r="AE183">
        <v>538747.39610000001</v>
      </c>
      <c r="AF183">
        <v>520746.25650000002</v>
      </c>
      <c r="AG183">
        <v>502487.14529999997</v>
      </c>
      <c r="AH183">
        <v>482144.4963</v>
      </c>
      <c r="AI183">
        <v>463610.64309999999</v>
      </c>
      <c r="AJ183">
        <v>443776.58880000003</v>
      </c>
      <c r="AK183">
        <v>420203.04840000003</v>
      </c>
      <c r="AL183">
        <v>393275.88740000001</v>
      </c>
      <c r="AM183">
        <v>361538.25069999998</v>
      </c>
      <c r="AN183">
        <v>341227.87119999999</v>
      </c>
      <c r="AO183">
        <v>318059.4607</v>
      </c>
      <c r="AP183">
        <v>292476.63809999998</v>
      </c>
      <c r="AQ183">
        <v>264004.85550000001</v>
      </c>
      <c r="AR183">
        <v>231615.27129999999</v>
      </c>
      <c r="AS183">
        <v>224537.6078</v>
      </c>
      <c r="AT183">
        <v>216664.55679999999</v>
      </c>
      <c r="AU183">
        <v>208393.34849999999</v>
      </c>
      <c r="AV183">
        <v>199543.4987</v>
      </c>
      <c r="AW183">
        <v>190013.46040000001</v>
      </c>
    </row>
    <row r="184" spans="2:49" x14ac:dyDescent="0.25">
      <c r="B184" t="s">
        <v>255</v>
      </c>
      <c r="C184">
        <v>2139866.37253871</v>
      </c>
      <c r="D184">
        <v>2174222.6193092102</v>
      </c>
      <c r="E184">
        <v>2197623.4730000002</v>
      </c>
      <c r="F184">
        <v>2183234.6129999999</v>
      </c>
      <c r="G184">
        <v>2173369.8969999999</v>
      </c>
      <c r="H184">
        <v>2169364.19</v>
      </c>
      <c r="I184">
        <v>2173390.7289999998</v>
      </c>
      <c r="J184">
        <v>2185570.9610000001</v>
      </c>
      <c r="K184">
        <v>2186232.523</v>
      </c>
      <c r="L184">
        <v>2182850.7400000002</v>
      </c>
      <c r="M184">
        <v>2195741.8309999998</v>
      </c>
      <c r="N184">
        <v>2173728.5980000002</v>
      </c>
      <c r="O184">
        <v>2202163.6529999999</v>
      </c>
      <c r="P184">
        <v>2221829.977</v>
      </c>
      <c r="Q184">
        <v>2248758.3670000001</v>
      </c>
      <c r="R184">
        <v>2271215.7450000001</v>
      </c>
      <c r="S184">
        <v>2240518.4909999999</v>
      </c>
      <c r="T184">
        <v>2196989.6529999999</v>
      </c>
      <c r="U184">
        <v>2177613.3859999999</v>
      </c>
      <c r="V184">
        <v>2153605.0290000001</v>
      </c>
      <c r="W184">
        <v>2121071.5150000001</v>
      </c>
      <c r="X184">
        <v>2064886.108</v>
      </c>
      <c r="Y184">
        <v>1987774.8729999999</v>
      </c>
      <c r="Z184">
        <v>1918349.844</v>
      </c>
      <c r="AA184">
        <v>1853016.67</v>
      </c>
      <c r="AB184">
        <v>1788912.496</v>
      </c>
      <c r="AC184">
        <v>1724154.0319999999</v>
      </c>
      <c r="AD184">
        <v>1592120.426</v>
      </c>
      <c r="AE184">
        <v>1462141.8259999999</v>
      </c>
      <c r="AF184">
        <v>1333198.4269999999</v>
      </c>
      <c r="AG184">
        <v>1206510.307</v>
      </c>
      <c r="AH184">
        <v>1082003.5319999999</v>
      </c>
      <c r="AI184">
        <v>951628.74620000005</v>
      </c>
      <c r="AJ184">
        <v>824667.30870000005</v>
      </c>
      <c r="AK184">
        <v>701170.70429999998</v>
      </c>
      <c r="AL184">
        <v>583070.93200000003</v>
      </c>
      <c r="AM184">
        <v>470174.91970000003</v>
      </c>
      <c r="AN184">
        <v>398504.79979999998</v>
      </c>
      <c r="AO184">
        <v>330457.98259999999</v>
      </c>
      <c r="AP184">
        <v>266248.90149999998</v>
      </c>
      <c r="AQ184">
        <v>206363.7182</v>
      </c>
      <c r="AR184">
        <v>151594.69529999999</v>
      </c>
      <c r="AS184">
        <v>127493.6777</v>
      </c>
      <c r="AT184">
        <v>104671.64509999999</v>
      </c>
      <c r="AU184">
        <v>83249.397779999999</v>
      </c>
      <c r="AV184">
        <v>63272.171159999998</v>
      </c>
      <c r="AW184">
        <v>44781.727659999997</v>
      </c>
    </row>
    <row r="185" spans="2:49" x14ac:dyDescent="0.25">
      <c r="B185" t="s">
        <v>256</v>
      </c>
      <c r="C185">
        <v>48247577.676067904</v>
      </c>
      <c r="D185">
        <v>49022208.141778298</v>
      </c>
      <c r="E185">
        <v>49866336.780000001</v>
      </c>
      <c r="F185">
        <v>49559163.979999997</v>
      </c>
      <c r="G185">
        <v>48579244.780000001</v>
      </c>
      <c r="H185">
        <v>46823236.520000003</v>
      </c>
      <c r="I185">
        <v>46429068.020000003</v>
      </c>
      <c r="J185">
        <v>46127187.810000002</v>
      </c>
      <c r="K185">
        <v>45540504.700000003</v>
      </c>
      <c r="L185">
        <v>44684687.130000003</v>
      </c>
      <c r="M185">
        <v>44212395.270000003</v>
      </c>
      <c r="N185">
        <v>43680163.859999999</v>
      </c>
      <c r="O185">
        <v>43621418.909999996</v>
      </c>
      <c r="P185">
        <v>43773864.689999998</v>
      </c>
      <c r="Q185">
        <v>43162112.420000002</v>
      </c>
      <c r="R185">
        <v>42565700.030000001</v>
      </c>
      <c r="S185">
        <v>41966122.039999999</v>
      </c>
      <c r="T185">
        <v>42610928.149999999</v>
      </c>
      <c r="U185">
        <v>42637348.049999997</v>
      </c>
      <c r="V185">
        <v>42898270.759999998</v>
      </c>
      <c r="W185">
        <v>42641669.909999996</v>
      </c>
      <c r="X185">
        <v>42042720.619999997</v>
      </c>
      <c r="Y185">
        <v>40849715.259999998</v>
      </c>
      <c r="Z185">
        <v>39847550.399999999</v>
      </c>
      <c r="AA185">
        <v>38876181.170000002</v>
      </c>
      <c r="AB185">
        <v>37789440.380000003</v>
      </c>
      <c r="AC185">
        <v>36685967.969999999</v>
      </c>
      <c r="AD185">
        <v>34304022.109999999</v>
      </c>
      <c r="AE185">
        <v>31898909.199999999</v>
      </c>
      <c r="AF185">
        <v>29492269.149999999</v>
      </c>
      <c r="AG185">
        <v>27097189.629999999</v>
      </c>
      <c r="AH185">
        <v>24731563.82</v>
      </c>
      <c r="AI185">
        <v>22093699.68</v>
      </c>
      <c r="AJ185">
        <v>19474174.57</v>
      </c>
      <c r="AK185">
        <v>16882874.829999998</v>
      </c>
      <c r="AL185">
        <v>14311459.449999999</v>
      </c>
      <c r="AM185">
        <v>11839217.220000001</v>
      </c>
      <c r="AN185">
        <v>10480112.07</v>
      </c>
      <c r="AO185">
        <v>9132584.99599999</v>
      </c>
      <c r="AP185">
        <v>7805690.4539999999</v>
      </c>
      <c r="AQ185">
        <v>6494949.4979999997</v>
      </c>
      <c r="AR185">
        <v>5197051.1739999996</v>
      </c>
      <c r="AS185">
        <v>4828390.79</v>
      </c>
      <c r="AT185">
        <v>4467821.0760000004</v>
      </c>
      <c r="AU185">
        <v>4111850.1690000002</v>
      </c>
      <c r="AV185">
        <v>3758036.8450000002</v>
      </c>
      <c r="AW185">
        <v>3406611.7489999998</v>
      </c>
    </row>
    <row r="186" spans="2:49" x14ac:dyDescent="0.25">
      <c r="B186" t="s">
        <v>257</v>
      </c>
      <c r="C186">
        <v>9181601.5739378203</v>
      </c>
      <c r="D186">
        <v>9329015.1570805702</v>
      </c>
      <c r="E186">
        <v>9482637.0470000003</v>
      </c>
      <c r="F186">
        <v>10821035.050000001</v>
      </c>
      <c r="G186">
        <v>9127373.6050000004</v>
      </c>
      <c r="H186">
        <v>6589328.3930000002</v>
      </c>
      <c r="I186">
        <v>7814048.0530000003</v>
      </c>
      <c r="J186">
        <v>6152599.7790000001</v>
      </c>
      <c r="K186">
        <v>7128876.4850000003</v>
      </c>
      <c r="L186">
        <v>6401203.0719999997</v>
      </c>
      <c r="M186">
        <v>6440366.4539999999</v>
      </c>
      <c r="N186">
        <v>6621321.6600000001</v>
      </c>
      <c r="O186">
        <v>6047102.8389999997</v>
      </c>
      <c r="P186">
        <v>6409527.7249999996</v>
      </c>
      <c r="Q186">
        <v>6302068.0769999996</v>
      </c>
      <c r="R186">
        <v>6416250.3339999998</v>
      </c>
      <c r="S186">
        <v>6405687.4730000002</v>
      </c>
      <c r="T186">
        <v>6309122.4529999997</v>
      </c>
      <c r="U186">
        <v>6340853.9210000001</v>
      </c>
      <c r="V186">
        <v>6379706.1090000002</v>
      </c>
      <c r="W186">
        <v>6353591.2980000004</v>
      </c>
      <c r="X186">
        <v>6288240.7580000004</v>
      </c>
      <c r="Y186">
        <v>6255035.9780000001</v>
      </c>
      <c r="Z186">
        <v>6230491.165</v>
      </c>
      <c r="AA186">
        <v>6205370.4390000002</v>
      </c>
      <c r="AB186">
        <v>6014447.1789999995</v>
      </c>
      <c r="AC186">
        <v>5801013.6140000001</v>
      </c>
      <c r="AD186">
        <v>5592711.5899999999</v>
      </c>
      <c r="AE186">
        <v>5385173.4079999998</v>
      </c>
      <c r="AF186">
        <v>5174394.5029999996</v>
      </c>
      <c r="AG186">
        <v>4959427.9879999999</v>
      </c>
      <c r="AH186">
        <v>4738948.7019999996</v>
      </c>
      <c r="AI186">
        <v>4521097.2249999996</v>
      </c>
      <c r="AJ186">
        <v>4286675.7070000004</v>
      </c>
      <c r="AK186">
        <v>4024634.7889999999</v>
      </c>
      <c r="AL186">
        <v>3735155.8420000002</v>
      </c>
      <c r="AM186">
        <v>3404726.3569999998</v>
      </c>
      <c r="AN186">
        <v>3222038.9309999999</v>
      </c>
      <c r="AO186">
        <v>3008162.6910000001</v>
      </c>
      <c r="AP186">
        <v>2767011.2310000001</v>
      </c>
      <c r="AQ186">
        <v>2494638.9619999998</v>
      </c>
      <c r="AR186">
        <v>2180913.2999999998</v>
      </c>
      <c r="AS186">
        <v>2114398.4909999999</v>
      </c>
      <c r="AT186">
        <v>2044342.6310000001</v>
      </c>
      <c r="AU186">
        <v>1969191.6850000001</v>
      </c>
      <c r="AV186">
        <v>1887350.189</v>
      </c>
      <c r="AW186">
        <v>1798190.8959999999</v>
      </c>
    </row>
    <row r="187" spans="2:49" x14ac:dyDescent="0.25">
      <c r="B187" t="s">
        <v>258</v>
      </c>
      <c r="C187">
        <v>2568505.4482754301</v>
      </c>
      <c r="D187">
        <v>2609743.6340541099</v>
      </c>
      <c r="E187">
        <v>2652718.5619999999</v>
      </c>
      <c r="F187">
        <v>2757431.4580000001</v>
      </c>
      <c r="G187">
        <v>2739866.19</v>
      </c>
      <c r="H187">
        <v>2260926.5750000002</v>
      </c>
      <c r="I187">
        <v>2332540.9670000002</v>
      </c>
      <c r="J187">
        <v>2441605.2579999999</v>
      </c>
      <c r="K187">
        <v>2382634.9410000001</v>
      </c>
      <c r="L187">
        <v>2318069.7740000002</v>
      </c>
      <c r="M187">
        <v>2318031.4920000001</v>
      </c>
      <c r="N187">
        <v>2449495.0729999999</v>
      </c>
      <c r="O187">
        <v>2453983.88</v>
      </c>
      <c r="P187">
        <v>2453478.5499999998</v>
      </c>
      <c r="Q187">
        <v>2531136.2599999998</v>
      </c>
      <c r="R187">
        <v>2572652.0950000002</v>
      </c>
      <c r="S187">
        <v>2543845.966</v>
      </c>
      <c r="T187">
        <v>2504418.0299999998</v>
      </c>
      <c r="U187">
        <v>2480826.8020000001</v>
      </c>
      <c r="V187">
        <v>2447014.7489999998</v>
      </c>
      <c r="W187">
        <v>2409033.943</v>
      </c>
      <c r="X187">
        <v>2353010.9509999999</v>
      </c>
      <c r="Y187">
        <v>2316320.5729999999</v>
      </c>
      <c r="Z187">
        <v>2283482.236</v>
      </c>
      <c r="AA187">
        <v>2256226.6460000002</v>
      </c>
      <c r="AB187">
        <v>2232455.4010000001</v>
      </c>
      <c r="AC187">
        <v>2207836.4029999999</v>
      </c>
      <c r="AD187">
        <v>2137780.304</v>
      </c>
      <c r="AE187">
        <v>2063696.575</v>
      </c>
      <c r="AF187">
        <v>1984546.172</v>
      </c>
      <c r="AG187">
        <v>1900516.2250000001</v>
      </c>
      <c r="AH187">
        <v>1811498.3959999999</v>
      </c>
      <c r="AI187">
        <v>1712859.6370000001</v>
      </c>
      <c r="AJ187">
        <v>1606196.7350000001</v>
      </c>
      <c r="AK187">
        <v>1488275.865</v>
      </c>
      <c r="AL187">
        <v>1359561.753</v>
      </c>
      <c r="AM187">
        <v>1217378.9029999999</v>
      </c>
      <c r="AN187">
        <v>1137868.6410000001</v>
      </c>
      <c r="AO187">
        <v>1051539.3829999999</v>
      </c>
      <c r="AP187">
        <v>957045.7084</v>
      </c>
      <c r="AQ187">
        <v>852602.37340000004</v>
      </c>
      <c r="AR187">
        <v>735298.36959999998</v>
      </c>
      <c r="AS187">
        <v>704847.59990000003</v>
      </c>
      <c r="AT187">
        <v>673840.28419999999</v>
      </c>
      <c r="AU187">
        <v>641961.61270000006</v>
      </c>
      <c r="AV187">
        <v>608692.36210000003</v>
      </c>
      <c r="AW187">
        <v>573596.7341</v>
      </c>
    </row>
    <row r="188" spans="2:49" x14ac:dyDescent="0.25">
      <c r="B188" t="s">
        <v>259</v>
      </c>
      <c r="C188">
        <v>12693844.6626458</v>
      </c>
      <c r="D188">
        <v>12897648.444645001</v>
      </c>
      <c r="E188">
        <v>13110035.4</v>
      </c>
      <c r="F188">
        <v>13388027.189999999</v>
      </c>
      <c r="G188">
        <v>12853954.76</v>
      </c>
      <c r="H188">
        <v>12579592.6</v>
      </c>
      <c r="I188">
        <v>12375428.33</v>
      </c>
      <c r="J188">
        <v>11813246.99</v>
      </c>
      <c r="K188">
        <v>11190983.23</v>
      </c>
      <c r="L188">
        <v>10944011.869999999</v>
      </c>
      <c r="M188">
        <v>10958984.51</v>
      </c>
      <c r="N188">
        <v>11248194.960000001</v>
      </c>
      <c r="O188">
        <v>10553100.34</v>
      </c>
      <c r="P188">
        <v>9812983.1079999898</v>
      </c>
      <c r="Q188">
        <v>9175387.4550000001</v>
      </c>
      <c r="R188">
        <v>8673761.3560000006</v>
      </c>
      <c r="S188">
        <v>8118547.7460000003</v>
      </c>
      <c r="T188">
        <v>8083872.7580000004</v>
      </c>
      <c r="U188">
        <v>8071869.3140000002</v>
      </c>
      <c r="V188">
        <v>7960300.9689999996</v>
      </c>
      <c r="W188">
        <v>6640361.2659999998</v>
      </c>
      <c r="X188">
        <v>5667372.4850000003</v>
      </c>
      <c r="Y188">
        <v>5006255.6469999999</v>
      </c>
      <c r="Z188">
        <v>4467622.9689999996</v>
      </c>
      <c r="AA188">
        <v>4021274.28</v>
      </c>
      <c r="AB188">
        <v>3690215.2850000001</v>
      </c>
      <c r="AC188">
        <v>3406592.8739999998</v>
      </c>
      <c r="AD188">
        <v>3271775.969</v>
      </c>
      <c r="AE188">
        <v>3147992.8</v>
      </c>
      <c r="AF188">
        <v>3018225.398</v>
      </c>
      <c r="AG188">
        <v>2890933.577</v>
      </c>
      <c r="AH188">
        <v>2751383.1970000002</v>
      </c>
      <c r="AI188">
        <v>2585392.7059999998</v>
      </c>
      <c r="AJ188">
        <v>2407685.0410000002</v>
      </c>
      <c r="AK188">
        <v>2215348.4879999999</v>
      </c>
      <c r="AL188">
        <v>2036662.4110000001</v>
      </c>
      <c r="AM188">
        <v>1833664.2439999999</v>
      </c>
      <c r="AN188">
        <v>1700624.9979999999</v>
      </c>
      <c r="AO188">
        <v>1556216.2649999999</v>
      </c>
      <c r="AP188">
        <v>1401158.6980000001</v>
      </c>
      <c r="AQ188">
        <v>1233588.112</v>
      </c>
      <c r="AR188">
        <v>1050507.486</v>
      </c>
      <c r="AS188">
        <v>1007846.13</v>
      </c>
      <c r="AT188">
        <v>963929.1091</v>
      </c>
      <c r="AU188">
        <v>917791.2156</v>
      </c>
      <c r="AV188">
        <v>868924.61190000002</v>
      </c>
      <c r="AW188">
        <v>817014.40159999998</v>
      </c>
    </row>
    <row r="189" spans="2:49" x14ac:dyDescent="0.25">
      <c r="B189" t="s">
        <v>260</v>
      </c>
      <c r="C189">
        <v>1234344.16589374</v>
      </c>
      <c r="D189">
        <v>1254161.9607370901</v>
      </c>
      <c r="E189">
        <v>1274814.3799999999</v>
      </c>
      <c r="F189">
        <v>1251541.291</v>
      </c>
      <c r="G189">
        <v>1175205.189</v>
      </c>
      <c r="H189">
        <v>1204844.057</v>
      </c>
      <c r="I189">
        <v>1137644.868</v>
      </c>
      <c r="J189">
        <v>1054689.1880000001</v>
      </c>
      <c r="K189">
        <v>989245.68359999999</v>
      </c>
      <c r="L189">
        <v>957638.31220000004</v>
      </c>
      <c r="M189">
        <v>933884.2561</v>
      </c>
      <c r="N189">
        <v>927675.30149999994</v>
      </c>
      <c r="O189">
        <v>848254.21600000001</v>
      </c>
      <c r="P189">
        <v>772807.07369999995</v>
      </c>
      <c r="Q189">
        <v>715048.74950000003</v>
      </c>
      <c r="R189">
        <v>668621.56460000004</v>
      </c>
      <c r="S189">
        <v>617662.36060000001</v>
      </c>
      <c r="T189">
        <v>615444.25</v>
      </c>
      <c r="U189">
        <v>615973.56310000003</v>
      </c>
      <c r="V189">
        <v>605951.59710000001</v>
      </c>
      <c r="W189">
        <v>459234.59399999998</v>
      </c>
      <c r="X189">
        <v>366259.8652</v>
      </c>
      <c r="Y189">
        <v>309540.772</v>
      </c>
      <c r="Z189">
        <v>266619.80900000001</v>
      </c>
      <c r="AA189">
        <v>233287.30470000001</v>
      </c>
      <c r="AB189">
        <v>210471.73540000001</v>
      </c>
      <c r="AC189">
        <v>191824.66260000001</v>
      </c>
      <c r="AD189">
        <v>184173.00469999999</v>
      </c>
      <c r="AE189">
        <v>177587.5178</v>
      </c>
      <c r="AF189">
        <v>170672.0569</v>
      </c>
      <c r="AG189">
        <v>164108.11120000001</v>
      </c>
      <c r="AH189">
        <v>156742.86420000001</v>
      </c>
      <c r="AI189">
        <v>147629.88860000001</v>
      </c>
      <c r="AJ189">
        <v>137809.14509999999</v>
      </c>
      <c r="AK189">
        <v>127088.33960000001</v>
      </c>
      <c r="AL189">
        <v>117804.58809999999</v>
      </c>
      <c r="AM189">
        <v>106998.4798</v>
      </c>
      <c r="AN189">
        <v>99462.178469999999</v>
      </c>
      <c r="AO189">
        <v>91148.403000000006</v>
      </c>
      <c r="AP189">
        <v>82155.672260000007</v>
      </c>
      <c r="AQ189">
        <v>72379.490139999994</v>
      </c>
      <c r="AR189">
        <v>61653.912550000001</v>
      </c>
      <c r="AS189">
        <v>59522.082690000003</v>
      </c>
      <c r="AT189">
        <v>57311.570780000002</v>
      </c>
      <c r="AU189">
        <v>54935.872600000002</v>
      </c>
      <c r="AV189">
        <v>52357.398090000002</v>
      </c>
      <c r="AW189">
        <v>49552.48461</v>
      </c>
    </row>
    <row r="190" spans="2:49" x14ac:dyDescent="0.25">
      <c r="B190" t="s">
        <v>261</v>
      </c>
      <c r="C190">
        <v>16278955.912495499</v>
      </c>
      <c r="D190">
        <v>16540319.8152481</v>
      </c>
      <c r="E190">
        <v>16805880</v>
      </c>
      <c r="F190">
        <v>16657098.810000001</v>
      </c>
      <c r="G190">
        <v>15807544.470000001</v>
      </c>
      <c r="H190">
        <v>15151387.68</v>
      </c>
      <c r="I190">
        <v>14670989.119999999</v>
      </c>
      <c r="J190">
        <v>12855429.09</v>
      </c>
      <c r="K190">
        <v>11207600.630000001</v>
      </c>
      <c r="L190">
        <v>9838781.8350000009</v>
      </c>
      <c r="M190">
        <v>8798859.5250000004</v>
      </c>
      <c r="N190">
        <v>7941887.5120000001</v>
      </c>
      <c r="O190">
        <v>7197327.1050000004</v>
      </c>
      <c r="P190">
        <v>6469450.6830000002</v>
      </c>
      <c r="Q190">
        <v>5711303.3370000003</v>
      </c>
      <c r="R190">
        <v>5072924.5279999999</v>
      </c>
      <c r="S190">
        <v>4427739.0240000002</v>
      </c>
      <c r="T190">
        <v>5201801.3449999997</v>
      </c>
      <c r="U190">
        <v>5922597.5580000002</v>
      </c>
      <c r="V190">
        <v>6593675.1229999997</v>
      </c>
      <c r="W190">
        <v>7352451.5259999996</v>
      </c>
      <c r="X190">
        <v>8004986.5460000001</v>
      </c>
      <c r="Y190">
        <v>7775247.5140000004</v>
      </c>
      <c r="Z190">
        <v>7554012.3150000004</v>
      </c>
      <c r="AA190">
        <v>7334501.8669999996</v>
      </c>
      <c r="AB190">
        <v>7116619.057</v>
      </c>
      <c r="AC190">
        <v>6890260.0350000001</v>
      </c>
      <c r="AD190">
        <v>6658780.9500000002</v>
      </c>
      <c r="AE190">
        <v>6410358.1150000002</v>
      </c>
      <c r="AF190">
        <v>6140169.0750000002</v>
      </c>
      <c r="AG190">
        <v>5928876.04</v>
      </c>
      <c r="AH190">
        <v>5685747.375</v>
      </c>
      <c r="AI190">
        <v>5538748.1770000001</v>
      </c>
      <c r="AJ190">
        <v>5328667.8619999997</v>
      </c>
      <c r="AK190">
        <v>5049536.432</v>
      </c>
      <c r="AL190">
        <v>4941704.8880000003</v>
      </c>
      <c r="AM190">
        <v>4695469.9040000001</v>
      </c>
      <c r="AN190">
        <v>4625143.3439999996</v>
      </c>
      <c r="AO190">
        <v>4475532.6430000002</v>
      </c>
      <c r="AP190">
        <v>4243397.773</v>
      </c>
      <c r="AQ190">
        <v>3921285.0419999999</v>
      </c>
      <c r="AR190">
        <v>3491353.9019999998</v>
      </c>
      <c r="AS190">
        <v>3114802.1329999999</v>
      </c>
      <c r="AT190">
        <v>2762912.5</v>
      </c>
      <c r="AU190">
        <v>2434723.676</v>
      </c>
      <c r="AV190">
        <v>2127836.5619999999</v>
      </c>
      <c r="AW190">
        <v>1841454.1640000001</v>
      </c>
    </row>
    <row r="191" spans="2:49" x14ac:dyDescent="0.25">
      <c r="B191" t="s">
        <v>262</v>
      </c>
      <c r="C191">
        <v>4315668.6239754204</v>
      </c>
      <c r="D191">
        <v>4384958.0796759203</v>
      </c>
      <c r="E191">
        <v>4455360</v>
      </c>
      <c r="F191">
        <v>4312703.7359999996</v>
      </c>
      <c r="G191">
        <v>4152285.4079999998</v>
      </c>
      <c r="H191">
        <v>3747405.8689999999</v>
      </c>
      <c r="I191">
        <v>3587868.5809999998</v>
      </c>
      <c r="J191">
        <v>3468629.6170000001</v>
      </c>
      <c r="K191">
        <v>3314671.0019999999</v>
      </c>
      <c r="L191">
        <v>3116669.9479999999</v>
      </c>
      <c r="M191">
        <v>2919515.477</v>
      </c>
      <c r="N191">
        <v>2701395.8659999999</v>
      </c>
      <c r="O191">
        <v>2367635.1660000002</v>
      </c>
      <c r="P191">
        <v>2095843.88</v>
      </c>
      <c r="Q191">
        <v>1850159.537</v>
      </c>
      <c r="R191">
        <v>1551946.8160000001</v>
      </c>
      <c r="S191">
        <v>1243465.7660000001</v>
      </c>
      <c r="T191">
        <v>1550088.2660000001</v>
      </c>
      <c r="U191">
        <v>1921652.415</v>
      </c>
      <c r="V191">
        <v>2287841.5750000002</v>
      </c>
      <c r="W191">
        <v>1701174.2960000001</v>
      </c>
      <c r="X191">
        <v>1033686.275</v>
      </c>
      <c r="Y191">
        <v>759919.33270000003</v>
      </c>
      <c r="Z191">
        <v>522889.9828</v>
      </c>
      <c r="AA191">
        <v>298304.55650000001</v>
      </c>
      <c r="AB191">
        <v>251123.424</v>
      </c>
      <c r="AC191">
        <v>217645.989</v>
      </c>
      <c r="AD191">
        <v>206428.7</v>
      </c>
      <c r="AE191">
        <v>197328.63459999999</v>
      </c>
      <c r="AF191">
        <v>188051.67199999999</v>
      </c>
      <c r="AG191">
        <v>172067.4786</v>
      </c>
      <c r="AH191">
        <v>155781.1875</v>
      </c>
      <c r="AI191">
        <v>120931.7982</v>
      </c>
      <c r="AJ191">
        <v>87240.435870000001</v>
      </c>
      <c r="AK191">
        <v>56698.767330000002</v>
      </c>
      <c r="AL191">
        <v>53386.799639999997</v>
      </c>
      <c r="AM191">
        <v>50980.223140000002</v>
      </c>
      <c r="AN191">
        <v>46582.897689999998</v>
      </c>
      <c r="AO191">
        <v>41635.990339999997</v>
      </c>
      <c r="AP191">
        <v>36554.671820000003</v>
      </c>
      <c r="AQ191">
        <v>31358.498029999999</v>
      </c>
      <c r="AR191">
        <v>25994.705829999999</v>
      </c>
      <c r="AS191">
        <v>24855.479599999999</v>
      </c>
      <c r="AT191">
        <v>23773.280159999998</v>
      </c>
      <c r="AU191">
        <v>22645.640920000002</v>
      </c>
      <c r="AV191">
        <v>21451.72494</v>
      </c>
      <c r="AW191">
        <v>20184.196189999999</v>
      </c>
    </row>
    <row r="192" spans="2:49" x14ac:dyDescent="0.25">
      <c r="B192" t="s">
        <v>263</v>
      </c>
      <c r="C192">
        <v>4315668.6239754204</v>
      </c>
      <c r="D192">
        <v>4384958.0796759203</v>
      </c>
      <c r="E192">
        <v>4455360</v>
      </c>
      <c r="F192">
        <v>4312703.7359999996</v>
      </c>
      <c r="G192">
        <v>4152285.4079999998</v>
      </c>
      <c r="H192">
        <v>3747405.8689999999</v>
      </c>
      <c r="I192">
        <v>3587868.5809999998</v>
      </c>
      <c r="J192">
        <v>3468629.6170000001</v>
      </c>
      <c r="K192">
        <v>3314671.0019999999</v>
      </c>
      <c r="L192">
        <v>3116669.9479999999</v>
      </c>
      <c r="M192">
        <v>2919515.477</v>
      </c>
      <c r="N192">
        <v>2701395.8659999999</v>
      </c>
      <c r="O192">
        <v>2367635.1660000002</v>
      </c>
      <c r="P192">
        <v>2095843.88</v>
      </c>
      <c r="Q192">
        <v>1850159.537</v>
      </c>
      <c r="R192">
        <v>1551946.8160000001</v>
      </c>
      <c r="S192">
        <v>1243465.7660000001</v>
      </c>
      <c r="T192">
        <v>1550088.2660000001</v>
      </c>
      <c r="U192">
        <v>1921652.415</v>
      </c>
      <c r="V192">
        <v>2287841.5750000002</v>
      </c>
      <c r="W192">
        <v>1701174.2960000001</v>
      </c>
      <c r="X192">
        <v>1033686.275</v>
      </c>
      <c r="Y192">
        <v>759919.33270000003</v>
      </c>
      <c r="Z192">
        <v>522889.9828</v>
      </c>
      <c r="AA192">
        <v>298304.55650000001</v>
      </c>
      <c r="AB192">
        <v>251123.424</v>
      </c>
      <c r="AC192">
        <v>217645.989</v>
      </c>
      <c r="AD192">
        <v>206428.7</v>
      </c>
      <c r="AE192">
        <v>197328.63459999999</v>
      </c>
      <c r="AF192">
        <v>188051.67199999999</v>
      </c>
      <c r="AG192">
        <v>172067.4786</v>
      </c>
      <c r="AH192">
        <v>155781.1875</v>
      </c>
      <c r="AI192">
        <v>120931.7982</v>
      </c>
      <c r="AJ192">
        <v>87240.435870000001</v>
      </c>
      <c r="AK192">
        <v>56698.767330000002</v>
      </c>
      <c r="AL192">
        <v>53386.799639999997</v>
      </c>
      <c r="AM192">
        <v>50980.223140000002</v>
      </c>
      <c r="AN192">
        <v>46582.897689999998</v>
      </c>
      <c r="AO192">
        <v>41635.990339999997</v>
      </c>
      <c r="AP192">
        <v>36554.671820000003</v>
      </c>
      <c r="AQ192">
        <v>31358.498029999999</v>
      </c>
      <c r="AR192">
        <v>25994.705829999999</v>
      </c>
      <c r="AS192">
        <v>24855.479599999999</v>
      </c>
      <c r="AT192">
        <v>23773.280159999998</v>
      </c>
      <c r="AU192">
        <v>22645.640920000002</v>
      </c>
      <c r="AV192">
        <v>21451.72494</v>
      </c>
      <c r="AW192">
        <v>20184.196189999999</v>
      </c>
    </row>
    <row r="193" spans="2:49" x14ac:dyDescent="0.25">
      <c r="B193" t="s">
        <v>264</v>
      </c>
      <c r="C193">
        <v>8232235.5397947598</v>
      </c>
      <c r="D193">
        <v>8364406.7441781899</v>
      </c>
      <c r="E193">
        <v>8498700</v>
      </c>
      <c r="F193">
        <v>8425133.9179999996</v>
      </c>
      <c r="G193">
        <v>8351172.1220000004</v>
      </c>
      <c r="H193">
        <v>7763208.5250000004</v>
      </c>
      <c r="I193">
        <v>7655956.3109999998</v>
      </c>
      <c r="J193">
        <v>7623505.8219999997</v>
      </c>
      <c r="K193">
        <v>7503300.1969999997</v>
      </c>
      <c r="L193">
        <v>7266089.21</v>
      </c>
      <c r="M193">
        <v>7009761.1490000002</v>
      </c>
      <c r="N193">
        <v>6679582.1090000002</v>
      </c>
      <c r="O193">
        <v>7005701.3380000005</v>
      </c>
      <c r="P193">
        <v>7596687.7479999997</v>
      </c>
      <c r="Q193">
        <v>8362301.6689999998</v>
      </c>
      <c r="R193">
        <v>8969499.3359999899</v>
      </c>
      <c r="S193">
        <v>9555408.3910000008</v>
      </c>
      <c r="T193">
        <v>8843858.7420000006</v>
      </c>
      <c r="U193">
        <v>8052153.9239999996</v>
      </c>
      <c r="V193">
        <v>7212670.0259999996</v>
      </c>
      <c r="W193">
        <v>7847427.4699999997</v>
      </c>
      <c r="X193">
        <v>8377508.1869999999</v>
      </c>
      <c r="Y193">
        <v>7839386.3559999997</v>
      </c>
      <c r="Z193">
        <v>7233521.5920000002</v>
      </c>
      <c r="AA193">
        <v>6653983.4340000004</v>
      </c>
      <c r="AB193">
        <v>6154484.6730000004</v>
      </c>
      <c r="AC193">
        <v>5687206.2920000004</v>
      </c>
      <c r="AD193">
        <v>4858844.5930000003</v>
      </c>
      <c r="AE193">
        <v>4090872.5150000001</v>
      </c>
      <c r="AF193">
        <v>3389746.4870000002</v>
      </c>
      <c r="AG193">
        <v>2850824.8459999999</v>
      </c>
      <c r="AH193">
        <v>2366824.2280000001</v>
      </c>
      <c r="AI193">
        <v>1780542.9480000001</v>
      </c>
      <c r="AJ193">
        <v>1260829.5519999999</v>
      </c>
      <c r="AK193">
        <v>816617.26399999997</v>
      </c>
      <c r="AL193">
        <v>607246.80090000003</v>
      </c>
      <c r="AM193">
        <v>289519.39500000002</v>
      </c>
      <c r="AN193">
        <v>242340.30129999999</v>
      </c>
      <c r="AO193">
        <v>215822.19469999999</v>
      </c>
      <c r="AP193">
        <v>186967.54319999999</v>
      </c>
      <c r="AQ193">
        <v>153780.89050000001</v>
      </c>
      <c r="AR193">
        <v>116127.65180000001</v>
      </c>
      <c r="AS193">
        <v>142251.05619999999</v>
      </c>
      <c r="AT193">
        <v>169646.12280000001</v>
      </c>
      <c r="AU193">
        <v>198308.84</v>
      </c>
      <c r="AV193">
        <v>228155.95269999999</v>
      </c>
      <c r="AW193">
        <v>259148.20499999999</v>
      </c>
    </row>
    <row r="194" spans="2:49" x14ac:dyDescent="0.25">
      <c r="B194" t="s">
        <v>265</v>
      </c>
      <c r="C194">
        <v>20174774.421468802</v>
      </c>
      <c r="D194">
        <v>20498686.950521201</v>
      </c>
      <c r="E194">
        <v>20827800</v>
      </c>
      <c r="F194">
        <v>19728417.02</v>
      </c>
      <c r="G194">
        <v>18537090.329999998</v>
      </c>
      <c r="H194">
        <v>16322442.32</v>
      </c>
      <c r="I194">
        <v>15247192.5</v>
      </c>
      <c r="J194">
        <v>14382015.380000001</v>
      </c>
      <c r="K194">
        <v>13409740.859999999</v>
      </c>
      <c r="L194">
        <v>12302608.720000001</v>
      </c>
      <c r="M194">
        <v>11244805.630000001</v>
      </c>
      <c r="N194">
        <v>10152463.300000001</v>
      </c>
      <c r="O194">
        <v>8595716.1899999995</v>
      </c>
      <c r="P194">
        <v>7262975.3689999999</v>
      </c>
      <c r="Q194">
        <v>6000199.3839999996</v>
      </c>
      <c r="R194">
        <v>4543883.4610000001</v>
      </c>
      <c r="S194">
        <v>3043549.037</v>
      </c>
      <c r="T194">
        <v>2797515.1460000002</v>
      </c>
      <c r="U194">
        <v>2651104.628</v>
      </c>
      <c r="V194">
        <v>2515738.3119999999</v>
      </c>
      <c r="W194">
        <v>1684742.287</v>
      </c>
      <c r="X194">
        <v>794239.42099999997</v>
      </c>
      <c r="Y194">
        <v>580048.21550000005</v>
      </c>
      <c r="Z194">
        <v>410468.74780000001</v>
      </c>
      <c r="AA194">
        <v>247291.93229999999</v>
      </c>
      <c r="AB194">
        <v>234060.6937</v>
      </c>
      <c r="AC194">
        <v>232568.95970000001</v>
      </c>
      <c r="AD194">
        <v>197770.8708</v>
      </c>
      <c r="AE194">
        <v>159451.68340000001</v>
      </c>
      <c r="AF194">
        <v>120542.6513</v>
      </c>
      <c r="AG194">
        <v>113087.70600000001</v>
      </c>
      <c r="AH194">
        <v>108405.1684</v>
      </c>
      <c r="AI194">
        <v>107890.985</v>
      </c>
      <c r="AJ194">
        <v>107851.0285</v>
      </c>
      <c r="AK194">
        <v>107851.4105</v>
      </c>
      <c r="AL194">
        <v>108175.2864</v>
      </c>
      <c r="AM194">
        <v>108470.4411</v>
      </c>
      <c r="AN194">
        <v>108681.00930000001</v>
      </c>
      <c r="AO194">
        <v>108852.1112</v>
      </c>
      <c r="AP194">
        <v>108975.1482</v>
      </c>
      <c r="AQ194">
        <v>109054.31299999999</v>
      </c>
      <c r="AR194">
        <v>109060.36350000001</v>
      </c>
      <c r="AS194">
        <v>109372.3253</v>
      </c>
      <c r="AT194">
        <v>109731.2485</v>
      </c>
      <c r="AU194">
        <v>110062.5515</v>
      </c>
      <c r="AV194">
        <v>110349.3803</v>
      </c>
      <c r="AW194">
        <v>110596.68670000001</v>
      </c>
    </row>
    <row r="195" spans="2:49" x14ac:dyDescent="0.25">
      <c r="B195" t="s">
        <v>266</v>
      </c>
      <c r="C195">
        <v>463787.91773491597</v>
      </c>
      <c r="D195">
        <v>471234.182770602</v>
      </c>
      <c r="E195">
        <v>478800</v>
      </c>
      <c r="F195">
        <v>479110.9865</v>
      </c>
      <c r="G195">
        <v>463143.90149999998</v>
      </c>
      <c r="H195">
        <v>440613.11229999998</v>
      </c>
      <c r="I195">
        <v>447243.7782</v>
      </c>
      <c r="J195">
        <v>464934.98800000001</v>
      </c>
      <c r="K195">
        <v>465880.27260000003</v>
      </c>
      <c r="L195">
        <v>476146.23450000002</v>
      </c>
      <c r="M195">
        <v>498849.99550000002</v>
      </c>
      <c r="N195">
        <v>532261.70440000005</v>
      </c>
      <c r="O195">
        <v>508664.20390000002</v>
      </c>
      <c r="P195">
        <v>472559.10590000002</v>
      </c>
      <c r="Q195">
        <v>415959.96220000001</v>
      </c>
      <c r="R195">
        <v>368618.245</v>
      </c>
      <c r="S195">
        <v>327345.75140000001</v>
      </c>
      <c r="T195">
        <v>304940.11570000002</v>
      </c>
      <c r="U195">
        <v>283248.79460000002</v>
      </c>
      <c r="V195">
        <v>264276.36210000003</v>
      </c>
      <c r="W195">
        <v>253490.22959999999</v>
      </c>
      <c r="X195">
        <v>242483.3138</v>
      </c>
      <c r="Y195">
        <v>231035.49230000001</v>
      </c>
      <c r="Z195">
        <v>220769.00659999999</v>
      </c>
      <c r="AA195">
        <v>210455.37100000001</v>
      </c>
      <c r="AB195">
        <v>197330.50450000001</v>
      </c>
      <c r="AC195">
        <v>184484.8382</v>
      </c>
      <c r="AD195">
        <v>175340.11120000001</v>
      </c>
      <c r="AE195">
        <v>164534.01019999999</v>
      </c>
      <c r="AF195">
        <v>152214.4057</v>
      </c>
      <c r="AG195">
        <v>142427.8737</v>
      </c>
      <c r="AH195">
        <v>132648.63130000001</v>
      </c>
      <c r="AI195">
        <v>122346.0341</v>
      </c>
      <c r="AJ195">
        <v>112222.0799</v>
      </c>
      <c r="AK195">
        <v>102168.3226</v>
      </c>
      <c r="AL195">
        <v>95169.304810000001</v>
      </c>
      <c r="AM195">
        <v>81640.212610000002</v>
      </c>
      <c r="AN195">
        <v>82288.061809999999</v>
      </c>
      <c r="AO195">
        <v>79351.221839999998</v>
      </c>
      <c r="AP195">
        <v>72926.541710000005</v>
      </c>
      <c r="AQ195">
        <v>63096.599699999999</v>
      </c>
      <c r="AR195">
        <v>49848.335599999999</v>
      </c>
      <c r="AS195">
        <v>46106.647870000001</v>
      </c>
      <c r="AT195">
        <v>39024.533289999999</v>
      </c>
      <c r="AU195">
        <v>28838.612990000001</v>
      </c>
      <c r="AV195">
        <v>15760.08454</v>
      </c>
      <c r="AW195">
        <v>2472.9974940000002</v>
      </c>
    </row>
    <row r="196" spans="2:49" x14ac:dyDescent="0.25">
      <c r="B196" s="274" t="s">
        <v>267</v>
      </c>
      <c r="C196">
        <v>748170.71461916296</v>
      </c>
      <c r="D196">
        <v>760182.83744504896</v>
      </c>
      <c r="E196">
        <v>772387.81880000001</v>
      </c>
      <c r="F196">
        <v>783013.04410000006</v>
      </c>
      <c r="G196">
        <v>744165.12239999999</v>
      </c>
      <c r="H196">
        <v>730120.18929999997</v>
      </c>
      <c r="I196">
        <v>757090.64069999999</v>
      </c>
      <c r="J196">
        <v>727818.61849999998</v>
      </c>
      <c r="K196">
        <v>696603.21900000004</v>
      </c>
      <c r="L196">
        <v>656881.51370000001</v>
      </c>
      <c r="M196">
        <v>674404.66870000004</v>
      </c>
      <c r="N196">
        <v>670125.12150000001</v>
      </c>
      <c r="O196">
        <v>668867.97660000005</v>
      </c>
      <c r="P196">
        <v>675010.60900000005</v>
      </c>
      <c r="Q196">
        <v>634289.38170000003</v>
      </c>
      <c r="R196">
        <v>616965.93920000002</v>
      </c>
      <c r="S196">
        <v>616205.26619999995</v>
      </c>
      <c r="T196">
        <v>599896.9301</v>
      </c>
      <c r="U196">
        <v>583354.44799999997</v>
      </c>
      <c r="V196">
        <v>575074.0514</v>
      </c>
      <c r="W196">
        <v>585348.82539999997</v>
      </c>
      <c r="X196">
        <v>580192.1727</v>
      </c>
      <c r="Y196">
        <v>561128.36410000001</v>
      </c>
      <c r="Z196">
        <v>545574.83810000005</v>
      </c>
      <c r="AA196">
        <v>530234.10419999994</v>
      </c>
      <c r="AB196">
        <v>514650.63789999997</v>
      </c>
      <c r="AC196">
        <v>498159.52779999998</v>
      </c>
      <c r="AD196">
        <v>456993.1974</v>
      </c>
      <c r="AE196">
        <v>415233.31310000003</v>
      </c>
      <c r="AF196">
        <v>372419.6018</v>
      </c>
      <c r="AG196">
        <v>349936.99890000001</v>
      </c>
      <c r="AH196">
        <v>327446.75650000002</v>
      </c>
      <c r="AI196">
        <v>303736.63410000002</v>
      </c>
      <c r="AJ196">
        <v>280085.11979999999</v>
      </c>
      <c r="AK196">
        <v>256128.4466</v>
      </c>
      <c r="AL196">
        <v>301125.39720000001</v>
      </c>
      <c r="AM196">
        <v>344987.47139999998</v>
      </c>
      <c r="AN196">
        <v>303351.25040000002</v>
      </c>
      <c r="AO196">
        <v>261006.79240000001</v>
      </c>
      <c r="AP196">
        <v>217124.43590000001</v>
      </c>
      <c r="AQ196">
        <v>171933.15</v>
      </c>
      <c r="AR196">
        <v>125369.7041</v>
      </c>
      <c r="AS196">
        <v>147922.07519999999</v>
      </c>
      <c r="AT196">
        <v>170391.6159</v>
      </c>
      <c r="AU196">
        <v>192914.6986</v>
      </c>
      <c r="AV196">
        <v>215434.38800000001</v>
      </c>
      <c r="AW196">
        <v>237996.4731</v>
      </c>
    </row>
    <row r="197" spans="2:49" x14ac:dyDescent="0.25">
      <c r="B197" s="274" t="s">
        <v>268</v>
      </c>
      <c r="C197">
        <v>5051155.6907064496</v>
      </c>
      <c r="D197">
        <v>5132253.62916335</v>
      </c>
      <c r="E197">
        <v>5214653.6210000003</v>
      </c>
      <c r="F197">
        <v>5248357.7529999996</v>
      </c>
      <c r="G197">
        <v>4939050.3899999997</v>
      </c>
      <c r="H197">
        <v>4803485.4139999999</v>
      </c>
      <c r="I197">
        <v>4766540.193</v>
      </c>
      <c r="J197">
        <v>4675418.068</v>
      </c>
      <c r="K197">
        <v>4370279.9249999998</v>
      </c>
      <c r="L197">
        <v>4176264.9270000001</v>
      </c>
      <c r="M197">
        <v>4159367.2319999998</v>
      </c>
      <c r="N197">
        <v>4106114.4309999999</v>
      </c>
      <c r="O197">
        <v>4078924.2239999999</v>
      </c>
      <c r="P197">
        <v>4077726.773</v>
      </c>
      <c r="Q197">
        <v>3893361.878</v>
      </c>
      <c r="R197">
        <v>3757375.6439999999</v>
      </c>
      <c r="S197">
        <v>3766955.3369999998</v>
      </c>
      <c r="T197">
        <v>3640456.0359999998</v>
      </c>
      <c r="U197">
        <v>3535665.6779999998</v>
      </c>
      <c r="V197">
        <v>3458102.0630000001</v>
      </c>
      <c r="W197">
        <v>2838848.406</v>
      </c>
      <c r="X197">
        <v>2285467.2829999998</v>
      </c>
      <c r="Y197">
        <v>1854736.456</v>
      </c>
      <c r="Z197">
        <v>1548050.781</v>
      </c>
      <c r="AA197">
        <v>1316024.6580000001</v>
      </c>
      <c r="AB197">
        <v>1133750.0519999999</v>
      </c>
      <c r="AC197">
        <v>985286.76879999996</v>
      </c>
      <c r="AD197">
        <v>885584.98719999997</v>
      </c>
      <c r="AE197">
        <v>803949.64390000002</v>
      </c>
      <c r="AF197">
        <v>723603.03989999997</v>
      </c>
      <c r="AG197">
        <v>685502.21279999998</v>
      </c>
      <c r="AH197">
        <v>645832.53599999996</v>
      </c>
      <c r="AI197">
        <v>602815.89610000001</v>
      </c>
      <c r="AJ197">
        <v>560215.35569999996</v>
      </c>
      <c r="AK197">
        <v>516452.71179999999</v>
      </c>
      <c r="AL197">
        <v>619580.3027</v>
      </c>
      <c r="AM197">
        <v>724828.20700000005</v>
      </c>
      <c r="AN197">
        <v>639539.4192</v>
      </c>
      <c r="AO197">
        <v>551754.30130000005</v>
      </c>
      <c r="AP197">
        <v>460501.23820000002</v>
      </c>
      <c r="AQ197">
        <v>365913.5135</v>
      </c>
      <c r="AR197">
        <v>267778.2303</v>
      </c>
      <c r="AS197">
        <v>320212.19660000002</v>
      </c>
      <c r="AT197">
        <v>373454.65950000001</v>
      </c>
      <c r="AU197">
        <v>427914.07760000002</v>
      </c>
      <c r="AV197">
        <v>483488.46580000001</v>
      </c>
      <c r="AW197">
        <v>540216.58189999999</v>
      </c>
    </row>
    <row r="198" spans="2:49" x14ac:dyDescent="0.25">
      <c r="B198" s="274" t="s">
        <v>269</v>
      </c>
      <c r="C198">
        <v>738109.45702439197</v>
      </c>
      <c r="D198">
        <v>749960.04310518701</v>
      </c>
      <c r="E198">
        <v>762000.89419999998</v>
      </c>
      <c r="F198">
        <v>751862.72309999994</v>
      </c>
      <c r="G198">
        <v>703650.81259999995</v>
      </c>
      <c r="H198">
        <v>593450.00630000001</v>
      </c>
      <c r="I198">
        <v>645184.41189999995</v>
      </c>
      <c r="J198">
        <v>634813.50699999998</v>
      </c>
      <c r="K198">
        <v>604845.53619999997</v>
      </c>
      <c r="L198">
        <v>589525.90500000003</v>
      </c>
      <c r="M198">
        <v>601109.95109999995</v>
      </c>
      <c r="N198">
        <v>641206.64049999998</v>
      </c>
      <c r="O198">
        <v>634454.77020000003</v>
      </c>
      <c r="P198">
        <v>627226.02509999997</v>
      </c>
      <c r="Q198">
        <v>578615.22790000006</v>
      </c>
      <c r="R198">
        <v>551479.1764</v>
      </c>
      <c r="S198">
        <v>498553.71600000001</v>
      </c>
      <c r="T198">
        <v>480015.78759999998</v>
      </c>
      <c r="U198">
        <v>458722.18410000001</v>
      </c>
      <c r="V198">
        <v>453126.701</v>
      </c>
      <c r="W198">
        <v>361742.44520000002</v>
      </c>
      <c r="X198">
        <v>276205.80810000002</v>
      </c>
      <c r="Y198">
        <v>204407.6679</v>
      </c>
      <c r="Z198">
        <v>159754.72899999999</v>
      </c>
      <c r="AA198">
        <v>128379.1198</v>
      </c>
      <c r="AB198">
        <v>104975.8051</v>
      </c>
      <c r="AC198">
        <v>87122.320510000005</v>
      </c>
      <c r="AD198">
        <v>76263.25937</v>
      </c>
      <c r="AE198">
        <v>67946.368879999995</v>
      </c>
      <c r="AF198">
        <v>60325.960590000002</v>
      </c>
      <c r="AG198">
        <v>56559.898849999998</v>
      </c>
      <c r="AH198">
        <v>52918.239170000001</v>
      </c>
      <c r="AI198">
        <v>49362.178789999998</v>
      </c>
      <c r="AJ198">
        <v>45686.73661</v>
      </c>
      <c r="AK198">
        <v>41855.512360000001</v>
      </c>
      <c r="AL198">
        <v>49832.101309999998</v>
      </c>
      <c r="AM198">
        <v>57872.192419999999</v>
      </c>
      <c r="AN198">
        <v>50642.051270000004</v>
      </c>
      <c r="AO198">
        <v>43340.785049999999</v>
      </c>
      <c r="AP198">
        <v>35886.41635</v>
      </c>
      <c r="AQ198">
        <v>28286.550070000001</v>
      </c>
      <c r="AR198">
        <v>20608.041229999999</v>
      </c>
      <c r="AS198">
        <v>24476.863399999998</v>
      </c>
      <c r="AT198">
        <v>28377.072899999999</v>
      </c>
      <c r="AU198">
        <v>32313.410650000002</v>
      </c>
      <c r="AV198">
        <v>36268.444199999998</v>
      </c>
      <c r="AW198">
        <v>40206.673719999999</v>
      </c>
    </row>
    <row r="199" spans="2:49" x14ac:dyDescent="0.25">
      <c r="B199" s="274" t="s">
        <v>270</v>
      </c>
      <c r="C199">
        <v>1453742.3069470399</v>
      </c>
      <c r="D199">
        <v>1477082.6099113501</v>
      </c>
      <c r="E199">
        <v>1500797.649</v>
      </c>
      <c r="F199">
        <v>1490758.4669999999</v>
      </c>
      <c r="G199">
        <v>1346660.0870000001</v>
      </c>
      <c r="H199">
        <v>1139491.041</v>
      </c>
      <c r="I199">
        <v>1151560.605</v>
      </c>
      <c r="J199">
        <v>1246178.872</v>
      </c>
      <c r="K199">
        <v>1108340.7350000001</v>
      </c>
      <c r="L199">
        <v>1036418.84</v>
      </c>
      <c r="M199">
        <v>1039133.182</v>
      </c>
      <c r="N199">
        <v>1029040.403</v>
      </c>
      <c r="O199">
        <v>1079852.72</v>
      </c>
      <c r="P199">
        <v>1120494.067</v>
      </c>
      <c r="Q199">
        <v>1102466.534</v>
      </c>
      <c r="R199">
        <v>1079777.395</v>
      </c>
      <c r="S199">
        <v>1063256.997</v>
      </c>
      <c r="T199">
        <v>1023870.411</v>
      </c>
      <c r="U199">
        <v>975548.90289999999</v>
      </c>
      <c r="V199">
        <v>936210.49439999997</v>
      </c>
      <c r="W199">
        <v>837517.75109999999</v>
      </c>
      <c r="X199">
        <v>728823.19010000001</v>
      </c>
      <c r="Y199">
        <v>651382.89560000005</v>
      </c>
      <c r="Z199">
        <v>605636.24639999995</v>
      </c>
      <c r="AA199">
        <v>577758.21019999997</v>
      </c>
      <c r="AB199">
        <v>562150.82369999995</v>
      </c>
      <c r="AC199">
        <v>556174.92859999998</v>
      </c>
      <c r="AD199">
        <v>498224.0969</v>
      </c>
      <c r="AE199">
        <v>449616.34769999998</v>
      </c>
      <c r="AF199">
        <v>402080.81189999997</v>
      </c>
      <c r="AG199">
        <v>378137.61119999998</v>
      </c>
      <c r="AH199">
        <v>353567.7352</v>
      </c>
      <c r="AI199">
        <v>327785.57140000002</v>
      </c>
      <c r="AJ199">
        <v>302322.3112</v>
      </c>
      <c r="AK199">
        <v>276633.97320000001</v>
      </c>
      <c r="AL199">
        <v>328516.55530000001</v>
      </c>
      <c r="AM199">
        <v>380344.2733</v>
      </c>
      <c r="AN199">
        <v>332451.43</v>
      </c>
      <c r="AO199">
        <v>284308.35960000003</v>
      </c>
      <c r="AP199">
        <v>235437.2199</v>
      </c>
      <c r="AQ199">
        <v>185821.8713</v>
      </c>
      <c r="AR199">
        <v>135265.01</v>
      </c>
      <c r="AS199">
        <v>160147.6611</v>
      </c>
      <c r="AT199">
        <v>184800.9013</v>
      </c>
      <c r="AU199">
        <v>209401.7402</v>
      </c>
      <c r="AV199">
        <v>233879.25270000001</v>
      </c>
      <c r="AW199">
        <v>258259.7262</v>
      </c>
    </row>
    <row r="200" spans="2:49" x14ac:dyDescent="0.25">
      <c r="B200" s="274" t="s">
        <v>271</v>
      </c>
      <c r="C200">
        <v>1819036.8432423901</v>
      </c>
      <c r="D200">
        <v>1848242.0681447799</v>
      </c>
      <c r="E200">
        <v>1877916.192</v>
      </c>
      <c r="F200">
        <v>1868293.7390000001</v>
      </c>
      <c r="G200">
        <v>1701745.2290000001</v>
      </c>
      <c r="H200">
        <v>1421556.0919999999</v>
      </c>
      <c r="I200">
        <v>1466741.79</v>
      </c>
      <c r="J200">
        <v>1614006.325</v>
      </c>
      <c r="K200">
        <v>1437392.4410000001</v>
      </c>
      <c r="L200">
        <v>1340905.9210000001</v>
      </c>
      <c r="M200">
        <v>1339421.419</v>
      </c>
      <c r="N200">
        <v>1308768.2169999999</v>
      </c>
      <c r="O200">
        <v>1405224.077</v>
      </c>
      <c r="P200">
        <v>1506034.4990000001</v>
      </c>
      <c r="Q200">
        <v>1521021.54</v>
      </c>
      <c r="R200">
        <v>1520775.284</v>
      </c>
      <c r="S200">
        <v>1530959.2949999999</v>
      </c>
      <c r="T200">
        <v>1507170.027</v>
      </c>
      <c r="U200">
        <v>1438665.1340000001</v>
      </c>
      <c r="V200">
        <v>1402434.86</v>
      </c>
      <c r="W200">
        <v>1172744.7520000001</v>
      </c>
      <c r="X200">
        <v>959807.64529999997</v>
      </c>
      <c r="Y200">
        <v>788909.69550000003</v>
      </c>
      <c r="Z200">
        <v>668330.00569999998</v>
      </c>
      <c r="AA200">
        <v>574663.77800000005</v>
      </c>
      <c r="AB200">
        <v>498893.75150000001</v>
      </c>
      <c r="AC200">
        <v>437624.13099999999</v>
      </c>
      <c r="AD200">
        <v>393262.07530000003</v>
      </c>
      <c r="AE200">
        <v>353945.41249999998</v>
      </c>
      <c r="AF200">
        <v>315493.95049999998</v>
      </c>
      <c r="AG200">
        <v>295804.01289999997</v>
      </c>
      <c r="AH200">
        <v>276314.37150000001</v>
      </c>
      <c r="AI200">
        <v>256016.86660000001</v>
      </c>
      <c r="AJ200">
        <v>235553.83360000001</v>
      </c>
      <c r="AK200">
        <v>215366.72150000001</v>
      </c>
      <c r="AL200">
        <v>255659.21599999999</v>
      </c>
      <c r="AM200">
        <v>296436.13900000002</v>
      </c>
      <c r="AN200">
        <v>259802.4093</v>
      </c>
      <c r="AO200">
        <v>222232.8045</v>
      </c>
      <c r="AP200">
        <v>184029.90169999999</v>
      </c>
      <c r="AQ200">
        <v>145395.76130000001</v>
      </c>
      <c r="AR200">
        <v>105770.83070000001</v>
      </c>
      <c r="AS200">
        <v>125107.6005</v>
      </c>
      <c r="AT200">
        <v>144663.64249999999</v>
      </c>
      <c r="AU200">
        <v>164284.17019999999</v>
      </c>
      <c r="AV200">
        <v>183896.01490000001</v>
      </c>
      <c r="AW200">
        <v>203860.52739999999</v>
      </c>
    </row>
    <row r="201" spans="2:49" x14ac:dyDescent="0.25">
      <c r="B201" s="274" t="s">
        <v>272</v>
      </c>
      <c r="C201">
        <v>2313078.33193391</v>
      </c>
      <c r="D201">
        <v>2350215.5527395001</v>
      </c>
      <c r="E201">
        <v>2387949.0240000002</v>
      </c>
      <c r="F201">
        <v>2353499.915</v>
      </c>
      <c r="G201">
        <v>2172647.9730000002</v>
      </c>
      <c r="H201">
        <v>1906439.5290000001</v>
      </c>
      <c r="I201">
        <v>1984767.3119999999</v>
      </c>
      <c r="J201">
        <v>1855830.561</v>
      </c>
      <c r="K201">
        <v>1674291.4509999999</v>
      </c>
      <c r="L201">
        <v>1611727.4920000001</v>
      </c>
      <c r="M201">
        <v>1572687.098</v>
      </c>
      <c r="N201">
        <v>1585266.54</v>
      </c>
      <c r="O201">
        <v>1642562.4839999999</v>
      </c>
      <c r="P201">
        <v>1681399.949</v>
      </c>
      <c r="Q201">
        <v>1667202.8389999999</v>
      </c>
      <c r="R201">
        <v>1629931.145</v>
      </c>
      <c r="S201">
        <v>1639657.625</v>
      </c>
      <c r="T201">
        <v>1594477.9469999999</v>
      </c>
      <c r="U201">
        <v>1522203.754</v>
      </c>
      <c r="V201">
        <v>1463858.2709999999</v>
      </c>
      <c r="W201">
        <v>1261022.4979999999</v>
      </c>
      <c r="X201">
        <v>1060203.1310000001</v>
      </c>
      <c r="Y201">
        <v>912989.69240000006</v>
      </c>
      <c r="Z201">
        <v>818182.04280000005</v>
      </c>
      <c r="AA201">
        <v>752066.21840000001</v>
      </c>
      <c r="AB201">
        <v>705848.66749999998</v>
      </c>
      <c r="AC201">
        <v>674813.45429999998</v>
      </c>
      <c r="AD201">
        <v>605270.03240000003</v>
      </c>
      <c r="AE201">
        <v>547260.42850000004</v>
      </c>
      <c r="AF201">
        <v>490593.4129</v>
      </c>
      <c r="AG201">
        <v>463008.6311</v>
      </c>
      <c r="AH201">
        <v>434439.13829999999</v>
      </c>
      <c r="AI201">
        <v>404067.98300000001</v>
      </c>
      <c r="AJ201">
        <v>374027.4669</v>
      </c>
      <c r="AK201">
        <v>343615.91409999999</v>
      </c>
      <c r="AL201">
        <v>410531.91090000002</v>
      </c>
      <c r="AM201">
        <v>478364.61570000002</v>
      </c>
      <c r="AN201">
        <v>420352.65399999998</v>
      </c>
      <c r="AO201">
        <v>361291.45819999999</v>
      </c>
      <c r="AP201">
        <v>300591.76299999998</v>
      </c>
      <c r="AQ201">
        <v>238266.46479999999</v>
      </c>
      <c r="AR201">
        <v>174014.65960000001</v>
      </c>
      <c r="AS201">
        <v>207391.63320000001</v>
      </c>
      <c r="AT201">
        <v>241012.71660000001</v>
      </c>
      <c r="AU201">
        <v>275091.27189999999</v>
      </c>
      <c r="AV201">
        <v>309525.04950000002</v>
      </c>
      <c r="AW201">
        <v>344385.96950000001</v>
      </c>
    </row>
    <row r="202" spans="2:49" x14ac:dyDescent="0.25">
      <c r="B202" s="274" t="s">
        <v>273</v>
      </c>
      <c r="C202">
        <v>4643279.3828946501</v>
      </c>
      <c r="D202">
        <v>4717828.7352982899</v>
      </c>
      <c r="E202">
        <v>4793575.0020000003</v>
      </c>
      <c r="F202">
        <v>4721973.8059999999</v>
      </c>
      <c r="G202">
        <v>4595881.2</v>
      </c>
      <c r="H202">
        <v>4196538.284</v>
      </c>
      <c r="I202">
        <v>4225816.3590000002</v>
      </c>
      <c r="J202">
        <v>4141911.7450000001</v>
      </c>
      <c r="K202">
        <v>3887280.7960000001</v>
      </c>
      <c r="L202">
        <v>3767849.1549999998</v>
      </c>
      <c r="M202">
        <v>3707845.0430000001</v>
      </c>
      <c r="N202">
        <v>3777945.1239999998</v>
      </c>
      <c r="O202">
        <v>3908392.2969999998</v>
      </c>
      <c r="P202">
        <v>3985413.7110000001</v>
      </c>
      <c r="Q202">
        <v>3927204.08</v>
      </c>
      <c r="R202">
        <v>3930627.9950000001</v>
      </c>
      <c r="S202">
        <v>3881906.1170000001</v>
      </c>
      <c r="T202">
        <v>3766445.05</v>
      </c>
      <c r="U202">
        <v>3584598.8480000002</v>
      </c>
      <c r="V202">
        <v>3426887.5219999999</v>
      </c>
      <c r="W202">
        <v>2990346.585</v>
      </c>
      <c r="X202">
        <v>2521889.7289999998</v>
      </c>
      <c r="Y202">
        <v>2149168.11</v>
      </c>
      <c r="Z202">
        <v>1883621.0109999999</v>
      </c>
      <c r="AA202">
        <v>1677830.581</v>
      </c>
      <c r="AB202">
        <v>1515890.068</v>
      </c>
      <c r="AC202">
        <v>1385972.925</v>
      </c>
      <c r="AD202">
        <v>1250384.6710000001</v>
      </c>
      <c r="AE202">
        <v>1134277.6029999999</v>
      </c>
      <c r="AF202">
        <v>1019768.541</v>
      </c>
      <c r="AG202">
        <v>964960.53559999994</v>
      </c>
      <c r="AH202">
        <v>908332.09270000004</v>
      </c>
      <c r="AI202">
        <v>847615.18099999998</v>
      </c>
      <c r="AJ202">
        <v>786940.4719</v>
      </c>
      <c r="AK202">
        <v>725203.4436</v>
      </c>
      <c r="AL202">
        <v>868615.65249999997</v>
      </c>
      <c r="AM202">
        <v>1014398.307</v>
      </c>
      <c r="AN202">
        <v>893583.29929999996</v>
      </c>
      <c r="AO202">
        <v>770353.95460000006</v>
      </c>
      <c r="AP202">
        <v>643255.14870000002</v>
      </c>
      <c r="AQ202">
        <v>511998.04879999999</v>
      </c>
      <c r="AR202">
        <v>375780.4754</v>
      </c>
      <c r="AS202">
        <v>449548.13010000001</v>
      </c>
      <c r="AT202">
        <v>524145.10700000002</v>
      </c>
      <c r="AU202">
        <v>600019.29240000003</v>
      </c>
      <c r="AV202">
        <v>677002.55480000004</v>
      </c>
      <c r="AW202">
        <v>755193.31770000001</v>
      </c>
    </row>
    <row r="203" spans="2:49" x14ac:dyDescent="0.25">
      <c r="B203" s="274" t="s">
        <v>274</v>
      </c>
      <c r="C203">
        <v>3833938.33697946</v>
      </c>
      <c r="D203">
        <v>3895493.45710216</v>
      </c>
      <c r="E203">
        <v>3971757.6260000002</v>
      </c>
      <c r="F203">
        <v>3915249.7059999998</v>
      </c>
      <c r="G203">
        <v>3855862.267</v>
      </c>
      <c r="H203">
        <v>3485551.3739999998</v>
      </c>
      <c r="I203">
        <v>3575808.9130000002</v>
      </c>
      <c r="J203">
        <v>3584037.71</v>
      </c>
      <c r="K203">
        <v>3459762.3280000002</v>
      </c>
      <c r="L203">
        <v>3380019.8530000001</v>
      </c>
      <c r="M203">
        <v>3320941.4509999999</v>
      </c>
      <c r="N203">
        <v>3320999.9750000001</v>
      </c>
      <c r="O203">
        <v>3426706.2239999999</v>
      </c>
      <c r="P203">
        <v>3590180.5279999999</v>
      </c>
      <c r="Q203">
        <v>3674292.0019999999</v>
      </c>
      <c r="R203">
        <v>3806704.179</v>
      </c>
      <c r="S203">
        <v>3866359.9610000001</v>
      </c>
      <c r="T203">
        <v>3722020.2340000002</v>
      </c>
      <c r="U203">
        <v>3592503.9019999998</v>
      </c>
      <c r="V203">
        <v>3458326.42</v>
      </c>
      <c r="W203">
        <v>3320223.8480000002</v>
      </c>
      <c r="X203">
        <v>3160166.6030000001</v>
      </c>
      <c r="Y203">
        <v>2973580.023</v>
      </c>
      <c r="Z203">
        <v>2824419.69</v>
      </c>
      <c r="AA203">
        <v>2694542.9169999999</v>
      </c>
      <c r="AB203">
        <v>2591910.71</v>
      </c>
      <c r="AC203">
        <v>2500363.165</v>
      </c>
      <c r="AD203">
        <v>2260871.0580000002</v>
      </c>
      <c r="AE203">
        <v>2029859.0009999999</v>
      </c>
      <c r="AF203">
        <v>1801959.531</v>
      </c>
      <c r="AG203">
        <v>1684058.4779999999</v>
      </c>
      <c r="AH203">
        <v>1568360.9369999999</v>
      </c>
      <c r="AI203">
        <v>1449246.5360000001</v>
      </c>
      <c r="AJ203">
        <v>1332089.19</v>
      </c>
      <c r="AK203">
        <v>1215220.2560000001</v>
      </c>
      <c r="AL203">
        <v>1448402.2849999999</v>
      </c>
      <c r="AM203">
        <v>1682677.63</v>
      </c>
      <c r="AN203">
        <v>1469165.7490000001</v>
      </c>
      <c r="AO203">
        <v>1253518.831</v>
      </c>
      <c r="AP203">
        <v>1035187.943</v>
      </c>
      <c r="AQ203">
        <v>814144.94709999999</v>
      </c>
      <c r="AR203">
        <v>590195.29020000005</v>
      </c>
      <c r="AS203">
        <v>701024.60089999996</v>
      </c>
      <c r="AT203">
        <v>812599.89659999998</v>
      </c>
      <c r="AU203">
        <v>925044.24910000002</v>
      </c>
      <c r="AV203">
        <v>1038248.107</v>
      </c>
      <c r="AW203">
        <v>1152297.9909999999</v>
      </c>
    </row>
    <row r="204" spans="2:49" x14ac:dyDescent="0.25">
      <c r="B204" s="274" t="s">
        <v>275</v>
      </c>
      <c r="C204">
        <v>271678.64339116903</v>
      </c>
      <c r="D204">
        <v>276040.53188776103</v>
      </c>
      <c r="E204">
        <v>280472.45189999999</v>
      </c>
      <c r="F204">
        <v>284876.45870000002</v>
      </c>
      <c r="G204">
        <v>265173.17969999998</v>
      </c>
      <c r="H204">
        <v>226702.59099999999</v>
      </c>
      <c r="I204">
        <v>232405.7775</v>
      </c>
      <c r="J204">
        <v>229737.1741</v>
      </c>
      <c r="K204">
        <v>207229.81529999999</v>
      </c>
      <c r="L204">
        <v>190734.5019</v>
      </c>
      <c r="M204">
        <v>185637.52780000001</v>
      </c>
      <c r="N204">
        <v>194658.03510000001</v>
      </c>
      <c r="O204">
        <v>195111.83619999999</v>
      </c>
      <c r="P204">
        <v>195736.2482</v>
      </c>
      <c r="Q204">
        <v>186166.76610000001</v>
      </c>
      <c r="R204">
        <v>175818.1746</v>
      </c>
      <c r="S204">
        <v>171054.4872</v>
      </c>
      <c r="T204">
        <v>165154.84239999999</v>
      </c>
      <c r="U204">
        <v>156823.30050000001</v>
      </c>
      <c r="V204">
        <v>151343.01490000001</v>
      </c>
      <c r="W204">
        <v>116121.442</v>
      </c>
      <c r="X204">
        <v>88266.931190000003</v>
      </c>
      <c r="Y204">
        <v>69278.892309999996</v>
      </c>
      <c r="Z204">
        <v>57011.405720000002</v>
      </c>
      <c r="AA204">
        <v>48254.423329999998</v>
      </c>
      <c r="AB204">
        <v>41677.184990000002</v>
      </c>
      <c r="AC204">
        <v>36568.311690000002</v>
      </c>
      <c r="AD204">
        <v>32541.622940000001</v>
      </c>
      <c r="AE204">
        <v>29262.258539999999</v>
      </c>
      <c r="AF204">
        <v>26106.2968</v>
      </c>
      <c r="AG204">
        <v>24522.03931</v>
      </c>
      <c r="AH204">
        <v>22928.532050000002</v>
      </c>
      <c r="AI204">
        <v>21270.6842</v>
      </c>
      <c r="AJ204">
        <v>19620.315559999999</v>
      </c>
      <c r="AK204">
        <v>17954.662909999999</v>
      </c>
      <c r="AL204">
        <v>21378.654630000001</v>
      </c>
      <c r="AM204">
        <v>24828.453140000001</v>
      </c>
      <c r="AN204">
        <v>21725.1535</v>
      </c>
      <c r="AO204">
        <v>18584.697990000001</v>
      </c>
      <c r="AP204">
        <v>15386.81826</v>
      </c>
      <c r="AQ204">
        <v>12137.86413</v>
      </c>
      <c r="AR204">
        <v>8826.9341249999998</v>
      </c>
      <c r="AS204">
        <v>10473.20595</v>
      </c>
      <c r="AT204">
        <v>12123.188959999999</v>
      </c>
      <c r="AU204">
        <v>13782.6206</v>
      </c>
      <c r="AV204">
        <v>15446.427369999999</v>
      </c>
      <c r="AW204">
        <v>17118.813819999999</v>
      </c>
    </row>
    <row r="205" spans="2:49" x14ac:dyDescent="0.25">
      <c r="B205" s="274" t="s">
        <v>276</v>
      </c>
      <c r="C205">
        <v>2033071.8879050901</v>
      </c>
      <c r="D205">
        <v>2065713.51468114</v>
      </c>
      <c r="E205">
        <v>2098879.213</v>
      </c>
      <c r="F205">
        <v>2054029.3870000001</v>
      </c>
      <c r="G205">
        <v>1814011.88</v>
      </c>
      <c r="H205">
        <v>1457463.5530000001</v>
      </c>
      <c r="I205">
        <v>1525911.5649999999</v>
      </c>
      <c r="J205">
        <v>1489951.4129999999</v>
      </c>
      <c r="K205">
        <v>1348174.304</v>
      </c>
      <c r="L205">
        <v>1314117.0220000001</v>
      </c>
      <c r="M205">
        <v>1306499.4099999999</v>
      </c>
      <c r="N205">
        <v>1318348.3359999999</v>
      </c>
      <c r="O205">
        <v>1292376.057</v>
      </c>
      <c r="P205">
        <v>1336071.3659999999</v>
      </c>
      <c r="Q205">
        <v>1299604.595</v>
      </c>
      <c r="R205">
        <v>1238668.193</v>
      </c>
      <c r="S205">
        <v>1213580.138</v>
      </c>
      <c r="T205">
        <v>1172426.075</v>
      </c>
      <c r="U205">
        <v>1103736.7209999999</v>
      </c>
      <c r="V205">
        <v>1049048.736</v>
      </c>
      <c r="W205">
        <v>850771.13639999996</v>
      </c>
      <c r="X205">
        <v>672277.84439999994</v>
      </c>
      <c r="Y205">
        <v>546095.06409999996</v>
      </c>
      <c r="Z205">
        <v>460691.3064</v>
      </c>
      <c r="AA205">
        <v>396246.76</v>
      </c>
      <c r="AB205">
        <v>345317.44339999999</v>
      </c>
      <c r="AC205">
        <v>304072.2929</v>
      </c>
      <c r="AD205">
        <v>271515.82860000001</v>
      </c>
      <c r="AE205">
        <v>244007.44140000001</v>
      </c>
      <c r="AF205">
        <v>217358.76930000001</v>
      </c>
      <c r="AG205">
        <v>203845.14679999999</v>
      </c>
      <c r="AH205">
        <v>190110.37450000001</v>
      </c>
      <c r="AI205">
        <v>175763.23190000001</v>
      </c>
      <c r="AJ205">
        <v>161584.0901</v>
      </c>
      <c r="AK205">
        <v>147419.77299999999</v>
      </c>
      <c r="AL205">
        <v>175017.3199</v>
      </c>
      <c r="AM205">
        <v>202609.40669999999</v>
      </c>
      <c r="AN205">
        <v>176340.61749999999</v>
      </c>
      <c r="AO205">
        <v>149942.99600000001</v>
      </c>
      <c r="AP205">
        <v>123333.6642</v>
      </c>
      <c r="AQ205">
        <v>96596.322020000007</v>
      </c>
      <c r="AR205">
        <v>69649.831850000002</v>
      </c>
      <c r="AS205">
        <v>82175.380650000006</v>
      </c>
      <c r="AT205">
        <v>94580.652679999999</v>
      </c>
      <c r="AU205">
        <v>106879.5322</v>
      </c>
      <c r="AV205">
        <v>119015.92849999999</v>
      </c>
      <c r="AW205">
        <v>131025.2046</v>
      </c>
    </row>
    <row r="206" spans="2:49" x14ac:dyDescent="0.25">
      <c r="B206" s="274" t="s">
        <v>277</v>
      </c>
      <c r="C206">
        <v>611949.61832884501</v>
      </c>
      <c r="D206">
        <v>621774.66739182698</v>
      </c>
      <c r="E206">
        <v>631757.4608</v>
      </c>
      <c r="F206">
        <v>620273.50589999999</v>
      </c>
      <c r="G206">
        <v>558597.26870000002</v>
      </c>
      <c r="H206">
        <v>469464.23690000002</v>
      </c>
      <c r="I206">
        <v>503985.47749999998</v>
      </c>
      <c r="J206">
        <v>488113.02500000002</v>
      </c>
      <c r="K206">
        <v>440809.47619999998</v>
      </c>
      <c r="L206">
        <v>418992.364</v>
      </c>
      <c r="M206">
        <v>418037.27830000001</v>
      </c>
      <c r="N206">
        <v>419042.21220000001</v>
      </c>
      <c r="O206">
        <v>387905.8297</v>
      </c>
      <c r="P206">
        <v>374722.11210000003</v>
      </c>
      <c r="Q206">
        <v>333302.81229999999</v>
      </c>
      <c r="R206">
        <v>306928.15759999998</v>
      </c>
      <c r="S206">
        <v>295513.946</v>
      </c>
      <c r="T206">
        <v>294744.2352</v>
      </c>
      <c r="U206">
        <v>284135.32280000002</v>
      </c>
      <c r="V206">
        <v>280539.45750000002</v>
      </c>
      <c r="W206">
        <v>217701.5809</v>
      </c>
      <c r="X206">
        <v>166151.26</v>
      </c>
      <c r="Y206">
        <v>128539.86719999999</v>
      </c>
      <c r="Z206">
        <v>105091.1862</v>
      </c>
      <c r="AA206">
        <v>88812.081219999905</v>
      </c>
      <c r="AB206">
        <v>77017.709950000004</v>
      </c>
      <c r="AC206">
        <v>68192.434070000003</v>
      </c>
      <c r="AD206">
        <v>60610.052340000002</v>
      </c>
      <c r="AE206">
        <v>54680.542880000001</v>
      </c>
      <c r="AF206">
        <v>48988.930359999998</v>
      </c>
      <c r="AG206">
        <v>46224.25763</v>
      </c>
      <c r="AH206">
        <v>43429.972829999999</v>
      </c>
      <c r="AI206">
        <v>40472.925000000003</v>
      </c>
      <c r="AJ206">
        <v>37480.187189999997</v>
      </c>
      <c r="AK206">
        <v>34432.787759999999</v>
      </c>
      <c r="AL206">
        <v>41152.308799999999</v>
      </c>
      <c r="AM206">
        <v>47943.921430000002</v>
      </c>
      <c r="AN206">
        <v>42154.961410000004</v>
      </c>
      <c r="AO206">
        <v>36247.930959999998</v>
      </c>
      <c r="AP206">
        <v>30147.83685</v>
      </c>
      <c r="AQ206">
        <v>23879.086429999999</v>
      </c>
      <c r="AR206">
        <v>17414.690849999999</v>
      </c>
      <c r="AS206">
        <v>20761.366020000001</v>
      </c>
      <c r="AT206">
        <v>24154.640289999999</v>
      </c>
      <c r="AU206">
        <v>27602.893220000002</v>
      </c>
      <c r="AV206">
        <v>31096.79725</v>
      </c>
      <c r="AW206">
        <v>34647.630089999999</v>
      </c>
    </row>
    <row r="207" spans="2:49" x14ac:dyDescent="0.25">
      <c r="B207" s="274" t="s">
        <v>278</v>
      </c>
      <c r="C207">
        <v>8749188.7351059392</v>
      </c>
      <c r="D207">
        <v>8889659.7902533505</v>
      </c>
      <c r="E207">
        <v>9032386.1539999899</v>
      </c>
      <c r="F207">
        <v>9099211.9230000004</v>
      </c>
      <c r="G207">
        <v>8693102.773</v>
      </c>
      <c r="H207">
        <v>7701804.9189999998</v>
      </c>
      <c r="I207">
        <v>7801107.5499999998</v>
      </c>
      <c r="J207">
        <v>7712331.568</v>
      </c>
      <c r="K207">
        <v>7226922.5070000002</v>
      </c>
      <c r="L207">
        <v>6840075.2580000004</v>
      </c>
      <c r="M207">
        <v>6667338.483</v>
      </c>
      <c r="N207">
        <v>6571656.4989999998</v>
      </c>
      <c r="O207">
        <v>6803615.2050000001</v>
      </c>
      <c r="P207">
        <v>7010525.9900000002</v>
      </c>
      <c r="Q207">
        <v>6838267.7149999999</v>
      </c>
      <c r="R207">
        <v>6928383.4890000001</v>
      </c>
      <c r="S207">
        <v>7029019.2970000003</v>
      </c>
      <c r="T207">
        <v>7004006.409</v>
      </c>
      <c r="U207">
        <v>6780868.068</v>
      </c>
      <c r="V207">
        <v>6679829.8679999998</v>
      </c>
      <c r="W207">
        <v>5338783.4680000003</v>
      </c>
      <c r="X207">
        <v>4225464.5109999999</v>
      </c>
      <c r="Y207">
        <v>3370753.6030000001</v>
      </c>
      <c r="Z207">
        <v>2801409.534</v>
      </c>
      <c r="AA207">
        <v>2378245.59</v>
      </c>
      <c r="AB207">
        <v>2049517.42</v>
      </c>
      <c r="AC207">
        <v>1786473.2690000001</v>
      </c>
      <c r="AD207">
        <v>1604080.3729999999</v>
      </c>
      <c r="AE207">
        <v>1451412.709</v>
      </c>
      <c r="AF207">
        <v>1302190.142</v>
      </c>
      <c r="AG207">
        <v>1229333.4739999999</v>
      </c>
      <c r="AH207">
        <v>1154998.8670000001</v>
      </c>
      <c r="AI207">
        <v>1077162.3419999999</v>
      </c>
      <c r="AJ207">
        <v>998198.53830000001</v>
      </c>
      <c r="AK207">
        <v>917778.42050000001</v>
      </c>
      <c r="AL207">
        <v>1097303.0549999999</v>
      </c>
      <c r="AM207">
        <v>1279673.6200000001</v>
      </c>
      <c r="AN207">
        <v>1126943.1740000001</v>
      </c>
      <c r="AO207">
        <v>970019.15709999995</v>
      </c>
      <c r="AP207">
        <v>807690.30090000003</v>
      </c>
      <c r="AQ207">
        <v>640316.52419999999</v>
      </c>
      <c r="AR207">
        <v>467186.17369999998</v>
      </c>
      <c r="AS207">
        <v>556589.17350000003</v>
      </c>
      <c r="AT207">
        <v>647590.95860000001</v>
      </c>
      <c r="AU207">
        <v>740284.05440000002</v>
      </c>
      <c r="AV207">
        <v>834290.8162</v>
      </c>
      <c r="AW207">
        <v>929921.14749999996</v>
      </c>
    </row>
    <row r="208" spans="2:49" x14ac:dyDescent="0.25">
      <c r="B208" s="274" t="s">
        <v>279</v>
      </c>
      <c r="C208">
        <v>583434.83019375498</v>
      </c>
      <c r="D208">
        <v>592802.06510985899</v>
      </c>
      <c r="E208">
        <v>602319.69400000002</v>
      </c>
      <c r="F208">
        <v>629528.75560000003</v>
      </c>
      <c r="G208">
        <v>616315.34050000005</v>
      </c>
      <c r="H208">
        <v>535621.55920000002</v>
      </c>
      <c r="I208">
        <v>534366.65899999999</v>
      </c>
      <c r="J208">
        <v>544839.4314</v>
      </c>
      <c r="K208">
        <v>520988.91609999997</v>
      </c>
      <c r="L208">
        <v>505537.3174</v>
      </c>
      <c r="M208">
        <v>470228.74430000002</v>
      </c>
      <c r="N208">
        <v>429798.69540000003</v>
      </c>
      <c r="O208">
        <v>414809.973</v>
      </c>
      <c r="P208">
        <v>414307.79300000001</v>
      </c>
      <c r="Q208">
        <v>398876.82459999999</v>
      </c>
      <c r="R208">
        <v>399265.80839999998</v>
      </c>
      <c r="S208">
        <v>398864.76620000001</v>
      </c>
      <c r="T208">
        <v>402373.68810000003</v>
      </c>
      <c r="U208">
        <v>391219.94579999999</v>
      </c>
      <c r="V208">
        <v>391335.9166</v>
      </c>
      <c r="W208">
        <v>396734.57140000002</v>
      </c>
      <c r="X208">
        <v>395342.67300000001</v>
      </c>
      <c r="Y208">
        <v>380417.40350000001</v>
      </c>
      <c r="Z208">
        <v>367579.52610000002</v>
      </c>
      <c r="AA208">
        <v>353448.99680000002</v>
      </c>
      <c r="AB208">
        <v>337850.91590000002</v>
      </c>
      <c r="AC208">
        <v>323131.39669999998</v>
      </c>
      <c r="AD208">
        <v>298970.19469999999</v>
      </c>
      <c r="AE208">
        <v>271126.46960000001</v>
      </c>
      <c r="AF208">
        <v>242331.63159999999</v>
      </c>
      <c r="AG208">
        <v>226062.65659999999</v>
      </c>
      <c r="AH208">
        <v>210324.2268</v>
      </c>
      <c r="AI208">
        <v>194258.1876</v>
      </c>
      <c r="AJ208">
        <v>177536.0797</v>
      </c>
      <c r="AK208">
        <v>161231.6612</v>
      </c>
      <c r="AL208">
        <v>186394.49309999999</v>
      </c>
      <c r="AM208">
        <v>210554.32519999999</v>
      </c>
      <c r="AN208">
        <v>185617.6072</v>
      </c>
      <c r="AO208">
        <v>159609.55619999999</v>
      </c>
      <c r="AP208">
        <v>132670.91889999999</v>
      </c>
      <c r="AQ208">
        <v>105106.80469999999</v>
      </c>
      <c r="AR208">
        <v>76436.677580000003</v>
      </c>
      <c r="AS208">
        <v>89057.27347</v>
      </c>
      <c r="AT208">
        <v>101858.78389999999</v>
      </c>
      <c r="AU208">
        <v>114517.54240000001</v>
      </c>
      <c r="AV208">
        <v>126958.61010000001</v>
      </c>
      <c r="AW208">
        <v>139739.19270000001</v>
      </c>
    </row>
    <row r="209" spans="2:49" x14ac:dyDescent="0.25">
      <c r="B209" s="274" t="s">
        <v>280</v>
      </c>
      <c r="C209">
        <v>40605.282443966003</v>
      </c>
      <c r="D209">
        <v>41257.2133877546</v>
      </c>
      <c r="E209">
        <v>41919.611290000001</v>
      </c>
      <c r="F209">
        <v>42123.57905</v>
      </c>
      <c r="G209">
        <v>39521.79219</v>
      </c>
      <c r="H209">
        <v>36307.613720000001</v>
      </c>
      <c r="I209">
        <v>37095.107210000002</v>
      </c>
      <c r="J209">
        <v>36200.320509999998</v>
      </c>
      <c r="K209">
        <v>33981.55371</v>
      </c>
      <c r="L209">
        <v>33291.30528</v>
      </c>
      <c r="M209">
        <v>33376.467900000003</v>
      </c>
      <c r="N209">
        <v>33876.704080000003</v>
      </c>
      <c r="O209">
        <v>36015.746939999997</v>
      </c>
      <c r="P209">
        <v>38180.54393</v>
      </c>
      <c r="Q209">
        <v>37283.995009999999</v>
      </c>
      <c r="R209">
        <v>37487.978519999997</v>
      </c>
      <c r="S209">
        <v>36986.146220000002</v>
      </c>
      <c r="T209">
        <v>35439.167650000003</v>
      </c>
      <c r="U209">
        <v>34057.709049999998</v>
      </c>
      <c r="V209">
        <v>33091.852229999997</v>
      </c>
      <c r="W209">
        <v>34597.558109999998</v>
      </c>
      <c r="X209">
        <v>35099.558819999998</v>
      </c>
      <c r="Y209">
        <v>33889.628019999996</v>
      </c>
      <c r="Z209">
        <v>32861.731299999999</v>
      </c>
      <c r="AA209">
        <v>31829.349900000001</v>
      </c>
      <c r="AB209">
        <v>30976.459910000001</v>
      </c>
      <c r="AC209">
        <v>30147.588609999999</v>
      </c>
      <c r="AD209">
        <v>27596.485720000001</v>
      </c>
      <c r="AE209">
        <v>24969.49092</v>
      </c>
      <c r="AF209">
        <v>22301.803540000001</v>
      </c>
      <c r="AG209">
        <v>20898.27937</v>
      </c>
      <c r="AH209">
        <v>19462.139660000001</v>
      </c>
      <c r="AI209">
        <v>17934.476849999999</v>
      </c>
      <c r="AJ209">
        <v>16420.031019999999</v>
      </c>
      <c r="AK209">
        <v>14896.573270000001</v>
      </c>
      <c r="AL209">
        <v>17401.528539999999</v>
      </c>
      <c r="AM209">
        <v>19814.205699999999</v>
      </c>
      <c r="AN209">
        <v>17289.75736</v>
      </c>
      <c r="AO209">
        <v>14754.425289999999</v>
      </c>
      <c r="AP209">
        <v>12177.99137</v>
      </c>
      <c r="AQ209">
        <v>9569.4954660000003</v>
      </c>
      <c r="AR209">
        <v>6926.7830039999999</v>
      </c>
      <c r="AS209">
        <v>8133.8879690000003</v>
      </c>
      <c r="AT209">
        <v>9328.0337569999901</v>
      </c>
      <c r="AU209">
        <v>10512.717549999999</v>
      </c>
      <c r="AV209">
        <v>11681.7801</v>
      </c>
      <c r="AW209">
        <v>12837.99596</v>
      </c>
    </row>
    <row r="210" spans="2:49" x14ac:dyDescent="0.25">
      <c r="B210" s="274" t="s">
        <v>281</v>
      </c>
      <c r="C210">
        <v>55091.732691944802</v>
      </c>
      <c r="D210">
        <v>55976.248280239903</v>
      </c>
      <c r="E210">
        <v>56875.034549999997</v>
      </c>
      <c r="F210">
        <v>59887.1011</v>
      </c>
      <c r="G210">
        <v>61057.413610000003</v>
      </c>
      <c r="H210">
        <v>61304.45824</v>
      </c>
      <c r="I210">
        <v>64198.812109999999</v>
      </c>
      <c r="J210">
        <v>66293.861239999998</v>
      </c>
      <c r="K210">
        <v>67681.745320000002</v>
      </c>
      <c r="L210">
        <v>69463.405530000004</v>
      </c>
      <c r="M210">
        <v>71344.204230000003</v>
      </c>
      <c r="N210">
        <v>72295.656700000007</v>
      </c>
      <c r="O210">
        <v>71718.223499999905</v>
      </c>
      <c r="P210">
        <v>74536.991030000005</v>
      </c>
      <c r="Q210">
        <v>76515.303480000002</v>
      </c>
      <c r="R210">
        <v>83594.453339999905</v>
      </c>
      <c r="S210">
        <v>98820.057870000004</v>
      </c>
      <c r="T210">
        <v>108997.00569999999</v>
      </c>
      <c r="U210">
        <v>115944.038</v>
      </c>
      <c r="V210">
        <v>118776.9442</v>
      </c>
      <c r="W210">
        <v>150372.89610000001</v>
      </c>
      <c r="X210">
        <v>179983.7622</v>
      </c>
      <c r="Y210">
        <v>178729.61720000001</v>
      </c>
      <c r="Z210">
        <v>177759.77720000001</v>
      </c>
      <c r="AA210">
        <v>176772.78880000001</v>
      </c>
      <c r="AB210">
        <v>175837.33530000001</v>
      </c>
      <c r="AC210">
        <v>174458.54639999999</v>
      </c>
      <c r="AD210">
        <v>159647.71030000001</v>
      </c>
      <c r="AE210">
        <v>144675.37669999999</v>
      </c>
      <c r="AF210">
        <v>129443.1841</v>
      </c>
      <c r="AG210">
        <v>121824.62450000001</v>
      </c>
      <c r="AH210">
        <v>114096.49310000001</v>
      </c>
      <c r="AI210">
        <v>106026.1148</v>
      </c>
      <c r="AJ210">
        <v>97857.584600000002</v>
      </c>
      <c r="AK210">
        <v>89541.449299999906</v>
      </c>
      <c r="AL210">
        <v>107005.79949999999</v>
      </c>
      <c r="AM210">
        <v>124632.87729999999</v>
      </c>
      <c r="AN210">
        <v>110358.6275</v>
      </c>
      <c r="AO210">
        <v>95464.720499999996</v>
      </c>
      <c r="AP210">
        <v>79890.178939999998</v>
      </c>
      <c r="AQ210">
        <v>63631.960760000002</v>
      </c>
      <c r="AR210">
        <v>46754.379000000001</v>
      </c>
      <c r="AS210">
        <v>56882.68634</v>
      </c>
      <c r="AT210">
        <v>67459.181519999998</v>
      </c>
      <c r="AU210">
        <v>78498.007379999995</v>
      </c>
      <c r="AV210">
        <v>89967.188179999997</v>
      </c>
      <c r="AW210">
        <v>101698.2583</v>
      </c>
    </row>
    <row r="211" spans="2:49" x14ac:dyDescent="0.25">
      <c r="B211" s="274" t="s">
        <v>282</v>
      </c>
      <c r="C211">
        <v>53959.065015136701</v>
      </c>
      <c r="D211">
        <v>54825.395257508797</v>
      </c>
      <c r="E211">
        <v>55828.062830000003</v>
      </c>
      <c r="F211">
        <v>63907.347659999999</v>
      </c>
      <c r="G211">
        <v>70440.07948</v>
      </c>
      <c r="H211">
        <v>75636.724159999998</v>
      </c>
      <c r="I211">
        <v>82827.014509999906</v>
      </c>
      <c r="J211">
        <v>88941.32617</v>
      </c>
      <c r="K211">
        <v>93888.656539999996</v>
      </c>
      <c r="L211">
        <v>98124.976209999906</v>
      </c>
      <c r="M211">
        <v>100700.8064</v>
      </c>
      <c r="N211">
        <v>100867.2827</v>
      </c>
      <c r="O211">
        <v>110742.2745</v>
      </c>
      <c r="P211">
        <v>122487.48729999999</v>
      </c>
      <c r="Q211">
        <v>134977.84349999999</v>
      </c>
      <c r="R211">
        <v>149524.24400000001</v>
      </c>
      <c r="S211">
        <v>166933.01199999999</v>
      </c>
      <c r="T211">
        <v>246690.51629999999</v>
      </c>
      <c r="U211">
        <v>301608.75919999997</v>
      </c>
      <c r="V211">
        <v>339363.42830000003</v>
      </c>
      <c r="W211">
        <v>326604.43569999997</v>
      </c>
      <c r="X211">
        <v>307153.8469</v>
      </c>
      <c r="Y211">
        <v>345801.52610000002</v>
      </c>
      <c r="Z211">
        <v>382467.68800000002</v>
      </c>
      <c r="AA211">
        <v>416099.8431</v>
      </c>
      <c r="AB211">
        <v>445922.85369999998</v>
      </c>
      <c r="AC211">
        <v>472188.984</v>
      </c>
      <c r="AD211">
        <v>487073.0428</v>
      </c>
      <c r="AE211">
        <v>489748.83630000002</v>
      </c>
      <c r="AF211">
        <v>480719.68320000003</v>
      </c>
      <c r="AG211">
        <v>491725.13390000002</v>
      </c>
      <c r="AH211">
        <v>497181.5208</v>
      </c>
      <c r="AI211">
        <v>502939.76120000001</v>
      </c>
      <c r="AJ211">
        <v>501386.14399999997</v>
      </c>
      <c r="AK211">
        <v>492641.74540000001</v>
      </c>
      <c r="AL211">
        <v>627098.2487</v>
      </c>
      <c r="AM211">
        <v>776903.77949999995</v>
      </c>
      <c r="AN211">
        <v>706674.29619999998</v>
      </c>
      <c r="AO211">
        <v>626677.28170000005</v>
      </c>
      <c r="AP211">
        <v>537247.19990000001</v>
      </c>
      <c r="AQ211">
        <v>437844.74479999999</v>
      </c>
      <c r="AR211">
        <v>328127.02309999999</v>
      </c>
      <c r="AS211">
        <v>393767.58970000001</v>
      </c>
      <c r="AT211">
        <v>461507.46590000001</v>
      </c>
      <c r="AU211">
        <v>531178.4595</v>
      </c>
      <c r="AV211">
        <v>602564.14930000005</v>
      </c>
      <c r="AW211">
        <v>675727.37690000003</v>
      </c>
    </row>
    <row r="212" spans="2:49" x14ac:dyDescent="0.25">
      <c r="B212" s="274" t="s">
        <v>283</v>
      </c>
      <c r="C212">
        <v>216238.436565001</v>
      </c>
      <c r="D212">
        <v>219710.21460835601</v>
      </c>
      <c r="E212">
        <v>223237.73319999999</v>
      </c>
      <c r="F212">
        <v>251143.81049999999</v>
      </c>
      <c r="G212">
        <v>211472.51620000001</v>
      </c>
      <c r="H212">
        <v>142424.73180000001</v>
      </c>
      <c r="I212">
        <v>170553.6875</v>
      </c>
      <c r="J212">
        <v>136838.07370000001</v>
      </c>
      <c r="K212">
        <v>158142.92920000001</v>
      </c>
      <c r="L212">
        <v>137868.91709999999</v>
      </c>
      <c r="M212">
        <v>110995.38370000001</v>
      </c>
      <c r="N212">
        <v>89884.486040000003</v>
      </c>
      <c r="O212">
        <v>68088.318650000001</v>
      </c>
      <c r="P212">
        <v>65010.704919999996</v>
      </c>
      <c r="Q212">
        <v>58603.349600000001</v>
      </c>
      <c r="R212">
        <v>58101.088129999996</v>
      </c>
      <c r="S212">
        <v>58092.897620000003</v>
      </c>
      <c r="T212">
        <v>56615.008500000004</v>
      </c>
      <c r="U212">
        <v>56513.633950000003</v>
      </c>
      <c r="V212">
        <v>56747.251320000003</v>
      </c>
      <c r="W212">
        <v>58202.19616</v>
      </c>
      <c r="X212">
        <v>58596.034469999999</v>
      </c>
      <c r="Y212">
        <v>57685.110919999999</v>
      </c>
      <c r="Z212">
        <v>56965.254119999998</v>
      </c>
      <c r="AA212">
        <v>56228.288209999999</v>
      </c>
      <c r="AB212">
        <v>47465.908580000003</v>
      </c>
      <c r="AC212">
        <v>40713.26139</v>
      </c>
      <c r="AD212">
        <v>36679.402860000002</v>
      </c>
      <c r="AE212">
        <v>33586.788240000002</v>
      </c>
      <c r="AF212">
        <v>30771.253140000001</v>
      </c>
      <c r="AG212">
        <v>29035.378929999999</v>
      </c>
      <c r="AH212">
        <v>27260.582729999998</v>
      </c>
      <c r="AI212">
        <v>25899.71255</v>
      </c>
      <c r="AJ212">
        <v>24577.121289999999</v>
      </c>
      <c r="AK212">
        <v>23191.30416</v>
      </c>
      <c r="AL212">
        <v>25265.42051</v>
      </c>
      <c r="AM212">
        <v>26409.93363</v>
      </c>
      <c r="AN212">
        <v>23445.272529999998</v>
      </c>
      <c r="AO212">
        <v>20987.143410000001</v>
      </c>
      <c r="AP212">
        <v>18505.333340000001</v>
      </c>
      <c r="AQ212">
        <v>15833.48294</v>
      </c>
      <c r="AR212">
        <v>12798.405629999999</v>
      </c>
      <c r="AS212">
        <v>14352.282649999999</v>
      </c>
      <c r="AT212">
        <v>15304.0478</v>
      </c>
      <c r="AU212">
        <v>16004.326209999999</v>
      </c>
      <c r="AV212">
        <v>16548.300429999999</v>
      </c>
      <c r="AW212">
        <v>16976.047900000001</v>
      </c>
    </row>
    <row r="213" spans="2:49" x14ac:dyDescent="0.25">
      <c r="B213" s="274" t="s">
        <v>284</v>
      </c>
      <c r="C213">
        <v>215538.66868192199</v>
      </c>
      <c r="D213">
        <v>218999.21172556799</v>
      </c>
      <c r="E213">
        <v>222515.3149</v>
      </c>
      <c r="F213">
        <v>228028.85010000001</v>
      </c>
      <c r="G213">
        <v>226236.88389999999</v>
      </c>
      <c r="H213">
        <v>174083.85200000001</v>
      </c>
      <c r="I213">
        <v>128557.3106</v>
      </c>
      <c r="J213">
        <v>129818.5239</v>
      </c>
      <c r="K213">
        <v>127135.4804</v>
      </c>
      <c r="L213">
        <v>120479.2831</v>
      </c>
      <c r="M213">
        <v>115662.99129999999</v>
      </c>
      <c r="N213">
        <v>112668.1234</v>
      </c>
      <c r="O213">
        <v>101743.5754</v>
      </c>
      <c r="P213">
        <v>96036.917799999996</v>
      </c>
      <c r="Q213">
        <v>96159.970350000003</v>
      </c>
      <c r="R213">
        <v>87786.687319999997</v>
      </c>
      <c r="S213">
        <v>79329.712750000006</v>
      </c>
      <c r="T213">
        <v>68399.609949999998</v>
      </c>
      <c r="U213">
        <v>59014.212420000003</v>
      </c>
      <c r="V213">
        <v>50721.940690000003</v>
      </c>
      <c r="W213">
        <v>44587.414770000003</v>
      </c>
      <c r="X213">
        <v>38301.102780000001</v>
      </c>
      <c r="Y213">
        <v>36301.858659999998</v>
      </c>
      <c r="Z213">
        <v>35296.837180000002</v>
      </c>
      <c r="AA213">
        <v>34561.97666</v>
      </c>
      <c r="AB213">
        <v>33945.642899999999</v>
      </c>
      <c r="AC213">
        <v>33391.825080000002</v>
      </c>
      <c r="AD213">
        <v>31703.369500000001</v>
      </c>
      <c r="AE213">
        <v>30074.395039999999</v>
      </c>
      <c r="AF213">
        <v>28358.550439999999</v>
      </c>
      <c r="AG213">
        <v>27443.078389999999</v>
      </c>
      <c r="AH213">
        <v>26363.476729999998</v>
      </c>
      <c r="AI213">
        <v>25172.004570000001</v>
      </c>
      <c r="AJ213">
        <v>23938.683870000001</v>
      </c>
      <c r="AK213">
        <v>22634.348539999999</v>
      </c>
      <c r="AL213">
        <v>24817.564160000002</v>
      </c>
      <c r="AM213">
        <v>26156.831740000001</v>
      </c>
      <c r="AN213">
        <v>22898.874299999999</v>
      </c>
      <c r="AO213">
        <v>20168.106049999999</v>
      </c>
      <c r="AP213">
        <v>17510.95246</v>
      </c>
      <c r="AQ213">
        <v>14788.986080000001</v>
      </c>
      <c r="AR213">
        <v>11856.0797</v>
      </c>
      <c r="AS213">
        <v>13156.003710000001</v>
      </c>
      <c r="AT213">
        <v>13868.93233</v>
      </c>
      <c r="AU213">
        <v>14340.84078</v>
      </c>
      <c r="AV213">
        <v>14668.7893</v>
      </c>
      <c r="AW213">
        <v>14889.551750000001</v>
      </c>
    </row>
    <row r="214" spans="2:49" x14ac:dyDescent="0.25">
      <c r="B214" s="274" t="s">
        <v>285</v>
      </c>
      <c r="C214">
        <v>7946676.0051002903</v>
      </c>
      <c r="D214">
        <v>8074262.4587873695</v>
      </c>
      <c r="E214">
        <v>8203897.3540000003</v>
      </c>
      <c r="F214">
        <v>8825138.9790000003</v>
      </c>
      <c r="G214">
        <v>9104925.0270000007</v>
      </c>
      <c r="H214">
        <v>9112063.4560000002</v>
      </c>
      <c r="I214">
        <v>9879916.2190000005</v>
      </c>
      <c r="J214">
        <v>10290017.32</v>
      </c>
      <c r="K214">
        <v>10278990.029999999</v>
      </c>
      <c r="L214">
        <v>10555532.140000001</v>
      </c>
      <c r="M214">
        <v>11296068.98</v>
      </c>
      <c r="N214">
        <v>12600749.32</v>
      </c>
      <c r="O214">
        <v>13232179.24</v>
      </c>
      <c r="P214">
        <v>13067851.630000001</v>
      </c>
      <c r="Q214">
        <v>11964792.619999999</v>
      </c>
      <c r="R214">
        <v>11195270.77</v>
      </c>
      <c r="S214">
        <v>10704726.17</v>
      </c>
      <c r="T214">
        <v>10175987.9</v>
      </c>
      <c r="U214">
        <v>9670934.8350000009</v>
      </c>
      <c r="V214">
        <v>9270369.2709999997</v>
      </c>
      <c r="W214">
        <v>11305087.310000001</v>
      </c>
      <c r="X214">
        <v>12786975.539999999</v>
      </c>
      <c r="Y214">
        <v>13330672.630000001</v>
      </c>
      <c r="Z214">
        <v>13512879.359999999</v>
      </c>
      <c r="AA214">
        <v>13383927.5</v>
      </c>
      <c r="AB214">
        <v>12764802.939999999</v>
      </c>
      <c r="AC214">
        <v>12001223.85</v>
      </c>
      <c r="AD214">
        <v>10693455.880000001</v>
      </c>
      <c r="AE214">
        <v>9384396.5319999997</v>
      </c>
      <c r="AF214">
        <v>8133709.824</v>
      </c>
      <c r="AG214">
        <v>7381611.2390000001</v>
      </c>
      <c r="AH214">
        <v>6669203.9709999999</v>
      </c>
      <c r="AI214">
        <v>5989723.0650000004</v>
      </c>
      <c r="AJ214">
        <v>5345330.9919999996</v>
      </c>
      <c r="AK214">
        <v>4732416.0810000002</v>
      </c>
      <c r="AL214">
        <v>5356255.2039999999</v>
      </c>
      <c r="AM214">
        <v>5897621.2429999998</v>
      </c>
      <c r="AN214">
        <v>4993311.5750000002</v>
      </c>
      <c r="AO214">
        <v>4142678.58</v>
      </c>
      <c r="AP214">
        <v>3331286.1860000002</v>
      </c>
      <c r="AQ214">
        <v>2555154.6660000002</v>
      </c>
      <c r="AR214">
        <v>1809079.4339999999</v>
      </c>
      <c r="AS214">
        <v>2054581.902</v>
      </c>
      <c r="AT214">
        <v>2272376.003</v>
      </c>
      <c r="AU214">
        <v>2467236.75</v>
      </c>
      <c r="AV214">
        <v>2640997.804</v>
      </c>
      <c r="AW214">
        <v>2795709.93</v>
      </c>
    </row>
    <row r="215" spans="2:49" x14ac:dyDescent="0.25">
      <c r="B215" s="274" t="s">
        <v>286</v>
      </c>
      <c r="C215">
        <v>4498800.2848123703</v>
      </c>
      <c r="D215">
        <v>4571029.97856321</v>
      </c>
      <c r="E215">
        <v>4644419.3430000003</v>
      </c>
      <c r="F215">
        <v>4804007.2359999996</v>
      </c>
      <c r="G215">
        <v>4832025.3600000003</v>
      </c>
      <c r="H215">
        <v>5090361.0360000003</v>
      </c>
      <c r="I215">
        <v>5281009.7750000004</v>
      </c>
      <c r="J215">
        <v>5324530.784</v>
      </c>
      <c r="K215">
        <v>5264820.0590000004</v>
      </c>
      <c r="L215">
        <v>5364022.5590000004</v>
      </c>
      <c r="M215">
        <v>5597361.5590000004</v>
      </c>
      <c r="N215">
        <v>6059579.6229999997</v>
      </c>
      <c r="O215">
        <v>6208901.0640000002</v>
      </c>
      <c r="P215">
        <v>5995224.9479999999</v>
      </c>
      <c r="Q215">
        <v>5423944.1880000001</v>
      </c>
      <c r="R215">
        <v>5033248.3619999997</v>
      </c>
      <c r="S215">
        <v>4750730.5449999999</v>
      </c>
      <c r="T215">
        <v>4515889.5269999998</v>
      </c>
      <c r="U215">
        <v>4297695.9979999997</v>
      </c>
      <c r="V215">
        <v>4105331.0720000002</v>
      </c>
      <c r="W215">
        <v>4568048.5939999996</v>
      </c>
      <c r="X215">
        <v>4838196.0959999999</v>
      </c>
      <c r="Y215">
        <v>4833089.4970000004</v>
      </c>
      <c r="Z215">
        <v>4736586.5659999996</v>
      </c>
      <c r="AA215">
        <v>4567823.7570000002</v>
      </c>
      <c r="AB215">
        <v>4289765.7989999996</v>
      </c>
      <c r="AC215">
        <v>3987608.5189999999</v>
      </c>
      <c r="AD215">
        <v>3552530.0789999999</v>
      </c>
      <c r="AE215">
        <v>3124216.5210000002</v>
      </c>
      <c r="AF215">
        <v>2714076.3160000001</v>
      </c>
      <c r="AG215">
        <v>2472440.5460000001</v>
      </c>
      <c r="AH215">
        <v>2241661.429</v>
      </c>
      <c r="AI215">
        <v>2017894.773</v>
      </c>
      <c r="AJ215">
        <v>1804979.2660000001</v>
      </c>
      <c r="AK215">
        <v>1601585.1159999999</v>
      </c>
      <c r="AL215">
        <v>1827746.375</v>
      </c>
      <c r="AM215">
        <v>2030178.1869999999</v>
      </c>
      <c r="AN215">
        <v>1722634.9350000001</v>
      </c>
      <c r="AO215">
        <v>1431085.3</v>
      </c>
      <c r="AP215">
        <v>1151900.2690000001</v>
      </c>
      <c r="AQ215">
        <v>884013.75719999999</v>
      </c>
      <c r="AR215">
        <v>625973.68870000006</v>
      </c>
      <c r="AS215">
        <v>715317.18350000004</v>
      </c>
      <c r="AT215">
        <v>796394.76439999999</v>
      </c>
      <c r="AU215">
        <v>870427.875</v>
      </c>
      <c r="AV215">
        <v>937844.96219999995</v>
      </c>
      <c r="AW215">
        <v>999194.54779999994</v>
      </c>
    </row>
    <row r="216" spans="2:49" x14ac:dyDescent="0.25">
      <c r="B216" s="274" t="s">
        <v>287</v>
      </c>
      <c r="C216">
        <v>0.96864644472622397</v>
      </c>
      <c r="D216">
        <v>0.984198376713873</v>
      </c>
      <c r="E216">
        <v>1</v>
      </c>
      <c r="F216">
        <v>0.97559456710000003</v>
      </c>
      <c r="G216">
        <v>0.92537481629999996</v>
      </c>
      <c r="H216">
        <v>0.87840017569999995</v>
      </c>
      <c r="I216">
        <v>0.84694413120000001</v>
      </c>
      <c r="J216">
        <v>0.80678822480000001</v>
      </c>
      <c r="K216">
        <v>0.76292042189999998</v>
      </c>
      <c r="L216">
        <v>0.72824716860000005</v>
      </c>
      <c r="M216">
        <v>0.70288582519999998</v>
      </c>
      <c r="N216">
        <v>0.68636935870000004</v>
      </c>
      <c r="O216">
        <v>0.67331662449999996</v>
      </c>
      <c r="P216">
        <v>0.65783470970000002</v>
      </c>
      <c r="Q216">
        <v>0.63760182099999996</v>
      </c>
      <c r="R216">
        <v>0.6268303207</v>
      </c>
      <c r="S216">
        <v>0.60063634379999997</v>
      </c>
      <c r="T216">
        <v>0.56800735540000002</v>
      </c>
      <c r="U216">
        <v>0.53436893100000005</v>
      </c>
      <c r="V216">
        <v>0.49655398299999998</v>
      </c>
      <c r="W216">
        <v>0.4737576423</v>
      </c>
      <c r="X216">
        <v>0.44609488219999999</v>
      </c>
      <c r="Y216">
        <v>0.41288420799999997</v>
      </c>
      <c r="Z216">
        <v>0.38257233029999999</v>
      </c>
      <c r="AA216">
        <v>0.35432679210000001</v>
      </c>
      <c r="AB216">
        <v>0.3266108996</v>
      </c>
      <c r="AC216">
        <v>0.30054921629999998</v>
      </c>
      <c r="AD216">
        <v>0.25871955169999999</v>
      </c>
      <c r="AE216">
        <v>0.22015270109999999</v>
      </c>
      <c r="AF216">
        <v>0.18472891899999999</v>
      </c>
      <c r="AG216">
        <v>0.1628374236</v>
      </c>
      <c r="AH216">
        <v>0.14250605089999999</v>
      </c>
      <c r="AI216">
        <v>0.1228957888</v>
      </c>
      <c r="AJ216">
        <v>0.1046921998</v>
      </c>
      <c r="AK216">
        <v>8.7838387000000004E-2</v>
      </c>
      <c r="AL216">
        <v>9.5620815999999997E-2</v>
      </c>
      <c r="AM216">
        <v>0.1001114666</v>
      </c>
      <c r="AN216">
        <v>8.1218528100000006E-2</v>
      </c>
      <c r="AO216">
        <v>6.4241412799999995E-2</v>
      </c>
      <c r="AP216">
        <v>4.8812837900000003E-2</v>
      </c>
      <c r="AQ216">
        <v>3.50126859E-2</v>
      </c>
      <c r="AR216">
        <v>2.3001916599999998E-2</v>
      </c>
      <c r="AS216">
        <v>2.66458306E-2</v>
      </c>
      <c r="AT216">
        <v>3.0301655E-2</v>
      </c>
      <c r="AU216" s="39">
        <v>3.3795997100000003E-2</v>
      </c>
      <c r="AV216">
        <v>3.7077154299999998E-2</v>
      </c>
      <c r="AW216">
        <v>4.0116819999999997E-2</v>
      </c>
    </row>
    <row r="217" spans="2:49" x14ac:dyDescent="0.25">
      <c r="B217" s="275" t="s">
        <v>288</v>
      </c>
      <c r="C217">
        <v>8232235.5397947598</v>
      </c>
      <c r="D217">
        <v>8364406.7441781899</v>
      </c>
      <c r="E217">
        <v>8498700</v>
      </c>
      <c r="F217">
        <v>8425133.9179999996</v>
      </c>
      <c r="G217">
        <v>8351172.1220000004</v>
      </c>
      <c r="H217">
        <v>7763208.5250000004</v>
      </c>
      <c r="I217">
        <v>7655956.3109999998</v>
      </c>
      <c r="J217">
        <v>7623505.8219999997</v>
      </c>
      <c r="K217">
        <v>7503300.1969999997</v>
      </c>
      <c r="L217">
        <v>7266089.21</v>
      </c>
      <c r="M217">
        <v>7009761.1490000002</v>
      </c>
      <c r="N217">
        <v>6679582.1090000002</v>
      </c>
      <c r="O217">
        <v>7005701.3380000005</v>
      </c>
      <c r="P217">
        <v>7596687.7479999997</v>
      </c>
      <c r="Q217">
        <v>8362301.6689999998</v>
      </c>
      <c r="R217">
        <v>8969499.3359999899</v>
      </c>
      <c r="S217">
        <v>9555408.3910000008</v>
      </c>
      <c r="T217">
        <v>8843858.7420000006</v>
      </c>
      <c r="U217">
        <v>8052153.9239999996</v>
      </c>
      <c r="V217">
        <v>7212670.0259999996</v>
      </c>
      <c r="W217">
        <v>7847427.4699999997</v>
      </c>
      <c r="X217">
        <v>8377508.1869999999</v>
      </c>
      <c r="Y217">
        <v>7839386.3559999997</v>
      </c>
      <c r="Z217">
        <v>7233521.5920000002</v>
      </c>
      <c r="AA217">
        <v>6653983.4340000004</v>
      </c>
      <c r="AB217">
        <v>6154484.6730000004</v>
      </c>
      <c r="AC217">
        <v>5687206.2920000004</v>
      </c>
      <c r="AD217">
        <v>4858844.5930000003</v>
      </c>
      <c r="AE217">
        <v>4090872.5150000001</v>
      </c>
      <c r="AF217">
        <v>3389746.4870000002</v>
      </c>
      <c r="AG217">
        <v>2850824.8459999999</v>
      </c>
      <c r="AH217">
        <v>2366824.2280000001</v>
      </c>
      <c r="AI217">
        <v>1780542.9480000001</v>
      </c>
      <c r="AJ217">
        <v>1260829.5519999999</v>
      </c>
      <c r="AK217">
        <v>816617.26399999997</v>
      </c>
      <c r="AL217">
        <v>607246.80090000003</v>
      </c>
      <c r="AM217">
        <v>289519.39500000002</v>
      </c>
      <c r="AN217">
        <v>242340.30129999999</v>
      </c>
      <c r="AO217">
        <v>215822.19469999999</v>
      </c>
      <c r="AP217">
        <v>186967.54319999999</v>
      </c>
      <c r="AQ217">
        <v>153780.89050000001</v>
      </c>
      <c r="AR217">
        <v>116127.65180000001</v>
      </c>
      <c r="AS217">
        <v>142251.05619999999</v>
      </c>
      <c r="AT217">
        <v>169646.12280000001</v>
      </c>
      <c r="AU217">
        <v>198308.84</v>
      </c>
      <c r="AV217">
        <v>228155.95269999999</v>
      </c>
      <c r="AW217">
        <v>259148.20499999999</v>
      </c>
    </row>
    <row r="218" spans="2:49" x14ac:dyDescent="0.25">
      <c r="B218" s="274" t="s">
        <v>289</v>
      </c>
      <c r="C218">
        <v>463787.91773491597</v>
      </c>
      <c r="D218">
        <v>471234.182770602</v>
      </c>
      <c r="E218">
        <v>478800</v>
      </c>
      <c r="F218">
        <v>479110.9865</v>
      </c>
      <c r="G218">
        <v>463143.90149999998</v>
      </c>
      <c r="H218">
        <v>440613.11229999998</v>
      </c>
      <c r="I218">
        <v>447243.7782</v>
      </c>
      <c r="J218">
        <v>464934.98800000001</v>
      </c>
      <c r="K218">
        <v>465880.27260000003</v>
      </c>
      <c r="L218">
        <v>476146.23450000002</v>
      </c>
      <c r="M218">
        <v>498849.99550000002</v>
      </c>
      <c r="N218">
        <v>532261.70440000005</v>
      </c>
      <c r="O218">
        <v>508664.20390000002</v>
      </c>
      <c r="P218">
        <v>472559.10590000002</v>
      </c>
      <c r="Q218">
        <v>415959.96220000001</v>
      </c>
      <c r="R218">
        <v>368618.245</v>
      </c>
      <c r="S218">
        <v>327345.75140000001</v>
      </c>
      <c r="T218">
        <v>304940.11570000002</v>
      </c>
      <c r="U218">
        <v>283248.79460000002</v>
      </c>
      <c r="V218">
        <v>264276.36210000003</v>
      </c>
      <c r="W218">
        <v>253490.22959999999</v>
      </c>
      <c r="X218">
        <v>242483.3138</v>
      </c>
      <c r="Y218">
        <v>231035.49230000001</v>
      </c>
      <c r="Z218">
        <v>220769.00659999999</v>
      </c>
      <c r="AA218">
        <v>210455.37100000001</v>
      </c>
      <c r="AB218">
        <v>197330.50450000001</v>
      </c>
      <c r="AC218">
        <v>184484.8382</v>
      </c>
      <c r="AD218">
        <v>175340.11120000001</v>
      </c>
      <c r="AE218">
        <v>164534.01019999999</v>
      </c>
      <c r="AF218">
        <v>152214.4057</v>
      </c>
      <c r="AG218">
        <v>142427.8737</v>
      </c>
      <c r="AH218">
        <v>132648.63130000001</v>
      </c>
      <c r="AI218">
        <v>122346.0341</v>
      </c>
      <c r="AJ218">
        <v>112222.0799</v>
      </c>
      <c r="AK218">
        <v>102168.3226</v>
      </c>
      <c r="AL218">
        <v>95169.304810000001</v>
      </c>
      <c r="AM218">
        <v>81640.212610000002</v>
      </c>
      <c r="AN218">
        <v>82288.061809999999</v>
      </c>
      <c r="AO218">
        <v>79351.221839999998</v>
      </c>
      <c r="AP218">
        <v>72926.541710000005</v>
      </c>
      <c r="AQ218">
        <v>63096.599699999999</v>
      </c>
      <c r="AR218">
        <v>49848.335599999999</v>
      </c>
      <c r="AS218">
        <v>46106.647870000001</v>
      </c>
      <c r="AT218">
        <v>39024.533289999999</v>
      </c>
      <c r="AU218">
        <v>28838.612990000001</v>
      </c>
      <c r="AV218">
        <v>15760.08454</v>
      </c>
      <c r="AW218">
        <v>2472.9974940000002</v>
      </c>
    </row>
    <row r="219" spans="2:49" x14ac:dyDescent="0.25">
      <c r="B219" t="s">
        <v>290</v>
      </c>
      <c r="C219">
        <v>247860837.32111701</v>
      </c>
      <c r="D219">
        <v>251840323.237167</v>
      </c>
      <c r="E219">
        <v>255964957.80000001</v>
      </c>
      <c r="F219">
        <v>257615652.30000001</v>
      </c>
      <c r="G219">
        <v>242588222.19999999</v>
      </c>
      <c r="H219">
        <v>225711394</v>
      </c>
      <c r="I219">
        <v>222056364.69999999</v>
      </c>
      <c r="J219">
        <v>215309619.30000001</v>
      </c>
      <c r="K219">
        <v>205775483.69999999</v>
      </c>
      <c r="L219">
        <v>200036684.90000001</v>
      </c>
      <c r="M219">
        <v>199189412.69999999</v>
      </c>
      <c r="N219">
        <v>200779448.69999999</v>
      </c>
      <c r="O219">
        <v>192138428.5</v>
      </c>
      <c r="P219">
        <v>184335416.19999999</v>
      </c>
      <c r="Q219">
        <v>173299692.59999999</v>
      </c>
      <c r="R219">
        <v>165707601.40000001</v>
      </c>
      <c r="S219">
        <v>158759207.19999999</v>
      </c>
      <c r="T219">
        <v>157756776.19999999</v>
      </c>
      <c r="U219">
        <v>155603014.80000001</v>
      </c>
      <c r="V219">
        <v>154034364.80000001</v>
      </c>
      <c r="W219">
        <v>148205973.09999999</v>
      </c>
      <c r="X219">
        <v>140806260.69999999</v>
      </c>
      <c r="Y219">
        <v>133309449.5</v>
      </c>
      <c r="Z219">
        <v>127096236.7</v>
      </c>
      <c r="AA219">
        <v>121444566</v>
      </c>
      <c r="AB219">
        <v>115893767.40000001</v>
      </c>
      <c r="AC219">
        <v>110634564.09999999</v>
      </c>
      <c r="AD219">
        <v>103589220.90000001</v>
      </c>
      <c r="AE219">
        <v>96839849.219999999</v>
      </c>
      <c r="AF219">
        <v>90173937.530000001</v>
      </c>
      <c r="AG219">
        <v>84724983.290000007</v>
      </c>
      <c r="AH219">
        <v>79268265.590000004</v>
      </c>
      <c r="AI219">
        <v>73391219.159999996</v>
      </c>
      <c r="AJ219">
        <v>67456432.640000001</v>
      </c>
      <c r="AK219">
        <v>61408588.200000003</v>
      </c>
      <c r="AL219">
        <v>58530038.25</v>
      </c>
      <c r="AM219">
        <v>55165393.020000003</v>
      </c>
      <c r="AN219">
        <v>50704971.100000001</v>
      </c>
      <c r="AO219">
        <v>46083407.119999997</v>
      </c>
      <c r="AP219">
        <v>41249205.149999999</v>
      </c>
      <c r="AQ219">
        <v>36161117.030000001</v>
      </c>
      <c r="AR219">
        <v>30724195.43</v>
      </c>
      <c r="AS219">
        <v>30412175.199999999</v>
      </c>
      <c r="AT219">
        <v>30075272.23</v>
      </c>
      <c r="AU219">
        <v>29714497.460000001</v>
      </c>
      <c r="AV219">
        <v>29314108.41</v>
      </c>
      <c r="AW219">
        <v>28877883.539999999</v>
      </c>
    </row>
    <row r="220" spans="2:49" x14ac:dyDescent="0.25">
      <c r="B220" t="s">
        <v>291</v>
      </c>
      <c r="C220">
        <v>41023493.601484403</v>
      </c>
      <c r="D220">
        <v>41682139.060681202</v>
      </c>
      <c r="E220">
        <v>42351359.289999999</v>
      </c>
      <c r="F220">
        <v>41470050.439999998</v>
      </c>
      <c r="G220">
        <v>36451433.25</v>
      </c>
      <c r="H220">
        <v>31845269.809999999</v>
      </c>
      <c r="I220">
        <v>30263210.890000001</v>
      </c>
      <c r="J220">
        <v>28692416.399999999</v>
      </c>
      <c r="K220">
        <v>27210020.460000001</v>
      </c>
      <c r="L220">
        <v>27111182.670000002</v>
      </c>
      <c r="M220">
        <v>26481811.699999999</v>
      </c>
      <c r="N220">
        <v>25681742.609999999</v>
      </c>
      <c r="O220">
        <v>20497531.07</v>
      </c>
      <c r="P220">
        <v>17089099.760000002</v>
      </c>
      <c r="Q220">
        <v>14504597.220000001</v>
      </c>
      <c r="R220">
        <v>12209193.1</v>
      </c>
      <c r="S220">
        <v>9991916.2050000001</v>
      </c>
      <c r="T220">
        <v>9718057.0050000008</v>
      </c>
      <c r="U220">
        <v>9463023.5280000009</v>
      </c>
      <c r="V220">
        <v>9306569.6140000001</v>
      </c>
      <c r="W220">
        <v>7923442.1100000003</v>
      </c>
      <c r="X220">
        <v>6300456.5099999998</v>
      </c>
      <c r="Y220">
        <v>5575757.1449999996</v>
      </c>
      <c r="Z220">
        <v>5042294.2220000001</v>
      </c>
      <c r="AA220">
        <v>4587048.5329999998</v>
      </c>
      <c r="AB220">
        <v>4325034.8480000002</v>
      </c>
      <c r="AC220">
        <v>4117436.0410000002</v>
      </c>
      <c r="AD220">
        <v>4071332.344</v>
      </c>
      <c r="AE220">
        <v>4068481.2829999998</v>
      </c>
      <c r="AF220">
        <v>4075281.85</v>
      </c>
      <c r="AG220">
        <v>4118803.4789999998</v>
      </c>
      <c r="AH220">
        <v>4163742.2179999999</v>
      </c>
      <c r="AI220">
        <v>4219298.9819999998</v>
      </c>
      <c r="AJ220">
        <v>4280235.2379999999</v>
      </c>
      <c r="AK220">
        <v>4344408.22</v>
      </c>
      <c r="AL220">
        <v>4407444.392</v>
      </c>
      <c r="AM220">
        <v>4475791.0429999996</v>
      </c>
      <c r="AN220">
        <v>4520522.2479999997</v>
      </c>
      <c r="AO220">
        <v>4559293.4680000003</v>
      </c>
      <c r="AP220">
        <v>4592256.25</v>
      </c>
      <c r="AQ220">
        <v>4621253.8049999997</v>
      </c>
      <c r="AR220">
        <v>4641890.324</v>
      </c>
      <c r="AS220">
        <v>4676397.2240000004</v>
      </c>
      <c r="AT220">
        <v>4713442.8909999998</v>
      </c>
      <c r="AU220">
        <v>4750863.7230000002</v>
      </c>
      <c r="AV220">
        <v>4786373.4670000002</v>
      </c>
      <c r="AW220">
        <v>4821278.125</v>
      </c>
    </row>
    <row r="221" spans="2:49" x14ac:dyDescent="0.25">
      <c r="B221" t="s">
        <v>292</v>
      </c>
      <c r="C221">
        <v>156021257.172526</v>
      </c>
      <c r="D221">
        <v>158526228.92293701</v>
      </c>
      <c r="E221">
        <v>161152553</v>
      </c>
      <c r="F221">
        <v>162982851.59999999</v>
      </c>
      <c r="G221">
        <v>154549322.19999999</v>
      </c>
      <c r="H221">
        <v>145717544.59999999</v>
      </c>
      <c r="I221">
        <v>142378342</v>
      </c>
      <c r="J221">
        <v>137023996.90000001</v>
      </c>
      <c r="K221">
        <v>130980730.8</v>
      </c>
      <c r="L221">
        <v>126289197.09999999</v>
      </c>
      <c r="M221">
        <v>125665973.7</v>
      </c>
      <c r="N221">
        <v>126696665.2</v>
      </c>
      <c r="O221">
        <v>121714797.90000001</v>
      </c>
      <c r="P221">
        <v>116639959.2</v>
      </c>
      <c r="Q221">
        <v>109770600.3</v>
      </c>
      <c r="R221">
        <v>105303277.3</v>
      </c>
      <c r="S221">
        <v>100806519.3</v>
      </c>
      <c r="T221">
        <v>101957087.3</v>
      </c>
      <c r="U221">
        <v>102382246.09999999</v>
      </c>
      <c r="V221">
        <v>102940403.90000001</v>
      </c>
      <c r="W221">
        <v>98665174.870000005</v>
      </c>
      <c r="X221">
        <v>93627268.409999996</v>
      </c>
      <c r="Y221">
        <v>89181537.370000005</v>
      </c>
      <c r="Z221">
        <v>85601216.019999996</v>
      </c>
      <c r="AA221">
        <v>82465391.540000007</v>
      </c>
      <c r="AB221">
        <v>79505566.769999996</v>
      </c>
      <c r="AC221">
        <v>76729910.959999904</v>
      </c>
      <c r="AD221">
        <v>73032390.810000002</v>
      </c>
      <c r="AE221">
        <v>69435538.120000005</v>
      </c>
      <c r="AF221">
        <v>65772837.759999998</v>
      </c>
      <c r="AG221">
        <v>62122239.439999998</v>
      </c>
      <c r="AH221">
        <v>58368784.810000002</v>
      </c>
      <c r="AI221">
        <v>54264205.289999999</v>
      </c>
      <c r="AJ221">
        <v>49991946.380000003</v>
      </c>
      <c r="AK221">
        <v>45498410.600000001</v>
      </c>
      <c r="AL221">
        <v>41060316.409999996</v>
      </c>
      <c r="AM221">
        <v>36331499.649999999</v>
      </c>
      <c r="AN221">
        <v>33791065.880000003</v>
      </c>
      <c r="AO221">
        <v>31031602.010000002</v>
      </c>
      <c r="AP221">
        <v>28048521.449999999</v>
      </c>
      <c r="AQ221">
        <v>24805470.16</v>
      </c>
      <c r="AR221">
        <v>21222684.969999999</v>
      </c>
      <c r="AS221">
        <v>20087788.949999999</v>
      </c>
      <c r="AT221">
        <v>18958618.309999999</v>
      </c>
      <c r="AU221">
        <v>17830536.899999999</v>
      </c>
      <c r="AV221">
        <v>16688877.199999999</v>
      </c>
      <c r="AW221">
        <v>15529366.119999999</v>
      </c>
    </row>
    <row r="222" spans="2:49" x14ac:dyDescent="0.25">
      <c r="B222" t="s">
        <v>293</v>
      </c>
      <c r="C222">
        <v>50816086.547106199</v>
      </c>
      <c r="D222">
        <v>51631955.253548898</v>
      </c>
      <c r="E222">
        <v>52461045.490000002</v>
      </c>
      <c r="F222">
        <v>53162750.240000002</v>
      </c>
      <c r="G222">
        <v>51587466.780000001</v>
      </c>
      <c r="H222">
        <v>48148579.579999998</v>
      </c>
      <c r="I222">
        <v>49414811.840000004</v>
      </c>
      <c r="J222">
        <v>49593206.009999998</v>
      </c>
      <c r="K222">
        <v>47584732.469999999</v>
      </c>
      <c r="L222">
        <v>46636305.060000002</v>
      </c>
      <c r="M222">
        <v>47041627.219999999</v>
      </c>
      <c r="N222">
        <v>48401040.93</v>
      </c>
      <c r="O222">
        <v>49926099.539999999</v>
      </c>
      <c r="P222">
        <v>50606357.280000001</v>
      </c>
      <c r="Q222">
        <v>49024495.159999996</v>
      </c>
      <c r="R222">
        <v>48195130.969999999</v>
      </c>
      <c r="S222">
        <v>47960771.719999999</v>
      </c>
      <c r="T222">
        <v>46081631.950000003</v>
      </c>
      <c r="U222">
        <v>43757745.130000003</v>
      </c>
      <c r="V222">
        <v>41787391.25</v>
      </c>
      <c r="W222">
        <v>41617356.090000004</v>
      </c>
      <c r="X222">
        <v>40878535.799999997</v>
      </c>
      <c r="Y222">
        <v>38552155.009999998</v>
      </c>
      <c r="Z222">
        <v>36452726.43</v>
      </c>
      <c r="AA222">
        <v>34392125.939999998</v>
      </c>
      <c r="AB222">
        <v>32063165.789999999</v>
      </c>
      <c r="AC222">
        <v>29787217.09</v>
      </c>
      <c r="AD222">
        <v>26485497.739999998</v>
      </c>
      <c r="AE222">
        <v>23335829.809999999</v>
      </c>
      <c r="AF222">
        <v>20325817.920000002</v>
      </c>
      <c r="AG222">
        <v>18483940.370000001</v>
      </c>
      <c r="AH222">
        <v>16735738.560000001</v>
      </c>
      <c r="AI222">
        <v>14907714.9</v>
      </c>
      <c r="AJ222">
        <v>13184251.029999999</v>
      </c>
      <c r="AK222">
        <v>11565769.369999999</v>
      </c>
      <c r="AL222">
        <v>13062277.439999999</v>
      </c>
      <c r="AM222">
        <v>14358102.33</v>
      </c>
      <c r="AN222">
        <v>12393382.970000001</v>
      </c>
      <c r="AO222">
        <v>10492511.640000001</v>
      </c>
      <c r="AP222">
        <v>8608427.4450000003</v>
      </c>
      <c r="AQ222">
        <v>6734393.057</v>
      </c>
      <c r="AR222">
        <v>4859620.1409999998</v>
      </c>
      <c r="AS222">
        <v>5647989.0259999996</v>
      </c>
      <c r="AT222">
        <v>6403211.0279999999</v>
      </c>
      <c r="AU222">
        <v>7133096.835</v>
      </c>
      <c r="AV222">
        <v>7838857.7479999997</v>
      </c>
      <c r="AW222">
        <v>8527239.2960000001</v>
      </c>
    </row>
    <row r="223" spans="2:49" x14ac:dyDescent="0.25">
      <c r="B223" t="s">
        <v>294</v>
      </c>
      <c r="C223">
        <v>392773953.478827</v>
      </c>
      <c r="D223">
        <v>399080066.34826499</v>
      </c>
      <c r="E223">
        <v>405568682.60000002</v>
      </c>
      <c r="F223">
        <v>405043791.19999999</v>
      </c>
      <c r="G223">
        <v>386354770.30000001</v>
      </c>
      <c r="H223">
        <v>369166677</v>
      </c>
      <c r="I223">
        <v>363310868.5</v>
      </c>
      <c r="J223">
        <v>353661130.19999999</v>
      </c>
      <c r="K223">
        <v>340442441.10000002</v>
      </c>
      <c r="L223">
        <v>331907578.39999998</v>
      </c>
      <c r="M223">
        <v>328856260</v>
      </c>
      <c r="N223">
        <v>328974507.5</v>
      </c>
      <c r="O223">
        <v>320260198.69999999</v>
      </c>
      <c r="P223">
        <v>311706547</v>
      </c>
      <c r="Q223">
        <v>298731674.19999999</v>
      </c>
      <c r="R223">
        <v>290122616.10000002</v>
      </c>
      <c r="S223">
        <v>281147762.10000002</v>
      </c>
      <c r="T223">
        <v>276489066</v>
      </c>
      <c r="U223">
        <v>270591183.19999999</v>
      </c>
      <c r="V223">
        <v>264435323.09999999</v>
      </c>
      <c r="W223">
        <v>255615954.59999999</v>
      </c>
      <c r="X223">
        <v>244899657.19999999</v>
      </c>
      <c r="Y223">
        <v>233412439.19999999</v>
      </c>
      <c r="Z223">
        <v>222708561.40000001</v>
      </c>
      <c r="AA223">
        <v>212326250.59999999</v>
      </c>
      <c r="AB223">
        <v>201617439.09999999</v>
      </c>
      <c r="AC223">
        <v>191120650.30000001</v>
      </c>
      <c r="AD223">
        <v>177254594.59999999</v>
      </c>
      <c r="AE223">
        <v>163840041.30000001</v>
      </c>
      <c r="AF223">
        <v>150743685.30000001</v>
      </c>
      <c r="AG223">
        <v>139775721.90000001</v>
      </c>
      <c r="AH223">
        <v>129009162.3</v>
      </c>
      <c r="AI223">
        <v>117928890.3</v>
      </c>
      <c r="AJ223">
        <v>107038837.90000001</v>
      </c>
      <c r="AK223">
        <v>96225655.650000006</v>
      </c>
      <c r="AL223">
        <v>90506161.090000004</v>
      </c>
      <c r="AM223">
        <v>84283542.420000002</v>
      </c>
      <c r="AN223">
        <v>76208185.150000006</v>
      </c>
      <c r="AO223">
        <v>68112954.469999999</v>
      </c>
      <c r="AP223">
        <v>59940892.200000003</v>
      </c>
      <c r="AQ223">
        <v>51625898.789999999</v>
      </c>
      <c r="AR223">
        <v>43007250.619999997</v>
      </c>
      <c r="AS223">
        <v>42194361.520000003</v>
      </c>
      <c r="AT223">
        <v>41381989.159999996</v>
      </c>
      <c r="AU223">
        <v>40567084.950000003</v>
      </c>
      <c r="AV223">
        <v>39726518.049999997</v>
      </c>
      <c r="AW223">
        <v>38863399.520000003</v>
      </c>
    </row>
    <row r="224" spans="2:49" x14ac:dyDescent="0.25">
      <c r="B224" t="s">
        <v>295</v>
      </c>
      <c r="C224">
        <v>42122345.501310699</v>
      </c>
      <c r="D224">
        <v>42798633.383193001</v>
      </c>
      <c r="E224">
        <v>43485779.289999999</v>
      </c>
      <c r="F224">
        <v>42595198.689999998</v>
      </c>
      <c r="G224">
        <v>37564680.530000001</v>
      </c>
      <c r="H224">
        <v>32945419.5</v>
      </c>
      <c r="I224">
        <v>31356729.390000001</v>
      </c>
      <c r="J224">
        <v>29778987.140000001</v>
      </c>
      <c r="K224">
        <v>28285575.280000001</v>
      </c>
      <c r="L224">
        <v>28171051.77</v>
      </c>
      <c r="M224">
        <v>27526188.559999999</v>
      </c>
      <c r="N224">
        <v>26714960.77</v>
      </c>
      <c r="O224">
        <v>21528657.859999999</v>
      </c>
      <c r="P224">
        <v>18121545.260000002</v>
      </c>
      <c r="Q224">
        <v>15534997.75</v>
      </c>
      <c r="R224">
        <v>13225260.359999999</v>
      </c>
      <c r="S224">
        <v>10989374.07</v>
      </c>
      <c r="T224">
        <v>10691353</v>
      </c>
      <c r="U224">
        <v>10411509.42</v>
      </c>
      <c r="V224">
        <v>10230154.380000001</v>
      </c>
      <c r="W224">
        <v>8821947.7960000001</v>
      </c>
      <c r="X224">
        <v>7169477.3380000005</v>
      </c>
      <c r="Y224">
        <v>6412752.7149999999</v>
      </c>
      <c r="Z224">
        <v>5847553.1560000004</v>
      </c>
      <c r="AA224">
        <v>5362262.9749999996</v>
      </c>
      <c r="AB224">
        <v>5072317.8830000004</v>
      </c>
      <c r="AC224">
        <v>4837291.4189999998</v>
      </c>
      <c r="AD224">
        <v>4763499.2750000004</v>
      </c>
      <c r="AE224">
        <v>4734321.72</v>
      </c>
      <c r="AF224">
        <v>4716720.3260000004</v>
      </c>
      <c r="AG224">
        <v>4737632.3380000005</v>
      </c>
      <c r="AH224">
        <v>4761632.5319999997</v>
      </c>
      <c r="AI224">
        <v>4797892.1610000003</v>
      </c>
      <c r="AJ224">
        <v>4841050.91</v>
      </c>
      <c r="AK224">
        <v>4888890.2719999999</v>
      </c>
      <c r="AL224">
        <v>4936669.3609999996</v>
      </c>
      <c r="AM224">
        <v>4989643.5190000003</v>
      </c>
      <c r="AN224">
        <v>5019112.76</v>
      </c>
      <c r="AO224">
        <v>5043328.7439999999</v>
      </c>
      <c r="AP224">
        <v>5062597.6330000004</v>
      </c>
      <c r="AQ224">
        <v>5078806.4970000004</v>
      </c>
      <c r="AR224">
        <v>5087550.4119999995</v>
      </c>
      <c r="AS224">
        <v>5110806.6169999996</v>
      </c>
      <c r="AT224">
        <v>5136528.66</v>
      </c>
      <c r="AU224">
        <v>5162365.29</v>
      </c>
      <c r="AV224">
        <v>5186019.7089999998</v>
      </c>
      <c r="AW224">
        <v>5208924.0089999996</v>
      </c>
    </row>
    <row r="225" spans="2:49" x14ac:dyDescent="0.25">
      <c r="B225" t="s">
        <v>296</v>
      </c>
      <c r="C225">
        <v>261896523.70399499</v>
      </c>
      <c r="D225">
        <v>266101357.10489401</v>
      </c>
      <c r="E225">
        <v>270454834.69999999</v>
      </c>
      <c r="F225">
        <v>270843487.80000001</v>
      </c>
      <c r="G225">
        <v>260030995.80000001</v>
      </c>
      <c r="H225">
        <v>251958375.5</v>
      </c>
      <c r="I225">
        <v>246650764.5</v>
      </c>
      <c r="J225">
        <v>239331170.69999999</v>
      </c>
      <c r="K225">
        <v>231186714.40000001</v>
      </c>
      <c r="L225">
        <v>224908390.5</v>
      </c>
      <c r="M225">
        <v>222865153.5</v>
      </c>
      <c r="N225">
        <v>222917606.80000001</v>
      </c>
      <c r="O225">
        <v>217245633.40000001</v>
      </c>
      <c r="P225">
        <v>211373872.90000001</v>
      </c>
      <c r="Q225">
        <v>203565807.90000001</v>
      </c>
      <c r="R225">
        <v>198889096.40000001</v>
      </c>
      <c r="S225">
        <v>192992416.59999999</v>
      </c>
      <c r="T225">
        <v>192364970.09999999</v>
      </c>
      <c r="U225">
        <v>190561259.09999999</v>
      </c>
      <c r="V225">
        <v>188004933.59999999</v>
      </c>
      <c r="W225">
        <v>181096561.69999999</v>
      </c>
      <c r="X225">
        <v>173570509.90000001</v>
      </c>
      <c r="Y225">
        <v>166509259.30000001</v>
      </c>
      <c r="Z225">
        <v>159783222.30000001</v>
      </c>
      <c r="AA225">
        <v>153231418.19999999</v>
      </c>
      <c r="AB225">
        <v>146599954.30000001</v>
      </c>
      <c r="AC225">
        <v>139979745.59999999</v>
      </c>
      <c r="AD225">
        <v>131434589.59999999</v>
      </c>
      <c r="AE225">
        <v>123039387.59999999</v>
      </c>
      <c r="AF225">
        <v>114693251.8</v>
      </c>
      <c r="AG225">
        <v>106567243.2</v>
      </c>
      <c r="AH225">
        <v>98491380.019999996</v>
      </c>
      <c r="AI225">
        <v>90125057.390000001</v>
      </c>
      <c r="AJ225">
        <v>81776340.590000004</v>
      </c>
      <c r="AK225">
        <v>73348065.219999999</v>
      </c>
      <c r="AL225">
        <v>65201978.600000001</v>
      </c>
      <c r="AM225">
        <v>56819960.350000001</v>
      </c>
      <c r="AN225">
        <v>51876891.049999997</v>
      </c>
      <c r="AO225">
        <v>46821092.469999999</v>
      </c>
      <c r="AP225">
        <v>41628579.710000001</v>
      </c>
      <c r="AQ225">
        <v>36241740.18</v>
      </c>
      <c r="AR225">
        <v>30523599.690000001</v>
      </c>
      <c r="AS225">
        <v>28536070.68</v>
      </c>
      <c r="AT225">
        <v>26603419.91</v>
      </c>
      <c r="AU225">
        <v>24721048.190000001</v>
      </c>
      <c r="AV225">
        <v>22867972</v>
      </c>
      <c r="AW225">
        <v>21036294.18</v>
      </c>
    </row>
    <row r="226" spans="2:49" x14ac:dyDescent="0.25">
      <c r="B226" t="s">
        <v>297</v>
      </c>
      <c r="C226">
        <v>88755084.273521304</v>
      </c>
      <c r="D226">
        <v>90180075.860178098</v>
      </c>
      <c r="E226">
        <v>91628068.650000006</v>
      </c>
      <c r="F226">
        <v>91605104.709999904</v>
      </c>
      <c r="G226">
        <v>88759093.989999995</v>
      </c>
      <c r="H226">
        <v>84262881.969999999</v>
      </c>
      <c r="I226">
        <v>85303374.579999998</v>
      </c>
      <c r="J226">
        <v>84550972.310000002</v>
      </c>
      <c r="K226">
        <v>80970151.390000001</v>
      </c>
      <c r="L226">
        <v>78828136.159999996</v>
      </c>
      <c r="M226">
        <v>78464917.909999996</v>
      </c>
      <c r="N226">
        <v>79341939.939999998</v>
      </c>
      <c r="O226">
        <v>81485907.420000002</v>
      </c>
      <c r="P226">
        <v>82211128.840000004</v>
      </c>
      <c r="Q226">
        <v>79630868.519999996</v>
      </c>
      <c r="R226">
        <v>78008259.280000001</v>
      </c>
      <c r="S226">
        <v>77165971.420000002</v>
      </c>
      <c r="T226">
        <v>73432742.969999999</v>
      </c>
      <c r="U226">
        <v>69618414.680000007</v>
      </c>
      <c r="V226">
        <v>66200235.049999997</v>
      </c>
      <c r="W226">
        <v>65697445.119999997</v>
      </c>
      <c r="X226">
        <v>64159670.020000003</v>
      </c>
      <c r="Y226">
        <v>60490427.170000002</v>
      </c>
      <c r="Z226">
        <v>57077785.969999999</v>
      </c>
      <c r="AA226">
        <v>53732569.399999999</v>
      </c>
      <c r="AB226">
        <v>49945166.869999997</v>
      </c>
      <c r="AC226">
        <v>46303613.289999999</v>
      </c>
      <c r="AD226">
        <v>41056505.689999998</v>
      </c>
      <c r="AE226">
        <v>36066331.969999999</v>
      </c>
      <c r="AF226">
        <v>31333713.210000001</v>
      </c>
      <c r="AG226">
        <v>28470846.359999999</v>
      </c>
      <c r="AH226">
        <v>25756149.719999999</v>
      </c>
      <c r="AI226">
        <v>23005940.710000001</v>
      </c>
      <c r="AJ226">
        <v>20421446.420000002</v>
      </c>
      <c r="AK226">
        <v>17988700.16</v>
      </c>
      <c r="AL226">
        <v>20367513.129999999</v>
      </c>
      <c r="AM226">
        <v>22473938.550000001</v>
      </c>
      <c r="AN226">
        <v>19312181.34</v>
      </c>
      <c r="AO226">
        <v>16248533.26</v>
      </c>
      <c r="AP226">
        <v>13249714.85</v>
      </c>
      <c r="AQ226">
        <v>10305352.109999999</v>
      </c>
      <c r="AR226">
        <v>7396100.5219999999</v>
      </c>
      <c r="AS226">
        <v>8547484.2249999996</v>
      </c>
      <c r="AT226">
        <v>9642040.591</v>
      </c>
      <c r="AU226">
        <v>10683671.470000001</v>
      </c>
      <c r="AV226">
        <v>11672526.34</v>
      </c>
      <c r="AW226">
        <v>12618181.33</v>
      </c>
    </row>
    <row r="227" spans="2:49" x14ac:dyDescent="0.25">
      <c r="B227" t="s">
        <v>298</v>
      </c>
      <c r="C227">
        <v>419119515.24800497</v>
      </c>
      <c r="D227">
        <v>425848614.63336003</v>
      </c>
      <c r="E227">
        <v>432797081.30000001</v>
      </c>
      <c r="F227">
        <v>432625612.60000002</v>
      </c>
      <c r="G227">
        <v>413261459.69999999</v>
      </c>
      <c r="H227">
        <v>393309513.39999998</v>
      </c>
      <c r="I227">
        <v>388325088.89999998</v>
      </c>
      <c r="J227">
        <v>379298112.30000001</v>
      </c>
      <c r="K227">
        <v>365432223.69999999</v>
      </c>
      <c r="L227">
        <v>356630062.60000002</v>
      </c>
      <c r="M227">
        <v>353623550.10000002</v>
      </c>
      <c r="N227">
        <v>354111248.5</v>
      </c>
      <c r="O227">
        <v>345495039.60000002</v>
      </c>
      <c r="P227">
        <v>337720940.19999999</v>
      </c>
      <c r="Q227">
        <v>324912275.39999998</v>
      </c>
      <c r="R227">
        <v>316588821.10000002</v>
      </c>
      <c r="S227">
        <v>307566082.69999999</v>
      </c>
      <c r="T227">
        <v>303336944.39999998</v>
      </c>
      <c r="U227">
        <v>297406198.10000002</v>
      </c>
      <c r="V227">
        <v>291592010.19999999</v>
      </c>
      <c r="W227">
        <v>282741964.69999999</v>
      </c>
      <c r="X227">
        <v>271884194.19999999</v>
      </c>
      <c r="Y227">
        <v>260158236.09999999</v>
      </c>
      <c r="Z227">
        <v>249392829.09999999</v>
      </c>
      <c r="AA227">
        <v>239008320.40000001</v>
      </c>
      <c r="AB227">
        <v>228344648.90000001</v>
      </c>
      <c r="AC227">
        <v>217981079.5</v>
      </c>
      <c r="AD227">
        <v>203837697.19999999</v>
      </c>
      <c r="AE227">
        <v>190101030.40000001</v>
      </c>
      <c r="AF227">
        <v>176662608.40000001</v>
      </c>
      <c r="AG227">
        <v>165443231.59999999</v>
      </c>
      <c r="AH227">
        <v>154447378.19999999</v>
      </c>
      <c r="AI227">
        <v>143142848.40000001</v>
      </c>
      <c r="AJ227">
        <v>131984826.59999999</v>
      </c>
      <c r="AK227">
        <v>120892692.8</v>
      </c>
      <c r="AL227">
        <v>115185261.5</v>
      </c>
      <c r="AM227">
        <v>108958636.8</v>
      </c>
      <c r="AN227">
        <v>100661040.8</v>
      </c>
      <c r="AO227">
        <v>92298040.659999996</v>
      </c>
      <c r="AP227">
        <v>83816610.590000004</v>
      </c>
      <c r="AQ227">
        <v>75164693.010000005</v>
      </c>
      <c r="AR227">
        <v>66125897.509999998</v>
      </c>
      <c r="AS227">
        <v>65455038.950000003</v>
      </c>
      <c r="AT227">
        <v>64825674.969999999</v>
      </c>
      <c r="AU227">
        <v>64194942.119999997</v>
      </c>
      <c r="AV227">
        <v>63531668.079999998</v>
      </c>
      <c r="AW227">
        <v>62863357.939999998</v>
      </c>
    </row>
    <row r="228" spans="2:49" x14ac:dyDescent="0.25">
      <c r="B228" t="s">
        <v>299</v>
      </c>
      <c r="C228">
        <v>255.88316116441601</v>
      </c>
      <c r="D228">
        <v>259.991448084664</v>
      </c>
      <c r="E228">
        <v>264.98908549999999</v>
      </c>
      <c r="F228">
        <v>273.12589259999999</v>
      </c>
      <c r="G228">
        <v>274.99908240000002</v>
      </c>
      <c r="H228">
        <v>265.6088282</v>
      </c>
      <c r="I228">
        <v>274.13773959999997</v>
      </c>
      <c r="J228">
        <v>276.03428020000001</v>
      </c>
      <c r="K228">
        <v>273.36892110000002</v>
      </c>
      <c r="L228">
        <v>270.53243700000002</v>
      </c>
      <c r="M228">
        <v>270.11316110000001</v>
      </c>
      <c r="N228">
        <v>269.5739888</v>
      </c>
      <c r="O228">
        <v>260.36585830000001</v>
      </c>
      <c r="P228">
        <v>255.61681300000001</v>
      </c>
      <c r="Q228">
        <v>250.2016228</v>
      </c>
      <c r="R228">
        <v>242.85762990000001</v>
      </c>
      <c r="S228">
        <v>235.65599</v>
      </c>
      <c r="T228">
        <v>233.8684198</v>
      </c>
      <c r="U228">
        <v>231.55228260000001</v>
      </c>
      <c r="V228">
        <v>228.3505639</v>
      </c>
      <c r="W228">
        <v>235.5196024</v>
      </c>
      <c r="X228">
        <v>240.38614920000001</v>
      </c>
      <c r="Y228">
        <v>235.60518730000001</v>
      </c>
      <c r="Z228">
        <v>231.00286489999999</v>
      </c>
      <c r="AA228">
        <v>226.4642599</v>
      </c>
      <c r="AB228">
        <v>222.1557765</v>
      </c>
      <c r="AC228">
        <v>218.0669192</v>
      </c>
      <c r="AD228">
        <v>215.22131880000001</v>
      </c>
      <c r="AE228">
        <v>212.40586429999999</v>
      </c>
      <c r="AF228">
        <v>209.61686779999999</v>
      </c>
      <c r="AG228">
        <v>197.79057890000001</v>
      </c>
      <c r="AH228">
        <v>186.33993390000001</v>
      </c>
      <c r="AI228">
        <v>183.96902259999999</v>
      </c>
      <c r="AJ228">
        <v>181.62211210000001</v>
      </c>
      <c r="AK228">
        <v>179.3402796</v>
      </c>
      <c r="AL228">
        <v>177.0796388</v>
      </c>
      <c r="AM228">
        <v>174.86267430000001</v>
      </c>
      <c r="AN228">
        <v>170.61138940000001</v>
      </c>
      <c r="AO228">
        <v>166.479771</v>
      </c>
      <c r="AP228">
        <v>162.44314030000001</v>
      </c>
      <c r="AQ228">
        <v>158.51649209999999</v>
      </c>
      <c r="AR228">
        <v>154.6142716</v>
      </c>
      <c r="AS228">
        <v>150.51140509999999</v>
      </c>
      <c r="AT228">
        <v>146.5668786</v>
      </c>
      <c r="AU228">
        <v>142.73125020000001</v>
      </c>
      <c r="AV228">
        <v>138.98027099999999</v>
      </c>
      <c r="AW228">
        <v>135.33402129999999</v>
      </c>
    </row>
    <row r="229" spans="2:49" x14ac:dyDescent="0.25">
      <c r="B229" t="s">
        <v>300</v>
      </c>
      <c r="C229">
        <v>5.5705789795526002</v>
      </c>
      <c r="D229">
        <v>5.6600164269241402</v>
      </c>
      <c r="E229">
        <v>5.7508898210000003</v>
      </c>
      <c r="F229">
        <v>5.8023842989999999</v>
      </c>
      <c r="G229">
        <v>4.8416800809999998</v>
      </c>
      <c r="H229">
        <v>4.2395293430000001</v>
      </c>
      <c r="I229">
        <v>4.1106642520000003</v>
      </c>
      <c r="J229">
        <v>3.931993844</v>
      </c>
      <c r="K229">
        <v>3.8008705599999999</v>
      </c>
      <c r="L229">
        <v>4.0478281269999998</v>
      </c>
      <c r="M229">
        <v>4.1498832410000004</v>
      </c>
      <c r="N229">
        <v>4.2193120510000002</v>
      </c>
      <c r="O229">
        <v>3.311763827</v>
      </c>
      <c r="P229">
        <v>2.7932713140000001</v>
      </c>
      <c r="Q229">
        <v>2.4621726910000001</v>
      </c>
      <c r="R229">
        <v>2.2477257349999999</v>
      </c>
      <c r="S229">
        <v>2.062420516</v>
      </c>
      <c r="T229">
        <v>2.0475836049999998</v>
      </c>
      <c r="U229">
        <v>2.0123358539999998</v>
      </c>
      <c r="V229">
        <v>1.7120392419999999</v>
      </c>
      <c r="W229">
        <v>1.330220623</v>
      </c>
      <c r="X229">
        <v>0.97370411980000005</v>
      </c>
      <c r="Y229">
        <v>0.72808990019999997</v>
      </c>
      <c r="Z229">
        <v>0.56370066780000005</v>
      </c>
      <c r="AA229">
        <v>0.44879287179999999</v>
      </c>
      <c r="AB229">
        <v>0.36577980329999998</v>
      </c>
      <c r="AC229">
        <v>0.30519171859999999</v>
      </c>
      <c r="AD229">
        <v>0.2704015924</v>
      </c>
      <c r="AE229">
        <v>0.2451906693</v>
      </c>
      <c r="AF229">
        <v>0.22496483040000001</v>
      </c>
      <c r="AG229">
        <v>0.20827217079999999</v>
      </c>
      <c r="AH229">
        <v>0.1942664872</v>
      </c>
      <c r="AI229">
        <v>0.18287025339999999</v>
      </c>
      <c r="AJ229">
        <v>0.17314112970000001</v>
      </c>
      <c r="AK229">
        <v>0.16482742910000001</v>
      </c>
      <c r="AL229">
        <v>0.15734511470000001</v>
      </c>
      <c r="AM229">
        <v>0.15088655200000001</v>
      </c>
      <c r="AN229">
        <v>0.14428359060000001</v>
      </c>
      <c r="AO229">
        <v>0.1381939089</v>
      </c>
      <c r="AP229">
        <v>0.13248234049999999</v>
      </c>
      <c r="AQ229">
        <v>0.1271918071</v>
      </c>
      <c r="AR229">
        <v>0.1220672952</v>
      </c>
      <c r="AS229">
        <v>0.1176830696</v>
      </c>
      <c r="AT229">
        <v>0.1137541834</v>
      </c>
      <c r="AU229">
        <v>0.1101204266</v>
      </c>
      <c r="AV229">
        <v>0.1066790824</v>
      </c>
      <c r="AW229">
        <v>0.1034625856</v>
      </c>
    </row>
    <row r="230" spans="2:49" x14ac:dyDescent="0.25">
      <c r="B230" t="s">
        <v>301</v>
      </c>
      <c r="C230">
        <v>5.5705789795526002</v>
      </c>
      <c r="D230">
        <v>5.6600164269241402</v>
      </c>
      <c r="E230">
        <v>5.7508898210000003</v>
      </c>
      <c r="F230">
        <v>5.8023842989999999</v>
      </c>
      <c r="G230">
        <v>4.8416800809999998</v>
      </c>
      <c r="H230">
        <v>4.2395293430000001</v>
      </c>
      <c r="I230">
        <v>4.1106642520000003</v>
      </c>
      <c r="J230">
        <v>3.931993844</v>
      </c>
      <c r="K230">
        <v>3.8008705599999999</v>
      </c>
      <c r="L230">
        <v>4.0478281269999998</v>
      </c>
      <c r="M230">
        <v>4.1498832410000004</v>
      </c>
      <c r="N230">
        <v>4.2193120510000002</v>
      </c>
      <c r="O230">
        <v>3.311763827</v>
      </c>
      <c r="P230">
        <v>2.7932713140000001</v>
      </c>
      <c r="Q230">
        <v>2.4621726910000001</v>
      </c>
      <c r="R230">
        <v>2.2477257349999999</v>
      </c>
      <c r="S230">
        <v>2.062420516</v>
      </c>
      <c r="T230">
        <v>2.0475836049999998</v>
      </c>
      <c r="U230">
        <v>2.0123358539999998</v>
      </c>
      <c r="V230">
        <v>1.7120392419999999</v>
      </c>
      <c r="W230">
        <v>1.330220623</v>
      </c>
      <c r="X230">
        <v>0.97370411980000005</v>
      </c>
      <c r="Y230">
        <v>0.72808990019999997</v>
      </c>
      <c r="Z230">
        <v>0.56370066780000005</v>
      </c>
      <c r="AA230">
        <v>0.44879287179999999</v>
      </c>
      <c r="AB230">
        <v>0.36577980329999998</v>
      </c>
      <c r="AC230">
        <v>0.30519171859999999</v>
      </c>
      <c r="AD230">
        <v>0.2704015924</v>
      </c>
      <c r="AE230">
        <v>0.2451906693</v>
      </c>
      <c r="AF230">
        <v>0.22496483040000001</v>
      </c>
      <c r="AG230">
        <v>0.20827217079999999</v>
      </c>
      <c r="AH230">
        <v>0.1942664872</v>
      </c>
      <c r="AI230">
        <v>0.18287025339999999</v>
      </c>
      <c r="AJ230">
        <v>0.17314112970000001</v>
      </c>
      <c r="AK230">
        <v>0.16482742910000001</v>
      </c>
      <c r="AL230">
        <v>0.15734511470000001</v>
      </c>
      <c r="AM230">
        <v>0.15088655200000001</v>
      </c>
      <c r="AN230">
        <v>0.14428359060000001</v>
      </c>
      <c r="AO230">
        <v>0.1381939089</v>
      </c>
      <c r="AP230">
        <v>0.13248234049999999</v>
      </c>
      <c r="AQ230">
        <v>0.1271918071</v>
      </c>
      <c r="AR230">
        <v>0.1220672952</v>
      </c>
      <c r="AS230">
        <v>0.1176830696</v>
      </c>
      <c r="AT230">
        <v>0.1137541834</v>
      </c>
      <c r="AU230">
        <v>0.1101204266</v>
      </c>
      <c r="AV230">
        <v>0.1066790824</v>
      </c>
      <c r="AW230">
        <v>0.1034625856</v>
      </c>
    </row>
    <row r="231" spans="2:49" x14ac:dyDescent="0.25">
      <c r="B231" t="s">
        <v>302</v>
      </c>
      <c r="C231">
        <v>82.165927612137295</v>
      </c>
      <c r="D231">
        <v>83.485128157272499</v>
      </c>
      <c r="E231">
        <v>84.843357019999999</v>
      </c>
      <c r="F231">
        <v>85.045908870000005</v>
      </c>
      <c r="G231">
        <v>81.624260620000001</v>
      </c>
      <c r="H231">
        <v>79.124560709999997</v>
      </c>
      <c r="I231">
        <v>77.486417860000003</v>
      </c>
      <c r="J231">
        <v>75.228504700000002</v>
      </c>
      <c r="K231">
        <v>72.706965150000002</v>
      </c>
      <c r="L231">
        <v>70.792601189999999</v>
      </c>
      <c r="M231">
        <v>70.250823490000002</v>
      </c>
      <c r="N231">
        <v>70.388874259999994</v>
      </c>
      <c r="O231">
        <v>68.679020769999994</v>
      </c>
      <c r="P231">
        <v>66.884343009999995</v>
      </c>
      <c r="Q231">
        <v>64.449662669999995</v>
      </c>
      <c r="R231">
        <v>63.042763190000002</v>
      </c>
      <c r="S231">
        <v>61.258033560000001</v>
      </c>
      <c r="T231">
        <v>60.94862466</v>
      </c>
      <c r="U231">
        <v>60.241397880000001</v>
      </c>
      <c r="V231">
        <v>59.304932039999997</v>
      </c>
      <c r="W231">
        <v>57.242997529999997</v>
      </c>
      <c r="X231">
        <v>55.00701771</v>
      </c>
      <c r="Y231">
        <v>52.831451190000003</v>
      </c>
      <c r="Z231">
        <v>50.761655640000001</v>
      </c>
      <c r="AA231">
        <v>48.749041650000002</v>
      </c>
      <c r="AB231">
        <v>46.656057009999998</v>
      </c>
      <c r="AC231">
        <v>44.565297139999998</v>
      </c>
      <c r="AD231">
        <v>41.851918009999999</v>
      </c>
      <c r="AE231">
        <v>39.186917780000002</v>
      </c>
      <c r="AF231">
        <v>36.53714162</v>
      </c>
      <c r="AG231">
        <v>33.95615617</v>
      </c>
      <c r="AH231">
        <v>31.390598050000001</v>
      </c>
      <c r="AI231">
        <v>28.731122500000001</v>
      </c>
      <c r="AJ231">
        <v>26.076668590000001</v>
      </c>
      <c r="AK231">
        <v>23.395641600000001</v>
      </c>
      <c r="AL231">
        <v>20.787859999999998</v>
      </c>
      <c r="AM231">
        <v>18.107084879999999</v>
      </c>
      <c r="AN231">
        <v>16.52802733</v>
      </c>
      <c r="AO231">
        <v>14.913692380000001</v>
      </c>
      <c r="AP231">
        <v>13.25651079</v>
      </c>
      <c r="AQ231">
        <v>11.538214249999999</v>
      </c>
      <c r="AR231">
        <v>9.7155108779999999</v>
      </c>
      <c r="AS231">
        <v>9.0924924100000002</v>
      </c>
      <c r="AT231">
        <v>8.4857015160000007</v>
      </c>
      <c r="AU231">
        <v>7.8937015620000004</v>
      </c>
      <c r="AV231">
        <v>7.3098133159999996</v>
      </c>
      <c r="AW231">
        <v>6.7315380569999999</v>
      </c>
    </row>
    <row r="232" spans="2:49" x14ac:dyDescent="0.25">
      <c r="B232" t="s">
        <v>303</v>
      </c>
      <c r="C232">
        <v>0.67805251130835598</v>
      </c>
      <c r="D232">
        <v>0.68893886369971102</v>
      </c>
      <c r="E232">
        <v>0.66745370510000002</v>
      </c>
      <c r="F232">
        <v>1.003039043</v>
      </c>
      <c r="G232">
        <v>1.2849835789999999</v>
      </c>
      <c r="H232">
        <v>1.559754313</v>
      </c>
      <c r="I232">
        <v>1.836740899</v>
      </c>
      <c r="J232">
        <v>2.0954605800000001</v>
      </c>
      <c r="K232">
        <v>2.330272162</v>
      </c>
      <c r="L232">
        <v>2.5688074350000001</v>
      </c>
      <c r="M232">
        <v>2.849326236</v>
      </c>
      <c r="N232">
        <v>3.1580441800000001</v>
      </c>
      <c r="O232">
        <v>3.1407436510000002</v>
      </c>
      <c r="P232">
        <v>3.1201218019999999</v>
      </c>
      <c r="Q232">
        <v>3.0695655390000001</v>
      </c>
      <c r="R232">
        <v>3.0683155800000002</v>
      </c>
      <c r="S232">
        <v>3.04977498</v>
      </c>
      <c r="T232">
        <v>3.1906201830000001</v>
      </c>
      <c r="U232">
        <v>3.302333038</v>
      </c>
      <c r="V232">
        <v>3.3920525459999999</v>
      </c>
      <c r="W232">
        <v>3.6433960129999998</v>
      </c>
      <c r="X232">
        <v>3.8818587089999999</v>
      </c>
      <c r="Y232">
        <v>3.8959295709999999</v>
      </c>
      <c r="Z232">
        <v>3.9200550160000001</v>
      </c>
      <c r="AA232">
        <v>3.951804047</v>
      </c>
      <c r="AB232">
        <v>3.9765195530000002</v>
      </c>
      <c r="AC232">
        <v>4.0051562179999998</v>
      </c>
      <c r="AD232">
        <v>4.6324819000000002</v>
      </c>
      <c r="AE232">
        <v>5.2751873629999997</v>
      </c>
      <c r="AF232">
        <v>5.9344826130000001</v>
      </c>
      <c r="AG232">
        <v>6.608887373</v>
      </c>
      <c r="AH232">
        <v>7.3152179620000002</v>
      </c>
      <c r="AI232">
        <v>8.1302082299999903</v>
      </c>
      <c r="AJ232">
        <v>9.0004850019999996</v>
      </c>
      <c r="AK232">
        <v>9.9384705830000009</v>
      </c>
      <c r="AL232">
        <v>10.924054379999999</v>
      </c>
      <c r="AM232">
        <v>12.03817325</v>
      </c>
      <c r="AN232">
        <v>12.25773425</v>
      </c>
      <c r="AO232">
        <v>12.52614743</v>
      </c>
      <c r="AP232">
        <v>12.860044479999999</v>
      </c>
      <c r="AQ232">
        <v>13.27680393</v>
      </c>
      <c r="AR232">
        <v>13.7755782</v>
      </c>
      <c r="AS232">
        <v>13.42030093</v>
      </c>
      <c r="AT232">
        <v>13.09549298</v>
      </c>
      <c r="AU232">
        <v>12.80533679</v>
      </c>
      <c r="AV232">
        <v>12.54707236</v>
      </c>
      <c r="AW232">
        <v>12.32641866</v>
      </c>
    </row>
    <row r="233" spans="2:49" x14ac:dyDescent="0.25">
      <c r="B233" t="s">
        <v>304</v>
      </c>
      <c r="C233">
        <v>82.165927612137295</v>
      </c>
      <c r="D233">
        <v>83.485128157272499</v>
      </c>
      <c r="E233">
        <v>84.843357019999999</v>
      </c>
      <c r="F233">
        <v>85.045908870000005</v>
      </c>
      <c r="G233">
        <v>81.624260620000001</v>
      </c>
      <c r="H233">
        <v>79.124560709999997</v>
      </c>
      <c r="I233">
        <v>77.486417860000003</v>
      </c>
      <c r="J233">
        <v>75.228504700000002</v>
      </c>
      <c r="K233">
        <v>72.706965150000002</v>
      </c>
      <c r="L233">
        <v>70.792601189999999</v>
      </c>
      <c r="M233">
        <v>70.250823490000002</v>
      </c>
      <c r="N233">
        <v>70.388874259999994</v>
      </c>
      <c r="O233">
        <v>68.679020769999994</v>
      </c>
      <c r="P233">
        <v>66.884343009999995</v>
      </c>
      <c r="Q233">
        <v>64.449662669999995</v>
      </c>
      <c r="R233">
        <v>63.042763190000002</v>
      </c>
      <c r="S233">
        <v>61.258033560000001</v>
      </c>
      <c r="T233">
        <v>60.94862466</v>
      </c>
      <c r="U233">
        <v>60.241397880000001</v>
      </c>
      <c r="V233">
        <v>59.304932039999997</v>
      </c>
      <c r="W233">
        <v>57.242997529999997</v>
      </c>
      <c r="X233">
        <v>55.00701771</v>
      </c>
      <c r="Y233">
        <v>52.831451190000003</v>
      </c>
      <c r="Z233">
        <v>50.761655640000001</v>
      </c>
      <c r="AA233">
        <v>48.749041650000002</v>
      </c>
      <c r="AB233">
        <v>46.656057009999998</v>
      </c>
      <c r="AC233">
        <v>44.565297139999998</v>
      </c>
      <c r="AD233">
        <v>41.851918009999999</v>
      </c>
      <c r="AE233">
        <v>39.186917780000002</v>
      </c>
      <c r="AF233">
        <v>36.53714162</v>
      </c>
      <c r="AG233">
        <v>33.95615617</v>
      </c>
      <c r="AH233">
        <v>31.390598050000001</v>
      </c>
      <c r="AI233">
        <v>28.731122500000001</v>
      </c>
      <c r="AJ233">
        <v>26.076668590000001</v>
      </c>
      <c r="AK233">
        <v>23.395641600000001</v>
      </c>
      <c r="AL233">
        <v>20.787859999999998</v>
      </c>
      <c r="AM233">
        <v>18.107084879999999</v>
      </c>
      <c r="AN233">
        <v>16.52802733</v>
      </c>
      <c r="AO233">
        <v>14.913692380000001</v>
      </c>
      <c r="AP233">
        <v>13.25651079</v>
      </c>
      <c r="AQ233">
        <v>11.538214249999999</v>
      </c>
      <c r="AR233">
        <v>9.7155108779999999</v>
      </c>
      <c r="AS233">
        <v>9.0924924100000002</v>
      </c>
      <c r="AT233">
        <v>8.4857015160000007</v>
      </c>
      <c r="AU233">
        <v>7.8937015620000004</v>
      </c>
      <c r="AV233">
        <v>7.3098133159999996</v>
      </c>
      <c r="AW233">
        <v>6.7315380569999999</v>
      </c>
    </row>
    <row r="234" spans="2:49" x14ac:dyDescent="0.25">
      <c r="B234" t="s">
        <v>305</v>
      </c>
      <c r="C234">
        <v>0.67805251130835598</v>
      </c>
      <c r="D234">
        <v>0.68893886369971102</v>
      </c>
      <c r="E234">
        <v>0.66745370510000002</v>
      </c>
      <c r="F234">
        <v>1.003039043</v>
      </c>
      <c r="G234">
        <v>1.2849835789999999</v>
      </c>
      <c r="H234">
        <v>1.559754313</v>
      </c>
      <c r="I234">
        <v>1.836740899</v>
      </c>
      <c r="J234">
        <v>2.0954605800000001</v>
      </c>
      <c r="K234">
        <v>2.330272162</v>
      </c>
      <c r="L234">
        <v>2.5688074350000001</v>
      </c>
      <c r="M234">
        <v>2.849326236</v>
      </c>
      <c r="N234">
        <v>3.1580441800000001</v>
      </c>
      <c r="O234">
        <v>3.1407436510000002</v>
      </c>
      <c r="P234">
        <v>3.1201218019999999</v>
      </c>
      <c r="Q234">
        <v>3.0695655390000001</v>
      </c>
      <c r="R234">
        <v>3.0683155800000002</v>
      </c>
      <c r="S234">
        <v>3.04977498</v>
      </c>
      <c r="T234">
        <v>3.1906201830000001</v>
      </c>
      <c r="U234">
        <v>3.302333038</v>
      </c>
      <c r="V234">
        <v>3.3920525459999999</v>
      </c>
      <c r="W234">
        <v>3.6433960129999998</v>
      </c>
      <c r="X234">
        <v>3.8818587089999999</v>
      </c>
      <c r="Y234">
        <v>3.8959295709999999</v>
      </c>
      <c r="Z234">
        <v>3.9200550160000001</v>
      </c>
      <c r="AA234">
        <v>3.951804047</v>
      </c>
      <c r="AB234">
        <v>3.9765195530000002</v>
      </c>
      <c r="AC234">
        <v>4.0051562179999998</v>
      </c>
      <c r="AD234">
        <v>4.6324819000000002</v>
      </c>
      <c r="AE234">
        <v>5.2751873629999997</v>
      </c>
      <c r="AF234">
        <v>5.9344826130000001</v>
      </c>
      <c r="AG234">
        <v>6.608887373</v>
      </c>
      <c r="AH234">
        <v>7.3152179620000002</v>
      </c>
      <c r="AI234">
        <v>8.1302082299999903</v>
      </c>
      <c r="AJ234">
        <v>9.0004850019999996</v>
      </c>
      <c r="AK234">
        <v>9.9384705830000009</v>
      </c>
      <c r="AL234">
        <v>10.924054379999999</v>
      </c>
      <c r="AM234">
        <v>12.03817325</v>
      </c>
      <c r="AN234">
        <v>12.25773425</v>
      </c>
      <c r="AO234">
        <v>12.52614743</v>
      </c>
      <c r="AP234">
        <v>12.860044479999999</v>
      </c>
      <c r="AQ234">
        <v>13.27680393</v>
      </c>
      <c r="AR234">
        <v>13.7755782</v>
      </c>
      <c r="AS234">
        <v>13.42030093</v>
      </c>
      <c r="AT234">
        <v>13.09549298</v>
      </c>
      <c r="AU234">
        <v>12.80533679</v>
      </c>
      <c r="AV234">
        <v>12.54707236</v>
      </c>
      <c r="AW234">
        <v>12.32641866</v>
      </c>
    </row>
    <row r="235" spans="2:49" x14ac:dyDescent="0.25">
      <c r="B235" t="s">
        <v>306</v>
      </c>
      <c r="C235">
        <v>114.221490567207</v>
      </c>
      <c r="D235">
        <v>116.055353544252</v>
      </c>
      <c r="E235">
        <v>118.4723395</v>
      </c>
      <c r="F235">
        <v>124.21431920000001</v>
      </c>
      <c r="G235">
        <v>129.74264550000001</v>
      </c>
      <c r="H235">
        <v>124.77291409999999</v>
      </c>
      <c r="I235">
        <v>132.09328579999999</v>
      </c>
      <c r="J235">
        <v>134.63580210000001</v>
      </c>
      <c r="K235">
        <v>134.65785690000001</v>
      </c>
      <c r="L235">
        <v>132.91596390000001</v>
      </c>
      <c r="M235">
        <v>131.24242079999999</v>
      </c>
      <c r="N235">
        <v>128.12296480000001</v>
      </c>
      <c r="O235">
        <v>120.6130182</v>
      </c>
      <c r="P235">
        <v>117.5959482</v>
      </c>
      <c r="Q235">
        <v>116.23975470000001</v>
      </c>
      <c r="R235">
        <v>111.63357379999999</v>
      </c>
      <c r="S235">
        <v>107.0522338</v>
      </c>
      <c r="T235">
        <v>105.328453</v>
      </c>
      <c r="U235">
        <v>103.5172709</v>
      </c>
      <c r="V235">
        <v>100.7766428</v>
      </c>
      <c r="W235">
        <v>109.5208003</v>
      </c>
      <c r="X235">
        <v>116.4725534</v>
      </c>
      <c r="Y235">
        <v>114.5738956</v>
      </c>
      <c r="Z235">
        <v>112.5370083</v>
      </c>
      <c r="AA235">
        <v>110.5028612</v>
      </c>
      <c r="AB235">
        <v>109.1570629</v>
      </c>
      <c r="AC235">
        <v>107.9753304</v>
      </c>
      <c r="AD235">
        <v>106.64129490000001</v>
      </c>
      <c r="AE235">
        <v>105.2492104</v>
      </c>
      <c r="AF235">
        <v>103.8156706</v>
      </c>
      <c r="AG235">
        <v>95.410023949999996</v>
      </c>
      <c r="AH235">
        <v>87.377930680000006</v>
      </c>
      <c r="AI235">
        <v>86.921539089999996</v>
      </c>
      <c r="AJ235">
        <v>86.406463619999997</v>
      </c>
      <c r="AK235">
        <v>85.895131370000001</v>
      </c>
      <c r="AL235">
        <v>85.726005509999894</v>
      </c>
      <c r="AM235">
        <v>85.522529140000003</v>
      </c>
      <c r="AN235">
        <v>81.780797070000006</v>
      </c>
      <c r="AO235">
        <v>78.133312149999995</v>
      </c>
      <c r="AP235">
        <v>74.552186910000003</v>
      </c>
      <c r="AQ235">
        <v>71.040560209999995</v>
      </c>
      <c r="AR235">
        <v>67.577310589999996</v>
      </c>
      <c r="AS235">
        <v>64.133249669999998</v>
      </c>
      <c r="AT235">
        <v>60.79577055</v>
      </c>
      <c r="AU235">
        <v>57.526594979999999</v>
      </c>
      <c r="AV235">
        <v>54.320464610000002</v>
      </c>
      <c r="AW235">
        <v>51.17911402</v>
      </c>
    </row>
    <row r="236" spans="2:49" x14ac:dyDescent="0.25">
      <c r="B236" t="s">
        <v>307</v>
      </c>
      <c r="C236">
        <v>1.2736350545564401</v>
      </c>
      <c r="D236">
        <v>1.2940836773262701</v>
      </c>
      <c r="E236">
        <v>1.321034456</v>
      </c>
      <c r="F236">
        <v>1.3103361440000001</v>
      </c>
      <c r="G236">
        <v>1.294840797</v>
      </c>
      <c r="H236">
        <v>1.178108784</v>
      </c>
      <c r="I236">
        <v>1.180011739</v>
      </c>
      <c r="J236">
        <v>1.1129040299999999</v>
      </c>
      <c r="K236">
        <v>1.0301464440000001</v>
      </c>
      <c r="L236">
        <v>0.94126701710000005</v>
      </c>
      <c r="M236">
        <v>0.86058358189999995</v>
      </c>
      <c r="N236">
        <v>0.77813890200000002</v>
      </c>
      <c r="O236">
        <v>0.67206482990000005</v>
      </c>
      <c r="P236">
        <v>0.59220157179999999</v>
      </c>
      <c r="Q236">
        <v>0.51849112929999996</v>
      </c>
      <c r="R236">
        <v>0.42877367170000003</v>
      </c>
      <c r="S236">
        <v>0.3394665939</v>
      </c>
      <c r="T236">
        <v>0.44314468210000002</v>
      </c>
      <c r="U236">
        <v>0.54585471750000003</v>
      </c>
      <c r="V236">
        <v>0.64194283519999995</v>
      </c>
      <c r="W236">
        <v>0.38479710700000003</v>
      </c>
      <c r="X236">
        <v>0.18369357920000001</v>
      </c>
      <c r="Y236">
        <v>0.170224823</v>
      </c>
      <c r="Z236">
        <v>0.13884466440000001</v>
      </c>
      <c r="AA236">
        <v>9.0549046999999896E-2</v>
      </c>
      <c r="AB236">
        <v>8.1065404899999999E-2</v>
      </c>
      <c r="AC236">
        <v>7.1723189899999998E-2</v>
      </c>
      <c r="AD236">
        <v>7.1356968199999996E-2</v>
      </c>
      <c r="AE236">
        <v>7.09593746E-2</v>
      </c>
      <c r="AF236">
        <v>7.0541240199999994E-2</v>
      </c>
      <c r="AG236">
        <v>6.5322347700000005E-2</v>
      </c>
      <c r="AH236">
        <v>6.0290692700000002E-2</v>
      </c>
      <c r="AI236">
        <v>4.8884551200000001E-2</v>
      </c>
      <c r="AJ236">
        <v>3.7487685200000002E-2</v>
      </c>
      <c r="AK236">
        <v>2.61419068E-2</v>
      </c>
      <c r="AL236">
        <v>1.9908940399999998E-2</v>
      </c>
      <c r="AM236">
        <v>1.25953066E-2</v>
      </c>
      <c r="AN236">
        <v>1.1470838400000001E-2</v>
      </c>
      <c r="AO236">
        <v>1.0405671700000001E-2</v>
      </c>
      <c r="AP236">
        <v>9.3950758100000004E-3</v>
      </c>
      <c r="AQ236" s="39">
        <v>8.4387847000000002E-3</v>
      </c>
      <c r="AR236" s="39">
        <v>7.5337194400000003E-3</v>
      </c>
      <c r="AS236" s="39">
        <v>7.4851727800000004E-3</v>
      </c>
      <c r="AT236" s="39">
        <v>7.4397201699999997E-3</v>
      </c>
      <c r="AU236" s="39">
        <v>7.3930145900000001E-3</v>
      </c>
      <c r="AV236" s="39">
        <v>7.3442542900000003E-3</v>
      </c>
      <c r="AW236" s="39">
        <v>7.2934668700000002E-3</v>
      </c>
    </row>
    <row r="237" spans="2:49" x14ac:dyDescent="0.25">
      <c r="B237" t="s">
        <v>308</v>
      </c>
      <c r="C237">
        <v>3.4574974609126801</v>
      </c>
      <c r="D237">
        <v>3.51300870100687</v>
      </c>
      <c r="E237">
        <v>3.5861711399999998</v>
      </c>
      <c r="F237">
        <v>3.7398502200000001</v>
      </c>
      <c r="G237">
        <v>3.8856010990000001</v>
      </c>
      <c r="H237">
        <v>3.7171874730000001</v>
      </c>
      <c r="I237">
        <v>3.9148996039999999</v>
      </c>
      <c r="J237">
        <v>4.0662756800000004</v>
      </c>
      <c r="K237">
        <v>4.1507686210000001</v>
      </c>
      <c r="L237">
        <v>4.1872290940000001</v>
      </c>
      <c r="M237">
        <v>4.2306301250000002</v>
      </c>
      <c r="N237">
        <v>4.2306958210000003</v>
      </c>
      <c r="O237">
        <v>4.449503215</v>
      </c>
      <c r="P237">
        <v>4.827766767</v>
      </c>
      <c r="Q237">
        <v>5.2942803420000004</v>
      </c>
      <c r="R237">
        <v>5.6274852639999997</v>
      </c>
      <c r="S237">
        <v>5.9624216859999999</v>
      </c>
      <c r="T237">
        <v>5.6825385549999998</v>
      </c>
      <c r="U237">
        <v>5.397041583</v>
      </c>
      <c r="V237">
        <v>5.0641233200000002</v>
      </c>
      <c r="W237">
        <v>5.7830160199999998</v>
      </c>
      <c r="X237">
        <v>6.406593891</v>
      </c>
      <c r="Y237">
        <v>6.1464932919999997</v>
      </c>
      <c r="Z237">
        <v>5.8839018059999999</v>
      </c>
      <c r="AA237">
        <v>5.6265824960000002</v>
      </c>
      <c r="AB237">
        <v>5.4132558509999997</v>
      </c>
      <c r="AC237">
        <v>5.2109168380000002</v>
      </c>
      <c r="AD237">
        <v>4.9322316600000002</v>
      </c>
      <c r="AE237">
        <v>4.6524673439999997</v>
      </c>
      <c r="AF237">
        <v>4.3724361209999998</v>
      </c>
      <c r="AG237">
        <v>3.8095538580000001</v>
      </c>
      <c r="AH237">
        <v>3.29656825</v>
      </c>
      <c r="AI237">
        <v>2.6899025409999999</v>
      </c>
      <c r="AJ237">
        <v>2.0865780319999998</v>
      </c>
      <c r="AK237">
        <v>1.4888053960000001</v>
      </c>
      <c r="AL237">
        <v>0.92574067429999995</v>
      </c>
      <c r="AM237">
        <v>0.36787320680000002</v>
      </c>
      <c r="AN237">
        <v>0.3873585752</v>
      </c>
      <c r="AO237">
        <v>0.40604317179999999</v>
      </c>
      <c r="AP237">
        <v>0.42380317849999999</v>
      </c>
      <c r="AQ237">
        <v>0.4406532735</v>
      </c>
      <c r="AR237">
        <v>0.45645008879999999</v>
      </c>
      <c r="AS237">
        <v>0.46976807269999998</v>
      </c>
      <c r="AT237">
        <v>0.48294018170000003</v>
      </c>
      <c r="AU237">
        <v>0.49569743430000002</v>
      </c>
      <c r="AV237">
        <v>0.50797890700000004</v>
      </c>
      <c r="AW237">
        <v>0.51977618540000003</v>
      </c>
    </row>
    <row r="238" spans="2:49" x14ac:dyDescent="0.25">
      <c r="B238" t="s">
        <v>309</v>
      </c>
      <c r="C238">
        <v>5.0750954082325404</v>
      </c>
      <c r="D238">
        <v>5.1565777065978304</v>
      </c>
      <c r="E238">
        <v>5.2639693569999997</v>
      </c>
      <c r="F238">
        <v>5.074594212</v>
      </c>
      <c r="G238">
        <v>4.8736503149999999</v>
      </c>
      <c r="H238">
        <v>4.3096576960000004</v>
      </c>
      <c r="I238">
        <v>4.1953007720000004</v>
      </c>
      <c r="J238">
        <v>4.1071774379999999</v>
      </c>
      <c r="K238">
        <v>3.9517593689999999</v>
      </c>
      <c r="L238">
        <v>3.7576273169999999</v>
      </c>
      <c r="M238">
        <v>3.5787161709999999</v>
      </c>
      <c r="N238">
        <v>3.3735029939999999</v>
      </c>
      <c r="O238">
        <v>2.807789401</v>
      </c>
      <c r="P238">
        <v>2.3545793709999998</v>
      </c>
      <c r="Q238">
        <v>1.921976489</v>
      </c>
      <c r="R238">
        <v>1.4272705510000001</v>
      </c>
      <c r="S238">
        <v>0.93558589169999995</v>
      </c>
      <c r="T238">
        <v>0.89180218980000003</v>
      </c>
      <c r="U238">
        <v>0.84706537749999999</v>
      </c>
      <c r="V238">
        <v>0.7948140534</v>
      </c>
      <c r="W238">
        <v>0.32903575509999999</v>
      </c>
      <c r="X238">
        <v>6.1555589700000003E-2</v>
      </c>
      <c r="Y238">
        <v>4.7276935899999997E-2</v>
      </c>
      <c r="Z238">
        <v>3.3296578E-2</v>
      </c>
      <c r="AA238">
        <v>1.9692555800000001E-2</v>
      </c>
      <c r="AB238">
        <v>1.9531575900000001E-2</v>
      </c>
      <c r="AC238">
        <v>1.9398636800000001E-2</v>
      </c>
      <c r="AD238">
        <v>1.6091417699999999E-2</v>
      </c>
      <c r="AE238">
        <v>1.2811807600000001E-2</v>
      </c>
      <c r="AF238">
        <v>9.5627585400000006E-3</v>
      </c>
      <c r="AG238">
        <v>8.8551986600000007E-3</v>
      </c>
      <c r="AH238">
        <v>8.1749248600000001E-3</v>
      </c>
      <c r="AI238">
        <v>8.1069110199999996E-3</v>
      </c>
      <c r="AJ238">
        <v>8.0343540400000003E-3</v>
      </c>
      <c r="AK238">
        <v>7.9630694199999998E-3</v>
      </c>
      <c r="AL238">
        <v>7.9220730900000005E-3</v>
      </c>
      <c r="AM238">
        <v>7.8785719600000005E-3</v>
      </c>
      <c r="AN238">
        <v>7.8106940899999996E-3</v>
      </c>
      <c r="AO238">
        <v>7.7440272600000004E-3</v>
      </c>
      <c r="AP238">
        <v>7.6759218900000004E-3</v>
      </c>
      <c r="AQ238">
        <v>7.60662405E-3</v>
      </c>
      <c r="AR238">
        <v>7.5337194400000003E-3</v>
      </c>
      <c r="AS238">
        <v>7.4851727800000004E-3</v>
      </c>
      <c r="AT238">
        <v>7.4397201699999997E-3</v>
      </c>
      <c r="AU238">
        <v>7.3930145900000001E-3</v>
      </c>
      <c r="AV238">
        <v>7.3442542900000003E-3</v>
      </c>
      <c r="AW238">
        <v>7.2934668700000002E-3</v>
      </c>
    </row>
    <row r="239" spans="2:49" x14ac:dyDescent="0.25">
      <c r="B239" t="s">
        <v>310</v>
      </c>
      <c r="C239">
        <v>0.35516190417563898</v>
      </c>
      <c r="D239">
        <v>0.36086414342755202</v>
      </c>
      <c r="E239">
        <v>0.36837955350000001</v>
      </c>
      <c r="F239">
        <v>0.78356577159999996</v>
      </c>
      <c r="G239">
        <v>1.1823836640000001</v>
      </c>
      <c r="H239">
        <v>1.438265449</v>
      </c>
      <c r="I239">
        <v>1.789111575</v>
      </c>
      <c r="J239">
        <v>2.1184051890000002</v>
      </c>
      <c r="K239">
        <v>2.3693411630000001</v>
      </c>
      <c r="L239">
        <v>2.5305081540000001</v>
      </c>
      <c r="M239">
        <v>2.617793061</v>
      </c>
      <c r="N239">
        <v>2.5831971569999999</v>
      </c>
      <c r="O239">
        <v>2.7462603240000001</v>
      </c>
      <c r="P239">
        <v>3.0089203449999999</v>
      </c>
      <c r="Q239">
        <v>3.3292411249999998</v>
      </c>
      <c r="R239">
        <v>3.5680732239999999</v>
      </c>
      <c r="S239">
        <v>3.8096230360000001</v>
      </c>
      <c r="T239">
        <v>3.9828733299999999</v>
      </c>
      <c r="U239">
        <v>4.152297001</v>
      </c>
      <c r="V239">
        <v>4.2814893249999999</v>
      </c>
      <c r="W239">
        <v>4.6995206429999996</v>
      </c>
      <c r="X239">
        <v>5.0348227879999996</v>
      </c>
      <c r="Y239">
        <v>5.3235592540000001</v>
      </c>
      <c r="Z239">
        <v>5.5964287180000003</v>
      </c>
      <c r="AA239">
        <v>5.8594055300000001</v>
      </c>
      <c r="AB239">
        <v>6.1393157709999997</v>
      </c>
      <c r="AC239">
        <v>6.4236061790000001</v>
      </c>
      <c r="AD239">
        <v>7.203572114</v>
      </c>
      <c r="AE239">
        <v>7.9770271340000001</v>
      </c>
      <c r="AF239">
        <v>8.7448572930000008</v>
      </c>
      <c r="AG239">
        <v>8.8091525009999998</v>
      </c>
      <c r="AH239">
        <v>8.7907834699999903</v>
      </c>
      <c r="AI239">
        <v>9.3855345610000001</v>
      </c>
      <c r="AJ239">
        <v>9.9654924030000007</v>
      </c>
      <c r="AK239">
        <v>10.53717058</v>
      </c>
      <c r="AL239">
        <v>11.110814810000001</v>
      </c>
      <c r="AM239">
        <v>11.67601131</v>
      </c>
      <c r="AN239">
        <v>12.302927499999999</v>
      </c>
      <c r="AO239">
        <v>12.92147823</v>
      </c>
      <c r="AP239">
        <v>13.527275250000001</v>
      </c>
      <c r="AQ239">
        <v>14.12031129</v>
      </c>
      <c r="AR239">
        <v>14.69547994</v>
      </c>
      <c r="AS239">
        <v>15.301471299999999</v>
      </c>
      <c r="AT239">
        <v>15.90725861</v>
      </c>
      <c r="AU239">
        <v>16.503967840000001</v>
      </c>
      <c r="AV239">
        <v>17.089336469999999</v>
      </c>
      <c r="AW239">
        <v>17.662804009999999</v>
      </c>
    </row>
    <row r="240" spans="2:49" x14ac:dyDescent="0.25">
      <c r="B240" t="s">
        <v>311</v>
      </c>
      <c r="C240">
        <v>7.99114284395189E-2</v>
      </c>
      <c r="D240">
        <v>8.1194432271199296E-2</v>
      </c>
      <c r="E240">
        <v>8.2885399499999998E-2</v>
      </c>
      <c r="F240">
        <v>0.1129815257</v>
      </c>
      <c r="G240">
        <v>0.1533953354</v>
      </c>
      <c r="H240">
        <v>0.19171874050000001</v>
      </c>
      <c r="I240">
        <v>0.26373233010000002</v>
      </c>
      <c r="J240">
        <v>0.36267543159999999</v>
      </c>
      <c r="K240">
        <v>0.48910620980000002</v>
      </c>
      <c r="L240">
        <v>0.65068036100000004</v>
      </c>
      <c r="M240">
        <v>0.8656633172</v>
      </c>
      <c r="N240">
        <v>1.138428234</v>
      </c>
      <c r="O240">
        <v>1.210291008</v>
      </c>
      <c r="P240">
        <v>1.3260466259999999</v>
      </c>
      <c r="Q240">
        <v>1.467213637</v>
      </c>
      <c r="R240">
        <v>1.5724681680000001</v>
      </c>
      <c r="S240">
        <v>1.678920408</v>
      </c>
      <c r="T240">
        <v>1.7311484020000001</v>
      </c>
      <c r="U240">
        <v>1.7817688439999999</v>
      </c>
      <c r="V240">
        <v>1.8153999839999999</v>
      </c>
      <c r="W240">
        <v>2.151629024</v>
      </c>
      <c r="X240">
        <v>2.451658042</v>
      </c>
      <c r="Y240">
        <v>2.8692214379999998</v>
      </c>
      <c r="Z240">
        <v>3.2717117519999999</v>
      </c>
      <c r="AA240">
        <v>3.6619471560000001</v>
      </c>
      <c r="AB240">
        <v>4.0525276730000002</v>
      </c>
      <c r="AC240">
        <v>4.4432431040000004</v>
      </c>
      <c r="AD240">
        <v>4.8864942490000001</v>
      </c>
      <c r="AE240">
        <v>5.3258928470000004</v>
      </c>
      <c r="AF240">
        <v>5.7620586710000001</v>
      </c>
      <c r="AG240">
        <v>5.7393126250000002</v>
      </c>
      <c r="AH240">
        <v>5.6719465690000002</v>
      </c>
      <c r="AI240">
        <v>5.9159279170000003</v>
      </c>
      <c r="AJ240">
        <v>6.1524287040000001</v>
      </c>
      <c r="AK240">
        <v>6.3855974309999999</v>
      </c>
      <c r="AL240">
        <v>6.628119399</v>
      </c>
      <c r="AM240">
        <v>6.8663739850000001</v>
      </c>
      <c r="AN240">
        <v>7.1447269259999997</v>
      </c>
      <c r="AO240">
        <v>7.4194143710000002</v>
      </c>
      <c r="AP240">
        <v>7.6879132060000002</v>
      </c>
      <c r="AQ240">
        <v>7.950265527</v>
      </c>
      <c r="AR240">
        <v>8.2036583699999994</v>
      </c>
      <c r="AS240">
        <v>8.4042594089999998</v>
      </c>
      <c r="AT240">
        <v>8.605956312</v>
      </c>
      <c r="AU240">
        <v>8.8038730619999903</v>
      </c>
      <c r="AV240">
        <v>8.9968842339999995</v>
      </c>
      <c r="AW240">
        <v>9.1847980109999998</v>
      </c>
    </row>
    <row r="241" spans="2:49" x14ac:dyDescent="0.25">
      <c r="B241" t="s">
        <v>312</v>
      </c>
      <c r="C241">
        <v>4.4799793836545803</v>
      </c>
      <c r="D241">
        <v>4.5519069017495504</v>
      </c>
      <c r="E241">
        <v>4.6467055889999997</v>
      </c>
      <c r="F241">
        <v>4.6098465119999998</v>
      </c>
      <c r="G241">
        <v>4.5556130189999999</v>
      </c>
      <c r="H241">
        <v>4.1447610060000004</v>
      </c>
      <c r="I241">
        <v>4.1509169259999998</v>
      </c>
      <c r="J241">
        <v>4.0726440320000004</v>
      </c>
      <c r="K241">
        <v>3.9261700240000001</v>
      </c>
      <c r="L241">
        <v>3.7401129320000002</v>
      </c>
      <c r="M241">
        <v>3.5684596769999999</v>
      </c>
      <c r="N241">
        <v>3.3700998210000002</v>
      </c>
      <c r="O241">
        <v>3.58762055</v>
      </c>
      <c r="P241">
        <v>3.9359791209999999</v>
      </c>
      <c r="Q241">
        <v>4.3607617550000004</v>
      </c>
      <c r="R241">
        <v>4.6797603719999996</v>
      </c>
      <c r="S241">
        <v>5.0031365479999996</v>
      </c>
      <c r="T241">
        <v>5.209323339</v>
      </c>
      <c r="U241">
        <v>5.4108117330000001</v>
      </c>
      <c r="V241">
        <v>5.5603686960000003</v>
      </c>
      <c r="W241">
        <v>5.7519362020000004</v>
      </c>
      <c r="X241">
        <v>5.8392618299999999</v>
      </c>
      <c r="Y241">
        <v>5.8006780439999996</v>
      </c>
      <c r="Z241">
        <v>5.75362711</v>
      </c>
      <c r="AA241">
        <v>5.7051593719999998</v>
      </c>
      <c r="AB241">
        <v>5.6865571289999997</v>
      </c>
      <c r="AC241">
        <v>5.6757250600000004</v>
      </c>
      <c r="AD241">
        <v>5.721049861</v>
      </c>
      <c r="AE241">
        <v>5.76499512</v>
      </c>
      <c r="AF241">
        <v>5.8083895300000004</v>
      </c>
      <c r="AG241">
        <v>5.415626241</v>
      </c>
      <c r="AH241">
        <v>5.0338293509999996</v>
      </c>
      <c r="AI241">
        <v>4.9631130680000002</v>
      </c>
      <c r="AJ241">
        <v>4.889992586</v>
      </c>
      <c r="AK241">
        <v>4.8180385770000003</v>
      </c>
      <c r="AL241">
        <v>4.7710995499999997</v>
      </c>
      <c r="AM241">
        <v>4.7227969219999997</v>
      </c>
      <c r="AN241">
        <v>4.7107507460000004</v>
      </c>
      <c r="AO241">
        <v>4.6989758430000004</v>
      </c>
      <c r="AP241">
        <v>4.6858671950000002</v>
      </c>
      <c r="AQ241">
        <v>4.6715591590000001</v>
      </c>
      <c r="AR241">
        <v>4.6545460219999999</v>
      </c>
      <c r="AS241">
        <v>4.6185460850000002</v>
      </c>
      <c r="AT241">
        <v>4.5845075949999998</v>
      </c>
      <c r="AU241">
        <v>4.5497482930000004</v>
      </c>
      <c r="AV241">
        <v>4.513778898</v>
      </c>
      <c r="AW241">
        <v>4.4766217990000001</v>
      </c>
    </row>
    <row r="242" spans="2:49" x14ac:dyDescent="0.25">
      <c r="B242" t="s">
        <v>313</v>
      </c>
      <c r="C242">
        <v>1.4169855567767899</v>
      </c>
      <c r="D242">
        <v>1.4397357182278101</v>
      </c>
      <c r="E242">
        <v>1.469719867</v>
      </c>
      <c r="F242">
        <v>1.7339682809999999</v>
      </c>
      <c r="G242">
        <v>2.0378530000000001</v>
      </c>
      <c r="H242">
        <v>2.2049549160000002</v>
      </c>
      <c r="I242">
        <v>2.6261412489999998</v>
      </c>
      <c r="J242">
        <v>2.9323781050000002</v>
      </c>
      <c r="K242">
        <v>3.2118171000000002</v>
      </c>
      <c r="L242">
        <v>3.470806294</v>
      </c>
      <c r="M242">
        <v>3.7511813790000001</v>
      </c>
      <c r="N242">
        <v>4.007704876</v>
      </c>
      <c r="O242">
        <v>3.6487053829999998</v>
      </c>
      <c r="P242">
        <v>3.4294567310000001</v>
      </c>
      <c r="Q242">
        <v>3.2556311359999999</v>
      </c>
      <c r="R242">
        <v>2.9892369959999998</v>
      </c>
      <c r="S242">
        <v>2.7256370329999999</v>
      </c>
      <c r="T242">
        <v>2.8619676119999999</v>
      </c>
      <c r="U242">
        <v>2.9964049199999998</v>
      </c>
      <c r="V242">
        <v>3.1025331519999999</v>
      </c>
      <c r="W242">
        <v>3.4462441859999999</v>
      </c>
      <c r="X242">
        <v>3.6252534010000002</v>
      </c>
      <c r="Y242">
        <v>3.4399795630000001</v>
      </c>
      <c r="Z242">
        <v>3.2566543600000002</v>
      </c>
      <c r="AA242">
        <v>3.0795825209999999</v>
      </c>
      <c r="AB242">
        <v>2.934036474</v>
      </c>
      <c r="AC242">
        <v>2.7968391559999999</v>
      </c>
      <c r="AD242">
        <v>2.8051810370000001</v>
      </c>
      <c r="AE242">
        <v>2.8038263460000001</v>
      </c>
      <c r="AF242">
        <v>2.7933155730000001</v>
      </c>
      <c r="AG242">
        <v>2.6016302169999999</v>
      </c>
      <c r="AH242">
        <v>2.4100999660000002</v>
      </c>
      <c r="AI242">
        <v>2.4321827300000001</v>
      </c>
      <c r="AJ242">
        <v>2.4434499380000001</v>
      </c>
      <c r="AK242">
        <v>2.4458680890000002</v>
      </c>
      <c r="AL242">
        <v>2.4694066440000002</v>
      </c>
      <c r="AM242">
        <v>2.485583289</v>
      </c>
      <c r="AN242">
        <v>2.467150374</v>
      </c>
      <c r="AO242">
        <v>2.4486813609999998</v>
      </c>
      <c r="AP242">
        <v>2.4293483870000001</v>
      </c>
      <c r="AQ242">
        <v>2.4092378430000001</v>
      </c>
      <c r="AR242">
        <v>2.3875935859999999</v>
      </c>
      <c r="AS242">
        <v>2.3709691610000001</v>
      </c>
      <c r="AT242">
        <v>2.3549409809999999</v>
      </c>
      <c r="AU242">
        <v>2.3381395309999999</v>
      </c>
      <c r="AV242">
        <v>2.3203200549999998</v>
      </c>
      <c r="AW242">
        <v>2.3015011240000001</v>
      </c>
    </row>
    <row r="243" spans="2:49" x14ac:dyDescent="0.25">
      <c r="B243" t="s">
        <v>314</v>
      </c>
      <c r="C243">
        <v>114.221490567207</v>
      </c>
      <c r="D243">
        <v>116.055353544252</v>
      </c>
      <c r="E243">
        <v>118.4723395</v>
      </c>
      <c r="F243">
        <v>124.21431920000001</v>
      </c>
      <c r="G243">
        <v>129.74264550000001</v>
      </c>
      <c r="H243">
        <v>124.77291409999999</v>
      </c>
      <c r="I243">
        <v>132.09328579999999</v>
      </c>
      <c r="J243">
        <v>134.63580210000001</v>
      </c>
      <c r="K243">
        <v>134.65785690000001</v>
      </c>
      <c r="L243">
        <v>132.91596390000001</v>
      </c>
      <c r="M243">
        <v>131.24242079999999</v>
      </c>
      <c r="N243">
        <v>128.12296480000001</v>
      </c>
      <c r="O243">
        <v>120.6130182</v>
      </c>
      <c r="P243">
        <v>117.5959482</v>
      </c>
      <c r="Q243">
        <v>116.23975470000001</v>
      </c>
      <c r="R243">
        <v>111.63357379999999</v>
      </c>
      <c r="S243">
        <v>107.0522338</v>
      </c>
      <c r="T243">
        <v>105.328453</v>
      </c>
      <c r="U243">
        <v>103.5172709</v>
      </c>
      <c r="V243">
        <v>100.7766428</v>
      </c>
      <c r="W243">
        <v>109.5208003</v>
      </c>
      <c r="X243">
        <v>116.4725534</v>
      </c>
      <c r="Y243">
        <v>114.5738956</v>
      </c>
      <c r="Z243">
        <v>112.5370083</v>
      </c>
      <c r="AA243">
        <v>110.5028612</v>
      </c>
      <c r="AB243">
        <v>109.1570629</v>
      </c>
      <c r="AC243">
        <v>107.9753304</v>
      </c>
      <c r="AD243">
        <v>106.64129490000001</v>
      </c>
      <c r="AE243">
        <v>105.2492104</v>
      </c>
      <c r="AF243">
        <v>103.8156706</v>
      </c>
      <c r="AG243">
        <v>95.410023949999996</v>
      </c>
      <c r="AH243">
        <v>87.377930680000006</v>
      </c>
      <c r="AI243">
        <v>86.921539089999996</v>
      </c>
      <c r="AJ243">
        <v>86.406463619999997</v>
      </c>
      <c r="AK243">
        <v>85.895131370000001</v>
      </c>
      <c r="AL243">
        <v>85.726005509999894</v>
      </c>
      <c r="AM243">
        <v>85.522529140000003</v>
      </c>
      <c r="AN243">
        <v>81.780797070000006</v>
      </c>
      <c r="AO243">
        <v>78.133312149999995</v>
      </c>
      <c r="AP243">
        <v>74.552186910000003</v>
      </c>
      <c r="AQ243">
        <v>71.040560209999995</v>
      </c>
      <c r="AR243">
        <v>67.577310589999996</v>
      </c>
      <c r="AS243">
        <v>64.133249669999998</v>
      </c>
      <c r="AT243">
        <v>60.79577055</v>
      </c>
      <c r="AU243">
        <v>57.526594979999999</v>
      </c>
      <c r="AV243">
        <v>54.320464610000002</v>
      </c>
      <c r="AW243">
        <v>51.17911402</v>
      </c>
    </row>
    <row r="244" spans="2:49" x14ac:dyDescent="0.25">
      <c r="B244" t="s">
        <v>315</v>
      </c>
      <c r="C244">
        <v>1.2736350545564401</v>
      </c>
      <c r="D244">
        <v>1.2940836773262701</v>
      </c>
      <c r="E244">
        <v>1.321034456</v>
      </c>
      <c r="F244">
        <v>1.3103361440000001</v>
      </c>
      <c r="G244">
        <v>1.294840797</v>
      </c>
      <c r="H244">
        <v>1.178108784</v>
      </c>
      <c r="I244">
        <v>1.180011739</v>
      </c>
      <c r="J244">
        <v>1.1129040299999999</v>
      </c>
      <c r="K244">
        <v>1.0301464440000001</v>
      </c>
      <c r="L244">
        <v>0.94126701710000005</v>
      </c>
      <c r="M244">
        <v>0.86058358189999995</v>
      </c>
      <c r="N244">
        <v>0.77813890200000002</v>
      </c>
      <c r="O244">
        <v>0.67206482990000005</v>
      </c>
      <c r="P244">
        <v>0.59220157179999999</v>
      </c>
      <c r="Q244">
        <v>0.51849112929999996</v>
      </c>
      <c r="R244">
        <v>0.42877367170000003</v>
      </c>
      <c r="S244">
        <v>0.3394665939</v>
      </c>
      <c r="T244">
        <v>0.44314468210000002</v>
      </c>
      <c r="U244">
        <v>0.54585471750000003</v>
      </c>
      <c r="V244">
        <v>0.64194283519999995</v>
      </c>
      <c r="W244">
        <v>0.38479710700000003</v>
      </c>
      <c r="X244">
        <v>0.18369357920000001</v>
      </c>
      <c r="Y244">
        <v>0.170224823</v>
      </c>
      <c r="Z244">
        <v>0.13884466440000001</v>
      </c>
      <c r="AA244">
        <v>9.0549046999999896E-2</v>
      </c>
      <c r="AB244">
        <v>8.1065404899999999E-2</v>
      </c>
      <c r="AC244">
        <v>7.1723189899999998E-2</v>
      </c>
      <c r="AD244">
        <v>7.1356968199999996E-2</v>
      </c>
      <c r="AE244">
        <v>7.09593746E-2</v>
      </c>
      <c r="AF244">
        <v>7.0541240199999994E-2</v>
      </c>
      <c r="AG244">
        <v>6.5322347700000005E-2</v>
      </c>
      <c r="AH244">
        <v>6.0290692700000002E-2</v>
      </c>
      <c r="AI244">
        <v>4.8884551200000001E-2</v>
      </c>
      <c r="AJ244">
        <v>3.7487685200000002E-2</v>
      </c>
      <c r="AK244">
        <v>2.61419068E-2</v>
      </c>
      <c r="AL244">
        <v>1.9908940399999998E-2</v>
      </c>
      <c r="AM244">
        <v>1.25953066E-2</v>
      </c>
      <c r="AN244">
        <v>1.1470838400000001E-2</v>
      </c>
      <c r="AO244">
        <v>1.0405671700000001E-2</v>
      </c>
      <c r="AP244">
        <v>9.3950758100000004E-3</v>
      </c>
      <c r="AQ244" s="39">
        <v>8.4387847000000002E-3</v>
      </c>
      <c r="AR244" s="39">
        <v>7.5337194400000003E-3</v>
      </c>
      <c r="AS244" s="39">
        <v>7.4851727800000004E-3</v>
      </c>
      <c r="AT244" s="39">
        <v>7.4397201699999997E-3</v>
      </c>
      <c r="AU244" s="39">
        <v>7.3930145900000001E-3</v>
      </c>
      <c r="AV244" s="39">
        <v>7.3442542900000003E-3</v>
      </c>
      <c r="AW244" s="39">
        <v>7.2934668700000002E-3</v>
      </c>
    </row>
    <row r="245" spans="2:49" x14ac:dyDescent="0.25">
      <c r="B245" t="s">
        <v>316</v>
      </c>
      <c r="C245">
        <v>3.4574974609126801</v>
      </c>
      <c r="D245">
        <v>3.51300870100687</v>
      </c>
      <c r="E245">
        <v>3.5861711399999998</v>
      </c>
      <c r="F245">
        <v>3.7398502200000001</v>
      </c>
      <c r="G245">
        <v>3.8856010990000001</v>
      </c>
      <c r="H245">
        <v>3.7171874730000001</v>
      </c>
      <c r="I245">
        <v>3.9148996039999999</v>
      </c>
      <c r="J245">
        <v>4.0662756800000004</v>
      </c>
      <c r="K245">
        <v>4.1507686210000001</v>
      </c>
      <c r="L245">
        <v>4.1872290940000001</v>
      </c>
      <c r="M245">
        <v>4.2306301250000002</v>
      </c>
      <c r="N245">
        <v>4.2306958210000003</v>
      </c>
      <c r="O245">
        <v>4.449503215</v>
      </c>
      <c r="P245">
        <v>4.827766767</v>
      </c>
      <c r="Q245">
        <v>5.2942803420000004</v>
      </c>
      <c r="R245">
        <v>5.6274852639999997</v>
      </c>
      <c r="S245">
        <v>5.9624216859999999</v>
      </c>
      <c r="T245">
        <v>5.6825385549999998</v>
      </c>
      <c r="U245">
        <v>5.397041583</v>
      </c>
      <c r="V245">
        <v>5.0641233200000002</v>
      </c>
      <c r="W245">
        <v>5.7830160199999998</v>
      </c>
      <c r="X245">
        <v>6.406593891</v>
      </c>
      <c r="Y245">
        <v>6.1464932919999997</v>
      </c>
      <c r="Z245">
        <v>5.8839018059999999</v>
      </c>
      <c r="AA245">
        <v>5.6265824960000002</v>
      </c>
      <c r="AB245">
        <v>5.4132558509999997</v>
      </c>
      <c r="AC245">
        <v>5.2109168380000002</v>
      </c>
      <c r="AD245">
        <v>4.9322316600000002</v>
      </c>
      <c r="AE245">
        <v>4.6524673439999997</v>
      </c>
      <c r="AF245">
        <v>4.3724361209999998</v>
      </c>
      <c r="AG245">
        <v>3.8095538580000001</v>
      </c>
      <c r="AH245">
        <v>3.29656825</v>
      </c>
      <c r="AI245">
        <v>2.6899025409999999</v>
      </c>
      <c r="AJ245">
        <v>2.0865780319999998</v>
      </c>
      <c r="AK245">
        <v>1.4888053960000001</v>
      </c>
      <c r="AL245">
        <v>0.92574067429999995</v>
      </c>
      <c r="AM245">
        <v>0.36787320680000002</v>
      </c>
      <c r="AN245">
        <v>0.3873585752</v>
      </c>
      <c r="AO245">
        <v>0.40604317179999999</v>
      </c>
      <c r="AP245">
        <v>0.42380317849999999</v>
      </c>
      <c r="AQ245">
        <v>0.4406532735</v>
      </c>
      <c r="AR245">
        <v>0.45645008879999999</v>
      </c>
      <c r="AS245">
        <v>0.46976807269999998</v>
      </c>
      <c r="AT245">
        <v>0.48294018170000003</v>
      </c>
      <c r="AU245">
        <v>0.49569743430000002</v>
      </c>
      <c r="AV245">
        <v>0.50797890700000004</v>
      </c>
      <c r="AW245">
        <v>0.51977618540000003</v>
      </c>
    </row>
    <row r="246" spans="2:49" x14ac:dyDescent="0.25">
      <c r="B246" t="s">
        <v>317</v>
      </c>
      <c r="C246">
        <v>5.0750954082325404</v>
      </c>
      <c r="D246">
        <v>5.1565777065978304</v>
      </c>
      <c r="E246">
        <v>5.2639693569999997</v>
      </c>
      <c r="F246">
        <v>5.074594212</v>
      </c>
      <c r="G246">
        <v>4.8736503149999999</v>
      </c>
      <c r="H246">
        <v>4.3096576960000004</v>
      </c>
      <c r="I246">
        <v>4.1953007720000004</v>
      </c>
      <c r="J246">
        <v>4.1071774379999999</v>
      </c>
      <c r="K246">
        <v>3.9517593689999999</v>
      </c>
      <c r="L246">
        <v>3.7576273169999999</v>
      </c>
      <c r="M246">
        <v>3.5787161709999999</v>
      </c>
      <c r="N246">
        <v>3.3735029939999999</v>
      </c>
      <c r="O246">
        <v>2.807789401</v>
      </c>
      <c r="P246">
        <v>2.3545793709999998</v>
      </c>
      <c r="Q246">
        <v>1.921976489</v>
      </c>
      <c r="R246">
        <v>1.4272705510000001</v>
      </c>
      <c r="S246">
        <v>0.93558589169999995</v>
      </c>
      <c r="T246">
        <v>0.89180218980000003</v>
      </c>
      <c r="U246">
        <v>0.84706537749999999</v>
      </c>
      <c r="V246">
        <v>0.7948140534</v>
      </c>
      <c r="W246">
        <v>0.32903575509999999</v>
      </c>
      <c r="X246">
        <v>6.1555589700000003E-2</v>
      </c>
      <c r="Y246">
        <v>4.7276935899999997E-2</v>
      </c>
      <c r="Z246">
        <v>3.3296578E-2</v>
      </c>
      <c r="AA246">
        <v>1.9692555800000001E-2</v>
      </c>
      <c r="AB246">
        <v>1.9531575900000001E-2</v>
      </c>
      <c r="AC246">
        <v>1.9398636800000001E-2</v>
      </c>
      <c r="AD246">
        <v>1.6091417699999999E-2</v>
      </c>
      <c r="AE246">
        <v>1.2811807600000001E-2</v>
      </c>
      <c r="AF246">
        <v>9.5627585400000006E-3</v>
      </c>
      <c r="AG246">
        <v>8.8551986600000007E-3</v>
      </c>
      <c r="AH246">
        <v>8.1749248600000001E-3</v>
      </c>
      <c r="AI246">
        <v>8.1069110199999996E-3</v>
      </c>
      <c r="AJ246">
        <v>8.0343540400000003E-3</v>
      </c>
      <c r="AK246">
        <v>7.9630694199999998E-3</v>
      </c>
      <c r="AL246">
        <v>7.9220730900000005E-3</v>
      </c>
      <c r="AM246">
        <v>7.8785719600000005E-3</v>
      </c>
      <c r="AN246">
        <v>7.8106940899999996E-3</v>
      </c>
      <c r="AO246">
        <v>7.7440272600000004E-3</v>
      </c>
      <c r="AP246">
        <v>7.6759218900000004E-3</v>
      </c>
      <c r="AQ246">
        <v>7.60662405E-3</v>
      </c>
      <c r="AR246">
        <v>7.5337194400000003E-3</v>
      </c>
      <c r="AS246">
        <v>7.4851727800000004E-3</v>
      </c>
      <c r="AT246">
        <v>7.4397201699999997E-3</v>
      </c>
      <c r="AU246">
        <v>7.3930145900000001E-3</v>
      </c>
      <c r="AV246">
        <v>7.3442542900000003E-3</v>
      </c>
      <c r="AW246">
        <v>7.2934668700000002E-3</v>
      </c>
    </row>
    <row r="247" spans="2:49" x14ac:dyDescent="0.25">
      <c r="B247" t="s">
        <v>318</v>
      </c>
      <c r="C247">
        <v>0.35516190417563898</v>
      </c>
      <c r="D247">
        <v>0.36086414342755202</v>
      </c>
      <c r="E247">
        <v>0.36837955350000001</v>
      </c>
      <c r="F247">
        <v>0.78356577159999996</v>
      </c>
      <c r="G247">
        <v>1.1823836640000001</v>
      </c>
      <c r="H247">
        <v>1.438265449</v>
      </c>
      <c r="I247">
        <v>1.789111575</v>
      </c>
      <c r="J247">
        <v>2.1184051890000002</v>
      </c>
      <c r="K247">
        <v>2.3693411630000001</v>
      </c>
      <c r="L247">
        <v>2.5305081540000001</v>
      </c>
      <c r="M247">
        <v>2.617793061</v>
      </c>
      <c r="N247">
        <v>2.5831971569999999</v>
      </c>
      <c r="O247">
        <v>2.7462603240000001</v>
      </c>
      <c r="P247">
        <v>3.0089203449999999</v>
      </c>
      <c r="Q247">
        <v>3.3292411249999998</v>
      </c>
      <c r="R247">
        <v>3.5680732239999999</v>
      </c>
      <c r="S247">
        <v>3.8096230360000001</v>
      </c>
      <c r="T247">
        <v>3.9828733299999999</v>
      </c>
      <c r="U247">
        <v>4.152297001</v>
      </c>
      <c r="V247">
        <v>4.2814893249999999</v>
      </c>
      <c r="W247">
        <v>4.6995206429999996</v>
      </c>
      <c r="X247">
        <v>5.0348227879999996</v>
      </c>
      <c r="Y247">
        <v>5.3235592540000001</v>
      </c>
      <c r="Z247">
        <v>5.5964287180000003</v>
      </c>
      <c r="AA247">
        <v>5.8594055300000001</v>
      </c>
      <c r="AB247">
        <v>6.1393157709999997</v>
      </c>
      <c r="AC247">
        <v>6.4236061790000001</v>
      </c>
      <c r="AD247">
        <v>7.203572114</v>
      </c>
      <c r="AE247">
        <v>7.9770271340000001</v>
      </c>
      <c r="AF247">
        <v>8.7448572930000008</v>
      </c>
      <c r="AG247">
        <v>8.8091525009999998</v>
      </c>
      <c r="AH247">
        <v>8.7907834699999903</v>
      </c>
      <c r="AI247">
        <v>9.3855345610000001</v>
      </c>
      <c r="AJ247">
        <v>9.9654924030000007</v>
      </c>
      <c r="AK247">
        <v>10.53717058</v>
      </c>
      <c r="AL247">
        <v>11.110814810000001</v>
      </c>
      <c r="AM247">
        <v>11.67601131</v>
      </c>
      <c r="AN247">
        <v>12.302927499999999</v>
      </c>
      <c r="AO247">
        <v>12.92147823</v>
      </c>
      <c r="AP247">
        <v>13.527275250000001</v>
      </c>
      <c r="AQ247">
        <v>14.12031129</v>
      </c>
      <c r="AR247">
        <v>14.69547994</v>
      </c>
      <c r="AS247">
        <v>15.301471299999999</v>
      </c>
      <c r="AT247">
        <v>15.90725861</v>
      </c>
      <c r="AU247">
        <v>16.503967840000001</v>
      </c>
      <c r="AV247">
        <v>17.089336469999999</v>
      </c>
      <c r="AW247">
        <v>17.662804009999999</v>
      </c>
    </row>
    <row r="248" spans="2:49" x14ac:dyDescent="0.25">
      <c r="B248" t="s">
        <v>319</v>
      </c>
      <c r="C248">
        <v>7.99114284395189E-2</v>
      </c>
      <c r="D248">
        <v>8.1194432271199296E-2</v>
      </c>
      <c r="E248">
        <v>8.2885399499999998E-2</v>
      </c>
      <c r="F248">
        <v>0.1129815257</v>
      </c>
      <c r="G248">
        <v>0.1533953354</v>
      </c>
      <c r="H248">
        <v>0.19171874050000001</v>
      </c>
      <c r="I248">
        <v>0.26373233010000002</v>
      </c>
      <c r="J248">
        <v>0.36267543159999999</v>
      </c>
      <c r="K248">
        <v>0.48910620980000002</v>
      </c>
      <c r="L248">
        <v>0.65068036100000004</v>
      </c>
      <c r="M248">
        <v>0.8656633172</v>
      </c>
      <c r="N248">
        <v>1.138428234</v>
      </c>
      <c r="O248">
        <v>1.210291008</v>
      </c>
      <c r="P248">
        <v>1.3260466259999999</v>
      </c>
      <c r="Q248">
        <v>1.467213637</v>
      </c>
      <c r="R248">
        <v>1.5724681680000001</v>
      </c>
      <c r="S248">
        <v>1.678920408</v>
      </c>
      <c r="T248">
        <v>1.7311484020000001</v>
      </c>
      <c r="U248">
        <v>1.7817688439999999</v>
      </c>
      <c r="V248">
        <v>1.8153999839999999</v>
      </c>
      <c r="W248">
        <v>2.151629024</v>
      </c>
      <c r="X248">
        <v>2.451658042</v>
      </c>
      <c r="Y248">
        <v>2.8692214379999998</v>
      </c>
      <c r="Z248">
        <v>3.2717117519999999</v>
      </c>
      <c r="AA248">
        <v>3.6619471560000001</v>
      </c>
      <c r="AB248">
        <v>4.0525276730000002</v>
      </c>
      <c r="AC248">
        <v>4.4432431040000004</v>
      </c>
      <c r="AD248">
        <v>4.8864942490000001</v>
      </c>
      <c r="AE248">
        <v>5.3258928470000004</v>
      </c>
      <c r="AF248">
        <v>5.7620586710000001</v>
      </c>
      <c r="AG248">
        <v>5.7393126250000002</v>
      </c>
      <c r="AH248">
        <v>5.6719465690000002</v>
      </c>
      <c r="AI248">
        <v>5.9159279170000003</v>
      </c>
      <c r="AJ248">
        <v>6.1524287040000001</v>
      </c>
      <c r="AK248">
        <v>6.3855974309999999</v>
      </c>
      <c r="AL248">
        <v>6.628119399</v>
      </c>
      <c r="AM248">
        <v>6.8663739850000001</v>
      </c>
      <c r="AN248">
        <v>7.1447269259999997</v>
      </c>
      <c r="AO248">
        <v>7.4194143710000002</v>
      </c>
      <c r="AP248">
        <v>7.6879132060000002</v>
      </c>
      <c r="AQ248">
        <v>7.950265527</v>
      </c>
      <c r="AR248">
        <v>8.2036583699999994</v>
      </c>
      <c r="AS248">
        <v>8.4042594089999998</v>
      </c>
      <c r="AT248">
        <v>8.605956312</v>
      </c>
      <c r="AU248">
        <v>8.8038730619999903</v>
      </c>
      <c r="AV248">
        <v>8.9968842339999995</v>
      </c>
      <c r="AW248">
        <v>9.1847980109999998</v>
      </c>
    </row>
    <row r="249" spans="2:49" x14ac:dyDescent="0.25">
      <c r="B249" t="s">
        <v>320</v>
      </c>
      <c r="C249">
        <v>4.4799793836545803</v>
      </c>
      <c r="D249">
        <v>4.5519069017495504</v>
      </c>
      <c r="E249">
        <v>4.6467055889999997</v>
      </c>
      <c r="F249">
        <v>4.6098465119999998</v>
      </c>
      <c r="G249">
        <v>4.5556130189999999</v>
      </c>
      <c r="H249">
        <v>4.1447610060000004</v>
      </c>
      <c r="I249">
        <v>4.1509169259999998</v>
      </c>
      <c r="J249">
        <v>4.0726440320000004</v>
      </c>
      <c r="K249">
        <v>3.9261700240000001</v>
      </c>
      <c r="L249">
        <v>3.7401129320000002</v>
      </c>
      <c r="M249">
        <v>3.5684596769999999</v>
      </c>
      <c r="N249">
        <v>3.3700998210000002</v>
      </c>
      <c r="O249">
        <v>3.58762055</v>
      </c>
      <c r="P249">
        <v>3.9359791209999999</v>
      </c>
      <c r="Q249">
        <v>4.3607617550000004</v>
      </c>
      <c r="R249">
        <v>4.6797603719999996</v>
      </c>
      <c r="S249">
        <v>5.0031365479999996</v>
      </c>
      <c r="T249">
        <v>5.209323339</v>
      </c>
      <c r="U249">
        <v>5.4108117330000001</v>
      </c>
      <c r="V249">
        <v>5.5603686960000003</v>
      </c>
      <c r="W249">
        <v>5.7519362020000004</v>
      </c>
      <c r="X249">
        <v>5.8392618299999999</v>
      </c>
      <c r="Y249">
        <v>5.8006780439999996</v>
      </c>
      <c r="Z249">
        <v>5.75362711</v>
      </c>
      <c r="AA249">
        <v>5.7051593719999998</v>
      </c>
      <c r="AB249">
        <v>5.6865571289999997</v>
      </c>
      <c r="AC249">
        <v>5.6757250600000004</v>
      </c>
      <c r="AD249">
        <v>5.721049861</v>
      </c>
      <c r="AE249">
        <v>5.76499512</v>
      </c>
      <c r="AF249">
        <v>5.8083895300000004</v>
      </c>
      <c r="AG249">
        <v>5.415626241</v>
      </c>
      <c r="AH249">
        <v>5.0338293509999996</v>
      </c>
      <c r="AI249">
        <v>4.9631130680000002</v>
      </c>
      <c r="AJ249">
        <v>4.889992586</v>
      </c>
      <c r="AK249">
        <v>4.8180385770000003</v>
      </c>
      <c r="AL249">
        <v>4.7710995499999997</v>
      </c>
      <c r="AM249">
        <v>4.7227969219999997</v>
      </c>
      <c r="AN249">
        <v>4.7107507460000004</v>
      </c>
      <c r="AO249">
        <v>4.6989758430000004</v>
      </c>
      <c r="AP249">
        <v>4.6858671950000002</v>
      </c>
      <c r="AQ249">
        <v>4.6715591590000001</v>
      </c>
      <c r="AR249">
        <v>4.6545460219999999</v>
      </c>
      <c r="AS249">
        <v>4.6185460850000002</v>
      </c>
      <c r="AT249">
        <v>4.5845075949999998</v>
      </c>
      <c r="AU249">
        <v>4.5497482930000004</v>
      </c>
      <c r="AV249">
        <v>4.513778898</v>
      </c>
      <c r="AW249">
        <v>4.4766217990000001</v>
      </c>
    </row>
    <row r="250" spans="2:49" x14ac:dyDescent="0.25">
      <c r="B250" t="s">
        <v>321</v>
      </c>
      <c r="C250">
        <v>1.4169855567767899</v>
      </c>
      <c r="D250">
        <v>1.4397357182278101</v>
      </c>
      <c r="E250">
        <v>1.469719867</v>
      </c>
      <c r="F250">
        <v>1.7339682809999999</v>
      </c>
      <c r="G250">
        <v>2.0378530000000001</v>
      </c>
      <c r="H250">
        <v>2.2049549160000002</v>
      </c>
      <c r="I250">
        <v>2.6261412489999998</v>
      </c>
      <c r="J250">
        <v>2.9323781050000002</v>
      </c>
      <c r="K250">
        <v>3.2118171000000002</v>
      </c>
      <c r="L250">
        <v>3.470806294</v>
      </c>
      <c r="M250">
        <v>3.7511813790000001</v>
      </c>
      <c r="N250">
        <v>4.007704876</v>
      </c>
      <c r="O250">
        <v>3.6487053829999998</v>
      </c>
      <c r="P250">
        <v>3.4294567310000001</v>
      </c>
      <c r="Q250">
        <v>3.2556311359999999</v>
      </c>
      <c r="R250">
        <v>2.9892369959999998</v>
      </c>
      <c r="S250">
        <v>2.7256370329999999</v>
      </c>
      <c r="T250">
        <v>2.8619676119999999</v>
      </c>
      <c r="U250">
        <v>2.9964049199999998</v>
      </c>
      <c r="V250">
        <v>3.1025331519999999</v>
      </c>
      <c r="W250">
        <v>3.4462441859999999</v>
      </c>
      <c r="X250">
        <v>3.6252534010000002</v>
      </c>
      <c r="Y250">
        <v>3.4399795630000001</v>
      </c>
      <c r="Z250">
        <v>3.2566543600000002</v>
      </c>
      <c r="AA250">
        <v>3.0795825209999999</v>
      </c>
      <c r="AB250">
        <v>2.934036474</v>
      </c>
      <c r="AC250">
        <v>2.7968391559999999</v>
      </c>
      <c r="AD250">
        <v>2.8051810370000001</v>
      </c>
      <c r="AE250">
        <v>2.8038263460000001</v>
      </c>
      <c r="AF250">
        <v>2.7933155730000001</v>
      </c>
      <c r="AG250">
        <v>2.6016302169999999</v>
      </c>
      <c r="AH250">
        <v>2.4100999660000002</v>
      </c>
      <c r="AI250">
        <v>2.4321827300000001</v>
      </c>
      <c r="AJ250">
        <v>2.4434499380000001</v>
      </c>
      <c r="AK250">
        <v>2.4458680890000002</v>
      </c>
      <c r="AL250">
        <v>2.4694066440000002</v>
      </c>
      <c r="AM250">
        <v>2.485583289</v>
      </c>
      <c r="AN250">
        <v>2.467150374</v>
      </c>
      <c r="AO250">
        <v>2.4486813609999998</v>
      </c>
      <c r="AP250">
        <v>2.4293483870000001</v>
      </c>
      <c r="AQ250">
        <v>2.4092378430000001</v>
      </c>
      <c r="AR250">
        <v>2.3875935859999999</v>
      </c>
      <c r="AS250">
        <v>2.3709691610000001</v>
      </c>
      <c r="AT250">
        <v>2.3549409809999999</v>
      </c>
      <c r="AU250">
        <v>2.3381395309999999</v>
      </c>
      <c r="AV250">
        <v>2.3203200549999998</v>
      </c>
      <c r="AW250">
        <v>2.3015011240000001</v>
      </c>
    </row>
    <row r="251" spans="2:49" x14ac:dyDescent="0.25">
      <c r="B251" t="s">
        <v>322</v>
      </c>
      <c r="C251">
        <v>34.067295461021303</v>
      </c>
      <c r="D251">
        <v>34.614256909026899</v>
      </c>
      <c r="E251">
        <v>35.35928097</v>
      </c>
      <c r="F251">
        <v>35.38224726</v>
      </c>
      <c r="G251">
        <v>34.203081330000003</v>
      </c>
      <c r="H251">
        <v>32.539187210000001</v>
      </c>
      <c r="I251">
        <v>33.028860520000002</v>
      </c>
      <c r="J251">
        <v>32.760039169999999</v>
      </c>
      <c r="K251">
        <v>31.32264936</v>
      </c>
      <c r="L251">
        <v>30.54829281</v>
      </c>
      <c r="M251">
        <v>30.542939650000001</v>
      </c>
      <c r="N251">
        <v>31.102383459999999</v>
      </c>
      <c r="O251">
        <v>31.819432200000001</v>
      </c>
      <c r="P251">
        <v>31.815267370000001</v>
      </c>
      <c r="Q251">
        <v>30.328958759999999</v>
      </c>
      <c r="R251">
        <v>29.32267877</v>
      </c>
      <c r="S251">
        <v>28.66014169</v>
      </c>
      <c r="T251">
        <v>27.367360550000001</v>
      </c>
      <c r="U251">
        <v>26.074688040000002</v>
      </c>
      <c r="V251">
        <v>24.971424280000001</v>
      </c>
      <c r="W251">
        <v>24.480145109999999</v>
      </c>
      <c r="X251">
        <v>23.60174868</v>
      </c>
      <c r="Y251">
        <v>22.28061688</v>
      </c>
      <c r="Z251">
        <v>21.096536329999999</v>
      </c>
      <c r="AA251">
        <v>19.929447710000002</v>
      </c>
      <c r="AB251">
        <v>18.540420019999999</v>
      </c>
      <c r="AC251">
        <v>17.199026740000001</v>
      </c>
      <c r="AD251">
        <v>15.34634767</v>
      </c>
      <c r="AE251">
        <v>13.57260303</v>
      </c>
      <c r="AF251">
        <v>11.875582700000001</v>
      </c>
      <c r="AG251">
        <v>10.892929069999999</v>
      </c>
      <c r="AH251">
        <v>9.949038732</v>
      </c>
      <c r="AI251">
        <v>9.0320151559999999</v>
      </c>
      <c r="AJ251">
        <v>8.1564844829999998</v>
      </c>
      <c r="AK251">
        <v>7.3127519410000001</v>
      </c>
      <c r="AL251">
        <v>8.3778663160000004</v>
      </c>
      <c r="AM251">
        <v>9.3639158499999997</v>
      </c>
      <c r="AN251">
        <v>8.0695067920000003</v>
      </c>
      <c r="AO251">
        <v>6.8013450249999998</v>
      </c>
      <c r="AP251">
        <v>5.5552814369999997</v>
      </c>
      <c r="AQ251">
        <v>4.3279690630000003</v>
      </c>
      <c r="AR251">
        <v>3.1113981850000001</v>
      </c>
      <c r="AS251">
        <v>3.5733536130000001</v>
      </c>
      <c r="AT251">
        <v>4.0055935099999997</v>
      </c>
      <c r="AU251">
        <v>4.4101459759999999</v>
      </c>
      <c r="AV251">
        <v>4.7874610219999996</v>
      </c>
      <c r="AW251">
        <v>5.1460009659999999</v>
      </c>
    </row>
    <row r="252" spans="2:49" x14ac:dyDescent="0.25">
      <c r="B252" t="s">
        <v>323</v>
      </c>
      <c r="C252">
        <v>1.54983431156195</v>
      </c>
      <c r="D252">
        <v>1.57471740274219</v>
      </c>
      <c r="E252">
        <v>1.608611019</v>
      </c>
      <c r="F252">
        <v>2.643983564</v>
      </c>
      <c r="G252">
        <v>3.550571616</v>
      </c>
      <c r="H252">
        <v>4.3084027550000004</v>
      </c>
      <c r="I252">
        <v>5.2869968900000002</v>
      </c>
      <c r="J252">
        <v>6.0915788659999999</v>
      </c>
      <c r="K252">
        <v>6.5591458200000003</v>
      </c>
      <c r="L252">
        <v>7.0077340970000002</v>
      </c>
      <c r="M252">
        <v>7.4686654409999997</v>
      </c>
      <c r="N252">
        <v>7.8677095860000001</v>
      </c>
      <c r="O252">
        <v>8.1969129600000006</v>
      </c>
      <c r="P252">
        <v>8.3452248230000006</v>
      </c>
      <c r="Q252">
        <v>8.0993002020000002</v>
      </c>
      <c r="R252">
        <v>7.9712371209999997</v>
      </c>
      <c r="S252">
        <v>7.9300988889999999</v>
      </c>
      <c r="T252">
        <v>8.1062133749999994</v>
      </c>
      <c r="U252">
        <v>8.2906617560000004</v>
      </c>
      <c r="V252">
        <v>8.8455036899999904</v>
      </c>
      <c r="W252">
        <v>8.4023294740000001</v>
      </c>
      <c r="X252">
        <v>8.2118143660000005</v>
      </c>
      <c r="Y252">
        <v>8.1265418769999904</v>
      </c>
      <c r="Z252">
        <v>8.0758311159999998</v>
      </c>
      <c r="AA252">
        <v>8.0217932580000006</v>
      </c>
      <c r="AB252">
        <v>7.8755491170000003</v>
      </c>
      <c r="AC252">
        <v>7.7323338079999999</v>
      </c>
      <c r="AD252">
        <v>8.2179669549999996</v>
      </c>
      <c r="AE252">
        <v>8.6918239350000004</v>
      </c>
      <c r="AF252">
        <v>9.1584452439999904</v>
      </c>
      <c r="AG252">
        <v>9.1776993860000005</v>
      </c>
      <c r="AH252">
        <v>9.1988301620000001</v>
      </c>
      <c r="AI252">
        <v>9.2606733049999903</v>
      </c>
      <c r="AJ252">
        <v>9.3309786399999997</v>
      </c>
      <c r="AK252">
        <v>9.4056451849999902</v>
      </c>
      <c r="AL252">
        <v>8.1074594690000001</v>
      </c>
      <c r="AM252">
        <v>6.8958030949999998</v>
      </c>
      <c r="AN252">
        <v>7.4963147450000003</v>
      </c>
      <c r="AO252">
        <v>8.0893973769999903</v>
      </c>
      <c r="AP252">
        <v>8.6778478289999903</v>
      </c>
      <c r="AQ252">
        <v>9.2663217590000002</v>
      </c>
      <c r="AR252">
        <v>9.8556126010000007</v>
      </c>
      <c r="AS252">
        <v>9.1626574929999904</v>
      </c>
      <c r="AT252">
        <v>8.4998405170000009</v>
      </c>
      <c r="AU252">
        <v>7.8665452020000002</v>
      </c>
      <c r="AV252">
        <v>7.2607458850000004</v>
      </c>
      <c r="AW252">
        <v>6.6824331719999996</v>
      </c>
    </row>
    <row r="253" spans="2:49" x14ac:dyDescent="0.25">
      <c r="B253" t="s">
        <v>324</v>
      </c>
      <c r="C253">
        <v>0.19372928894524399</v>
      </c>
      <c r="D253">
        <v>0.196839675342774</v>
      </c>
      <c r="E253">
        <v>0.20107637740000001</v>
      </c>
      <c r="F253">
        <v>0.19509552999999999</v>
      </c>
      <c r="G253">
        <v>0.18286534839999999</v>
      </c>
      <c r="H253">
        <v>0.16868527129999999</v>
      </c>
      <c r="I253">
        <v>0.16602302890000001</v>
      </c>
      <c r="J253">
        <v>0.1594476527</v>
      </c>
      <c r="K253">
        <v>0.14760534929999999</v>
      </c>
      <c r="L253">
        <v>0.13937022639999999</v>
      </c>
      <c r="M253">
        <v>0.13489675400000001</v>
      </c>
      <c r="N253">
        <v>0.13297151669999999</v>
      </c>
      <c r="O253">
        <v>0.2056705707</v>
      </c>
      <c r="P253">
        <v>0.27607540120000001</v>
      </c>
      <c r="Q253">
        <v>0.33109929020000001</v>
      </c>
      <c r="R253">
        <v>0.3865454821</v>
      </c>
      <c r="S253">
        <v>0.4434989258</v>
      </c>
      <c r="T253">
        <v>0.68777384009999998</v>
      </c>
      <c r="U253">
        <v>0.93637852340000005</v>
      </c>
      <c r="V253">
        <v>1.2231619220000001</v>
      </c>
      <c r="W253">
        <v>1.3059159849999999</v>
      </c>
      <c r="X253">
        <v>1.390022133</v>
      </c>
      <c r="Y253">
        <v>1.789795877</v>
      </c>
      <c r="Z253">
        <v>2.1802668810000001</v>
      </c>
      <c r="AA253">
        <v>2.5539271160000001</v>
      </c>
      <c r="AB253">
        <v>2.8119004799999998</v>
      </c>
      <c r="AC253">
        <v>3.0454165039999999</v>
      </c>
      <c r="AD253">
        <v>3.5835244579999999</v>
      </c>
      <c r="AE253">
        <v>4.103170328</v>
      </c>
      <c r="AF253">
        <v>4.608638011</v>
      </c>
      <c r="AG253">
        <v>4.9767648619999996</v>
      </c>
      <c r="AH253">
        <v>5.3301522410000004</v>
      </c>
      <c r="AI253">
        <v>5.7864782999999997</v>
      </c>
      <c r="AJ253">
        <v>6.2367159340000002</v>
      </c>
      <c r="AK253">
        <v>6.679511443</v>
      </c>
      <c r="AL253">
        <v>6.7670496260000004</v>
      </c>
      <c r="AM253">
        <v>6.8508876470000004</v>
      </c>
      <c r="AN253">
        <v>7.2008431010000002</v>
      </c>
      <c r="AO253">
        <v>7.5522909580000004</v>
      </c>
      <c r="AP253">
        <v>7.9077485110000003</v>
      </c>
      <c r="AQ253">
        <v>8.2724641499999905</v>
      </c>
      <c r="AR253">
        <v>8.6456587969999994</v>
      </c>
      <c r="AS253">
        <v>8.8022110139999903</v>
      </c>
      <c r="AT253">
        <v>8.9477065889999903</v>
      </c>
      <c r="AU253">
        <v>9.0840008040000004</v>
      </c>
      <c r="AV253">
        <v>9.2097356349999995</v>
      </c>
      <c r="AW253">
        <v>9.3290843690000003</v>
      </c>
    </row>
    <row r="254" spans="2:49" x14ac:dyDescent="0.25">
      <c r="B254" t="s">
        <v>325</v>
      </c>
      <c r="C254">
        <v>0.71679836909740502</v>
      </c>
      <c r="D254">
        <v>0.72830679876826598</v>
      </c>
      <c r="E254">
        <v>0.74398259649999998</v>
      </c>
      <c r="F254">
        <v>0.73656443650000003</v>
      </c>
      <c r="G254">
        <v>0.70446033919999995</v>
      </c>
      <c r="H254">
        <v>0.66307704980000004</v>
      </c>
      <c r="I254">
        <v>0.66591204189999997</v>
      </c>
      <c r="J254">
        <v>0.66672745739999995</v>
      </c>
      <c r="K254">
        <v>0.64460897660000005</v>
      </c>
      <c r="L254">
        <v>0.63687772040000001</v>
      </c>
      <c r="M254">
        <v>0.6463262555</v>
      </c>
      <c r="N254">
        <v>0.66940513400000001</v>
      </c>
      <c r="O254">
        <v>0.97170607450000002</v>
      </c>
      <c r="P254">
        <v>1.236851581</v>
      </c>
      <c r="Q254">
        <v>1.4110258920000001</v>
      </c>
      <c r="R254">
        <v>1.567872919</v>
      </c>
      <c r="S254">
        <v>1.7110120879999999</v>
      </c>
      <c r="T254">
        <v>1.759950264</v>
      </c>
      <c r="U254">
        <v>1.809986842</v>
      </c>
      <c r="V254">
        <v>1.901194354</v>
      </c>
      <c r="W254">
        <v>1.5989523830000001</v>
      </c>
      <c r="X254">
        <v>1.361028065</v>
      </c>
      <c r="Y254">
        <v>1.3782043319999999</v>
      </c>
      <c r="Z254">
        <v>1.399790946</v>
      </c>
      <c r="AA254">
        <v>1.4191026849999999</v>
      </c>
      <c r="AB254">
        <v>1.4048969630000001</v>
      </c>
      <c r="AC254">
        <v>1.389036202</v>
      </c>
      <c r="AD254">
        <v>1.421221447</v>
      </c>
      <c r="AE254">
        <v>1.452531247</v>
      </c>
      <c r="AF254">
        <v>1.4836770260000001</v>
      </c>
      <c r="AG254">
        <v>1.4643258029999999</v>
      </c>
      <c r="AH254">
        <v>1.44592031</v>
      </c>
      <c r="AI254">
        <v>1.447660551</v>
      </c>
      <c r="AJ254">
        <v>1.4510681459999999</v>
      </c>
      <c r="AK254">
        <v>1.4553796800000001</v>
      </c>
      <c r="AL254">
        <v>1.3098807189999999</v>
      </c>
      <c r="AM254">
        <v>1.172037947</v>
      </c>
      <c r="AN254">
        <v>1.2212245230000001</v>
      </c>
      <c r="AO254">
        <v>1.26952255</v>
      </c>
      <c r="AP254">
        <v>1.3172830820000001</v>
      </c>
      <c r="AQ254">
        <v>1.365199241</v>
      </c>
      <c r="AR254">
        <v>1.4131593090000001</v>
      </c>
      <c r="AS254">
        <v>1.3304617590000001</v>
      </c>
      <c r="AT254">
        <v>1.2507983490000001</v>
      </c>
      <c r="AU254">
        <v>1.1742007990000001</v>
      </c>
      <c r="AV254">
        <v>1.100382591</v>
      </c>
      <c r="AW254">
        <v>1.0295432470000001</v>
      </c>
    </row>
    <row r="255" spans="2:49" x14ac:dyDescent="0.25">
      <c r="B255" t="s">
        <v>326</v>
      </c>
      <c r="C255">
        <v>0.19372928894524399</v>
      </c>
      <c r="D255">
        <v>0.196839675342774</v>
      </c>
      <c r="E255">
        <v>0.20107637740000001</v>
      </c>
      <c r="F255">
        <v>0.20694482149999999</v>
      </c>
      <c r="G255">
        <v>0.205752872</v>
      </c>
      <c r="H255">
        <v>0.20132555090000001</v>
      </c>
      <c r="I255">
        <v>0.21018286580000001</v>
      </c>
      <c r="J255">
        <v>0.21411857810000001</v>
      </c>
      <c r="K255">
        <v>0.21025462680000001</v>
      </c>
      <c r="L255">
        <v>0.2105817421</v>
      </c>
      <c r="M255">
        <v>0.2162018731</v>
      </c>
      <c r="N255">
        <v>0.22606005000000001</v>
      </c>
      <c r="O255">
        <v>0.27022987230000001</v>
      </c>
      <c r="P255">
        <v>0.30959670309999998</v>
      </c>
      <c r="Q255">
        <v>0.33312861830000001</v>
      </c>
      <c r="R255">
        <v>0.35923544200000002</v>
      </c>
      <c r="S255">
        <v>0.38785956649999997</v>
      </c>
      <c r="T255">
        <v>0.45957319819999998</v>
      </c>
      <c r="U255">
        <v>0.53273442090000001</v>
      </c>
      <c r="V255">
        <v>0.63977418610000003</v>
      </c>
      <c r="W255">
        <v>0.60125901250000002</v>
      </c>
      <c r="X255">
        <v>0.59360389790000001</v>
      </c>
      <c r="Y255">
        <v>0.63004119830000005</v>
      </c>
      <c r="Z255">
        <v>0.66743118050000005</v>
      </c>
      <c r="AA255">
        <v>0.70305747870000002</v>
      </c>
      <c r="AB255">
        <v>0.73045671960000003</v>
      </c>
      <c r="AC255">
        <v>0.75527158110000003</v>
      </c>
      <c r="AD255">
        <v>0.87785461539999998</v>
      </c>
      <c r="AE255">
        <v>0.99638712480000002</v>
      </c>
      <c r="AF255">
        <v>1.1117422770000001</v>
      </c>
      <c r="AG255">
        <v>1.170008851</v>
      </c>
      <c r="AH255">
        <v>1.226161251</v>
      </c>
      <c r="AI255">
        <v>1.251077019</v>
      </c>
      <c r="AJ255">
        <v>1.2767512809999999</v>
      </c>
      <c r="AK255">
        <v>1.3026516260000001</v>
      </c>
      <c r="AL255">
        <v>1.1491847399999999</v>
      </c>
      <c r="AM255">
        <v>1.005886536</v>
      </c>
      <c r="AN255">
        <v>1.0959495189999999</v>
      </c>
      <c r="AO255">
        <v>1.185146705</v>
      </c>
      <c r="AP255">
        <v>1.2739451399999999</v>
      </c>
      <c r="AQ255">
        <v>1.3631624840000001</v>
      </c>
      <c r="AR255">
        <v>1.452888886</v>
      </c>
      <c r="AS255">
        <v>1.371091405</v>
      </c>
      <c r="AT255">
        <v>1.2926201070000001</v>
      </c>
      <c r="AU255">
        <v>1.2174815729999999</v>
      </c>
      <c r="AV255">
        <v>1.1453673849999999</v>
      </c>
      <c r="AW255">
        <v>1.076456372</v>
      </c>
    </row>
    <row r="256" spans="2:49" x14ac:dyDescent="0.25">
      <c r="B256" t="s">
        <v>327</v>
      </c>
      <c r="C256">
        <v>0.38745857789048899</v>
      </c>
      <c r="D256">
        <v>0.39367935068554899</v>
      </c>
      <c r="E256">
        <v>0.40215275490000002</v>
      </c>
      <c r="F256">
        <v>0.53026289609999999</v>
      </c>
      <c r="G256">
        <v>0.67544386739999995</v>
      </c>
      <c r="H256">
        <v>0.84673777230000002</v>
      </c>
      <c r="I256">
        <v>1.1325412459999999</v>
      </c>
      <c r="J256">
        <v>1.47814742</v>
      </c>
      <c r="K256">
        <v>1.8595833159999999</v>
      </c>
      <c r="L256">
        <v>2.3861485340000002</v>
      </c>
      <c r="M256">
        <v>3.1386500289999999</v>
      </c>
      <c r="N256">
        <v>4.2044959720000001</v>
      </c>
      <c r="O256">
        <v>4.0351254479999996</v>
      </c>
      <c r="P256">
        <v>3.7651623019999998</v>
      </c>
      <c r="Q256">
        <v>3.329358773</v>
      </c>
      <c r="R256">
        <v>2.9646135870000001</v>
      </c>
      <c r="S256">
        <v>2.6461247769999998</v>
      </c>
      <c r="T256">
        <v>3.1694690470000002</v>
      </c>
      <c r="U256">
        <v>3.7032511330000002</v>
      </c>
      <c r="V256">
        <v>4.3231675430000003</v>
      </c>
      <c r="W256">
        <v>4.8474069890000004</v>
      </c>
      <c r="X256">
        <v>5.2899590239999998</v>
      </c>
      <c r="Y256">
        <v>5.5731875290000001</v>
      </c>
      <c r="Z256">
        <v>5.8661238329999996</v>
      </c>
      <c r="AA256">
        <v>6.1415132860000003</v>
      </c>
      <c r="AB256">
        <v>6.3108440559999996</v>
      </c>
      <c r="AC256">
        <v>6.4534067520000002</v>
      </c>
      <c r="AD256">
        <v>6.7423298809999999</v>
      </c>
      <c r="AE256">
        <v>7.0248624499999996</v>
      </c>
      <c r="AF256">
        <v>7.3053616960000003</v>
      </c>
      <c r="AG256">
        <v>7.4760583049999996</v>
      </c>
      <c r="AH256">
        <v>7.6401248239999999</v>
      </c>
      <c r="AI256">
        <v>7.7817258679999997</v>
      </c>
      <c r="AJ256">
        <v>7.929891617</v>
      </c>
      <c r="AK256">
        <v>8.0806837130000009</v>
      </c>
      <c r="AL256">
        <v>7.8399207950000003</v>
      </c>
      <c r="AM256">
        <v>7.6163568069999998</v>
      </c>
      <c r="AN256">
        <v>7.7845128189999997</v>
      </c>
      <c r="AO256">
        <v>7.9579798479999999</v>
      </c>
      <c r="AP256">
        <v>8.1385315200000008</v>
      </c>
      <c r="AQ256">
        <v>8.3305326649999998</v>
      </c>
      <c r="AR256">
        <v>8.5322914349999994</v>
      </c>
      <c r="AS256">
        <v>8.3279193580000008</v>
      </c>
      <c r="AT256">
        <v>8.1291171539999905</v>
      </c>
      <c r="AU256">
        <v>7.9369098830000002</v>
      </c>
      <c r="AV256">
        <v>7.7495620389999997</v>
      </c>
      <c r="AW256">
        <v>7.569881788</v>
      </c>
    </row>
    <row r="257" spans="2:49" x14ac:dyDescent="0.25">
      <c r="B257" t="s">
        <v>328</v>
      </c>
      <c r="C257">
        <v>34.067295461021303</v>
      </c>
      <c r="D257">
        <v>34.614256909026899</v>
      </c>
      <c r="E257">
        <v>35.35928097</v>
      </c>
      <c r="F257">
        <v>35.38224726</v>
      </c>
      <c r="G257">
        <v>34.203081330000003</v>
      </c>
      <c r="H257">
        <v>32.539187210000001</v>
      </c>
      <c r="I257">
        <v>33.028860520000002</v>
      </c>
      <c r="J257">
        <v>32.760039169999999</v>
      </c>
      <c r="K257">
        <v>31.32264936</v>
      </c>
      <c r="L257">
        <v>30.54829281</v>
      </c>
      <c r="M257">
        <v>30.542939650000001</v>
      </c>
      <c r="N257">
        <v>31.102383459999999</v>
      </c>
      <c r="O257">
        <v>31.819432200000001</v>
      </c>
      <c r="P257">
        <v>31.815267370000001</v>
      </c>
      <c r="Q257">
        <v>30.328958759999999</v>
      </c>
      <c r="R257">
        <v>29.32267877</v>
      </c>
      <c r="S257">
        <v>28.66014169</v>
      </c>
      <c r="T257">
        <v>27.367360550000001</v>
      </c>
      <c r="U257">
        <v>26.074688040000002</v>
      </c>
      <c r="V257">
        <v>24.971424280000001</v>
      </c>
      <c r="W257">
        <v>24.480145109999999</v>
      </c>
      <c r="X257">
        <v>23.60174868</v>
      </c>
      <c r="Y257">
        <v>22.28061688</v>
      </c>
      <c r="Z257">
        <v>21.096536329999999</v>
      </c>
      <c r="AA257">
        <v>19.929447710000002</v>
      </c>
      <c r="AB257">
        <v>18.540420019999999</v>
      </c>
      <c r="AC257">
        <v>17.199026740000001</v>
      </c>
      <c r="AD257">
        <v>15.34634767</v>
      </c>
      <c r="AE257">
        <v>13.57260303</v>
      </c>
      <c r="AF257">
        <v>11.875582700000001</v>
      </c>
      <c r="AG257">
        <v>10.892929069999999</v>
      </c>
      <c r="AH257">
        <v>9.949038732</v>
      </c>
      <c r="AI257">
        <v>9.0320151559999999</v>
      </c>
      <c r="AJ257">
        <v>8.1564844829999998</v>
      </c>
      <c r="AK257">
        <v>7.3127519410000001</v>
      </c>
      <c r="AL257">
        <v>8.3778663160000004</v>
      </c>
      <c r="AM257">
        <v>9.3639158499999997</v>
      </c>
      <c r="AN257">
        <v>8.0695067920000003</v>
      </c>
      <c r="AO257">
        <v>6.8013450249999998</v>
      </c>
      <c r="AP257">
        <v>5.5552814369999997</v>
      </c>
      <c r="AQ257">
        <v>4.3279690630000003</v>
      </c>
      <c r="AR257">
        <v>3.1113981850000001</v>
      </c>
      <c r="AS257">
        <v>3.5733536130000001</v>
      </c>
      <c r="AT257">
        <v>4.0055935099999997</v>
      </c>
      <c r="AU257">
        <v>4.4101459759999999</v>
      </c>
      <c r="AV257">
        <v>4.7874610219999996</v>
      </c>
      <c r="AW257">
        <v>5.1460009659999999</v>
      </c>
    </row>
    <row r="258" spans="2:49" x14ac:dyDescent="0.25">
      <c r="B258" t="s">
        <v>329</v>
      </c>
      <c r="C258">
        <v>1.54983431156195</v>
      </c>
      <c r="D258">
        <v>1.57471740274219</v>
      </c>
      <c r="E258">
        <v>1.608611019</v>
      </c>
      <c r="F258">
        <v>2.643983564</v>
      </c>
      <c r="G258">
        <v>3.550571616</v>
      </c>
      <c r="H258">
        <v>4.3084027550000004</v>
      </c>
      <c r="I258">
        <v>5.2869968900000002</v>
      </c>
      <c r="J258">
        <v>6.0915788659999999</v>
      </c>
      <c r="K258">
        <v>6.5591458200000003</v>
      </c>
      <c r="L258">
        <v>7.0077340970000002</v>
      </c>
      <c r="M258">
        <v>7.4686654409999997</v>
      </c>
      <c r="N258">
        <v>7.8677095860000001</v>
      </c>
      <c r="O258">
        <v>8.1969129600000006</v>
      </c>
      <c r="P258">
        <v>8.3452248230000006</v>
      </c>
      <c r="Q258">
        <v>8.0993002020000002</v>
      </c>
      <c r="R258">
        <v>7.9712371209999997</v>
      </c>
      <c r="S258">
        <v>7.9300988889999999</v>
      </c>
      <c r="T258">
        <v>8.1062133749999994</v>
      </c>
      <c r="U258">
        <v>8.2906617560000004</v>
      </c>
      <c r="V258">
        <v>8.8455036899999904</v>
      </c>
      <c r="W258">
        <v>8.4023294740000001</v>
      </c>
      <c r="X258">
        <v>8.2118143660000005</v>
      </c>
      <c r="Y258">
        <v>8.1265418769999904</v>
      </c>
      <c r="Z258">
        <v>8.0758311159999998</v>
      </c>
      <c r="AA258">
        <v>8.0217932580000006</v>
      </c>
      <c r="AB258">
        <v>7.8755491170000003</v>
      </c>
      <c r="AC258">
        <v>7.7323338079999999</v>
      </c>
      <c r="AD258">
        <v>8.2179669549999996</v>
      </c>
      <c r="AE258">
        <v>8.6918239350000004</v>
      </c>
      <c r="AF258">
        <v>9.1584452439999904</v>
      </c>
      <c r="AG258">
        <v>9.1776993860000005</v>
      </c>
      <c r="AH258">
        <v>9.1988301620000001</v>
      </c>
      <c r="AI258">
        <v>9.2606733049999903</v>
      </c>
      <c r="AJ258">
        <v>9.3309786399999997</v>
      </c>
      <c r="AK258">
        <v>9.4056451849999902</v>
      </c>
      <c r="AL258">
        <v>8.1074594690000001</v>
      </c>
      <c r="AM258">
        <v>6.8958030949999998</v>
      </c>
      <c r="AN258">
        <v>7.4963147450000003</v>
      </c>
      <c r="AO258">
        <v>8.0893973769999903</v>
      </c>
      <c r="AP258">
        <v>8.6778478289999903</v>
      </c>
      <c r="AQ258">
        <v>9.2663217590000002</v>
      </c>
      <c r="AR258">
        <v>9.8556126010000007</v>
      </c>
      <c r="AS258">
        <v>9.1626574929999904</v>
      </c>
      <c r="AT258">
        <v>8.4998405170000009</v>
      </c>
      <c r="AU258">
        <v>7.8665452020000002</v>
      </c>
      <c r="AV258">
        <v>7.2607458850000004</v>
      </c>
      <c r="AW258">
        <v>6.6824331719999996</v>
      </c>
    </row>
    <row r="259" spans="2:49" x14ac:dyDescent="0.25">
      <c r="B259" t="s">
        <v>330</v>
      </c>
      <c r="C259">
        <v>0.19372928894524399</v>
      </c>
      <c r="D259">
        <v>0.196839675342774</v>
      </c>
      <c r="E259">
        <v>0.20107637740000001</v>
      </c>
      <c r="F259">
        <v>0.19509552999999999</v>
      </c>
      <c r="G259">
        <v>0.18286534839999999</v>
      </c>
      <c r="H259">
        <v>0.16868527129999999</v>
      </c>
      <c r="I259">
        <v>0.16602302890000001</v>
      </c>
      <c r="J259">
        <v>0.1594476527</v>
      </c>
      <c r="K259">
        <v>0.14760534929999999</v>
      </c>
      <c r="L259">
        <v>0.13937022639999999</v>
      </c>
      <c r="M259">
        <v>0.13489675400000001</v>
      </c>
      <c r="N259">
        <v>0.13297151669999999</v>
      </c>
      <c r="O259">
        <v>0.2056705707</v>
      </c>
      <c r="P259">
        <v>0.27607540120000001</v>
      </c>
      <c r="Q259">
        <v>0.33109929020000001</v>
      </c>
      <c r="R259">
        <v>0.3865454821</v>
      </c>
      <c r="S259">
        <v>0.4434989258</v>
      </c>
      <c r="T259">
        <v>0.68777384009999998</v>
      </c>
      <c r="U259">
        <v>0.93637852340000005</v>
      </c>
      <c r="V259">
        <v>1.2231619220000001</v>
      </c>
      <c r="W259">
        <v>1.3059159849999999</v>
      </c>
      <c r="X259">
        <v>1.390022133</v>
      </c>
      <c r="Y259">
        <v>1.789795877</v>
      </c>
      <c r="Z259">
        <v>2.1802668810000001</v>
      </c>
      <c r="AA259">
        <v>2.5539271160000001</v>
      </c>
      <c r="AB259">
        <v>2.8119004799999998</v>
      </c>
      <c r="AC259">
        <v>3.0454165039999999</v>
      </c>
      <c r="AD259">
        <v>3.5835244579999999</v>
      </c>
      <c r="AE259">
        <v>4.103170328</v>
      </c>
      <c r="AF259">
        <v>4.608638011</v>
      </c>
      <c r="AG259">
        <v>4.9767648619999996</v>
      </c>
      <c r="AH259">
        <v>5.3301522410000004</v>
      </c>
      <c r="AI259">
        <v>5.7864782999999997</v>
      </c>
      <c r="AJ259">
        <v>6.2367159340000002</v>
      </c>
      <c r="AK259">
        <v>6.679511443</v>
      </c>
      <c r="AL259">
        <v>6.7670496260000004</v>
      </c>
      <c r="AM259">
        <v>6.8508876470000004</v>
      </c>
      <c r="AN259">
        <v>7.2008431010000002</v>
      </c>
      <c r="AO259">
        <v>7.5522909580000004</v>
      </c>
      <c r="AP259">
        <v>7.9077485110000003</v>
      </c>
      <c r="AQ259">
        <v>8.2724641499999905</v>
      </c>
      <c r="AR259">
        <v>8.6456587969999994</v>
      </c>
      <c r="AS259">
        <v>8.8022110139999903</v>
      </c>
      <c r="AT259">
        <v>8.9477065889999903</v>
      </c>
      <c r="AU259">
        <v>9.0840008040000004</v>
      </c>
      <c r="AV259">
        <v>9.2097356349999995</v>
      </c>
      <c r="AW259">
        <v>9.3290843690000003</v>
      </c>
    </row>
    <row r="260" spans="2:49" x14ac:dyDescent="0.25">
      <c r="B260" t="s">
        <v>331</v>
      </c>
      <c r="C260">
        <v>0.71679836909740502</v>
      </c>
      <c r="D260">
        <v>0.72830679876826598</v>
      </c>
      <c r="E260">
        <v>0.74398259649999998</v>
      </c>
      <c r="F260">
        <v>0.73656443650000003</v>
      </c>
      <c r="G260">
        <v>0.70446033919999995</v>
      </c>
      <c r="H260">
        <v>0.66307704980000004</v>
      </c>
      <c r="I260">
        <v>0.66591204189999997</v>
      </c>
      <c r="J260">
        <v>0.66672745739999995</v>
      </c>
      <c r="K260">
        <v>0.64460897660000005</v>
      </c>
      <c r="L260">
        <v>0.63687772040000001</v>
      </c>
      <c r="M260">
        <v>0.6463262555</v>
      </c>
      <c r="N260">
        <v>0.66940513400000001</v>
      </c>
      <c r="O260">
        <v>0.97170607450000002</v>
      </c>
      <c r="P260">
        <v>1.236851581</v>
      </c>
      <c r="Q260">
        <v>1.4110258920000001</v>
      </c>
      <c r="R260">
        <v>1.567872919</v>
      </c>
      <c r="S260">
        <v>1.7110120879999999</v>
      </c>
      <c r="T260">
        <v>1.759950264</v>
      </c>
      <c r="U260">
        <v>1.809986842</v>
      </c>
      <c r="V260">
        <v>1.901194354</v>
      </c>
      <c r="W260">
        <v>1.5989523830000001</v>
      </c>
      <c r="X260">
        <v>1.361028065</v>
      </c>
      <c r="Y260">
        <v>1.3782043319999999</v>
      </c>
      <c r="Z260">
        <v>1.399790946</v>
      </c>
      <c r="AA260">
        <v>1.4191026849999999</v>
      </c>
      <c r="AB260">
        <v>1.4048969630000001</v>
      </c>
      <c r="AC260">
        <v>1.389036202</v>
      </c>
      <c r="AD260">
        <v>1.421221447</v>
      </c>
      <c r="AE260">
        <v>1.452531247</v>
      </c>
      <c r="AF260">
        <v>1.4836770260000001</v>
      </c>
      <c r="AG260">
        <v>1.4643258029999999</v>
      </c>
      <c r="AH260">
        <v>1.44592031</v>
      </c>
      <c r="AI260">
        <v>1.447660551</v>
      </c>
      <c r="AJ260">
        <v>1.4510681459999999</v>
      </c>
      <c r="AK260">
        <v>1.4553796800000001</v>
      </c>
      <c r="AL260">
        <v>1.3098807189999999</v>
      </c>
      <c r="AM260">
        <v>1.172037947</v>
      </c>
      <c r="AN260">
        <v>1.2212245230000001</v>
      </c>
      <c r="AO260">
        <v>1.26952255</v>
      </c>
      <c r="AP260">
        <v>1.3172830820000001</v>
      </c>
      <c r="AQ260">
        <v>1.365199241</v>
      </c>
      <c r="AR260">
        <v>1.4131593090000001</v>
      </c>
      <c r="AS260">
        <v>1.3304617590000001</v>
      </c>
      <c r="AT260">
        <v>1.2507983490000001</v>
      </c>
      <c r="AU260">
        <v>1.1742007990000001</v>
      </c>
      <c r="AV260">
        <v>1.100382591</v>
      </c>
      <c r="AW260">
        <v>1.0295432470000001</v>
      </c>
    </row>
    <row r="261" spans="2:49" x14ac:dyDescent="0.25">
      <c r="B261" t="s">
        <v>332</v>
      </c>
      <c r="C261">
        <v>0.19372928894524399</v>
      </c>
      <c r="D261">
        <v>0.196839675342774</v>
      </c>
      <c r="E261">
        <v>0.20107637740000001</v>
      </c>
      <c r="F261">
        <v>0.20694482149999999</v>
      </c>
      <c r="G261">
        <v>0.205752872</v>
      </c>
      <c r="H261">
        <v>0.20132555090000001</v>
      </c>
      <c r="I261">
        <v>0.21018286580000001</v>
      </c>
      <c r="J261">
        <v>0.21411857810000001</v>
      </c>
      <c r="K261">
        <v>0.21025462680000001</v>
      </c>
      <c r="L261">
        <v>0.2105817421</v>
      </c>
      <c r="M261">
        <v>0.2162018731</v>
      </c>
      <c r="N261">
        <v>0.22606005000000001</v>
      </c>
      <c r="O261">
        <v>0.27022987230000001</v>
      </c>
      <c r="P261">
        <v>0.30959670309999998</v>
      </c>
      <c r="Q261">
        <v>0.33312861830000001</v>
      </c>
      <c r="R261">
        <v>0.35923544200000002</v>
      </c>
      <c r="S261">
        <v>0.38785956649999997</v>
      </c>
      <c r="T261">
        <v>0.45957319819999998</v>
      </c>
      <c r="U261">
        <v>0.53273442090000001</v>
      </c>
      <c r="V261">
        <v>0.63977418610000003</v>
      </c>
      <c r="W261">
        <v>0.60125901250000002</v>
      </c>
      <c r="X261">
        <v>0.59360389790000001</v>
      </c>
      <c r="Y261">
        <v>0.63004119830000005</v>
      </c>
      <c r="Z261">
        <v>0.66743118050000005</v>
      </c>
      <c r="AA261">
        <v>0.70305747870000002</v>
      </c>
      <c r="AB261">
        <v>0.73045671960000003</v>
      </c>
      <c r="AC261">
        <v>0.75527158110000003</v>
      </c>
      <c r="AD261">
        <v>0.87785461539999998</v>
      </c>
      <c r="AE261">
        <v>0.99638712480000002</v>
      </c>
      <c r="AF261">
        <v>1.1117422770000001</v>
      </c>
      <c r="AG261">
        <v>1.170008851</v>
      </c>
      <c r="AH261">
        <v>1.226161251</v>
      </c>
      <c r="AI261">
        <v>1.251077019</v>
      </c>
      <c r="AJ261">
        <v>1.2767512809999999</v>
      </c>
      <c r="AK261">
        <v>1.3026516260000001</v>
      </c>
      <c r="AL261">
        <v>1.1491847399999999</v>
      </c>
      <c r="AM261">
        <v>1.005886536</v>
      </c>
      <c r="AN261">
        <v>1.0959495189999999</v>
      </c>
      <c r="AO261">
        <v>1.185146705</v>
      </c>
      <c r="AP261">
        <v>1.2739451399999999</v>
      </c>
      <c r="AQ261">
        <v>1.3631624840000001</v>
      </c>
      <c r="AR261">
        <v>1.452888886</v>
      </c>
      <c r="AS261">
        <v>1.371091405</v>
      </c>
      <c r="AT261">
        <v>1.2926201070000001</v>
      </c>
      <c r="AU261">
        <v>1.2174815729999999</v>
      </c>
      <c r="AV261">
        <v>1.1453673849999999</v>
      </c>
      <c r="AW261">
        <v>1.076456372</v>
      </c>
    </row>
    <row r="262" spans="2:49" x14ac:dyDescent="0.25">
      <c r="B262" t="s">
        <v>333</v>
      </c>
      <c r="C262">
        <v>0.38745857789048899</v>
      </c>
      <c r="D262">
        <v>0.39367935068554899</v>
      </c>
      <c r="E262">
        <v>0.40215275490000002</v>
      </c>
      <c r="F262">
        <v>0.53026289609999999</v>
      </c>
      <c r="G262">
        <v>0.67544386739999995</v>
      </c>
      <c r="H262">
        <v>0.84673777230000002</v>
      </c>
      <c r="I262">
        <v>1.1325412459999999</v>
      </c>
      <c r="J262">
        <v>1.47814742</v>
      </c>
      <c r="K262">
        <v>1.8595833159999999</v>
      </c>
      <c r="L262">
        <v>2.3861485340000002</v>
      </c>
      <c r="M262">
        <v>3.1386500289999999</v>
      </c>
      <c r="N262">
        <v>4.2044959720000001</v>
      </c>
      <c r="O262">
        <v>4.0351254479999996</v>
      </c>
      <c r="P262">
        <v>3.7651623019999998</v>
      </c>
      <c r="Q262">
        <v>3.329358773</v>
      </c>
      <c r="R262">
        <v>2.9646135870000001</v>
      </c>
      <c r="S262">
        <v>2.6461247769999998</v>
      </c>
      <c r="T262">
        <v>3.1694690470000002</v>
      </c>
      <c r="U262">
        <v>3.7032511330000002</v>
      </c>
      <c r="V262">
        <v>4.3231675430000003</v>
      </c>
      <c r="W262">
        <v>4.8474069890000004</v>
      </c>
      <c r="X262">
        <v>5.2899590239999998</v>
      </c>
      <c r="Y262">
        <v>5.5731875290000001</v>
      </c>
      <c r="Z262">
        <v>5.8661238329999996</v>
      </c>
      <c r="AA262">
        <v>6.1415132860000003</v>
      </c>
      <c r="AB262">
        <v>6.3108440559999996</v>
      </c>
      <c r="AC262">
        <v>6.4534067520000002</v>
      </c>
      <c r="AD262">
        <v>6.7423298809999999</v>
      </c>
      <c r="AE262">
        <v>7.0248624499999996</v>
      </c>
      <c r="AF262">
        <v>7.3053616960000003</v>
      </c>
      <c r="AG262">
        <v>7.4760583049999996</v>
      </c>
      <c r="AH262">
        <v>7.6401248239999999</v>
      </c>
      <c r="AI262">
        <v>7.7817258679999997</v>
      </c>
      <c r="AJ262">
        <v>7.929891617</v>
      </c>
      <c r="AK262">
        <v>8.0806837130000009</v>
      </c>
      <c r="AL262">
        <v>7.8399207950000003</v>
      </c>
      <c r="AM262">
        <v>7.6163568069999998</v>
      </c>
      <c r="AN262">
        <v>7.7845128189999997</v>
      </c>
      <c r="AO262">
        <v>7.9579798479999999</v>
      </c>
      <c r="AP262">
        <v>8.1385315200000008</v>
      </c>
      <c r="AQ262">
        <v>8.3305326649999998</v>
      </c>
      <c r="AR262">
        <v>8.5322914349999994</v>
      </c>
      <c r="AS262">
        <v>8.3279193580000008</v>
      </c>
      <c r="AT262">
        <v>8.1291171539999905</v>
      </c>
      <c r="AU262">
        <v>7.9369098830000002</v>
      </c>
      <c r="AV262">
        <v>7.7495620389999997</v>
      </c>
      <c r="AW262">
        <v>7.569881788</v>
      </c>
    </row>
    <row r="263" spans="2:49" x14ac:dyDescent="0.25">
      <c r="B263" t="s">
        <v>334</v>
      </c>
      <c r="C263">
        <v>1.1905732046364299</v>
      </c>
      <c r="D263">
        <v>1.2096882425386799</v>
      </c>
      <c r="E263">
        <v>1.2322287510000001</v>
      </c>
      <c r="F263">
        <v>1.2389622259999999</v>
      </c>
      <c r="G263">
        <v>1.1448929240000001</v>
      </c>
      <c r="H263">
        <v>0.92876467789999995</v>
      </c>
      <c r="I263">
        <v>1.0123775079999999</v>
      </c>
      <c r="J263">
        <v>1.03673671</v>
      </c>
      <c r="K263">
        <v>0.98058697539999995</v>
      </c>
      <c r="L263">
        <v>0.97794198389999998</v>
      </c>
      <c r="M263">
        <v>0.98440482100000004</v>
      </c>
      <c r="N263">
        <v>0.99421558899999996</v>
      </c>
      <c r="O263">
        <v>0.94035735769999995</v>
      </c>
      <c r="P263">
        <v>0.9567826572</v>
      </c>
      <c r="Q263">
        <v>0.93798211470000004</v>
      </c>
      <c r="R263">
        <v>0.8896387228</v>
      </c>
      <c r="S263">
        <v>0.86427145670000005</v>
      </c>
      <c r="T263">
        <v>0.88198041559999996</v>
      </c>
      <c r="U263">
        <v>0.88348839609999996</v>
      </c>
      <c r="V263">
        <v>0.90090311199999995</v>
      </c>
      <c r="W263">
        <v>0.89929785709999999</v>
      </c>
      <c r="X263">
        <v>0.89006904450000002</v>
      </c>
      <c r="Y263">
        <v>0.87836565909999997</v>
      </c>
      <c r="Z263">
        <v>0.87655977750000003</v>
      </c>
      <c r="AA263">
        <v>0.87753913059999999</v>
      </c>
      <c r="AB263">
        <v>0.87899492970000004</v>
      </c>
      <c r="AC263">
        <v>0.88161504509999999</v>
      </c>
      <c r="AD263">
        <v>0.88318747109999995</v>
      </c>
      <c r="AE263">
        <v>0.88585734819999995</v>
      </c>
      <c r="AF263">
        <v>0.88875734240000004</v>
      </c>
      <c r="AG263">
        <v>0.89160409880000002</v>
      </c>
      <c r="AH263">
        <v>0.89568849920000004</v>
      </c>
      <c r="AI263">
        <v>0.90163119749999998</v>
      </c>
      <c r="AJ263">
        <v>0.90696950239999996</v>
      </c>
      <c r="AK263">
        <v>0.91249791260000002</v>
      </c>
      <c r="AL263">
        <v>0.91712371999999998</v>
      </c>
      <c r="AM263" s="39">
        <v>0.92192304530000002</v>
      </c>
      <c r="AN263" s="39">
        <v>0.92625300639999997</v>
      </c>
      <c r="AO263" s="39">
        <v>0.93064704249999997</v>
      </c>
      <c r="AP263" s="39">
        <v>0.93450673299999998</v>
      </c>
      <c r="AQ263" s="39">
        <v>0.93817774490000005</v>
      </c>
      <c r="AR263" s="39">
        <v>0.94093534970000003</v>
      </c>
      <c r="AS263" s="39">
        <v>0.94320020760000001</v>
      </c>
      <c r="AT263" s="39">
        <v>0.94588794229999995</v>
      </c>
      <c r="AU263" s="39">
        <v>0.94848180140000005</v>
      </c>
      <c r="AV263">
        <v>0.95080113379999998</v>
      </c>
      <c r="AW263">
        <v>0.95306106180000005</v>
      </c>
    </row>
    <row r="264" spans="2:49" x14ac:dyDescent="0.25">
      <c r="B264" t="s">
        <v>335</v>
      </c>
      <c r="C264">
        <v>1.7112081308179601</v>
      </c>
      <c r="D264">
        <v>1.7386821308642</v>
      </c>
      <c r="E264">
        <v>1.767092841</v>
      </c>
      <c r="F264">
        <v>1.7891781309999999</v>
      </c>
      <c r="G264">
        <v>1.807270699</v>
      </c>
      <c r="H264">
        <v>1.699858359</v>
      </c>
      <c r="I264">
        <v>1.7754200149999999</v>
      </c>
      <c r="J264">
        <v>1.806896582</v>
      </c>
      <c r="K264">
        <v>1.7878849640000001</v>
      </c>
      <c r="L264">
        <v>1.7991558240000001</v>
      </c>
      <c r="M264">
        <v>1.8185877779999999</v>
      </c>
      <c r="N264">
        <v>1.8954507620000001</v>
      </c>
      <c r="O264">
        <v>1.8937554999999999</v>
      </c>
      <c r="P264">
        <v>1.898060538</v>
      </c>
      <c r="Q264">
        <v>1.8733378000000001</v>
      </c>
      <c r="R264">
        <v>1.893373057</v>
      </c>
      <c r="S264">
        <v>1.875823405</v>
      </c>
      <c r="T264">
        <v>1.8809588239999999</v>
      </c>
      <c r="U264">
        <v>1.9046809650000001</v>
      </c>
      <c r="V264">
        <v>1.939709675</v>
      </c>
      <c r="W264">
        <v>1.9687011670000001</v>
      </c>
      <c r="X264">
        <v>1.98365945</v>
      </c>
      <c r="Y264">
        <v>1.998808986</v>
      </c>
      <c r="Z264">
        <v>2.0151648789999999</v>
      </c>
      <c r="AA264">
        <v>2.0338265029999998</v>
      </c>
      <c r="AB264">
        <v>2.0632527000000001</v>
      </c>
      <c r="AC264">
        <v>2.0984882140000001</v>
      </c>
      <c r="AD264">
        <v>2.1109236550000001</v>
      </c>
      <c r="AE264">
        <v>2.1272467599999998</v>
      </c>
      <c r="AF264">
        <v>2.1451657100000001</v>
      </c>
      <c r="AG264">
        <v>2.1646127919999998</v>
      </c>
      <c r="AH264">
        <v>2.1867468620000001</v>
      </c>
      <c r="AI264">
        <v>2.2137362139999999</v>
      </c>
      <c r="AJ264">
        <v>2.2443989329999998</v>
      </c>
      <c r="AK264">
        <v>2.2769274749999999</v>
      </c>
      <c r="AL264">
        <v>2.3109429440000002</v>
      </c>
      <c r="AM264">
        <v>2.346283675</v>
      </c>
      <c r="AN264">
        <v>2.3814722549999998</v>
      </c>
      <c r="AO264">
        <v>2.4174706600000002</v>
      </c>
      <c r="AP264">
        <v>2.4537789129999998</v>
      </c>
      <c r="AQ264">
        <v>2.4904206950000001</v>
      </c>
      <c r="AR264">
        <v>2.5277550510000002</v>
      </c>
      <c r="AS264">
        <v>2.563634956</v>
      </c>
      <c r="AT264">
        <v>2.5995717350000001</v>
      </c>
      <c r="AU264">
        <v>2.6360724449999999</v>
      </c>
      <c r="AV264">
        <v>2.672986276</v>
      </c>
      <c r="AW264">
        <v>2.710322932</v>
      </c>
    </row>
    <row r="265" spans="2:49" x14ac:dyDescent="0.25">
      <c r="B265" t="s">
        <v>336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337</v>
      </c>
      <c r="C266">
        <v>1.5692072404564801</v>
      </c>
      <c r="D266">
        <v>1.5944013702764701</v>
      </c>
      <c r="E266">
        <v>1.6257313120000001</v>
      </c>
      <c r="F266">
        <v>1.652133643</v>
      </c>
      <c r="G266">
        <v>1.6777587220000001</v>
      </c>
      <c r="H266">
        <v>1.5628901100000001</v>
      </c>
      <c r="I266">
        <v>1.653037318</v>
      </c>
      <c r="J266">
        <v>1.708504899</v>
      </c>
      <c r="K266">
        <v>1.7007008640000001</v>
      </c>
      <c r="L266">
        <v>1.7128056300000001</v>
      </c>
      <c r="M266">
        <v>1.7344943450000001</v>
      </c>
      <c r="N266">
        <v>1.7872898909999999</v>
      </c>
      <c r="O266">
        <v>1.851604493</v>
      </c>
      <c r="P266">
        <v>1.948503114</v>
      </c>
      <c r="Q266">
        <v>2.0033969639999998</v>
      </c>
      <c r="R266">
        <v>2.0846399230000001</v>
      </c>
      <c r="S266">
        <v>2.1266121469999999</v>
      </c>
      <c r="T266">
        <v>2.1336218699999998</v>
      </c>
      <c r="U266">
        <v>2.1523513649999999</v>
      </c>
      <c r="V266">
        <v>2.1943140350000001</v>
      </c>
      <c r="W266">
        <v>2.1185945859999999</v>
      </c>
      <c r="X266">
        <v>2.055787998</v>
      </c>
      <c r="Y266">
        <v>2.0184634720000001</v>
      </c>
      <c r="Z266">
        <v>2.0027714579999998</v>
      </c>
      <c r="AA266">
        <v>1.998739144</v>
      </c>
      <c r="AB266">
        <v>2.0109046319999999</v>
      </c>
      <c r="AC266">
        <v>2.0326330509999999</v>
      </c>
      <c r="AD266">
        <v>2.0423374139999999</v>
      </c>
      <c r="AE266">
        <v>2.0576281860000001</v>
      </c>
      <c r="AF266">
        <v>2.0748024370000002</v>
      </c>
      <c r="AG266">
        <v>2.0932212099999998</v>
      </c>
      <c r="AH266">
        <v>2.1143211640000001</v>
      </c>
      <c r="AI266">
        <v>2.1400930319999998</v>
      </c>
      <c r="AJ266">
        <v>2.169304479</v>
      </c>
      <c r="AK266">
        <v>2.200305808</v>
      </c>
      <c r="AL266">
        <v>2.2311684349999998</v>
      </c>
      <c r="AM266">
        <v>2.263169612</v>
      </c>
      <c r="AN266">
        <v>2.2976001429999999</v>
      </c>
      <c r="AO266">
        <v>2.3328617820000002</v>
      </c>
      <c r="AP266">
        <v>2.368316519</v>
      </c>
      <c r="AQ266">
        <v>2.4040852300000002</v>
      </c>
      <c r="AR266">
        <v>2.440496499</v>
      </c>
      <c r="AS266">
        <v>2.4738787759999998</v>
      </c>
      <c r="AT266">
        <v>2.507460214</v>
      </c>
      <c r="AU266" s="39">
        <v>2.5416098210000002</v>
      </c>
      <c r="AV266">
        <v>2.576131712</v>
      </c>
      <c r="AW266">
        <v>2.6110584509999999</v>
      </c>
    </row>
    <row r="267" spans="2:49" x14ac:dyDescent="0.25">
      <c r="B267" t="s">
        <v>338</v>
      </c>
      <c r="C267">
        <v>0.99151022292981705</v>
      </c>
      <c r="D267">
        <v>0.99151022292981705</v>
      </c>
      <c r="E267">
        <v>0.99190345759999998</v>
      </c>
      <c r="F267">
        <v>0.98792100869999999</v>
      </c>
      <c r="G267">
        <v>0.98397037750000005</v>
      </c>
      <c r="H267">
        <v>0.98000820379999998</v>
      </c>
      <c r="I267">
        <v>0.9761115038</v>
      </c>
      <c r="J267">
        <v>0.97221898500000004</v>
      </c>
      <c r="K267">
        <v>0.96833727970000005</v>
      </c>
      <c r="L267">
        <v>0.96448315539999996</v>
      </c>
      <c r="M267">
        <v>0.96063606479999997</v>
      </c>
      <c r="N267">
        <v>0.95683058629999995</v>
      </c>
      <c r="O267">
        <v>0.95615953710000001</v>
      </c>
      <c r="P267">
        <v>0.95545162979999998</v>
      </c>
      <c r="Q267">
        <v>0.95469101670000001</v>
      </c>
      <c r="R267">
        <v>0.95388984600000004</v>
      </c>
      <c r="S267">
        <v>0.95301401060000002</v>
      </c>
      <c r="T267">
        <v>0.95054973300000001</v>
      </c>
      <c r="U267">
        <v>0.94819246369999999</v>
      </c>
      <c r="V267">
        <v>0.94593259789999995</v>
      </c>
      <c r="W267">
        <v>0.94001380670000001</v>
      </c>
      <c r="X267">
        <v>0.93371897020000005</v>
      </c>
      <c r="Y267">
        <v>0.93102900330000005</v>
      </c>
      <c r="Z267">
        <v>0.92809995810000001</v>
      </c>
      <c r="AA267">
        <v>0.92490195470000003</v>
      </c>
      <c r="AB267">
        <v>0.92148380409999997</v>
      </c>
      <c r="AC267">
        <v>0.91773185319999995</v>
      </c>
      <c r="AD267">
        <v>0.90075499160000005</v>
      </c>
      <c r="AE267">
        <v>0.8820997907</v>
      </c>
      <c r="AF267">
        <v>0.8614994614</v>
      </c>
      <c r="AG267">
        <v>0.83889334059999998</v>
      </c>
      <c r="AH267">
        <v>0.81364759460000002</v>
      </c>
      <c r="AI267">
        <v>0.78307646529999997</v>
      </c>
      <c r="AJ267">
        <v>0.74849569500000002</v>
      </c>
      <c r="AK267">
        <v>0.70903131279999998</v>
      </c>
      <c r="AL267">
        <v>0.66489987620000002</v>
      </c>
      <c r="AM267">
        <v>0.61340512199999997</v>
      </c>
      <c r="AN267">
        <v>0.58914832490000002</v>
      </c>
      <c r="AO267">
        <v>0.56153392339999997</v>
      </c>
      <c r="AP267">
        <v>0.52976292560000005</v>
      </c>
      <c r="AQ267">
        <v>0.49278506249999998</v>
      </c>
      <c r="AR267">
        <v>0.44926638279999997</v>
      </c>
      <c r="AS267">
        <v>0.4449649141</v>
      </c>
      <c r="AT267">
        <v>0.44000207060000002</v>
      </c>
      <c r="AU267">
        <v>0.43423772579999997</v>
      </c>
      <c r="AV267">
        <v>0.42751709119999998</v>
      </c>
      <c r="AW267">
        <v>0.41960110090000002</v>
      </c>
    </row>
    <row r="268" spans="2:49" x14ac:dyDescent="0.25">
      <c r="B268" t="s">
        <v>339</v>
      </c>
      <c r="C268">
        <v>8.4897770701825997E-3</v>
      </c>
      <c r="D268">
        <v>8.4897770701825997E-3</v>
      </c>
      <c r="E268">
        <v>8.0965420199999999E-3</v>
      </c>
      <c r="F268">
        <v>1.20789917E-2</v>
      </c>
      <c r="G268">
        <v>1.60296199E-2</v>
      </c>
      <c r="H268">
        <v>1.99917906E-2</v>
      </c>
      <c r="I268">
        <v>2.3893451699999999E-2</v>
      </c>
      <c r="J268">
        <v>2.7781014900000001E-2</v>
      </c>
      <c r="K268">
        <v>3.16627191E-2</v>
      </c>
      <c r="L268">
        <v>3.5516844800000003E-2</v>
      </c>
      <c r="M268">
        <v>3.9363935199999998E-2</v>
      </c>
      <c r="N268">
        <v>4.3169414099999998E-2</v>
      </c>
      <c r="O268">
        <v>4.3840463199999999E-2</v>
      </c>
      <c r="P268">
        <v>4.4548369400000003E-2</v>
      </c>
      <c r="Q268">
        <v>4.5308981599999999E-2</v>
      </c>
      <c r="R268">
        <v>4.6110150000000003E-2</v>
      </c>
      <c r="S268">
        <v>4.6985973399999999E-2</v>
      </c>
      <c r="T268">
        <v>4.9450267300000003E-2</v>
      </c>
      <c r="U268">
        <v>5.1807494699999998E-2</v>
      </c>
      <c r="V268">
        <v>5.4067517699999998E-2</v>
      </c>
      <c r="W268">
        <v>5.9986255500000002E-2</v>
      </c>
      <c r="X268">
        <v>6.6281033899999994E-2</v>
      </c>
      <c r="Y268">
        <v>6.8970997100000001E-2</v>
      </c>
      <c r="Z268">
        <v>7.1900036299999998E-2</v>
      </c>
      <c r="AA268">
        <v>7.5098041500000004E-2</v>
      </c>
      <c r="AB268">
        <v>7.8516195299999994E-2</v>
      </c>
      <c r="AC268">
        <v>8.2268146400000006E-2</v>
      </c>
      <c r="AD268">
        <v>9.9245008300000007E-2</v>
      </c>
      <c r="AE268">
        <v>0.11790020919999999</v>
      </c>
      <c r="AF268">
        <v>0.13850053849999999</v>
      </c>
      <c r="AG268">
        <v>0.16110665939999999</v>
      </c>
      <c r="AH268">
        <v>0.1863524054</v>
      </c>
      <c r="AI268">
        <v>0.21692354650000001</v>
      </c>
      <c r="AJ268">
        <v>0.2515043166</v>
      </c>
      <c r="AK268">
        <v>0.29096868720000002</v>
      </c>
      <c r="AL268">
        <v>0.335100124</v>
      </c>
      <c r="AM268">
        <v>0.38659487609999998</v>
      </c>
      <c r="AN268">
        <v>0.41085167490000002</v>
      </c>
      <c r="AO268">
        <v>0.43846607630000001</v>
      </c>
      <c r="AP268">
        <v>0.47023707390000002</v>
      </c>
      <c r="AQ268">
        <v>0.50721493839999998</v>
      </c>
      <c r="AR268">
        <v>0.55073361710000002</v>
      </c>
      <c r="AS268">
        <v>0.55503508540000002</v>
      </c>
      <c r="AT268">
        <v>0.5599979289</v>
      </c>
      <c r="AU268">
        <v>0.56576227359999998</v>
      </c>
      <c r="AV268">
        <v>0.57248290810000002</v>
      </c>
      <c r="AW268">
        <v>0.58039889820000001</v>
      </c>
    </row>
    <row r="269" spans="2:49" x14ac:dyDescent="0.25">
      <c r="B269" t="s">
        <v>340</v>
      </c>
      <c r="C269">
        <v>0.79896379760487002</v>
      </c>
      <c r="D269">
        <v>0.79896379760486902</v>
      </c>
      <c r="E269">
        <v>0.79896379760000003</v>
      </c>
      <c r="F269">
        <v>0.79638417930000005</v>
      </c>
      <c r="G269">
        <v>0.79381292349999999</v>
      </c>
      <c r="H269">
        <v>0.79124992149999995</v>
      </c>
      <c r="I269">
        <v>0.78869496409999995</v>
      </c>
      <c r="J269">
        <v>0.78614873760000004</v>
      </c>
      <c r="K269">
        <v>0.78361049890000001</v>
      </c>
      <c r="L269">
        <v>0.78108042430000002</v>
      </c>
      <c r="M269">
        <v>0.77855857679999996</v>
      </c>
      <c r="N269">
        <v>0.77604484610000002</v>
      </c>
      <c r="O269">
        <v>0.76081534360000003</v>
      </c>
      <c r="P269">
        <v>0.74503571710000005</v>
      </c>
      <c r="Q269">
        <v>0.72867559849999997</v>
      </c>
      <c r="R269">
        <v>0.71170238610000003</v>
      </c>
      <c r="S269">
        <v>0.69408090580000004</v>
      </c>
      <c r="T269">
        <v>0.68549363900000004</v>
      </c>
      <c r="U269">
        <v>0.67684744159999999</v>
      </c>
      <c r="V269">
        <v>0.66814169580000005</v>
      </c>
      <c r="W269">
        <v>0.66600334100000003</v>
      </c>
      <c r="X269">
        <v>0.66409479790000003</v>
      </c>
      <c r="Y269">
        <v>0.65512635910000006</v>
      </c>
      <c r="Z269">
        <v>0.64638428329999997</v>
      </c>
      <c r="AA269">
        <v>0.63786013699999999</v>
      </c>
      <c r="AB269">
        <v>0.6293987808</v>
      </c>
      <c r="AC269">
        <v>0.62114143310000003</v>
      </c>
      <c r="AD269">
        <v>0.60190844489999995</v>
      </c>
      <c r="AE269">
        <v>0.58312393819999997</v>
      </c>
      <c r="AF269">
        <v>0.56477240929999994</v>
      </c>
      <c r="AG269">
        <v>0.54832211340000003</v>
      </c>
      <c r="AH269">
        <v>0.53224115780000003</v>
      </c>
      <c r="AI269">
        <v>0.52351369910000001</v>
      </c>
      <c r="AJ269">
        <v>0.51499765760000005</v>
      </c>
      <c r="AK269">
        <v>0.50668544410000005</v>
      </c>
      <c r="AL269">
        <v>0.49889154889999998</v>
      </c>
      <c r="AM269">
        <v>0.49127847450000001</v>
      </c>
      <c r="AN269">
        <v>0.4726843094</v>
      </c>
      <c r="AO269">
        <v>0.4544022144</v>
      </c>
      <c r="AP269">
        <v>0.4364243988</v>
      </c>
      <c r="AQ269">
        <v>0.41874332860000002</v>
      </c>
      <c r="AR269">
        <v>0.40135171720000001</v>
      </c>
      <c r="AS269">
        <v>0.38480951260000001</v>
      </c>
      <c r="AT269">
        <v>0.36843088210000002</v>
      </c>
      <c r="AU269">
        <v>0.35221341119999999</v>
      </c>
      <c r="AV269">
        <v>0.33615473309999999</v>
      </c>
      <c r="AW269">
        <v>0.3202525269</v>
      </c>
    </row>
    <row r="270" spans="2:49" x14ac:dyDescent="0.25">
      <c r="B270" t="s">
        <v>341</v>
      </c>
      <c r="C270">
        <v>1.02537481030392E-2</v>
      </c>
      <c r="D270">
        <v>1.02537481030392E-2</v>
      </c>
      <c r="E270">
        <v>1.02537481E-2</v>
      </c>
      <c r="F270">
        <v>9.6835705099999995E-3</v>
      </c>
      <c r="G270">
        <v>9.1450990200000002E-3</v>
      </c>
      <c r="H270">
        <v>8.6365696399999907E-3</v>
      </c>
      <c r="I270">
        <v>8.1563155499999995E-3</v>
      </c>
      <c r="J270">
        <v>7.7027716799999996E-3</v>
      </c>
      <c r="K270">
        <v>7.2744456200000002E-3</v>
      </c>
      <c r="L270">
        <v>6.8699371E-3</v>
      </c>
      <c r="M270">
        <v>6.4879224899999999E-3</v>
      </c>
      <c r="N270">
        <v>6.1271502600000003E-3</v>
      </c>
      <c r="O270">
        <v>5.5291148799999999E-3</v>
      </c>
      <c r="P270">
        <v>4.9094769999999998E-3</v>
      </c>
      <c r="Q270">
        <v>4.26704449E-3</v>
      </c>
      <c r="R270">
        <v>3.6005361499999999E-3</v>
      </c>
      <c r="S270">
        <v>2.9085724499999998E-3</v>
      </c>
      <c r="T270">
        <v>3.81905458E-3</v>
      </c>
      <c r="U270">
        <v>4.7357845900000001E-3</v>
      </c>
      <c r="V270">
        <v>5.6588269100000003E-3</v>
      </c>
      <c r="W270">
        <v>3.8630293000000001E-3</v>
      </c>
      <c r="X270">
        <v>2.2602297799999998E-3</v>
      </c>
      <c r="Y270">
        <v>1.71824613E-3</v>
      </c>
      <c r="Z270">
        <v>1.18994309E-3</v>
      </c>
      <c r="AA270">
        <v>6.7480922500000003E-4</v>
      </c>
      <c r="AB270">
        <v>5.9819737999999996E-4</v>
      </c>
      <c r="AC270">
        <v>5.2343271499999996E-4</v>
      </c>
      <c r="AD270">
        <v>5.1095591800000002E-4</v>
      </c>
      <c r="AE270">
        <v>4.9877005900000003E-4</v>
      </c>
      <c r="AF270">
        <v>4.8686508100000001E-4</v>
      </c>
      <c r="AG270">
        <v>4.7618876299999999E-4</v>
      </c>
      <c r="AH270">
        <v>4.65752149E-4</v>
      </c>
      <c r="AI270" s="39">
        <v>3.7358135100000001E-4</v>
      </c>
      <c r="AJ270" s="39">
        <v>2.8364332800000003E-4</v>
      </c>
      <c r="AK270" s="39">
        <v>1.9585791800000001E-4</v>
      </c>
      <c r="AL270" s="39">
        <v>2.08324792E-4</v>
      </c>
      <c r="AM270" s="39">
        <v>2.2050242899999999E-4</v>
      </c>
      <c r="AN270" s="39">
        <v>2.11805473E-4</v>
      </c>
      <c r="AO270" s="39">
        <v>2.03254479E-4</v>
      </c>
      <c r="AP270" s="39">
        <v>1.94845805E-4</v>
      </c>
      <c r="AQ270" s="39">
        <v>1.8657592500000001E-4</v>
      </c>
      <c r="AR270" s="39">
        <v>1.78441433E-4</v>
      </c>
      <c r="AS270" s="39">
        <v>1.7755481E-4</v>
      </c>
      <c r="AT270" s="39">
        <v>1.76676954E-4</v>
      </c>
      <c r="AU270" s="39">
        <v>1.7580773600000001E-4</v>
      </c>
      <c r="AV270" s="39">
        <v>1.74947028E-4</v>
      </c>
      <c r="AW270" s="39">
        <v>1.7409470800000001E-4</v>
      </c>
    </row>
    <row r="271" spans="2:49" x14ac:dyDescent="0.25">
      <c r="B271" t="s">
        <v>342</v>
      </c>
      <c r="C271">
        <v>4.0949078402655603E-2</v>
      </c>
      <c r="D271">
        <v>4.0949078402655603E-2</v>
      </c>
      <c r="E271">
        <v>4.0949078399999998E-2</v>
      </c>
      <c r="F271">
        <v>4.0876232399999997E-2</v>
      </c>
      <c r="G271">
        <v>4.0803517800000001E-2</v>
      </c>
      <c r="H271">
        <v>4.07309301E-2</v>
      </c>
      <c r="I271">
        <v>4.0658459600000002E-2</v>
      </c>
      <c r="J271">
        <v>4.0586142800000002E-2</v>
      </c>
      <c r="K271">
        <v>4.05139427E-2</v>
      </c>
      <c r="L271">
        <v>4.0441869399999997E-2</v>
      </c>
      <c r="M271">
        <v>4.0369927299999997E-2</v>
      </c>
      <c r="N271">
        <v>4.0298111900000003E-2</v>
      </c>
      <c r="O271">
        <v>4.42463061E-2</v>
      </c>
      <c r="P271">
        <v>4.8337119099999999E-2</v>
      </c>
      <c r="Q271">
        <v>5.2578420000000001E-2</v>
      </c>
      <c r="R271">
        <v>5.6978670600000003E-2</v>
      </c>
      <c r="S271">
        <v>6.1546972700000001E-2</v>
      </c>
      <c r="T271">
        <v>5.87605951E-2</v>
      </c>
      <c r="U271">
        <v>5.5955096500000003E-2</v>
      </c>
      <c r="V271">
        <v>5.3130278900000001E-2</v>
      </c>
      <c r="W271">
        <v>5.6183854800000002E-2</v>
      </c>
      <c r="X271">
        <v>5.8909256399999999E-2</v>
      </c>
      <c r="Y271">
        <v>5.6639144000000002E-2</v>
      </c>
      <c r="Z271">
        <v>5.4426331799999998E-2</v>
      </c>
      <c r="AA271">
        <v>5.2268680200000001E-2</v>
      </c>
      <c r="AB271">
        <v>5.0196503699999999E-2</v>
      </c>
      <c r="AC271">
        <v>4.8174289100000003E-2</v>
      </c>
      <c r="AD271">
        <v>4.5049255199999999E-2</v>
      </c>
      <c r="AE271">
        <v>4.1997092E-2</v>
      </c>
      <c r="AF271">
        <v>3.9015280499999999E-2</v>
      </c>
      <c r="AG271">
        <v>3.6346307500000001E-2</v>
      </c>
      <c r="AH271">
        <v>3.3737257999999999E-2</v>
      </c>
      <c r="AI271">
        <v>2.7298170199999999E-2</v>
      </c>
      <c r="AJ271">
        <v>2.1015064900000002E-2</v>
      </c>
      <c r="AK271">
        <v>1.4882342099999999E-2</v>
      </c>
      <c r="AL271">
        <v>9.1889673799999995E-3</v>
      </c>
      <c r="AM271">
        <v>3.62768116E-3</v>
      </c>
      <c r="AN271">
        <v>3.8553466799999998E-3</v>
      </c>
      <c r="AO271">
        <v>4.0791912400000001E-3</v>
      </c>
      <c r="AP271">
        <v>4.2993102199999998E-3</v>
      </c>
      <c r="AQ271">
        <v>4.5157958800000004E-3</v>
      </c>
      <c r="AR271">
        <v>4.7287374200000003E-3</v>
      </c>
      <c r="AS271">
        <v>4.8924664499999998E-3</v>
      </c>
      <c r="AT271">
        <v>5.0545764799999997E-3</v>
      </c>
      <c r="AU271">
        <v>5.2150914E-3</v>
      </c>
      <c r="AV271">
        <v>5.3740346499999998E-3</v>
      </c>
      <c r="AW271">
        <v>5.5314292000000001E-3</v>
      </c>
    </row>
    <row r="272" spans="2:49" x14ac:dyDescent="0.25">
      <c r="B272" t="s">
        <v>343</v>
      </c>
      <c r="C272">
        <v>4.0858446639591303E-2</v>
      </c>
      <c r="D272">
        <v>4.0858446639591303E-2</v>
      </c>
      <c r="E272">
        <v>4.0858446600000001E-2</v>
      </c>
      <c r="F272">
        <v>3.7501973100000002E-2</v>
      </c>
      <c r="G272">
        <v>3.4421231400000002E-2</v>
      </c>
      <c r="H272">
        <v>3.1593567000000003E-2</v>
      </c>
      <c r="I272">
        <v>2.89981835E-2</v>
      </c>
      <c r="J272">
        <v>2.6616024700000001E-2</v>
      </c>
      <c r="K272">
        <v>2.4429549500000002E-2</v>
      </c>
      <c r="L272">
        <v>2.2422689900000001E-2</v>
      </c>
      <c r="M272">
        <v>2.0580693000000001E-2</v>
      </c>
      <c r="N272">
        <v>1.8890013300000001E-2</v>
      </c>
      <c r="O272">
        <v>1.6445307100000001E-2</v>
      </c>
      <c r="P272">
        <v>1.3912292099999999E-2</v>
      </c>
      <c r="Q272">
        <v>1.1286095100000001E-2</v>
      </c>
      <c r="R272">
        <v>8.5614784899999997E-3</v>
      </c>
      <c r="S272">
        <v>5.7328032399999998E-3</v>
      </c>
      <c r="T272">
        <v>5.47000478E-3</v>
      </c>
      <c r="U272">
        <v>5.2054029300000002E-3</v>
      </c>
      <c r="V272">
        <v>4.9389789899999996E-3</v>
      </c>
      <c r="W272">
        <v>3.03576461E-3</v>
      </c>
      <c r="X272">
        <v>1.3370926300000001E-3</v>
      </c>
      <c r="Y272">
        <v>1.02666791E-3</v>
      </c>
      <c r="Z272">
        <v>7.24078859E-4</v>
      </c>
      <c r="AA272">
        <v>4.2903253300000002E-4</v>
      </c>
      <c r="AB272">
        <v>4.2379723100000001E-4</v>
      </c>
      <c r="AC272">
        <v>4.1868815599999999E-4</v>
      </c>
      <c r="AD272">
        <v>3.4479082200000001E-4</v>
      </c>
      <c r="AE272">
        <v>2.7261665900000002E-4</v>
      </c>
      <c r="AF272">
        <v>2.0210609100000001E-4</v>
      </c>
      <c r="AG272">
        <v>1.998115E-4</v>
      </c>
      <c r="AH272">
        <v>1.9756842699999999E-4</v>
      </c>
      <c r="AI272">
        <v>1.9514610799999999E-4</v>
      </c>
      <c r="AJ272">
        <v>1.9278246900000001E-4</v>
      </c>
      <c r="AK272">
        <v>1.90475402E-4</v>
      </c>
      <c r="AL272">
        <v>1.88239918E-4</v>
      </c>
      <c r="AM272">
        <v>1.8605629800000001E-4</v>
      </c>
      <c r="AN272">
        <v>1.8448177199999999E-4</v>
      </c>
      <c r="AO272">
        <v>1.8293367100000001E-4</v>
      </c>
      <c r="AP272">
        <v>1.8141133599999999E-4</v>
      </c>
      <c r="AQ272">
        <v>1.7991412900000001E-4</v>
      </c>
      <c r="AR272">
        <v>1.78441433E-4</v>
      </c>
      <c r="AS272">
        <v>1.7755481E-4</v>
      </c>
      <c r="AT272" s="39">
        <v>1.76676954E-4</v>
      </c>
      <c r="AU272" s="39">
        <v>1.7580773600000001E-4</v>
      </c>
      <c r="AV272" s="39">
        <v>1.74947028E-4</v>
      </c>
      <c r="AW272" s="39">
        <v>1.7409470800000001E-4</v>
      </c>
    </row>
    <row r="273" spans="2:49" x14ac:dyDescent="0.25">
      <c r="B273" t="s">
        <v>344</v>
      </c>
      <c r="C273">
        <v>8.2546962733871607E-3</v>
      </c>
      <c r="D273">
        <v>8.2546962733871607E-3</v>
      </c>
      <c r="E273">
        <v>8.2546962700000004E-3</v>
      </c>
      <c r="F273">
        <v>1.7081659700000001E-2</v>
      </c>
      <c r="G273">
        <v>2.5176001699999999E-2</v>
      </c>
      <c r="H273">
        <v>3.2493267999999999E-2</v>
      </c>
      <c r="I273">
        <v>3.8964693100000003E-2</v>
      </c>
      <c r="J273">
        <v>4.44904359E-2</v>
      </c>
      <c r="K273">
        <v>4.8930383500000001E-2</v>
      </c>
      <c r="L273">
        <v>5.20921944E-2</v>
      </c>
      <c r="M273">
        <v>5.37152194E-2</v>
      </c>
      <c r="N273">
        <v>5.3449221399999997E-2</v>
      </c>
      <c r="O273">
        <v>5.9116927499999999E-2</v>
      </c>
      <c r="P273">
        <v>6.4989365699999996E-2</v>
      </c>
      <c r="Q273">
        <v>7.1077831999999896E-2</v>
      </c>
      <c r="R273">
        <v>7.7394473399999997E-2</v>
      </c>
      <c r="S273">
        <v>8.3952356199999995E-2</v>
      </c>
      <c r="T273">
        <v>8.81391225E-2</v>
      </c>
      <c r="U273">
        <v>9.2354618700000002E-2</v>
      </c>
      <c r="V273">
        <v>9.6599140299999997E-2</v>
      </c>
      <c r="W273">
        <v>9.8516193200000005E-2</v>
      </c>
      <c r="X273">
        <v>0.1002272162</v>
      </c>
      <c r="Y273">
        <v>0.10586853440000001</v>
      </c>
      <c r="Z273">
        <v>0.1113674526</v>
      </c>
      <c r="AA273">
        <v>0.11672930030000001</v>
      </c>
      <c r="AB273">
        <v>0.12171420619999999</v>
      </c>
      <c r="AC273">
        <v>0.12657892079999999</v>
      </c>
      <c r="AD273">
        <v>0.14072423549999999</v>
      </c>
      <c r="AE273">
        <v>0.15453970249999999</v>
      </c>
      <c r="AF273">
        <v>0.1680367267</v>
      </c>
      <c r="AG273">
        <v>0.1804881287</v>
      </c>
      <c r="AH273">
        <v>0.1926599732</v>
      </c>
      <c r="AI273">
        <v>0.20455367059999999</v>
      </c>
      <c r="AJ273">
        <v>0.2161592517</v>
      </c>
      <c r="AK273">
        <v>0.22748706090000001</v>
      </c>
      <c r="AL273">
        <v>0.23793841709999999</v>
      </c>
      <c r="AM273">
        <v>0.24814729739999999</v>
      </c>
      <c r="AN273">
        <v>0.26109106230000001</v>
      </c>
      <c r="AO273">
        <v>0.27381758880000001</v>
      </c>
      <c r="AP273">
        <v>0.28633230040000002</v>
      </c>
      <c r="AQ273">
        <v>0.29864044150000002</v>
      </c>
      <c r="AR273">
        <v>0.31074708499999998</v>
      </c>
      <c r="AS273">
        <v>0.32349417860000002</v>
      </c>
      <c r="AT273">
        <v>0.3361152254</v>
      </c>
      <c r="AU273">
        <v>0.34861208570000002</v>
      </c>
      <c r="AV273">
        <v>0.36098658340000001</v>
      </c>
      <c r="AW273">
        <v>0.373240507</v>
      </c>
    </row>
    <row r="274" spans="2:49" x14ac:dyDescent="0.25">
      <c r="B274" t="s">
        <v>345</v>
      </c>
      <c r="C274">
        <v>1.85730666151211E-3</v>
      </c>
      <c r="D274">
        <v>1.85730666151211E-3</v>
      </c>
      <c r="E274">
        <v>1.8573066599999999E-3</v>
      </c>
      <c r="F274">
        <v>2.4629865800000002E-3</v>
      </c>
      <c r="G274">
        <v>3.26618284E-3</v>
      </c>
      <c r="H274">
        <v>4.3313064599999999E-3</v>
      </c>
      <c r="I274">
        <v>5.7437721900000004E-3</v>
      </c>
      <c r="J274">
        <v>7.6168563700000002E-3</v>
      </c>
      <c r="K274">
        <v>1.0100763400000001E-2</v>
      </c>
      <c r="L274">
        <v>1.3394688199999999E-2</v>
      </c>
      <c r="M274">
        <v>1.7762784899999998E-2</v>
      </c>
      <c r="N274">
        <v>2.3555346000000001E-2</v>
      </c>
      <c r="O274">
        <v>2.60531331E-2</v>
      </c>
      <c r="P274">
        <v>2.8641146700000002E-2</v>
      </c>
      <c r="Q274">
        <v>3.1324365100000001E-2</v>
      </c>
      <c r="R274">
        <v>3.4108141299999999E-2</v>
      </c>
      <c r="S274">
        <v>3.6998233899999997E-2</v>
      </c>
      <c r="T274">
        <v>3.8309503799999998E-2</v>
      </c>
      <c r="U274">
        <v>3.9629771699999997E-2</v>
      </c>
      <c r="V274">
        <v>4.0959130000000003E-2</v>
      </c>
      <c r="W274">
        <v>4.5104664199999998E-2</v>
      </c>
      <c r="X274">
        <v>4.8804669199999998E-2</v>
      </c>
      <c r="Y274">
        <v>5.70596201E-2</v>
      </c>
      <c r="Z274">
        <v>6.5106199300000001E-2</v>
      </c>
      <c r="AA274">
        <v>7.29522009E-2</v>
      </c>
      <c r="AB274">
        <v>8.0342860200000005E-2</v>
      </c>
      <c r="AC274">
        <v>8.7555323500000004E-2</v>
      </c>
      <c r="AD274">
        <v>9.5459329999999995E-2</v>
      </c>
      <c r="AE274">
        <v>0.1031790268</v>
      </c>
      <c r="AF274">
        <v>0.1107207866</v>
      </c>
      <c r="AG274">
        <v>0.1175910845</v>
      </c>
      <c r="AH274">
        <v>0.1243071312</v>
      </c>
      <c r="AI274">
        <v>0.12893509289999999</v>
      </c>
      <c r="AJ274">
        <v>0.13345094560000001</v>
      </c>
      <c r="AK274">
        <v>0.13785871459999999</v>
      </c>
      <c r="AL274">
        <v>0.1419413665</v>
      </c>
      <c r="AM274">
        <v>0.1459292992</v>
      </c>
      <c r="AN274">
        <v>0.15162442779999999</v>
      </c>
      <c r="AO274">
        <v>0.15722397369999999</v>
      </c>
      <c r="AP274">
        <v>0.1627303232</v>
      </c>
      <c r="AQ274">
        <v>0.16814578359999999</v>
      </c>
      <c r="AR274">
        <v>0.17347258709999999</v>
      </c>
      <c r="AS274">
        <v>0.17767761939999999</v>
      </c>
      <c r="AT274">
        <v>0.18184107120000001</v>
      </c>
      <c r="AU274">
        <v>0.18596355610000001</v>
      </c>
      <c r="AV274">
        <v>0.19004567589999999</v>
      </c>
      <c r="AW274">
        <v>0.19408802050000001</v>
      </c>
    </row>
    <row r="275" spans="2:49" x14ac:dyDescent="0.25">
      <c r="B275" t="s">
        <v>346</v>
      </c>
      <c r="C275">
        <v>9.2848272947954696E-2</v>
      </c>
      <c r="D275">
        <v>9.2848272947954599E-2</v>
      </c>
      <c r="E275">
        <v>9.2848272900000001E-2</v>
      </c>
      <c r="F275">
        <v>8.9289128800000006E-2</v>
      </c>
      <c r="G275">
        <v>8.5866420499999999E-2</v>
      </c>
      <c r="H275">
        <v>8.2574909599999996E-2</v>
      </c>
      <c r="I275">
        <v>7.9409548600000004E-2</v>
      </c>
      <c r="J275">
        <v>7.6365572800000003E-2</v>
      </c>
      <c r="K275">
        <v>7.3438258699999995E-2</v>
      </c>
      <c r="L275">
        <v>7.0623154300000004E-2</v>
      </c>
      <c r="M275">
        <v>6.7915966199999997E-2</v>
      </c>
      <c r="N275">
        <v>6.53125502E-2</v>
      </c>
      <c r="O275">
        <v>7.2238232799999996E-2</v>
      </c>
      <c r="P275">
        <v>7.9414088699999996E-2</v>
      </c>
      <c r="Q275">
        <v>8.6853921400000006E-2</v>
      </c>
      <c r="R275">
        <v>9.4572573699999996E-2</v>
      </c>
      <c r="S275">
        <v>0.10258601220000001</v>
      </c>
      <c r="T275">
        <v>0.10719493450000001</v>
      </c>
      <c r="U275">
        <v>0.11183548359999999</v>
      </c>
      <c r="V275">
        <v>0.11650798449999999</v>
      </c>
      <c r="W275">
        <v>0.1114225626</v>
      </c>
      <c r="X275">
        <v>0.1068836811</v>
      </c>
      <c r="Y275">
        <v>0.10566576129999999</v>
      </c>
      <c r="Z275">
        <v>0.1044785812</v>
      </c>
      <c r="AA275">
        <v>0.1033209964</v>
      </c>
      <c r="AB275">
        <v>0.1021183972</v>
      </c>
      <c r="AC275">
        <v>0.10094479319999999</v>
      </c>
      <c r="AD275">
        <v>0.1008564004</v>
      </c>
      <c r="AE275">
        <v>0.1007700683</v>
      </c>
      <c r="AF275">
        <v>0.10068572620000001</v>
      </c>
      <c r="AG275">
        <v>0.10008070970000001</v>
      </c>
      <c r="AH275">
        <v>9.9489276900000007E-2</v>
      </c>
      <c r="AI275">
        <v>9.7538915300000001E-2</v>
      </c>
      <c r="AJ275">
        <v>9.5635800000000007E-2</v>
      </c>
      <c r="AK275">
        <v>9.3778235000000001E-2</v>
      </c>
      <c r="AL275">
        <v>9.2106687100000001E-2</v>
      </c>
      <c r="AM275">
        <v>9.0473919700000002E-2</v>
      </c>
      <c r="AN275">
        <v>9.0195801699999995E-2</v>
      </c>
      <c r="AO275">
        <v>8.9922351499999997E-2</v>
      </c>
      <c r="AP275">
        <v>8.96534524E-2</v>
      </c>
      <c r="AQ275">
        <v>8.9388991799999998E-2</v>
      </c>
      <c r="AR275">
        <v>8.9128860700000007E-2</v>
      </c>
      <c r="AS275">
        <v>8.8476668300000005E-2</v>
      </c>
      <c r="AT275">
        <v>8.7830925000000004E-2</v>
      </c>
      <c r="AU275">
        <v>8.7191535599999995E-2</v>
      </c>
      <c r="AV275">
        <v>8.6558406700000007E-2</v>
      </c>
      <c r="AW275">
        <v>8.59314469E-2</v>
      </c>
    </row>
    <row r="276" spans="2:49" x14ac:dyDescent="0.25">
      <c r="B276" t="s">
        <v>347</v>
      </c>
      <c r="C276">
        <v>6.0146533669896496E-3</v>
      </c>
      <c r="D276">
        <v>6.0146533669896496E-3</v>
      </c>
      <c r="E276">
        <v>6.0146533700000003E-3</v>
      </c>
      <c r="F276">
        <v>6.7202666100000001E-3</v>
      </c>
      <c r="G276">
        <v>7.5086596899999998E-3</v>
      </c>
      <c r="H276">
        <v>8.3895431800000003E-3</v>
      </c>
      <c r="I276">
        <v>9.3737653599999995E-3</v>
      </c>
      <c r="J276">
        <v>1.04734583E-2</v>
      </c>
      <c r="K276">
        <v>1.17021594E-2</v>
      </c>
      <c r="L276">
        <v>1.3075006E-2</v>
      </c>
      <c r="M276">
        <v>1.4608909999999999E-2</v>
      </c>
      <c r="N276">
        <v>1.63227645E-2</v>
      </c>
      <c r="O276">
        <v>1.55556345E-2</v>
      </c>
      <c r="P276">
        <v>1.4760793899999999E-2</v>
      </c>
      <c r="Q276">
        <v>1.39367134E-2</v>
      </c>
      <c r="R276">
        <v>1.30817499E-2</v>
      </c>
      <c r="S276">
        <v>1.21941332E-2</v>
      </c>
      <c r="T276">
        <v>1.28131462E-2</v>
      </c>
      <c r="U276">
        <v>1.34364069E-2</v>
      </c>
      <c r="V276">
        <v>1.4063958999999999E-2</v>
      </c>
      <c r="W276">
        <v>1.5870585999999999E-2</v>
      </c>
      <c r="X276">
        <v>1.7483051100000001E-2</v>
      </c>
      <c r="Y276">
        <v>1.6895669200000001E-2</v>
      </c>
      <c r="Z276">
        <v>1.63231135E-2</v>
      </c>
      <c r="AA276">
        <v>1.5764830399999999E-2</v>
      </c>
      <c r="AB276">
        <v>1.52072509E-2</v>
      </c>
      <c r="AC276">
        <v>1.46631152E-2</v>
      </c>
      <c r="AD276">
        <v>1.51465873E-2</v>
      </c>
      <c r="AE276">
        <v>1.5618785499999999E-2</v>
      </c>
      <c r="AF276">
        <v>1.6080099699999999E-2</v>
      </c>
      <c r="AG276">
        <v>1.6495656099999999E-2</v>
      </c>
      <c r="AH276">
        <v>1.69018825E-2</v>
      </c>
      <c r="AI276">
        <v>1.75917225E-2</v>
      </c>
      <c r="AJ276">
        <v>1.82648516E-2</v>
      </c>
      <c r="AK276">
        <v>1.8921869800000001E-2</v>
      </c>
      <c r="AL276">
        <v>1.9536448800000002E-2</v>
      </c>
      <c r="AM276">
        <v>2.0136769299999999E-2</v>
      </c>
      <c r="AN276">
        <v>2.0152765199999999E-2</v>
      </c>
      <c r="AO276">
        <v>2.0168492499999999E-2</v>
      </c>
      <c r="AP276">
        <v>2.01839581E-2</v>
      </c>
      <c r="AQ276">
        <v>2.0199168399999998E-2</v>
      </c>
      <c r="AR276">
        <v>2.0214129800000001E-2</v>
      </c>
      <c r="AS276">
        <v>2.02944449E-2</v>
      </c>
      <c r="AT276">
        <v>2.0373966E-2</v>
      </c>
      <c r="AU276">
        <v>2.0452704499999998E-2</v>
      </c>
      <c r="AV276">
        <v>2.0530672100000001E-2</v>
      </c>
      <c r="AW276">
        <v>2.0607879999999999E-2</v>
      </c>
    </row>
    <row r="277" spans="2:49" x14ac:dyDescent="0.25">
      <c r="B277" t="s">
        <v>348</v>
      </c>
      <c r="C277">
        <v>0.92287069498865704</v>
      </c>
      <c r="D277">
        <v>0.92287069498865704</v>
      </c>
      <c r="E277">
        <v>0.92286479210000005</v>
      </c>
      <c r="F277">
        <v>0.89638981049999999</v>
      </c>
      <c r="G277">
        <v>0.87085573910000003</v>
      </c>
      <c r="H277">
        <v>0.84568439939999995</v>
      </c>
      <c r="I277">
        <v>0.82160761920000003</v>
      </c>
      <c r="J277">
        <v>0.79828742460000002</v>
      </c>
      <c r="K277">
        <v>0.77568514460000004</v>
      </c>
      <c r="L277">
        <v>0.75370240759999996</v>
      </c>
      <c r="M277">
        <v>0.73217338170000001</v>
      </c>
      <c r="N277">
        <v>0.71125005240000005</v>
      </c>
      <c r="O277">
        <v>0.70846737790000003</v>
      </c>
      <c r="P277">
        <v>0.70615889239999996</v>
      </c>
      <c r="Q277">
        <v>0.70420933539999997</v>
      </c>
      <c r="R277">
        <v>0.70230907730000003</v>
      </c>
      <c r="S277">
        <v>0.70002707909999995</v>
      </c>
      <c r="T277">
        <v>0.67384316209999995</v>
      </c>
      <c r="U277">
        <v>0.64713699739999997</v>
      </c>
      <c r="V277">
        <v>0.61397449940000004</v>
      </c>
      <c r="W277">
        <v>0.61115278179999999</v>
      </c>
      <c r="X277">
        <v>0.6009196859</v>
      </c>
      <c r="Y277">
        <v>0.57847784049999995</v>
      </c>
      <c r="Z277">
        <v>0.55644118460000003</v>
      </c>
      <c r="AA277">
        <v>0.53475433380000004</v>
      </c>
      <c r="AB277">
        <v>0.51464984619999998</v>
      </c>
      <c r="AC277">
        <v>0.49486478509999998</v>
      </c>
      <c r="AD277">
        <v>0.45115250159999998</v>
      </c>
      <c r="AE277">
        <v>0.40845655450000001</v>
      </c>
      <c r="AF277">
        <v>0.36671261910000003</v>
      </c>
      <c r="AG277">
        <v>0.34450196090000001</v>
      </c>
      <c r="AH277">
        <v>0.3228266293</v>
      </c>
      <c r="AI277">
        <v>0.30048825820000002</v>
      </c>
      <c r="AJ277">
        <v>0.27872926269999998</v>
      </c>
      <c r="AK277">
        <v>0.25750370210000001</v>
      </c>
      <c r="AL277">
        <v>0.29345480419999997</v>
      </c>
      <c r="AM277">
        <v>0.32835758599999998</v>
      </c>
      <c r="AN277">
        <v>0.2922082842</v>
      </c>
      <c r="AO277">
        <v>0.25680606569999997</v>
      </c>
      <c r="AP277">
        <v>0.2220880043</v>
      </c>
      <c r="AQ277">
        <v>0.1879935995</v>
      </c>
      <c r="AR277">
        <v>0.15448031249999999</v>
      </c>
      <c r="AS277">
        <v>0.17068729229999999</v>
      </c>
      <c r="AT277">
        <v>0.1865694004</v>
      </c>
      <c r="AU277">
        <v>0.20213433929999999</v>
      </c>
      <c r="AV277">
        <v>0.2173861339</v>
      </c>
      <c r="AW277">
        <v>0.23232087300000001</v>
      </c>
    </row>
    <row r="278" spans="2:49" x14ac:dyDescent="0.25">
      <c r="B278" t="s">
        <v>349</v>
      </c>
      <c r="C278">
        <v>4.1245617653124303E-2</v>
      </c>
      <c r="D278">
        <v>4.1245617653124303E-2</v>
      </c>
      <c r="E278">
        <v>4.1248777399999999E-2</v>
      </c>
      <c r="F278">
        <v>6.5764282199999996E-2</v>
      </c>
      <c r="G278">
        <v>8.8551192700000003E-2</v>
      </c>
      <c r="H278">
        <v>0.1097913126</v>
      </c>
      <c r="I278">
        <v>0.1286980093</v>
      </c>
      <c r="J278">
        <v>0.1451502958</v>
      </c>
      <c r="K278">
        <v>0.15872254180000001</v>
      </c>
      <c r="L278">
        <v>0.16890082140000001</v>
      </c>
      <c r="M278">
        <v>0.1750410838</v>
      </c>
      <c r="N278">
        <v>0.17606494080000001</v>
      </c>
      <c r="O278">
        <v>0.1780619319</v>
      </c>
      <c r="P278">
        <v>0.1797681565</v>
      </c>
      <c r="Q278">
        <v>0.181252846</v>
      </c>
      <c r="R278">
        <v>0.18270505479999999</v>
      </c>
      <c r="S278">
        <v>0.18438963890000001</v>
      </c>
      <c r="T278">
        <v>0.1892230745</v>
      </c>
      <c r="U278">
        <v>0.19412224980000001</v>
      </c>
      <c r="V278">
        <v>0.20404418260000001</v>
      </c>
      <c r="W278">
        <v>0.19696031729999999</v>
      </c>
      <c r="X278">
        <v>0.19618137259999999</v>
      </c>
      <c r="Y278">
        <v>0.1973660941</v>
      </c>
      <c r="Z278">
        <v>0.1984828109</v>
      </c>
      <c r="AA278">
        <v>0.19960681320000001</v>
      </c>
      <c r="AB278">
        <v>0.201237629</v>
      </c>
      <c r="AC278">
        <v>0.2030150996</v>
      </c>
      <c r="AD278">
        <v>0.21778167779999999</v>
      </c>
      <c r="AE278">
        <v>0.23222045960000001</v>
      </c>
      <c r="AF278">
        <v>0.24633465869999999</v>
      </c>
      <c r="AG278">
        <v>0.2491503222</v>
      </c>
      <c r="AH278">
        <v>0.2519278512</v>
      </c>
      <c r="AI278">
        <v>0.2548800866</v>
      </c>
      <c r="AJ278">
        <v>0.25769792180000001</v>
      </c>
      <c r="AK278">
        <v>0.26041009059999998</v>
      </c>
      <c r="AL278">
        <v>0.22852059320000001</v>
      </c>
      <c r="AM278">
        <v>0.1976272791</v>
      </c>
      <c r="AN278">
        <v>0.21483672279999999</v>
      </c>
      <c r="AO278">
        <v>0.2316142283</v>
      </c>
      <c r="AP278">
        <v>0.24797301669999999</v>
      </c>
      <c r="AQ278">
        <v>0.26390522729999999</v>
      </c>
      <c r="AR278">
        <v>0.27944615169999998</v>
      </c>
      <c r="AS278">
        <v>0.26278738969999998</v>
      </c>
      <c r="AT278">
        <v>0.24655278259999999</v>
      </c>
      <c r="AU278">
        <v>0.23072310469999999</v>
      </c>
      <c r="AV278">
        <v>0.2153078605</v>
      </c>
      <c r="AW278">
        <v>0.20026896529999999</v>
      </c>
    </row>
    <row r="279" spans="2:49" x14ac:dyDescent="0.25">
      <c r="B279" t="s">
        <v>350</v>
      </c>
      <c r="C279">
        <v>5.1557022066405396E-3</v>
      </c>
      <c r="D279">
        <v>5.1557022066405396E-3</v>
      </c>
      <c r="E279">
        <v>5.1560971800000003E-3</v>
      </c>
      <c r="F279">
        <v>4.8526464600000003E-3</v>
      </c>
      <c r="G279">
        <v>4.5606585200000001E-3</v>
      </c>
      <c r="H279">
        <v>4.29861793E-3</v>
      </c>
      <c r="I279">
        <v>4.0413932099999999E-3</v>
      </c>
      <c r="J279">
        <v>3.7993227100000001E-3</v>
      </c>
      <c r="K279">
        <v>3.5718517099999998E-3</v>
      </c>
      <c r="L279">
        <v>3.3591094299999999E-3</v>
      </c>
      <c r="M279">
        <v>3.16153859E-3</v>
      </c>
      <c r="N279">
        <v>2.97565917E-3</v>
      </c>
      <c r="O279">
        <v>4.4677916399999996E-3</v>
      </c>
      <c r="P279">
        <v>5.9470615800000003E-3</v>
      </c>
      <c r="Q279">
        <v>7.4096140599999999E-3</v>
      </c>
      <c r="R279">
        <v>8.8598309699999996E-3</v>
      </c>
      <c r="S279">
        <v>1.0312179899999999E-2</v>
      </c>
      <c r="T279">
        <v>1.6054682300000001E-2</v>
      </c>
      <c r="U279">
        <v>2.19248971E-2</v>
      </c>
      <c r="V279">
        <v>2.82153604E-2</v>
      </c>
      <c r="W279">
        <v>3.0612180499999999E-2</v>
      </c>
      <c r="X279">
        <v>3.3207819600000001E-2</v>
      </c>
      <c r="Y279">
        <v>4.3468061400000001E-2</v>
      </c>
      <c r="Z279">
        <v>5.3585258599999998E-2</v>
      </c>
      <c r="AA279">
        <v>6.3549537700000006E-2</v>
      </c>
      <c r="AB279">
        <v>7.1850251599999998E-2</v>
      </c>
      <c r="AC279">
        <v>7.9958464100000001E-2</v>
      </c>
      <c r="AD279">
        <v>9.4965819800000004E-2</v>
      </c>
      <c r="AE279">
        <v>0.1096248735</v>
      </c>
      <c r="AF279">
        <v>0.12395851500000001</v>
      </c>
      <c r="AG279">
        <v>0.13510603439999999</v>
      </c>
      <c r="AH279">
        <v>0.1459765837</v>
      </c>
      <c r="AI279">
        <v>0.15926035199999999</v>
      </c>
      <c r="AJ279">
        <v>0.1722422478</v>
      </c>
      <c r="AK279">
        <v>0.1849327872</v>
      </c>
      <c r="AL279">
        <v>0.1907391829</v>
      </c>
      <c r="AM279">
        <v>0.19634004420000001</v>
      </c>
      <c r="AN279">
        <v>0.20636880739999999</v>
      </c>
      <c r="AO279">
        <v>0.21623589009999999</v>
      </c>
      <c r="AP279">
        <v>0.2259671167</v>
      </c>
      <c r="AQ279">
        <v>0.23560012150000001</v>
      </c>
      <c r="AR279">
        <v>0.24513910780000001</v>
      </c>
      <c r="AS279">
        <v>0.25244969140000001</v>
      </c>
      <c r="AT279">
        <v>0.2595439235</v>
      </c>
      <c r="AU279">
        <v>0.2664306649</v>
      </c>
      <c r="AV279">
        <v>0.27310258570000001</v>
      </c>
      <c r="AW279">
        <v>0.27958769290000002</v>
      </c>
    </row>
    <row r="280" spans="2:49" x14ac:dyDescent="0.25">
      <c r="B280" t="s">
        <v>351</v>
      </c>
      <c r="C280">
        <v>1.5260878531656001E-2</v>
      </c>
      <c r="D280">
        <v>1.5260878531656001E-2</v>
      </c>
      <c r="E280">
        <v>1.52620476E-2</v>
      </c>
      <c r="F280">
        <v>1.4656560500000001E-2</v>
      </c>
      <c r="G280">
        <v>1.4055382599999999E-2</v>
      </c>
      <c r="H280">
        <v>1.35177891E-2</v>
      </c>
      <c r="I280">
        <v>1.29678993E-2</v>
      </c>
      <c r="J280">
        <v>1.2439599799999999E-2</v>
      </c>
      <c r="K280">
        <v>1.1933156800000001E-2</v>
      </c>
      <c r="L280">
        <v>1.14511152E-2</v>
      </c>
      <c r="M280">
        <v>1.0997243E-2</v>
      </c>
      <c r="N280">
        <v>1.05616124E-2</v>
      </c>
      <c r="O280">
        <v>1.54774552E-2</v>
      </c>
      <c r="P280">
        <v>2.0349716899999998E-2</v>
      </c>
      <c r="Q280">
        <v>2.5166025200000001E-2</v>
      </c>
      <c r="R280">
        <v>2.99416235E-2</v>
      </c>
      <c r="S280">
        <v>3.4725257400000001E-2</v>
      </c>
      <c r="T280">
        <v>3.6166465500000002E-2</v>
      </c>
      <c r="U280">
        <v>3.7632088899999999E-2</v>
      </c>
      <c r="V280">
        <v>3.9283009100000002E-2</v>
      </c>
      <c r="W280">
        <v>3.3551640899999999E-2</v>
      </c>
      <c r="X280">
        <v>2.9131999799999999E-2</v>
      </c>
      <c r="Y280">
        <v>3.00326473E-2</v>
      </c>
      <c r="Z280">
        <v>3.0913036500000001E-2</v>
      </c>
      <c r="AA280">
        <v>3.1775399599999997E-2</v>
      </c>
      <c r="AB280">
        <v>3.2341523599999998E-2</v>
      </c>
      <c r="AC280">
        <v>3.2895305800000003E-2</v>
      </c>
      <c r="AD280">
        <v>3.4159962500000002E-2</v>
      </c>
      <c r="AE280">
        <v>3.5393465399999997E-2</v>
      </c>
      <c r="AF280">
        <v>3.6599401400000002E-2</v>
      </c>
      <c r="AG280">
        <v>3.6523772500000003E-2</v>
      </c>
      <c r="AH280">
        <v>3.6448451E-2</v>
      </c>
      <c r="AI280">
        <v>3.6762860199999997E-2</v>
      </c>
      <c r="AJ280">
        <v>3.7066484599999998E-2</v>
      </c>
      <c r="AK280">
        <v>3.7361013499999998E-2</v>
      </c>
      <c r="AL280">
        <v>3.3914342299999997E-2</v>
      </c>
      <c r="AM280">
        <v>3.0569646400000001E-2</v>
      </c>
      <c r="AN280">
        <v>3.2081207200000003E-2</v>
      </c>
      <c r="AO280">
        <v>3.3559396200000001E-2</v>
      </c>
      <c r="AP280">
        <v>3.50065299E-2</v>
      </c>
      <c r="AQ280">
        <v>3.6424211900000003E-2</v>
      </c>
      <c r="AR280">
        <v>3.7814511600000003E-2</v>
      </c>
      <c r="AS280">
        <v>3.5905486100000002E-2</v>
      </c>
      <c r="AT280">
        <v>3.4039878799999999E-2</v>
      </c>
      <c r="AU280">
        <v>3.2216692099999999E-2</v>
      </c>
      <c r="AV280">
        <v>3.0435997999999999E-2</v>
      </c>
      <c r="AW280">
        <v>2.86963163E-2</v>
      </c>
    </row>
    <row r="281" spans="2:49" x14ac:dyDescent="0.25">
      <c r="B281" t="s">
        <v>352</v>
      </c>
      <c r="C281">
        <v>5.1557022066405396E-3</v>
      </c>
      <c r="D281">
        <v>5.1557022066405396E-3</v>
      </c>
      <c r="E281">
        <v>5.1560971800000003E-3</v>
      </c>
      <c r="F281">
        <v>5.1473760400000002E-3</v>
      </c>
      <c r="G281">
        <v>5.1314729500000003E-3</v>
      </c>
      <c r="H281">
        <v>5.1303923399999996E-3</v>
      </c>
      <c r="I281">
        <v>5.1163480900000002E-3</v>
      </c>
      <c r="J281">
        <v>5.1020229100000002E-3</v>
      </c>
      <c r="K281">
        <v>5.0878803E-3</v>
      </c>
      <c r="L281">
        <v>5.07545359E-3</v>
      </c>
      <c r="M281">
        <v>5.0670645899999998E-3</v>
      </c>
      <c r="N281">
        <v>5.0588101799999997E-3</v>
      </c>
      <c r="O281">
        <v>5.8702164300000002E-3</v>
      </c>
      <c r="P281">
        <v>6.6691586799999996E-3</v>
      </c>
      <c r="Q281">
        <v>7.4550280499999996E-3</v>
      </c>
      <c r="R281">
        <v>8.2338701200000003E-3</v>
      </c>
      <c r="S281">
        <v>9.0184607300000004E-3</v>
      </c>
      <c r="T281">
        <v>1.0727802200000001E-2</v>
      </c>
      <c r="U281">
        <v>1.24737454E-2</v>
      </c>
      <c r="V281">
        <v>1.47580291E-2</v>
      </c>
      <c r="W281">
        <v>1.40942064E-2</v>
      </c>
      <c r="X281">
        <v>1.41812786E-2</v>
      </c>
      <c r="Y281">
        <v>1.5301560299999999E-2</v>
      </c>
      <c r="Z281">
        <v>1.6403713100000002E-2</v>
      </c>
      <c r="AA281">
        <v>1.7494225799999999E-2</v>
      </c>
      <c r="AB281">
        <v>1.86647783E-2</v>
      </c>
      <c r="AC281">
        <v>1.9829916699999998E-2</v>
      </c>
      <c r="AD281">
        <v>2.3263740500000001E-2</v>
      </c>
      <c r="AE281">
        <v>2.6620589399999998E-2</v>
      </c>
      <c r="AF281">
        <v>2.9902526799999999E-2</v>
      </c>
      <c r="AG281">
        <v>3.1762653100000003E-2</v>
      </c>
      <c r="AH281">
        <v>3.3580810199999998E-2</v>
      </c>
      <c r="AI281">
        <v>3.4433200300000001E-2</v>
      </c>
      <c r="AJ281">
        <v>3.5260626400000002E-2</v>
      </c>
      <c r="AK281">
        <v>3.6065960500000001E-2</v>
      </c>
      <c r="AL281">
        <v>3.2391451299999999E-2</v>
      </c>
      <c r="AM281">
        <v>2.8827769100000001E-2</v>
      </c>
      <c r="AN281">
        <v>3.14087937E-2</v>
      </c>
      <c r="AO281">
        <v>3.3932915700000003E-2</v>
      </c>
      <c r="AP281">
        <v>3.6403498399999998E-2</v>
      </c>
      <c r="AQ281">
        <v>3.8822924000000002E-2</v>
      </c>
      <c r="AR281">
        <v>4.1195228E-2</v>
      </c>
      <c r="AS281">
        <v>3.9323256600000002E-2</v>
      </c>
      <c r="AT281">
        <v>3.7494713399999997E-2</v>
      </c>
      <c r="AU281">
        <v>3.5708321899999999E-2</v>
      </c>
      <c r="AV281">
        <v>3.3964361899999997E-2</v>
      </c>
      <c r="AW281">
        <v>3.22608245E-2</v>
      </c>
    </row>
    <row r="282" spans="2:49" x14ac:dyDescent="0.25">
      <c r="B282" t="s">
        <v>353</v>
      </c>
      <c r="C282">
        <v>1.0311404413280999E-2</v>
      </c>
      <c r="D282">
        <v>1.0311404413280999E-2</v>
      </c>
      <c r="E282">
        <v>1.03121944E-2</v>
      </c>
      <c r="F282">
        <v>1.31893251E-2</v>
      </c>
      <c r="G282">
        <v>1.6845558E-2</v>
      </c>
      <c r="H282">
        <v>2.1577474700000002E-2</v>
      </c>
      <c r="I282">
        <v>2.7568732700000001E-2</v>
      </c>
      <c r="J282">
        <v>3.5221334200000003E-2</v>
      </c>
      <c r="K282">
        <v>4.4999425000000003E-2</v>
      </c>
      <c r="L282">
        <v>5.7511092999999999E-2</v>
      </c>
      <c r="M282">
        <v>7.3559688400000003E-2</v>
      </c>
      <c r="N282">
        <v>9.4088924700000007E-2</v>
      </c>
      <c r="O282">
        <v>8.7655222899999996E-2</v>
      </c>
      <c r="P282">
        <v>8.1107016300000001E-2</v>
      </c>
      <c r="Q282">
        <v>7.4507147300000007E-2</v>
      </c>
      <c r="R282">
        <v>6.7950542599999997E-2</v>
      </c>
      <c r="S282">
        <v>6.1527352799999997E-2</v>
      </c>
      <c r="T282">
        <v>7.3984812600000005E-2</v>
      </c>
      <c r="U282">
        <v>8.6710019400000005E-2</v>
      </c>
      <c r="V282">
        <v>9.9724924500000006E-2</v>
      </c>
      <c r="W282">
        <v>0.11362882420000001</v>
      </c>
      <c r="X282">
        <v>0.12637784730000001</v>
      </c>
      <c r="Y282">
        <v>0.13535379140000001</v>
      </c>
      <c r="Z282">
        <v>0.14417398419999999</v>
      </c>
      <c r="AA282">
        <v>0.15281968200000001</v>
      </c>
      <c r="AB282">
        <v>0.16125596780000001</v>
      </c>
      <c r="AC282">
        <v>0.16943642719999999</v>
      </c>
      <c r="AD282">
        <v>0.1786762982</v>
      </c>
      <c r="AE282">
        <v>0.18768405790000001</v>
      </c>
      <c r="AF282">
        <v>0.19649227929999999</v>
      </c>
      <c r="AG282">
        <v>0.20295525680000001</v>
      </c>
      <c r="AH282">
        <v>0.20923967460000001</v>
      </c>
      <c r="AI282">
        <v>0.2141752438</v>
      </c>
      <c r="AJ282">
        <v>0.21900345809999999</v>
      </c>
      <c r="AK282">
        <v>0.22372644689999999</v>
      </c>
      <c r="AL282">
        <v>0.22097962469999999</v>
      </c>
      <c r="AM282">
        <v>0.21827767579999999</v>
      </c>
      <c r="AN282">
        <v>0.2230961853</v>
      </c>
      <c r="AO282">
        <v>0.22785150439999999</v>
      </c>
      <c r="AP282">
        <v>0.2325618347</v>
      </c>
      <c r="AQ282">
        <v>0.2372539152</v>
      </c>
      <c r="AR282">
        <v>0.2419246883</v>
      </c>
      <c r="AS282">
        <v>0.23884688379999999</v>
      </c>
      <c r="AT282">
        <v>0.23579930120000001</v>
      </c>
      <c r="AU282">
        <v>0.232786877</v>
      </c>
      <c r="AV282">
        <v>0.22980306</v>
      </c>
      <c r="AW282">
        <v>0.2268653279</v>
      </c>
    </row>
    <row r="283" spans="2:49" x14ac:dyDescent="0.25">
      <c r="B283" t="s">
        <v>354</v>
      </c>
      <c r="C283">
        <v>0.99132434052165697</v>
      </c>
      <c r="D283">
        <v>0.99132434052165697</v>
      </c>
      <c r="E283">
        <v>0.99172610110000003</v>
      </c>
      <c r="F283">
        <v>0.98765502360000001</v>
      </c>
      <c r="G283">
        <v>0.98360065809999997</v>
      </c>
      <c r="H283">
        <v>0.97956293589999999</v>
      </c>
      <c r="I283">
        <v>0.97554178869999997</v>
      </c>
      <c r="J283">
        <v>0.97153714849999995</v>
      </c>
      <c r="K283">
        <v>0.96754894749999998</v>
      </c>
      <c r="L283">
        <v>0.96357711820000003</v>
      </c>
      <c r="M283">
        <v>0.95962159349999998</v>
      </c>
      <c r="N283">
        <v>0.95568230639999996</v>
      </c>
      <c r="O283">
        <v>0.95496918220000004</v>
      </c>
      <c r="P283">
        <v>0.95421073860000005</v>
      </c>
      <c r="Q283">
        <v>0.95340251369999995</v>
      </c>
      <c r="R283">
        <v>0.95253944010000002</v>
      </c>
      <c r="S283">
        <v>0.95161573820000001</v>
      </c>
      <c r="T283">
        <v>0.94906485620000003</v>
      </c>
      <c r="U283">
        <v>0.94659676530000003</v>
      </c>
      <c r="V283">
        <v>0.93766306840000002</v>
      </c>
      <c r="W283">
        <v>0.92467167419999996</v>
      </c>
      <c r="X283">
        <v>0.91096276399999998</v>
      </c>
      <c r="Y283">
        <v>0.90057434209999998</v>
      </c>
      <c r="Z283">
        <v>0.88961637630000001</v>
      </c>
      <c r="AA283">
        <v>0.87804458919999995</v>
      </c>
      <c r="AB283">
        <v>0.86575314250000002</v>
      </c>
      <c r="AC283">
        <v>0.85267299699999999</v>
      </c>
      <c r="AD283">
        <v>0.82629166009999999</v>
      </c>
      <c r="AE283">
        <v>0.79810765400000006</v>
      </c>
      <c r="AF283">
        <v>0.7678810559</v>
      </c>
      <c r="AG283">
        <v>0.73568427719999996</v>
      </c>
      <c r="AH283">
        <v>0.70100096820000002</v>
      </c>
      <c r="AI283">
        <v>0.66129617249999995</v>
      </c>
      <c r="AJ283">
        <v>0.61820397630000001</v>
      </c>
      <c r="AK283">
        <v>0.57110681470000002</v>
      </c>
      <c r="AL283">
        <v>0.52048294279999996</v>
      </c>
      <c r="AM283">
        <v>0.46436408089999998</v>
      </c>
      <c r="AN283">
        <v>0.43281554970000002</v>
      </c>
      <c r="AO283">
        <v>0.39876071140000002</v>
      </c>
      <c r="AP283">
        <v>0.3617716513</v>
      </c>
      <c r="AQ283">
        <v>0.32123319150000001</v>
      </c>
      <c r="AR283">
        <v>0.27616191670000001</v>
      </c>
      <c r="AS283">
        <v>0.26427492850000001</v>
      </c>
      <c r="AT283">
        <v>0.25199903330000001</v>
      </c>
      <c r="AU283">
        <v>0.23929458940000001</v>
      </c>
      <c r="AV283">
        <v>0.2260571576</v>
      </c>
      <c r="AW283">
        <v>0.212196414</v>
      </c>
    </row>
    <row r="284" spans="2:49" x14ac:dyDescent="0.25">
      <c r="B284" t="s">
        <v>355</v>
      </c>
      <c r="C284">
        <v>0.91950930808135101</v>
      </c>
      <c r="D284">
        <v>0.91950930808135101</v>
      </c>
      <c r="E284">
        <v>0.91950930809999998</v>
      </c>
      <c r="F284">
        <v>0.89194960639999998</v>
      </c>
      <c r="G284">
        <v>0.8652159291</v>
      </c>
      <c r="H284">
        <v>0.83928351850000005</v>
      </c>
      <c r="I284">
        <v>0.81412835890000002</v>
      </c>
      <c r="J284">
        <v>0.78972715429999996</v>
      </c>
      <c r="K284">
        <v>0.76605730719999998</v>
      </c>
      <c r="L284">
        <v>0.74309689700000003</v>
      </c>
      <c r="M284">
        <v>0.72082466040000004</v>
      </c>
      <c r="N284">
        <v>0.69921997140000003</v>
      </c>
      <c r="O284">
        <v>0.69624978999999998</v>
      </c>
      <c r="P284">
        <v>0.69328496819999996</v>
      </c>
      <c r="Q284">
        <v>0.69032549160000001</v>
      </c>
      <c r="R284">
        <v>0.68737134560000002</v>
      </c>
      <c r="S284">
        <v>0.68442251590000003</v>
      </c>
      <c r="T284">
        <v>0.65674744659999995</v>
      </c>
      <c r="U284">
        <v>0.62841022120000001</v>
      </c>
      <c r="V284">
        <v>0.59339308310000005</v>
      </c>
      <c r="W284">
        <v>0.59083261460000003</v>
      </c>
      <c r="X284">
        <v>0.58030729150000004</v>
      </c>
      <c r="Y284">
        <v>0.55674895899999999</v>
      </c>
      <c r="Z284">
        <v>0.53347761309999997</v>
      </c>
      <c r="AA284">
        <v>0.51040441989999996</v>
      </c>
      <c r="AB284">
        <v>0.48836024</v>
      </c>
      <c r="AC284">
        <v>0.46638721389999999</v>
      </c>
      <c r="AD284">
        <v>0.41974729770000002</v>
      </c>
      <c r="AE284">
        <v>0.37404539549999999</v>
      </c>
      <c r="AF284">
        <v>0.32928259609999999</v>
      </c>
      <c r="AG284">
        <v>0.3050087843</v>
      </c>
      <c r="AH284">
        <v>0.28120494810000002</v>
      </c>
      <c r="AI284">
        <v>0.2567072353</v>
      </c>
      <c r="AJ284">
        <v>0.2327636102</v>
      </c>
      <c r="AK284">
        <v>0.20933738169999999</v>
      </c>
      <c r="AL284">
        <v>0.24603915479999999</v>
      </c>
      <c r="AM284">
        <v>0.281773157</v>
      </c>
      <c r="AN284">
        <v>0.2423172438</v>
      </c>
      <c r="AO284">
        <v>0.20361205299999999</v>
      </c>
      <c r="AP284">
        <v>0.1656208944</v>
      </c>
      <c r="AQ284">
        <v>0.12831036400000001</v>
      </c>
      <c r="AR284">
        <v>9.1622530600000002E-2</v>
      </c>
      <c r="AS284">
        <v>0.1073526373</v>
      </c>
      <c r="AT284">
        <v>0.1227652375</v>
      </c>
      <c r="AU284">
        <v>0.1378670203</v>
      </c>
      <c r="AV284">
        <v>0.15265600560000001</v>
      </c>
      <c r="AW284">
        <v>0.16714855510000001</v>
      </c>
    </row>
    <row r="285" spans="2:49" x14ac:dyDescent="0.25">
      <c r="B285" t="s">
        <v>476</v>
      </c>
      <c r="C285">
        <v>383714635.27038902</v>
      </c>
      <c r="D285">
        <v>389875297.85567099</v>
      </c>
      <c r="E285">
        <v>396134871.89999998</v>
      </c>
      <c r="F285">
        <v>414613675.80000001</v>
      </c>
      <c r="G285">
        <v>424642396.19999999</v>
      </c>
      <c r="H285">
        <v>439475501.19999999</v>
      </c>
      <c r="I285">
        <v>452922283.10000002</v>
      </c>
      <c r="J285">
        <v>472023957.19999999</v>
      </c>
      <c r="K285">
        <v>494065642.89999998</v>
      </c>
      <c r="L285">
        <v>519054177.39999998</v>
      </c>
      <c r="M285">
        <v>548879766.60000002</v>
      </c>
      <c r="N285">
        <v>576524927.20000005</v>
      </c>
      <c r="O285">
        <v>580776369.79999995</v>
      </c>
      <c r="P285">
        <v>579424506.20000005</v>
      </c>
      <c r="Q285">
        <v>576074367.39999998</v>
      </c>
      <c r="R285">
        <v>575469839.29999995</v>
      </c>
      <c r="S285">
        <v>584040217.60000002</v>
      </c>
      <c r="T285">
        <v>588965758.39999998</v>
      </c>
      <c r="U285">
        <v>591217050.5</v>
      </c>
      <c r="V285">
        <v>592640458.39999998</v>
      </c>
      <c r="W285">
        <v>576307203.79999995</v>
      </c>
      <c r="X285">
        <v>562395066.39999998</v>
      </c>
      <c r="Y285">
        <v>559108007.5</v>
      </c>
      <c r="Z285">
        <v>552793609.5</v>
      </c>
      <c r="AA285">
        <v>545093879.39999998</v>
      </c>
      <c r="AB285">
        <v>536435548.10000002</v>
      </c>
      <c r="AC285">
        <v>527234979.30000001</v>
      </c>
      <c r="AD285">
        <v>521513590.19999999</v>
      </c>
      <c r="AE285">
        <v>515785125.10000002</v>
      </c>
      <c r="AF285">
        <v>510120410.39999998</v>
      </c>
      <c r="AG285">
        <v>504585788.89999998</v>
      </c>
      <c r="AH285">
        <v>499190833.19999999</v>
      </c>
      <c r="AI285">
        <v>493285600.39999998</v>
      </c>
      <c r="AJ285">
        <v>487953481.19999999</v>
      </c>
      <c r="AK285">
        <v>482927433.5</v>
      </c>
      <c r="AL285">
        <v>478040155.69999999</v>
      </c>
      <c r="AM285">
        <v>473263122.89999998</v>
      </c>
      <c r="AN285">
        <v>468445176.39999998</v>
      </c>
      <c r="AO285">
        <v>463759471.80000001</v>
      </c>
      <c r="AP285">
        <v>459174062.60000002</v>
      </c>
      <c r="AQ285">
        <v>454646590</v>
      </c>
      <c r="AR285">
        <v>449031228.5</v>
      </c>
      <c r="AS285">
        <v>443547307.60000002</v>
      </c>
      <c r="AT285">
        <v>438322502.89999998</v>
      </c>
      <c r="AU285">
        <v>433312534.60000002</v>
      </c>
      <c r="AV285">
        <v>428449050.30000001</v>
      </c>
      <c r="AW285">
        <v>423438938.10000002</v>
      </c>
    </row>
    <row r="286" spans="2:49" x14ac:dyDescent="0.25">
      <c r="B286" t="s">
        <v>477</v>
      </c>
      <c r="C286">
        <v>13020.598862561899</v>
      </c>
      <c r="D286">
        <v>13229.6487889324</v>
      </c>
      <c r="E286">
        <v>13442.05508</v>
      </c>
      <c r="F286">
        <v>13754.020689999999</v>
      </c>
      <c r="G286">
        <v>14078.737870000001</v>
      </c>
      <c r="H286">
        <v>13563.30718</v>
      </c>
      <c r="I286">
        <v>13061.730310000001</v>
      </c>
      <c r="J286">
        <v>13343.91237</v>
      </c>
      <c r="K286">
        <v>13561.2354</v>
      </c>
      <c r="L286">
        <v>13432.845139999999</v>
      </c>
      <c r="M286">
        <v>13600.448399999999</v>
      </c>
      <c r="N286">
        <v>13987.73667</v>
      </c>
      <c r="O286">
        <v>14223.452139999999</v>
      </c>
      <c r="P286">
        <v>14471.36123</v>
      </c>
      <c r="Q286">
        <v>14825.776959999999</v>
      </c>
      <c r="R286">
        <v>15195.528420000001</v>
      </c>
      <c r="S286">
        <v>14865.409600000001</v>
      </c>
      <c r="T286">
        <v>14297.91437</v>
      </c>
      <c r="U286">
        <v>14184.73713</v>
      </c>
      <c r="V286">
        <v>14022.749299999999</v>
      </c>
      <c r="W286">
        <v>13865.4172</v>
      </c>
      <c r="X286">
        <v>13631.49698</v>
      </c>
      <c r="Y286">
        <v>13436.521930000001</v>
      </c>
      <c r="Z286">
        <v>13201.77413</v>
      </c>
      <c r="AA286">
        <v>13013.462509999999</v>
      </c>
      <c r="AB286">
        <v>12830.465459999999</v>
      </c>
      <c r="AC286">
        <v>12611.27378</v>
      </c>
      <c r="AD286">
        <v>12175.658530000001</v>
      </c>
      <c r="AE286">
        <v>11784.169830000001</v>
      </c>
      <c r="AF286">
        <v>11407.4627</v>
      </c>
      <c r="AG286">
        <v>11044.03062</v>
      </c>
      <c r="AH286">
        <v>10689.1427</v>
      </c>
      <c r="AI286">
        <v>10367.033750000001</v>
      </c>
      <c r="AJ286">
        <v>10090.241050000001</v>
      </c>
      <c r="AK286">
        <v>9820.1880359999996</v>
      </c>
      <c r="AL286">
        <v>9547.5995540000004</v>
      </c>
      <c r="AM286">
        <v>9296.7546469999997</v>
      </c>
      <c r="AN286">
        <v>9040.4958989999996</v>
      </c>
      <c r="AO286">
        <v>8808.2414580000004</v>
      </c>
      <c r="AP286">
        <v>8582.8676919999998</v>
      </c>
      <c r="AQ286">
        <v>8359.6689119999901</v>
      </c>
      <c r="AR286">
        <v>8138.8451320000004</v>
      </c>
      <c r="AS286">
        <v>7910.3407660000003</v>
      </c>
      <c r="AT286">
        <v>7680.6462620000002</v>
      </c>
      <c r="AU286">
        <v>7463.9468809999998</v>
      </c>
      <c r="AV286">
        <v>7259.8509489999997</v>
      </c>
      <c r="AW286">
        <v>7059.3555690000003</v>
      </c>
    </row>
    <row r="287" spans="2:49" x14ac:dyDescent="0.25">
      <c r="B287" t="s">
        <v>478</v>
      </c>
      <c r="C287">
        <v>158336.21117690401</v>
      </c>
      <c r="D287">
        <v>160878.35026264799</v>
      </c>
      <c r="E287">
        <v>163461.30420000001</v>
      </c>
      <c r="F287">
        <v>174437.3585</v>
      </c>
      <c r="G287">
        <v>181744.26939999999</v>
      </c>
      <c r="H287">
        <v>189777.6795</v>
      </c>
      <c r="I287">
        <v>197649.6231</v>
      </c>
      <c r="J287">
        <v>207898.6256</v>
      </c>
      <c r="K287">
        <v>223939.04740000001</v>
      </c>
      <c r="L287">
        <v>240577.19289999999</v>
      </c>
      <c r="M287">
        <v>258206.44339999999</v>
      </c>
      <c r="N287">
        <v>281906.88370000001</v>
      </c>
      <c r="O287">
        <v>283858.75180000003</v>
      </c>
      <c r="P287">
        <v>279234.40909999999</v>
      </c>
      <c r="Q287">
        <v>273920.62640000001</v>
      </c>
      <c r="R287">
        <v>273877.86349999998</v>
      </c>
      <c r="S287">
        <v>281605.70899999997</v>
      </c>
      <c r="T287">
        <v>289389.74469999998</v>
      </c>
      <c r="U287">
        <v>291093.74239999999</v>
      </c>
      <c r="V287">
        <v>291856.19990000001</v>
      </c>
      <c r="W287">
        <v>272532.22710000002</v>
      </c>
      <c r="X287">
        <v>257448.3449</v>
      </c>
      <c r="Y287">
        <v>262416.98950000003</v>
      </c>
      <c r="Z287">
        <v>263533.45049999998</v>
      </c>
      <c r="AA287">
        <v>262573.86170000001</v>
      </c>
      <c r="AB287">
        <v>260186.12349999999</v>
      </c>
      <c r="AC287">
        <v>257035.45129999999</v>
      </c>
      <c r="AD287">
        <v>255892.1876</v>
      </c>
      <c r="AE287">
        <v>254570.45129999999</v>
      </c>
      <c r="AF287">
        <v>253399.68530000001</v>
      </c>
      <c r="AG287">
        <v>252310.24429999999</v>
      </c>
      <c r="AH287">
        <v>251329.7494</v>
      </c>
      <c r="AI287">
        <v>249189.19219999999</v>
      </c>
      <c r="AJ287">
        <v>247548.6005</v>
      </c>
      <c r="AK287">
        <v>246307.70939999999</v>
      </c>
      <c r="AL287">
        <v>245284.15359999999</v>
      </c>
      <c r="AM287">
        <v>244254.6912</v>
      </c>
      <c r="AN287">
        <v>243308.47829999999</v>
      </c>
      <c r="AO287">
        <v>242284.65849999999</v>
      </c>
      <c r="AP287">
        <v>241295.5042</v>
      </c>
      <c r="AQ287">
        <v>240337.6514</v>
      </c>
      <c r="AR287">
        <v>237610.3916</v>
      </c>
      <c r="AS287">
        <v>235428.56950000001</v>
      </c>
      <c r="AT287">
        <v>233480.46220000001</v>
      </c>
      <c r="AU287">
        <v>231603.65470000001</v>
      </c>
      <c r="AV287">
        <v>229836.4572</v>
      </c>
      <c r="AW287">
        <v>228713.63500000001</v>
      </c>
    </row>
    <row r="288" spans="2:49" x14ac:dyDescent="0.25">
      <c r="B288" t="s">
        <v>479</v>
      </c>
      <c r="C288">
        <v>516755.579312385</v>
      </c>
      <c r="D288">
        <v>525052.257287574</v>
      </c>
      <c r="E288">
        <v>533482.14110000001</v>
      </c>
      <c r="F288">
        <v>549169.34869999997</v>
      </c>
      <c r="G288">
        <v>553291.179</v>
      </c>
      <c r="H288">
        <v>564274.66130000004</v>
      </c>
      <c r="I288">
        <v>572693.53780000005</v>
      </c>
      <c r="J288">
        <v>587807.09970000002</v>
      </c>
      <c r="K288">
        <v>602531.59580000001</v>
      </c>
      <c r="L288">
        <v>620648.90579999995</v>
      </c>
      <c r="M288">
        <v>644610.18850000005</v>
      </c>
      <c r="N288">
        <v>669384.22380000004</v>
      </c>
      <c r="O288">
        <v>672472.72160000005</v>
      </c>
      <c r="P288">
        <v>671955.00260000001</v>
      </c>
      <c r="Q288">
        <v>668929.50950000004</v>
      </c>
      <c r="R288">
        <v>666117.54</v>
      </c>
      <c r="S288">
        <v>671334.17539999995</v>
      </c>
      <c r="T288">
        <v>672920.33889999997</v>
      </c>
      <c r="U288">
        <v>675042.10360000003</v>
      </c>
      <c r="V288">
        <v>676620.89569999999</v>
      </c>
      <c r="W288">
        <v>666472.53639999998</v>
      </c>
      <c r="X288">
        <v>656791.97609999997</v>
      </c>
      <c r="Y288">
        <v>652675.22380000004</v>
      </c>
      <c r="Z288">
        <v>646777.42830000003</v>
      </c>
      <c r="AA288">
        <v>640210.10930000001</v>
      </c>
      <c r="AB288">
        <v>633110.4926</v>
      </c>
      <c r="AC288">
        <v>625600.68370000005</v>
      </c>
      <c r="AD288">
        <v>619955.11270000006</v>
      </c>
      <c r="AE288">
        <v>614380.66</v>
      </c>
      <c r="AF288">
        <v>608740.03</v>
      </c>
      <c r="AG288">
        <v>603190.87490000005</v>
      </c>
      <c r="AH288">
        <v>597729.26080000005</v>
      </c>
      <c r="AI288">
        <v>592285.49369999999</v>
      </c>
      <c r="AJ288">
        <v>587319.93460000004</v>
      </c>
      <c r="AK288">
        <v>582491.27</v>
      </c>
      <c r="AL288">
        <v>577674.25080000004</v>
      </c>
      <c r="AM288">
        <v>572993.35789999994</v>
      </c>
      <c r="AN288">
        <v>568140.44169999997</v>
      </c>
      <c r="AO288">
        <v>563514.70389999996</v>
      </c>
      <c r="AP288">
        <v>558981.82440000004</v>
      </c>
      <c r="AQ288">
        <v>554477.18200000003</v>
      </c>
      <c r="AR288">
        <v>549499.30059999996</v>
      </c>
      <c r="AS288">
        <v>544272.97869999998</v>
      </c>
      <c r="AT288">
        <v>539243.20550000004</v>
      </c>
      <c r="AU288">
        <v>534463.45959999994</v>
      </c>
      <c r="AV288">
        <v>529795.67330000002</v>
      </c>
      <c r="AW288">
        <v>524356.66850000003</v>
      </c>
    </row>
    <row r="289" spans="2:49" x14ac:dyDescent="0.25">
      <c r="B289" t="s">
        <v>480</v>
      </c>
      <c r="C289">
        <v>82711.5521017555</v>
      </c>
      <c r="D289">
        <v>84039.512824558697</v>
      </c>
      <c r="E289">
        <v>85388.793109999999</v>
      </c>
      <c r="F289">
        <v>92723.860149999906</v>
      </c>
      <c r="G289">
        <v>97431.31061</v>
      </c>
      <c r="H289">
        <v>105668.875</v>
      </c>
      <c r="I289">
        <v>111417.2164</v>
      </c>
      <c r="J289">
        <v>122828.0349</v>
      </c>
      <c r="K289">
        <v>131987.99729999999</v>
      </c>
      <c r="L289">
        <v>140911.1948</v>
      </c>
      <c r="M289">
        <v>152813.7341</v>
      </c>
      <c r="N289">
        <v>160735.60399999999</v>
      </c>
      <c r="O289">
        <v>157614.63039999999</v>
      </c>
      <c r="P289">
        <v>157928.91190000001</v>
      </c>
      <c r="Q289">
        <v>161241.2732</v>
      </c>
      <c r="R289">
        <v>158380.69339999999</v>
      </c>
      <c r="S289">
        <v>157257.0969</v>
      </c>
      <c r="T289">
        <v>155375.61679999999</v>
      </c>
      <c r="U289">
        <v>155753.84640000001</v>
      </c>
      <c r="V289">
        <v>156273.51699999999</v>
      </c>
      <c r="W289">
        <v>169270.41339999999</v>
      </c>
      <c r="X289">
        <v>180728.08689999999</v>
      </c>
      <c r="Y289">
        <v>182739.6183</v>
      </c>
      <c r="Z289">
        <v>185483.8401</v>
      </c>
      <c r="AA289">
        <v>188828.08730000001</v>
      </c>
      <c r="AB289">
        <v>192633.5827</v>
      </c>
      <c r="AC289">
        <v>196585.21359999999</v>
      </c>
      <c r="AD289">
        <v>199581.68599999999</v>
      </c>
      <c r="AE289">
        <v>202763.67259999999</v>
      </c>
      <c r="AF289">
        <v>205954.1036</v>
      </c>
      <c r="AG289">
        <v>209181.27669999999</v>
      </c>
      <c r="AH289">
        <v>212437.1642</v>
      </c>
      <c r="AI289">
        <v>215959.24710000001</v>
      </c>
      <c r="AJ289">
        <v>219601.39420000001</v>
      </c>
      <c r="AK289">
        <v>223229.63990000001</v>
      </c>
      <c r="AL289">
        <v>226863.4443</v>
      </c>
      <c r="AM289">
        <v>230598.08590000001</v>
      </c>
      <c r="AN289">
        <v>234215.8205</v>
      </c>
      <c r="AO289">
        <v>237963.3278</v>
      </c>
      <c r="AP289">
        <v>241749.43729999999</v>
      </c>
      <c r="AQ289">
        <v>245578.70439999999</v>
      </c>
      <c r="AR289">
        <v>249638.82579999999</v>
      </c>
      <c r="AS289">
        <v>253586.299</v>
      </c>
      <c r="AT289">
        <v>257544.04060000001</v>
      </c>
      <c r="AU289">
        <v>261606.98980000001</v>
      </c>
      <c r="AV289">
        <v>265757.47499999998</v>
      </c>
      <c r="AW289">
        <v>269963.5552</v>
      </c>
    </row>
    <row r="290" spans="2:49" x14ac:dyDescent="0.25">
      <c r="B290" t="s">
        <v>481</v>
      </c>
      <c r="C290">
        <v>45689.201708803201</v>
      </c>
      <c r="D290">
        <v>46422.756620829103</v>
      </c>
      <c r="E290">
        <v>47168.08829</v>
      </c>
      <c r="F290">
        <v>48247.45723</v>
      </c>
      <c r="G290">
        <v>48129.430509999998</v>
      </c>
      <c r="H290">
        <v>49209.008800000003</v>
      </c>
      <c r="I290">
        <v>49827.708409999999</v>
      </c>
      <c r="J290">
        <v>51246.885170000001</v>
      </c>
      <c r="K290">
        <v>51655.752919999999</v>
      </c>
      <c r="L290">
        <v>52614.380239999999</v>
      </c>
      <c r="M290">
        <v>54462.66158</v>
      </c>
      <c r="N290">
        <v>55589.95336</v>
      </c>
      <c r="O290">
        <v>55664.409030000003</v>
      </c>
      <c r="P290">
        <v>56165.361259999998</v>
      </c>
      <c r="Q290">
        <v>56486.723299999998</v>
      </c>
      <c r="R290">
        <v>55949.973270000002</v>
      </c>
      <c r="S290">
        <v>55618.240230000003</v>
      </c>
      <c r="T290">
        <v>54950.679179999999</v>
      </c>
      <c r="U290">
        <v>55109.828959999999</v>
      </c>
      <c r="V290">
        <v>55320.868289999999</v>
      </c>
      <c r="W290">
        <v>58571.469779999999</v>
      </c>
      <c r="X290">
        <v>61281.276720000002</v>
      </c>
      <c r="Y290">
        <v>61416.5484</v>
      </c>
      <c r="Z290">
        <v>61827.172209999997</v>
      </c>
      <c r="AA290">
        <v>62419.53527</v>
      </c>
      <c r="AB290">
        <v>63124.737959999999</v>
      </c>
      <c r="AC290">
        <v>63865.026239999999</v>
      </c>
      <c r="AD290">
        <v>64124.392090000001</v>
      </c>
      <c r="AE290">
        <v>64407.183510000003</v>
      </c>
      <c r="AF290">
        <v>64641.415029999996</v>
      </c>
      <c r="AG290">
        <v>64867.40539</v>
      </c>
      <c r="AH290">
        <v>65081.001839999997</v>
      </c>
      <c r="AI290">
        <v>65474.4421</v>
      </c>
      <c r="AJ290">
        <v>65866.421470000001</v>
      </c>
      <c r="AK290">
        <v>66213.691390000007</v>
      </c>
      <c r="AL290">
        <v>66521.556920000003</v>
      </c>
      <c r="AM290">
        <v>66843.143230000001</v>
      </c>
      <c r="AN290">
        <v>67131.249630000006</v>
      </c>
      <c r="AO290">
        <v>67463.812539999999</v>
      </c>
      <c r="AP290">
        <v>67800.822390000001</v>
      </c>
      <c r="AQ290">
        <v>68129.700589999906</v>
      </c>
      <c r="AR290">
        <v>68615.05416</v>
      </c>
      <c r="AS290">
        <v>68961.303530000005</v>
      </c>
      <c r="AT290">
        <v>69303.985379999998</v>
      </c>
      <c r="AU290">
        <v>69676.809640000007</v>
      </c>
      <c r="AV290">
        <v>70043.677590000007</v>
      </c>
      <c r="AW290">
        <v>70105.815549999999</v>
      </c>
    </row>
    <row r="291" spans="2:49" x14ac:dyDescent="0.25">
      <c r="B291" t="s">
        <v>482</v>
      </c>
      <c r="C291">
        <v>562444.78102118801</v>
      </c>
      <c r="D291">
        <v>571475.01390840299</v>
      </c>
      <c r="E291">
        <v>580650.23010000004</v>
      </c>
      <c r="F291">
        <v>597415.90769999998</v>
      </c>
      <c r="G291">
        <v>601417.51150000002</v>
      </c>
      <c r="H291">
        <v>613480.36569999997</v>
      </c>
      <c r="I291">
        <v>622517.77020000003</v>
      </c>
      <c r="J291">
        <v>639050.31900000002</v>
      </c>
      <c r="K291">
        <v>654176.82290000003</v>
      </c>
      <c r="L291">
        <v>673249.3713</v>
      </c>
      <c r="M291">
        <v>699058.11899999995</v>
      </c>
      <c r="N291">
        <v>724951.21129999997</v>
      </c>
      <c r="O291">
        <v>728113.79009999998</v>
      </c>
      <c r="P291">
        <v>728094.58409999998</v>
      </c>
      <c r="Q291">
        <v>725387.84519999998</v>
      </c>
      <c r="R291">
        <v>722038.52</v>
      </c>
      <c r="S291">
        <v>726918.33519999997</v>
      </c>
      <c r="T291">
        <v>729962.48109999998</v>
      </c>
      <c r="U291">
        <v>732927.22970000003</v>
      </c>
      <c r="V291">
        <v>735403.39080000005</v>
      </c>
      <c r="W291">
        <v>736337.86849999998</v>
      </c>
      <c r="X291">
        <v>737165.36769999994</v>
      </c>
      <c r="Y291">
        <v>741121.05799999996</v>
      </c>
      <c r="Z291">
        <v>743489.31409999996</v>
      </c>
      <c r="AA291">
        <v>745297.73699999996</v>
      </c>
      <c r="AB291">
        <v>746601.95730000001</v>
      </c>
      <c r="AC291">
        <v>747435.35239999997</v>
      </c>
      <c r="AD291">
        <v>749723.97900000005</v>
      </c>
      <c r="AE291">
        <v>752076.58380000002</v>
      </c>
      <c r="AF291">
        <v>754261.76930000004</v>
      </c>
      <c r="AG291">
        <v>756498.07279999997</v>
      </c>
      <c r="AH291">
        <v>758778.19129999995</v>
      </c>
      <c r="AI291">
        <v>761242.77249999996</v>
      </c>
      <c r="AJ291">
        <v>764227.80379999999</v>
      </c>
      <c r="AK291">
        <v>767295.73809999996</v>
      </c>
      <c r="AL291">
        <v>770305.54810000001</v>
      </c>
      <c r="AM291">
        <v>773469.42</v>
      </c>
      <c r="AN291">
        <v>776358.23679999996</v>
      </c>
      <c r="AO291">
        <v>779551.90590000001</v>
      </c>
      <c r="AP291">
        <v>782843.02320000005</v>
      </c>
      <c r="AQ291">
        <v>786137.26760000002</v>
      </c>
      <c r="AR291">
        <v>789000.89029999997</v>
      </c>
      <c r="AS291">
        <v>791333.47919999994</v>
      </c>
      <c r="AT291">
        <v>793873.60990000004</v>
      </c>
      <c r="AU291">
        <v>796742.87849999999</v>
      </c>
      <c r="AV291">
        <v>799720.33100000001</v>
      </c>
      <c r="AW291">
        <v>801219.1888</v>
      </c>
    </row>
    <row r="292" spans="2:49" x14ac:dyDescent="0.25">
      <c r="B292" t="s">
        <v>483</v>
      </c>
      <c r="C292">
        <v>241047.76327865999</v>
      </c>
      <c r="D292">
        <v>244917.86308720699</v>
      </c>
      <c r="E292">
        <v>248850.0986</v>
      </c>
      <c r="F292">
        <v>267152.06530000002</v>
      </c>
      <c r="G292">
        <v>279163.73469999997</v>
      </c>
      <c r="H292">
        <v>295385.6079</v>
      </c>
      <c r="I292">
        <v>308997.68160000001</v>
      </c>
      <c r="J292">
        <v>330568.2953</v>
      </c>
      <c r="K292">
        <v>355756.3737</v>
      </c>
      <c r="L292">
        <v>381303.71750000003</v>
      </c>
      <c r="M292">
        <v>410816.06030000001</v>
      </c>
      <c r="N292">
        <v>442351.11210000003</v>
      </c>
      <c r="O292">
        <v>441147.01860000001</v>
      </c>
      <c r="P292">
        <v>436823.10729999997</v>
      </c>
      <c r="Q292">
        <v>434742.81030000001</v>
      </c>
      <c r="R292">
        <v>431826.43209999998</v>
      </c>
      <c r="S292">
        <v>438362.13459999999</v>
      </c>
      <c r="T292">
        <v>444179.36479999998</v>
      </c>
      <c r="U292">
        <v>446258.24920000002</v>
      </c>
      <c r="V292">
        <v>447538.66100000002</v>
      </c>
      <c r="W292">
        <v>440102.28330000001</v>
      </c>
      <c r="X292">
        <v>435710.56920000003</v>
      </c>
      <c r="Y292">
        <v>442647.99229999998</v>
      </c>
      <c r="Z292">
        <v>446480.77630000003</v>
      </c>
      <c r="AA292">
        <v>448826.74190000002</v>
      </c>
      <c r="AB292">
        <v>450189.99329999997</v>
      </c>
      <c r="AC292">
        <v>450928.03149999998</v>
      </c>
      <c r="AD292">
        <v>452748.89799999999</v>
      </c>
      <c r="AE292">
        <v>454573.33120000002</v>
      </c>
      <c r="AF292">
        <v>456557.7487</v>
      </c>
      <c r="AG292">
        <v>458660.08929999999</v>
      </c>
      <c r="AH292">
        <v>460900.15039999998</v>
      </c>
      <c r="AI292">
        <v>462237.26160000003</v>
      </c>
      <c r="AJ292">
        <v>464194.85190000001</v>
      </c>
      <c r="AK292">
        <v>466540.45069999999</v>
      </c>
      <c r="AL292">
        <v>469109.89730000001</v>
      </c>
      <c r="AM292">
        <v>471772.83789999998</v>
      </c>
      <c r="AN292">
        <v>474404.61690000002</v>
      </c>
      <c r="AO292">
        <v>477086.44559999998</v>
      </c>
      <c r="AP292">
        <v>479841.29239999998</v>
      </c>
      <c r="AQ292">
        <v>482670.26409999997</v>
      </c>
      <c r="AR292">
        <v>483947.44510000001</v>
      </c>
      <c r="AS292">
        <v>485663.48050000001</v>
      </c>
      <c r="AT292">
        <v>487624.88559999998</v>
      </c>
      <c r="AU292">
        <v>489761.53240000003</v>
      </c>
      <c r="AV292">
        <v>492094.61099999998</v>
      </c>
      <c r="AW292">
        <v>495129.98489999998</v>
      </c>
    </row>
    <row r="293" spans="2:49" x14ac:dyDescent="0.25">
      <c r="B293" t="s">
        <v>535</v>
      </c>
      <c r="C293">
        <v>383714635.27038902</v>
      </c>
      <c r="D293">
        <v>389875297.85567099</v>
      </c>
      <c r="E293">
        <v>396134871.89999998</v>
      </c>
      <c r="F293">
        <v>414613675.80000001</v>
      </c>
      <c r="G293">
        <v>424642396.19999999</v>
      </c>
      <c r="H293">
        <v>439475501.19999999</v>
      </c>
      <c r="I293">
        <v>452922283.10000002</v>
      </c>
      <c r="J293">
        <v>472023957.19999999</v>
      </c>
      <c r="K293">
        <v>494065642.89999998</v>
      </c>
      <c r="L293">
        <v>519054177.39999998</v>
      </c>
      <c r="M293">
        <v>548879766.60000002</v>
      </c>
      <c r="N293">
        <v>576524927.20000005</v>
      </c>
      <c r="O293">
        <v>580776369.79999995</v>
      </c>
      <c r="P293">
        <v>579424506.20000005</v>
      </c>
      <c r="Q293">
        <v>576074367.39999998</v>
      </c>
      <c r="R293">
        <v>575469839.29999995</v>
      </c>
      <c r="S293">
        <v>580460566.89999998</v>
      </c>
      <c r="T293">
        <v>583255021.5</v>
      </c>
      <c r="U293">
        <v>584133739.79999995</v>
      </c>
      <c r="V293">
        <v>584513296.39999998</v>
      </c>
      <c r="W293">
        <v>585090074.10000002</v>
      </c>
      <c r="X293">
        <v>585444611.20000005</v>
      </c>
      <c r="Y293">
        <v>585702148.39999998</v>
      </c>
      <c r="Z293">
        <v>586130287.39999998</v>
      </c>
      <c r="AA293">
        <v>586900942.29999995</v>
      </c>
      <c r="AB293">
        <v>587925640</v>
      </c>
      <c r="AC293">
        <v>589077404.20000005</v>
      </c>
      <c r="AD293">
        <v>590379830.29999995</v>
      </c>
      <c r="AE293">
        <v>593519113.89999998</v>
      </c>
      <c r="AF293">
        <v>596020623</v>
      </c>
      <c r="AG293">
        <v>598315601.70000005</v>
      </c>
      <c r="AH293">
        <v>602446493.60000002</v>
      </c>
      <c r="AI293">
        <v>604046220.60000002</v>
      </c>
      <c r="AJ293">
        <v>606194860.79999995</v>
      </c>
      <c r="AK293">
        <v>608599686.29999995</v>
      </c>
      <c r="AL293">
        <v>611149286.29999995</v>
      </c>
      <c r="AM293">
        <v>613770209.70000005</v>
      </c>
      <c r="AN293">
        <v>616584186.20000005</v>
      </c>
      <c r="AO293">
        <v>619165916.39999998</v>
      </c>
      <c r="AP293">
        <v>621650139</v>
      </c>
      <c r="AQ293">
        <v>624073040.89999998</v>
      </c>
      <c r="AR293">
        <v>626443402</v>
      </c>
      <c r="AS293">
        <v>628921369.39999998</v>
      </c>
      <c r="AT293">
        <v>631287065.20000005</v>
      </c>
      <c r="AU293">
        <v>633587371.70000005</v>
      </c>
      <c r="AV293">
        <v>635843493.70000005</v>
      </c>
      <c r="AW293">
        <v>638090015.89999998</v>
      </c>
    </row>
    <row r="294" spans="2:49" x14ac:dyDescent="0.25">
      <c r="B294" t="s">
        <v>536</v>
      </c>
      <c r="C294">
        <v>13020.598862561899</v>
      </c>
      <c r="D294">
        <v>13229.6487889324</v>
      </c>
      <c r="E294">
        <v>13442.05508</v>
      </c>
      <c r="F294">
        <v>13754.020689999999</v>
      </c>
      <c r="G294">
        <v>14078.737870000001</v>
      </c>
      <c r="H294">
        <v>13563.30718</v>
      </c>
      <c r="I294">
        <v>13061.730310000001</v>
      </c>
      <c r="J294">
        <v>13343.91237</v>
      </c>
      <c r="K294">
        <v>13561.2354</v>
      </c>
      <c r="L294">
        <v>13432.845139999999</v>
      </c>
      <c r="M294">
        <v>13600.448399999999</v>
      </c>
      <c r="N294">
        <v>13987.73667</v>
      </c>
      <c r="O294">
        <v>14223.452139999999</v>
      </c>
      <c r="P294">
        <v>14471.36123</v>
      </c>
      <c r="Q294">
        <v>14825.776959999999</v>
      </c>
      <c r="R294">
        <v>15195.528420000001</v>
      </c>
      <c r="S294">
        <v>14857.562889999999</v>
      </c>
      <c r="T294">
        <v>14284.79219</v>
      </c>
      <c r="U294">
        <v>14158.932849999999</v>
      </c>
      <c r="V294">
        <v>13976.36239</v>
      </c>
      <c r="W294">
        <v>14170.932720000001</v>
      </c>
      <c r="X294">
        <v>14297.48099</v>
      </c>
      <c r="Y294">
        <v>14430.94968</v>
      </c>
      <c r="Z294">
        <v>14529.656440000001</v>
      </c>
      <c r="AA294">
        <v>14708.50045</v>
      </c>
      <c r="AB294">
        <v>14917.745360000001</v>
      </c>
      <c r="AC294">
        <v>15132.78125</v>
      </c>
      <c r="AD294">
        <v>15367.15646</v>
      </c>
      <c r="AE294">
        <v>15594.04098</v>
      </c>
      <c r="AF294">
        <v>15852.52529</v>
      </c>
      <c r="AG294">
        <v>16139.156989999999</v>
      </c>
      <c r="AH294">
        <v>16454.333839999999</v>
      </c>
      <c r="AI294">
        <v>16807.6122</v>
      </c>
      <c r="AJ294">
        <v>17199.1862</v>
      </c>
      <c r="AK294">
        <v>17599.49855</v>
      </c>
      <c r="AL294">
        <v>18018.383040000001</v>
      </c>
      <c r="AM294">
        <v>18448.646219999999</v>
      </c>
      <c r="AN294">
        <v>18887.108410000001</v>
      </c>
      <c r="AO294">
        <v>19322.650659999999</v>
      </c>
      <c r="AP294">
        <v>19771.69671</v>
      </c>
      <c r="AQ294">
        <v>20225.976600000002</v>
      </c>
      <c r="AR294">
        <v>20684.102360000001</v>
      </c>
      <c r="AS294">
        <v>21144.093110000002</v>
      </c>
      <c r="AT294">
        <v>21614.039489999999</v>
      </c>
      <c r="AU294">
        <v>22090.962950000001</v>
      </c>
      <c r="AV294">
        <v>22574.498469999999</v>
      </c>
      <c r="AW294">
        <v>23074.399290000001</v>
      </c>
    </row>
    <row r="295" spans="2:49" x14ac:dyDescent="0.25">
      <c r="B295" t="s">
        <v>537</v>
      </c>
      <c r="C295">
        <v>158336.21117690401</v>
      </c>
      <c r="D295">
        <v>160878.35026264799</v>
      </c>
      <c r="E295">
        <v>163461.30420000001</v>
      </c>
      <c r="F295">
        <v>174437.3585</v>
      </c>
      <c r="G295">
        <v>181744.26939999999</v>
      </c>
      <c r="H295">
        <v>189777.6795</v>
      </c>
      <c r="I295">
        <v>197649.6231</v>
      </c>
      <c r="J295">
        <v>207898.6256</v>
      </c>
      <c r="K295">
        <v>223939.04740000001</v>
      </c>
      <c r="L295">
        <v>240577.19289999999</v>
      </c>
      <c r="M295">
        <v>258206.44339999999</v>
      </c>
      <c r="N295">
        <v>281906.88370000001</v>
      </c>
      <c r="O295">
        <v>283858.75180000003</v>
      </c>
      <c r="P295">
        <v>279234.40909999999</v>
      </c>
      <c r="Q295">
        <v>273920.62640000001</v>
      </c>
      <c r="R295">
        <v>273877.86349999998</v>
      </c>
      <c r="S295">
        <v>276515.94420000003</v>
      </c>
      <c r="T295">
        <v>281198.4057</v>
      </c>
      <c r="U295">
        <v>280909.37809999997</v>
      </c>
      <c r="V295">
        <v>280238.88329999999</v>
      </c>
      <c r="W295">
        <v>280322.5503</v>
      </c>
      <c r="X295">
        <v>280538.15980000002</v>
      </c>
      <c r="Y295">
        <v>280656.82309999998</v>
      </c>
      <c r="Z295">
        <v>281216.4817</v>
      </c>
      <c r="AA295">
        <v>281775.37479999999</v>
      </c>
      <c r="AB295">
        <v>282532.57049999997</v>
      </c>
      <c r="AC295">
        <v>283458.37150000001</v>
      </c>
      <c r="AD295">
        <v>284502.14990000002</v>
      </c>
      <c r="AE295">
        <v>288246.79029999999</v>
      </c>
      <c r="AF295">
        <v>290950.70329999999</v>
      </c>
      <c r="AG295">
        <v>293255.51120000001</v>
      </c>
      <c r="AH295">
        <v>298058.85580000002</v>
      </c>
      <c r="AI295">
        <v>299071.38929999998</v>
      </c>
      <c r="AJ295">
        <v>300710.37839999999</v>
      </c>
      <c r="AK295">
        <v>302681.07339999999</v>
      </c>
      <c r="AL295">
        <v>304810.13170000003</v>
      </c>
      <c r="AM295">
        <v>307043.26309999998</v>
      </c>
      <c r="AN295">
        <v>309529.70289999997</v>
      </c>
      <c r="AO295">
        <v>311732.10320000001</v>
      </c>
      <c r="AP295">
        <v>313773.57909999997</v>
      </c>
      <c r="AQ295">
        <v>315740.59330000001</v>
      </c>
      <c r="AR295">
        <v>317654.01659999997</v>
      </c>
      <c r="AS295">
        <v>319747.48540000001</v>
      </c>
      <c r="AT295">
        <v>321680.0269</v>
      </c>
      <c r="AU295">
        <v>323533.20909999998</v>
      </c>
      <c r="AV295">
        <v>325334.09830000001</v>
      </c>
      <c r="AW295">
        <v>327090.87469999999</v>
      </c>
    </row>
    <row r="296" spans="2:49" x14ac:dyDescent="0.25">
      <c r="B296" t="s">
        <v>538</v>
      </c>
      <c r="C296">
        <v>516755.579312385</v>
      </c>
      <c r="D296">
        <v>525052.257287574</v>
      </c>
      <c r="E296">
        <v>533482.14110000001</v>
      </c>
      <c r="F296">
        <v>549169.34869999997</v>
      </c>
      <c r="G296">
        <v>553291.179</v>
      </c>
      <c r="H296">
        <v>564274.66130000004</v>
      </c>
      <c r="I296">
        <v>572693.53780000005</v>
      </c>
      <c r="J296">
        <v>587807.09970000002</v>
      </c>
      <c r="K296">
        <v>602531.59580000001</v>
      </c>
      <c r="L296">
        <v>620648.90579999995</v>
      </c>
      <c r="M296">
        <v>644610.18850000005</v>
      </c>
      <c r="N296">
        <v>669384.22380000004</v>
      </c>
      <c r="O296">
        <v>672472.72160000005</v>
      </c>
      <c r="P296">
        <v>671955.00260000001</v>
      </c>
      <c r="Q296">
        <v>668929.50950000004</v>
      </c>
      <c r="R296">
        <v>666117.54</v>
      </c>
      <c r="S296">
        <v>669753.98719999997</v>
      </c>
      <c r="T296">
        <v>670453.25360000005</v>
      </c>
      <c r="U296">
        <v>672000.31969999999</v>
      </c>
      <c r="V296">
        <v>673079.69559999998</v>
      </c>
      <c r="W296">
        <v>673889.18420000002</v>
      </c>
      <c r="X296">
        <v>674263.06059999997</v>
      </c>
      <c r="Y296">
        <v>674563.24479999999</v>
      </c>
      <c r="Z296">
        <v>674789.23320000002</v>
      </c>
      <c r="AA296">
        <v>675533.9449</v>
      </c>
      <c r="AB296">
        <v>676513.54790000001</v>
      </c>
      <c r="AC296">
        <v>677558.33380000002</v>
      </c>
      <c r="AD296">
        <v>678742.14300000004</v>
      </c>
      <c r="AE296">
        <v>680669.67180000001</v>
      </c>
      <c r="AF296">
        <v>682416.55260000005</v>
      </c>
      <c r="AG296">
        <v>684151.71459999995</v>
      </c>
      <c r="AH296">
        <v>686781.61259999999</v>
      </c>
      <c r="AI296">
        <v>688438.71070000005</v>
      </c>
      <c r="AJ296">
        <v>690454.17039999994</v>
      </c>
      <c r="AK296">
        <v>692607.24860000005</v>
      </c>
      <c r="AL296">
        <v>694860.01599999995</v>
      </c>
      <c r="AM296">
        <v>697142.25919999997</v>
      </c>
      <c r="AN296">
        <v>699525.68980000005</v>
      </c>
      <c r="AO296">
        <v>701771.8</v>
      </c>
      <c r="AP296">
        <v>703991.65590000001</v>
      </c>
      <c r="AQ296">
        <v>706174.85239999997</v>
      </c>
      <c r="AR296">
        <v>708318.94609999994</v>
      </c>
      <c r="AS296">
        <v>710490.16429999995</v>
      </c>
      <c r="AT296">
        <v>712612.79559999995</v>
      </c>
      <c r="AU296">
        <v>714696.30319999997</v>
      </c>
      <c r="AV296">
        <v>716752.37100000004</v>
      </c>
      <c r="AW296">
        <v>718827.15419999999</v>
      </c>
    </row>
    <row r="297" spans="2:49" x14ac:dyDescent="0.25">
      <c r="B297" t="s">
        <v>539</v>
      </c>
      <c r="C297">
        <v>82711.5521017555</v>
      </c>
      <c r="D297">
        <v>84039.512824558697</v>
      </c>
      <c r="E297">
        <v>85388.793109999999</v>
      </c>
      <c r="F297">
        <v>92723.860149999906</v>
      </c>
      <c r="G297">
        <v>97431.31061</v>
      </c>
      <c r="H297">
        <v>105668.875</v>
      </c>
      <c r="I297">
        <v>111417.2164</v>
      </c>
      <c r="J297">
        <v>122828.0349</v>
      </c>
      <c r="K297">
        <v>131987.99729999999</v>
      </c>
      <c r="L297">
        <v>140911.1948</v>
      </c>
      <c r="M297">
        <v>152813.7341</v>
      </c>
      <c r="N297">
        <v>160735.60399999999</v>
      </c>
      <c r="O297">
        <v>157614.63039999999</v>
      </c>
      <c r="P297">
        <v>157928.91190000001</v>
      </c>
      <c r="Q297">
        <v>161241.2732</v>
      </c>
      <c r="R297">
        <v>158380.69339999999</v>
      </c>
      <c r="S297">
        <v>158645.91219999999</v>
      </c>
      <c r="T297">
        <v>157660.81469999999</v>
      </c>
      <c r="U297">
        <v>158635.2697</v>
      </c>
      <c r="V297">
        <v>159568.6502</v>
      </c>
      <c r="W297">
        <v>160090.0753</v>
      </c>
      <c r="X297">
        <v>160399.91880000001</v>
      </c>
      <c r="Y297">
        <v>160680.50409999999</v>
      </c>
      <c r="Z297">
        <v>160742.30859999999</v>
      </c>
      <c r="AA297">
        <v>161030.28709999999</v>
      </c>
      <c r="AB297">
        <v>161337.9325</v>
      </c>
      <c r="AC297">
        <v>161604.1784</v>
      </c>
      <c r="AD297">
        <v>161878.70269999999</v>
      </c>
      <c r="AE297">
        <v>161327.54819999999</v>
      </c>
      <c r="AF297">
        <v>161140.35089999999</v>
      </c>
      <c r="AG297">
        <v>161113.57120000001</v>
      </c>
      <c r="AH297">
        <v>160386.38029999999</v>
      </c>
      <c r="AI297">
        <v>160882.35829999999</v>
      </c>
      <c r="AJ297">
        <v>161241.7739</v>
      </c>
      <c r="AK297">
        <v>161506.56690000001</v>
      </c>
      <c r="AL297">
        <v>161736.38380000001</v>
      </c>
      <c r="AM297">
        <v>161930.87040000001</v>
      </c>
      <c r="AN297">
        <v>162061.98850000001</v>
      </c>
      <c r="AO297">
        <v>162259.12049999999</v>
      </c>
      <c r="AP297">
        <v>162520.8199</v>
      </c>
      <c r="AQ297">
        <v>162803.8426</v>
      </c>
      <c r="AR297">
        <v>163096.19159999999</v>
      </c>
      <c r="AS297">
        <v>163320.92430000001</v>
      </c>
      <c r="AT297">
        <v>163600.6012</v>
      </c>
      <c r="AU297">
        <v>163900.17110000001</v>
      </c>
      <c r="AV297">
        <v>164212.4601</v>
      </c>
      <c r="AW297">
        <v>164553.44200000001</v>
      </c>
    </row>
    <row r="298" spans="2:49" x14ac:dyDescent="0.25">
      <c r="B298" t="s">
        <v>540</v>
      </c>
      <c r="C298">
        <v>45689.201708803201</v>
      </c>
      <c r="D298">
        <v>46422.756620829103</v>
      </c>
      <c r="E298">
        <v>47168.08829</v>
      </c>
      <c r="F298">
        <v>48247.45723</v>
      </c>
      <c r="G298">
        <v>48129.430509999998</v>
      </c>
      <c r="H298">
        <v>49209.008800000003</v>
      </c>
      <c r="I298">
        <v>49827.708409999999</v>
      </c>
      <c r="J298">
        <v>51246.885170000001</v>
      </c>
      <c r="K298">
        <v>51655.752919999999</v>
      </c>
      <c r="L298">
        <v>52614.380239999999</v>
      </c>
      <c r="M298">
        <v>54462.66158</v>
      </c>
      <c r="N298">
        <v>55589.95336</v>
      </c>
      <c r="O298">
        <v>55664.409030000003</v>
      </c>
      <c r="P298">
        <v>56165.361259999998</v>
      </c>
      <c r="Q298">
        <v>56486.723299999998</v>
      </c>
      <c r="R298">
        <v>55949.973270000002</v>
      </c>
      <c r="S298">
        <v>56093.34906</v>
      </c>
      <c r="T298">
        <v>55713.20852</v>
      </c>
      <c r="U298">
        <v>56068.541550000002</v>
      </c>
      <c r="V298">
        <v>56411.61621</v>
      </c>
      <c r="W298">
        <v>56611.755689999998</v>
      </c>
      <c r="X298">
        <v>56732.624900000003</v>
      </c>
      <c r="Y298">
        <v>56852.603600000002</v>
      </c>
      <c r="Z298">
        <v>56900.903149999998</v>
      </c>
      <c r="AA298">
        <v>57024.040739999997</v>
      </c>
      <c r="AB298">
        <v>57153.401290000002</v>
      </c>
      <c r="AC298">
        <v>57268.805480000003</v>
      </c>
      <c r="AD298">
        <v>57388.017820000001</v>
      </c>
      <c r="AE298">
        <v>57238.797120000003</v>
      </c>
      <c r="AF298">
        <v>57208.7929</v>
      </c>
      <c r="AG298">
        <v>57232.510520000003</v>
      </c>
      <c r="AH298">
        <v>57042.335809999997</v>
      </c>
      <c r="AI298">
        <v>57234.700790000003</v>
      </c>
      <c r="AJ298">
        <v>57391.883280000002</v>
      </c>
      <c r="AK298">
        <v>57524.205650000004</v>
      </c>
      <c r="AL298">
        <v>57649.460359999997</v>
      </c>
      <c r="AM298">
        <v>57765.108130000001</v>
      </c>
      <c r="AN298">
        <v>57862.244839999999</v>
      </c>
      <c r="AO298">
        <v>57979.64243</v>
      </c>
      <c r="AP298">
        <v>58116.303930000002</v>
      </c>
      <c r="AQ298">
        <v>58258.913820000002</v>
      </c>
      <c r="AR298">
        <v>58404.111790000003</v>
      </c>
      <c r="AS298">
        <v>58529.579160000001</v>
      </c>
      <c r="AT298">
        <v>58670.863740000001</v>
      </c>
      <c r="AU298">
        <v>58817.991829999999</v>
      </c>
      <c r="AV298">
        <v>58969.032919999998</v>
      </c>
      <c r="AW298">
        <v>59129.610990000001</v>
      </c>
    </row>
    <row r="299" spans="2:49" x14ac:dyDescent="0.25">
      <c r="B299" t="s">
        <v>541</v>
      </c>
      <c r="C299">
        <v>562444.78102118801</v>
      </c>
      <c r="D299">
        <v>571475.01390840299</v>
      </c>
      <c r="E299">
        <v>580650.23010000004</v>
      </c>
      <c r="F299">
        <v>597415.90769999998</v>
      </c>
      <c r="G299">
        <v>601417.51150000002</v>
      </c>
      <c r="H299">
        <v>613480.36569999997</v>
      </c>
      <c r="I299">
        <v>622517.77020000003</v>
      </c>
      <c r="J299">
        <v>639050.31900000002</v>
      </c>
      <c r="K299">
        <v>654176.82290000003</v>
      </c>
      <c r="L299">
        <v>673249.3713</v>
      </c>
      <c r="M299">
        <v>699058.11899999995</v>
      </c>
      <c r="N299">
        <v>724951.21129999997</v>
      </c>
      <c r="O299">
        <v>728113.79009999998</v>
      </c>
      <c r="P299">
        <v>728094.58409999998</v>
      </c>
      <c r="Q299">
        <v>725387.84519999998</v>
      </c>
      <c r="R299">
        <v>722038.52</v>
      </c>
      <c r="S299">
        <v>725817.97560000001</v>
      </c>
      <c r="T299">
        <v>728260.8946</v>
      </c>
      <c r="U299">
        <v>730842.8149</v>
      </c>
      <c r="V299">
        <v>732946.34869999997</v>
      </c>
      <c r="W299">
        <v>734638.1311</v>
      </c>
      <c r="X299">
        <v>735814.09069999994</v>
      </c>
      <c r="Y299">
        <v>736916.36069999996</v>
      </c>
      <c r="Z299">
        <v>737872.90910000005</v>
      </c>
      <c r="AA299">
        <v>739429.67449999996</v>
      </c>
      <c r="AB299">
        <v>741232.24069999997</v>
      </c>
      <c r="AC299">
        <v>743089.27419999999</v>
      </c>
      <c r="AD299">
        <v>745093.65159999998</v>
      </c>
      <c r="AE299">
        <v>747581.80359999998</v>
      </c>
      <c r="AF299">
        <v>750012.44739999995</v>
      </c>
      <c r="AG299">
        <v>752489.87300000002</v>
      </c>
      <c r="AH299">
        <v>755661.77</v>
      </c>
      <c r="AI299">
        <v>758240.4118</v>
      </c>
      <c r="AJ299">
        <v>761152.07420000003</v>
      </c>
      <c r="AK299">
        <v>764183.33200000005</v>
      </c>
      <c r="AL299">
        <v>767314.01439999999</v>
      </c>
      <c r="AM299">
        <v>770470.15249999997</v>
      </c>
      <c r="AN299">
        <v>773715.95770000003</v>
      </c>
      <c r="AO299">
        <v>776847.54819999996</v>
      </c>
      <c r="AP299">
        <v>779977.19620000001</v>
      </c>
      <c r="AQ299">
        <v>783080.55559999996</v>
      </c>
      <c r="AR299">
        <v>786151.58380000002</v>
      </c>
      <c r="AS299">
        <v>789235.223</v>
      </c>
      <c r="AT299">
        <v>792290.29379999998</v>
      </c>
      <c r="AU299">
        <v>795316.15590000001</v>
      </c>
      <c r="AV299">
        <v>798322.74820000003</v>
      </c>
      <c r="AW299">
        <v>801363.34100000001</v>
      </c>
    </row>
    <row r="300" spans="2:49" x14ac:dyDescent="0.25">
      <c r="B300" t="s">
        <v>542</v>
      </c>
      <c r="C300">
        <v>241047.76327865999</v>
      </c>
      <c r="D300">
        <v>244917.86308720699</v>
      </c>
      <c r="E300">
        <v>248850.0986</v>
      </c>
      <c r="F300">
        <v>267152.06530000002</v>
      </c>
      <c r="G300">
        <v>279163.73469999997</v>
      </c>
      <c r="H300">
        <v>295385.6079</v>
      </c>
      <c r="I300">
        <v>308997.68160000001</v>
      </c>
      <c r="J300">
        <v>330568.2953</v>
      </c>
      <c r="K300">
        <v>355756.3737</v>
      </c>
      <c r="L300">
        <v>381303.71750000003</v>
      </c>
      <c r="M300">
        <v>410816.06030000001</v>
      </c>
      <c r="N300">
        <v>442351.11210000003</v>
      </c>
      <c r="O300">
        <v>441147.01860000001</v>
      </c>
      <c r="P300">
        <v>436823.10729999997</v>
      </c>
      <c r="Q300">
        <v>434742.81030000001</v>
      </c>
      <c r="R300">
        <v>431826.43209999998</v>
      </c>
      <c r="S300">
        <v>434723.67210000003</v>
      </c>
      <c r="T300">
        <v>438390.4583</v>
      </c>
      <c r="U300">
        <v>439072.53960000002</v>
      </c>
      <c r="V300">
        <v>439331.68680000002</v>
      </c>
      <c r="W300">
        <v>439935.67739999999</v>
      </c>
      <c r="X300">
        <v>440460.49229999998</v>
      </c>
      <c r="Y300">
        <v>440859.21889999998</v>
      </c>
      <c r="Z300">
        <v>441479.87670000002</v>
      </c>
      <c r="AA300">
        <v>442325.8285</v>
      </c>
      <c r="AB300">
        <v>443389.48479999998</v>
      </c>
      <c r="AC300">
        <v>444580.10440000001</v>
      </c>
      <c r="AD300">
        <v>445896.77630000003</v>
      </c>
      <c r="AE300">
        <v>449072.71370000002</v>
      </c>
      <c r="AF300">
        <v>451580.90179999999</v>
      </c>
      <c r="AG300">
        <v>453852.98330000002</v>
      </c>
      <c r="AH300">
        <v>457901.94770000002</v>
      </c>
      <c r="AI300">
        <v>459408.6667</v>
      </c>
      <c r="AJ300">
        <v>461404.15460000001</v>
      </c>
      <c r="AK300">
        <v>463635.73119999998</v>
      </c>
      <c r="AL300">
        <v>465990.1519</v>
      </c>
      <c r="AM300">
        <v>468412.90389999998</v>
      </c>
      <c r="AN300">
        <v>471024.5282</v>
      </c>
      <c r="AO300">
        <v>473419.3334</v>
      </c>
      <c r="AP300">
        <v>475718.4363</v>
      </c>
      <c r="AQ300">
        <v>477964.6605</v>
      </c>
      <c r="AR300">
        <v>480166.78840000002</v>
      </c>
      <c r="AS300">
        <v>482480.71990000003</v>
      </c>
      <c r="AT300">
        <v>484689.2377</v>
      </c>
      <c r="AU300">
        <v>486838.53289999999</v>
      </c>
      <c r="AV300">
        <v>488948.40669999999</v>
      </c>
      <c r="AW300">
        <v>491043.00209999998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0070C0"/>
  </sheetPr>
  <dimension ref="A1:BV376"/>
  <sheetViews>
    <sheetView topLeftCell="A34" zoomScale="80" zoomScaleNormal="80" workbookViewId="0">
      <selection activeCell="F10" sqref="F10"/>
    </sheetView>
  </sheetViews>
  <sheetFormatPr baseColWidth="10" defaultRowHeight="15" x14ac:dyDescent="0.25"/>
  <cols>
    <col min="1" max="2" width="29.85546875" customWidth="1"/>
    <col min="6" max="7" width="11.42578125" customWidth="1"/>
    <col min="9" max="9" width="13.140625" customWidth="1"/>
    <col min="10" max="12" width="11.42578125" style="3"/>
    <col min="13" max="13" width="11.42578125" style="3" customWidth="1"/>
    <col min="14" max="15" width="11.42578125" style="3"/>
    <col min="16" max="16" width="13.42578125" style="3" customWidth="1"/>
    <col min="17" max="19" width="11.42578125" style="3"/>
    <col min="20" max="20" width="11.42578125" style="3" customWidth="1"/>
    <col min="21" max="74" width="11.42578125" style="3"/>
  </cols>
  <sheetData>
    <row r="1" spans="1:28" ht="23.25" x14ac:dyDescent="0.35">
      <c r="A1" s="1" t="s">
        <v>86</v>
      </c>
      <c r="B1" s="46"/>
      <c r="C1" s="3"/>
      <c r="D1" s="3"/>
      <c r="E1" s="3"/>
      <c r="F1" s="3"/>
      <c r="G1" s="3"/>
      <c r="H1" s="3"/>
      <c r="I1" s="3"/>
    </row>
    <row r="2" spans="1:28" ht="18.75" x14ac:dyDescent="0.3">
      <c r="A2" s="41"/>
      <c r="B2" s="41"/>
      <c r="C2" s="3"/>
      <c r="D2" s="3"/>
      <c r="E2" s="3"/>
      <c r="F2" s="3"/>
      <c r="G2" s="3"/>
      <c r="H2" s="3"/>
      <c r="I2" s="3"/>
      <c r="R2" s="41"/>
      <c r="V2" s="45"/>
      <c r="W2" s="45"/>
    </row>
    <row r="3" spans="1:28" ht="23.25" x14ac:dyDescent="0.35">
      <c r="A3" s="161" t="str">
        <f>Résultats!B1</f>
        <v>SNBC3</v>
      </c>
      <c r="B3" s="161"/>
      <c r="C3" s="3"/>
      <c r="D3" s="3"/>
      <c r="E3" s="3"/>
      <c r="F3" s="3"/>
      <c r="G3" s="3"/>
      <c r="H3" s="3"/>
      <c r="I3" s="3"/>
      <c r="R3" s="41"/>
      <c r="V3" s="45"/>
      <c r="W3" s="45"/>
    </row>
    <row r="4" spans="1:28" x14ac:dyDescent="0.25">
      <c r="A4" s="3"/>
      <c r="B4" s="3"/>
      <c r="C4" s="43"/>
      <c r="D4" s="43"/>
      <c r="E4" s="43"/>
      <c r="F4" s="43"/>
      <c r="G4" s="44"/>
      <c r="H4" s="3"/>
      <c r="I4" s="3"/>
      <c r="J4" s="44"/>
      <c r="K4" s="44"/>
      <c r="L4" s="44"/>
      <c r="M4" s="44"/>
      <c r="O4" s="42"/>
      <c r="Q4" s="44"/>
      <c r="R4" s="44"/>
      <c r="S4" s="44"/>
      <c r="T4" s="44"/>
      <c r="X4" s="44"/>
      <c r="Y4" s="44"/>
      <c r="Z4" s="44"/>
      <c r="AA4" s="44"/>
    </row>
    <row r="5" spans="1:28" ht="21" x14ac:dyDescent="0.35">
      <c r="A5" s="145">
        <v>2015</v>
      </c>
      <c r="B5" s="186"/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93" t="s">
        <v>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1:28" x14ac:dyDescent="0.25">
      <c r="A6" s="162" t="s">
        <v>18</v>
      </c>
      <c r="B6" s="187"/>
      <c r="C6" s="36">
        <f>C7+C8</f>
        <v>0</v>
      </c>
      <c r="D6" s="36">
        <f>D7+D8</f>
        <v>130.29249061508349</v>
      </c>
      <c r="E6" s="36">
        <f>E7+E8</f>
        <v>0.60584328148443489</v>
      </c>
      <c r="F6" s="36">
        <f>F7+F8</f>
        <v>0.40960851191702841</v>
      </c>
      <c r="G6" s="36">
        <f>G7+G8</f>
        <v>0</v>
      </c>
      <c r="H6" s="163">
        <f t="shared" ref="H6:H15" si="0">SUM(C6:G6)</f>
        <v>131.30794240848496</v>
      </c>
      <c r="I6" s="166"/>
      <c r="J6" s="166"/>
      <c r="K6" s="166" t="s">
        <v>89</v>
      </c>
      <c r="L6" s="166"/>
      <c r="M6" s="166"/>
      <c r="N6" s="38"/>
      <c r="O6" s="206"/>
      <c r="P6" s="206"/>
      <c r="Q6" s="206"/>
      <c r="R6" s="206"/>
      <c r="S6" s="206"/>
      <c r="T6" s="207"/>
      <c r="U6" s="38"/>
      <c r="V6" s="45"/>
      <c r="W6" s="82"/>
      <c r="X6" s="208"/>
      <c r="Y6" s="208"/>
      <c r="Z6" s="208"/>
      <c r="AA6" s="208"/>
      <c r="AB6" s="208"/>
    </row>
    <row r="7" spans="1:28" x14ac:dyDescent="0.25">
      <c r="A7" s="148" t="s">
        <v>19</v>
      </c>
      <c r="B7" s="35"/>
      <c r="C7" s="16">
        <v>0</v>
      </c>
      <c r="D7" s="16">
        <f>'T energie usages'!I12*3.2*Résultats!L283</f>
        <v>74.790911616483513</v>
      </c>
      <c r="E7" s="16">
        <f>'T energie usages'!J12/'T energie usages'!J$20*(Résultats!N$192+Résultats!N$193+Résultats!N$194)/1000000</f>
        <v>1.4419443423638557E-2</v>
      </c>
      <c r="F7" s="16">
        <f>'T energie usages'!K12*2.394*Résultats!L284</f>
        <v>1.6258997028422299E-5</v>
      </c>
      <c r="G7" s="16">
        <v>0</v>
      </c>
      <c r="H7" s="95">
        <f t="shared" si="0"/>
        <v>74.805347318904168</v>
      </c>
      <c r="I7" s="166"/>
      <c r="J7" s="166"/>
      <c r="K7" s="194"/>
      <c r="L7" s="195">
        <v>2020</v>
      </c>
      <c r="M7" s="195">
        <v>2030</v>
      </c>
      <c r="N7" s="196">
        <v>2050</v>
      </c>
      <c r="O7" s="206"/>
      <c r="P7" s="206"/>
      <c r="Q7" s="206"/>
      <c r="R7" s="206"/>
      <c r="S7" s="206"/>
      <c r="T7" s="207"/>
      <c r="U7" s="38"/>
      <c r="V7" s="45"/>
      <c r="W7" s="30"/>
      <c r="X7" s="208"/>
      <c r="Y7" s="208"/>
      <c r="Z7" s="208"/>
      <c r="AA7" s="208"/>
      <c r="AB7" s="208"/>
    </row>
    <row r="8" spans="1:28" x14ac:dyDescent="0.25">
      <c r="A8" s="149" t="s">
        <v>20</v>
      </c>
      <c r="B8" s="35"/>
      <c r="C8" s="16">
        <v>0</v>
      </c>
      <c r="D8" s="16">
        <f>(Résultats!N$183+Résultats!N$184+Résultats!N$185+Résultats!N$186+Résultats!N$187)/1000000</f>
        <v>55.501578998599989</v>
      </c>
      <c r="E8" s="16">
        <f>'T energie usages'!J13/'T energie usages'!J$20*(Résultats!N$192+Résultats!N$193+Résultats!N$194)/1000000</f>
        <v>0.59142383806079635</v>
      </c>
      <c r="F8" s="16">
        <f>(Résultats!N$209+Résultats!N$210+Résultats!N$211+Résultats!N$212+Résultats!N$213)/1000000</f>
        <v>0.40959225292000001</v>
      </c>
      <c r="G8" s="16">
        <v>0</v>
      </c>
      <c r="H8" s="95">
        <f t="shared" si="0"/>
        <v>56.502595089580787</v>
      </c>
      <c r="I8" s="166"/>
      <c r="J8" s="166"/>
      <c r="K8" s="197" t="s">
        <v>18</v>
      </c>
      <c r="L8" s="45">
        <f>H19</f>
        <v>127.26205043469389</v>
      </c>
      <c r="M8" s="45">
        <f>H45</f>
        <v>98.161612380695672</v>
      </c>
      <c r="N8" s="86">
        <f>H71</f>
        <v>10.373317218891595</v>
      </c>
      <c r="O8" s="206"/>
      <c r="P8" s="206"/>
      <c r="Q8" s="206"/>
      <c r="R8" s="206"/>
      <c r="S8" s="206"/>
      <c r="T8" s="207"/>
      <c r="U8" s="38"/>
      <c r="V8" s="45"/>
      <c r="W8" s="30"/>
      <c r="X8" s="208"/>
      <c r="Y8" s="208"/>
      <c r="Z8" s="208"/>
      <c r="AA8" s="208"/>
      <c r="AB8" s="208"/>
    </row>
    <row r="9" spans="1:28" x14ac:dyDescent="0.25">
      <c r="A9" s="162" t="s">
        <v>21</v>
      </c>
      <c r="B9" s="187"/>
      <c r="C9" s="36">
        <f>Résultats!N$135/1000000</f>
        <v>1.033218159</v>
      </c>
      <c r="D9" s="36">
        <f>'T energie usages'!I14*3.2*Résultats!L283</f>
        <v>22.166311707997384</v>
      </c>
      <c r="E9" s="36">
        <f>'T energie usages'!J14/'T energie usages'!J$20*(Résultats!N$192+Résultats!N$193+Résultats!N$194)/1000000</f>
        <v>6.8617802009957396</v>
      </c>
      <c r="F9" s="36">
        <f>('T energie usages'!K14-8)*2.394*Résultats!L284</f>
        <v>27.315039111738745</v>
      </c>
      <c r="G9" s="36">
        <v>0</v>
      </c>
      <c r="H9" s="163">
        <f t="shared" si="0"/>
        <v>57.376349179731868</v>
      </c>
      <c r="I9" s="166"/>
      <c r="J9" s="166"/>
      <c r="K9" s="197" t="s">
        <v>87</v>
      </c>
      <c r="L9" s="45">
        <f>H22</f>
        <v>51.613850941668382</v>
      </c>
      <c r="M9" s="45">
        <f>H48</f>
        <v>32.36485217114847</v>
      </c>
      <c r="N9" s="86">
        <f>H74</f>
        <v>6.5909479695022171</v>
      </c>
      <c r="O9" s="206"/>
      <c r="P9" s="206"/>
      <c r="Q9" s="206"/>
      <c r="R9" s="206"/>
      <c r="S9" s="206"/>
      <c r="T9" s="207"/>
      <c r="U9" s="38"/>
      <c r="V9" s="45"/>
      <c r="W9" s="82"/>
      <c r="X9" s="208"/>
      <c r="Y9" s="208"/>
      <c r="Z9" s="208"/>
      <c r="AA9" s="208"/>
      <c r="AB9" s="208"/>
    </row>
    <row r="10" spans="1:28" x14ac:dyDescent="0.25">
      <c r="A10" s="162" t="s">
        <v>22</v>
      </c>
      <c r="B10" s="187"/>
      <c r="C10" s="36">
        <f>(Résultats!N$168+Résultats!N$169)/1000000</f>
        <v>0</v>
      </c>
      <c r="D10" s="36">
        <f>(Résultats!N$188+Résultats!N$189)/1000000</f>
        <v>12.1758702615</v>
      </c>
      <c r="E10" s="36">
        <f>'T energie usages'!J15/'T energie usages'!J$20*(Résultats!N$192+Résultats!N$193+Résultats!N$194)/1000000</f>
        <v>6.4970391398036069</v>
      </c>
      <c r="F10" s="36">
        <f>(Résultats!N$214+Résultats!N$215)/1000000</f>
        <v>18.660328943</v>
      </c>
      <c r="G10" s="36">
        <v>0</v>
      </c>
      <c r="H10" s="163">
        <f t="shared" si="0"/>
        <v>37.333238344303609</v>
      </c>
      <c r="I10" s="166"/>
      <c r="J10" s="166"/>
      <c r="K10" s="157" t="s">
        <v>22</v>
      </c>
      <c r="L10" s="45">
        <f>H23</f>
        <v>28.815437425455819</v>
      </c>
      <c r="M10" s="45">
        <f>H49</f>
        <v>20.884948974402011</v>
      </c>
      <c r="N10" s="86">
        <f>H75</f>
        <v>4.7229453918083886</v>
      </c>
      <c r="O10" s="206"/>
      <c r="P10" s="206"/>
      <c r="Q10" s="206"/>
      <c r="R10" s="206"/>
      <c r="S10" s="206"/>
      <c r="T10" s="207"/>
      <c r="U10" s="38"/>
      <c r="V10" s="45"/>
      <c r="W10" s="82"/>
      <c r="X10" s="208"/>
      <c r="Y10" s="208"/>
      <c r="Z10" s="208"/>
      <c r="AA10" s="208"/>
      <c r="AB10" s="208"/>
    </row>
    <row r="11" spans="1:28" x14ac:dyDescent="0.25">
      <c r="A11" s="162" t="s">
        <v>23</v>
      </c>
      <c r="B11" s="187"/>
      <c r="C11" s="36">
        <f>C12+C13</f>
        <v>19.506141666899996</v>
      </c>
      <c r="D11" s="36">
        <f>D12+D13</f>
        <v>62.165186509070615</v>
      </c>
      <c r="E11" s="36">
        <f>E12+E13</f>
        <v>5.5687786527162144</v>
      </c>
      <c r="F11" s="36">
        <f>F12+F13</f>
        <v>25.905232620469356</v>
      </c>
      <c r="G11" s="36">
        <f>G12+G13</f>
        <v>12.05881789</v>
      </c>
      <c r="H11" s="163">
        <f t="shared" si="0"/>
        <v>125.20415733915618</v>
      </c>
      <c r="I11" s="166"/>
      <c r="J11" s="166"/>
      <c r="K11" s="198" t="s">
        <v>88</v>
      </c>
      <c r="L11" s="199">
        <f>H24</f>
        <v>96.337330564536856</v>
      </c>
      <c r="M11" s="199">
        <f>H50</f>
        <v>66.415689664938228</v>
      </c>
      <c r="N11" s="89">
        <f>H76</f>
        <v>41.144149920442267</v>
      </c>
      <c r="O11" s="206"/>
      <c r="P11" s="206"/>
      <c r="Q11" s="206"/>
      <c r="R11" s="206"/>
      <c r="S11" s="206"/>
      <c r="T11" s="207"/>
      <c r="U11" s="38"/>
      <c r="V11" s="45"/>
      <c r="W11" s="82"/>
      <c r="X11" s="208"/>
      <c r="Y11" s="208"/>
      <c r="Z11" s="208"/>
      <c r="AA11" s="208"/>
      <c r="AB11" s="208"/>
    </row>
    <row r="12" spans="1:28" x14ac:dyDescent="0.25">
      <c r="A12" s="149" t="s">
        <v>24</v>
      </c>
      <c r="B12" s="35"/>
      <c r="C12" s="16">
        <f>(Résultats!N$162+Résultats!N$163+Résultats!N$164+Résultats!N$165+Résultats!N$166+Résultats!N$167)/1000000</f>
        <v>19.506141666899996</v>
      </c>
      <c r="D12" s="16">
        <f>(Résultats!N$171+Résultats!N$173+Résultats!N$174+Résultats!N$175+Résultats!N$176+Résultats!N$177+Résultats!N$178+Résultats!N$179+Résultats!N$180+Résultats!N$181+Résultats!N$182)/1000000</f>
        <v>55.048774467070615</v>
      </c>
      <c r="E12" s="16">
        <f>'T energie usages'!J17/'T energie usages'!J$20*(Résultats!N$192+Résultats!N$193+Résultats!N$194)/1000000</f>
        <v>5.4110327607462692</v>
      </c>
      <c r="F12" s="16">
        <f>(Résultats!N$197+Résultats!N$198+Résultats!N$199+Résultats!N$200+Résultats!N$201+Résultats!N$202+Résultats!N$203+Résultats!N$204+Résultats!N$205+Résultats!N$206+Résultats!N$207+Résultats!N$208+Résultats!N$216+Résultats!N$218)/1000000</f>
        <v>25.235107498969356</v>
      </c>
      <c r="G12" s="16">
        <f>Résultats!N$133/1000000</f>
        <v>12.05881789</v>
      </c>
      <c r="H12" s="95">
        <f t="shared" si="0"/>
        <v>117.25987428368623</v>
      </c>
      <c r="I12" s="166"/>
      <c r="J12" s="166"/>
      <c r="K12" s="200" t="s">
        <v>1</v>
      </c>
      <c r="L12" s="188">
        <f>SUM(L8:L11)</f>
        <v>304.02866936635496</v>
      </c>
      <c r="M12" s="188">
        <f t="shared" ref="M12:N12" si="1">SUM(M8:M11)</f>
        <v>217.82710319118439</v>
      </c>
      <c r="N12" s="188">
        <f t="shared" si="1"/>
        <v>62.831360500644465</v>
      </c>
      <c r="O12" s="206"/>
      <c r="P12" s="206"/>
      <c r="Q12" s="206"/>
      <c r="R12" s="206"/>
      <c r="S12" s="206"/>
      <c r="T12" s="207"/>
      <c r="U12" s="38"/>
      <c r="V12" s="45"/>
      <c r="W12" s="30"/>
      <c r="X12" s="208"/>
      <c r="Y12" s="208"/>
      <c r="Z12" s="208"/>
      <c r="AA12" s="208"/>
      <c r="AB12" s="208"/>
    </row>
    <row r="13" spans="1:28" x14ac:dyDescent="0.25">
      <c r="A13" s="149" t="s">
        <v>25</v>
      </c>
      <c r="B13" s="35"/>
      <c r="C13" s="16">
        <v>0</v>
      </c>
      <c r="D13" s="16">
        <f>(Résultats!N$172)/1000000</f>
        <v>7.1164120420000003</v>
      </c>
      <c r="E13" s="16">
        <f>'T energie usages'!J19/'T energie usages'!J$20*(Résultats!N$192+Résultats!N$193+Résultats!N$194)/1000000</f>
        <v>0.15774589196994551</v>
      </c>
      <c r="F13" s="16">
        <f>(Résultats!N$196)/1000000</f>
        <v>0.67012512150000003</v>
      </c>
      <c r="G13" s="16">
        <v>0</v>
      </c>
      <c r="H13" s="95">
        <f t="shared" si="0"/>
        <v>7.9442830554699455</v>
      </c>
      <c r="I13" s="166"/>
      <c r="J13" s="166"/>
      <c r="K13" s="166"/>
      <c r="L13" s="166"/>
      <c r="M13" s="166"/>
      <c r="N13" s="38"/>
      <c r="O13" s="206"/>
      <c r="P13" s="206"/>
      <c r="Q13" s="206"/>
      <c r="R13" s="206"/>
      <c r="S13" s="206"/>
      <c r="T13" s="207"/>
      <c r="U13" s="38"/>
      <c r="V13" s="45"/>
      <c r="W13" s="30"/>
      <c r="X13" s="208"/>
      <c r="Y13" s="208"/>
      <c r="Z13" s="208"/>
      <c r="AA13" s="208"/>
      <c r="AB13" s="208"/>
    </row>
    <row r="14" spans="1:28" x14ac:dyDescent="0.25">
      <c r="A14" s="48" t="s">
        <v>41</v>
      </c>
      <c r="B14" s="37"/>
      <c r="C14" s="37">
        <f>SUM(C9:C11)+C6</f>
        <v>20.539359825899997</v>
      </c>
      <c r="D14" s="37">
        <f>SUM(D9:D11)+D6</f>
        <v>226.79985909365149</v>
      </c>
      <c r="E14" s="37">
        <f>SUM(E9:E11)+E6</f>
        <v>19.533441274999998</v>
      </c>
      <c r="F14" s="37">
        <f>SUM(F9:F11)+F6</f>
        <v>72.290209187125129</v>
      </c>
      <c r="G14" s="37">
        <f>SUM(G9:G11)+G6</f>
        <v>12.05881789</v>
      </c>
      <c r="H14" s="167">
        <f t="shared" si="0"/>
        <v>351.22168727167661</v>
      </c>
      <c r="I14" s="166"/>
      <c r="J14" s="166"/>
      <c r="K14" s="166"/>
      <c r="L14" s="166"/>
      <c r="M14" s="166"/>
      <c r="N14" s="38"/>
      <c r="O14" s="206"/>
      <c r="P14" s="206"/>
      <c r="Q14" s="206"/>
      <c r="R14" s="206"/>
      <c r="S14" s="206"/>
      <c r="T14" s="207"/>
      <c r="U14" s="38"/>
      <c r="V14" s="45"/>
      <c r="W14" s="80"/>
      <c r="X14" s="208"/>
      <c r="Y14" s="208"/>
      <c r="Z14" s="208"/>
      <c r="AA14" s="208"/>
      <c r="AB14" s="208"/>
    </row>
    <row r="15" spans="1:28" x14ac:dyDescent="0.25">
      <c r="A15" s="164" t="s">
        <v>43</v>
      </c>
      <c r="B15" s="164"/>
      <c r="C15" s="165">
        <f>(Résultats!N$135+Résultats!N$162+Résultats!N$163+Résultats!N$164+Résultats!N$165+Résultats!N$166+Résultats!N$167+Résultats!N$168+Résultats!N$169)/1000000</f>
        <v>20.5393598259</v>
      </c>
      <c r="D15" s="165">
        <f>(Résultats!N$137+Résultats!N$171+Résultats!N$172+Résultats!N$173+Résultats!N$174+Résultats!N$175+Résultats!N$176+Résultats!N$177+Résultats!N$178+Résultats!N$179+Résultats!N$180+Résultats!N$181+Résultats!N$182+Résultats!N$183+Résultats!N$184+Résultats!N$185+Résultats!N$186+Résultats!N$187+Résultats!N$188+Résultats!N$189)/1000000</f>
        <v>226.06357733917048</v>
      </c>
      <c r="E15" s="165">
        <f>(Résultats!N$192+Résultats!N$193+Résultats!N$194)/1000000</f>
        <v>19.533441274999998</v>
      </c>
      <c r="F15" s="165">
        <f>(Résultats!N$139+Résultats!N$196+Résultats!N$197+Résultats!N$198+Résultats!N$199+Résultats!N$200+Résultats!N$201+Résultats!N$202+Résultats!N$203+Résultats!N$204+Résultats!N$205+Résultats!N$206+Résultats!N$207+Résultats!N$208+Résultats!N$209+Résultats!N$210+Résultats!N$211+Résultats!N$212+Résultats!N$213+Résultats!N$214+Résultats!N$215+Résultats!N$216+Résultats!N$218)/1000000</f>
        <v>75.916052826389375</v>
      </c>
      <c r="G15" s="165">
        <f>Résultats!N$133/1000000</f>
        <v>12.05881789</v>
      </c>
      <c r="H15" s="188">
        <f t="shared" si="0"/>
        <v>354.11124915645985</v>
      </c>
      <c r="I15" s="166"/>
      <c r="J15" s="166"/>
      <c r="K15" s="166"/>
      <c r="L15" s="166"/>
      <c r="M15" s="207"/>
      <c r="N15" s="45"/>
      <c r="O15" s="166"/>
      <c r="P15" s="166"/>
      <c r="Q15" s="166"/>
      <c r="R15" s="166"/>
      <c r="S15" s="207"/>
      <c r="T15" s="207"/>
      <c r="U15" s="45"/>
      <c r="V15" s="45"/>
      <c r="W15" s="79"/>
      <c r="X15" s="208"/>
      <c r="Y15" s="208"/>
      <c r="Z15" s="208"/>
      <c r="AA15" s="208"/>
      <c r="AB15" s="208"/>
    </row>
    <row r="16" spans="1:28" x14ac:dyDescent="0.25">
      <c r="A16" s="164"/>
      <c r="B16" s="164"/>
      <c r="C16" s="189"/>
      <c r="D16" s="189"/>
      <c r="E16" s="189"/>
      <c r="F16" s="189"/>
      <c r="G16" s="189"/>
      <c r="H16" s="165">
        <f>Résultats!N227/1000000</f>
        <v>354.11124849999999</v>
      </c>
      <c r="I16" s="166"/>
      <c r="J16" s="166"/>
      <c r="K16" s="166"/>
      <c r="L16" s="166"/>
      <c r="M16" s="207"/>
      <c r="N16" s="209"/>
      <c r="O16" s="166"/>
      <c r="P16" s="166"/>
      <c r="Q16" s="166"/>
      <c r="R16" s="166"/>
      <c r="S16" s="207"/>
      <c r="T16" s="207"/>
      <c r="U16" s="209"/>
      <c r="V16" s="209"/>
      <c r="W16" s="210"/>
      <c r="X16" s="208"/>
      <c r="Y16" s="208"/>
      <c r="Z16" s="208"/>
      <c r="AA16" s="208"/>
      <c r="AB16" s="208"/>
    </row>
    <row r="17" spans="1:28" x14ac:dyDescent="0.25">
      <c r="A17" s="3"/>
      <c r="B17" s="3"/>
      <c r="C17" s="75"/>
      <c r="D17" s="75"/>
      <c r="E17" s="75"/>
      <c r="F17" s="75"/>
      <c r="G17" s="75"/>
      <c r="H17" s="45"/>
      <c r="I17" s="166"/>
      <c r="J17" s="166"/>
      <c r="K17" s="166"/>
      <c r="L17" s="166"/>
      <c r="M17" s="207"/>
      <c r="O17" s="166"/>
      <c r="P17" s="166"/>
      <c r="Q17" s="166"/>
      <c r="R17" s="166"/>
      <c r="S17" s="207"/>
      <c r="T17" s="207"/>
      <c r="X17" s="208"/>
      <c r="Y17" s="208"/>
      <c r="Z17" s="208"/>
      <c r="AA17" s="208"/>
      <c r="AB17" s="208"/>
    </row>
    <row r="18" spans="1:28" ht="21" x14ac:dyDescent="0.35">
      <c r="A18" s="145">
        <v>2020</v>
      </c>
      <c r="B18" s="186"/>
      <c r="C18" s="27" t="s">
        <v>36</v>
      </c>
      <c r="D18" s="27" t="s">
        <v>37</v>
      </c>
      <c r="E18" s="27" t="s">
        <v>38</v>
      </c>
      <c r="F18" s="27" t="s">
        <v>39</v>
      </c>
      <c r="G18" s="27" t="s">
        <v>40</v>
      </c>
      <c r="H18" s="190" t="s">
        <v>1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W18" s="19"/>
      <c r="X18" s="19"/>
      <c r="Y18" s="19"/>
      <c r="Z18" s="19"/>
      <c r="AA18" s="19"/>
      <c r="AB18" s="208"/>
    </row>
    <row r="19" spans="1:28" x14ac:dyDescent="0.25">
      <c r="A19" s="162" t="s">
        <v>18</v>
      </c>
      <c r="B19" s="187"/>
      <c r="C19" s="36">
        <f>C20+C21</f>
        <v>0</v>
      </c>
      <c r="D19" s="36">
        <f>D20+D21</f>
        <v>126.29876849570857</v>
      </c>
      <c r="E19" s="36">
        <f>E20+E21</f>
        <v>0.52309908347369372</v>
      </c>
      <c r="F19" s="36">
        <f>F20+F21</f>
        <v>0.44018285551162378</v>
      </c>
      <c r="G19" s="36">
        <f>G20+G21</f>
        <v>0</v>
      </c>
      <c r="H19" s="163">
        <f>SUM(C19:G19)</f>
        <v>127.26205043469389</v>
      </c>
      <c r="I19" s="166"/>
      <c r="J19" s="166"/>
      <c r="K19" s="166"/>
      <c r="L19" s="166"/>
      <c r="M19" s="166"/>
      <c r="N19" s="38"/>
      <c r="O19" s="206"/>
      <c r="P19" s="206"/>
      <c r="Q19" s="206"/>
      <c r="R19" s="206"/>
      <c r="S19" s="206"/>
      <c r="T19" s="207"/>
      <c r="U19" s="75"/>
      <c r="W19" s="82"/>
      <c r="X19" s="208"/>
      <c r="Y19" s="208"/>
      <c r="Z19" s="208"/>
      <c r="AA19" s="208"/>
      <c r="AB19" s="208"/>
    </row>
    <row r="20" spans="1:28" x14ac:dyDescent="0.25">
      <c r="A20" s="148" t="s">
        <v>19</v>
      </c>
      <c r="B20" s="35"/>
      <c r="C20" s="16">
        <v>0</v>
      </c>
      <c r="D20" s="16">
        <f>'T energie usages'!I25*3.2*Résultats!S283</f>
        <v>72.549751949908568</v>
      </c>
      <c r="E20" s="16">
        <f>'T energie usages'!J25/'T energie usages'!J$33*(Résultats!S$192+Résultats!S$193+Résultats!S$194)/1000000</f>
        <v>4.0169933735377306E-2</v>
      </c>
      <c r="F20" s="16">
        <f>'T energie usages'!K25*2.394*Résultats!S284</f>
        <v>2.1029051623774914E-5</v>
      </c>
      <c r="G20" s="16">
        <v>0</v>
      </c>
      <c r="H20" s="95">
        <f>SUM(C20:G20)</f>
        <v>72.589942912695562</v>
      </c>
      <c r="I20" s="166"/>
      <c r="J20" s="166"/>
      <c r="K20" s="166"/>
      <c r="L20" s="166"/>
      <c r="M20" s="166"/>
      <c r="N20" s="38"/>
      <c r="O20" s="206"/>
      <c r="P20" s="206"/>
      <c r="Q20" s="206"/>
      <c r="R20" s="206"/>
      <c r="S20" s="206"/>
      <c r="T20" s="207"/>
      <c r="U20" s="16"/>
      <c r="W20" s="30"/>
      <c r="X20" s="208"/>
      <c r="Y20" s="208"/>
      <c r="Z20" s="208"/>
      <c r="AA20" s="208"/>
      <c r="AB20" s="208"/>
    </row>
    <row r="21" spans="1:28" x14ac:dyDescent="0.25">
      <c r="A21" s="149" t="s">
        <v>20</v>
      </c>
      <c r="B21" s="35"/>
      <c r="C21" s="16">
        <v>0</v>
      </c>
      <c r="D21" s="16">
        <f>(Résultats!S$183+Résultats!S$184+Résultats!S$185+Résultats!S$186+Résultats!S$187)/1000000</f>
        <v>53.749016545799996</v>
      </c>
      <c r="E21" s="16">
        <f>'T energie usages'!J26/'T energie usages'!J$33*(Résultats!S$192+Résultats!S$193+Résultats!S$194)/1000000</f>
        <v>0.48292914973831647</v>
      </c>
      <c r="F21" s="16">
        <f>(Résultats!S$209+Résultats!S$210+Résultats!S$211+Résultats!S$212+Résultats!S$213)/1000000</f>
        <v>0.44016182646000002</v>
      </c>
      <c r="G21" s="16">
        <v>0</v>
      </c>
      <c r="H21" s="95">
        <f>SUM(C21:G21)</f>
        <v>54.672107521998313</v>
      </c>
      <c r="I21" s="166"/>
      <c r="J21" s="166"/>
      <c r="K21" s="166"/>
      <c r="L21" s="166"/>
      <c r="M21" s="166"/>
      <c r="N21" s="38"/>
      <c r="O21" s="206"/>
      <c r="P21" s="206"/>
      <c r="Q21" s="206"/>
      <c r="R21" s="206"/>
      <c r="S21" s="206"/>
      <c r="T21" s="207"/>
      <c r="U21" s="16"/>
      <c r="W21" s="30"/>
      <c r="X21" s="208"/>
      <c r="Y21" s="208"/>
      <c r="Z21" s="208"/>
      <c r="AA21" s="208"/>
      <c r="AB21" s="208"/>
    </row>
    <row r="22" spans="1:28" x14ac:dyDescent="0.25">
      <c r="A22" s="162" t="s">
        <v>21</v>
      </c>
      <c r="B22" s="187"/>
      <c r="C22" s="36">
        <f>Résultats!S$135/1000000</f>
        <v>0.99745786580000007</v>
      </c>
      <c r="D22" s="36">
        <f>'T energie usages'!I27*3.2*Résultats!S283</f>
        <v>19.580470859420895</v>
      </c>
      <c r="E22" s="36">
        <f>'T energie usages'!J27/'T energie usages'!J$33*(Résultats!S$192+Résultats!S$193+Résultats!S$194)/1000000</f>
        <v>5.3124830550715254</v>
      </c>
      <c r="F22" s="36">
        <f>('T energie usages'!K27-8)*2.394*Résultats!S284</f>
        <v>25.723439161375961</v>
      </c>
      <c r="G22" s="36">
        <v>0</v>
      </c>
      <c r="H22" s="163">
        <f>SUM(C22:G22)</f>
        <v>51.613850941668382</v>
      </c>
      <c r="I22" s="166"/>
      <c r="J22" s="166"/>
      <c r="K22" s="166"/>
      <c r="L22" s="166"/>
      <c r="M22" s="166"/>
      <c r="N22" s="38"/>
      <c r="O22" s="206"/>
      <c r="P22" s="206"/>
      <c r="Q22" s="206"/>
      <c r="R22" s="206"/>
      <c r="S22" s="206"/>
      <c r="T22" s="207"/>
      <c r="U22" s="75"/>
      <c r="W22" s="82"/>
      <c r="X22" s="208"/>
      <c r="Y22" s="208"/>
      <c r="Z22" s="208"/>
      <c r="AA22" s="208"/>
      <c r="AB22" s="208"/>
    </row>
    <row r="23" spans="1:28" x14ac:dyDescent="0.25">
      <c r="A23" s="162" t="s">
        <v>22</v>
      </c>
      <c r="B23" s="187"/>
      <c r="C23" s="36">
        <f>(Résultats!S$168+Résultats!S$169)/1000000</f>
        <v>0</v>
      </c>
      <c r="D23" s="36">
        <f>(Résultats!S$188+Résultats!S$189)/1000000</f>
        <v>8.7362101065999997</v>
      </c>
      <c r="E23" s="36">
        <f>'T energie usages'!J28/'T energie usages'!J$33*(Résultats!S$192+Résultats!S$193+Résultats!S$194)/1000000</f>
        <v>4.6237706038558182</v>
      </c>
      <c r="F23" s="36">
        <f>(Résultats!S$214+Résultats!S$215)/1000000</f>
        <v>15.455456715</v>
      </c>
      <c r="G23" s="36">
        <v>0</v>
      </c>
      <c r="H23" s="163">
        <f t="shared" ref="H23:H28" si="2">SUM(C23:G23)</f>
        <v>28.815437425455819</v>
      </c>
      <c r="I23" s="166"/>
      <c r="J23" s="166"/>
      <c r="K23" s="166"/>
      <c r="L23" s="166"/>
      <c r="M23" s="166"/>
      <c r="N23" s="38"/>
      <c r="O23" s="206"/>
      <c r="P23" s="206"/>
      <c r="Q23" s="206"/>
      <c r="R23" s="206"/>
      <c r="S23" s="206"/>
      <c r="T23" s="207"/>
      <c r="U23" s="75"/>
      <c r="W23" s="82"/>
      <c r="X23" s="208"/>
      <c r="Y23" s="208"/>
      <c r="Z23" s="208"/>
      <c r="AA23" s="208"/>
      <c r="AB23" s="208"/>
    </row>
    <row r="24" spans="1:28" x14ac:dyDescent="0.25">
      <c r="A24" s="162" t="s">
        <v>23</v>
      </c>
      <c r="B24" s="187"/>
      <c r="C24" s="36">
        <f>C25+C26</f>
        <v>10.405452996299989</v>
      </c>
      <c r="D24" s="36">
        <f>D25+D26</f>
        <v>42.840020146001564</v>
      </c>
      <c r="E24" s="36">
        <f>E25+E26</f>
        <v>3.3830704515989645</v>
      </c>
      <c r="F24" s="36">
        <f>F25+F26</f>
        <v>26.299233300636342</v>
      </c>
      <c r="G24" s="36">
        <f>G25+G26</f>
        <v>13.409553669999999</v>
      </c>
      <c r="H24" s="163">
        <f t="shared" si="2"/>
        <v>96.337330564536856</v>
      </c>
      <c r="I24" s="166"/>
      <c r="J24" s="166"/>
      <c r="K24" s="166"/>
      <c r="L24" s="166"/>
      <c r="M24" s="166"/>
      <c r="N24" s="38"/>
      <c r="O24" s="206"/>
      <c r="P24" s="206"/>
      <c r="Q24" s="206"/>
      <c r="R24" s="206"/>
      <c r="S24" s="206"/>
      <c r="T24" s="207"/>
      <c r="U24" s="75"/>
      <c r="W24" s="82"/>
      <c r="X24" s="208"/>
      <c r="Y24" s="208"/>
      <c r="Z24" s="208"/>
      <c r="AA24" s="208"/>
      <c r="AB24" s="208"/>
    </row>
    <row r="25" spans="1:28" x14ac:dyDescent="0.25">
      <c r="A25" s="149" t="s">
        <v>24</v>
      </c>
      <c r="B25" s="35"/>
      <c r="C25" s="16">
        <f>(Résultats!S$162+Résultats!S$163+Résultats!S$164+Résultats!S$165+Résultats!S$166+Résultats!S$167)/1000000</f>
        <v>10.405452996299989</v>
      </c>
      <c r="D25" s="16">
        <f>(Résultats!S$171+Résultats!S$173+Résultats!S$174+Résultats!S$175+Résultats!S$176+Résultats!S$177+Résultats!S$178+Résultats!S$179+Résultats!S$180+Résultats!S$181+Résultats!S$182)/1000000</f>
        <v>35.897215520001566</v>
      </c>
      <c r="E25" s="16">
        <f>'T energie usages'!J30/'T energie usages'!J$33*(Résultats!S$192+Résultats!S$193+Résultats!S$194)/1000000</f>
        <v>3.2683785804570324</v>
      </c>
      <c r="F25" s="16">
        <f>(Résultats!S$197+Résultats!S$198+Résultats!S$199+Résultats!S$200+Résultats!S$201+Résultats!S$202+Résultats!S$203+Résultats!S$204+Résultats!S$205+Résultats!S$206+Résultats!S$207+Résultats!S$208+Résultats!S$216+Résultats!S$218)/1000000</f>
        <v>25.68302803443634</v>
      </c>
      <c r="G25" s="16">
        <f>Résultats!S$133/1000000</f>
        <v>13.409553669999999</v>
      </c>
      <c r="H25" s="95">
        <f t="shared" si="2"/>
        <v>88.663628801194918</v>
      </c>
      <c r="I25" s="166"/>
      <c r="J25" s="166"/>
      <c r="K25" s="166"/>
      <c r="L25" s="166"/>
      <c r="M25" s="166"/>
      <c r="N25" s="38"/>
      <c r="O25" s="206"/>
      <c r="P25" s="206"/>
      <c r="Q25" s="206"/>
      <c r="R25" s="206"/>
      <c r="S25" s="206"/>
      <c r="T25" s="207"/>
      <c r="U25" s="16"/>
      <c r="W25" s="30"/>
      <c r="X25" s="208"/>
      <c r="Y25" s="208"/>
      <c r="Z25" s="208"/>
      <c r="AA25" s="208"/>
      <c r="AB25" s="208"/>
    </row>
    <row r="26" spans="1:28" x14ac:dyDescent="0.25">
      <c r="A26" s="149" t="s">
        <v>25</v>
      </c>
      <c r="B26" s="35"/>
      <c r="C26" s="16">
        <v>0</v>
      </c>
      <c r="D26" s="16">
        <f>(Résultats!S$172)/1000000</f>
        <v>6.942804626</v>
      </c>
      <c r="E26" s="16">
        <f>'T energie usages'!J32/'T energie usages'!J$33*(Résultats!S$192+Résultats!S$193+Résultats!S$194)/1000000</f>
        <v>0.1146918711419319</v>
      </c>
      <c r="F26" s="16">
        <f>(Résultats!S$196)/1000000</f>
        <v>0.61620526619999993</v>
      </c>
      <c r="G26" s="16">
        <v>0</v>
      </c>
      <c r="H26" s="95">
        <f t="shared" si="2"/>
        <v>7.6737017633419313</v>
      </c>
      <c r="I26" s="166"/>
      <c r="J26" s="166"/>
      <c r="K26" s="166"/>
      <c r="L26" s="166"/>
      <c r="M26" s="166"/>
      <c r="N26" s="38"/>
      <c r="O26" s="206"/>
      <c r="P26" s="206"/>
      <c r="Q26" s="206"/>
      <c r="R26" s="206"/>
      <c r="S26" s="206"/>
      <c r="T26" s="207"/>
      <c r="U26" s="16"/>
      <c r="W26" s="30"/>
      <c r="X26" s="208"/>
      <c r="Y26" s="208"/>
      <c r="Z26" s="208"/>
      <c r="AA26" s="208"/>
      <c r="AB26" s="208"/>
    </row>
    <row r="27" spans="1:28" x14ac:dyDescent="0.25">
      <c r="A27" s="48" t="s">
        <v>41</v>
      </c>
      <c r="B27" s="37"/>
      <c r="C27" s="37">
        <f>SUM(C22:C24)+C19</f>
        <v>11.402910862099988</v>
      </c>
      <c r="D27" s="37">
        <f>SUM(D22:D24)+D19</f>
        <v>197.45546960773103</v>
      </c>
      <c r="E27" s="37">
        <f>SUM(E22:E24)+E19</f>
        <v>13.842423194000002</v>
      </c>
      <c r="F27" s="37">
        <f>SUM(F22:F24)+F19</f>
        <v>67.918312032523929</v>
      </c>
      <c r="G27" s="37">
        <f>SUM(G22:G24)+G19</f>
        <v>13.409553669999999</v>
      </c>
      <c r="H27" s="167">
        <f t="shared" si="2"/>
        <v>304.0286693663549</v>
      </c>
      <c r="I27" s="166"/>
      <c r="J27" s="166"/>
      <c r="K27" s="166"/>
      <c r="L27" s="166"/>
      <c r="M27" s="166"/>
      <c r="N27" s="38"/>
      <c r="O27" s="206"/>
      <c r="P27" s="206"/>
      <c r="Q27" s="206"/>
      <c r="R27" s="206"/>
      <c r="S27" s="206"/>
      <c r="T27" s="207"/>
      <c r="U27" s="79"/>
      <c r="W27" s="80"/>
      <c r="X27" s="208"/>
      <c r="Y27" s="208"/>
      <c r="Z27" s="208"/>
      <c r="AA27" s="208"/>
      <c r="AB27" s="208"/>
    </row>
    <row r="28" spans="1:28" x14ac:dyDescent="0.25">
      <c r="A28" s="164" t="s">
        <v>43</v>
      </c>
      <c r="B28" s="164"/>
      <c r="C28" s="165">
        <f>(Résultats!S$135+Résultats!S$162+Résultats!S$163+Résultats!S$164+Résultats!S$165+Résultats!S$166+Résultats!S$167+Résultats!S$168+Résultats!S$169)/1000000</f>
        <v>11.40291086209999</v>
      </c>
      <c r="D28" s="165">
        <f>(Résultats!S$137+Résultats!S$171+Résultats!S$172+Résultats!S$173+Résultats!S$174+Résultats!S$175+Résultats!S$176+Résultats!S$177+Résultats!S$178+Résultats!S$179+Résultats!S$180+Résultats!S$181+Résultats!S$182+Résultats!S$183+Résultats!S$184+Résultats!S$185+Résultats!S$186+Résultats!S$187+Résultats!S$188+Résultats!S$189)/1000000</f>
        <v>197.51114406840153</v>
      </c>
      <c r="E28" s="165">
        <f>(Résultats!S$192+Résultats!S$193+Résultats!S$194)/1000000</f>
        <v>13.842423194000002</v>
      </c>
      <c r="F28" s="165">
        <f>(Résultats!S$139+Résultats!S$196+Résultats!S$197+Résultats!S$198+Résultats!S$199+Résultats!S$200+Résultats!S$201+Résultats!S$202+Résultats!S$203+Résultats!S$204+Résultats!S$205+Résultats!S$206+Résultats!S$207+Résultats!S$208+Résultats!S$209+Résultats!S$210+Résultats!S$211+Résultats!S$212+Résultats!S$213+Résultats!S$214+Résultats!S$215+Résultats!S$216+Résultats!S$218)/1000000</f>
        <v>71.40005154209635</v>
      </c>
      <c r="G28" s="165">
        <f>Résultats!S$133/1000000</f>
        <v>13.409553669999999</v>
      </c>
      <c r="H28" s="188">
        <f t="shared" si="2"/>
        <v>307.56608333659784</v>
      </c>
      <c r="I28" s="166"/>
      <c r="J28" s="166"/>
      <c r="K28" s="166"/>
      <c r="L28" s="166"/>
      <c r="M28" s="166"/>
      <c r="N28" s="45"/>
      <c r="O28" s="166"/>
      <c r="P28" s="166"/>
      <c r="Q28" s="166"/>
      <c r="R28" s="166"/>
      <c r="S28" s="166"/>
      <c r="T28" s="207"/>
      <c r="U28" s="45"/>
      <c r="V28" s="45"/>
      <c r="W28" s="45"/>
      <c r="X28" s="208"/>
      <c r="Y28" s="208"/>
      <c r="Z28" s="208"/>
      <c r="AA28" s="208"/>
      <c r="AB28" s="208"/>
    </row>
    <row r="29" spans="1:28" x14ac:dyDescent="0.25">
      <c r="A29" s="164"/>
      <c r="B29" s="164"/>
      <c r="C29" s="189"/>
      <c r="D29" s="189"/>
      <c r="E29" s="189"/>
      <c r="F29" s="189"/>
      <c r="G29" s="189"/>
      <c r="H29" s="165">
        <f>Résultats!S227/1000000</f>
        <v>307.56608269999998</v>
      </c>
      <c r="I29" s="166"/>
      <c r="J29" s="166"/>
      <c r="K29" s="166"/>
      <c r="L29" s="166"/>
      <c r="M29" s="166"/>
      <c r="N29" s="45"/>
      <c r="O29" s="166"/>
      <c r="P29" s="166"/>
      <c r="Q29" s="166"/>
      <c r="R29" s="166"/>
      <c r="S29" s="166"/>
      <c r="T29" s="207"/>
      <c r="U29" s="45"/>
      <c r="V29" s="45"/>
      <c r="W29" s="45"/>
      <c r="X29" s="208"/>
      <c r="Y29" s="208"/>
      <c r="Z29" s="208"/>
      <c r="AA29" s="208"/>
      <c r="AB29" s="208"/>
    </row>
    <row r="30" spans="1:28" x14ac:dyDescent="0.25">
      <c r="A30" s="3"/>
      <c r="B30" s="3"/>
      <c r="C30" s="191"/>
      <c r="D30" s="191"/>
      <c r="E30" s="191"/>
      <c r="F30" s="191"/>
      <c r="G30" s="75"/>
      <c r="H30" s="45"/>
      <c r="I30" s="166"/>
      <c r="J30" s="166"/>
      <c r="K30" s="166"/>
      <c r="L30" s="166"/>
      <c r="N30" s="45"/>
      <c r="O30" s="166"/>
      <c r="P30" s="166"/>
      <c r="Q30" s="166"/>
      <c r="R30" s="166"/>
      <c r="S30" s="166"/>
      <c r="T30" s="207"/>
      <c r="U30" s="45"/>
      <c r="V30" s="45"/>
      <c r="W30" s="45"/>
      <c r="X30" s="208"/>
      <c r="Y30" s="208"/>
      <c r="Z30" s="208"/>
      <c r="AA30" s="208"/>
      <c r="AB30" s="208"/>
    </row>
    <row r="31" spans="1:28" ht="21" x14ac:dyDescent="0.35">
      <c r="A31" s="145">
        <v>2025</v>
      </c>
      <c r="B31" s="186"/>
      <c r="C31" s="27" t="s">
        <v>36</v>
      </c>
      <c r="D31" s="27" t="s">
        <v>37</v>
      </c>
      <c r="E31" s="27" t="s">
        <v>38</v>
      </c>
      <c r="F31" s="27" t="s">
        <v>39</v>
      </c>
      <c r="G31" s="27" t="s">
        <v>40</v>
      </c>
      <c r="H31" s="190" t="s">
        <v>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45"/>
      <c r="W31" s="19"/>
      <c r="X31" s="19"/>
      <c r="Y31" s="19"/>
      <c r="Z31" s="19"/>
      <c r="AA31" s="19"/>
      <c r="AB31" s="208"/>
    </row>
    <row r="32" spans="1:28" x14ac:dyDescent="0.25">
      <c r="A32" s="162" t="s">
        <v>18</v>
      </c>
      <c r="B32" s="187"/>
      <c r="C32" s="36">
        <f>C33+C34</f>
        <v>0</v>
      </c>
      <c r="D32" s="36">
        <f>D33+D34</f>
        <v>116.98222755251564</v>
      </c>
      <c r="E32" s="36">
        <f>E33+E34</f>
        <v>0.45882198129527302</v>
      </c>
      <c r="F32" s="36">
        <f>F33+F34</f>
        <v>0.61916616337314512</v>
      </c>
      <c r="G32" s="36">
        <f>G33+G34</f>
        <v>0</v>
      </c>
      <c r="H32" s="163">
        <f>SUM(C32:G32)</f>
        <v>118.06021569718406</v>
      </c>
      <c r="I32" s="166"/>
      <c r="J32" s="166"/>
      <c r="K32" s="166"/>
      <c r="L32" s="166"/>
      <c r="M32" s="166"/>
      <c r="N32" s="38"/>
      <c r="O32" s="206"/>
      <c r="P32" s="206"/>
      <c r="Q32" s="206"/>
      <c r="R32" s="206"/>
      <c r="S32" s="206"/>
      <c r="T32" s="207"/>
      <c r="U32" s="75"/>
      <c r="V32" s="45"/>
      <c r="W32" s="82"/>
      <c r="X32" s="208"/>
      <c r="Y32" s="208"/>
      <c r="Z32" s="208"/>
      <c r="AA32" s="208"/>
      <c r="AB32" s="208"/>
    </row>
    <row r="33" spans="1:28" x14ac:dyDescent="0.25">
      <c r="A33" s="148" t="s">
        <v>19</v>
      </c>
      <c r="B33" s="35"/>
      <c r="C33" s="16">
        <v>0</v>
      </c>
      <c r="D33" s="16">
        <f>'T energie usages'!I64*3.2*Résultats!X283</f>
        <v>63.618165477615641</v>
      </c>
      <c r="E33" s="16">
        <f>'T energie usages'!J64/'T energie usages'!J$72*(Résultats!X$192+Résultats!X$193+Résultats!X$194)/1000000</f>
        <v>7.7547271758770756E-2</v>
      </c>
      <c r="F33" s="16">
        <f>'T energie usages'!K64*2.394*Résultats!X284</f>
        <v>3.1858203145180154E-5</v>
      </c>
      <c r="G33" s="16">
        <v>0</v>
      </c>
      <c r="H33" s="95">
        <f>SUM(C33:G33)</f>
        <v>63.695744607577552</v>
      </c>
      <c r="I33" s="166"/>
      <c r="J33" s="166"/>
      <c r="K33" s="166"/>
      <c r="L33" s="166"/>
      <c r="M33" s="166"/>
      <c r="N33" s="38"/>
      <c r="O33" s="206"/>
      <c r="P33" s="206"/>
      <c r="Q33" s="206"/>
      <c r="R33" s="206"/>
      <c r="S33" s="206"/>
      <c r="T33" s="207"/>
      <c r="U33" s="16"/>
      <c r="V33" s="45"/>
      <c r="W33" s="30"/>
      <c r="X33" s="208"/>
      <c r="Y33" s="208"/>
      <c r="Z33" s="208"/>
      <c r="AA33" s="208"/>
      <c r="AB33" s="208"/>
    </row>
    <row r="34" spans="1:28" x14ac:dyDescent="0.25">
      <c r="A34" s="149" t="s">
        <v>20</v>
      </c>
      <c r="B34" s="35"/>
      <c r="C34" s="16">
        <v>0</v>
      </c>
      <c r="D34" s="16">
        <f>(Résultats!X$183+Résultats!X$184+Résultats!X$185+Résultats!X$186+Résultats!X$187)/1000000</f>
        <v>53.364062074899991</v>
      </c>
      <c r="E34" s="16">
        <f>'T energie usages'!J65/'T energie usages'!J$72*(Résultats!X$192+Résultats!X$193+Résultats!X$194)/1000000</f>
        <v>0.38127470953650228</v>
      </c>
      <c r="F34" s="16">
        <f>(Résultats!X$209+Résultats!X$210+Résultats!X$211+Résultats!X$212+Résultats!X$213)/1000000</f>
        <v>0.6191343051699999</v>
      </c>
      <c r="G34" s="16">
        <v>0</v>
      </c>
      <c r="H34" s="95">
        <f>SUM(C34:G34)</f>
        <v>54.364471089606496</v>
      </c>
      <c r="I34" s="166"/>
      <c r="J34" s="166"/>
      <c r="K34" s="166"/>
      <c r="L34" s="166"/>
      <c r="M34" s="166"/>
      <c r="N34" s="38"/>
      <c r="O34" s="206"/>
      <c r="P34" s="206"/>
      <c r="Q34" s="206"/>
      <c r="R34" s="206"/>
      <c r="S34" s="206"/>
      <c r="T34" s="207"/>
      <c r="U34" s="16"/>
      <c r="V34" s="45"/>
      <c r="W34" s="30"/>
      <c r="X34" s="208"/>
      <c r="Y34" s="208"/>
      <c r="Z34" s="208"/>
      <c r="AA34" s="208"/>
      <c r="AB34" s="208"/>
    </row>
    <row r="35" spans="1:28" x14ac:dyDescent="0.25">
      <c r="A35" s="162" t="s">
        <v>21</v>
      </c>
      <c r="B35" s="187"/>
      <c r="C35" s="36">
        <f>Résultats!X$135/1000000</f>
        <v>0.86902082720000007</v>
      </c>
      <c r="D35" s="36">
        <f>'T energie usages'!I66*3.2*Résultats!X283</f>
        <v>16.276795327633128</v>
      </c>
      <c r="E35" s="36">
        <f>'T energie usages'!J66/'T energie usages'!J$72*(Résultats!X$192+Résultats!X$193+Résultats!X$194)/1000000</f>
        <v>3.5969502645867615</v>
      </c>
      <c r="F35" s="36">
        <f>('T energie usages'!K66-8)*2.394*Résultats!X284</f>
        <v>23.117904754024835</v>
      </c>
      <c r="G35" s="36">
        <v>0</v>
      </c>
      <c r="H35" s="163">
        <f>SUM(C35:G35)</f>
        <v>43.860671173444729</v>
      </c>
      <c r="I35" s="166"/>
      <c r="J35" s="166"/>
      <c r="K35" s="166"/>
      <c r="L35" s="166"/>
      <c r="M35" s="166"/>
      <c r="N35" s="38"/>
      <c r="O35" s="206"/>
      <c r="P35" s="206"/>
      <c r="Q35" s="206"/>
      <c r="R35" s="206"/>
      <c r="S35" s="206"/>
      <c r="T35" s="207"/>
      <c r="U35" s="75"/>
      <c r="V35" s="45"/>
      <c r="W35" s="82"/>
      <c r="X35" s="208"/>
      <c r="Y35" s="208"/>
      <c r="Z35" s="208"/>
      <c r="AA35" s="208"/>
      <c r="AB35" s="208"/>
    </row>
    <row r="36" spans="1:28" x14ac:dyDescent="0.25">
      <c r="A36" s="162" t="s">
        <v>22</v>
      </c>
      <c r="B36" s="187"/>
      <c r="C36" s="36">
        <f>(Résultats!X$168+Résultats!X$169)/1000000</f>
        <v>0</v>
      </c>
      <c r="D36" s="36">
        <f>(Résultats!X$188+Résultats!X$189)/1000000</f>
        <v>6.0336323502000004</v>
      </c>
      <c r="E36" s="36">
        <f>'T energie usages'!J67/'T energie usages'!J$72*(Résultats!X$192+Résultats!X$193+Résultats!X$194)/1000000</f>
        <v>3.0049862028066974</v>
      </c>
      <c r="F36" s="36">
        <f>(Résultats!X$214+Résultats!X$215)/1000000</f>
        <v>17.625171636000001</v>
      </c>
      <c r="G36" s="36">
        <v>0</v>
      </c>
      <c r="H36" s="163">
        <f t="shared" ref="H36:H41" si="3">SUM(C36:G36)</f>
        <v>26.663790189006697</v>
      </c>
      <c r="I36" s="166"/>
      <c r="J36" s="166"/>
      <c r="K36" s="166"/>
      <c r="L36" s="166"/>
      <c r="M36" s="166"/>
      <c r="N36" s="38"/>
      <c r="O36" s="206"/>
      <c r="P36" s="206"/>
      <c r="Q36" s="206"/>
      <c r="R36" s="206"/>
      <c r="S36" s="206"/>
      <c r="T36" s="207"/>
      <c r="U36" s="75"/>
      <c r="V36" s="45"/>
      <c r="W36" s="82"/>
      <c r="X36" s="208"/>
      <c r="Y36" s="208"/>
      <c r="Z36" s="208"/>
      <c r="AA36" s="208"/>
      <c r="AB36" s="208"/>
    </row>
    <row r="37" spans="1:28" x14ac:dyDescent="0.25">
      <c r="A37" s="162" t="s">
        <v>23</v>
      </c>
      <c r="B37" s="187"/>
      <c r="C37" s="36">
        <f>C38+C39</f>
        <v>9.0664932680800003</v>
      </c>
      <c r="D37" s="36">
        <f>D38+D39</f>
        <v>39.029022098844983</v>
      </c>
      <c r="E37" s="36">
        <f>E38+E39</f>
        <v>3.1446754343112668</v>
      </c>
      <c r="F37" s="36">
        <f>F38+F39</f>
        <v>17.362742541684881</v>
      </c>
      <c r="G37" s="36">
        <f>G38+G39</f>
        <v>14.48510598</v>
      </c>
      <c r="H37" s="163">
        <f t="shared" si="3"/>
        <v>83.088039322921134</v>
      </c>
      <c r="I37" s="166"/>
      <c r="J37" s="166"/>
      <c r="K37" s="166"/>
      <c r="L37" s="166"/>
      <c r="M37" s="166"/>
      <c r="N37" s="38"/>
      <c r="O37" s="206"/>
      <c r="P37" s="206"/>
      <c r="Q37" s="206"/>
      <c r="R37" s="206"/>
      <c r="S37" s="206"/>
      <c r="T37" s="207"/>
      <c r="U37" s="75"/>
      <c r="V37" s="45"/>
      <c r="W37" s="82"/>
      <c r="X37" s="208"/>
      <c r="Y37" s="208"/>
      <c r="Z37" s="208"/>
      <c r="AA37" s="208"/>
      <c r="AB37" s="208"/>
    </row>
    <row r="38" spans="1:28" x14ac:dyDescent="0.25">
      <c r="A38" s="149" t="s">
        <v>24</v>
      </c>
      <c r="B38" s="35"/>
      <c r="C38" s="16">
        <f>(Résultats!X$162+Résultats!X$163+Résultats!X$164+Résultats!X$165+Résultats!X$166+Résultats!X$167)/1000000</f>
        <v>9.0664932680800003</v>
      </c>
      <c r="D38" s="16">
        <f>(Résultats!X$171+Résultats!X$173+Résultats!X$174+Résultats!X$175+Résultats!X$176+Résultats!X$177+Résultats!X$178+Résultats!X$179+Résultats!X$180+Résultats!X$181+Résultats!X$182)/1000000</f>
        <v>32.116462655844984</v>
      </c>
      <c r="E38" s="16">
        <f>'T energie usages'!J69/'T energie usages'!J$72*(Résultats!X$192+Résultats!X$193+Résultats!X$194)/1000000</f>
        <v>3.0630377522409811</v>
      </c>
      <c r="F38" s="16">
        <f>(Résultats!X$197+Résultats!X$198+Résultats!X$199+Résultats!X$200+Résultats!X$201+Résultats!X$202+Résultats!X$203+Résultats!X$204+Résultats!X$205+Résultats!X$206+Résultats!X$207+Résultats!X$208+Résultats!X$216+Résultats!X$218)/1000000</f>
        <v>16.782550368984882</v>
      </c>
      <c r="G38" s="16">
        <f>Résultats!X$133/1000000</f>
        <v>14.48510598</v>
      </c>
      <c r="H38" s="95">
        <f t="shared" si="3"/>
        <v>75.513650025150852</v>
      </c>
      <c r="I38" s="166"/>
      <c r="J38" s="166"/>
      <c r="K38" s="166"/>
      <c r="L38" s="166"/>
      <c r="M38" s="166"/>
      <c r="N38" s="38"/>
      <c r="O38" s="206"/>
      <c r="P38" s="206"/>
      <c r="Q38" s="206"/>
      <c r="R38" s="206"/>
      <c r="S38" s="206"/>
      <c r="T38" s="207"/>
      <c r="U38" s="16"/>
      <c r="V38" s="45"/>
      <c r="W38" s="30"/>
      <c r="X38" s="208"/>
      <c r="Y38" s="208"/>
      <c r="Z38" s="208"/>
      <c r="AA38" s="208"/>
      <c r="AB38" s="208"/>
    </row>
    <row r="39" spans="1:28" x14ac:dyDescent="0.25">
      <c r="A39" s="149" t="s">
        <v>25</v>
      </c>
      <c r="B39" s="35"/>
      <c r="C39" s="16">
        <v>0</v>
      </c>
      <c r="D39" s="16">
        <f>(Résultats!X$172)/1000000</f>
        <v>6.9125594430000001</v>
      </c>
      <c r="E39" s="16">
        <f>'T energie usages'!J71/'T energie usages'!J$72*(Résultats!X$192+Résultats!X$193+Résultats!X$194)/1000000</f>
        <v>8.1637682070285558E-2</v>
      </c>
      <c r="F39" s="16">
        <f>(Résultats!X$196)/1000000</f>
        <v>0.58019217270000001</v>
      </c>
      <c r="G39" s="16">
        <v>0</v>
      </c>
      <c r="H39" s="95">
        <f t="shared" si="3"/>
        <v>7.5743892977702858</v>
      </c>
      <c r="I39" s="166"/>
      <c r="J39" s="166"/>
      <c r="K39" s="166"/>
      <c r="L39" s="166"/>
      <c r="M39" s="166"/>
      <c r="N39" s="38"/>
      <c r="O39" s="206"/>
      <c r="P39" s="206"/>
      <c r="Q39" s="206"/>
      <c r="R39" s="206"/>
      <c r="S39" s="206"/>
      <c r="T39" s="207"/>
      <c r="U39" s="16"/>
      <c r="V39" s="45"/>
      <c r="W39" s="30"/>
      <c r="X39" s="208"/>
      <c r="Y39" s="208"/>
      <c r="Z39" s="208"/>
      <c r="AA39" s="208"/>
      <c r="AB39" s="208"/>
    </row>
    <row r="40" spans="1:28" x14ac:dyDescent="0.25">
      <c r="A40" s="48" t="s">
        <v>41</v>
      </c>
      <c r="B40" s="37"/>
      <c r="C40" s="37">
        <f>SUM(C35:C37)+C32</f>
        <v>9.9355140952800003</v>
      </c>
      <c r="D40" s="37">
        <f>SUM(D35:D37)+D32</f>
        <v>178.32167732919373</v>
      </c>
      <c r="E40" s="37">
        <f>SUM(E35:E37)+E32</f>
        <v>10.205433883</v>
      </c>
      <c r="F40" s="37">
        <f>SUM(F35:F37)+F32</f>
        <v>58.724985095082864</v>
      </c>
      <c r="G40" s="37">
        <f>SUM(G35:G37)+G32</f>
        <v>14.48510598</v>
      </c>
      <c r="H40" s="167">
        <f t="shared" si="3"/>
        <v>271.67271638255664</v>
      </c>
      <c r="I40" s="166"/>
      <c r="J40" s="166"/>
      <c r="K40" s="166"/>
      <c r="L40" s="166"/>
      <c r="M40" s="166"/>
      <c r="N40" s="38"/>
      <c r="O40" s="206"/>
      <c r="P40" s="206"/>
      <c r="Q40" s="206"/>
      <c r="R40" s="206"/>
      <c r="S40" s="206"/>
      <c r="T40" s="207"/>
      <c r="U40" s="79"/>
      <c r="V40" s="45"/>
      <c r="W40" s="80"/>
      <c r="X40" s="208"/>
      <c r="Y40" s="208"/>
      <c r="Z40" s="208"/>
      <c r="AA40" s="208"/>
      <c r="AB40" s="208"/>
    </row>
    <row r="41" spans="1:28" x14ac:dyDescent="0.25">
      <c r="A41" s="164" t="s">
        <v>43</v>
      </c>
      <c r="B41" s="164"/>
      <c r="C41" s="165">
        <f>(Résultats!X$135+Résultats!X$162+Résultats!X$163+Résultats!X$164+Résultats!X$165+Résultats!X$166+Résultats!X$167+Résultats!X$168+Résultats!X$169)/1000000</f>
        <v>9.9355140952799985</v>
      </c>
      <c r="D41" s="165">
        <f>+(Résultats!X$137+Résultats!X$171+Résultats!X$172+Résultats!X$173+Résultats!X$174+Résultats!X$175+Résultats!X$176+Résultats!X$177+Résultats!X$178+Résultats!X$179+Résultats!X$180+Résultats!X$181+Résultats!X$182+Résultats!X$183+Résultats!X$184+Résultats!X$185+Résultats!X$186+Résultats!X$187+Résultats!X$188+Résultats!X$189)/1000000</f>
        <v>178.36995799394501</v>
      </c>
      <c r="E41" s="165">
        <f>(Résultats!X$192+Résultats!X$193+Résultats!X$194)/1000000</f>
        <v>10.205433883</v>
      </c>
      <c r="F41" s="165">
        <f>(Résultats!X$139+Résultats!X$196+Résultats!X$197+Résultats!X$198+Résultats!X$199+Résultats!X$200+Résultats!X$201+Résultats!X$202+Résultats!X$203+Résultats!X$204+Résultats!X$205+Résultats!X$206+Résultats!X$207+Résultats!X$208+Résultats!X$209+Résultats!X$210+Résultats!X$211+Résultats!X$212+Résultats!X$213+Résultats!X$214+Résultats!X$215+Résultats!X$216+Résultats!X$218)/1000000</f>
        <v>58.888182702854877</v>
      </c>
      <c r="G41" s="165">
        <f>Résultats!X$133/1000000</f>
        <v>14.48510598</v>
      </c>
      <c r="H41" s="188">
        <f t="shared" si="3"/>
        <v>271.88419465507991</v>
      </c>
      <c r="I41" s="166"/>
      <c r="J41" s="166"/>
      <c r="K41" s="166"/>
      <c r="L41" s="166"/>
      <c r="M41" s="207"/>
      <c r="N41" s="45"/>
      <c r="O41" s="166"/>
      <c r="P41" s="166"/>
      <c r="Q41" s="166"/>
      <c r="R41" s="166"/>
      <c r="S41" s="207"/>
      <c r="T41" s="207"/>
      <c r="U41" s="45"/>
      <c r="V41" s="45"/>
      <c r="W41" s="45"/>
      <c r="X41" s="208"/>
      <c r="Y41" s="208"/>
      <c r="Z41" s="208"/>
      <c r="AA41" s="208"/>
      <c r="AB41" s="208"/>
    </row>
    <row r="42" spans="1:28" x14ac:dyDescent="0.25">
      <c r="A42" s="164"/>
      <c r="B42" s="164"/>
      <c r="C42" s="189"/>
      <c r="D42" s="189"/>
      <c r="E42" s="189"/>
      <c r="F42" s="189"/>
      <c r="G42" s="189"/>
      <c r="H42" s="165">
        <f>Résultats!X227/1000000</f>
        <v>271.88419419999997</v>
      </c>
      <c r="I42" s="166"/>
      <c r="J42" s="166"/>
      <c r="K42" s="166"/>
      <c r="L42" s="166"/>
      <c r="M42" s="207"/>
      <c r="N42" s="45"/>
      <c r="O42" s="166"/>
      <c r="P42" s="166"/>
      <c r="Q42" s="166"/>
      <c r="R42" s="166"/>
      <c r="S42" s="207"/>
      <c r="T42" s="207"/>
      <c r="U42" s="45"/>
      <c r="V42" s="45"/>
      <c r="W42" s="45"/>
      <c r="X42" s="208"/>
      <c r="Y42" s="208"/>
      <c r="Z42" s="208"/>
      <c r="AA42" s="208"/>
      <c r="AB42" s="208"/>
    </row>
    <row r="43" spans="1:28" x14ac:dyDescent="0.25">
      <c r="A43" s="3"/>
      <c r="B43" s="3"/>
      <c r="C43" s="75"/>
      <c r="D43" s="75"/>
      <c r="E43" s="75"/>
      <c r="F43" s="75"/>
      <c r="G43" s="75"/>
      <c r="H43" s="45"/>
      <c r="I43" s="166"/>
      <c r="J43" s="166"/>
      <c r="K43" s="166"/>
      <c r="L43" s="166"/>
      <c r="M43" s="207"/>
      <c r="N43" s="45"/>
      <c r="O43" s="166"/>
      <c r="P43" s="166"/>
      <c r="Q43" s="166"/>
      <c r="R43" s="166"/>
      <c r="S43" s="207"/>
      <c r="T43" s="207"/>
      <c r="U43" s="45"/>
      <c r="V43" s="45"/>
      <c r="W43" s="79"/>
      <c r="X43" s="208"/>
      <c r="Y43" s="208"/>
      <c r="Z43" s="208"/>
      <c r="AA43" s="208"/>
      <c r="AB43" s="208"/>
    </row>
    <row r="44" spans="1:28" ht="21" x14ac:dyDescent="0.35">
      <c r="A44" s="145">
        <v>2030</v>
      </c>
      <c r="B44" s="186"/>
      <c r="C44" s="27" t="s">
        <v>36</v>
      </c>
      <c r="D44" s="27" t="s">
        <v>37</v>
      </c>
      <c r="E44" s="27" t="s">
        <v>38</v>
      </c>
      <c r="F44" s="27" t="s">
        <v>39</v>
      </c>
      <c r="G44" s="27" t="s">
        <v>40</v>
      </c>
      <c r="H44" s="190" t="s">
        <v>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W44" s="19"/>
      <c r="X44" s="19"/>
      <c r="Y44" s="19"/>
      <c r="Z44" s="19"/>
      <c r="AA44" s="19"/>
      <c r="AB44" s="208"/>
    </row>
    <row r="45" spans="1:28" x14ac:dyDescent="0.25">
      <c r="A45" s="162" t="s">
        <v>18</v>
      </c>
      <c r="B45" s="187"/>
      <c r="C45" s="36">
        <f>C46+C47</f>
        <v>0</v>
      </c>
      <c r="D45" s="36">
        <f>D46+D47</f>
        <v>96.978228113869562</v>
      </c>
      <c r="E45" s="36">
        <f>E46+E47</f>
        <v>0.43245362823252864</v>
      </c>
      <c r="F45" s="36">
        <f>F46+F47</f>
        <v>0.75093063859358578</v>
      </c>
      <c r="G45" s="36">
        <f>G46+G47</f>
        <v>0</v>
      </c>
      <c r="H45" s="163">
        <f>SUM(C45:G45)</f>
        <v>98.161612380695672</v>
      </c>
      <c r="I45" s="166"/>
      <c r="J45" s="166"/>
      <c r="K45" s="166"/>
      <c r="L45" s="166"/>
      <c r="M45" s="166"/>
      <c r="N45" s="38"/>
      <c r="O45" s="206"/>
      <c r="P45" s="206"/>
      <c r="Q45" s="206"/>
      <c r="R45" s="206"/>
      <c r="S45" s="206"/>
      <c r="T45" s="207"/>
      <c r="U45" s="75"/>
      <c r="W45" s="82"/>
      <c r="X45" s="208"/>
      <c r="Y45" s="208"/>
      <c r="Z45" s="208"/>
      <c r="AA45" s="208"/>
      <c r="AB45" s="208"/>
    </row>
    <row r="46" spans="1:28" x14ac:dyDescent="0.25">
      <c r="A46" s="148" t="s">
        <v>19</v>
      </c>
      <c r="B46" s="35"/>
      <c r="C46" s="16">
        <v>0</v>
      </c>
      <c r="D46" s="16">
        <f>'T energie usages'!I77*3.2*Résultats!AC283</f>
        <v>49.983142453869576</v>
      </c>
      <c r="E46" s="16">
        <f>'T energie usages'!J77/'T energie usages'!J$85*(Résultats!AC$192+Résultats!AC$193+Résultats!AC$194)/1000000</f>
        <v>0.11552778932537418</v>
      </c>
      <c r="F46" s="16">
        <f>'T energie usages'!K77*2.394*Résultats!AC284</f>
        <v>3.0433113585704713E-5</v>
      </c>
      <c r="G46" s="16">
        <v>0</v>
      </c>
      <c r="H46" s="95">
        <f>SUM(C46:G46)</f>
        <v>50.098700676308539</v>
      </c>
      <c r="I46" s="166"/>
      <c r="J46" s="166"/>
      <c r="K46" s="166"/>
      <c r="L46" s="166"/>
      <c r="M46" s="166"/>
      <c r="N46" s="38"/>
      <c r="O46" s="206"/>
      <c r="P46" s="206"/>
      <c r="Q46" s="206"/>
      <c r="R46" s="206"/>
      <c r="S46" s="206"/>
      <c r="T46" s="207"/>
      <c r="U46" s="16"/>
      <c r="W46" s="30"/>
      <c r="X46" s="208"/>
      <c r="Y46" s="208"/>
      <c r="Z46" s="208"/>
      <c r="AA46" s="208"/>
      <c r="AB46" s="208"/>
    </row>
    <row r="47" spans="1:28" x14ac:dyDescent="0.25">
      <c r="A47" s="149" t="s">
        <v>20</v>
      </c>
      <c r="B47" s="35"/>
      <c r="C47" s="16">
        <v>0</v>
      </c>
      <c r="D47" s="16">
        <f>(Résultats!AC$183+Résultats!AC$184+Résultats!AC$185+Résultats!AC$186+Résultats!AC$187)/1000000</f>
        <v>46.995085659999994</v>
      </c>
      <c r="E47" s="16">
        <f>'T energie usages'!J78/'T energie usages'!J$85*(Résultats!AC$192+Résultats!AC$193+Résultats!AC$194)/1000000</f>
        <v>0.31692583890715448</v>
      </c>
      <c r="F47" s="16">
        <f>(Résultats!AC$209+Résultats!AC$210+Résultats!AC$211+Résultats!AC$212+Résultats!AC$213)/1000000</f>
        <v>0.75090020548000003</v>
      </c>
      <c r="G47" s="16">
        <v>0</v>
      </c>
      <c r="H47" s="95">
        <f>SUM(C47:G47)</f>
        <v>48.062911704387147</v>
      </c>
      <c r="I47" s="166"/>
      <c r="J47" s="166"/>
      <c r="K47" s="166"/>
      <c r="L47" s="166"/>
      <c r="M47" s="166"/>
      <c r="N47" s="38"/>
      <c r="O47" s="206"/>
      <c r="P47" s="206"/>
      <c r="Q47" s="206"/>
      <c r="R47" s="206"/>
      <c r="S47" s="206"/>
      <c r="T47" s="207"/>
      <c r="U47" s="16"/>
      <c r="W47" s="30"/>
      <c r="X47" s="208"/>
      <c r="Y47" s="208"/>
      <c r="Z47" s="208"/>
      <c r="AA47" s="208"/>
      <c r="AB47" s="208"/>
    </row>
    <row r="48" spans="1:28" x14ac:dyDescent="0.25">
      <c r="A48" s="162" t="s">
        <v>21</v>
      </c>
      <c r="B48" s="187"/>
      <c r="C48" s="36">
        <f>Résultats!AC$135/1000000</f>
        <v>0.71985537749999995</v>
      </c>
      <c r="D48" s="36">
        <f>'T energie usages'!I79*3.2*Résultats!AC283</f>
        <v>13.228493262030526</v>
      </c>
      <c r="E48" s="36">
        <f>'T energie usages'!J79/'T energie usages'!J$85*(Résultats!AC$192+Résultats!AC$193+Résultats!AC$194)/1000000</f>
        <v>2.0159154657327476</v>
      </c>
      <c r="F48" s="36">
        <f>('T energie usages'!K79-8)*2.394*Résultats!AC284</f>
        <v>16.400588065885195</v>
      </c>
      <c r="G48" s="36">
        <v>0</v>
      </c>
      <c r="H48" s="163">
        <f>SUM(C48:G48)</f>
        <v>32.36485217114847</v>
      </c>
      <c r="I48" s="166"/>
      <c r="J48" s="166"/>
      <c r="K48" s="166"/>
      <c r="L48" s="166"/>
      <c r="M48" s="166"/>
      <c r="N48" s="38"/>
      <c r="O48" s="206"/>
      <c r="P48" s="206"/>
      <c r="Q48" s="206"/>
      <c r="R48" s="206"/>
      <c r="S48" s="206"/>
      <c r="T48" s="207"/>
      <c r="U48" s="75"/>
      <c r="W48" s="82"/>
      <c r="X48" s="208"/>
      <c r="Y48" s="208"/>
      <c r="Z48" s="208"/>
      <c r="AA48" s="208"/>
      <c r="AB48" s="208"/>
    </row>
    <row r="49" spans="1:28" x14ac:dyDescent="0.25">
      <c r="A49" s="162" t="s">
        <v>22</v>
      </c>
      <c r="B49" s="187"/>
      <c r="C49" s="36">
        <f>(Résultats!AC$168+Résultats!AC$169)/1000000</f>
        <v>0</v>
      </c>
      <c r="D49" s="36">
        <f>(Résultats!AC$188+Résultats!AC$189)/1000000</f>
        <v>3.5984175366</v>
      </c>
      <c r="E49" s="36">
        <f>'T energie usages'!J80/'T energie usages'!J$85*(Résultats!AC$192+Résultats!AC$193+Résultats!AC$194)/1000000</f>
        <v>1.2976990688020134</v>
      </c>
      <c r="F49" s="36">
        <f>(Résultats!AC$214+Résultats!AC$215)/1000000</f>
        <v>15.988832368999999</v>
      </c>
      <c r="G49" s="36">
        <v>0</v>
      </c>
      <c r="H49" s="163">
        <f t="shared" ref="H49:H54" si="4">SUM(C49:G49)</f>
        <v>20.884948974402011</v>
      </c>
      <c r="I49" s="166"/>
      <c r="J49" s="166"/>
      <c r="K49" s="166"/>
      <c r="L49" s="166"/>
      <c r="M49" s="166"/>
      <c r="N49" s="38"/>
      <c r="O49" s="206"/>
      <c r="P49" s="206"/>
      <c r="Q49" s="206"/>
      <c r="R49" s="206"/>
      <c r="S49" s="206"/>
      <c r="T49" s="207"/>
      <c r="U49" s="75"/>
      <c r="W49" s="82"/>
      <c r="X49" s="208"/>
      <c r="Y49" s="208"/>
      <c r="Z49" s="208"/>
      <c r="AA49" s="208"/>
      <c r="AB49" s="208"/>
    </row>
    <row r="50" spans="1:28" x14ac:dyDescent="0.25">
      <c r="A50" s="162" t="s">
        <v>23</v>
      </c>
      <c r="B50" s="187"/>
      <c r="C50" s="36">
        <f>C51+C52</f>
        <v>7.4113272622200013</v>
      </c>
      <c r="D50" s="36">
        <f>D51+D52</f>
        <v>31.694709780666294</v>
      </c>
      <c r="E50" s="36">
        <f>E51+E52</f>
        <v>2.3913530779327115</v>
      </c>
      <c r="F50" s="36">
        <f>F51+F52</f>
        <v>9.8284400641192171</v>
      </c>
      <c r="G50" s="36">
        <f>G51+G52</f>
        <v>15.089859480000001</v>
      </c>
      <c r="H50" s="163">
        <f t="shared" si="4"/>
        <v>66.415689664938228</v>
      </c>
      <c r="I50" s="166"/>
      <c r="J50" s="166"/>
      <c r="K50" s="166"/>
      <c r="L50" s="166"/>
      <c r="M50" s="166"/>
      <c r="N50" s="38"/>
      <c r="O50" s="206"/>
      <c r="P50" s="206"/>
      <c r="Q50" s="206"/>
      <c r="R50" s="206"/>
      <c r="S50" s="206"/>
      <c r="T50" s="207"/>
      <c r="U50" s="75"/>
      <c r="W50" s="82"/>
      <c r="X50" s="208"/>
      <c r="Y50" s="208"/>
      <c r="Z50" s="208"/>
      <c r="AA50" s="208"/>
      <c r="AB50" s="208"/>
    </row>
    <row r="51" spans="1:28" x14ac:dyDescent="0.25">
      <c r="A51" s="149" t="s">
        <v>24</v>
      </c>
      <c r="B51" s="35"/>
      <c r="C51" s="16">
        <f>(Résultats!AC$162+Résultats!AC$163+Résultats!AC$164+Résultats!AC$165+Résultats!AC$166+Résultats!AC$167)/1000000</f>
        <v>7.4113272622200013</v>
      </c>
      <c r="D51" s="16">
        <f>(Résultats!AC$171+Résultats!AC$173+Résultats!AC$174+Résultats!AC$175+Résultats!AC$176+Résultats!AC$177+Résultats!AC$178+Résultats!AC$179+Résultats!AC$180+Résultats!AC$181+Résultats!AC$182)/1000000</f>
        <v>24.707558209666292</v>
      </c>
      <c r="E51" s="16">
        <f>'T energie usages'!J82/'T energie usages'!J$85*(Résultats!AC$192+Résultats!AC$193+Résultats!AC$194)/1000000</f>
        <v>2.3434969657669558</v>
      </c>
      <c r="F51" s="16">
        <f>(Résultats!AC$197+Résultats!AC$198+Résultats!AC$199+Résultats!AC$200+Résultats!AC$201+Résultats!AC$202+Résultats!AC$203+Résultats!AC$204+Résultats!AC$205+Résultats!AC$206+Résultats!AC$207+Résultats!AC$208+Résultats!AC$216+Résultats!AC$218)/1000000</f>
        <v>9.3302805363192167</v>
      </c>
      <c r="G51" s="16">
        <f>Résultats!AC$133/1000000</f>
        <v>15.089859480000001</v>
      </c>
      <c r="H51" s="95">
        <f t="shared" si="4"/>
        <v>58.882522453972463</v>
      </c>
      <c r="I51" s="166"/>
      <c r="J51" s="166"/>
      <c r="K51" s="166"/>
      <c r="L51" s="166"/>
      <c r="M51" s="166"/>
      <c r="N51" s="38"/>
      <c r="O51" s="206"/>
      <c r="P51" s="206"/>
      <c r="Q51" s="206"/>
      <c r="R51" s="206"/>
      <c r="S51" s="206"/>
      <c r="T51" s="207"/>
      <c r="U51" s="16"/>
      <c r="W51" s="30"/>
      <c r="X51" s="208"/>
      <c r="Y51" s="208"/>
      <c r="Z51" s="208"/>
      <c r="AA51" s="208"/>
      <c r="AB51" s="208"/>
    </row>
    <row r="52" spans="1:28" x14ac:dyDescent="0.25">
      <c r="A52" s="149" t="s">
        <v>25</v>
      </c>
      <c r="B52" s="35"/>
      <c r="C52" s="16">
        <v>0</v>
      </c>
      <c r="D52" s="16">
        <f>(Résultats!AC$172)/1000000</f>
        <v>6.9871515710000001</v>
      </c>
      <c r="E52" s="16">
        <f>'T energie usages'!J84/'T energie usages'!J$85*(Résultats!AC$192+Résultats!AC$193+Résultats!AC$194)/1000000</f>
        <v>4.7856112165755832E-2</v>
      </c>
      <c r="F52" s="16">
        <f>(Résultats!AC$196)/1000000</f>
        <v>0.4981595278</v>
      </c>
      <c r="G52" s="16">
        <v>0</v>
      </c>
      <c r="H52" s="95">
        <f t="shared" si="4"/>
        <v>7.5331672109657566</v>
      </c>
      <c r="I52" s="166"/>
      <c r="J52" s="166"/>
      <c r="K52" s="166"/>
      <c r="L52" s="166"/>
      <c r="M52" s="166"/>
      <c r="N52" s="38"/>
      <c r="O52" s="206"/>
      <c r="P52" s="206"/>
      <c r="Q52" s="206"/>
      <c r="R52" s="206"/>
      <c r="S52" s="206"/>
      <c r="T52" s="207"/>
      <c r="U52" s="16"/>
      <c r="W52" s="30"/>
      <c r="X52" s="208"/>
      <c r="Y52" s="208"/>
      <c r="Z52" s="208"/>
      <c r="AA52" s="208"/>
      <c r="AB52" s="208"/>
    </row>
    <row r="53" spans="1:28" x14ac:dyDescent="0.25">
      <c r="A53" s="48" t="s">
        <v>41</v>
      </c>
      <c r="B53" s="37"/>
      <c r="C53" s="37">
        <f>SUM(C48:C50)+C45</f>
        <v>8.1311826397200004</v>
      </c>
      <c r="D53" s="37">
        <f>SUM(D48:D50)+D45</f>
        <v>145.49984869316637</v>
      </c>
      <c r="E53" s="37">
        <f>SUM(E48:E50)+E45</f>
        <v>6.1374212407000011</v>
      </c>
      <c r="F53" s="37">
        <f>SUM(F48:F50)+F45</f>
        <v>42.968791137598004</v>
      </c>
      <c r="G53" s="37">
        <f>SUM(G48:G50)+G45</f>
        <v>15.089859480000001</v>
      </c>
      <c r="H53" s="167">
        <f t="shared" si="4"/>
        <v>217.82710319118439</v>
      </c>
      <c r="I53" s="166"/>
      <c r="J53" s="166"/>
      <c r="K53" s="166"/>
      <c r="L53" s="166"/>
      <c r="M53" s="166"/>
      <c r="N53" s="38"/>
      <c r="O53" s="206"/>
      <c r="P53" s="206"/>
      <c r="Q53" s="206"/>
      <c r="R53" s="206"/>
      <c r="S53" s="206"/>
      <c r="T53" s="207"/>
      <c r="U53" s="79"/>
      <c r="W53" s="80"/>
      <c r="X53" s="208"/>
      <c r="Y53" s="208"/>
      <c r="Z53" s="208"/>
      <c r="AA53" s="208"/>
      <c r="AB53" s="208"/>
    </row>
    <row r="54" spans="1:28" x14ac:dyDescent="0.25">
      <c r="A54" s="164" t="s">
        <v>43</v>
      </c>
      <c r="B54" s="164"/>
      <c r="C54" s="165">
        <f>(Résultats!AC$135+Résultats!AC$162+Résultats!AC$163+Résultats!AC$164+Résultats!AC$165+Résultats!AC$166+Résultats!AC$167+Résultats!AC$168+Résultats!AC$169)/1000000</f>
        <v>8.1311826397200004</v>
      </c>
      <c r="D54" s="165">
        <f>(Résultats!AC$137+Résultats!AC$171+Résultats!AC$172+Résultats!AC$173+Résultats!AC$174+Résultats!AC$175+Résultats!AC$176+Résultats!AC$177+Résultats!AC$178+Résultats!AC$179+Résultats!AC$180+Résultats!AC$181+Résultats!AC$182+Résultats!AC$183+Résultats!AC$184+Résultats!AC$185+Résultats!AC$186+Résultats!AC$187+Résultats!AC$188+Résultats!AC$189)/1000000</f>
        <v>145.53804759726631</v>
      </c>
      <c r="E54" s="165">
        <f>(Résultats!AC$192+Résultats!AC$193+Résultats!AC$194)/1000000</f>
        <v>6.1374212407000011</v>
      </c>
      <c r="F54" s="165">
        <f>(Résultats!AC$139+Résultats!AC$196+Résultats!AC$197+Résultats!AC$198+Résultats!AC$199+Résultats!AC$200+Résultats!AC$201+Résultats!AC$202+Résultats!AC$203+Résultats!AC$204+Résultats!AC$205+Résultats!AC$206+Résultats!AC$207+Résultats!AC$208+Résultats!AC$209+Résultats!AC$210+Résultats!AC$211+Résultats!AC$212+Résultats!AC$213+Résultats!AC$214+Résultats!AC$215+Résultats!AC$216+Résultats!AC$218)/1000000</f>
        <v>43.084568838599218</v>
      </c>
      <c r="G54" s="165">
        <f>Résultats!AC$133/1000000</f>
        <v>15.089859480000001</v>
      </c>
      <c r="H54" s="188">
        <f t="shared" si="4"/>
        <v>217.98107979628554</v>
      </c>
      <c r="I54" s="166"/>
      <c r="J54" s="166"/>
      <c r="K54" s="166"/>
      <c r="L54" s="166"/>
      <c r="M54" s="207"/>
      <c r="O54" s="166"/>
      <c r="P54" s="166"/>
      <c r="Q54" s="166"/>
      <c r="R54" s="166"/>
      <c r="S54" s="207"/>
      <c r="T54" s="207"/>
      <c r="X54" s="208"/>
      <c r="Y54" s="208"/>
      <c r="Z54" s="208"/>
      <c r="AA54" s="208"/>
      <c r="AB54" s="208"/>
    </row>
    <row r="55" spans="1:28" x14ac:dyDescent="0.25">
      <c r="A55" s="164"/>
      <c r="B55" s="164"/>
      <c r="C55" s="189"/>
      <c r="D55" s="189"/>
      <c r="E55" s="189"/>
      <c r="F55" s="189"/>
      <c r="G55" s="189"/>
      <c r="H55" s="165">
        <f>Résultats!AC227/1000000</f>
        <v>217.98107949999999</v>
      </c>
      <c r="I55" s="166"/>
      <c r="J55" s="166"/>
      <c r="K55" s="166"/>
      <c r="L55" s="166"/>
      <c r="M55" s="207"/>
      <c r="O55" s="166"/>
      <c r="P55" s="166"/>
      <c r="Q55" s="166"/>
      <c r="R55" s="166"/>
      <c r="S55" s="207"/>
      <c r="T55" s="207"/>
      <c r="W55" s="79"/>
      <c r="X55" s="208"/>
      <c r="Y55" s="208"/>
      <c r="Z55" s="208"/>
      <c r="AA55" s="208"/>
      <c r="AB55" s="208"/>
    </row>
    <row r="56" spans="1:28" x14ac:dyDescent="0.25">
      <c r="A56" s="3"/>
      <c r="B56" s="3"/>
      <c r="C56" s="75"/>
      <c r="D56" s="75"/>
      <c r="E56" s="75"/>
      <c r="F56" s="75"/>
      <c r="G56" s="75"/>
      <c r="H56" s="45"/>
      <c r="I56" s="166"/>
      <c r="J56" s="166"/>
      <c r="K56" s="166"/>
      <c r="L56" s="166"/>
      <c r="M56" s="207"/>
      <c r="O56" s="166"/>
      <c r="P56" s="166"/>
      <c r="Q56" s="166"/>
      <c r="R56" s="166"/>
      <c r="S56" s="207"/>
      <c r="T56" s="207"/>
      <c r="W56" s="210"/>
      <c r="X56" s="208"/>
      <c r="Y56" s="208"/>
      <c r="Z56" s="208"/>
      <c r="AA56" s="208"/>
      <c r="AB56" s="208"/>
    </row>
    <row r="57" spans="1:28" ht="21" x14ac:dyDescent="0.35">
      <c r="A57" s="145">
        <v>2035</v>
      </c>
      <c r="B57" s="186"/>
      <c r="C57" s="27" t="s">
        <v>36</v>
      </c>
      <c r="D57" s="27" t="s">
        <v>37</v>
      </c>
      <c r="E57" s="27" t="s">
        <v>38</v>
      </c>
      <c r="F57" s="27" t="s">
        <v>39</v>
      </c>
      <c r="G57" s="27" t="s">
        <v>40</v>
      </c>
      <c r="H57" s="190" t="s">
        <v>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W57" s="19"/>
      <c r="X57" s="19"/>
      <c r="Y57" s="19"/>
      <c r="Z57" s="19"/>
      <c r="AA57" s="19"/>
      <c r="AB57" s="208"/>
    </row>
    <row r="58" spans="1:28" x14ac:dyDescent="0.25">
      <c r="A58" s="162" t="s">
        <v>18</v>
      </c>
      <c r="B58" s="187"/>
      <c r="C58" s="36">
        <f>C59+C60</f>
        <v>0</v>
      </c>
      <c r="D58" s="36">
        <f>D59+D60</f>
        <v>63.60858823281032</v>
      </c>
      <c r="E58" s="36">
        <f>E59+E60</f>
        <v>0.30409165806262545</v>
      </c>
      <c r="F58" s="36">
        <f>F59+F60</f>
        <v>0.68437885044533142</v>
      </c>
      <c r="G58" s="36">
        <f>G59+G60</f>
        <v>0</v>
      </c>
      <c r="H58" s="163">
        <f t="shared" ref="H58:H67" si="5">SUM(C58:G58)</f>
        <v>64.597058741318278</v>
      </c>
      <c r="I58" s="166"/>
      <c r="J58" s="166"/>
      <c r="K58" s="166"/>
      <c r="L58" s="166"/>
      <c r="M58" s="166"/>
      <c r="N58" s="38"/>
      <c r="O58" s="166"/>
      <c r="P58" s="166"/>
      <c r="Q58" s="166"/>
      <c r="R58" s="166"/>
      <c r="S58" s="166"/>
      <c r="T58" s="207"/>
      <c r="U58" s="75"/>
      <c r="W58" s="82"/>
      <c r="X58" s="208"/>
      <c r="Y58" s="208"/>
      <c r="Z58" s="208"/>
      <c r="AA58" s="208"/>
      <c r="AB58" s="208"/>
    </row>
    <row r="59" spans="1:28" x14ac:dyDescent="0.25">
      <c r="A59" s="148" t="s">
        <v>19</v>
      </c>
      <c r="B59" s="35"/>
      <c r="C59" s="16">
        <v>0</v>
      </c>
      <c r="D59" s="16">
        <f>'T energie usages'!I90*3.2*Résultats!AH283</f>
        <v>30.762429286510319</v>
      </c>
      <c r="E59" s="16">
        <f>'T energie usages'!J90/'T energie usages'!J$98*(Résultats!AH$192+Résultats!AH$193+Résultats!AH$194)/1000000</f>
        <v>9.7727364507728037E-2</v>
      </c>
      <c r="F59" s="16">
        <f>'T energie usages'!K90*2.394*Résultats!AH284</f>
        <v>1.4637425331335992E-5</v>
      </c>
      <c r="G59" s="16">
        <v>0</v>
      </c>
      <c r="H59" s="95">
        <f t="shared" si="5"/>
        <v>30.860171288443379</v>
      </c>
      <c r="I59" s="166"/>
      <c r="J59" s="166"/>
      <c r="K59" s="166"/>
      <c r="L59" s="166"/>
      <c r="M59" s="166"/>
      <c r="N59" s="38"/>
      <c r="O59" s="166"/>
      <c r="P59" s="166"/>
      <c r="Q59" s="166"/>
      <c r="R59" s="166"/>
      <c r="S59" s="166"/>
      <c r="T59" s="207"/>
      <c r="U59" s="16"/>
      <c r="W59" s="30"/>
      <c r="X59" s="208"/>
      <c r="Y59" s="208"/>
      <c r="Z59" s="208"/>
      <c r="AA59" s="208"/>
      <c r="AB59" s="208"/>
    </row>
    <row r="60" spans="1:28" x14ac:dyDescent="0.25">
      <c r="A60" s="149" t="s">
        <v>20</v>
      </c>
      <c r="B60" s="35"/>
      <c r="C60" s="16">
        <v>0</v>
      </c>
      <c r="D60" s="16">
        <f>(Résultats!AH$183+Résultats!AH$184+Résultats!AH$185+Résultats!AH$186+Résultats!AH$187)/1000000</f>
        <v>32.846158946300001</v>
      </c>
      <c r="E60" s="16">
        <f>'T energie usages'!J91/'T energie usages'!J$98*(Résultats!AH$192+Résultats!AH$193+Résultats!AH$194)/1000000</f>
        <v>0.20636429355489741</v>
      </c>
      <c r="F60" s="16">
        <f>(Résultats!AH$209+Résultats!AH$210+Résultats!AH$211+Résultats!AH$212+Résultats!AH$213)/1000000</f>
        <v>0.68436421302000006</v>
      </c>
      <c r="G60" s="16">
        <v>0</v>
      </c>
      <c r="H60" s="95">
        <f t="shared" si="5"/>
        <v>33.736887452874896</v>
      </c>
      <c r="I60" s="166"/>
      <c r="J60" s="166"/>
      <c r="K60" s="166"/>
      <c r="L60" s="166"/>
      <c r="M60" s="166"/>
      <c r="N60" s="38"/>
      <c r="O60" s="166"/>
      <c r="P60" s="166"/>
      <c r="Q60" s="166"/>
      <c r="R60" s="166"/>
      <c r="S60" s="166"/>
      <c r="T60" s="207"/>
      <c r="U60" s="16"/>
      <c r="W60" s="30"/>
      <c r="X60" s="208"/>
      <c r="Y60" s="208"/>
      <c r="Z60" s="208"/>
      <c r="AA60" s="208"/>
      <c r="AB60" s="208"/>
    </row>
    <row r="61" spans="1:28" x14ac:dyDescent="0.25">
      <c r="A61" s="162" t="s">
        <v>21</v>
      </c>
      <c r="B61" s="187"/>
      <c r="C61" s="36">
        <f>Résultats!AH$135/1000000</f>
        <v>0.59789031389999991</v>
      </c>
      <c r="D61" s="36">
        <f>'T energie usages'!I92*3.2*Résultats!AH283</f>
        <v>9.3359344118300598</v>
      </c>
      <c r="E61" s="36">
        <f>'T energie usages'!J92/'T energie usages'!J$98*(Résultats!AH$192+Résultats!AH$193+Résultats!AH$194)/1000000</f>
        <v>0.79884635756602218</v>
      </c>
      <c r="F61" s="36">
        <f>('T energie usages'!K92-8)*2.394*Résultats!AH284</f>
        <v>8.9571646625828176</v>
      </c>
      <c r="G61" s="36">
        <v>0</v>
      </c>
      <c r="H61" s="163">
        <f t="shared" si="5"/>
        <v>19.689835745878902</v>
      </c>
      <c r="I61" s="166"/>
      <c r="J61" s="166"/>
      <c r="K61" s="166"/>
      <c r="L61" s="166"/>
      <c r="M61" s="166"/>
      <c r="N61" s="38"/>
      <c r="O61" s="166"/>
      <c r="P61" s="166"/>
      <c r="Q61" s="166"/>
      <c r="R61" s="166"/>
      <c r="S61" s="166"/>
      <c r="T61" s="207"/>
      <c r="U61" s="75"/>
      <c r="W61" s="82"/>
      <c r="X61" s="208"/>
      <c r="Y61" s="208"/>
      <c r="Z61" s="208"/>
      <c r="AA61" s="208"/>
      <c r="AB61" s="208"/>
    </row>
    <row r="62" spans="1:28" x14ac:dyDescent="0.25">
      <c r="A62" s="162" t="s">
        <v>22</v>
      </c>
      <c r="B62" s="187"/>
      <c r="C62" s="36">
        <f>(Résultats!AH$168+Résultats!AH$169)/1000000</f>
        <v>0</v>
      </c>
      <c r="D62" s="36">
        <f>(Résultats!AH$188+Résultats!AH$189)/1000000</f>
        <v>2.9081260612000004</v>
      </c>
      <c r="E62" s="36">
        <f>'T energie usages'!J93/'T energie usages'!J$98*(Résultats!AH$192+Résultats!AH$193+Résultats!AH$194)/1000000</f>
        <v>0.5137757388375892</v>
      </c>
      <c r="F62" s="36">
        <f>(Résultats!AH$214+Résultats!AH$215)/1000000</f>
        <v>8.9108654000000005</v>
      </c>
      <c r="G62" s="36">
        <v>0</v>
      </c>
      <c r="H62" s="163">
        <f t="shared" si="5"/>
        <v>12.332767200037591</v>
      </c>
      <c r="I62" s="166"/>
      <c r="J62" s="166"/>
      <c r="K62" s="166"/>
      <c r="L62" s="166"/>
      <c r="M62" s="166"/>
      <c r="N62" s="38"/>
      <c r="O62" s="166"/>
      <c r="P62" s="166"/>
      <c r="Q62" s="166"/>
      <c r="R62" s="166"/>
      <c r="S62" s="166"/>
      <c r="T62" s="207"/>
      <c r="U62" s="75"/>
      <c r="W62" s="82"/>
      <c r="X62" s="208"/>
      <c r="Y62" s="208"/>
      <c r="Z62" s="208"/>
      <c r="AA62" s="208"/>
      <c r="AB62" s="208"/>
    </row>
    <row r="63" spans="1:28" x14ac:dyDescent="0.25">
      <c r="A63" s="162" t="s">
        <v>23</v>
      </c>
      <c r="B63" s="187"/>
      <c r="C63" s="36">
        <f>C64+C65</f>
        <v>7.6380910460099996</v>
      </c>
      <c r="D63" s="36">
        <f>D64+D65</f>
        <v>27.406965392439169</v>
      </c>
      <c r="E63" s="36">
        <f>E64+E65</f>
        <v>1.0142968294337633</v>
      </c>
      <c r="F63" s="36">
        <f>F64+F65</f>
        <v>6.3216525533560493</v>
      </c>
      <c r="G63" s="36">
        <f>G64+G65</f>
        <v>15.359247470000001</v>
      </c>
      <c r="H63" s="163">
        <f t="shared" si="5"/>
        <v>57.740253291238972</v>
      </c>
      <c r="I63" s="166"/>
      <c r="J63" s="166"/>
      <c r="K63" s="166"/>
      <c r="L63" s="166"/>
      <c r="M63" s="166"/>
      <c r="N63" s="38"/>
      <c r="O63" s="166"/>
      <c r="P63" s="166"/>
      <c r="Q63" s="166"/>
      <c r="R63" s="166"/>
      <c r="S63" s="166"/>
      <c r="T63" s="207"/>
      <c r="U63" s="75"/>
      <c r="W63" s="82"/>
      <c r="X63" s="208"/>
      <c r="Y63" s="208"/>
      <c r="Z63" s="208"/>
      <c r="AA63" s="208"/>
      <c r="AB63" s="208"/>
    </row>
    <row r="64" spans="1:28" x14ac:dyDescent="0.25">
      <c r="A64" s="149" t="s">
        <v>24</v>
      </c>
      <c r="B64" s="35"/>
      <c r="C64" s="75">
        <f>(Résultats!AH$162+Résultats!AH$163+Résultats!AH$164+Résultats!AH$165+Résultats!AH$166+Résultats!AH$167)/1000000</f>
        <v>7.6380910460099996</v>
      </c>
      <c r="D64" s="16">
        <f>(Résultats!AH$171+Résultats!AH$173+Résultats!AH$174+Résultats!AH$175+Résultats!AH$176+Résultats!AH$177+Résultats!AH$178+Résultats!AH$179+Résultats!AH$180+Résultats!AH$181+Résultats!AH$182)/1000000</f>
        <v>21.231820459439167</v>
      </c>
      <c r="E64" s="16">
        <f>'T energie usages'!J95/'T energie usages'!J$98*(Résultats!AH$192+Résultats!AH$193+Résultats!AH$194)/1000000</f>
        <v>0.99352327105768024</v>
      </c>
      <c r="F64" s="16">
        <f>(Résultats!AH$197+Résultats!AH$198+Résultats!AH$199+Résultats!AH$200+Résultats!AH$201+Résultats!AH$202+Résultats!AH$203+Résultats!AH$204+Résultats!AH$205+Résultats!AH$206+Résultats!AH$207+Résultats!AH$208+Résultats!AH$216+Résultats!AH$218)/1000000</f>
        <v>5.9942057968560496</v>
      </c>
      <c r="G64" s="16">
        <f>Résultats!AH$133/1000000</f>
        <v>15.359247470000001</v>
      </c>
      <c r="H64" s="95">
        <f t="shared" si="5"/>
        <v>51.216888043362893</v>
      </c>
      <c r="I64" s="166"/>
      <c r="K64" s="166"/>
      <c r="L64" s="166"/>
      <c r="M64" s="166"/>
      <c r="N64" s="38"/>
      <c r="O64" s="166"/>
      <c r="P64" s="166"/>
      <c r="Q64" s="166"/>
      <c r="R64" s="166"/>
      <c r="S64" s="166"/>
      <c r="T64" s="207"/>
      <c r="U64" s="16"/>
      <c r="W64" s="30"/>
      <c r="X64" s="208"/>
      <c r="Y64" s="208"/>
      <c r="Z64" s="208"/>
      <c r="AA64" s="208"/>
      <c r="AB64" s="208"/>
    </row>
    <row r="65" spans="1:28" x14ac:dyDescent="0.25">
      <c r="A65" s="149" t="s">
        <v>25</v>
      </c>
      <c r="B65" s="35"/>
      <c r="C65" s="16">
        <v>0</v>
      </c>
      <c r="D65" s="16">
        <f>(Résultats!AH$172)/1000000</f>
        <v>6.1751449330000003</v>
      </c>
      <c r="E65" s="16">
        <f>'T energie usages'!J97/'T energie usages'!J$98*(Résultats!AH$192+Résultats!AH$193+Résultats!AH$194)/1000000</f>
        <v>2.0773558376083048E-2</v>
      </c>
      <c r="F65" s="16">
        <f>(Résultats!AH$196)/1000000</f>
        <v>0.32744675649999999</v>
      </c>
      <c r="G65" s="16">
        <v>0</v>
      </c>
      <c r="H65" s="95">
        <f t="shared" si="5"/>
        <v>6.5233652478760833</v>
      </c>
      <c r="I65" s="166"/>
      <c r="K65" s="166"/>
      <c r="L65" s="166"/>
      <c r="M65" s="166"/>
      <c r="N65" s="38"/>
      <c r="O65" s="166"/>
      <c r="P65" s="166"/>
      <c r="Q65" s="166"/>
      <c r="R65" s="166"/>
      <c r="S65" s="166"/>
      <c r="T65" s="207"/>
      <c r="U65" s="16"/>
      <c r="W65" s="30"/>
      <c r="X65" s="208"/>
      <c r="Y65" s="208"/>
      <c r="Z65" s="208"/>
      <c r="AA65" s="208"/>
      <c r="AB65" s="208"/>
    </row>
    <row r="66" spans="1:28" x14ac:dyDescent="0.25">
      <c r="A66" s="48" t="s">
        <v>41</v>
      </c>
      <c r="B66" s="37"/>
      <c r="C66" s="37">
        <f>SUM(C61:C63)+C58</f>
        <v>8.2359813599099994</v>
      </c>
      <c r="D66" s="37">
        <f>SUM(D61:D63)+D58</f>
        <v>103.25961409827954</v>
      </c>
      <c r="E66" s="37">
        <f>SUM(E61:E63)+E58</f>
        <v>2.6310105839000002</v>
      </c>
      <c r="F66" s="37">
        <f>SUM(F61:F63)+F58</f>
        <v>24.874061466384198</v>
      </c>
      <c r="G66" s="37">
        <f>SUM(G61:G63)+G58</f>
        <v>15.359247470000001</v>
      </c>
      <c r="H66" s="167">
        <f t="shared" si="5"/>
        <v>154.35991497847377</v>
      </c>
      <c r="I66" s="79"/>
      <c r="J66" s="211"/>
      <c r="K66" s="166"/>
      <c r="L66" s="166"/>
      <c r="M66" s="166"/>
      <c r="N66" s="38"/>
      <c r="O66" s="166"/>
      <c r="P66" s="166"/>
      <c r="Q66" s="166"/>
      <c r="R66" s="166"/>
      <c r="S66" s="166"/>
      <c r="T66" s="207"/>
      <c r="U66" s="79"/>
      <c r="W66" s="80"/>
      <c r="X66" s="208"/>
      <c r="Y66" s="208"/>
      <c r="Z66" s="208"/>
      <c r="AA66" s="208"/>
      <c r="AB66" s="208"/>
    </row>
    <row r="67" spans="1:28" x14ac:dyDescent="0.25">
      <c r="A67" s="164" t="s">
        <v>43</v>
      </c>
      <c r="B67" s="164"/>
      <c r="C67" s="165">
        <f>(Résultats!AH$135+Résultats!AH$162+Résultats!AH$163+Résultats!AH$164+Résultats!AH$165+Résultats!AH$166+Résultats!AH$167+Résultats!AH$168+Résultats!AH$169)/1000000</f>
        <v>8.2359813599099994</v>
      </c>
      <c r="D67" s="165">
        <f>(Résultats!AH$137+Résultats!AH$171+Résultats!AH$172+Résultats!AH$173+Résultats!AH$174+Résultats!AH$175+Résultats!AH$176+Résultats!AH$177+Résultats!AH$178+Résultats!AH$179+Résultats!AH$180+Résultats!AH$181+Résultats!AH$182+Résultats!AH$183+Résultats!AH$184+Résultats!AH$185+Résultats!AH$186+Résultats!AH$187+Résultats!AH$188+Résultats!AH$189)/1000000</f>
        <v>103.28384560993916</v>
      </c>
      <c r="E67" s="165">
        <f>(Résultats!AH$192+Résultats!AH$193+Résultats!AH$194)/1000000</f>
        <v>2.6310105838999998</v>
      </c>
      <c r="F67" s="165">
        <f>(Résultats!AH$139+Résultats!AH$196+Résultats!AH$197+Résultats!AH$198+Résultats!AH$199+Résultats!AH$200+Résultats!AH$201+Résultats!AH$202+Résultats!AH$203+Résultats!AH$204+Résultats!AH$205+Résultats!AH$206+Résultats!AH$207+Résultats!AH$208+Résultats!AH$209+Résultats!AH$210+Résultats!AH$211+Résultats!AH$212+Résultats!AH$213+Résultats!AH$214+Résultats!AH$215+Résultats!AH$216+Résultats!AH$218)/1000000</f>
        <v>24.937293327376061</v>
      </c>
      <c r="G67" s="165">
        <f>Résultats!AH$133/1000000</f>
        <v>15.359247470000001</v>
      </c>
      <c r="H67" s="188">
        <f t="shared" si="5"/>
        <v>154.44737835112522</v>
      </c>
      <c r="I67" s="45"/>
      <c r="K67" s="45"/>
      <c r="L67" s="166"/>
    </row>
    <row r="68" spans="1:28" x14ac:dyDescent="0.25">
      <c r="A68" s="164"/>
      <c r="B68" s="164"/>
      <c r="C68" s="165"/>
      <c r="D68" s="165"/>
      <c r="E68" s="165"/>
      <c r="F68" s="165"/>
      <c r="G68" s="165"/>
      <c r="H68" s="165">
        <f>Résultats!AH227/1000000</f>
        <v>154.44737819999997</v>
      </c>
      <c r="I68" s="45"/>
      <c r="K68" s="45"/>
      <c r="L68" s="166"/>
    </row>
    <row r="69" spans="1:28" x14ac:dyDescent="0.25">
      <c r="A69" s="3"/>
      <c r="B69" s="3"/>
      <c r="C69" s="45"/>
      <c r="D69" s="45"/>
      <c r="E69" s="45"/>
      <c r="F69" s="45"/>
      <c r="G69" s="45"/>
      <c r="H69" s="45"/>
      <c r="I69" s="45"/>
      <c r="K69" s="45"/>
      <c r="L69" s="166"/>
    </row>
    <row r="70" spans="1:28" ht="21" x14ac:dyDescent="0.35">
      <c r="A70" s="145">
        <v>2050</v>
      </c>
      <c r="B70" s="186"/>
      <c r="C70" s="27" t="s">
        <v>36</v>
      </c>
      <c r="D70" s="27" t="s">
        <v>37</v>
      </c>
      <c r="E70" s="27" t="s">
        <v>38</v>
      </c>
      <c r="F70" s="27" t="s">
        <v>39</v>
      </c>
      <c r="G70" s="27" t="s">
        <v>40</v>
      </c>
      <c r="H70" s="190" t="s">
        <v>1</v>
      </c>
      <c r="I70" s="3"/>
    </row>
    <row r="71" spans="1:28" x14ac:dyDescent="0.25">
      <c r="A71" s="162" t="s">
        <v>18</v>
      </c>
      <c r="B71" s="187"/>
      <c r="C71" s="36">
        <f>C72+C73</f>
        <v>5.3043176852490301E-6</v>
      </c>
      <c r="D71" s="36">
        <f>D72+D73</f>
        <v>9.4710328305560907</v>
      </c>
      <c r="E71" s="36">
        <f>E72+E73</f>
        <v>8.01466072591656E-2</v>
      </c>
      <c r="F71" s="36">
        <f>F72+F73</f>
        <v>0.82213247675865353</v>
      </c>
      <c r="G71" s="36">
        <f>G72+G73</f>
        <v>0</v>
      </c>
      <c r="H71" s="163">
        <f t="shared" ref="H71:H80" si="6">SUM(C71:G71)</f>
        <v>10.373317218891595</v>
      </c>
      <c r="I71" s="3"/>
    </row>
    <row r="72" spans="1:28" x14ac:dyDescent="0.25">
      <c r="A72" s="148" t="s">
        <v>19</v>
      </c>
      <c r="B72" s="35"/>
      <c r="C72" s="16">
        <f>Résultats!AF$118/1000000</f>
        <v>5.3043176852490301E-6</v>
      </c>
      <c r="D72" s="16">
        <f>'T energie usages'!I116*3.2*Résultats!AW283</f>
        <v>3.4578382633960913</v>
      </c>
      <c r="E72" s="16">
        <f>'T energie usages'!J116/'T energie usages'!J$124*(Résultats!AW$192+Résultats!AW$193+Résultats!AW$194)/1000000</f>
        <v>2.465650997686861E-2</v>
      </c>
      <c r="F72" s="16">
        <f>'T energie usages'!K116*2.394*Résultats!AW284</f>
        <v>3.2459486535517707E-6</v>
      </c>
      <c r="G72" s="16">
        <v>0</v>
      </c>
      <c r="H72" s="95">
        <f t="shared" si="6"/>
        <v>3.4825033236392984</v>
      </c>
      <c r="I72" s="3"/>
    </row>
    <row r="73" spans="1:28" x14ac:dyDescent="0.25">
      <c r="A73" s="149" t="s">
        <v>20</v>
      </c>
      <c r="B73" s="35"/>
      <c r="C73" s="16">
        <v>0</v>
      </c>
      <c r="D73" s="16">
        <f>(Résultats!AW$183+Résultats!AW$184+Résultats!AW$185+Résultats!AW$186+Résultats!AW$187)/1000000</f>
        <v>6.0131945671600002</v>
      </c>
      <c r="E73" s="16">
        <f>'T energie usages'!J117/'T energie usages'!J$124*(Résultats!AW$192+Résultats!AW$193+Résultats!AW$194)/1000000</f>
        <v>5.5490097282296993E-2</v>
      </c>
      <c r="F73" s="192">
        <f>(Résultats!AW$209+Résultats!AW$210+Résultats!AW$211+Résultats!AW$212+Résultats!AW$213)/1000000</f>
        <v>0.82212923081</v>
      </c>
      <c r="G73" s="16">
        <v>0</v>
      </c>
      <c r="H73" s="95">
        <f t="shared" si="6"/>
        <v>6.8908138952522968</v>
      </c>
      <c r="I73" s="3"/>
    </row>
    <row r="74" spans="1:28" x14ac:dyDescent="0.25">
      <c r="A74" s="162" t="s">
        <v>21</v>
      </c>
      <c r="B74" s="187"/>
      <c r="C74" s="36">
        <f>Résultats!AW$135/1000000</f>
        <v>0.38764588419999996</v>
      </c>
      <c r="D74" s="36">
        <f>'T energie usages'!I118*3.2*Résultats!AW283</f>
        <v>2.0457639568576598</v>
      </c>
      <c r="E74" s="36">
        <f>'T energie usages'!J118/'T energie usages'!J$124*(Résultats!AW$192+Résultats!AW$193+Résultats!AW$194)/1000000</f>
        <v>9.5276287529794904E-2</v>
      </c>
      <c r="F74" s="36">
        <f>('T energie usages'!K118-8)*2.394*Résultats!AW284</f>
        <v>4.0622618409147631</v>
      </c>
      <c r="G74" s="36">
        <v>0</v>
      </c>
      <c r="H74" s="163">
        <f t="shared" si="6"/>
        <v>6.5909479695022171</v>
      </c>
      <c r="I74" s="3"/>
    </row>
    <row r="75" spans="1:28" x14ac:dyDescent="0.25">
      <c r="A75" s="162" t="s">
        <v>22</v>
      </c>
      <c r="B75" s="187"/>
      <c r="C75" s="36">
        <f>(Résultats!AW$168+Résultats!AW$169)/1000000</f>
        <v>0</v>
      </c>
      <c r="D75" s="36">
        <f>(Résultats!AW$188+Résultats!AW$189)/1000000</f>
        <v>0.86656688621</v>
      </c>
      <c r="E75" s="36">
        <f>'T energie usages'!J119/'T energie usages'!J$124*(Résultats!AW$192+Résultats!AW$193+Résultats!AW$194)/1000000</f>
        <v>6.1474027798388779E-2</v>
      </c>
      <c r="F75" s="36">
        <f>(Résultats!AW$214+Résultats!AW$215)/1000000</f>
        <v>3.7949044777999998</v>
      </c>
      <c r="G75" s="36">
        <v>0</v>
      </c>
      <c r="H75" s="163">
        <f t="shared" si="6"/>
        <v>4.7229453918083886</v>
      </c>
      <c r="I75" s="3"/>
    </row>
    <row r="76" spans="1:28" x14ac:dyDescent="0.25">
      <c r="A76" s="162" t="s">
        <v>23</v>
      </c>
      <c r="B76" s="187"/>
      <c r="C76" s="36">
        <f>C77+C78</f>
        <v>8.5229256858200007</v>
      </c>
      <c r="D76" s="36">
        <f>D77+D78</f>
        <v>10.485913392478794</v>
      </c>
      <c r="E76" s="36">
        <f>E77+E78</f>
        <v>0.15303216530265079</v>
      </c>
      <c r="F76" s="36">
        <f>F77+F78</f>
        <v>4.7873422868408193</v>
      </c>
      <c r="G76" s="36">
        <f>G77+G78</f>
        <v>17.194936390000002</v>
      </c>
      <c r="H76" s="163">
        <f t="shared" si="6"/>
        <v>41.144149920442267</v>
      </c>
      <c r="I76" s="3"/>
    </row>
    <row r="77" spans="1:28" x14ac:dyDescent="0.25">
      <c r="A77" s="149" t="s">
        <v>24</v>
      </c>
      <c r="B77" s="35"/>
      <c r="C77" s="16">
        <f>(Résultats!AW$162+Résultats!AW$163+Résultats!AW$164+Résultats!AW$165+Résultats!AW$166+Résultats!AW$167)/1000000</f>
        <v>8.5229256858200007</v>
      </c>
      <c r="D77" s="16">
        <f>(Résultats!AW$171+Résultats!AW$173+Résultats!AW$174+Résultats!AW$175+Résultats!AW$176+Résultats!AW$177+Résultats!AW$178+Résultats!AW$179+Résultats!AW$180+Résultats!AW$181+Résultats!AW$182)/1000000</f>
        <v>8.1061727144787952</v>
      </c>
      <c r="E77" s="16">
        <f>'T energie usages'!J121/'T energie usages'!J$124*(Résultats!AW$192+Résultats!AW$193+Résultats!AW$194)/1000000</f>
        <v>0.14962409228816137</v>
      </c>
      <c r="F77" s="16">
        <f>(Résultats!AW$197+Résultats!AW$198+Résultats!AW$199+Résultats!AW$200+Résultats!AW$201+Résultats!AW$202+Résultats!AW$203+Résultats!AW$204+Résultats!AW$205+Résultats!AW$206+Résultats!AW$207+Résultats!AW$208+Résultats!AW$216+Résultats!AW$218)/1000000</f>
        <v>4.5493458137408194</v>
      </c>
      <c r="G77" s="16">
        <f>Résultats!AW$133/1000000</f>
        <v>17.194936390000002</v>
      </c>
      <c r="H77" s="95">
        <f t="shared" si="6"/>
        <v>38.523004696327774</v>
      </c>
      <c r="I77" s="3"/>
    </row>
    <row r="78" spans="1:28" x14ac:dyDescent="0.25">
      <c r="A78" s="149" t="s">
        <v>25</v>
      </c>
      <c r="B78" s="35"/>
      <c r="C78" s="16">
        <v>0</v>
      </c>
      <c r="D78" s="16">
        <f>(Résultats!AW$172)/1000000</f>
        <v>2.3797406779999997</v>
      </c>
      <c r="E78" s="16">
        <f>'T energie usages'!J123/'T energie usages'!J$124*(Résultats!AW$192+Résultats!AW$193+Résultats!AW$194)/1000000</f>
        <v>3.4080730144894159E-3</v>
      </c>
      <c r="F78" s="16">
        <f>(Résultats!AW$196)/1000000</f>
        <v>0.23799647309999999</v>
      </c>
      <c r="G78" s="16">
        <v>0</v>
      </c>
      <c r="H78" s="95">
        <f t="shared" si="6"/>
        <v>2.621145224114489</v>
      </c>
      <c r="I78" s="3"/>
    </row>
    <row r="79" spans="1:28" x14ac:dyDescent="0.25">
      <c r="A79" s="48" t="s">
        <v>41</v>
      </c>
      <c r="B79" s="37"/>
      <c r="C79" s="37">
        <f>SUM(C74:C76)+C71</f>
        <v>8.9105768743376856</v>
      </c>
      <c r="D79" s="37">
        <f>SUM(D74:D76)+D71</f>
        <v>22.869277066102544</v>
      </c>
      <c r="E79" s="37">
        <f>SUM(E74:E76)+E71</f>
        <v>0.38992908789000008</v>
      </c>
      <c r="F79" s="37">
        <f>SUM(F74:F76)+F71</f>
        <v>13.466641082314236</v>
      </c>
      <c r="G79" s="37">
        <f>SUM(G74:G76)+G71</f>
        <v>17.194936390000002</v>
      </c>
      <c r="H79" s="167">
        <f t="shared" si="6"/>
        <v>62.831360500644472</v>
      </c>
      <c r="I79" s="3"/>
    </row>
    <row r="80" spans="1:28" x14ac:dyDescent="0.25">
      <c r="A80" s="164" t="s">
        <v>43</v>
      </c>
      <c r="B80" s="164"/>
      <c r="C80" s="165">
        <f>(Résultats!AW$135+Résultats!AW$162+Résultats!AW$163+Résultats!AW$164+Résultats!AW$165+Résultats!AW$166+Résultats!AW$167+Résultats!AW$168+Résultats!AW$169)/1000000</f>
        <v>8.9105715700200001</v>
      </c>
      <c r="D80" s="165">
        <f>(Résultats!AW$137+Résultats!AW$171+Résultats!AW$172+Résultats!AW$173+Résultats!AW$174+Résultats!AW$175+Résultats!AW$176+Résultats!AW$177+Résultats!AW$178+Résultats!AW$179+Résultats!AW$180+Résultats!AW$181+Résultats!AW$182+Résultats!AW$183+Résultats!AW$184+Résultats!AW$185+Résultats!AW$186+Résultats!AW$187+Résultats!AW$188+Résultats!AW$189)/1000000</f>
        <v>22.87260290284879</v>
      </c>
      <c r="E80" s="165">
        <f>(Résultats!AW$192+Résultats!AW$193+Résultats!AW$194)/1000000</f>
        <v>0.38992908789000003</v>
      </c>
      <c r="F80" s="165">
        <f>(Résultats!AW$139+Résultats!AW$196+Résultats!AW$197+Résultats!AW$198+Résultats!AW$199+Résultats!AW$200+Résultats!AW$201+Résultats!AW$202+Résultats!AW$203+Résultats!AW$204+Résultats!AW$205+Résultats!AW$206+Résultats!AW$207+Résultats!AW$208+Résultats!AW$209+Résultats!AW$210+Résultats!AW$211+Résultats!AW$212+Résultats!AW$213+Résultats!AW$214+Résultats!AW$215+Résultats!AW$216+Résultats!AW$218)/1000000</f>
        <v>13.495318032450824</v>
      </c>
      <c r="G80" s="165">
        <f>Résultats!AW133/1000000</f>
        <v>17.194936390000002</v>
      </c>
      <c r="H80" s="188">
        <f t="shared" si="6"/>
        <v>62.863357983209617</v>
      </c>
      <c r="I80" s="47"/>
    </row>
    <row r="81" spans="1:9" x14ac:dyDescent="0.25">
      <c r="A81" s="164"/>
      <c r="B81" s="164"/>
      <c r="C81" s="165"/>
      <c r="D81" s="165"/>
      <c r="E81" s="165"/>
      <c r="F81" s="165"/>
      <c r="G81" s="165"/>
      <c r="H81" s="165">
        <f>Résultats!AW227/1000000</f>
        <v>62.86335794</v>
      </c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s="3" customFormat="1" x14ac:dyDescent="0.25"/>
    <row r="85" spans="1:9" s="3" customFormat="1" x14ac:dyDescent="0.25">
      <c r="G85" s="45"/>
    </row>
    <row r="86" spans="1:9" s="3" customFormat="1" x14ac:dyDescent="0.25">
      <c r="H86" s="47"/>
    </row>
    <row r="87" spans="1:9" s="3" customFormat="1" x14ac:dyDescent="0.25">
      <c r="C87" s="45"/>
      <c r="H87" s="47"/>
    </row>
    <row r="88" spans="1:9" s="3" customFormat="1" x14ac:dyDescent="0.25">
      <c r="C88" s="45"/>
      <c r="H88" s="47"/>
    </row>
    <row r="89" spans="1:9" s="3" customFormat="1" x14ac:dyDescent="0.25">
      <c r="C89" s="45"/>
      <c r="H89" s="47"/>
    </row>
    <row r="90" spans="1:9" s="3" customFormat="1" x14ac:dyDescent="0.25">
      <c r="C90" s="45"/>
      <c r="H90" s="47"/>
    </row>
    <row r="91" spans="1:9" s="3" customFormat="1" x14ac:dyDescent="0.25">
      <c r="C91" s="45"/>
      <c r="H91" s="47"/>
    </row>
    <row r="92" spans="1:9" s="3" customFormat="1" x14ac:dyDescent="0.25">
      <c r="C92" s="45"/>
    </row>
    <row r="93" spans="1:9" s="3" customFormat="1" x14ac:dyDescent="0.25">
      <c r="C93" s="45"/>
    </row>
    <row r="94" spans="1:9" s="3" customFormat="1" x14ac:dyDescent="0.25">
      <c r="C94" s="45"/>
    </row>
    <row r="95" spans="1:9" s="3" customFormat="1" x14ac:dyDescent="0.25">
      <c r="C95" s="45"/>
    </row>
    <row r="96" spans="1:9" s="3" customFormat="1" x14ac:dyDescent="0.25">
      <c r="C96" s="45"/>
    </row>
    <row r="97" spans="3:5" s="3" customFormat="1" x14ac:dyDescent="0.25">
      <c r="C97" s="45"/>
    </row>
    <row r="98" spans="3:5" s="3" customFormat="1" x14ac:dyDescent="0.25">
      <c r="C98" s="45"/>
    </row>
    <row r="99" spans="3:5" s="3" customFormat="1" x14ac:dyDescent="0.25">
      <c r="C99" s="45"/>
    </row>
    <row r="100" spans="3:5" s="3" customFormat="1" x14ac:dyDescent="0.25">
      <c r="C100" s="45"/>
    </row>
    <row r="101" spans="3:5" s="3" customFormat="1" x14ac:dyDescent="0.25">
      <c r="C101" s="45"/>
    </row>
    <row r="102" spans="3:5" s="3" customFormat="1" x14ac:dyDescent="0.25">
      <c r="C102" s="45"/>
    </row>
    <row r="103" spans="3:5" s="3" customFormat="1" x14ac:dyDescent="0.25"/>
    <row r="104" spans="3:5" s="3" customFormat="1" x14ac:dyDescent="0.25">
      <c r="C104" s="45"/>
    </row>
    <row r="105" spans="3:5" s="3" customFormat="1" x14ac:dyDescent="0.25">
      <c r="C105" s="45"/>
    </row>
    <row r="106" spans="3:5" s="3" customFormat="1" x14ac:dyDescent="0.25">
      <c r="C106" s="45"/>
    </row>
    <row r="107" spans="3:5" s="3" customFormat="1" x14ac:dyDescent="0.25">
      <c r="C107" s="45"/>
    </row>
    <row r="108" spans="3:5" s="3" customFormat="1" x14ac:dyDescent="0.25">
      <c r="C108" s="45"/>
    </row>
    <row r="109" spans="3:5" s="3" customFormat="1" x14ac:dyDescent="0.25">
      <c r="C109" s="45"/>
    </row>
    <row r="110" spans="3:5" s="3" customFormat="1" x14ac:dyDescent="0.25">
      <c r="C110" s="45"/>
    </row>
    <row r="111" spans="3:5" s="3" customFormat="1" x14ac:dyDescent="0.25">
      <c r="C111" s="45"/>
    </row>
    <row r="112" spans="3:5" s="3" customFormat="1" x14ac:dyDescent="0.25">
      <c r="C112" s="45"/>
      <c r="D112" s="212"/>
      <c r="E112" s="212"/>
    </row>
    <row r="113" spans="3:3" s="3" customFormat="1" x14ac:dyDescent="0.25">
      <c r="C113" s="45"/>
    </row>
    <row r="114" spans="3:3" s="3" customFormat="1" x14ac:dyDescent="0.25">
      <c r="C114" s="45"/>
    </row>
    <row r="115" spans="3:3" s="3" customFormat="1" x14ac:dyDescent="0.25">
      <c r="C115" s="45"/>
    </row>
    <row r="116" spans="3:3" s="3" customFormat="1" x14ac:dyDescent="0.25">
      <c r="C116" s="45"/>
    </row>
    <row r="117" spans="3:3" s="3" customFormat="1" x14ac:dyDescent="0.25">
      <c r="C117" s="45"/>
    </row>
    <row r="118" spans="3:3" s="3" customFormat="1" x14ac:dyDescent="0.25">
      <c r="C118" s="45"/>
    </row>
    <row r="119" spans="3:3" s="3" customFormat="1" x14ac:dyDescent="0.25">
      <c r="C119" s="45"/>
    </row>
    <row r="120" spans="3:3" s="3" customFormat="1" x14ac:dyDescent="0.25">
      <c r="C120" s="45"/>
    </row>
    <row r="121" spans="3:3" s="3" customFormat="1" x14ac:dyDescent="0.25">
      <c r="C121" s="45"/>
    </row>
    <row r="122" spans="3:3" s="3" customFormat="1" x14ac:dyDescent="0.25"/>
    <row r="123" spans="3:3" s="3" customFormat="1" x14ac:dyDescent="0.25"/>
    <row r="124" spans="3:3" s="3" customFormat="1" x14ac:dyDescent="0.25"/>
    <row r="125" spans="3:3" s="3" customFormat="1" x14ac:dyDescent="0.25"/>
    <row r="126" spans="3:3" s="3" customFormat="1" x14ac:dyDescent="0.25"/>
    <row r="127" spans="3:3" s="3" customFormat="1" x14ac:dyDescent="0.25"/>
    <row r="128" spans="3:3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6">
    <tabColor rgb="FF0070C0"/>
  </sheetPr>
  <dimension ref="A1:BD32"/>
  <sheetViews>
    <sheetView topLeftCell="A2" zoomScale="80" zoomScaleNormal="80" workbookViewId="0">
      <selection activeCell="G21" sqref="G21:G22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6" width="13.5703125" hidden="1" customWidth="1"/>
    <col min="7" max="8" width="7.140625" customWidth="1"/>
    <col min="9" max="18" width="7.140625" bestFit="1" customWidth="1"/>
    <col min="19" max="19" width="7.85546875" customWidth="1"/>
    <col min="20" max="22" width="7.140625" bestFit="1" customWidth="1"/>
    <col min="23" max="23" width="7.85546875" customWidth="1"/>
    <col min="30" max="30" width="19.7109375" hidden="1" customWidth="1"/>
    <col min="31" max="31" width="21.5703125" hidden="1" customWidth="1"/>
    <col min="32" max="34" width="13.5703125" hidden="1" customWidth="1"/>
    <col min="35" max="46" width="7.140625" hidden="1" customWidth="1"/>
    <col min="47" max="47" width="7.85546875" customWidth="1"/>
    <col min="48" max="50" width="7.140625" bestFit="1" customWidth="1"/>
    <col min="51" max="51" width="7.85546875" customWidth="1"/>
  </cols>
  <sheetData>
    <row r="1" spans="1:56" s="3" customFormat="1" ht="23.25" x14ac:dyDescent="0.35">
      <c r="A1" s="46" t="s">
        <v>99</v>
      </c>
      <c r="AC1" s="46" t="s">
        <v>99</v>
      </c>
    </row>
    <row r="2" spans="1:56" s="3" customFormat="1" ht="23.25" x14ac:dyDescent="0.35">
      <c r="A2" s="46"/>
      <c r="D2" s="7"/>
      <c r="E2" s="235">
        <f>'T energie vecteurs'!E5</f>
        <v>4</v>
      </c>
      <c r="F2" s="235">
        <f>E2+9</f>
        <v>13</v>
      </c>
      <c r="G2" s="235">
        <f>F2+3</f>
        <v>16</v>
      </c>
      <c r="H2" s="235">
        <f t="shared" ref="H2:S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>S2+5</f>
        <v>33</v>
      </c>
      <c r="U2" s="235">
        <f>T2+5</f>
        <v>38</v>
      </c>
      <c r="V2" s="235">
        <f>U2+5</f>
        <v>43</v>
      </c>
      <c r="W2" s="235">
        <f>V2+5</f>
        <v>48</v>
      </c>
      <c r="AC2" s="46"/>
      <c r="AF2" s="7"/>
      <c r="AG2" s="235">
        <v>3</v>
      </c>
      <c r="AH2" s="235">
        <v>12</v>
      </c>
      <c r="AI2" s="235">
        <v>15</v>
      </c>
      <c r="AJ2" s="235">
        <v>16</v>
      </c>
      <c r="AK2" s="235">
        <v>17</v>
      </c>
      <c r="AL2" s="235">
        <v>18</v>
      </c>
      <c r="AM2" s="235">
        <v>19</v>
      </c>
      <c r="AN2" s="235">
        <v>20</v>
      </c>
      <c r="AO2" s="235">
        <v>21</v>
      </c>
      <c r="AP2" s="235">
        <v>22</v>
      </c>
      <c r="AQ2" s="235">
        <v>23</v>
      </c>
      <c r="AR2" s="235">
        <v>24</v>
      </c>
      <c r="AS2" s="235">
        <v>25</v>
      </c>
      <c r="AT2" s="235">
        <v>26</v>
      </c>
      <c r="AU2" s="235">
        <v>27</v>
      </c>
      <c r="AV2" s="235">
        <v>32</v>
      </c>
      <c r="AW2" s="235">
        <v>37</v>
      </c>
      <c r="AX2" s="235">
        <v>42</v>
      </c>
      <c r="AY2" s="235">
        <v>47</v>
      </c>
    </row>
    <row r="3" spans="1:56" ht="23.25" x14ac:dyDescent="0.35">
      <c r="A3" s="228"/>
      <c r="B3" s="3"/>
      <c r="C3" s="42"/>
      <c r="D3" s="11"/>
      <c r="E3" s="238">
        <v>2006</v>
      </c>
      <c r="F3" s="49">
        <v>2015</v>
      </c>
      <c r="G3" s="20">
        <v>2018</v>
      </c>
      <c r="H3" s="4">
        <v>2019</v>
      </c>
      <c r="I3" s="190">
        <v>2020</v>
      </c>
      <c r="J3" s="91">
        <v>2021</v>
      </c>
      <c r="K3" s="27">
        <v>2022</v>
      </c>
      <c r="L3" s="4">
        <v>2023</v>
      </c>
      <c r="M3" s="27">
        <v>2024</v>
      </c>
      <c r="N3" s="83">
        <v>2025</v>
      </c>
      <c r="O3" s="91">
        <v>2026</v>
      </c>
      <c r="P3" s="4">
        <v>2027</v>
      </c>
      <c r="Q3" s="27">
        <v>2028</v>
      </c>
      <c r="R3" s="27">
        <v>2029</v>
      </c>
      <c r="S3" s="83">
        <v>2030</v>
      </c>
      <c r="T3" s="93">
        <v>2035</v>
      </c>
      <c r="U3" s="93">
        <v>2040</v>
      </c>
      <c r="V3" s="4">
        <v>2045</v>
      </c>
      <c r="W3" s="93">
        <v>2050</v>
      </c>
      <c r="X3" s="3"/>
      <c r="AC3" s="228"/>
      <c r="AD3" s="3"/>
      <c r="AE3" s="42"/>
      <c r="AF3" s="11"/>
      <c r="AG3" s="238">
        <v>2006</v>
      </c>
      <c r="AH3" s="49">
        <v>2015</v>
      </c>
      <c r="AI3" s="20">
        <v>2018</v>
      </c>
      <c r="AJ3" s="4">
        <v>2019</v>
      </c>
      <c r="AK3" s="190">
        <v>2020</v>
      </c>
      <c r="AL3" s="91">
        <v>2021</v>
      </c>
      <c r="AM3" s="27">
        <v>2022</v>
      </c>
      <c r="AN3" s="4">
        <v>2023</v>
      </c>
      <c r="AO3" s="27">
        <v>2024</v>
      </c>
      <c r="AP3" s="83">
        <v>2025</v>
      </c>
      <c r="AQ3" s="91">
        <v>2026</v>
      </c>
      <c r="AR3" s="4">
        <v>2027</v>
      </c>
      <c r="AS3" s="27">
        <v>2028</v>
      </c>
      <c r="AT3" s="27">
        <v>2029</v>
      </c>
      <c r="AU3" s="83">
        <v>2030</v>
      </c>
      <c r="AV3" s="93">
        <v>2035</v>
      </c>
      <c r="AW3" s="93">
        <v>2040</v>
      </c>
      <c r="AX3" s="4">
        <v>2045</v>
      </c>
      <c r="AY3" s="93">
        <v>2050</v>
      </c>
      <c r="AZ3" s="3"/>
    </row>
    <row r="4" spans="1:56" ht="23.25" x14ac:dyDescent="0.35">
      <c r="A4" s="161" t="str">
        <f>Résultats!B1</f>
        <v>SNBC3</v>
      </c>
      <c r="B4" s="229" t="s">
        <v>100</v>
      </c>
      <c r="C4" s="5" t="s">
        <v>92</v>
      </c>
      <c r="D4" s="12" t="s">
        <v>190</v>
      </c>
      <c r="E4" s="18">
        <f>VLOOKUP($D4,Résultats!$B$2:$AX$212,E$2,FALSE)</f>
        <v>2393165780</v>
      </c>
      <c r="F4" s="18">
        <f>VLOOKUP($D4,Résultats!$B$2:$AX$212,F$2,FALSE)</f>
        <v>2623669000</v>
      </c>
      <c r="G4" s="106">
        <f>VLOOKUP($D4,Résultats!$B$2:$AX$212,G$2,FALSE)/1000000</f>
        <v>2715.6825130000002</v>
      </c>
      <c r="H4" s="18">
        <f>VLOOKUP($D4,Résultats!$B$2:$AX$212,H$2,FALSE)/1000000</f>
        <v>2745.4671250000001</v>
      </c>
      <c r="I4" s="114">
        <f>VLOOKUP($D4,Résultats!$B$2:$AX$212,I$2,FALSE)/1000000</f>
        <v>2775.1517399999998</v>
      </c>
      <c r="J4" s="106">
        <f>VLOOKUP($D4,Résultats!$B$2:$AX$212,J$2,FALSE)/1000000</f>
        <v>2804.2295709999999</v>
      </c>
      <c r="K4" s="18">
        <f>VLOOKUP($D4,Résultats!$B$2:$AX$212,K$2,FALSE)/1000000</f>
        <v>2833.057577</v>
      </c>
      <c r="L4" s="18">
        <f>VLOOKUP($D4,Résultats!$B$2:$AX$212,L$2,FALSE)/1000000</f>
        <v>2863.7831890000002</v>
      </c>
      <c r="M4" s="18">
        <f>VLOOKUP($D4,Résultats!$B$2:$AX$212,M$2,FALSE)/1000000</f>
        <v>2893.2943919999998</v>
      </c>
      <c r="N4" s="107">
        <f>VLOOKUP($D4,Résultats!$B$2:$AX$212,N$2,FALSE)/1000000</f>
        <v>2920.6834960000001</v>
      </c>
      <c r="O4" s="106">
        <f>VLOOKUP($D4,Résultats!$B$2:$AX$212,O$2,FALSE)/1000000</f>
        <v>2946.0163050000001</v>
      </c>
      <c r="P4" s="18">
        <f>VLOOKUP($D4,Résultats!$B$2:$AX$212,P$2,FALSE)/1000000</f>
        <v>2969.1923109999998</v>
      </c>
      <c r="Q4" s="18">
        <f>VLOOKUP($D4,Résultats!$B$2:$AX$212,Q$2,FALSE)/1000000</f>
        <v>2990.3332730000002</v>
      </c>
      <c r="R4" s="18">
        <f>VLOOKUP($D4,Résultats!$B$2:$AX$212,R$2,FALSE)/1000000</f>
        <v>3009.2612450000001</v>
      </c>
      <c r="S4" s="107">
        <f>VLOOKUP($D4,Résultats!$B$2:$AX$212,S$2,FALSE)/1000000</f>
        <v>3025.8887220000001</v>
      </c>
      <c r="T4" s="114">
        <f>VLOOKUP($D4,Résultats!$B$2:$AX$212,T$2,FALSE)/1000000</f>
        <v>3096.9837219999999</v>
      </c>
      <c r="U4" s="114">
        <f>VLOOKUP($D4,Résultats!$B$2:$AX$212,U$2,FALSE)/1000000</f>
        <v>3145.2756850000001</v>
      </c>
      <c r="V4" s="18">
        <f>VLOOKUP($D4,Résultats!$B$2:$AX$212,V$2,FALSE)/1000000</f>
        <v>3179.3241320000002</v>
      </c>
      <c r="W4" s="114">
        <f>VLOOKUP($D4,Résultats!$B$2:$AX$212,W$2,FALSE)/1000000</f>
        <v>3207.035723</v>
      </c>
      <c r="X4" s="3"/>
      <c r="AC4" s="161" t="s">
        <v>464</v>
      </c>
      <c r="AD4" s="229" t="s">
        <v>100</v>
      </c>
      <c r="AE4" s="5" t="s">
        <v>92</v>
      </c>
      <c r="AF4" s="12" t="s">
        <v>190</v>
      </c>
      <c r="AG4" s="18">
        <v>2355349875.8831902</v>
      </c>
      <c r="AH4" s="18">
        <v>2596998398</v>
      </c>
      <c r="AI4" s="106">
        <v>2655.7572249999998</v>
      </c>
      <c r="AJ4" s="18">
        <v>2671.9482079999998</v>
      </c>
      <c r="AK4" s="114">
        <v>2688.2378990000002</v>
      </c>
      <c r="AL4" s="106">
        <v>2704.626902</v>
      </c>
      <c r="AM4" s="18">
        <v>2721.2510619999998</v>
      </c>
      <c r="AN4" s="18">
        <v>2733.314965</v>
      </c>
      <c r="AO4" s="18">
        <v>2745.2011419999999</v>
      </c>
      <c r="AP4" s="107">
        <v>2756.950288</v>
      </c>
      <c r="AQ4" s="106">
        <v>2768.561725</v>
      </c>
      <c r="AR4" s="18">
        <v>2779.993097</v>
      </c>
      <c r="AS4" s="18">
        <v>2791.5774529999999</v>
      </c>
      <c r="AT4" s="18">
        <v>2802.855591</v>
      </c>
      <c r="AU4" s="107">
        <v>2814.3284440000002</v>
      </c>
      <c r="AV4" s="114">
        <v>2869.6227979999999</v>
      </c>
      <c r="AW4" s="114">
        <v>2921.4190490000001</v>
      </c>
      <c r="AX4" s="18">
        <v>2966.1644070000002</v>
      </c>
      <c r="AY4" s="114">
        <v>3002.7028059999998</v>
      </c>
      <c r="AZ4" s="3"/>
    </row>
    <row r="5" spans="1:56" x14ac:dyDescent="0.25">
      <c r="A5" s="3"/>
      <c r="B5" s="230"/>
      <c r="C5" s="35" t="s">
        <v>27</v>
      </c>
      <c r="D5" s="13" t="s">
        <v>191</v>
      </c>
      <c r="E5" s="25">
        <f>VLOOKUP($D5,Résultats!$B$2:$AX$212,E$2,FALSE)</f>
        <v>661127</v>
      </c>
      <c r="F5" s="25">
        <f>VLOOKUP($D5,Résultats!$B$2:$AX$212,F$2,FALSE)</f>
        <v>14455010.630000001</v>
      </c>
      <c r="G5" s="101">
        <f>VLOOKUP($D5,Résultats!$B$2:$AX$212,G$2,FALSE)/1000000</f>
        <v>20.692600420000002</v>
      </c>
      <c r="H5" s="25">
        <f>VLOOKUP($D5,Résultats!$B$2:$AX$212,H$2,FALSE)/1000000</f>
        <v>24.761715600000002</v>
      </c>
      <c r="I5" s="102">
        <f>VLOOKUP($D5,Résultats!$B$2:$AX$212,I$2,FALSE)/1000000</f>
        <v>29.800599010000003</v>
      </c>
      <c r="J5" s="101">
        <f>VLOOKUP($D5,Résultats!$B$2:$AX$212,J$2,FALSE)/1000000</f>
        <v>36.015344049999996</v>
      </c>
      <c r="K5" s="25">
        <f>VLOOKUP($D5,Résultats!$B$2:$AX$212,K$2,FALSE)/1000000</f>
        <v>43.024519789999999</v>
      </c>
      <c r="L5" s="25">
        <f>VLOOKUP($D5,Résultats!$B$2:$AX$212,L$2,FALSE)/1000000</f>
        <v>50.589869229999998</v>
      </c>
      <c r="M5" s="25">
        <f>VLOOKUP($D5,Résultats!$B$2:$AX$212,M$2,FALSE)/1000000</f>
        <v>59.012758099999999</v>
      </c>
      <c r="N5" s="102">
        <f>VLOOKUP($D5,Résultats!$B$2:$AX$212,N$2,FALSE)/1000000</f>
        <v>69.864770239999999</v>
      </c>
      <c r="O5" s="101">
        <f>VLOOKUP($D5,Résultats!$B$2:$AX$212,O$2,FALSE)/1000000</f>
        <v>83.577461249999999</v>
      </c>
      <c r="P5" s="25">
        <f>VLOOKUP($D5,Résultats!$B$2:$AX$212,P$2,FALSE)/1000000</f>
        <v>99.502539249999998</v>
      </c>
      <c r="Q5" s="25">
        <f>VLOOKUP($D5,Résultats!$B$2:$AX$212,Q$2,FALSE)/1000000</f>
        <v>117.0908869</v>
      </c>
      <c r="R5" s="25">
        <f>VLOOKUP($D5,Résultats!$B$2:$AX$212,R$2,FALSE)/1000000</f>
        <v>135.83079240000001</v>
      </c>
      <c r="S5" s="102">
        <f>VLOOKUP($D5,Résultats!$B$2:$AX$212,S$2,FALSE)/1000000</f>
        <v>155.64995640000001</v>
      </c>
      <c r="T5" s="105">
        <f>VLOOKUP($D5,Résultats!$B$2:$AX$212,T$2,FALSE)/1000000</f>
        <v>272.16496889999996</v>
      </c>
      <c r="U5" s="105">
        <f>VLOOKUP($D5,Résultats!$B$2:$AX$212,U$2,FALSE)/1000000</f>
        <v>404.51480420000001</v>
      </c>
      <c r="V5" s="25">
        <f>VLOOKUP($D5,Résultats!$B$2:$AX$212,V$2,FALSE)/1000000</f>
        <v>554.40133539999999</v>
      </c>
      <c r="W5" s="105">
        <f>VLOOKUP($D5,Résultats!$B$2:$AX$212,W$2,FALSE)/1000000</f>
        <v>715.57206150000002</v>
      </c>
      <c r="X5" s="3"/>
      <c r="AC5" s="3"/>
      <c r="AD5" s="230"/>
      <c r="AE5" s="35" t="s">
        <v>27</v>
      </c>
      <c r="AF5" s="13" t="s">
        <v>191</v>
      </c>
      <c r="AG5" s="25">
        <v>650680.12020171306</v>
      </c>
      <c r="AH5" s="25">
        <v>43187152.149999999</v>
      </c>
      <c r="AI5" s="101">
        <v>50.412683960000003</v>
      </c>
      <c r="AJ5" s="25">
        <v>52.585453389999998</v>
      </c>
      <c r="AK5" s="102">
        <v>55.248827470000002</v>
      </c>
      <c r="AL5" s="101">
        <v>58.446187070000001</v>
      </c>
      <c r="AM5" s="25">
        <v>61.862481409999994</v>
      </c>
      <c r="AN5" s="25">
        <v>65.420231920000006</v>
      </c>
      <c r="AO5" s="25">
        <v>69.449230379999989</v>
      </c>
      <c r="AP5" s="102">
        <v>74.034006009999999</v>
      </c>
      <c r="AQ5" s="101">
        <v>79.004304869999999</v>
      </c>
      <c r="AR5" s="25">
        <v>83.804995500000004</v>
      </c>
      <c r="AS5" s="25">
        <v>87.363160239999999</v>
      </c>
      <c r="AT5" s="25">
        <v>89.222456459999904</v>
      </c>
      <c r="AU5" s="102">
        <v>90.697099290000011</v>
      </c>
      <c r="AV5" s="105">
        <v>97.114109620000008</v>
      </c>
      <c r="AW5" s="105">
        <v>103.08508359999999</v>
      </c>
      <c r="AX5" s="25">
        <v>108.2989291</v>
      </c>
      <c r="AY5" s="105">
        <v>112.66037159999999</v>
      </c>
      <c r="AZ5" s="3"/>
    </row>
    <row r="6" spans="1:56" x14ac:dyDescent="0.25">
      <c r="A6" s="3"/>
      <c r="B6" s="230"/>
      <c r="C6" s="35" t="s">
        <v>28</v>
      </c>
      <c r="D6" s="13" t="s">
        <v>192</v>
      </c>
      <c r="E6" s="25">
        <f>VLOOKUP($D6,Résultats!$B$2:$AX$212,E$2,FALSE)</f>
        <v>42391824</v>
      </c>
      <c r="F6" s="25">
        <f>VLOOKUP($D6,Résultats!$B$2:$AX$212,F$2,FALSE)</f>
        <v>99963264.049999997</v>
      </c>
      <c r="G6" s="101">
        <f>VLOOKUP($D6,Résultats!$B$2:$AX$212,G$2,FALSE)/1000000</f>
        <v>121.50449040000001</v>
      </c>
      <c r="H6" s="25">
        <f>VLOOKUP($D6,Résultats!$B$2:$AX$212,H$2,FALSE)/1000000</f>
        <v>135.90465930000002</v>
      </c>
      <c r="I6" s="102">
        <f>VLOOKUP($D6,Résultats!$B$2:$AX$212,I$2,FALSE)/1000000</f>
        <v>152.4528305</v>
      </c>
      <c r="J6" s="101">
        <f>VLOOKUP($D6,Résultats!$B$2:$AX$212,J$2,FALSE)/1000000</f>
        <v>172.6874407</v>
      </c>
      <c r="K6" s="25">
        <f>VLOOKUP($D6,Résultats!$B$2:$AX$212,K$2,FALSE)/1000000</f>
        <v>193.4058077</v>
      </c>
      <c r="L6" s="25">
        <f>VLOOKUP($D6,Résultats!$B$2:$AX$212,L$2,FALSE)/1000000</f>
        <v>214.88683</v>
      </c>
      <c r="M6" s="25">
        <f>VLOOKUP($D6,Résultats!$B$2:$AX$212,M$2,FALSE)/1000000</f>
        <v>237.46342969999998</v>
      </c>
      <c r="N6" s="102">
        <f>VLOOKUP($D6,Résultats!$B$2:$AX$212,N$2,FALSE)/1000000</f>
        <v>264.76381789999999</v>
      </c>
      <c r="O6" s="101">
        <f>VLOOKUP($D6,Résultats!$B$2:$AX$212,O$2,FALSE)/1000000</f>
        <v>295.6759639</v>
      </c>
      <c r="P6" s="25">
        <f>VLOOKUP($D6,Résultats!$B$2:$AX$212,P$2,FALSE)/1000000</f>
        <v>328.49076200000002</v>
      </c>
      <c r="Q6" s="25">
        <f>VLOOKUP($D6,Résultats!$B$2:$AX$212,Q$2,FALSE)/1000000</f>
        <v>361.53042860000005</v>
      </c>
      <c r="R6" s="25">
        <f>VLOOKUP($D6,Résultats!$B$2:$AX$212,R$2,FALSE)/1000000</f>
        <v>393.48870299999999</v>
      </c>
      <c r="S6" s="102">
        <f>VLOOKUP($D6,Résultats!$B$2:$AX$212,S$2,FALSE)/1000000</f>
        <v>424.49644419999998</v>
      </c>
      <c r="T6" s="105">
        <f>VLOOKUP($D6,Résultats!$B$2:$AX$212,T$2,FALSE)/1000000</f>
        <v>564.03933710000001</v>
      </c>
      <c r="U6" s="105">
        <f>VLOOKUP($D6,Résultats!$B$2:$AX$212,U$2,FALSE)/1000000</f>
        <v>667.15979609999999</v>
      </c>
      <c r="V6" s="25">
        <f>VLOOKUP($D6,Résultats!$B$2:$AX$212,V$2,FALSE)/1000000</f>
        <v>743.10602520000009</v>
      </c>
      <c r="W6" s="105">
        <f>VLOOKUP($D6,Résultats!$B$2:$AX$212,W$2,FALSE)/1000000</f>
        <v>795.40513120000003</v>
      </c>
      <c r="X6" s="3"/>
      <c r="AC6" s="3"/>
      <c r="AD6" s="230"/>
      <c r="AE6" s="35" t="s">
        <v>28</v>
      </c>
      <c r="AF6" s="13" t="s">
        <v>192</v>
      </c>
      <c r="AG6" s="25">
        <v>41721964.366740197</v>
      </c>
      <c r="AH6" s="25">
        <v>181120567.69999999</v>
      </c>
      <c r="AI6" s="101">
        <v>215.590058</v>
      </c>
      <c r="AJ6" s="25">
        <v>228.76262990000001</v>
      </c>
      <c r="AK6" s="102">
        <v>245.54528809999999</v>
      </c>
      <c r="AL6" s="101">
        <v>266.69365629999999</v>
      </c>
      <c r="AM6" s="25">
        <v>288.86536289999998</v>
      </c>
      <c r="AN6" s="25">
        <v>307.95133449999997</v>
      </c>
      <c r="AO6" s="25">
        <v>327.0308915</v>
      </c>
      <c r="AP6" s="102">
        <v>345.91796049999999</v>
      </c>
      <c r="AQ6" s="101">
        <v>364.40862630000004</v>
      </c>
      <c r="AR6" s="25">
        <v>382.0194525</v>
      </c>
      <c r="AS6" s="25">
        <v>398.17266369999999</v>
      </c>
      <c r="AT6" s="25">
        <v>412.14001530000002</v>
      </c>
      <c r="AU6" s="102">
        <v>424.70792360000002</v>
      </c>
      <c r="AV6" s="105">
        <v>482.66274469999996</v>
      </c>
      <c r="AW6" s="105">
        <v>537.15071260000002</v>
      </c>
      <c r="AX6" s="25">
        <v>585.07997970000008</v>
      </c>
      <c r="AY6" s="105">
        <v>625.4614967</v>
      </c>
      <c r="AZ6" s="3"/>
    </row>
    <row r="7" spans="1:56" x14ac:dyDescent="0.25">
      <c r="A7" s="3"/>
      <c r="B7" s="230"/>
      <c r="C7" s="35" t="s">
        <v>29</v>
      </c>
      <c r="D7" s="13" t="s">
        <v>193</v>
      </c>
      <c r="E7" s="25">
        <f>VLOOKUP($D7,Résultats!$B$2:$AX$212,E$2,FALSE)</f>
        <v>300942006</v>
      </c>
      <c r="F7" s="25">
        <f>VLOOKUP($D7,Résultats!$B$2:$AX$212,F$2,FALSE)</f>
        <v>542965479.89999998</v>
      </c>
      <c r="G7" s="101">
        <f>VLOOKUP($D7,Résultats!$B$2:$AX$212,G$2,FALSE)/1000000</f>
        <v>598.05083999999999</v>
      </c>
      <c r="H7" s="25">
        <f>VLOOKUP($D7,Résultats!$B$2:$AX$212,H$2,FALSE)/1000000</f>
        <v>622.2164411</v>
      </c>
      <c r="I7" s="102">
        <f>VLOOKUP($D7,Résultats!$B$2:$AX$212,I$2,FALSE)/1000000</f>
        <v>647.54311889999997</v>
      </c>
      <c r="J7" s="101">
        <f>VLOOKUP($D7,Résultats!$B$2:$AX$212,J$2,FALSE)/1000000</f>
        <v>674.63655140000003</v>
      </c>
      <c r="K7" s="25">
        <f>VLOOKUP($D7,Résultats!$B$2:$AX$212,K$2,FALSE)/1000000</f>
        <v>700.80188070000008</v>
      </c>
      <c r="L7" s="25">
        <f>VLOOKUP($D7,Résultats!$B$2:$AX$212,L$2,FALSE)/1000000</f>
        <v>726.93679299999997</v>
      </c>
      <c r="M7" s="25">
        <f>VLOOKUP($D7,Résultats!$B$2:$AX$212,M$2,FALSE)/1000000</f>
        <v>751.66315510000004</v>
      </c>
      <c r="N7" s="102">
        <f>VLOOKUP($D7,Résultats!$B$2:$AX$212,N$2,FALSE)/1000000</f>
        <v>776.36238549999996</v>
      </c>
      <c r="O7" s="101">
        <f>VLOOKUP($D7,Résultats!$B$2:$AX$212,O$2,FALSE)/1000000</f>
        <v>799.53706910000005</v>
      </c>
      <c r="P7" s="25">
        <f>VLOOKUP($D7,Résultats!$B$2:$AX$212,P$2,FALSE)/1000000</f>
        <v>819.62907199999995</v>
      </c>
      <c r="Q7" s="25">
        <f>VLOOKUP($D7,Résultats!$B$2:$AX$212,Q$2,FALSE)/1000000</f>
        <v>836.13822329999994</v>
      </c>
      <c r="R7" s="25">
        <f>VLOOKUP($D7,Résultats!$B$2:$AX$212,R$2,FALSE)/1000000</f>
        <v>849.05881570000008</v>
      </c>
      <c r="S7" s="102">
        <f>VLOOKUP($D7,Résultats!$B$2:$AX$212,S$2,FALSE)/1000000</f>
        <v>859.43428660000006</v>
      </c>
      <c r="T7" s="105">
        <f>VLOOKUP($D7,Résultats!$B$2:$AX$212,T$2,FALSE)/1000000</f>
        <v>882.12627850000001</v>
      </c>
      <c r="U7" s="105">
        <f>VLOOKUP($D7,Résultats!$B$2:$AX$212,U$2,FALSE)/1000000</f>
        <v>861.1188095</v>
      </c>
      <c r="V7" s="25">
        <f>VLOOKUP($D7,Résultats!$B$2:$AX$212,V$2,FALSE)/1000000</f>
        <v>817.40151279999998</v>
      </c>
      <c r="W7" s="105">
        <f>VLOOKUP($D7,Résultats!$B$2:$AX$212,W$2,FALSE)/1000000</f>
        <v>764.70396670000002</v>
      </c>
      <c r="X7" s="3"/>
      <c r="AC7" s="3"/>
      <c r="AD7" s="230"/>
      <c r="AE7" s="35" t="s">
        <v>29</v>
      </c>
      <c r="AF7" s="13" t="s">
        <v>193</v>
      </c>
      <c r="AG7" s="25">
        <v>296186633.79021603</v>
      </c>
      <c r="AH7" s="25">
        <v>569035477.39999998</v>
      </c>
      <c r="AI7" s="101">
        <v>632.75076910000007</v>
      </c>
      <c r="AJ7" s="25">
        <v>645.57478270000001</v>
      </c>
      <c r="AK7" s="102">
        <v>657.42506470000001</v>
      </c>
      <c r="AL7" s="101">
        <v>667.32190209999999</v>
      </c>
      <c r="AM7" s="25">
        <v>679.26979920000008</v>
      </c>
      <c r="AN7" s="25">
        <v>692.50705210000001</v>
      </c>
      <c r="AO7" s="25">
        <v>704.80679639999994</v>
      </c>
      <c r="AP7" s="102">
        <v>715.45919620000006</v>
      </c>
      <c r="AQ7" s="101">
        <v>724.50526070000001</v>
      </c>
      <c r="AR7" s="25">
        <v>732.1551892</v>
      </c>
      <c r="AS7" s="25">
        <v>738.47130540000001</v>
      </c>
      <c r="AT7" s="25">
        <v>743.1869147000001</v>
      </c>
      <c r="AU7" s="102">
        <v>744.57653449999998</v>
      </c>
      <c r="AV7" s="105">
        <v>744.73285629999998</v>
      </c>
      <c r="AW7" s="105">
        <v>744.52864450000004</v>
      </c>
      <c r="AX7" s="25">
        <v>744.18700850000005</v>
      </c>
      <c r="AY7" s="105">
        <v>743.80258720000006</v>
      </c>
      <c r="AZ7" s="3"/>
    </row>
    <row r="8" spans="1:56" x14ac:dyDescent="0.25">
      <c r="A8" s="3"/>
      <c r="B8" s="230"/>
      <c r="C8" s="35" t="s">
        <v>30</v>
      </c>
      <c r="D8" s="13" t="s">
        <v>194</v>
      </c>
      <c r="E8" s="25">
        <f>VLOOKUP($D8,Résultats!$B$2:$AX$212,E$2,FALSE)</f>
        <v>661409532</v>
      </c>
      <c r="F8" s="25">
        <f>VLOOKUP($D8,Résultats!$B$2:$AX$212,F$2,FALSE)</f>
        <v>818139898</v>
      </c>
      <c r="G8" s="101">
        <f>VLOOKUP($D8,Résultats!$B$2:$AX$212,G$2,FALSE)/1000000</f>
        <v>854.82771160000004</v>
      </c>
      <c r="H8" s="25">
        <f>VLOOKUP($D8,Résultats!$B$2:$AX$212,H$2,FALSE)/1000000</f>
        <v>864.86058849999995</v>
      </c>
      <c r="I8" s="102">
        <f>VLOOKUP($D8,Résultats!$B$2:$AX$212,I$2,FALSE)/1000000</f>
        <v>874.39946850000001</v>
      </c>
      <c r="J8" s="101">
        <f>VLOOKUP($D8,Résultats!$B$2:$AX$212,J$2,FALSE)/1000000</f>
        <v>881.92448569999999</v>
      </c>
      <c r="K8" s="25">
        <f>VLOOKUP($D8,Résultats!$B$2:$AX$212,K$2,FALSE)/1000000</f>
        <v>888.83134740000003</v>
      </c>
      <c r="L8" s="25">
        <f>VLOOKUP($D8,Résultats!$B$2:$AX$212,L$2,FALSE)/1000000</f>
        <v>895.86766950000003</v>
      </c>
      <c r="M8" s="25">
        <f>VLOOKUP($D8,Résultats!$B$2:$AX$212,M$2,FALSE)/1000000</f>
        <v>900.70183370000007</v>
      </c>
      <c r="N8" s="102">
        <f>VLOOKUP($D8,Résultats!$B$2:$AX$212,N$2,FALSE)/1000000</f>
        <v>900.27240689999996</v>
      </c>
      <c r="O8" s="101">
        <f>VLOOKUP($D8,Résultats!$B$2:$AX$212,O$2,FALSE)/1000000</f>
        <v>894.82572140000002</v>
      </c>
      <c r="P8" s="25">
        <f>VLOOKUP($D8,Résultats!$B$2:$AX$212,P$2,FALSE)/1000000</f>
        <v>885.12702939999997</v>
      </c>
      <c r="Q8" s="25">
        <f>VLOOKUP($D8,Résultats!$B$2:$AX$212,Q$2,FALSE)/1000000</f>
        <v>872.62518599999999</v>
      </c>
      <c r="R8" s="25">
        <f>VLOOKUP($D8,Résultats!$B$2:$AX$212,R$2,FALSE)/1000000</f>
        <v>858.60265010000001</v>
      </c>
      <c r="S8" s="102">
        <f>VLOOKUP($D8,Résultats!$B$2:$AX$212,S$2,FALSE)/1000000</f>
        <v>843.59504100000004</v>
      </c>
      <c r="T8" s="105">
        <f>VLOOKUP($D8,Résultats!$B$2:$AX$212,T$2,FALSE)/1000000</f>
        <v>763.17748760000006</v>
      </c>
      <c r="U8" s="105">
        <f>VLOOKUP($D8,Résultats!$B$2:$AX$212,U$2,FALSE)/1000000</f>
        <v>680.41828079999993</v>
      </c>
      <c r="V8" s="25">
        <f>VLOOKUP($D8,Résultats!$B$2:$AX$212,V$2,FALSE)/1000000</f>
        <v>598.12920579999991</v>
      </c>
      <c r="W8" s="105">
        <f>VLOOKUP($D8,Résultats!$B$2:$AX$212,W$2,FALSE)/1000000</f>
        <v>521.88102489999994</v>
      </c>
      <c r="X8" s="3"/>
      <c r="AC8" s="3"/>
      <c r="AD8" s="230"/>
      <c r="AE8" s="35" t="s">
        <v>30</v>
      </c>
      <c r="AF8" s="13" t="s">
        <v>194</v>
      </c>
      <c r="AG8" s="25">
        <v>650958187.73748195</v>
      </c>
      <c r="AH8" s="25">
        <v>633667547</v>
      </c>
      <c r="AI8" s="101">
        <v>628.52988640000001</v>
      </c>
      <c r="AJ8" s="25">
        <v>627.05710270000009</v>
      </c>
      <c r="AK8" s="102">
        <v>626.0079624</v>
      </c>
      <c r="AL8" s="101">
        <v>625.30736860000002</v>
      </c>
      <c r="AM8" s="25">
        <v>624.74556860000007</v>
      </c>
      <c r="AN8" s="25">
        <v>623.84060450000004</v>
      </c>
      <c r="AO8" s="25">
        <v>622.26125309999998</v>
      </c>
      <c r="AP8" s="102">
        <v>619.89497360000007</v>
      </c>
      <c r="AQ8" s="101">
        <v>616.94481870000004</v>
      </c>
      <c r="AR8" s="25">
        <v>613.84423860000004</v>
      </c>
      <c r="AS8" s="25">
        <v>611.24747579999996</v>
      </c>
      <c r="AT8" s="25">
        <v>609.73983529999998</v>
      </c>
      <c r="AU8" s="102">
        <v>609.83384439999998</v>
      </c>
      <c r="AV8" s="105">
        <v>612.04639099999997</v>
      </c>
      <c r="AW8" s="105">
        <v>613.18375549999996</v>
      </c>
      <c r="AX8" s="25">
        <v>613.83096479999995</v>
      </c>
      <c r="AY8" s="105">
        <v>614.26554610000005</v>
      </c>
      <c r="AZ8" s="3"/>
    </row>
    <row r="9" spans="1:56" x14ac:dyDescent="0.25">
      <c r="A9" s="3"/>
      <c r="B9" s="230"/>
      <c r="C9" s="35" t="s">
        <v>31</v>
      </c>
      <c r="D9" s="13" t="s">
        <v>195</v>
      </c>
      <c r="E9" s="25">
        <f>VLOOKUP($D9,Résultats!$B$2:$AX$212,E$2,FALSE)</f>
        <v>786713699</v>
      </c>
      <c r="F9" s="25">
        <f>VLOOKUP($D9,Résultats!$B$2:$AX$212,F$2,FALSE)</f>
        <v>638329540.5</v>
      </c>
      <c r="G9" s="101">
        <f>VLOOKUP($D9,Résultats!$B$2:$AX$212,G$2,FALSE)/1000000</f>
        <v>619.11967240000001</v>
      </c>
      <c r="H9" s="25">
        <f>VLOOKUP($D9,Résultats!$B$2:$AX$212,H$2,FALSE)/1000000</f>
        <v>605.55501379999998</v>
      </c>
      <c r="I9" s="102">
        <f>VLOOKUP($D9,Résultats!$B$2:$AX$212,I$2,FALSE)/1000000</f>
        <v>590.1115863</v>
      </c>
      <c r="J9" s="101">
        <f>VLOOKUP($D9,Résultats!$B$2:$AX$212,J$2,FALSE)/1000000</f>
        <v>572.0169373</v>
      </c>
      <c r="K9" s="25">
        <f>VLOOKUP($D9,Résultats!$B$2:$AX$212,K$2,FALSE)/1000000</f>
        <v>554.1288492000001</v>
      </c>
      <c r="L9" s="25">
        <f>VLOOKUP($D9,Résultats!$B$2:$AX$212,L$2,FALSE)/1000000</f>
        <v>536.66075380000007</v>
      </c>
      <c r="M9" s="25">
        <f>VLOOKUP($D9,Résultats!$B$2:$AX$212,M$2,FALSE)/1000000</f>
        <v>519.5280755</v>
      </c>
      <c r="N9" s="102">
        <f>VLOOKUP($D9,Résultats!$B$2:$AX$212,N$2,FALSE)/1000000</f>
        <v>500.2719725</v>
      </c>
      <c r="O9" s="101">
        <f>VLOOKUP($D9,Résultats!$B$2:$AX$212,O$2,FALSE)/1000000</f>
        <v>479.96361180000002</v>
      </c>
      <c r="P9" s="25">
        <f>VLOOKUP($D9,Résultats!$B$2:$AX$212,P$2,FALSE)/1000000</f>
        <v>460.24664610000002</v>
      </c>
      <c r="Q9" s="25">
        <f>VLOOKUP($D9,Résultats!$B$2:$AX$212,Q$2,FALSE)/1000000</f>
        <v>441.91325510000001</v>
      </c>
      <c r="R9" s="25">
        <f>VLOOKUP($D9,Résultats!$B$2:$AX$212,R$2,FALSE)/1000000</f>
        <v>425.20579710000004</v>
      </c>
      <c r="S9" s="102">
        <f>VLOOKUP($D9,Résultats!$B$2:$AX$212,S$2,FALSE)/1000000</f>
        <v>409.25773670000001</v>
      </c>
      <c r="T9" s="105">
        <f>VLOOKUP($D9,Résultats!$B$2:$AX$212,T$2,FALSE)/1000000</f>
        <v>341.88745010000002</v>
      </c>
      <c r="U9" s="105">
        <f>VLOOKUP($D9,Résultats!$B$2:$AX$212,U$2,FALSE)/1000000</f>
        <v>298.6013428</v>
      </c>
      <c r="V9" s="25">
        <f>VLOOKUP($D9,Résultats!$B$2:$AX$212,V$2,FALSE)/1000000</f>
        <v>264.66732339999999</v>
      </c>
      <c r="W9" s="105">
        <f>VLOOKUP($D9,Résultats!$B$2:$AX$212,W$2,FALSE)/1000000</f>
        <v>235.53264680000001</v>
      </c>
      <c r="X9" s="3"/>
      <c r="AC9" s="3"/>
      <c r="AD9" s="230"/>
      <c r="AE9" s="35" t="s">
        <v>31</v>
      </c>
      <c r="AF9" s="13" t="s">
        <v>195</v>
      </c>
      <c r="AG9" s="25">
        <v>774282345.494367</v>
      </c>
      <c r="AH9" s="25">
        <v>688439089.5</v>
      </c>
      <c r="AI9" s="101">
        <v>670.45152770000004</v>
      </c>
      <c r="AJ9" s="25">
        <v>665.95475250000004</v>
      </c>
      <c r="AK9" s="102">
        <v>659.88800020000008</v>
      </c>
      <c r="AL9" s="101">
        <v>652.34777539999993</v>
      </c>
      <c r="AM9" s="25">
        <v>643.27403679999998</v>
      </c>
      <c r="AN9" s="25">
        <v>632.84907470000007</v>
      </c>
      <c r="AO9" s="25">
        <v>622.61724920000006</v>
      </c>
      <c r="AP9" s="102">
        <v>613.00283739999998</v>
      </c>
      <c r="AQ9" s="101">
        <v>604.12207049999995</v>
      </c>
      <c r="AR9" s="25">
        <v>596.24764210000001</v>
      </c>
      <c r="AS9" s="25">
        <v>590.12780510000005</v>
      </c>
      <c r="AT9" s="25">
        <v>586.09317070000009</v>
      </c>
      <c r="AU9" s="102">
        <v>584.34791289999998</v>
      </c>
      <c r="AV9" s="105">
        <v>581.87145939999994</v>
      </c>
      <c r="AW9" s="105">
        <v>578.55799479999996</v>
      </c>
      <c r="AX9" s="25">
        <v>574.87388099999998</v>
      </c>
      <c r="AY9" s="105">
        <v>571.04697310000006</v>
      </c>
      <c r="AZ9" s="3"/>
    </row>
    <row r="10" spans="1:56" x14ac:dyDescent="0.25">
      <c r="A10" s="3"/>
      <c r="B10" s="230"/>
      <c r="C10" s="35" t="s">
        <v>32</v>
      </c>
      <c r="D10" s="13" t="s">
        <v>196</v>
      </c>
      <c r="E10" s="25">
        <f>VLOOKUP($D10,Résultats!$B$2:$AX$212,E$2,FALSE)</f>
        <v>412154138</v>
      </c>
      <c r="F10" s="25">
        <f>VLOOKUP($D10,Résultats!$B$2:$AX$212,F$2,FALSE)</f>
        <v>316704904.30000001</v>
      </c>
      <c r="G10" s="101">
        <f>VLOOKUP($D10,Résultats!$B$2:$AX$212,G$2,FALSE)/1000000</f>
        <v>304.38085989999996</v>
      </c>
      <c r="H10" s="25">
        <f>VLOOKUP($D10,Résultats!$B$2:$AX$212,H$2,FALSE)/1000000</f>
        <v>296.99827729999998</v>
      </c>
      <c r="I10" s="102">
        <f>VLOOKUP($D10,Résultats!$B$2:$AX$212,I$2,FALSE)/1000000</f>
        <v>288.78308489999995</v>
      </c>
      <c r="J10" s="101">
        <f>VLOOKUP($D10,Résultats!$B$2:$AX$212,J$2,FALSE)/1000000</f>
        <v>279.42168349999997</v>
      </c>
      <c r="K10" s="25">
        <f>VLOOKUP($D10,Résultats!$B$2:$AX$212,K$2,FALSE)/1000000</f>
        <v>270.17095519999998</v>
      </c>
      <c r="L10" s="25">
        <f>VLOOKUP($D10,Résultats!$B$2:$AX$212,L$2,FALSE)/1000000</f>
        <v>261.15446200000002</v>
      </c>
      <c r="M10" s="25">
        <f>VLOOKUP($D10,Résultats!$B$2:$AX$212,M$2,FALSE)/1000000</f>
        <v>252.3464726</v>
      </c>
      <c r="N10" s="102">
        <f>VLOOKUP($D10,Résultats!$B$2:$AX$212,N$2,FALSE)/1000000</f>
        <v>242.68659019999998</v>
      </c>
      <c r="O10" s="101">
        <f>VLOOKUP($D10,Résultats!$B$2:$AX$212,O$2,FALSE)/1000000</f>
        <v>232.66189610000001</v>
      </c>
      <c r="P10" s="25">
        <f>VLOOKUP($D10,Résultats!$B$2:$AX$212,P$2,FALSE)/1000000</f>
        <v>223.04121019999999</v>
      </c>
      <c r="Q10" s="25">
        <f>VLOOKUP($D10,Résultats!$B$2:$AX$212,Q$2,FALSE)/1000000</f>
        <v>214.12715299999999</v>
      </c>
      <c r="R10" s="25">
        <f>VLOOKUP($D10,Résultats!$B$2:$AX$212,R$2,FALSE)/1000000</f>
        <v>205.9669275</v>
      </c>
      <c r="S10" s="102">
        <f>VLOOKUP($D10,Résultats!$B$2:$AX$212,S$2,FALSE)/1000000</f>
        <v>198.10316369999998</v>
      </c>
      <c r="T10" s="105">
        <f>VLOOKUP($D10,Résultats!$B$2:$AX$212,T$2,FALSE)/1000000</f>
        <v>164.0466347</v>
      </c>
      <c r="U10" s="105">
        <f>VLOOKUP($D10,Résultats!$B$2:$AX$212,U$2,FALSE)/1000000</f>
        <v>141.2537552</v>
      </c>
      <c r="V10" s="25">
        <f>VLOOKUP($D10,Résultats!$B$2:$AX$212,V$2,FALSE)/1000000</f>
        <v>123.1305088</v>
      </c>
      <c r="W10" s="105">
        <f>VLOOKUP($D10,Résultats!$B$2:$AX$212,W$2,FALSE)/1000000</f>
        <v>107.32778329999999</v>
      </c>
      <c r="X10" s="3"/>
      <c r="Y10">
        <f>(K10+K11-S10-S11)*10</f>
        <v>1194.0991549999999</v>
      </c>
      <c r="AC10" s="3"/>
      <c r="AD10" s="230"/>
      <c r="AE10" s="35" t="s">
        <v>32</v>
      </c>
      <c r="AF10" s="13" t="s">
        <v>196</v>
      </c>
      <c r="AG10" s="25">
        <v>405641433.57550502</v>
      </c>
      <c r="AH10" s="25">
        <v>358699989.39999998</v>
      </c>
      <c r="AI10" s="101">
        <v>349.78984839999998</v>
      </c>
      <c r="AJ10" s="25">
        <v>347.84470189999996</v>
      </c>
      <c r="AK10" s="102">
        <v>344.37584369999996</v>
      </c>
      <c r="AL10" s="101">
        <v>339.4637755</v>
      </c>
      <c r="AM10" s="25">
        <v>333.12609300000003</v>
      </c>
      <c r="AN10" s="25">
        <v>325.73093399999999</v>
      </c>
      <c r="AO10" s="25">
        <v>318.93370930000003</v>
      </c>
      <c r="AP10" s="102">
        <v>313.19780250000002</v>
      </c>
      <c r="AQ10" s="101">
        <v>308.52180600000003</v>
      </c>
      <c r="AR10" s="25">
        <v>304.94413470000001</v>
      </c>
      <c r="AS10" s="25">
        <v>302.85805119999998</v>
      </c>
      <c r="AT10" s="25">
        <v>302.32541989999999</v>
      </c>
      <c r="AU10" s="102">
        <v>302.79875079999999</v>
      </c>
      <c r="AV10" s="105">
        <v>303.19194399999998</v>
      </c>
      <c r="AW10" s="105">
        <v>301.2874711</v>
      </c>
      <c r="AX10" s="25">
        <v>298.19526869999999</v>
      </c>
      <c r="AY10" s="105">
        <v>294.5149955</v>
      </c>
      <c r="AZ10" s="3"/>
    </row>
    <row r="11" spans="1:56" x14ac:dyDescent="0.25">
      <c r="A11" s="3"/>
      <c r="B11" s="230"/>
      <c r="C11" s="56" t="s">
        <v>33</v>
      </c>
      <c r="D11" s="26" t="s">
        <v>197</v>
      </c>
      <c r="E11" s="17">
        <f>VLOOKUP($D11,Résultats!$B$2:$AX$212,E$2,FALSE)</f>
        <v>188893454</v>
      </c>
      <c r="F11" s="17">
        <f>VLOOKUP($D11,Résultats!$B$2:$AX$212,F$2,FALSE)</f>
        <v>193110902.69999999</v>
      </c>
      <c r="G11" s="88">
        <f>VLOOKUP($D11,Résultats!$B$2:$AX$212,G$2,FALSE)/1000000</f>
        <v>197.1063379</v>
      </c>
      <c r="H11" s="17">
        <f>VLOOKUP($D11,Résultats!$B$2:$AX$212,H$2,FALSE)/1000000</f>
        <v>195.17042980000002</v>
      </c>
      <c r="I11" s="89">
        <f>VLOOKUP($D11,Résultats!$B$2:$AX$212,I$2,FALSE)/1000000</f>
        <v>192.06105149999999</v>
      </c>
      <c r="J11" s="88">
        <f>VLOOKUP($D11,Résultats!$B$2:$AX$212,J$2,FALSE)/1000000</f>
        <v>187.52712869999999</v>
      </c>
      <c r="K11" s="17">
        <f>VLOOKUP($D11,Résultats!$B$2:$AX$212,K$2,FALSE)/1000000</f>
        <v>182.69421700000001</v>
      </c>
      <c r="L11" s="17">
        <f>VLOOKUP($D11,Résultats!$B$2:$AX$212,L$2,FALSE)/1000000</f>
        <v>177.686812</v>
      </c>
      <c r="M11" s="17">
        <f>VLOOKUP($D11,Résultats!$B$2:$AX$212,M$2,FALSE)/1000000</f>
        <v>172.57866709999999</v>
      </c>
      <c r="N11" s="89">
        <f>VLOOKUP($D11,Résultats!$B$2:$AX$212,N$2,FALSE)/1000000</f>
        <v>166.4615526</v>
      </c>
      <c r="O11" s="88">
        <f>VLOOKUP($D11,Résultats!$B$2:$AX$212,O$2,FALSE)/1000000</f>
        <v>159.77458190000002</v>
      </c>
      <c r="P11" s="17">
        <f>VLOOKUP($D11,Résultats!$B$2:$AX$212,P$2,FALSE)/1000000</f>
        <v>153.15505250000001</v>
      </c>
      <c r="Q11" s="17">
        <f>VLOOKUP($D11,Résultats!$B$2:$AX$212,Q$2,FALSE)/1000000</f>
        <v>146.90813990000001</v>
      </c>
      <c r="R11" s="17">
        <f>VLOOKUP($D11,Résultats!$B$2:$AX$212,R$2,FALSE)/1000000</f>
        <v>141.10755950000001</v>
      </c>
      <c r="S11" s="89">
        <f>VLOOKUP($D11,Résultats!$B$2:$AX$212,S$2,FALSE)/1000000</f>
        <v>135.352093</v>
      </c>
      <c r="T11" s="97">
        <f>VLOOKUP($D11,Résultats!$B$2:$AX$212,T$2,FALSE)/1000000</f>
        <v>109.5415655</v>
      </c>
      <c r="U11" s="97">
        <f>VLOOKUP($D11,Résultats!$B$2:$AX$212,U$2,FALSE)/1000000</f>
        <v>92.208896260000003</v>
      </c>
      <c r="V11" s="17">
        <f>VLOOKUP($D11,Résultats!$B$2:$AX$212,V$2,FALSE)/1000000</f>
        <v>78.488220269999999</v>
      </c>
      <c r="W11" s="97">
        <f>VLOOKUP($D11,Résultats!$B$2:$AX$212,W$2,FALSE)/1000000</f>
        <v>67.248186879999992</v>
      </c>
      <c r="X11" s="3"/>
      <c r="AC11" s="3"/>
      <c r="AD11" s="230"/>
      <c r="AE11" s="56" t="s">
        <v>33</v>
      </c>
      <c r="AF11" s="26" t="s">
        <v>197</v>
      </c>
      <c r="AG11" s="17">
        <v>185908630.79867601</v>
      </c>
      <c r="AH11" s="17">
        <v>122848574.7</v>
      </c>
      <c r="AI11" s="88">
        <v>108.23245179999999</v>
      </c>
      <c r="AJ11" s="17">
        <v>104.1687845</v>
      </c>
      <c r="AK11" s="89">
        <v>99.74691254999999</v>
      </c>
      <c r="AL11" s="88">
        <v>95.046236530000002</v>
      </c>
      <c r="AM11" s="17">
        <v>90.107720040000004</v>
      </c>
      <c r="AN11" s="17">
        <v>85.015733400000002</v>
      </c>
      <c r="AO11" s="17">
        <v>80.102011930000003</v>
      </c>
      <c r="AP11" s="89">
        <v>75.443511400000006</v>
      </c>
      <c r="AQ11" s="88">
        <v>71.054838119999999</v>
      </c>
      <c r="AR11" s="17">
        <v>66.977444469999995</v>
      </c>
      <c r="AS11" s="17">
        <v>63.336991279999999</v>
      </c>
      <c r="AT11" s="17">
        <v>60.147778989999999</v>
      </c>
      <c r="AU11" s="89">
        <v>57.366378259999998</v>
      </c>
      <c r="AV11" s="97">
        <v>48.003292939999994</v>
      </c>
      <c r="AW11" s="97">
        <v>43.625386599999999</v>
      </c>
      <c r="AX11" s="17">
        <v>41.698375349999999</v>
      </c>
      <c r="AY11" s="97">
        <v>40.95083563</v>
      </c>
      <c r="AZ11" s="3"/>
    </row>
    <row r="12" spans="1:5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</row>
    <row r="13" spans="1:5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</row>
    <row r="14" spans="1:56" x14ac:dyDescent="0.25">
      <c r="A14" s="3"/>
      <c r="B14" s="3"/>
      <c r="C14" s="42"/>
      <c r="D14" s="11"/>
      <c r="E14" s="237">
        <v>2006</v>
      </c>
      <c r="F14" s="24">
        <v>2015</v>
      </c>
      <c r="G14" s="20">
        <v>2018</v>
      </c>
      <c r="H14" s="4">
        <v>2019</v>
      </c>
      <c r="I14" s="190">
        <v>2020</v>
      </c>
      <c r="J14" s="91">
        <v>2021</v>
      </c>
      <c r="K14" s="27">
        <v>2022</v>
      </c>
      <c r="L14" s="4">
        <v>2023</v>
      </c>
      <c r="M14" s="27">
        <v>2024</v>
      </c>
      <c r="N14" s="83">
        <v>2025</v>
      </c>
      <c r="O14" s="91">
        <v>2026</v>
      </c>
      <c r="P14" s="4">
        <v>2027</v>
      </c>
      <c r="Q14" s="27">
        <v>2028</v>
      </c>
      <c r="R14" s="27">
        <v>2029</v>
      </c>
      <c r="S14" s="83">
        <v>2030</v>
      </c>
      <c r="T14" s="4">
        <v>2035</v>
      </c>
      <c r="U14" s="93">
        <v>2040</v>
      </c>
      <c r="V14" s="4">
        <v>2045</v>
      </c>
      <c r="W14" s="93">
        <v>2050</v>
      </c>
      <c r="X14" s="3"/>
      <c r="AC14" s="3"/>
      <c r="AD14" s="3"/>
      <c r="AE14" s="42"/>
      <c r="AF14" s="11"/>
      <c r="AG14" s="237">
        <v>2006</v>
      </c>
      <c r="AH14" s="24">
        <v>2015</v>
      </c>
      <c r="AI14" s="20">
        <v>2018</v>
      </c>
      <c r="AJ14" s="4">
        <v>2019</v>
      </c>
      <c r="AK14" s="190">
        <v>2020</v>
      </c>
      <c r="AL14" s="91">
        <v>2021</v>
      </c>
      <c r="AM14" s="27">
        <v>2022</v>
      </c>
      <c r="AN14" s="4">
        <v>2023</v>
      </c>
      <c r="AO14" s="27">
        <v>2024</v>
      </c>
      <c r="AP14" s="83">
        <v>2025</v>
      </c>
      <c r="AQ14" s="91">
        <v>2026</v>
      </c>
      <c r="AR14" s="4">
        <v>2027</v>
      </c>
      <c r="AS14" s="27">
        <v>2028</v>
      </c>
      <c r="AT14" s="27">
        <v>2029</v>
      </c>
      <c r="AU14" s="83">
        <v>2030</v>
      </c>
      <c r="AV14" s="4">
        <v>2035</v>
      </c>
      <c r="AW14" s="93">
        <v>2040</v>
      </c>
      <c r="AX14" s="4">
        <v>2045</v>
      </c>
      <c r="AY14" s="93">
        <v>2050</v>
      </c>
      <c r="AZ14" s="3"/>
    </row>
    <row r="15" spans="1:56" ht="15.75" thickBot="1" x14ac:dyDescent="0.3">
      <c r="A15" s="3"/>
      <c r="B15" s="229" t="s">
        <v>101</v>
      </c>
      <c r="C15" s="5" t="s">
        <v>44</v>
      </c>
      <c r="D15" s="12" t="s">
        <v>190</v>
      </c>
      <c r="E15" s="18">
        <f>E4/100</f>
        <v>23931657.800000001</v>
      </c>
      <c r="F15" s="18">
        <f>F4/100</f>
        <v>26236690</v>
      </c>
      <c r="G15" s="106">
        <f>G4*1000/100</f>
        <v>27156.825130000001</v>
      </c>
      <c r="H15" s="18">
        <f t="shared" ref="H15:W15" si="1">H4*1000/100</f>
        <v>27454.671249999999</v>
      </c>
      <c r="I15" s="233">
        <f t="shared" si="1"/>
        <v>27751.517399999997</v>
      </c>
      <c r="J15" s="106">
        <f t="shared" si="1"/>
        <v>28042.295709999999</v>
      </c>
      <c r="K15" s="18">
        <f t="shared" si="1"/>
        <v>28330.575769999999</v>
      </c>
      <c r="L15" s="18">
        <f t="shared" si="1"/>
        <v>28637.831890000001</v>
      </c>
      <c r="M15" s="18">
        <f t="shared" si="1"/>
        <v>28932.943920000002</v>
      </c>
      <c r="N15" s="107">
        <f t="shared" si="1"/>
        <v>29206.834960000004</v>
      </c>
      <c r="O15" s="106">
        <f t="shared" si="1"/>
        <v>29460.163050000003</v>
      </c>
      <c r="P15" s="18">
        <f t="shared" si="1"/>
        <v>29691.923109999996</v>
      </c>
      <c r="Q15" s="18">
        <f t="shared" si="1"/>
        <v>29903.332730000002</v>
      </c>
      <c r="R15" s="18">
        <f t="shared" si="1"/>
        <v>30092.612450000001</v>
      </c>
      <c r="S15" s="107">
        <f t="shared" si="1"/>
        <v>30258.887220000001</v>
      </c>
      <c r="T15" s="18">
        <f t="shared" si="1"/>
        <v>30969.837220000001</v>
      </c>
      <c r="U15" s="114">
        <f t="shared" si="1"/>
        <v>31452.756850000002</v>
      </c>
      <c r="V15" s="18">
        <f t="shared" si="1"/>
        <v>31793.241320000001</v>
      </c>
      <c r="W15" s="114">
        <f t="shared" si="1"/>
        <v>32070.357229999998</v>
      </c>
      <c r="X15" s="3"/>
      <c r="Y15" s="33" t="s">
        <v>102</v>
      </c>
      <c r="AC15" s="3"/>
      <c r="AD15" s="229" t="s">
        <v>101</v>
      </c>
      <c r="AE15" s="5" t="s">
        <v>44</v>
      </c>
      <c r="AF15" s="12" t="s">
        <v>190</v>
      </c>
      <c r="AG15" s="18">
        <v>23553498.758831903</v>
      </c>
      <c r="AH15" s="18">
        <v>25969983.98</v>
      </c>
      <c r="AI15" s="106">
        <v>26557.572249999997</v>
      </c>
      <c r="AJ15" s="18">
        <v>26719.482079999998</v>
      </c>
      <c r="AK15" s="233">
        <v>26882.378990000001</v>
      </c>
      <c r="AL15" s="106">
        <v>27046.269019999996</v>
      </c>
      <c r="AM15" s="18">
        <v>27212.510620000001</v>
      </c>
      <c r="AN15" s="18">
        <v>27333.149649999999</v>
      </c>
      <c r="AO15" s="18">
        <v>27452.011419999999</v>
      </c>
      <c r="AP15" s="107">
        <v>27569.50288</v>
      </c>
      <c r="AQ15" s="106">
        <v>27685.617249999999</v>
      </c>
      <c r="AR15" s="18">
        <v>27799.930970000001</v>
      </c>
      <c r="AS15" s="18">
        <v>27915.774529999999</v>
      </c>
      <c r="AT15" s="18">
        <v>28028.555909999999</v>
      </c>
      <c r="AU15" s="107">
        <v>28143.284440000003</v>
      </c>
      <c r="AV15" s="18">
        <v>28696.22798</v>
      </c>
      <c r="AW15" s="114">
        <v>29214.190490000001</v>
      </c>
      <c r="AX15" s="18">
        <v>29661.644070000002</v>
      </c>
      <c r="AY15" s="114">
        <v>30027.028059999997</v>
      </c>
      <c r="AZ15" s="3"/>
      <c r="BA15" s="33" t="s">
        <v>102</v>
      </c>
    </row>
    <row r="16" spans="1:56" x14ac:dyDescent="0.25">
      <c r="A16" s="3"/>
      <c r="B16" s="230"/>
      <c r="C16" s="35" t="s">
        <v>27</v>
      </c>
      <c r="D16" s="13" t="s">
        <v>191</v>
      </c>
      <c r="E16" s="74">
        <f>E5/E$4</f>
        <v>2.7625624832392512E-4</v>
      </c>
      <c r="F16" s="74">
        <f>F5/F$4</f>
        <v>5.5094642769343239E-3</v>
      </c>
      <c r="G16" s="108">
        <f>G5/G$4</f>
        <v>7.6196684704284501E-3</v>
      </c>
      <c r="H16" s="74">
        <f t="shared" ref="H16:W16" si="2">H5/H$4</f>
        <v>9.01912660855482E-3</v>
      </c>
      <c r="I16" s="109">
        <f t="shared" si="2"/>
        <v>1.0738367412659031E-2</v>
      </c>
      <c r="J16" s="108">
        <f t="shared" si="2"/>
        <v>1.2843222403206017E-2</v>
      </c>
      <c r="K16" s="74">
        <f t="shared" si="2"/>
        <v>1.518660267948377E-2</v>
      </c>
      <c r="L16" s="74">
        <f t="shared" si="2"/>
        <v>1.7665397794190345E-2</v>
      </c>
      <c r="M16" s="74">
        <f t="shared" si="2"/>
        <v>2.0396389065409699E-2</v>
      </c>
      <c r="N16" s="109">
        <f t="shared" si="2"/>
        <v>2.3920691966686142E-2</v>
      </c>
      <c r="O16" s="108">
        <f t="shared" si="2"/>
        <v>2.8369653320706924E-2</v>
      </c>
      <c r="P16" s="74">
        <f t="shared" si="2"/>
        <v>3.3511651933548339E-2</v>
      </c>
      <c r="Q16" s="74">
        <f t="shared" si="2"/>
        <v>3.9156467259761518E-2</v>
      </c>
      <c r="R16" s="74">
        <f t="shared" si="2"/>
        <v>4.5137587381516957E-2</v>
      </c>
      <c r="S16" s="109">
        <f t="shared" si="2"/>
        <v>5.1439418531267454E-2</v>
      </c>
      <c r="T16" s="74">
        <f t="shared" si="2"/>
        <v>8.7880658515130536E-2</v>
      </c>
      <c r="U16" s="115">
        <f t="shared" si="2"/>
        <v>0.12861028561952592</v>
      </c>
      <c r="V16" s="74">
        <f t="shared" si="2"/>
        <v>0.17437710418385236</v>
      </c>
      <c r="W16" s="115">
        <f t="shared" si="2"/>
        <v>0.22312569092015694</v>
      </c>
      <c r="X16" s="3"/>
      <c r="Y16" s="133"/>
      <c r="Z16" s="134">
        <v>2020</v>
      </c>
      <c r="AA16" s="134">
        <v>2030</v>
      </c>
      <c r="AB16" s="135">
        <v>2050</v>
      </c>
      <c r="AC16" s="3"/>
      <c r="AD16" s="230"/>
      <c r="AE16" s="35" t="s">
        <v>27</v>
      </c>
      <c r="AF16" s="13" t="s">
        <v>191</v>
      </c>
      <c r="AG16" s="74">
        <v>2.7625624832392523E-4</v>
      </c>
      <c r="AH16" s="74">
        <v>1.6629641428835412E-2</v>
      </c>
      <c r="AI16" s="108">
        <v>1.898241431311554E-2</v>
      </c>
      <c r="AJ16" s="74">
        <v>1.9680566124955369E-2</v>
      </c>
      <c r="AK16" s="109">
        <v>2.055206032566986E-2</v>
      </c>
      <c r="AL16" s="108">
        <v>2.160970410624127E-2</v>
      </c>
      <c r="AM16" s="74">
        <v>2.2733103267779265E-2</v>
      </c>
      <c r="AN16" s="74">
        <v>2.393439203227719E-2</v>
      </c>
      <c r="AO16" s="74">
        <v>2.529841231575591E-2</v>
      </c>
      <c r="AP16" s="109">
        <v>2.6853587579088043E-2</v>
      </c>
      <c r="AQ16" s="108">
        <v>2.8536226646707685E-2</v>
      </c>
      <c r="AR16" s="74">
        <v>3.0145756689265623E-2</v>
      </c>
      <c r="AS16" s="74">
        <v>3.1295266461661024E-2</v>
      </c>
      <c r="AT16" s="74">
        <v>3.1832698318990882E-2</v>
      </c>
      <c r="AU16" s="109">
        <v>3.2226906380938385E-2</v>
      </c>
      <c r="AV16" s="74">
        <v>3.3842116701778453E-2</v>
      </c>
      <c r="AW16" s="115">
        <v>3.528596270202522E-2</v>
      </c>
      <c r="AX16" s="74">
        <v>3.6511438423446764E-2</v>
      </c>
      <c r="AY16" s="115">
        <v>3.7519654417640692E-2</v>
      </c>
      <c r="AZ16" s="3"/>
      <c r="BA16" s="133"/>
      <c r="BB16" s="134">
        <v>2020</v>
      </c>
      <c r="BC16" s="134">
        <v>2030</v>
      </c>
      <c r="BD16" s="135">
        <v>2050</v>
      </c>
    </row>
    <row r="17" spans="1:56" x14ac:dyDescent="0.25">
      <c r="A17" s="3"/>
      <c r="B17" s="230"/>
      <c r="C17" s="35" t="s">
        <v>28</v>
      </c>
      <c r="D17" s="13" t="s">
        <v>192</v>
      </c>
      <c r="E17" s="68">
        <f t="shared" ref="E17:G22" si="3">E6/E$4</f>
        <v>1.77137013884596E-2</v>
      </c>
      <c r="F17" s="68">
        <f t="shared" si="3"/>
        <v>3.8100562246990759E-2</v>
      </c>
      <c r="G17" s="110">
        <f t="shared" si="3"/>
        <v>4.4741787678919301E-2</v>
      </c>
      <c r="H17" s="68">
        <f t="shared" ref="H17:W17" si="4">H6/H$4</f>
        <v>4.9501470282584434E-2</v>
      </c>
      <c r="I17" s="111">
        <f t="shared" si="4"/>
        <v>5.4934953034315885E-2</v>
      </c>
      <c r="J17" s="110">
        <f t="shared" si="4"/>
        <v>6.1581064006260705E-2</v>
      </c>
      <c r="K17" s="68">
        <f t="shared" si="4"/>
        <v>6.8267517494227048E-2</v>
      </c>
      <c r="L17" s="68">
        <f t="shared" si="4"/>
        <v>7.5035998124926478E-2</v>
      </c>
      <c r="M17" s="68">
        <f t="shared" si="4"/>
        <v>8.2073718580656624E-2</v>
      </c>
      <c r="N17" s="111">
        <f t="shared" si="4"/>
        <v>9.0651321261822876E-2</v>
      </c>
      <c r="O17" s="110">
        <f t="shared" si="4"/>
        <v>0.10036467327019766</v>
      </c>
      <c r="P17" s="68">
        <f t="shared" si="4"/>
        <v>0.11063303672956333</v>
      </c>
      <c r="Q17" s="68">
        <f t="shared" si="4"/>
        <v>0.12089971103364706</v>
      </c>
      <c r="R17" s="68">
        <f t="shared" si="4"/>
        <v>0.13075923655807423</v>
      </c>
      <c r="S17" s="111">
        <f t="shared" si="4"/>
        <v>0.14028818743850685</v>
      </c>
      <c r="T17" s="68">
        <f t="shared" si="4"/>
        <v>0.18212537996026315</v>
      </c>
      <c r="U17" s="116">
        <f t="shared" si="4"/>
        <v>0.21211488687040161</v>
      </c>
      <c r="V17" s="68">
        <f t="shared" si="4"/>
        <v>0.23373081647153052</v>
      </c>
      <c r="W17" s="116">
        <f t="shared" si="4"/>
        <v>0.24801879364659637</v>
      </c>
      <c r="X17" s="3"/>
      <c r="Y17" s="136" t="s">
        <v>54</v>
      </c>
      <c r="Z17" s="137">
        <f>I16+I17</f>
        <v>6.5673320446974909E-2</v>
      </c>
      <c r="AA17" s="137">
        <f>S16+S17</f>
        <v>0.19172760596977431</v>
      </c>
      <c r="AB17" s="138">
        <f>W16+W17</f>
        <v>0.47114448456675329</v>
      </c>
      <c r="AC17" s="3"/>
      <c r="AD17" s="230"/>
      <c r="AE17" s="35" t="s">
        <v>28</v>
      </c>
      <c r="AF17" s="13" t="s">
        <v>192</v>
      </c>
      <c r="AG17" s="68">
        <v>1.7713701388459593E-2</v>
      </c>
      <c r="AH17" s="68">
        <v>6.9742271631543756E-2</v>
      </c>
      <c r="AI17" s="110">
        <v>8.1178375783200599E-2</v>
      </c>
      <c r="AJ17" s="68">
        <v>8.5616416222091693E-2</v>
      </c>
      <c r="AK17" s="111">
        <v>9.1340609471855363E-2</v>
      </c>
      <c r="AL17" s="110">
        <v>9.8606449600418852E-2</v>
      </c>
      <c r="AM17" s="68">
        <v>0.10615167668053996</v>
      </c>
      <c r="AN17" s="68">
        <v>0.1126658795064988</v>
      </c>
      <c r="AO17" s="68">
        <v>0.11912820758253932</v>
      </c>
      <c r="AP17" s="111">
        <v>0.12547123609941566</v>
      </c>
      <c r="AQ17" s="110">
        <v>0.13162380416134664</v>
      </c>
      <c r="AR17" s="68">
        <v>0.13741741046488648</v>
      </c>
      <c r="AS17" s="68">
        <v>0.14263357202290744</v>
      </c>
      <c r="AT17" s="68">
        <v>0.14704290032757525</v>
      </c>
      <c r="AU17" s="111">
        <v>0.15090915365811511</v>
      </c>
      <c r="AV17" s="68">
        <v>0.16819727841456883</v>
      </c>
      <c r="AW17" s="116">
        <v>0.18386636890858446</v>
      </c>
      <c r="AX17" s="68">
        <v>0.19725136554104705</v>
      </c>
      <c r="AY17" s="116">
        <v>0.20829950118613239</v>
      </c>
      <c r="AZ17" s="3"/>
      <c r="BA17" s="136" t="s">
        <v>54</v>
      </c>
      <c r="BB17" s="137">
        <v>0.11189266979752523</v>
      </c>
      <c r="BC17" s="137">
        <v>0.1831360600390535</v>
      </c>
      <c r="BD17" s="138">
        <v>0.24581915560377307</v>
      </c>
    </row>
    <row r="18" spans="1:56" x14ac:dyDescent="0.25">
      <c r="A18" s="3"/>
      <c r="B18" s="230"/>
      <c r="C18" s="35" t="s">
        <v>29</v>
      </c>
      <c r="D18" s="13" t="s">
        <v>193</v>
      </c>
      <c r="E18" s="68">
        <f t="shared" si="3"/>
        <v>0.12575058882882739</v>
      </c>
      <c r="F18" s="68">
        <f t="shared" si="3"/>
        <v>0.20694892530269632</v>
      </c>
      <c r="G18" s="110">
        <f t="shared" si="3"/>
        <v>0.22022119196081444</v>
      </c>
      <c r="H18" s="68">
        <f t="shared" ref="H18:W18" si="5">H7/H$4</f>
        <v>0.22663408912608995</v>
      </c>
      <c r="I18" s="111">
        <f t="shared" si="5"/>
        <v>0.23333611260478321</v>
      </c>
      <c r="J18" s="110">
        <f t="shared" si="5"/>
        <v>0.24057821741014657</v>
      </c>
      <c r="K18" s="68">
        <f t="shared" si="5"/>
        <v>0.24736591532392993</v>
      </c>
      <c r="L18" s="68">
        <f t="shared" si="5"/>
        <v>0.25383792872037841</v>
      </c>
      <c r="M18" s="68">
        <f t="shared" si="5"/>
        <v>0.25979490962909246</v>
      </c>
      <c r="N18" s="111">
        <f t="shared" si="5"/>
        <v>0.26581530883550414</v>
      </c>
      <c r="O18" s="110">
        <f t="shared" si="5"/>
        <v>0.27139600950036152</v>
      </c>
      <c r="P18" s="68">
        <f t="shared" si="5"/>
        <v>0.27604445456884386</v>
      </c>
      <c r="Q18" s="68">
        <f t="shared" si="5"/>
        <v>0.27961372427935388</v>
      </c>
      <c r="R18" s="68">
        <f t="shared" si="5"/>
        <v>0.28214858949542615</v>
      </c>
      <c r="S18" s="111">
        <f t="shared" si="5"/>
        <v>0.2840270629753846</v>
      </c>
      <c r="T18" s="68">
        <f t="shared" si="5"/>
        <v>0.2848340054982052</v>
      </c>
      <c r="U18" s="116">
        <f t="shared" si="5"/>
        <v>0.27378166359366363</v>
      </c>
      <c r="V18" s="68">
        <f t="shared" si="5"/>
        <v>0.25709914398875766</v>
      </c>
      <c r="W18" s="116">
        <f t="shared" si="5"/>
        <v>0.23844572769044894</v>
      </c>
      <c r="X18" s="3"/>
      <c r="Y18" s="136" t="s">
        <v>55</v>
      </c>
      <c r="Z18" s="137">
        <f>I18+I19+I20</f>
        <v>0.76105898760692636</v>
      </c>
      <c r="AA18" s="137">
        <f>S18+S19+S20</f>
        <v>0.69807162733461547</v>
      </c>
      <c r="AB18" s="138">
        <f>W18+W19+W20</f>
        <v>0.47461823623721455</v>
      </c>
      <c r="AC18" s="3"/>
      <c r="AD18" s="230"/>
      <c r="AE18" s="35" t="s">
        <v>29</v>
      </c>
      <c r="AF18" s="13" t="s">
        <v>193</v>
      </c>
      <c r="AG18" s="68">
        <v>0.12575058882882711</v>
      </c>
      <c r="AH18" s="68">
        <v>0.21911275641841962</v>
      </c>
      <c r="AI18" s="110">
        <v>0.23825625442852749</v>
      </c>
      <c r="AJ18" s="68">
        <v>0.24161201207684488</v>
      </c>
      <c r="AK18" s="111">
        <v>0.24455613282758795</v>
      </c>
      <c r="AL18" s="110">
        <v>0.24673344098091057</v>
      </c>
      <c r="AM18" s="68">
        <v>0.24961673279082403</v>
      </c>
      <c r="AN18" s="68">
        <v>0.25335794116943272</v>
      </c>
      <c r="AO18" s="68">
        <v>0.2567414043426039</v>
      </c>
      <c r="AP18" s="111">
        <v>0.25951109793823024</v>
      </c>
      <c r="AQ18" s="110">
        <v>0.26169012384941498</v>
      </c>
      <c r="AR18" s="68">
        <v>0.26336582993321006</v>
      </c>
      <c r="AS18" s="68">
        <v>0.264535488566292</v>
      </c>
      <c r="AT18" s="68">
        <v>0.2651534802885962</v>
      </c>
      <c r="AU18" s="111">
        <v>0.26456632525865909</v>
      </c>
      <c r="AV18" s="68">
        <v>0.25952290901056607</v>
      </c>
      <c r="AW18" s="116">
        <v>0.25485171144990371</v>
      </c>
      <c r="AX18" s="68">
        <v>0.25089202970130575</v>
      </c>
      <c r="AY18" s="116">
        <v>0.24771102411924817</v>
      </c>
      <c r="AZ18" s="3"/>
      <c r="BA18" s="136" t="s">
        <v>55</v>
      </c>
      <c r="BB18" s="137">
        <v>0.72289771229804389</v>
      </c>
      <c r="BC18" s="137">
        <v>0.68888842591678678</v>
      </c>
      <c r="BD18" s="138">
        <v>0.64245955428730506</v>
      </c>
    </row>
    <row r="19" spans="1:56" ht="15.75" thickBot="1" x14ac:dyDescent="0.3">
      <c r="A19" s="3"/>
      <c r="B19" s="230"/>
      <c r="C19" s="35" t="s">
        <v>30</v>
      </c>
      <c r="D19" s="13" t="s">
        <v>194</v>
      </c>
      <c r="E19" s="68">
        <f t="shared" si="3"/>
        <v>0.27637430617113368</v>
      </c>
      <c r="F19" s="68">
        <f t="shared" si="3"/>
        <v>0.3118304549849848</v>
      </c>
      <c r="G19" s="110">
        <f t="shared" si="3"/>
        <v>0.31477453918413917</v>
      </c>
      <c r="H19" s="68">
        <f t="shared" ref="H19:W19" si="6">H8/H$4</f>
        <v>0.31501400276282671</v>
      </c>
      <c r="I19" s="111">
        <f t="shared" si="6"/>
        <v>0.31508167856075503</v>
      </c>
      <c r="J19" s="110">
        <f t="shared" si="6"/>
        <v>0.31449796222835708</v>
      </c>
      <c r="K19" s="68">
        <f t="shared" si="6"/>
        <v>0.31373571600376976</v>
      </c>
      <c r="L19" s="68">
        <f t="shared" si="6"/>
        <v>0.31282663888142542</v>
      </c>
      <c r="M19" s="68">
        <f t="shared" si="6"/>
        <v>0.3113066669573803</v>
      </c>
      <c r="N19" s="111">
        <f t="shared" si="6"/>
        <v>0.30824031708090288</v>
      </c>
      <c r="O19" s="110">
        <f t="shared" si="6"/>
        <v>0.30374092630828126</v>
      </c>
      <c r="P19" s="68">
        <f t="shared" si="6"/>
        <v>0.29810363785493449</v>
      </c>
      <c r="Q19" s="68">
        <f t="shared" si="6"/>
        <v>0.29181536181234868</v>
      </c>
      <c r="R19" s="68">
        <f t="shared" si="6"/>
        <v>0.28532007698786549</v>
      </c>
      <c r="S19" s="111">
        <f t="shared" si="6"/>
        <v>0.27879248660618788</v>
      </c>
      <c r="T19" s="68">
        <f t="shared" si="6"/>
        <v>0.24642605712733548</v>
      </c>
      <c r="U19" s="116">
        <f t="shared" si="6"/>
        <v>0.21633025176297063</v>
      </c>
      <c r="V19" s="68">
        <f t="shared" si="6"/>
        <v>0.18813093002371484</v>
      </c>
      <c r="W19" s="116">
        <f t="shared" si="6"/>
        <v>0.16273003171034522</v>
      </c>
      <c r="X19" s="3"/>
      <c r="Y19" s="139" t="s">
        <v>60</v>
      </c>
      <c r="Z19" s="140">
        <f>I21+I22</f>
        <v>0.17326769180556589</v>
      </c>
      <c r="AA19" s="140">
        <f>S21+S22</f>
        <v>0.11020076656341758</v>
      </c>
      <c r="AB19" s="272">
        <f>W21+W22</f>
        <v>5.4435305764755894E-2</v>
      </c>
      <c r="AC19" s="3"/>
      <c r="AD19" s="230"/>
      <c r="AE19" s="35" t="s">
        <v>30</v>
      </c>
      <c r="AF19" s="13" t="s">
        <v>194</v>
      </c>
      <c r="AG19" s="68">
        <v>0.27637430617113345</v>
      </c>
      <c r="AH19" s="68">
        <v>0.24399997608315813</v>
      </c>
      <c r="AI19" s="110">
        <v>0.2366669213900002</v>
      </c>
      <c r="AJ19" s="68">
        <v>0.23468160828213183</v>
      </c>
      <c r="AK19" s="111">
        <v>0.23286925708207196</v>
      </c>
      <c r="AL19" s="110">
        <v>0.23119912330148079</v>
      </c>
      <c r="AM19" s="68">
        <v>0.22958027552990262</v>
      </c>
      <c r="AN19" s="68">
        <v>0.22823590127309021</v>
      </c>
      <c r="AO19" s="68">
        <v>0.22667237149939959</v>
      </c>
      <c r="AP19" s="111">
        <v>0.22484807807314372</v>
      </c>
      <c r="AQ19" s="110">
        <v>0.22283946683543782</v>
      </c>
      <c r="AR19" s="68">
        <v>0.22080782835843135</v>
      </c>
      <c r="AS19" s="68">
        <v>0.21896131706577443</v>
      </c>
      <c r="AT19" s="68">
        <v>0.21754236545681527</v>
      </c>
      <c r="AU19" s="111">
        <v>0.21668893895456073</v>
      </c>
      <c r="AV19" s="68">
        <v>0.21328461407073057</v>
      </c>
      <c r="AW19" s="116">
        <v>0.20989243419559833</v>
      </c>
      <c r="AX19" s="68">
        <v>0.2069443498652298</v>
      </c>
      <c r="AY19" s="116">
        <v>0.20457087690216122</v>
      </c>
      <c r="AZ19" s="3"/>
      <c r="BA19" s="139" t="s">
        <v>60</v>
      </c>
      <c r="BB19" s="140">
        <v>0.16520961794906971</v>
      </c>
      <c r="BC19" s="140">
        <v>0.12797551395532852</v>
      </c>
      <c r="BD19" s="272">
        <v>0.11172129005230631</v>
      </c>
    </row>
    <row r="20" spans="1:56" x14ac:dyDescent="0.25">
      <c r="A20" s="3"/>
      <c r="B20" s="230"/>
      <c r="C20" s="35" t="s">
        <v>31</v>
      </c>
      <c r="D20" s="13" t="s">
        <v>195</v>
      </c>
      <c r="E20" s="68">
        <f t="shared" si="3"/>
        <v>0.32873347328240671</v>
      </c>
      <c r="F20" s="68">
        <f t="shared" si="3"/>
        <v>0.24329652120751513</v>
      </c>
      <c r="G20" s="110">
        <f t="shared" si="3"/>
        <v>0.22797940091902044</v>
      </c>
      <c r="H20" s="68">
        <f t="shared" ref="H20:W20" si="7">H9/H$4</f>
        <v>0.22056538513459706</v>
      </c>
      <c r="I20" s="111">
        <f t="shared" si="7"/>
        <v>0.21264119644138813</v>
      </c>
      <c r="J20" s="110">
        <f t="shared" si="7"/>
        <v>0.20398363358532604</v>
      </c>
      <c r="K20" s="68">
        <f t="shared" si="7"/>
        <v>0.19559392428119371</v>
      </c>
      <c r="L20" s="68">
        <f t="shared" si="7"/>
        <v>0.18739573437729262</v>
      </c>
      <c r="M20" s="68">
        <f t="shared" si="7"/>
        <v>0.17956281149146197</v>
      </c>
      <c r="N20" s="111">
        <f t="shared" si="7"/>
        <v>0.17128592440267618</v>
      </c>
      <c r="O20" s="110">
        <f t="shared" si="7"/>
        <v>0.16291953679462071</v>
      </c>
      <c r="P20" s="68">
        <f t="shared" si="7"/>
        <v>0.15500735482673828</v>
      </c>
      <c r="Q20" s="68">
        <f t="shared" si="7"/>
        <v>0.14778060328260942</v>
      </c>
      <c r="R20" s="68">
        <f t="shared" si="7"/>
        <v>0.14129906395016231</v>
      </c>
      <c r="S20" s="111">
        <f t="shared" si="7"/>
        <v>0.13525207775304302</v>
      </c>
      <c r="T20" s="68">
        <f t="shared" si="7"/>
        <v>0.11039368649933125</v>
      </c>
      <c r="U20" s="116">
        <f t="shared" si="7"/>
        <v>9.4936461126141319E-2</v>
      </c>
      <c r="V20" s="68">
        <f t="shared" si="7"/>
        <v>8.3246411001670073E-2</v>
      </c>
      <c r="W20" s="116">
        <f t="shared" si="7"/>
        <v>7.3442476836420328E-2</v>
      </c>
      <c r="X20" s="3"/>
      <c r="Y20" s="173" t="s">
        <v>92</v>
      </c>
      <c r="Z20" s="174">
        <f>SUM(Z17:Z19)</f>
        <v>0.99999999985946719</v>
      </c>
      <c r="AA20" s="174">
        <f t="shared" ref="AA20:AB20" si="8">SUM(AA17:AA19)</f>
        <v>0.99999999986780741</v>
      </c>
      <c r="AB20" s="174">
        <f t="shared" si="8"/>
        <v>1.0001980265687238</v>
      </c>
      <c r="AC20" s="3"/>
      <c r="AD20" s="230"/>
      <c r="AE20" s="35" t="s">
        <v>31</v>
      </c>
      <c r="AF20" s="13" t="s">
        <v>195</v>
      </c>
      <c r="AG20" s="68">
        <v>0.32873347328240687</v>
      </c>
      <c r="AH20" s="68">
        <v>0.26509030195404842</v>
      </c>
      <c r="AI20" s="110">
        <v>0.25245211474478813</v>
      </c>
      <c r="AJ20" s="68">
        <v>0.24923939412675924</v>
      </c>
      <c r="AK20" s="111">
        <v>0.24547232238838398</v>
      </c>
      <c r="AL20" s="110">
        <v>0.24119695582322501</v>
      </c>
      <c r="AM20" s="68">
        <v>0.23638908066322328</v>
      </c>
      <c r="AN20" s="68">
        <v>0.23153170520178237</v>
      </c>
      <c r="AO20" s="68">
        <v>0.22680205092235828</v>
      </c>
      <c r="AP20" s="111">
        <v>0.22234816495175047</v>
      </c>
      <c r="AQ20" s="110">
        <v>0.21820791100476547</v>
      </c>
      <c r="AR20" s="68">
        <v>0.21447810166990497</v>
      </c>
      <c r="AS20" s="68">
        <v>0.21139582011805283</v>
      </c>
      <c r="AT20" s="68">
        <v>0.20910573223320947</v>
      </c>
      <c r="AU20" s="111">
        <v>0.20763316170356694</v>
      </c>
      <c r="AV20" s="68">
        <v>0.20276931860366407</v>
      </c>
      <c r="AW20" s="116">
        <v>0.19804005693672738</v>
      </c>
      <c r="AX20" s="68">
        <v>0.19381052501450233</v>
      </c>
      <c r="AY20" s="116">
        <v>0.1901776532658957</v>
      </c>
      <c r="AZ20" s="3"/>
      <c r="BA20" s="173" t="s">
        <v>92</v>
      </c>
      <c r="BB20" s="174">
        <v>1.0000000000446387</v>
      </c>
      <c r="BC20" s="174">
        <v>0.99999999991116884</v>
      </c>
      <c r="BD20" s="174">
        <v>0.99999999994338451</v>
      </c>
    </row>
    <row r="21" spans="1:56" x14ac:dyDescent="0.25">
      <c r="A21" s="3"/>
      <c r="B21" s="230"/>
      <c r="C21" s="35" t="s">
        <v>32</v>
      </c>
      <c r="D21" s="13" t="s">
        <v>196</v>
      </c>
      <c r="E21" s="68">
        <f t="shared" si="3"/>
        <v>0.1722213067913749</v>
      </c>
      <c r="F21" s="68">
        <f t="shared" si="3"/>
        <v>0.1207106934220742</v>
      </c>
      <c r="G21" s="110">
        <f t="shared" si="3"/>
        <v>0.11208263795304703</v>
      </c>
      <c r="H21" s="68">
        <f t="shared" ref="H21:W21" si="9">H10/H$4</f>
        <v>0.10817768480837299</v>
      </c>
      <c r="I21" s="111">
        <f t="shared" si="9"/>
        <v>0.10406028641158194</v>
      </c>
      <c r="J21" s="110">
        <f t="shared" si="9"/>
        <v>9.964294164416683E-2</v>
      </c>
      <c r="K21" s="68">
        <f t="shared" si="9"/>
        <v>9.5363736125014156E-2</v>
      </c>
      <c r="L21" s="68">
        <f t="shared" si="9"/>
        <v>9.1192120619714975E-2</v>
      </c>
      <c r="M21" s="68">
        <f t="shared" si="9"/>
        <v>8.721769664979187E-2</v>
      </c>
      <c r="N21" s="111">
        <f t="shared" si="9"/>
        <v>8.3092396191634443E-2</v>
      </c>
      <c r="O21" s="110">
        <f t="shared" si="9"/>
        <v>7.8975087715952061E-2</v>
      </c>
      <c r="P21" s="68">
        <f t="shared" si="9"/>
        <v>7.5118478979518011E-2</v>
      </c>
      <c r="Q21" s="68">
        <f t="shared" si="9"/>
        <v>7.16064510044329E-2</v>
      </c>
      <c r="R21" s="68">
        <f t="shared" si="9"/>
        <v>6.8444349204384206E-2</v>
      </c>
      <c r="S21" s="111">
        <f t="shared" si="9"/>
        <v>6.5469414740757931E-2</v>
      </c>
      <c r="T21" s="68">
        <f t="shared" si="9"/>
        <v>5.2969808505825916E-2</v>
      </c>
      <c r="U21" s="116">
        <f t="shared" si="9"/>
        <v>4.4909816927542236E-2</v>
      </c>
      <c r="V21" s="68">
        <f t="shared" si="9"/>
        <v>3.8728517033128976E-2</v>
      </c>
      <c r="W21" s="116">
        <f t="shared" si="9"/>
        <v>3.3466351038834372E-2</v>
      </c>
      <c r="X21" s="3"/>
      <c r="AC21" s="3"/>
      <c r="AD21" s="230"/>
      <c r="AE21" s="35" t="s">
        <v>32</v>
      </c>
      <c r="AF21" s="13" t="s">
        <v>196</v>
      </c>
      <c r="AG21" s="68">
        <v>0.17222130679137462</v>
      </c>
      <c r="AH21" s="68">
        <v>0.13812098986131141</v>
      </c>
      <c r="AI21" s="110">
        <v>0.13171002420976188</v>
      </c>
      <c r="AJ21" s="68">
        <v>0.13018392379707383</v>
      </c>
      <c r="AK21" s="111">
        <v>0.12810467549323093</v>
      </c>
      <c r="AL21" s="110">
        <v>0.12551223802772041</v>
      </c>
      <c r="AM21" s="68">
        <v>0.12241652291911904</v>
      </c>
      <c r="AN21" s="68">
        <v>0.11917065474377191</v>
      </c>
      <c r="AO21" s="68">
        <v>0.11617863056389478</v>
      </c>
      <c r="AP21" s="111">
        <v>0.11360299235834463</v>
      </c>
      <c r="AQ21" s="110">
        <v>0.11143757540749792</v>
      </c>
      <c r="AR21" s="68">
        <v>0.10969240716067864</v>
      </c>
      <c r="AS21" s="68">
        <v>0.10848993312885881</v>
      </c>
      <c r="AT21" s="68">
        <v>0.10786335937918821</v>
      </c>
      <c r="AU21" s="111">
        <v>0.107591831168658</v>
      </c>
      <c r="AV21" s="68">
        <v>0.1056556785830219</v>
      </c>
      <c r="AW21" s="116">
        <v>0.10313052186167217</v>
      </c>
      <c r="AX21" s="68">
        <v>0.10053227932891177</v>
      </c>
      <c r="AY21" s="116">
        <v>9.8083298457476459E-2</v>
      </c>
      <c r="AZ21" s="3"/>
    </row>
    <row r="22" spans="1:56" x14ac:dyDescent="0.25">
      <c r="A22" s="3"/>
      <c r="B22" s="230"/>
      <c r="C22" s="56" t="s">
        <v>33</v>
      </c>
      <c r="D22" s="26" t="s">
        <v>197</v>
      </c>
      <c r="E22" s="70">
        <f t="shared" si="3"/>
        <v>7.893036728947378E-2</v>
      </c>
      <c r="F22" s="70">
        <f t="shared" si="3"/>
        <v>7.3603378589296137E-2</v>
      </c>
      <c r="G22" s="112">
        <f t="shared" si="3"/>
        <v>7.2580773693703124E-2</v>
      </c>
      <c r="H22" s="70">
        <f t="shared" ref="H22:W22" si="10">H11/H$4</f>
        <v>7.1088241422668647E-2</v>
      </c>
      <c r="I22" s="113">
        <f t="shared" si="10"/>
        <v>6.920740539398397E-2</v>
      </c>
      <c r="J22" s="112">
        <f t="shared" si="10"/>
        <v>6.6872958847348243E-2</v>
      </c>
      <c r="K22" s="70">
        <f t="shared" si="10"/>
        <v>6.4486588088851965E-2</v>
      </c>
      <c r="L22" s="70">
        <f t="shared" si="10"/>
        <v>6.2046181667141556E-2</v>
      </c>
      <c r="M22" s="70">
        <f t="shared" si="10"/>
        <v>5.9647807557081801E-2</v>
      </c>
      <c r="N22" s="113">
        <f t="shared" si="10"/>
        <v>5.699404020599156E-2</v>
      </c>
      <c r="O22" s="112">
        <f t="shared" si="10"/>
        <v>5.4234113242628508E-2</v>
      </c>
      <c r="P22" s="70">
        <f t="shared" si="10"/>
        <v>5.1581385258410099E-2</v>
      </c>
      <c r="Q22" s="70">
        <f t="shared" si="10"/>
        <v>4.912768126096425E-2</v>
      </c>
      <c r="R22" s="70">
        <f t="shared" si="10"/>
        <v>4.6891096522262893E-2</v>
      </c>
      <c r="S22" s="113">
        <f t="shared" si="10"/>
        <v>4.4731351822659651E-2</v>
      </c>
      <c r="T22" s="70">
        <f t="shared" si="10"/>
        <v>3.5370404023066418E-2</v>
      </c>
      <c r="U22" s="117">
        <f t="shared" si="10"/>
        <v>2.9316634055243398E-2</v>
      </c>
      <c r="V22" s="70">
        <f t="shared" si="10"/>
        <v>2.468707719354989E-2</v>
      </c>
      <c r="W22" s="117">
        <f t="shared" si="10"/>
        <v>2.0968954725921522E-2</v>
      </c>
      <c r="X22" s="3"/>
      <c r="AC22" s="3"/>
      <c r="AD22" s="230"/>
      <c r="AE22" s="56" t="s">
        <v>33</v>
      </c>
      <c r="AF22" s="26" t="s">
        <v>197</v>
      </c>
      <c r="AG22" s="70">
        <v>7.8930367289473502E-2</v>
      </c>
      <c r="AH22" s="70">
        <v>4.7304062564924233E-2</v>
      </c>
      <c r="AI22" s="112">
        <v>4.0753895266160862E-2</v>
      </c>
      <c r="AJ22" s="70">
        <v>3.8986079216697153E-2</v>
      </c>
      <c r="AK22" s="113">
        <v>3.7104942455838792E-2</v>
      </c>
      <c r="AL22" s="112">
        <v>3.5142087975134698E-2</v>
      </c>
      <c r="AM22" s="70">
        <v>3.311260813023801E-2</v>
      </c>
      <c r="AN22" s="70">
        <v>3.1103526117049595E-2</v>
      </c>
      <c r="AO22" s="70">
        <v>2.9178922704236585E-2</v>
      </c>
      <c r="AP22" s="113">
        <v>2.7364842858566628E-2</v>
      </c>
      <c r="AQ22" s="112">
        <v>2.5664892163457183E-2</v>
      </c>
      <c r="AR22" s="70">
        <v>2.4092665748802755E-2</v>
      </c>
      <c r="AS22" s="70">
        <v>2.2688602536151806E-2</v>
      </c>
      <c r="AT22" s="70">
        <v>2.1459464120497387E-2</v>
      </c>
      <c r="AU22" s="113">
        <v>2.0383682786670507E-2</v>
      </c>
      <c r="AV22" s="70">
        <v>1.6728084601730989E-2</v>
      </c>
      <c r="AW22" s="117">
        <v>1.4932943842798909E-2</v>
      </c>
      <c r="AX22" s="70">
        <v>1.4058012176126823E-2</v>
      </c>
      <c r="AY22" s="117">
        <v>1.3637991594829849E-2</v>
      </c>
      <c r="AZ22" s="3"/>
    </row>
    <row r="23" spans="1:5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spans="1:5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295">
        <v>2023</v>
      </c>
      <c r="M24" s="295">
        <v>2024</v>
      </c>
      <c r="N24" s="295">
        <v>2025</v>
      </c>
      <c r="O24" s="295">
        <v>2026</v>
      </c>
      <c r="P24" s="295">
        <v>2027</v>
      </c>
      <c r="Q24" s="295">
        <v>2028</v>
      </c>
      <c r="R24" s="295">
        <v>2029</v>
      </c>
      <c r="S24" s="296">
        <v>2030</v>
      </c>
      <c r="T24" s="295">
        <v>2035</v>
      </c>
      <c r="U24" s="295">
        <v>2040</v>
      </c>
      <c r="V24" s="295">
        <v>2045</v>
      </c>
      <c r="W24" s="295">
        <v>2050</v>
      </c>
      <c r="X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</row>
    <row r="25" spans="1:5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295">
        <v>27409.152760000001</v>
      </c>
      <c r="M25" s="295">
        <v>27534.384159999998</v>
      </c>
      <c r="N25" s="295">
        <v>27700.864130000002</v>
      </c>
      <c r="O25" s="295">
        <v>27827.24728</v>
      </c>
      <c r="P25" s="295">
        <v>27954.14676</v>
      </c>
      <c r="Q25" s="295">
        <v>28081.564560000003</v>
      </c>
      <c r="R25" s="295">
        <v>28209.502670000002</v>
      </c>
      <c r="S25" s="297">
        <v>28379.33238</v>
      </c>
      <c r="T25" s="295">
        <v>28988.170300000002</v>
      </c>
      <c r="U25" s="295">
        <v>29523.746120000003</v>
      </c>
      <c r="V25" s="295">
        <v>30025.638859999999</v>
      </c>
      <c r="W25" s="295">
        <v>30354.287279999997</v>
      </c>
      <c r="X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</row>
    <row r="26" spans="1:56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295">
        <v>4.1624116914148641E-2</v>
      </c>
      <c r="M26" s="295">
        <v>5.2596252256255291E-2</v>
      </c>
      <c r="N26" s="295">
        <v>6.5747814416647232E-2</v>
      </c>
      <c r="O26" s="295">
        <v>7.9997070734335318E-2</v>
      </c>
      <c r="P26" s="295">
        <v>9.530484041860271E-2</v>
      </c>
      <c r="Q26" s="295">
        <v>0.11128804035554064</v>
      </c>
      <c r="R26" s="295">
        <v>0.1277171678688088</v>
      </c>
      <c r="S26" s="295">
        <v>0.144310124817672</v>
      </c>
      <c r="T26" s="295">
        <v>0.23039888057370769</v>
      </c>
      <c r="U26" s="295">
        <v>0.31790028036591178</v>
      </c>
      <c r="V26" s="295">
        <v>0.40549770104042343</v>
      </c>
      <c r="W26" s="295">
        <v>0.47588868639053089</v>
      </c>
      <c r="X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</row>
    <row r="27" spans="1:56" x14ac:dyDescent="0.25">
      <c r="L27" s="298">
        <v>7.5898692499388284E-2</v>
      </c>
      <c r="M27" s="298">
        <v>8.7239713154347157E-2</v>
      </c>
      <c r="N27" s="298">
        <v>0.10006509916050045</v>
      </c>
      <c r="O27" s="298">
        <v>0.11371798001286168</v>
      </c>
      <c r="P27" s="298">
        <v>0.1274660875036488</v>
      </c>
      <c r="Q27" s="298">
        <v>0.14072834010214422</v>
      </c>
      <c r="R27" s="298">
        <v>0.15318021985532579</v>
      </c>
      <c r="S27" s="298">
        <v>0.16456568482531725</v>
      </c>
      <c r="T27" s="298">
        <v>0.20721591048469865</v>
      </c>
      <c r="U27" s="298">
        <v>0.22820456318840612</v>
      </c>
      <c r="V27" s="298">
        <v>0.23319455071871201</v>
      </c>
      <c r="W27" s="298">
        <v>0.22857891325195365</v>
      </c>
    </row>
    <row r="28" spans="1:56" x14ac:dyDescent="0.25">
      <c r="L28" s="298">
        <v>0.26241690854073663</v>
      </c>
      <c r="M28" s="298">
        <v>0.27026887864122834</v>
      </c>
      <c r="N28" s="298">
        <v>0.27839092335925619</v>
      </c>
      <c r="O28" s="298">
        <v>0.28610080486552525</v>
      </c>
      <c r="P28" s="298">
        <v>0.29266041443648771</v>
      </c>
      <c r="Q28" s="298">
        <v>0.29772521175365735</v>
      </c>
      <c r="R28" s="298">
        <v>0.30120146258501901</v>
      </c>
      <c r="S28" s="298">
        <v>0.30323983675052191</v>
      </c>
      <c r="T28" s="298">
        <v>0.29498535614715909</v>
      </c>
      <c r="U28" s="298">
        <v>0.26827909015361767</v>
      </c>
      <c r="V28" s="298">
        <v>0.23329132171544412</v>
      </c>
      <c r="W28" s="298">
        <v>0.20267551921910915</v>
      </c>
    </row>
    <row r="29" spans="1:56" x14ac:dyDescent="0.25">
      <c r="L29" s="298">
        <v>0.31103555008243167</v>
      </c>
      <c r="M29" s="298">
        <v>0.30726089883972912</v>
      </c>
      <c r="N29" s="298">
        <v>0.30173638121086294</v>
      </c>
      <c r="O29" s="298">
        <v>0.2935316151759873</v>
      </c>
      <c r="P29" s="298">
        <v>0.28335135949611795</v>
      </c>
      <c r="Q29" s="298">
        <v>0.27192376089603459</v>
      </c>
      <c r="R29" s="298">
        <v>0.25983147135716589</v>
      </c>
      <c r="S29" s="298">
        <v>0.24783389389937438</v>
      </c>
      <c r="T29" s="298">
        <v>0.18863571541112406</v>
      </c>
      <c r="U29" s="298">
        <v>0.13973920214024654</v>
      </c>
      <c r="V29" s="298">
        <v>0.10072426615471522</v>
      </c>
      <c r="W29" s="298">
        <v>7.4843140444838016E-2</v>
      </c>
    </row>
    <row r="30" spans="1:56" x14ac:dyDescent="0.25">
      <c r="L30" s="298">
        <v>0.19282409942685141</v>
      </c>
      <c r="M30" s="298">
        <v>0.18053517021170232</v>
      </c>
      <c r="N30" s="298">
        <v>0.16652767539494082</v>
      </c>
      <c r="O30" s="298">
        <v>0.15239289579490162</v>
      </c>
      <c r="P30" s="298">
        <v>0.13860999544240785</v>
      </c>
      <c r="Q30" s="298">
        <v>0.1257152202989647</v>
      </c>
      <c r="R30" s="298">
        <v>0.11391359910139104</v>
      </c>
      <c r="S30" s="298">
        <v>0.103079395238402</v>
      </c>
      <c r="T30" s="298">
        <v>6.3467552762376311E-2</v>
      </c>
      <c r="U30" s="298">
        <v>3.9545033860357556E-2</v>
      </c>
      <c r="V30" s="298">
        <v>2.4676156279460425E-2</v>
      </c>
      <c r="W30" s="298">
        <v>1.6744166140737666E-2</v>
      </c>
    </row>
    <row r="31" spans="1:56" x14ac:dyDescent="0.25">
      <c r="L31" s="298">
        <v>9.2131982375072877E-2</v>
      </c>
      <c r="M31" s="298">
        <v>8.1418386152131025E-2</v>
      </c>
      <c r="N31" s="298">
        <v>7.0011436534922269E-2</v>
      </c>
      <c r="O31" s="298">
        <v>5.9489629762617326E-2</v>
      </c>
      <c r="P31" s="298">
        <v>5.0197046650977808E-2</v>
      </c>
      <c r="Q31" s="298">
        <v>4.2209707883882945E-2</v>
      </c>
      <c r="R31" s="298">
        <v>3.5432382332034926E-2</v>
      </c>
      <c r="S31" s="298">
        <v>2.9674727658269173E-2</v>
      </c>
      <c r="T31" s="298">
        <v>1.2288807106945967E-2</v>
      </c>
      <c r="U31" s="298">
        <v>5.089130118830598E-3</v>
      </c>
      <c r="V31" s="298">
        <v>2.1033528640129659E-3</v>
      </c>
      <c r="W31" s="298">
        <v>1.0223712098306266E-3</v>
      </c>
    </row>
    <row r="32" spans="1:56" x14ac:dyDescent="0.25">
      <c r="L32" s="298">
        <v>2.4068650205151396E-2</v>
      </c>
      <c r="M32" s="298">
        <v>2.0680700846297775E-2</v>
      </c>
      <c r="N32" s="298">
        <v>1.7520670016729908E-2</v>
      </c>
      <c r="O32" s="298">
        <v>1.4770003520808185E-2</v>
      </c>
      <c r="P32" s="298">
        <v>1.2410255987366076E-2</v>
      </c>
      <c r="Q32" s="298">
        <v>1.0409718652798595E-2</v>
      </c>
      <c r="R32" s="298">
        <v>8.7236969569729744E-3</v>
      </c>
      <c r="S32" s="298">
        <v>7.2963369126303589E-3</v>
      </c>
      <c r="T32" s="298">
        <v>3.007777410842653E-3</v>
      </c>
      <c r="U32" s="298">
        <v>1.2427002258072527E-3</v>
      </c>
      <c r="V32" s="298">
        <v>5.126512452165023E-4</v>
      </c>
      <c r="W32" s="298">
        <v>2.4720344861940046E-4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0070C0"/>
    <pageSetUpPr fitToPage="1"/>
  </sheetPr>
  <dimension ref="A1:CF648"/>
  <sheetViews>
    <sheetView topLeftCell="W1" zoomScale="80" zoomScaleNormal="80" workbookViewId="0">
      <selection activeCell="AM7" sqref="AM7"/>
    </sheetView>
  </sheetViews>
  <sheetFormatPr baseColWidth="10" defaultRowHeight="15" x14ac:dyDescent="0.25"/>
  <cols>
    <col min="1" max="1" width="11.42578125" style="3"/>
    <col min="2" max="2" width="17.140625" style="3" customWidth="1"/>
    <col min="3" max="3" width="28.140625" customWidth="1"/>
    <col min="4" max="4" width="41" hidden="1" customWidth="1"/>
    <col min="5" max="8" width="20.140625" hidden="1" customWidth="1"/>
    <col min="9" max="39" width="20.140625" customWidth="1"/>
    <col min="40" max="40" width="13" style="3" customWidth="1"/>
    <col min="41" max="84" width="11.42578125" style="3"/>
  </cols>
  <sheetData>
    <row r="1" spans="1:39" s="3" customFormat="1" ht="23.25" x14ac:dyDescent="0.35">
      <c r="A1" s="228" t="s">
        <v>69</v>
      </c>
      <c r="C1" s="228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39" s="3" customFormat="1" ht="23.25" x14ac:dyDescent="0.35">
      <c r="A2" s="46"/>
      <c r="E2" s="235">
        <f>Résultats!E1</f>
        <v>4</v>
      </c>
      <c r="F2" s="235">
        <f>Résultats!N1</f>
        <v>13</v>
      </c>
      <c r="G2" s="235">
        <f>F2+3</f>
        <v>16</v>
      </c>
      <c r="H2" s="235">
        <f t="shared" ref="H2:AA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 t="shared" si="0"/>
        <v>29</v>
      </c>
      <c r="U2" s="235">
        <f t="shared" si="0"/>
        <v>30</v>
      </c>
      <c r="V2" s="235">
        <f t="shared" si="0"/>
        <v>31</v>
      </c>
      <c r="W2" s="235">
        <f t="shared" si="0"/>
        <v>32</v>
      </c>
      <c r="X2" s="235">
        <f>S2+5</f>
        <v>33</v>
      </c>
      <c r="Y2" s="235">
        <f t="shared" si="0"/>
        <v>34</v>
      </c>
      <c r="Z2" s="235">
        <f t="shared" ref="Z2" si="1">U2+5</f>
        <v>35</v>
      </c>
      <c r="AA2" s="235">
        <f t="shared" si="0"/>
        <v>36</v>
      </c>
      <c r="AB2" s="235">
        <f t="shared" ref="AB2" si="2">W2+5</f>
        <v>37</v>
      </c>
      <c r="AC2" s="235">
        <f>X2+5</f>
        <v>38</v>
      </c>
      <c r="AD2" s="235">
        <f t="shared" ref="AD2:AG2" si="3">Y2+5</f>
        <v>39</v>
      </c>
      <c r="AE2" s="235">
        <f t="shared" si="3"/>
        <v>40</v>
      </c>
      <c r="AF2" s="235">
        <f t="shared" si="3"/>
        <v>41</v>
      </c>
      <c r="AG2" s="235">
        <f t="shared" si="3"/>
        <v>42</v>
      </c>
      <c r="AH2" s="235">
        <f>AC2+5</f>
        <v>43</v>
      </c>
      <c r="AI2" s="235">
        <f t="shared" ref="AI2:AL2" si="4">AD2+5</f>
        <v>44</v>
      </c>
      <c r="AJ2" s="235">
        <f t="shared" si="4"/>
        <v>45</v>
      </c>
      <c r="AK2" s="235">
        <f t="shared" si="4"/>
        <v>46</v>
      </c>
      <c r="AL2" s="235">
        <f t="shared" si="4"/>
        <v>47</v>
      </c>
      <c r="AM2" s="236">
        <f>AH2+5</f>
        <v>48</v>
      </c>
    </row>
    <row r="3" spans="1:39" ht="23.25" x14ac:dyDescent="0.35">
      <c r="B3" s="46"/>
      <c r="D3" s="146"/>
      <c r="E3" s="92">
        <v>2006</v>
      </c>
      <c r="F3" s="92">
        <v>2015</v>
      </c>
      <c r="G3" s="92">
        <v>2018</v>
      </c>
      <c r="H3" s="92">
        <v>2019</v>
      </c>
      <c r="I3" s="92">
        <v>2020</v>
      </c>
      <c r="J3" s="20">
        <v>2021</v>
      </c>
      <c r="K3" s="4">
        <v>2022</v>
      </c>
      <c r="L3" s="4">
        <v>2023</v>
      </c>
      <c r="M3" s="4">
        <v>2024</v>
      </c>
      <c r="N3" s="92">
        <v>2025</v>
      </c>
      <c r="O3" s="20">
        <v>2026</v>
      </c>
      <c r="P3" s="4">
        <v>2027</v>
      </c>
      <c r="Q3" s="4">
        <v>2028</v>
      </c>
      <c r="R3" s="4">
        <v>2029</v>
      </c>
      <c r="S3" s="92">
        <v>2030</v>
      </c>
      <c r="T3" s="4">
        <v>2031</v>
      </c>
      <c r="U3" s="92">
        <v>2032</v>
      </c>
      <c r="V3" s="4">
        <v>2033</v>
      </c>
      <c r="W3" s="92">
        <v>2034</v>
      </c>
      <c r="X3" s="4">
        <v>2035</v>
      </c>
      <c r="Y3" s="92">
        <v>2036</v>
      </c>
      <c r="Z3" s="4">
        <v>2037</v>
      </c>
      <c r="AA3" s="92">
        <v>2038</v>
      </c>
      <c r="AB3" s="4">
        <v>2039</v>
      </c>
      <c r="AC3" s="93">
        <v>2040</v>
      </c>
      <c r="AD3" s="4">
        <v>2041</v>
      </c>
      <c r="AE3" s="93">
        <v>2042</v>
      </c>
      <c r="AF3" s="4">
        <v>2043</v>
      </c>
      <c r="AG3" s="93">
        <v>2044</v>
      </c>
      <c r="AH3" s="4">
        <v>2045</v>
      </c>
      <c r="AI3" s="93">
        <v>2046</v>
      </c>
      <c r="AJ3" s="4">
        <v>2047</v>
      </c>
      <c r="AK3" s="93">
        <v>2048</v>
      </c>
      <c r="AL3" s="4">
        <v>2049</v>
      </c>
      <c r="AM3" s="93">
        <v>2050</v>
      </c>
    </row>
    <row r="4" spans="1:39" x14ac:dyDescent="0.25">
      <c r="A4" s="152" t="str">
        <f>Résultats!B1</f>
        <v>SNBC3</v>
      </c>
      <c r="C4" s="175" t="s">
        <v>71</v>
      </c>
      <c r="D4" s="58" t="s">
        <v>130</v>
      </c>
      <c r="E4" s="59">
        <f t="shared" ref="E4:H4" si="5">E43</f>
        <v>32001.800439999999</v>
      </c>
      <c r="F4" s="59">
        <f t="shared" si="5"/>
        <v>35911.307350000003</v>
      </c>
      <c r="G4" s="59">
        <f t="shared" si="5"/>
        <v>36708.886160000002</v>
      </c>
      <c r="H4" s="59">
        <f t="shared" si="5"/>
        <v>37113.743849999999</v>
      </c>
      <c r="I4" s="59">
        <f t="shared" ref="I4:AM4" si="6">I43</f>
        <v>37179.433069999999</v>
      </c>
      <c r="J4" s="59">
        <f t="shared" si="6"/>
        <v>37014.380270000001</v>
      </c>
      <c r="K4" s="59">
        <f t="shared" si="6"/>
        <v>36687.539709999997</v>
      </c>
      <c r="L4" s="59">
        <f t="shared" si="6"/>
        <v>36318.101560000003</v>
      </c>
      <c r="M4" s="59">
        <f t="shared" si="6"/>
        <v>36456.715470000003</v>
      </c>
      <c r="N4" s="59">
        <f t="shared" si="6"/>
        <v>36762.837140000003</v>
      </c>
      <c r="O4" s="59">
        <f t="shared" si="6"/>
        <v>36638.10873</v>
      </c>
      <c r="P4" s="59">
        <f t="shared" si="6"/>
        <v>36313.892820000001</v>
      </c>
      <c r="Q4" s="59">
        <f t="shared" si="6"/>
        <v>35896.839469999999</v>
      </c>
      <c r="R4" s="59">
        <f t="shared" si="6"/>
        <v>35414.42858</v>
      </c>
      <c r="S4" s="59">
        <f t="shared" si="6"/>
        <v>34893.727729999999</v>
      </c>
      <c r="T4" s="59">
        <f t="shared" si="6"/>
        <v>34353.449430000001</v>
      </c>
      <c r="U4" s="59">
        <f t="shared" si="6"/>
        <v>33817.743499999997</v>
      </c>
      <c r="V4" s="59">
        <f t="shared" si="6"/>
        <v>33291.168519999999</v>
      </c>
      <c r="W4" s="59">
        <f t="shared" si="6"/>
        <v>32777.907619999998</v>
      </c>
      <c r="X4" s="59">
        <f t="shared" si="6"/>
        <v>32278.396199999999</v>
      </c>
      <c r="Y4" s="59">
        <f t="shared" si="6"/>
        <v>31834.17108</v>
      </c>
      <c r="Z4" s="59">
        <f t="shared" si="6"/>
        <v>31428.593919999999</v>
      </c>
      <c r="AA4" s="59">
        <f t="shared" si="6"/>
        <v>31044.272400000002</v>
      </c>
      <c r="AB4" s="59">
        <f t="shared" si="6"/>
        <v>30670.348720000002</v>
      </c>
      <c r="AC4" s="59">
        <f t="shared" si="6"/>
        <v>30304.93577</v>
      </c>
      <c r="AD4" s="59">
        <f t="shared" si="6"/>
        <v>29947.084159999999</v>
      </c>
      <c r="AE4" s="59">
        <f t="shared" si="6"/>
        <v>29598.847989999998</v>
      </c>
      <c r="AF4" s="59">
        <f t="shared" si="6"/>
        <v>29258.144390000001</v>
      </c>
      <c r="AG4" s="59">
        <f t="shared" si="6"/>
        <v>28922.241699999999</v>
      </c>
      <c r="AH4" s="59">
        <f t="shared" si="6"/>
        <v>28518.344079999999</v>
      </c>
      <c r="AI4" s="59">
        <f t="shared" si="6"/>
        <v>28142.938450000001</v>
      </c>
      <c r="AJ4" s="59">
        <f t="shared" si="6"/>
        <v>27784.679899999999</v>
      </c>
      <c r="AK4" s="59">
        <f t="shared" si="6"/>
        <v>27440.71488</v>
      </c>
      <c r="AL4" s="59">
        <f t="shared" si="6"/>
        <v>27106.677769999998</v>
      </c>
      <c r="AM4" s="103">
        <f t="shared" si="6"/>
        <v>26764.013500000001</v>
      </c>
    </row>
    <row r="5" spans="1:39" x14ac:dyDescent="0.25">
      <c r="C5" s="175" t="s">
        <v>72</v>
      </c>
      <c r="D5" s="58" t="s">
        <v>422</v>
      </c>
      <c r="E5" s="154"/>
      <c r="F5" s="154"/>
      <c r="G5" s="154">
        <f t="shared" ref="G5:AM5" si="7">G4/1000</f>
        <v>36.708886159999999</v>
      </c>
      <c r="H5" s="154">
        <f t="shared" si="7"/>
        <v>37.113743849999999</v>
      </c>
      <c r="I5" s="154">
        <f t="shared" si="7"/>
        <v>37.179433070000002</v>
      </c>
      <c r="J5" s="154">
        <f t="shared" si="7"/>
        <v>37.014380270000004</v>
      </c>
      <c r="K5" s="154">
        <f t="shared" si="7"/>
        <v>36.687539709999996</v>
      </c>
      <c r="L5" s="154">
        <f t="shared" si="7"/>
        <v>36.318101560000002</v>
      </c>
      <c r="M5" s="154">
        <f t="shared" si="7"/>
        <v>36.456715470000006</v>
      </c>
      <c r="N5" s="154">
        <f t="shared" si="7"/>
        <v>36.762837140000002</v>
      </c>
      <c r="O5" s="154">
        <f t="shared" si="7"/>
        <v>36.638108729999999</v>
      </c>
      <c r="P5" s="154">
        <f t="shared" si="7"/>
        <v>36.31389282</v>
      </c>
      <c r="Q5" s="154">
        <f t="shared" si="7"/>
        <v>35.896839469999996</v>
      </c>
      <c r="R5" s="154">
        <f t="shared" si="7"/>
        <v>35.414428579999999</v>
      </c>
      <c r="S5" s="154">
        <f t="shared" si="7"/>
        <v>34.893727730000002</v>
      </c>
      <c r="T5" s="154">
        <f t="shared" si="7"/>
        <v>34.353449429999998</v>
      </c>
      <c r="U5" s="154">
        <f t="shared" si="7"/>
        <v>33.817743499999999</v>
      </c>
      <c r="V5" s="154">
        <f t="shared" si="7"/>
        <v>33.291168519999999</v>
      </c>
      <c r="W5" s="154">
        <f t="shared" si="7"/>
        <v>32.777907620000001</v>
      </c>
      <c r="X5" s="154">
        <f t="shared" si="7"/>
        <v>32.278396199999996</v>
      </c>
      <c r="Y5" s="154">
        <f t="shared" si="7"/>
        <v>31.834171080000001</v>
      </c>
      <c r="Z5" s="154">
        <f t="shared" si="7"/>
        <v>31.428593920000001</v>
      </c>
      <c r="AA5" s="154">
        <f t="shared" si="7"/>
        <v>31.044272400000001</v>
      </c>
      <c r="AB5" s="154">
        <f t="shared" si="7"/>
        <v>30.670348720000003</v>
      </c>
      <c r="AC5" s="154">
        <f t="shared" si="7"/>
        <v>30.30493577</v>
      </c>
      <c r="AD5" s="154">
        <f t="shared" si="7"/>
        <v>29.947084159999999</v>
      </c>
      <c r="AE5" s="154">
        <f t="shared" si="7"/>
        <v>29.598847989999999</v>
      </c>
      <c r="AF5" s="154">
        <f t="shared" si="7"/>
        <v>29.258144390000002</v>
      </c>
      <c r="AG5" s="154">
        <f t="shared" si="7"/>
        <v>28.922241699999997</v>
      </c>
      <c r="AH5" s="154">
        <f t="shared" si="7"/>
        <v>28.518344079999999</v>
      </c>
      <c r="AI5" s="154">
        <f t="shared" si="7"/>
        <v>28.142938450000003</v>
      </c>
      <c r="AJ5" s="154">
        <f t="shared" si="7"/>
        <v>27.7846799</v>
      </c>
      <c r="AK5" s="154">
        <f t="shared" si="7"/>
        <v>27.440714879999998</v>
      </c>
      <c r="AL5" s="154">
        <f t="shared" si="7"/>
        <v>27.106677769999997</v>
      </c>
      <c r="AM5" s="176">
        <f t="shared" si="7"/>
        <v>26.764013500000001</v>
      </c>
    </row>
    <row r="6" spans="1:39" x14ac:dyDescent="0.25">
      <c r="C6" s="157" t="s">
        <v>73</v>
      </c>
      <c r="D6" s="3" t="s">
        <v>423</v>
      </c>
      <c r="E6" s="155"/>
      <c r="F6" s="155"/>
      <c r="G6" s="155">
        <f>G91</f>
        <v>9.7950047117419808E-3</v>
      </c>
      <c r="H6" s="155">
        <f t="shared" ref="H6:AM6" si="8">H91</f>
        <v>1.2771802683549533E-2</v>
      </c>
      <c r="I6" s="155">
        <f t="shared" si="8"/>
        <v>1.5951466142138247E-2</v>
      </c>
      <c r="J6" s="155">
        <f t="shared" si="8"/>
        <v>1.9448259140068536E-2</v>
      </c>
      <c r="K6" s="155">
        <f t="shared" si="8"/>
        <v>2.3879797602268819E-2</v>
      </c>
      <c r="L6" s="155">
        <f t="shared" si="8"/>
        <v>2.9477042879881187E-2</v>
      </c>
      <c r="M6" s="155">
        <f t="shared" si="8"/>
        <v>3.7894931323060294E-2</v>
      </c>
      <c r="N6" s="155">
        <f t="shared" si="8"/>
        <v>4.8268413132599698E-2</v>
      </c>
      <c r="O6" s="155">
        <f t="shared" si="8"/>
        <v>5.8860316068503567E-2</v>
      </c>
      <c r="P6" s="155">
        <f t="shared" si="8"/>
        <v>7.1679066821677087E-2</v>
      </c>
      <c r="Q6" s="155">
        <f t="shared" si="8"/>
        <v>8.8515247774263187E-2</v>
      </c>
      <c r="R6" s="155">
        <f t="shared" si="8"/>
        <v>0.1097141473064536</v>
      </c>
      <c r="S6" s="155">
        <f t="shared" si="8"/>
        <v>0.13521449440735922</v>
      </c>
      <c r="T6" s="155">
        <f t="shared" si="8"/>
        <v>0.16434654090571771</v>
      </c>
      <c r="U6" s="155">
        <f t="shared" si="8"/>
        <v>0.19620689875419989</v>
      </c>
      <c r="V6" s="155">
        <f t="shared" si="8"/>
        <v>0.22950910591828033</v>
      </c>
      <c r="W6" s="155">
        <f t="shared" si="8"/>
        <v>0.26322215441645697</v>
      </c>
      <c r="X6" s="155">
        <f t="shared" si="8"/>
        <v>0.29660884015668659</v>
      </c>
      <c r="Y6" s="155">
        <f t="shared" si="8"/>
        <v>0.33009946335942097</v>
      </c>
      <c r="Z6" s="155">
        <f t="shared" si="8"/>
        <v>0.36306100454397933</v>
      </c>
      <c r="AA6" s="155">
        <f t="shared" si="8"/>
        <v>0.39500193021112645</v>
      </c>
      <c r="AB6" s="155">
        <f t="shared" si="8"/>
        <v>0.4256686058312284</v>
      </c>
      <c r="AC6" s="155">
        <f t="shared" si="8"/>
        <v>0.45503566596075973</v>
      </c>
      <c r="AD6" s="155">
        <f t="shared" si="8"/>
        <v>0.48297273994103607</v>
      </c>
      <c r="AE6" s="155">
        <f t="shared" si="8"/>
        <v>0.50957509106758991</v>
      </c>
      <c r="AF6" s="155">
        <f t="shared" si="8"/>
        <v>0.53486814240169933</v>
      </c>
      <c r="AG6" s="155">
        <f t="shared" si="8"/>
        <v>0.55887219246909203</v>
      </c>
      <c r="AH6" s="155">
        <f t="shared" si="8"/>
        <v>0.58244846381697779</v>
      </c>
      <c r="AI6" s="155">
        <f t="shared" si="8"/>
        <v>0.60508613271689116</v>
      </c>
      <c r="AJ6" s="155">
        <f t="shared" si="8"/>
        <v>0.62666083333211275</v>
      </c>
      <c r="AK6" s="155">
        <f t="shared" si="8"/>
        <v>0.64718219542245403</v>
      </c>
      <c r="AL6" s="155">
        <f t="shared" si="8"/>
        <v>0.66664536588837764</v>
      </c>
      <c r="AM6" s="177">
        <f t="shared" si="8"/>
        <v>0.68488550680188531</v>
      </c>
    </row>
    <row r="7" spans="1:39" x14ac:dyDescent="0.25">
      <c r="C7" s="178" t="s">
        <v>75</v>
      </c>
      <c r="D7" s="7" t="s">
        <v>424</v>
      </c>
      <c r="E7" s="179"/>
      <c r="F7" s="179"/>
      <c r="G7" s="179">
        <f>G99</f>
        <v>0.99020499509484439</v>
      </c>
      <c r="H7" s="179">
        <f t="shared" ref="H7:AM7" si="9">H99</f>
        <v>0.98722819740536638</v>
      </c>
      <c r="I7" s="179">
        <f t="shared" si="9"/>
        <v>0.98404853379868928</v>
      </c>
      <c r="J7" s="179">
        <f t="shared" si="9"/>
        <v>0.98055174084372154</v>
      </c>
      <c r="K7" s="179">
        <f t="shared" si="9"/>
        <v>0.9761202024740514</v>
      </c>
      <c r="L7" s="179">
        <f t="shared" si="9"/>
        <v>0.97052295703751523</v>
      </c>
      <c r="M7" s="179">
        <f t="shared" si="9"/>
        <v>0.96210506864950984</v>
      </c>
      <c r="N7" s="179">
        <f t="shared" si="9"/>
        <v>0.95173158662258783</v>
      </c>
      <c r="O7" s="179">
        <f t="shared" si="9"/>
        <v>0.9411396839314965</v>
      </c>
      <c r="P7" s="179">
        <f t="shared" si="9"/>
        <v>0.92832093317832287</v>
      </c>
      <c r="Q7" s="179">
        <f t="shared" si="9"/>
        <v>0.91148475222573688</v>
      </c>
      <c r="R7" s="179">
        <f t="shared" si="9"/>
        <v>0.89028585252412396</v>
      </c>
      <c r="S7" s="179">
        <f t="shared" si="9"/>
        <v>0.86478550539203169</v>
      </c>
      <c r="T7" s="179">
        <f t="shared" si="9"/>
        <v>0.83565345915250067</v>
      </c>
      <c r="U7" s="179">
        <f t="shared" si="9"/>
        <v>0.80379310109794888</v>
      </c>
      <c r="V7" s="179">
        <f t="shared" si="9"/>
        <v>0.77049089414179572</v>
      </c>
      <c r="W7" s="179">
        <f t="shared" si="9"/>
        <v>0.73677784561405146</v>
      </c>
      <c r="X7" s="179">
        <f t="shared" si="9"/>
        <v>0.70339115981233302</v>
      </c>
      <c r="Y7" s="179">
        <f t="shared" si="9"/>
        <v>0.66990053695470686</v>
      </c>
      <c r="Z7" s="179">
        <f t="shared" si="9"/>
        <v>0.63693899545602073</v>
      </c>
      <c r="AA7" s="179">
        <f t="shared" si="9"/>
        <v>0.60499806978887349</v>
      </c>
      <c r="AB7" s="179">
        <f t="shared" si="9"/>
        <v>0.5743313938427238</v>
      </c>
      <c r="AC7" s="179">
        <f t="shared" si="9"/>
        <v>0.54496433403924027</v>
      </c>
      <c r="AD7" s="179">
        <f t="shared" si="9"/>
        <v>0.51702726005896404</v>
      </c>
      <c r="AE7" s="179">
        <f t="shared" si="9"/>
        <v>0.49042490893241014</v>
      </c>
      <c r="AF7" s="179">
        <f t="shared" si="9"/>
        <v>0.46513185725651546</v>
      </c>
      <c r="AG7" s="179">
        <f t="shared" si="9"/>
        <v>0.44112780753090802</v>
      </c>
      <c r="AH7" s="179">
        <f t="shared" si="9"/>
        <v>0.41755153618302232</v>
      </c>
      <c r="AI7" s="179">
        <f t="shared" si="9"/>
        <v>0.39491386692777986</v>
      </c>
      <c r="AJ7" s="179">
        <f t="shared" si="9"/>
        <v>0.37333916666788736</v>
      </c>
      <c r="AK7" s="179">
        <f t="shared" si="9"/>
        <v>0.35281780454110384</v>
      </c>
      <c r="AL7" s="179">
        <f t="shared" si="9"/>
        <v>0.3333546341485138</v>
      </c>
      <c r="AM7" s="180">
        <f t="shared" si="9"/>
        <v>0.31511449308602391</v>
      </c>
    </row>
    <row r="8" spans="1:39" s="3" customFormat="1" x14ac:dyDescent="0.25">
      <c r="C8" s="153" t="s">
        <v>70</v>
      </c>
      <c r="E8" s="231"/>
      <c r="F8" s="231"/>
      <c r="G8" s="231">
        <f>SUM(G6:G7)</f>
        <v>0.99999999980658638</v>
      </c>
      <c r="H8" s="231">
        <f t="shared" ref="H8:AM8" si="10">SUM(H6:H7)</f>
        <v>1.000000000088916</v>
      </c>
      <c r="I8" s="231">
        <f t="shared" si="10"/>
        <v>0.99999999994082756</v>
      </c>
      <c r="J8" s="231">
        <f t="shared" si="10"/>
        <v>0.99999999998379008</v>
      </c>
      <c r="K8" s="231">
        <f t="shared" si="10"/>
        <v>1.0000000000763203</v>
      </c>
      <c r="L8" s="231">
        <f t="shared" si="10"/>
        <v>0.99999999991739641</v>
      </c>
      <c r="M8" s="231">
        <f t="shared" si="10"/>
        <v>0.99999999997257016</v>
      </c>
      <c r="N8" s="231">
        <f t="shared" si="10"/>
        <v>0.9999999997551875</v>
      </c>
      <c r="O8" s="231">
        <f t="shared" si="10"/>
        <v>1</v>
      </c>
      <c r="P8" s="231">
        <f t="shared" si="10"/>
        <v>1</v>
      </c>
      <c r="Q8" s="231">
        <f t="shared" si="10"/>
        <v>1</v>
      </c>
      <c r="R8" s="231">
        <f t="shared" si="10"/>
        <v>0.99999999983057752</v>
      </c>
      <c r="S8" s="231">
        <f t="shared" si="10"/>
        <v>0.99999999979939092</v>
      </c>
      <c r="T8" s="231">
        <f t="shared" si="10"/>
        <v>1.0000000000582183</v>
      </c>
      <c r="U8" s="231">
        <f t="shared" si="10"/>
        <v>0.99999999985214871</v>
      </c>
      <c r="V8" s="231">
        <f t="shared" si="10"/>
        <v>1.0000000000600759</v>
      </c>
      <c r="W8" s="231">
        <f t="shared" si="10"/>
        <v>1.0000000000305085</v>
      </c>
      <c r="X8" s="231">
        <f t="shared" si="10"/>
        <v>0.99999999996901967</v>
      </c>
      <c r="Y8" s="231">
        <f t="shared" si="10"/>
        <v>1.0000000003141278</v>
      </c>
      <c r="Z8" s="231">
        <f t="shared" si="10"/>
        <v>1</v>
      </c>
      <c r="AA8" s="231">
        <f t="shared" si="10"/>
        <v>1</v>
      </c>
      <c r="AB8" s="231">
        <f t="shared" si="10"/>
        <v>0.99999999967395214</v>
      </c>
      <c r="AC8" s="231">
        <f t="shared" si="10"/>
        <v>1</v>
      </c>
      <c r="AD8" s="231">
        <f t="shared" si="10"/>
        <v>1</v>
      </c>
      <c r="AE8" s="231">
        <f t="shared" si="10"/>
        <v>1</v>
      </c>
      <c r="AF8" s="231">
        <f t="shared" si="10"/>
        <v>0.99999999965821473</v>
      </c>
      <c r="AG8" s="231">
        <f t="shared" si="10"/>
        <v>1</v>
      </c>
      <c r="AH8" s="231">
        <f t="shared" si="10"/>
        <v>1</v>
      </c>
      <c r="AI8" s="231">
        <f t="shared" si="10"/>
        <v>0.99999999964467101</v>
      </c>
      <c r="AJ8" s="231">
        <f t="shared" si="10"/>
        <v>1</v>
      </c>
      <c r="AK8" s="231">
        <f t="shared" si="10"/>
        <v>0.99999999996355782</v>
      </c>
      <c r="AL8" s="231">
        <f t="shared" si="10"/>
        <v>1.0000000000368914</v>
      </c>
      <c r="AM8" s="231">
        <f t="shared" si="10"/>
        <v>0.99999999988790922</v>
      </c>
    </row>
    <row r="9" spans="1:39" s="3" customFormat="1" x14ac:dyDescent="0.25"/>
    <row r="10" spans="1:39" s="3" customFormat="1" x14ac:dyDescent="0.25"/>
    <row r="11" spans="1:39" s="3" customFormat="1" x14ac:dyDescent="0.25"/>
    <row r="12" spans="1:39" x14ac:dyDescent="0.25">
      <c r="C12" s="156"/>
      <c r="E12" s="20"/>
      <c r="F12" s="20"/>
      <c r="G12" s="20"/>
      <c r="H12" s="20"/>
      <c r="I12" s="20">
        <v>2020</v>
      </c>
      <c r="J12" s="93">
        <v>2030</v>
      </c>
      <c r="K12" s="93">
        <v>2050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C13" s="157" t="s">
        <v>73</v>
      </c>
      <c r="D13" s="3"/>
      <c r="E13" s="181"/>
      <c r="F13" s="181"/>
      <c r="G13" s="181"/>
      <c r="H13" s="181"/>
      <c r="I13" s="181">
        <f>I91</f>
        <v>1.5951466142138247E-2</v>
      </c>
      <c r="J13" s="182">
        <f>S91</f>
        <v>0.13521449440735922</v>
      </c>
      <c r="K13" s="182">
        <f>AM91</f>
        <v>0.68488550680188531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C14" s="158" t="s">
        <v>59</v>
      </c>
      <c r="D14" s="3"/>
      <c r="E14" s="183"/>
      <c r="F14" s="183"/>
      <c r="G14" s="183"/>
      <c r="H14" s="183"/>
      <c r="I14" s="183">
        <f>I91</f>
        <v>1.5951466142138247E-2</v>
      </c>
      <c r="J14" s="183">
        <f>S91</f>
        <v>0.13521449440735922</v>
      </c>
      <c r="K14" s="183">
        <f>AM91</f>
        <v>0.68488550680188531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C15" s="157" t="s">
        <v>74</v>
      </c>
      <c r="D15" s="3"/>
      <c r="E15" s="181"/>
      <c r="F15" s="181"/>
      <c r="G15" s="181"/>
      <c r="H15" s="181"/>
      <c r="I15" s="181">
        <f>I99</f>
        <v>0.98404853379868928</v>
      </c>
      <c r="J15" s="181">
        <f>S99</f>
        <v>0.86478550539203169</v>
      </c>
      <c r="K15" s="182">
        <f>AM99</f>
        <v>0.31511449308602391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C16" s="158" t="s">
        <v>56</v>
      </c>
      <c r="D16" s="3"/>
      <c r="E16" s="184"/>
      <c r="F16" s="184"/>
      <c r="G16" s="184"/>
      <c r="H16" s="184"/>
      <c r="I16" s="184">
        <f>I100+I101</f>
        <v>0.1403411114439567</v>
      </c>
      <c r="J16" s="184">
        <f>S100+S101</f>
        <v>0.16067668713651653</v>
      </c>
      <c r="K16" s="184">
        <f>AM100+AM101</f>
        <v>5.9692703144093091E-2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C17" s="159" t="s">
        <v>57</v>
      </c>
      <c r="D17" s="3"/>
      <c r="E17" s="183"/>
      <c r="F17" s="183"/>
      <c r="G17" s="183"/>
      <c r="H17" s="183"/>
      <c r="I17" s="183">
        <f>I102+I103+I104</f>
        <v>0.7196255960553839</v>
      </c>
      <c r="J17" s="183">
        <f>S102+S103+S104</f>
        <v>0.62688873075585261</v>
      </c>
      <c r="K17" s="183">
        <f>AM102+AM103+AM104</f>
        <v>0.22804414547167973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C18" s="159" t="s">
        <v>58</v>
      </c>
      <c r="D18" s="3"/>
      <c r="E18" s="183"/>
      <c r="F18" s="183"/>
      <c r="G18" s="183"/>
      <c r="H18" s="183"/>
      <c r="I18" s="183">
        <f>I105+I106</f>
        <v>0.1240818263773488</v>
      </c>
      <c r="J18" s="183">
        <f>S105+S106</f>
        <v>7.7220087642954738E-2</v>
      </c>
      <c r="K18" s="183">
        <f>AM105+AM106</f>
        <v>2.7377644492669231E-2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C19" s="160" t="s">
        <v>70</v>
      </c>
      <c r="E19" s="185"/>
      <c r="F19" s="185"/>
      <c r="G19" s="185"/>
      <c r="H19" s="185"/>
      <c r="I19" s="185">
        <f>SUM(I16:I18)</f>
        <v>0.98404853387668934</v>
      </c>
      <c r="J19" s="185">
        <f>SUM(J16:J18)</f>
        <v>0.86478550553532385</v>
      </c>
      <c r="K19" s="185">
        <f>SUM(K16:K18)</f>
        <v>0.31511449310844203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s="3" customFormat="1" x14ac:dyDescent="0.25"/>
    <row r="21" spans="1:39" s="3" customFormat="1" x14ac:dyDescent="0.25"/>
    <row r="22" spans="1:39" s="3" customFormat="1" x14ac:dyDescent="0.25"/>
    <row r="23" spans="1:39" s="3" customFormat="1" ht="23.25" x14ac:dyDescent="0.35">
      <c r="B23" s="46"/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</row>
    <row r="24" spans="1:39" s="3" customFormat="1" ht="23.25" x14ac:dyDescent="0.35">
      <c r="A24" s="228" t="s">
        <v>76</v>
      </c>
      <c r="C24" s="228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</row>
    <row r="25" spans="1:39" x14ac:dyDescent="0.25">
      <c r="C25" s="11"/>
      <c r="D25" s="11"/>
      <c r="E25" s="93">
        <v>2006</v>
      </c>
      <c r="F25" s="93">
        <v>2015</v>
      </c>
      <c r="G25" s="93">
        <v>2018</v>
      </c>
      <c r="H25" s="93">
        <v>2019</v>
      </c>
      <c r="I25" s="93">
        <v>2020</v>
      </c>
      <c r="J25" s="20">
        <v>2021</v>
      </c>
      <c r="K25" s="4">
        <v>2022</v>
      </c>
      <c r="L25" s="4">
        <v>2023</v>
      </c>
      <c r="M25" s="4">
        <v>2024</v>
      </c>
      <c r="N25" s="92">
        <v>2025</v>
      </c>
      <c r="O25" s="20">
        <v>2026</v>
      </c>
      <c r="P25" s="4">
        <v>2027</v>
      </c>
      <c r="Q25" s="4">
        <v>2028</v>
      </c>
      <c r="R25" s="4">
        <v>2029</v>
      </c>
      <c r="S25" s="92">
        <v>2030</v>
      </c>
      <c r="T25" s="4">
        <v>2031</v>
      </c>
      <c r="U25" s="92">
        <v>2032</v>
      </c>
      <c r="V25" s="4">
        <v>2033</v>
      </c>
      <c r="W25" s="92">
        <v>2034</v>
      </c>
      <c r="X25" s="4">
        <v>2035</v>
      </c>
      <c r="Y25" s="92">
        <v>2036</v>
      </c>
      <c r="Z25" s="4">
        <v>2037</v>
      </c>
      <c r="AA25" s="92">
        <v>2038</v>
      </c>
      <c r="AB25" s="4">
        <v>2039</v>
      </c>
      <c r="AC25" s="93">
        <v>2040</v>
      </c>
      <c r="AD25" s="4">
        <v>2041</v>
      </c>
      <c r="AE25" s="93">
        <v>2042</v>
      </c>
      <c r="AF25" s="4">
        <v>2043</v>
      </c>
      <c r="AG25" s="93">
        <v>2044</v>
      </c>
      <c r="AH25" s="4">
        <v>2045</v>
      </c>
      <c r="AI25" s="93">
        <v>2046</v>
      </c>
      <c r="AJ25" s="4">
        <v>2047</v>
      </c>
      <c r="AK25" s="93">
        <v>2048</v>
      </c>
      <c r="AL25" s="4">
        <v>2049</v>
      </c>
      <c r="AM25" s="93">
        <v>2050</v>
      </c>
    </row>
    <row r="26" spans="1:39" x14ac:dyDescent="0.25">
      <c r="A26" s="152" t="str">
        <f>Résultats!B1</f>
        <v>SNBC3</v>
      </c>
      <c r="B26" s="60" t="s">
        <v>77</v>
      </c>
      <c r="C26" s="216" t="s">
        <v>51</v>
      </c>
      <c r="D26" s="50" t="s">
        <v>149</v>
      </c>
      <c r="E26" s="99">
        <f>VLOOKUP($D26,Résultats!$B$2:$AZ$251,E$2,FALSE)</f>
        <v>2373</v>
      </c>
      <c r="F26" s="99">
        <f>VLOOKUP($D26,Résultats!$B$2:$AZ$251,F$2,FALSE)</f>
        <v>1940.3869999999999</v>
      </c>
      <c r="G26" s="99">
        <f>VLOOKUP($D26,Résultats!$B$2:$AZ$251,G$2,FALSE)</f>
        <v>2203.7420000000002</v>
      </c>
      <c r="H26" s="99">
        <f>VLOOKUP($D26,Résultats!$B$2:$AZ$251,H$2,FALSE)</f>
        <v>2240.3020000000001</v>
      </c>
      <c r="I26" s="99">
        <f>VLOOKUP($D26,Résultats!$B$2:$AZ$251,I$2,FALSE)</f>
        <v>1921.3764100000001</v>
      </c>
      <c r="J26" s="51">
        <f>VLOOKUP($D26,Résultats!$B$2:$AZ$251,J$2,FALSE)</f>
        <v>1693.9188529999999</v>
      </c>
      <c r="K26" s="51">
        <f>VLOOKUP($D26,Résultats!$B$2:$AZ$251,K$2,FALSE)</f>
        <v>1729.513895</v>
      </c>
      <c r="L26" s="51">
        <f>VLOOKUP($D26,Résultats!$B$2:$AZ$251,L$2,FALSE)</f>
        <v>1788.6524159999999</v>
      </c>
      <c r="M26" s="51">
        <f>VLOOKUP($D26,Résultats!$B$2:$AZ$251,M$2,FALSE)</f>
        <v>2274.9728540000001</v>
      </c>
      <c r="N26" s="51">
        <f>VLOOKUP($D26,Résultats!$B$2:$AZ$251,N$2,FALSE)</f>
        <v>2450.6343430000002</v>
      </c>
      <c r="O26" s="51">
        <f>VLOOKUP($D26,Résultats!$B$2:$AZ$251,O$2,FALSE)</f>
        <v>2046.3052829999999</v>
      </c>
      <c r="P26" s="51">
        <f>VLOOKUP($D26,Résultats!$B$2:$AZ$251,P$2,FALSE)</f>
        <v>1848.0039790000001</v>
      </c>
      <c r="Q26" s="51">
        <f>VLOOKUP($D26,Résultats!$B$2:$AZ$251,Q$2,FALSE)</f>
        <v>1744.487889</v>
      </c>
      <c r="R26" s="51">
        <f>VLOOKUP($D26,Résultats!$B$2:$AZ$251,R$2,FALSE)</f>
        <v>1662.8185559999999</v>
      </c>
      <c r="S26" s="51">
        <f>VLOOKUP($D26,Résultats!$B$2:$AZ$251,S$2,FALSE)</f>
        <v>1604.1648640000001</v>
      </c>
      <c r="T26" s="51">
        <f>VLOOKUP($D26,Résultats!$B$2:$AZ$251,T$2,FALSE)</f>
        <v>1561.753498</v>
      </c>
      <c r="U26" s="51">
        <f>VLOOKUP($D26,Résultats!$B$2:$AZ$251,U$2,FALSE)</f>
        <v>1542.123668</v>
      </c>
      <c r="V26" s="51">
        <f>VLOOKUP($D26,Résultats!$B$2:$AZ$251,V$2,FALSE)</f>
        <v>1527.1341359999999</v>
      </c>
      <c r="W26" s="51">
        <f>VLOOKUP($D26,Résultats!$B$2:$AZ$251,W$2,FALSE)</f>
        <v>1516.6884050000001</v>
      </c>
      <c r="X26" s="51">
        <f>VLOOKUP($D26,Résultats!$B$2:$AZ$251,X$2,FALSE)</f>
        <v>1507.2992449999999</v>
      </c>
      <c r="Y26" s="51">
        <f>VLOOKUP($D26,Résultats!$B$2:$AZ$251,Y$2,FALSE)</f>
        <v>1540.102523</v>
      </c>
      <c r="Z26" s="51">
        <f>VLOOKUP($D26,Résultats!$B$2:$AZ$251,Z$2,FALSE)</f>
        <v>1559.495122</v>
      </c>
      <c r="AA26" s="51">
        <f>VLOOKUP($D26,Résultats!$B$2:$AZ$251,AA$2,FALSE)</f>
        <v>1563.731822</v>
      </c>
      <c r="AB26" s="51">
        <f>VLOOKUP($D26,Résultats!$B$2:$AZ$251,AB$2,FALSE)</f>
        <v>1558.2924439999999</v>
      </c>
      <c r="AC26" s="51">
        <f>VLOOKUP($D26,Résultats!$B$2:$AZ$251,AC$2,FALSE)</f>
        <v>1551.4838500000001</v>
      </c>
      <c r="AD26" s="51">
        <f>VLOOKUP($D26,Résultats!$B$2:$AZ$251,AD$2,FALSE)</f>
        <v>1536.2068730000001</v>
      </c>
      <c r="AE26" s="51">
        <f>VLOOKUP($D26,Résultats!$B$2:$AZ$251,AE$2,FALSE)</f>
        <v>1523.456596</v>
      </c>
      <c r="AF26" s="51">
        <f>VLOOKUP($D26,Résultats!$B$2:$AZ$251,AF$2,FALSE)</f>
        <v>1509.2243920000001</v>
      </c>
      <c r="AG26" s="51">
        <f>VLOOKUP($D26,Résultats!$B$2:$AZ$251,AG$2,FALSE)</f>
        <v>1492.7313360000001</v>
      </c>
      <c r="AH26" s="51">
        <f>VLOOKUP($D26,Résultats!$B$2:$AZ$251,AH$2,FALSE)</f>
        <v>1524.251829</v>
      </c>
      <c r="AI26" s="51">
        <f>VLOOKUP($D26,Résultats!$B$2:$AZ$251,AI$2,FALSE)</f>
        <v>1525.8173039999999</v>
      </c>
      <c r="AJ26" s="51">
        <f>VLOOKUP($D26,Résultats!$B$2:$AZ$251,AJ$2,FALSE)</f>
        <v>1517.9373479999999</v>
      </c>
      <c r="AK26" s="51">
        <f>VLOOKUP($D26,Résultats!$B$2:$AZ$251,AK$2,FALSE)</f>
        <v>1508.3469720000001</v>
      </c>
      <c r="AL26" s="51">
        <f>VLOOKUP($D26,Résultats!$B$2:$AZ$251,AL$2,FALSE)</f>
        <v>1495.343887</v>
      </c>
      <c r="AM26" s="100">
        <f>VLOOKUP($D26,Résultats!$B$2:$AZ$251,AM$2,FALSE)</f>
        <v>1464.447576</v>
      </c>
    </row>
    <row r="27" spans="1:39" x14ac:dyDescent="0.25">
      <c r="C27" s="217" t="s">
        <v>462</v>
      </c>
      <c r="D27" s="52" t="s">
        <v>158</v>
      </c>
      <c r="E27" s="53">
        <f>VLOOKUP($D27,Résultats!$B$2:$AZ$251,E$2,FALSE)</f>
        <v>2.1781676650000001</v>
      </c>
      <c r="F27" s="53">
        <f>VLOOKUP($D27,Résultats!$B$2:$AZ$251,F$2,FALSE)</f>
        <v>42.374029460000003</v>
      </c>
      <c r="G27" s="53">
        <f>VLOOKUP($D27,Résultats!$B$2:$AZ$251,G$2,FALSE)</f>
        <v>102.6298006</v>
      </c>
      <c r="H27" s="53">
        <f>VLOOKUP($D27,Résultats!$B$2:$AZ$251,H$2,FALSE)</f>
        <v>132.42388600000001</v>
      </c>
      <c r="I27" s="53">
        <f>VLOOKUP($D27,Résultats!$B$2:$AZ$251,I$2,FALSE)</f>
        <v>142.7575252</v>
      </c>
      <c r="J27" s="53">
        <f>VLOOKUP($D27,Résultats!$B$2:$AZ$251,J$2,FALSE)</f>
        <v>156.45211499999999</v>
      </c>
      <c r="K27" s="53">
        <f>VLOOKUP($D27,Résultats!$B$2:$AZ$251,K$2,FALSE)</f>
        <v>196.218277</v>
      </c>
      <c r="L27" s="53">
        <f>VLOOKUP($D27,Résultats!$B$2:$AZ$251,L$2,FALSE)</f>
        <v>245.99397999999999</v>
      </c>
      <c r="M27" s="53">
        <f>VLOOKUP($D27,Résultats!$B$2:$AZ$251,M$2,FALSE)</f>
        <v>373.94803489999998</v>
      </c>
      <c r="N27" s="53">
        <f>VLOOKUP($D27,Résultats!$B$2:$AZ$251,N$2,FALSE)</f>
        <v>474.22524229999999</v>
      </c>
      <c r="O27" s="53">
        <f>VLOOKUP($D27,Résultats!$B$2:$AZ$251,O$2,FALSE)</f>
        <v>486.83920000000001</v>
      </c>
      <c r="P27" s="53">
        <f>VLOOKUP($D27,Résultats!$B$2:$AZ$251,P$2,FALSE)</f>
        <v>574.27283880000005</v>
      </c>
      <c r="Q27" s="53">
        <f>VLOOKUP($D27,Résultats!$B$2:$AZ$251,Q$2,FALSE)</f>
        <v>729.40894900000001</v>
      </c>
      <c r="R27" s="53">
        <f>VLOOKUP($D27,Résultats!$B$2:$AZ$251,R$2,FALSE)</f>
        <v>897.93170999999995</v>
      </c>
      <c r="S27" s="53">
        <f>VLOOKUP($D27,Résultats!$B$2:$AZ$251,S$2,FALSE)</f>
        <v>1065.801749</v>
      </c>
      <c r="T27" s="53">
        <f>VLOOKUP($D27,Résultats!$B$2:$AZ$251,T$2,FALSE)</f>
        <v>1211.9579940000001</v>
      </c>
      <c r="U27" s="53">
        <f>VLOOKUP($D27,Résultats!$B$2:$AZ$251,U$2,FALSE)</f>
        <v>1330.888101</v>
      </c>
      <c r="V27" s="53">
        <f>VLOOKUP($D27,Résultats!$B$2:$AZ$251,V$2,FALSE)</f>
        <v>1408.3036440000001</v>
      </c>
      <c r="W27" s="53">
        <f>VLOOKUP($D27,Résultats!$B$2:$AZ$251,W$2,FALSE)</f>
        <v>1453.136988</v>
      </c>
      <c r="X27" s="53">
        <f>VLOOKUP($D27,Résultats!$B$2:$AZ$251,X$2,FALSE)</f>
        <v>1474.4232260000001</v>
      </c>
      <c r="Y27" s="53">
        <f>VLOOKUP($D27,Résultats!$B$2:$AZ$251,Y$2,FALSE)</f>
        <v>1522.9542449999999</v>
      </c>
      <c r="Z27" s="53">
        <f>VLOOKUP($D27,Résultats!$B$2:$AZ$251,Z$2,FALSE)</f>
        <v>1550.7234000000001</v>
      </c>
      <c r="AA27" s="53">
        <f>VLOOKUP($D27,Résultats!$B$2:$AZ$251,AA$2,FALSE)</f>
        <v>1559.3128409999999</v>
      </c>
      <c r="AB27" s="53">
        <f>VLOOKUP($D27,Résultats!$B$2:$AZ$251,AB$2,FALSE)</f>
        <v>1556.0861649999999</v>
      </c>
      <c r="AC27" s="53">
        <f>VLOOKUP($D27,Résultats!$B$2:$AZ$251,AC$2,FALSE)</f>
        <v>1550.3848379999999</v>
      </c>
      <c r="AD27" s="53">
        <f>VLOOKUP($D27,Résultats!$B$2:$AZ$251,AD$2,FALSE)</f>
        <v>1535.6628229999999</v>
      </c>
      <c r="AE27" s="53">
        <f>VLOOKUP($D27,Résultats!$B$2:$AZ$251,AE$2,FALSE)</f>
        <v>1523.1869489999999</v>
      </c>
      <c r="AF27" s="53">
        <f>VLOOKUP($D27,Résultats!$B$2:$AZ$251,AF$2,FALSE)</f>
        <v>1509.0909119999999</v>
      </c>
      <c r="AG27" s="53">
        <f>VLOOKUP($D27,Résultats!$B$2:$AZ$251,AG$2,FALSE)</f>
        <v>1492.6653719999999</v>
      </c>
      <c r="AH27" s="53">
        <f>VLOOKUP($D27,Résultats!$B$2:$AZ$251,AH$2,FALSE)</f>
        <v>1524.218175</v>
      </c>
      <c r="AI27" s="53">
        <f>VLOOKUP($D27,Résultats!$B$2:$AZ$251,AI$2,FALSE)</f>
        <v>1525.800473</v>
      </c>
      <c r="AJ27" s="53">
        <f>VLOOKUP($D27,Résultats!$B$2:$AZ$251,AJ$2,FALSE)</f>
        <v>1517.928983</v>
      </c>
      <c r="AK27" s="53">
        <f>VLOOKUP($D27,Résultats!$B$2:$AZ$251,AK$2,FALSE)</f>
        <v>1508.3428200000001</v>
      </c>
      <c r="AL27" s="53">
        <f>VLOOKUP($D27,Résultats!$B$2:$AZ$251,AL$2,FALSE)</f>
        <v>1495.3418300000001</v>
      </c>
      <c r="AM27" s="213">
        <f>VLOOKUP($D27,Résultats!$B$2:$AZ$251,AM$2,FALSE)</f>
        <v>1464.4465700000001</v>
      </c>
    </row>
    <row r="28" spans="1:39" x14ac:dyDescent="0.25">
      <c r="C28" s="218" t="s">
        <v>27</v>
      </c>
      <c r="D28" s="54" t="s">
        <v>159</v>
      </c>
      <c r="E28" s="25">
        <f>VLOOKUP($D28,Résultats!$B$2:$AZ$251,E$2,FALSE)</f>
        <v>6.4870972799999996E-3</v>
      </c>
      <c r="F28" s="25">
        <f>VLOOKUP($D28,Résultats!$B$2:$AZ$251,F$2,FALSE)</f>
        <v>0.46620838079999999</v>
      </c>
      <c r="G28" s="25">
        <f>VLOOKUP($D28,Résultats!$B$2:$AZ$251,G$2,FALSE)</f>
        <v>0.62857017270000004</v>
      </c>
      <c r="H28" s="25">
        <f>VLOOKUP($D28,Résultats!$B$2:$AZ$251,H$2,FALSE)</f>
        <v>1.0655330949999999</v>
      </c>
      <c r="I28" s="25">
        <f>VLOOKUP($D28,Résultats!$B$2:$AZ$251,I$2,FALSE)</f>
        <v>1.5582561450000001</v>
      </c>
      <c r="J28" s="25">
        <f>VLOOKUP($D28,Résultats!$B$2:$AZ$251,J$2,FALSE)</f>
        <v>2.1399559469999998</v>
      </c>
      <c r="K28" s="25">
        <f>VLOOKUP($D28,Résultats!$B$2:$AZ$251,K$2,FALSE)</f>
        <v>4.8214059059999999</v>
      </c>
      <c r="L28" s="25">
        <f>VLOOKUP($D28,Résultats!$B$2:$AZ$251,L$2,FALSE)</f>
        <v>7.7469904539999996</v>
      </c>
      <c r="M28" s="25">
        <f>VLOOKUP($D28,Résultats!$B$2:$AZ$251,M$2,FALSE)</f>
        <v>11.995370250000001</v>
      </c>
      <c r="N28" s="25">
        <f>VLOOKUP($D28,Résultats!$B$2:$AZ$251,N$2,FALSE)</f>
        <v>16.157855850000001</v>
      </c>
      <c r="O28" s="25">
        <f>VLOOKUP($D28,Résultats!$B$2:$AZ$251,O$2,FALSE)</f>
        <v>18.436366079999999</v>
      </c>
      <c r="P28" s="25">
        <f>VLOOKUP($D28,Résultats!$B$2:$AZ$251,P$2,FALSE)</f>
        <v>23.362577340000001</v>
      </c>
      <c r="Q28" s="25">
        <f>VLOOKUP($D28,Résultats!$B$2:$AZ$251,Q$2,FALSE)</f>
        <v>31.260674659999999</v>
      </c>
      <c r="R28" s="25">
        <f>VLOOKUP($D28,Résultats!$B$2:$AZ$251,R$2,FALSE)</f>
        <v>40.40504018</v>
      </c>
      <c r="S28" s="25">
        <f>VLOOKUP($D28,Résultats!$B$2:$AZ$251,S$2,FALSE)</f>
        <v>50.317552980000002</v>
      </c>
      <c r="T28" s="25">
        <f>VLOOKUP($D28,Résultats!$B$2:$AZ$251,T$2,FALSE)</f>
        <v>60.114725970000002</v>
      </c>
      <c r="U28" s="25">
        <f>VLOOKUP($D28,Résultats!$B$2:$AZ$251,U$2,FALSE)</f>
        <v>69.27504098</v>
      </c>
      <c r="V28" s="25">
        <f>VLOOKUP($D28,Résultats!$B$2:$AZ$251,V$2,FALSE)</f>
        <v>77.030221900000001</v>
      </c>
      <c r="W28" s="25">
        <f>VLOOKUP($D28,Résultats!$B$2:$AZ$251,W$2,FALSE)</f>
        <v>83.503733740000001</v>
      </c>
      <c r="X28" s="25">
        <f>VLOOKUP($D28,Résultats!$B$2:$AZ$251,X$2,FALSE)</f>
        <v>88.950555390000005</v>
      </c>
      <c r="Y28" s="25">
        <f>VLOOKUP($D28,Résultats!$B$2:$AZ$251,Y$2,FALSE)</f>
        <v>96.023765190000006</v>
      </c>
      <c r="Z28" s="25">
        <f>VLOOKUP($D28,Résultats!$B$2:$AZ$251,Z$2,FALSE)</f>
        <v>102.2597494</v>
      </c>
      <c r="AA28" s="25">
        <f>VLOOKUP($D28,Résultats!$B$2:$AZ$251,AA$2,FALSE)</f>
        <v>107.58011689999999</v>
      </c>
      <c r="AB28" s="25">
        <f>VLOOKUP($D28,Résultats!$B$2:$AZ$251,AB$2,FALSE)</f>
        <v>112.2919279</v>
      </c>
      <c r="AC28" s="25">
        <f>VLOOKUP($D28,Résultats!$B$2:$AZ$251,AC$2,FALSE)</f>
        <v>116.8433398</v>
      </c>
      <c r="AD28" s="25">
        <f>VLOOKUP($D28,Résultats!$B$2:$AZ$251,AD$2,FALSE)</f>
        <v>120.0519</v>
      </c>
      <c r="AE28" s="25">
        <f>VLOOKUP($D28,Résultats!$B$2:$AZ$251,AE$2,FALSE)</f>
        <v>123.348558</v>
      </c>
      <c r="AF28" s="25">
        <f>VLOOKUP($D28,Résultats!$B$2:$AZ$251,AF$2,FALSE)</f>
        <v>126.46353000000001</v>
      </c>
      <c r="AG28" s="25">
        <f>VLOOKUP($D28,Résultats!$B$2:$AZ$251,AG$2,FALSE)</f>
        <v>129.3392029</v>
      </c>
      <c r="AH28" s="25">
        <f>VLOOKUP($D28,Résultats!$B$2:$AZ$251,AH$2,FALSE)</f>
        <v>148.7192326</v>
      </c>
      <c r="AI28" s="25">
        <f>VLOOKUP($D28,Résultats!$B$2:$AZ$251,AI$2,FALSE)</f>
        <v>153.37139120000001</v>
      </c>
      <c r="AJ28" s="25">
        <f>VLOOKUP($D28,Résultats!$B$2:$AZ$251,AJ$2,FALSE)</f>
        <v>157.2949399</v>
      </c>
      <c r="AK28" s="25">
        <f>VLOOKUP($D28,Résultats!$B$2:$AZ$251,AK$2,FALSE)</f>
        <v>161.02214649999999</v>
      </c>
      <c r="AL28" s="25">
        <f>VLOOKUP($D28,Résultats!$B$2:$AZ$251,AL$2,FALSE)</f>
        <v>164.37418460000001</v>
      </c>
      <c r="AM28" s="102">
        <f>VLOOKUP($D28,Résultats!$B$2:$AZ$251,AM$2,FALSE)</f>
        <v>165.87629960000001</v>
      </c>
    </row>
    <row r="29" spans="1:39" x14ac:dyDescent="0.25">
      <c r="C29" s="218" t="s">
        <v>28</v>
      </c>
      <c r="D29" s="54" t="s">
        <v>160</v>
      </c>
      <c r="E29" s="25">
        <f>VLOOKUP($D29,Résultats!$B$2:$AZ$251,E$2,FALSE)</f>
        <v>1.4870423000000001E-2</v>
      </c>
      <c r="F29" s="25">
        <f>VLOOKUP($D29,Résultats!$B$2:$AZ$251,F$2,FALSE)</f>
        <v>0.52132500940000004</v>
      </c>
      <c r="G29" s="25">
        <f>VLOOKUP($D29,Résultats!$B$2:$AZ$251,G$2,FALSE)</f>
        <v>0.92366944770000003</v>
      </c>
      <c r="H29" s="25">
        <f>VLOOKUP($D29,Résultats!$B$2:$AZ$251,H$2,FALSE)</f>
        <v>1.3651271469999999</v>
      </c>
      <c r="I29" s="25">
        <f>VLOOKUP($D29,Résultats!$B$2:$AZ$251,I$2,FALSE)</f>
        <v>1.7480202380000001</v>
      </c>
      <c r="J29" s="25">
        <f>VLOOKUP($D29,Résultats!$B$2:$AZ$251,J$2,FALSE)</f>
        <v>2.2042718510000001</v>
      </c>
      <c r="K29" s="25">
        <f>VLOOKUP($D29,Résultats!$B$2:$AZ$251,K$2,FALSE)</f>
        <v>4.1535818710000001</v>
      </c>
      <c r="L29" s="25">
        <f>VLOOKUP($D29,Résultats!$B$2:$AZ$251,L$2,FALSE)</f>
        <v>6.2726480889999996</v>
      </c>
      <c r="M29" s="25">
        <f>VLOOKUP($D29,Résultats!$B$2:$AZ$251,M$2,FALSE)</f>
        <v>9.6699969469999996</v>
      </c>
      <c r="N29" s="25">
        <f>VLOOKUP($D29,Résultats!$B$2:$AZ$251,N$2,FALSE)</f>
        <v>12.84166976</v>
      </c>
      <c r="O29" s="25">
        <f>VLOOKUP($D29,Résultats!$B$2:$AZ$251,O$2,FALSE)</f>
        <v>14.298940610000001</v>
      </c>
      <c r="P29" s="25">
        <f>VLOOKUP($D29,Résultats!$B$2:$AZ$251,P$2,FALSE)</f>
        <v>17.826342960000002</v>
      </c>
      <c r="Q29" s="25">
        <f>VLOOKUP($D29,Résultats!$B$2:$AZ$251,Q$2,FALSE)</f>
        <v>23.573107589999999</v>
      </c>
      <c r="R29" s="25">
        <f>VLOOKUP($D29,Résultats!$B$2:$AZ$251,R$2,FALSE)</f>
        <v>30.13498512</v>
      </c>
      <c r="S29" s="25">
        <f>VLOOKUP($D29,Résultats!$B$2:$AZ$251,S$2,FALSE)</f>
        <v>37.122732990000003</v>
      </c>
      <c r="T29" s="25">
        <f>VLOOKUP($D29,Résultats!$B$2:$AZ$251,T$2,FALSE)</f>
        <v>43.856621920000002</v>
      </c>
      <c r="U29" s="25">
        <f>VLOOKUP($D29,Résultats!$B$2:$AZ$251,U$2,FALSE)</f>
        <v>49.986452219999997</v>
      </c>
      <c r="V29" s="25">
        <f>VLOOKUP($D29,Résultats!$B$2:$AZ$251,V$2,FALSE)</f>
        <v>54.951705779999998</v>
      </c>
      <c r="W29" s="25">
        <f>VLOOKUP($D29,Résultats!$B$2:$AZ$251,W$2,FALSE)</f>
        <v>58.889094620000002</v>
      </c>
      <c r="X29" s="25">
        <f>VLOOKUP($D29,Résultats!$B$2:$AZ$251,X$2,FALSE)</f>
        <v>62.013636050000002</v>
      </c>
      <c r="Y29" s="25">
        <f>VLOOKUP($D29,Résultats!$B$2:$AZ$251,Y$2,FALSE)</f>
        <v>66.239400540000005</v>
      </c>
      <c r="Z29" s="25">
        <f>VLOOKUP($D29,Résultats!$B$2:$AZ$251,Z$2,FALSE)</f>
        <v>69.772083719999998</v>
      </c>
      <c r="AA29" s="25">
        <f>VLOOKUP($D29,Résultats!$B$2:$AZ$251,AA$2,FALSE)</f>
        <v>72.579191940000001</v>
      </c>
      <c r="AB29" s="25">
        <f>VLOOKUP($D29,Résultats!$B$2:$AZ$251,AB$2,FALSE)</f>
        <v>74.893981729999894</v>
      </c>
      <c r="AC29" s="25">
        <f>VLOOKUP($D29,Résultats!$B$2:$AZ$251,AC$2,FALSE)</f>
        <v>77.049595740000001</v>
      </c>
      <c r="AD29" s="25">
        <f>VLOOKUP($D29,Résultats!$B$2:$AZ$251,AD$2,FALSE)</f>
        <v>78.391819709999893</v>
      </c>
      <c r="AE29" s="25">
        <f>VLOOKUP($D29,Résultats!$B$2:$AZ$251,AE$2,FALSE)</f>
        <v>79.769246640000006</v>
      </c>
      <c r="AF29" s="25">
        <f>VLOOKUP($D29,Résultats!$B$2:$AZ$251,AF$2,FALSE)</f>
        <v>81.000631949999999</v>
      </c>
      <c r="AG29" s="25">
        <f>VLOOKUP($D29,Résultats!$B$2:$AZ$251,AG$2,FALSE)</f>
        <v>82.048923970000004</v>
      </c>
      <c r="AH29" s="25">
        <f>VLOOKUP($D29,Résultats!$B$2:$AZ$251,AH$2,FALSE)</f>
        <v>90.980750959999995</v>
      </c>
      <c r="AI29" s="25">
        <f>VLOOKUP($D29,Résultats!$B$2:$AZ$251,AI$2,FALSE)</f>
        <v>92.922842470000006</v>
      </c>
      <c r="AJ29" s="25">
        <f>VLOOKUP($D29,Résultats!$B$2:$AZ$251,AJ$2,FALSE)</f>
        <v>94.335986719999994</v>
      </c>
      <c r="AK29" s="25">
        <f>VLOOKUP($D29,Résultats!$B$2:$AZ$251,AK$2,FALSE)</f>
        <v>95.589557319999997</v>
      </c>
      <c r="AL29" s="25">
        <f>VLOOKUP($D29,Résultats!$B$2:$AZ$251,AL$2,FALSE)</f>
        <v>96.576530899999995</v>
      </c>
      <c r="AM29" s="102">
        <f>VLOOKUP($D29,Résultats!$B$2:$AZ$251,AM$2,FALSE)</f>
        <v>96.403532069999997</v>
      </c>
    </row>
    <row r="30" spans="1:39" x14ac:dyDescent="0.25">
      <c r="C30" s="218" t="s">
        <v>29</v>
      </c>
      <c r="D30" s="54" t="s">
        <v>161</v>
      </c>
      <c r="E30" s="25">
        <f>VLOOKUP($D30,Résultats!$B$2:$AZ$251,E$2,FALSE)</f>
        <v>6.0878913E-2</v>
      </c>
      <c r="F30" s="25">
        <f>VLOOKUP($D30,Résultats!$B$2:$AZ$251,F$2,FALSE)</f>
        <v>1.2770388399999999</v>
      </c>
      <c r="G30" s="25">
        <f>VLOOKUP($D30,Résultats!$B$2:$AZ$251,G$2,FALSE)</f>
        <v>2.9640429799999999</v>
      </c>
      <c r="H30" s="25">
        <f>VLOOKUP($D30,Résultats!$B$2:$AZ$251,H$2,FALSE)</f>
        <v>3.8920418259999998</v>
      </c>
      <c r="I30" s="25">
        <f>VLOOKUP($D30,Résultats!$B$2:$AZ$251,I$2,FALSE)</f>
        <v>4.2992777880000004</v>
      </c>
      <c r="J30" s="25">
        <f>VLOOKUP($D30,Résultats!$B$2:$AZ$251,J$2,FALSE)</f>
        <v>4.8153577109999999</v>
      </c>
      <c r="K30" s="25">
        <f>VLOOKUP($D30,Résultats!$B$2:$AZ$251,K$2,FALSE)</f>
        <v>6.4839903889999997</v>
      </c>
      <c r="L30" s="25">
        <f>VLOOKUP($D30,Résultats!$B$2:$AZ$251,L$2,FALSE)</f>
        <v>8.4115329560000003</v>
      </c>
      <c r="M30" s="25">
        <f>VLOOKUP($D30,Résultats!$B$2:$AZ$251,M$2,FALSE)</f>
        <v>12.81922977</v>
      </c>
      <c r="N30" s="25">
        <f>VLOOKUP($D30,Résultats!$B$2:$AZ$251,N$2,FALSE)</f>
        <v>16.391195750000001</v>
      </c>
      <c r="O30" s="25">
        <f>VLOOKUP($D30,Résultats!$B$2:$AZ$251,O$2,FALSE)</f>
        <v>17.064333220000002</v>
      </c>
      <c r="P30" s="25">
        <f>VLOOKUP($D30,Résultats!$B$2:$AZ$251,P$2,FALSE)</f>
        <v>20.310715819999999</v>
      </c>
      <c r="Q30" s="25">
        <f>VLOOKUP($D30,Résultats!$B$2:$AZ$251,Q$2,FALSE)</f>
        <v>25.95719476</v>
      </c>
      <c r="R30" s="25">
        <f>VLOOKUP($D30,Résultats!$B$2:$AZ$251,R$2,FALSE)</f>
        <v>32.127979750000002</v>
      </c>
      <c r="S30" s="25">
        <f>VLOOKUP($D30,Résultats!$B$2:$AZ$251,S$2,FALSE)</f>
        <v>38.323047899999999</v>
      </c>
      <c r="T30" s="25">
        <f>VLOOKUP($D30,Résultats!$B$2:$AZ$251,T$2,FALSE)</f>
        <v>43.77849569</v>
      </c>
      <c r="U30" s="25">
        <f>VLOOKUP($D30,Résultats!$B$2:$AZ$251,U$2,FALSE)</f>
        <v>48.262433289999997</v>
      </c>
      <c r="V30" s="25">
        <f>VLOOKUP($D30,Résultats!$B$2:$AZ$251,V$2,FALSE)</f>
        <v>51.239744780000002</v>
      </c>
      <c r="W30" s="25">
        <f>VLOOKUP($D30,Résultats!$B$2:$AZ$251,W$2,FALSE)</f>
        <v>53.00339889</v>
      </c>
      <c r="X30" s="25">
        <f>VLOOKUP($D30,Résultats!$B$2:$AZ$251,X$2,FALSE)</f>
        <v>53.863503850000001</v>
      </c>
      <c r="Y30" s="25">
        <f>VLOOKUP($D30,Résultats!$B$2:$AZ$251,Y$2,FALSE)</f>
        <v>55.665002649999998</v>
      </c>
      <c r="Z30" s="25">
        <f>VLOOKUP($D30,Résultats!$B$2:$AZ$251,Z$2,FALSE)</f>
        <v>56.653123399999998</v>
      </c>
      <c r="AA30" s="25">
        <f>VLOOKUP($D30,Résultats!$B$2:$AZ$251,AA$2,FALSE)</f>
        <v>56.87426258</v>
      </c>
      <c r="AB30" s="25">
        <f>VLOOKUP($D30,Résultats!$B$2:$AZ$251,AB$2,FALSE)</f>
        <v>56.59139905</v>
      </c>
      <c r="AC30" s="25">
        <f>VLOOKUP($D30,Résultats!$B$2:$AZ$251,AC$2,FALSE)</f>
        <v>56.147720530000001</v>
      </c>
      <c r="AD30" s="25">
        <f>VLOOKUP($D30,Résultats!$B$2:$AZ$251,AD$2,FALSE)</f>
        <v>55.352043879999997</v>
      </c>
      <c r="AE30" s="25">
        <f>VLOOKUP($D30,Résultats!$B$2:$AZ$251,AE$2,FALSE)</f>
        <v>54.590798499999998</v>
      </c>
      <c r="AF30" s="25">
        <f>VLOOKUP($D30,Résultats!$B$2:$AZ$251,AF$2,FALSE)</f>
        <v>53.724151390000003</v>
      </c>
      <c r="AG30" s="25">
        <f>VLOOKUP($D30,Résultats!$B$2:$AZ$251,AG$2,FALSE)</f>
        <v>52.727717830000003</v>
      </c>
      <c r="AH30" s="25">
        <f>VLOOKUP($D30,Résultats!$B$2:$AZ$251,AH$2,FALSE)</f>
        <v>51.764797540000004</v>
      </c>
      <c r="AI30" s="25">
        <f>VLOOKUP($D30,Résultats!$B$2:$AZ$251,AI$2,FALSE)</f>
        <v>51.134784629999999</v>
      </c>
      <c r="AJ30" s="25">
        <f>VLOOKUP($D30,Résultats!$B$2:$AZ$251,AJ$2,FALSE)</f>
        <v>50.100360369999997</v>
      </c>
      <c r="AK30" s="25">
        <f>VLOOKUP($D30,Résultats!$B$2:$AZ$251,AK$2,FALSE)</f>
        <v>48.958042880000001</v>
      </c>
      <c r="AL30" s="25">
        <f>VLOOKUP($D30,Résultats!$B$2:$AZ$251,AL$2,FALSE)</f>
        <v>47.652900639999999</v>
      </c>
      <c r="AM30" s="102">
        <f>VLOOKUP($D30,Résultats!$B$2:$AZ$251,AM$2,FALSE)</f>
        <v>45.699576260000001</v>
      </c>
    </row>
    <row r="31" spans="1:39" x14ac:dyDescent="0.25">
      <c r="C31" s="218" t="s">
        <v>30</v>
      </c>
      <c r="D31" s="54" t="s">
        <v>162</v>
      </c>
      <c r="E31" s="25">
        <f>VLOOKUP($D31,Résultats!$B$2:$AZ$251,E$2,FALSE)</f>
        <v>1.430155447</v>
      </c>
      <c r="F31" s="25">
        <f>VLOOKUP($D31,Résultats!$B$2:$AZ$251,F$2,FALSE)</f>
        <v>27.72137369</v>
      </c>
      <c r="G31" s="25">
        <f>VLOOKUP($D31,Résultats!$B$2:$AZ$251,G$2,FALSE)</f>
        <v>67.387504890000002</v>
      </c>
      <c r="H31" s="25">
        <f>VLOOKUP($D31,Résultats!$B$2:$AZ$251,H$2,FALSE)</f>
        <v>86.832129469999998</v>
      </c>
      <c r="I31" s="25">
        <f>VLOOKUP($D31,Résultats!$B$2:$AZ$251,I$2,FALSE)</f>
        <v>93.399282360000001</v>
      </c>
      <c r="J31" s="25">
        <f>VLOOKUP($D31,Résultats!$B$2:$AZ$251,J$2,FALSE)</f>
        <v>102.13625639999999</v>
      </c>
      <c r="K31" s="25">
        <f>VLOOKUP($D31,Résultats!$B$2:$AZ$251,K$2,FALSE)</f>
        <v>126.9684445</v>
      </c>
      <c r="L31" s="25">
        <f>VLOOKUP($D31,Résultats!$B$2:$AZ$251,L$2,FALSE)</f>
        <v>158.2539021</v>
      </c>
      <c r="M31" s="25">
        <f>VLOOKUP($D31,Résultats!$B$2:$AZ$251,M$2,FALSE)</f>
        <v>240.4500323</v>
      </c>
      <c r="N31" s="25">
        <f>VLOOKUP($D31,Résultats!$B$2:$AZ$251,N$2,FALSE)</f>
        <v>304.40900169999998</v>
      </c>
      <c r="O31" s="25">
        <f>VLOOKUP($D31,Résultats!$B$2:$AZ$251,O$2,FALSE)</f>
        <v>311.48344489999999</v>
      </c>
      <c r="P31" s="25">
        <f>VLOOKUP($D31,Résultats!$B$2:$AZ$251,P$2,FALSE)</f>
        <v>366.5244611</v>
      </c>
      <c r="Q31" s="25">
        <f>VLOOKUP($D31,Résultats!$B$2:$AZ$251,Q$2,FALSE)</f>
        <v>464.65040370000003</v>
      </c>
      <c r="R31" s="25">
        <f>VLOOKUP($D31,Résultats!$B$2:$AZ$251,R$2,FALSE)</f>
        <v>570.92321560000005</v>
      </c>
      <c r="S31" s="25">
        <f>VLOOKUP($D31,Résultats!$B$2:$AZ$251,S$2,FALSE)</f>
        <v>676.32787169999995</v>
      </c>
      <c r="T31" s="25">
        <f>VLOOKUP($D31,Résultats!$B$2:$AZ$251,T$2,FALSE)</f>
        <v>767.43438519999995</v>
      </c>
      <c r="U31" s="25">
        <f>VLOOKUP($D31,Résultats!$B$2:$AZ$251,U$2,FALSE)</f>
        <v>840.89026109999998</v>
      </c>
      <c r="V31" s="25">
        <f>VLOOKUP($D31,Résultats!$B$2:$AZ$251,V$2,FALSE)</f>
        <v>887.67956040000001</v>
      </c>
      <c r="W31" s="25">
        <f>VLOOKUP($D31,Résultats!$B$2:$AZ$251,W$2,FALSE)</f>
        <v>913.63895390000005</v>
      </c>
      <c r="X31" s="25">
        <f>VLOOKUP($D31,Résultats!$B$2:$AZ$251,X$2,FALSE)</f>
        <v>924.59953069999995</v>
      </c>
      <c r="Y31" s="25">
        <f>VLOOKUP($D31,Résultats!$B$2:$AZ$251,Y$2,FALSE)</f>
        <v>952.64884810000001</v>
      </c>
      <c r="Z31" s="25">
        <f>VLOOKUP($D31,Résultats!$B$2:$AZ$251,Z$2,FALSE)</f>
        <v>967.43394160000003</v>
      </c>
      <c r="AA31" s="25">
        <f>VLOOKUP($D31,Résultats!$B$2:$AZ$251,AA$2,FALSE)</f>
        <v>970.04691019999996</v>
      </c>
      <c r="AB31" s="25">
        <f>VLOOKUP($D31,Résultats!$B$2:$AZ$251,AB$2,FALSE)</f>
        <v>965.18499840000004</v>
      </c>
      <c r="AC31" s="25">
        <f>VLOOKUP($D31,Résultats!$B$2:$AZ$251,AC$2,FALSE)</f>
        <v>958.77394660000004</v>
      </c>
      <c r="AD31" s="25">
        <f>VLOOKUP($D31,Résultats!$B$2:$AZ$251,AD$2,FALSE)</f>
        <v>947.16635129999997</v>
      </c>
      <c r="AE31" s="25">
        <f>VLOOKUP($D31,Résultats!$B$2:$AZ$251,AE$2,FALSE)</f>
        <v>936.99369119999994</v>
      </c>
      <c r="AF31" s="25">
        <f>VLOOKUP($D31,Résultats!$B$2:$AZ$251,AF$2,FALSE)</f>
        <v>925.85322099999996</v>
      </c>
      <c r="AG31" s="25">
        <f>VLOOKUP($D31,Résultats!$B$2:$AZ$251,AG$2,FALSE)</f>
        <v>913.30938920000006</v>
      </c>
      <c r="AH31" s="25">
        <f>VLOOKUP($D31,Résultats!$B$2:$AZ$251,AH$2,FALSE)</f>
        <v>922.97442509999996</v>
      </c>
      <c r="AI31" s="25">
        <f>VLOOKUP($D31,Résultats!$B$2:$AZ$251,AI$2,FALSE)</f>
        <v>921.33461420000003</v>
      </c>
      <c r="AJ31" s="25">
        <f>VLOOKUP($D31,Résultats!$B$2:$AZ$251,AJ$2,FALSE)</f>
        <v>913.86278330000005</v>
      </c>
      <c r="AK31" s="25">
        <f>VLOOKUP($D31,Résultats!$B$2:$AZ$251,AK$2,FALSE)</f>
        <v>905.37479629999996</v>
      </c>
      <c r="AL31" s="25">
        <f>VLOOKUP($D31,Résultats!$B$2:$AZ$251,AL$2,FALSE)</f>
        <v>894.84934429999998</v>
      </c>
      <c r="AM31" s="102">
        <f>VLOOKUP($D31,Résultats!$B$2:$AZ$251,AM$2,FALSE)</f>
        <v>873.55557510000006</v>
      </c>
    </row>
    <row r="32" spans="1:39" x14ac:dyDescent="0.25">
      <c r="C32" s="218" t="s">
        <v>31</v>
      </c>
      <c r="D32" s="54" t="s">
        <v>163</v>
      </c>
      <c r="E32" s="25">
        <f>VLOOKUP($D32,Résultats!$B$2:$AZ$251,E$2,FALSE)</f>
        <v>0.56367885309999999</v>
      </c>
      <c r="F32" s="25">
        <f>VLOOKUP($D32,Résultats!$B$2:$AZ$251,F$2,FALSE)</f>
        <v>10.74189483</v>
      </c>
      <c r="G32" s="25">
        <f>VLOOKUP($D32,Résultats!$B$2:$AZ$251,G$2,FALSE)</f>
        <v>26.385740370000001</v>
      </c>
      <c r="H32" s="25">
        <f>VLOOKUP($D32,Résultats!$B$2:$AZ$251,H$2,FALSE)</f>
        <v>33.861036859999999</v>
      </c>
      <c r="I32" s="25">
        <f>VLOOKUP($D32,Résultats!$B$2:$AZ$251,I$2,FALSE)</f>
        <v>36.198541499999997</v>
      </c>
      <c r="J32" s="25">
        <f>VLOOKUP($D32,Résultats!$B$2:$AZ$251,J$2,FALSE)</f>
        <v>39.34803307</v>
      </c>
      <c r="K32" s="25">
        <f>VLOOKUP($D32,Résultats!$B$2:$AZ$251,K$2,FALSE)</f>
        <v>47.741633090000001</v>
      </c>
      <c r="L32" s="25">
        <f>VLOOKUP($D32,Résultats!$B$2:$AZ$251,L$2,FALSE)</f>
        <v>58.568687840000003</v>
      </c>
      <c r="M32" s="25">
        <f>VLOOKUP($D32,Résultats!$B$2:$AZ$251,M$2,FALSE)</f>
        <v>88.86847143</v>
      </c>
      <c r="N32" s="25">
        <f>VLOOKUP($D32,Résultats!$B$2:$AZ$251,N$2,FALSE)</f>
        <v>111.98739209999999</v>
      </c>
      <c r="O32" s="25">
        <f>VLOOKUP($D32,Résultats!$B$2:$AZ$251,O$2,FALSE)</f>
        <v>113.5779404</v>
      </c>
      <c r="P32" s="25">
        <f>VLOOKUP($D32,Résultats!$B$2:$AZ$251,P$2,FALSE)</f>
        <v>132.76742719999999</v>
      </c>
      <c r="Q32" s="25">
        <f>VLOOKUP($D32,Résultats!$B$2:$AZ$251,Q$2,FALSE)</f>
        <v>167.4504153</v>
      </c>
      <c r="R32" s="25">
        <f>VLOOKUP($D32,Résultats!$B$2:$AZ$251,R$2,FALSE)</f>
        <v>204.71000029999999</v>
      </c>
      <c r="S32" s="25">
        <f>VLOOKUP($D32,Résultats!$B$2:$AZ$251,S$2,FALSE)</f>
        <v>241.23501479999999</v>
      </c>
      <c r="T32" s="25">
        <f>VLOOKUP($D32,Résultats!$B$2:$AZ$251,T$2,FALSE)</f>
        <v>272.18185360000001</v>
      </c>
      <c r="U32" s="25">
        <f>VLOOKUP($D32,Résultats!$B$2:$AZ$251,U$2,FALSE)</f>
        <v>296.50156779999998</v>
      </c>
      <c r="V32" s="25">
        <f>VLOOKUP($D32,Résultats!$B$2:$AZ$251,V$2,FALSE)</f>
        <v>311.0359838</v>
      </c>
      <c r="W32" s="25">
        <f>VLOOKUP($D32,Résultats!$B$2:$AZ$251,W$2,FALSE)</f>
        <v>318.03163139999998</v>
      </c>
      <c r="X32" s="25">
        <f>VLOOKUP($D32,Résultats!$B$2:$AZ$251,X$2,FALSE)</f>
        <v>319.66366499999998</v>
      </c>
      <c r="Y32" s="25">
        <f>VLOOKUP($D32,Résultats!$B$2:$AZ$251,Y$2,FALSE)</f>
        <v>327.241984</v>
      </c>
      <c r="Z32" s="25">
        <f>VLOOKUP($D32,Résultats!$B$2:$AZ$251,Z$2,FALSE)</f>
        <v>330.05565790000003</v>
      </c>
      <c r="AA32" s="25">
        <f>VLOOKUP($D32,Résultats!$B$2:$AZ$251,AA$2,FALSE)</f>
        <v>328.5793559</v>
      </c>
      <c r="AB32" s="25">
        <f>VLOOKUP($D32,Résultats!$B$2:$AZ$251,AB$2,FALSE)</f>
        <v>324.5129804</v>
      </c>
      <c r="AC32" s="25">
        <f>VLOOKUP($D32,Résultats!$B$2:$AZ$251,AC$2,FALSE)</f>
        <v>319.96537519999998</v>
      </c>
      <c r="AD32" s="25">
        <f>VLOOKUP($D32,Résultats!$B$2:$AZ$251,AD$2,FALSE)</f>
        <v>314.04554560000003</v>
      </c>
      <c r="AE32" s="25">
        <f>VLOOKUP($D32,Résultats!$B$2:$AZ$251,AE$2,FALSE)</f>
        <v>308.68266870000002</v>
      </c>
      <c r="AF32" s="25">
        <f>VLOOKUP($D32,Résultats!$B$2:$AZ$251,AF$2,FALSE)</f>
        <v>303.06521750000002</v>
      </c>
      <c r="AG32" s="25">
        <f>VLOOKUP($D32,Résultats!$B$2:$AZ$251,AG$2,FALSE)</f>
        <v>297.05064679999998</v>
      </c>
      <c r="AH32" s="25">
        <f>VLOOKUP($D32,Résultats!$B$2:$AZ$251,AH$2,FALSE)</f>
        <v>293.11908310000001</v>
      </c>
      <c r="AI32" s="25">
        <f>VLOOKUP($D32,Résultats!$B$2:$AZ$251,AI$2,FALSE)</f>
        <v>290.78374839999998</v>
      </c>
      <c r="AJ32" s="25">
        <f>VLOOKUP($D32,Résultats!$B$2:$AZ$251,AJ$2,FALSE)</f>
        <v>286.5730021</v>
      </c>
      <c r="AK32" s="25">
        <f>VLOOKUP($D32,Résultats!$B$2:$AZ$251,AK$2,FALSE)</f>
        <v>282.10812770000001</v>
      </c>
      <c r="AL32" s="25">
        <f>VLOOKUP($D32,Résultats!$B$2:$AZ$251,AL$2,FALSE)</f>
        <v>277.07086370000002</v>
      </c>
      <c r="AM32" s="102">
        <f>VLOOKUP($D32,Résultats!$B$2:$AZ$251,AM$2,FALSE)</f>
        <v>268.71858200000003</v>
      </c>
    </row>
    <row r="33" spans="2:39" x14ac:dyDescent="0.25">
      <c r="C33" s="218" t="s">
        <v>32</v>
      </c>
      <c r="D33" s="54" t="s">
        <v>164</v>
      </c>
      <c r="E33" s="25">
        <f>VLOOKUP($D33,Résultats!$B$2:$AZ$251,E$2,FALSE)</f>
        <v>7.6847152399999999E-3</v>
      </c>
      <c r="F33" s="25">
        <f>VLOOKUP($D33,Résultats!$B$2:$AZ$251,F$2,FALSE)</f>
        <v>4.22236837E-2</v>
      </c>
      <c r="G33" s="25">
        <f>VLOOKUP($D33,Résultats!$B$2:$AZ$251,G$2,FALSE)</f>
        <v>0.1144297328</v>
      </c>
      <c r="H33" s="25">
        <f>VLOOKUP($D33,Résultats!$B$2:$AZ$251,H$2,FALSE)</f>
        <v>0.13224617120000001</v>
      </c>
      <c r="I33" s="25">
        <f>VLOOKUP($D33,Résultats!$B$2:$AZ$251,I$2,FALSE)</f>
        <v>0.14226017290000001</v>
      </c>
      <c r="J33" s="25">
        <f>VLOOKUP($D33,Résultats!$B$2:$AZ$251,J$2,FALSE)</f>
        <v>0.15559052949999999</v>
      </c>
      <c r="K33" s="25">
        <f>VLOOKUP($D33,Résultats!$B$2:$AZ$251,K$2,FALSE)</f>
        <v>0.1936493655</v>
      </c>
      <c r="L33" s="25">
        <f>VLOOKUP($D33,Résultats!$B$2:$AZ$251,L$2,FALSE)</f>
        <v>0.24167153020000001</v>
      </c>
      <c r="M33" s="25">
        <f>VLOOKUP($D33,Résultats!$B$2:$AZ$251,M$2,FALSE)</f>
        <v>0.36724033540000001</v>
      </c>
      <c r="N33" s="25">
        <f>VLOOKUP($D33,Résultats!$B$2:$AZ$251,N$2,FALSE)</f>
        <v>0.46513387899999997</v>
      </c>
      <c r="O33" s="25">
        <f>VLOOKUP($D33,Résultats!$B$2:$AZ$251,O$2,FALSE)</f>
        <v>0.47639371800000002</v>
      </c>
      <c r="P33" s="25">
        <f>VLOOKUP($D33,Résultats!$B$2:$AZ$251,P$2,FALSE)</f>
        <v>0.56101082270000002</v>
      </c>
      <c r="Q33" s="25">
        <f>VLOOKUP($D33,Résultats!$B$2:$AZ$251,Q$2,FALSE)</f>
        <v>0.71166343259999998</v>
      </c>
      <c r="R33" s="25">
        <f>VLOOKUP($D33,Résultats!$B$2:$AZ$251,R$2,FALSE)</f>
        <v>0.87501965999999998</v>
      </c>
      <c r="S33" s="25">
        <f>VLOOKUP($D33,Résultats!$B$2:$AZ$251,S$2,FALSE)</f>
        <v>1.0373275449999999</v>
      </c>
      <c r="T33" s="25">
        <f>VLOOKUP($D33,Résultats!$B$2:$AZ$251,T$2,FALSE)</f>
        <v>1.178047957</v>
      </c>
      <c r="U33" s="25">
        <f>VLOOKUP($D33,Résultats!$B$2:$AZ$251,U$2,FALSE)</f>
        <v>1.2919735139999999</v>
      </c>
      <c r="V33" s="25">
        <f>VLOOKUP($D33,Résultats!$B$2:$AZ$251,V$2,FALSE)</f>
        <v>1.3652657560000001</v>
      </c>
      <c r="W33" s="25">
        <f>VLOOKUP($D33,Résultats!$B$2:$AZ$251,W$2,FALSE)</f>
        <v>1.4067856759999999</v>
      </c>
      <c r="X33" s="25">
        <f>VLOOKUP($D33,Résultats!$B$2:$AZ$251,X$2,FALSE)</f>
        <v>1.4254213950000001</v>
      </c>
      <c r="Y33" s="25">
        <f>VLOOKUP($D33,Résultats!$B$2:$AZ$251,Y$2,FALSE)</f>
        <v>1.470471737</v>
      </c>
      <c r="Z33" s="25">
        <f>VLOOKUP($D33,Résultats!$B$2:$AZ$251,Z$2,FALSE)</f>
        <v>1.4953355699999999</v>
      </c>
      <c r="AA33" s="25">
        <f>VLOOKUP($D33,Résultats!$B$2:$AZ$251,AA$2,FALSE)</f>
        <v>1.5016334579999999</v>
      </c>
      <c r="AB33" s="25">
        <f>VLOOKUP($D33,Résultats!$B$2:$AZ$251,AB$2,FALSE)</f>
        <v>1.4965522170000001</v>
      </c>
      <c r="AC33" s="25">
        <f>VLOOKUP($D33,Résultats!$B$2:$AZ$251,AC$2,FALSE)</f>
        <v>1.4891711059999999</v>
      </c>
      <c r="AD33" s="25">
        <f>VLOOKUP($D33,Résultats!$B$2:$AZ$251,AD$2,FALSE)</f>
        <v>1.473449496</v>
      </c>
      <c r="AE33" s="25">
        <f>VLOOKUP($D33,Résultats!$B$2:$AZ$251,AE$2,FALSE)</f>
        <v>1.4599789590000001</v>
      </c>
      <c r="AF33" s="25">
        <f>VLOOKUP($D33,Résultats!$B$2:$AZ$251,AF$2,FALSE)</f>
        <v>1.4450357229999999</v>
      </c>
      <c r="AG33" s="25">
        <f>VLOOKUP($D33,Résultats!$B$2:$AZ$251,AG$2,FALSE)</f>
        <v>1.4279382759999999</v>
      </c>
      <c r="AH33" s="25">
        <f>VLOOKUP($D33,Résultats!$B$2:$AZ$251,AH$2,FALSE)</f>
        <v>1.453321444</v>
      </c>
      <c r="AI33" s="25">
        <f>VLOOKUP($D33,Résultats!$B$2:$AZ$251,AI$2,FALSE)</f>
        <v>1.4536768</v>
      </c>
      <c r="AJ33" s="25">
        <f>VLOOKUP($D33,Résultats!$B$2:$AZ$251,AJ$2,FALSE)</f>
        <v>1.44503044</v>
      </c>
      <c r="AK33" s="25">
        <f>VLOOKUP($D33,Résultats!$B$2:$AZ$251,AK$2,FALSE)</f>
        <v>1.43481806</v>
      </c>
      <c r="AL33" s="25">
        <f>VLOOKUP($D33,Résultats!$B$2:$AZ$251,AL$2,FALSE)</f>
        <v>1.4214200850000001</v>
      </c>
      <c r="AM33" s="102">
        <f>VLOOKUP($D33,Résultats!$B$2:$AZ$251,AM$2,FALSE)</f>
        <v>1.39104889</v>
      </c>
    </row>
    <row r="34" spans="2:39" x14ac:dyDescent="0.25">
      <c r="C34" s="218" t="s">
        <v>33</v>
      </c>
      <c r="D34" s="54" t="s">
        <v>165</v>
      </c>
      <c r="E34" s="55">
        <f>VLOOKUP($D34,Résultats!$B$2:$AZ$251,E$2,FALSE)</f>
        <v>9.4412215800000004E-2</v>
      </c>
      <c r="F34" s="55">
        <f>VLOOKUP($D34,Résultats!$B$2:$AZ$251,F$2,FALSE)</f>
        <v>1.603965028</v>
      </c>
      <c r="G34" s="55">
        <f>VLOOKUP($D34,Résultats!$B$2:$AZ$251,G$2,FALSE)</f>
        <v>4.2258430159999998</v>
      </c>
      <c r="H34" s="55">
        <f>VLOOKUP($D34,Résultats!$B$2:$AZ$251,H$2,FALSE)</f>
        <v>5.2757714350000002</v>
      </c>
      <c r="I34" s="55">
        <f>VLOOKUP($D34,Résultats!$B$2:$AZ$251,I$2,FALSE)</f>
        <v>5.4118869969999999</v>
      </c>
      <c r="J34" s="55">
        <f>VLOOKUP($D34,Résultats!$B$2:$AZ$251,J$2,FALSE)</f>
        <v>5.65264948</v>
      </c>
      <c r="K34" s="55">
        <f>VLOOKUP($D34,Résultats!$B$2:$AZ$251,K$2,FALSE)</f>
        <v>5.8555727099999997</v>
      </c>
      <c r="L34" s="55">
        <f>VLOOKUP($D34,Résultats!$B$2:$AZ$251,L$2,FALSE)</f>
        <v>6.4985469780000003</v>
      </c>
      <c r="M34" s="55">
        <f>VLOOKUP($D34,Résultats!$B$2:$AZ$251,M$2,FALSE)</f>
        <v>9.7776949969999905</v>
      </c>
      <c r="N34" s="55">
        <f>VLOOKUP($D34,Résultats!$B$2:$AZ$251,N$2,FALSE)</f>
        <v>11.97299319</v>
      </c>
      <c r="O34" s="55">
        <f>VLOOKUP($D34,Résultats!$B$2:$AZ$251,O$2,FALSE)</f>
        <v>11.50178111</v>
      </c>
      <c r="P34" s="55">
        <f>VLOOKUP($D34,Résultats!$B$2:$AZ$251,P$2,FALSE)</f>
        <v>12.92030351</v>
      </c>
      <c r="Q34" s="55">
        <f>VLOOKUP($D34,Résultats!$B$2:$AZ$251,Q$2,FALSE)</f>
        <v>15.80548961</v>
      </c>
      <c r="R34" s="55">
        <f>VLOOKUP($D34,Résultats!$B$2:$AZ$251,R$2,FALSE)</f>
        <v>18.755469560000002</v>
      </c>
      <c r="S34" s="55">
        <f>VLOOKUP($D34,Résultats!$B$2:$AZ$251,S$2,FALSE)</f>
        <v>21.438201039999999</v>
      </c>
      <c r="T34" s="55">
        <f>VLOOKUP($D34,Résultats!$B$2:$AZ$251,T$2,FALSE)</f>
        <v>23.413864570000001</v>
      </c>
      <c r="U34" s="55">
        <f>VLOOKUP($D34,Résultats!$B$2:$AZ$251,U$2,FALSE)</f>
        <v>24.680372670000001</v>
      </c>
      <c r="V34" s="55">
        <f>VLOOKUP($D34,Résultats!$B$2:$AZ$251,V$2,FALSE)</f>
        <v>25.001161549999999</v>
      </c>
      <c r="W34" s="55">
        <f>VLOOKUP($D34,Résultats!$B$2:$AZ$251,W$2,FALSE)</f>
        <v>24.663389810000002</v>
      </c>
      <c r="X34" s="55">
        <f>VLOOKUP($D34,Résultats!$B$2:$AZ$251,X$2,FALSE)</f>
        <v>23.90691391</v>
      </c>
      <c r="Y34" s="55">
        <f>VLOOKUP($D34,Résultats!$B$2:$AZ$251,Y$2,FALSE)</f>
        <v>23.664772859999999</v>
      </c>
      <c r="Z34" s="55">
        <f>VLOOKUP($D34,Résultats!$B$2:$AZ$251,Z$2,FALSE)</f>
        <v>23.053508770000001</v>
      </c>
      <c r="AA34" s="55">
        <f>VLOOKUP($D34,Résultats!$B$2:$AZ$251,AA$2,FALSE)</f>
        <v>22.15136983</v>
      </c>
      <c r="AB34" s="55">
        <f>VLOOKUP($D34,Résultats!$B$2:$AZ$251,AB$2,FALSE)</f>
        <v>21.11432546</v>
      </c>
      <c r="AC34" s="55">
        <f>VLOOKUP($D34,Résultats!$B$2:$AZ$251,AC$2,FALSE)</f>
        <v>20.115689289999999</v>
      </c>
      <c r="AD34" s="55">
        <f>VLOOKUP($D34,Résultats!$B$2:$AZ$251,AD$2,FALSE)</f>
        <v>19.18171306</v>
      </c>
      <c r="AE34" s="55">
        <f>VLOOKUP($D34,Résultats!$B$2:$AZ$251,AE$2,FALSE)</f>
        <v>18.34200667</v>
      </c>
      <c r="AF34" s="55">
        <f>VLOOKUP($D34,Résultats!$B$2:$AZ$251,AF$2,FALSE)</f>
        <v>17.53912399</v>
      </c>
      <c r="AG34" s="55">
        <f>VLOOKUP($D34,Résultats!$B$2:$AZ$251,AG$2,FALSE)</f>
        <v>16.761553360000001</v>
      </c>
      <c r="AH34" s="55">
        <f>VLOOKUP($D34,Résultats!$B$2:$AZ$251,AH$2,FALSE)</f>
        <v>15.206565599999999</v>
      </c>
      <c r="AI34" s="55">
        <f>VLOOKUP($D34,Résultats!$B$2:$AZ$251,AI$2,FALSE)</f>
        <v>14.799415460000001</v>
      </c>
      <c r="AJ34" s="55">
        <f>VLOOKUP($D34,Résultats!$B$2:$AZ$251,AJ$2,FALSE)</f>
        <v>14.316880149999999</v>
      </c>
      <c r="AK34" s="55">
        <f>VLOOKUP($D34,Résultats!$B$2:$AZ$251,AK$2,FALSE)</f>
        <v>13.85533077</v>
      </c>
      <c r="AL34" s="55">
        <f>VLOOKUP($D34,Résultats!$B$2:$AZ$251,AL$2,FALSE)</f>
        <v>13.396585569999999</v>
      </c>
      <c r="AM34" s="214">
        <f>VLOOKUP($D34,Résultats!$B$2:$AZ$251,AM$2,FALSE)</f>
        <v>12.801955960000001</v>
      </c>
    </row>
    <row r="35" spans="2:39" x14ac:dyDescent="0.25">
      <c r="C35" s="217" t="s">
        <v>46</v>
      </c>
      <c r="D35" s="52" t="s">
        <v>150</v>
      </c>
      <c r="E35" s="53">
        <f>VLOOKUP($D35,Résultats!$B$2:$AZ$251,E$2,FALSE)</f>
        <v>2370.8218320000001</v>
      </c>
      <c r="F35" s="53">
        <f>VLOOKUP($D35,Résultats!$B$2:$AZ$251,F$2,FALSE)</f>
        <v>1898.0129710000001</v>
      </c>
      <c r="G35" s="53">
        <f>VLOOKUP($D35,Résultats!$B$2:$AZ$251,G$2,FALSE)</f>
        <v>2101.1121990000001</v>
      </c>
      <c r="H35" s="53">
        <f>VLOOKUP($D35,Résultats!$B$2:$AZ$251,H$2,FALSE)</f>
        <v>2107.8781140000001</v>
      </c>
      <c r="I35" s="53">
        <f>VLOOKUP($D35,Résultats!$B$2:$AZ$251,I$2,FALSE)</f>
        <v>1778.6188850000001</v>
      </c>
      <c r="J35" s="53">
        <f>VLOOKUP($D35,Résultats!$B$2:$AZ$251,J$2,FALSE)</f>
        <v>1537.4667380000001</v>
      </c>
      <c r="K35" s="53">
        <f>VLOOKUP($D35,Résultats!$B$2:$AZ$251,K$2,FALSE)</f>
        <v>1533.2956180000001</v>
      </c>
      <c r="L35" s="53">
        <f>VLOOKUP($D35,Résultats!$B$2:$AZ$251,L$2,FALSE)</f>
        <v>1542.6584359999999</v>
      </c>
      <c r="M35" s="53">
        <f>VLOOKUP($D35,Résultats!$B$2:$AZ$251,M$2,FALSE)</f>
        <v>1901.024819</v>
      </c>
      <c r="N35" s="53">
        <f>VLOOKUP($D35,Résultats!$B$2:$AZ$251,N$2,FALSE)</f>
        <v>1976.409101</v>
      </c>
      <c r="O35" s="53">
        <f>VLOOKUP($D35,Résultats!$B$2:$AZ$251,O$2,FALSE)</f>
        <v>1559.466083</v>
      </c>
      <c r="P35" s="53">
        <f>VLOOKUP($D35,Résultats!$B$2:$AZ$251,P$2,FALSE)</f>
        <v>1273.7311400000001</v>
      </c>
      <c r="Q35" s="53">
        <f>VLOOKUP($D35,Résultats!$B$2:$AZ$251,Q$2,FALSE)</f>
        <v>1015.07894</v>
      </c>
      <c r="R35" s="53">
        <f>VLOOKUP($D35,Résultats!$B$2:$AZ$251,R$2,FALSE)</f>
        <v>764.88684620000004</v>
      </c>
      <c r="S35" s="53">
        <f>VLOOKUP($D35,Résultats!$B$2:$AZ$251,S$2,FALSE)</f>
        <v>538.36311460000002</v>
      </c>
      <c r="T35" s="53">
        <f>VLOOKUP($D35,Résultats!$B$2:$AZ$251,T$2,FALSE)</f>
        <v>349.79550380000001</v>
      </c>
      <c r="U35" s="53">
        <f>VLOOKUP($D35,Résultats!$B$2:$AZ$251,U$2,FALSE)</f>
        <v>211.23556669999999</v>
      </c>
      <c r="V35" s="53">
        <f>VLOOKUP($D35,Résultats!$B$2:$AZ$251,V$2,FALSE)</f>
        <v>118.83049269999999</v>
      </c>
      <c r="W35" s="53">
        <f>VLOOKUP($D35,Résultats!$B$2:$AZ$251,W$2,FALSE)</f>
        <v>63.551416529999997</v>
      </c>
      <c r="X35" s="53">
        <f>VLOOKUP($D35,Résultats!$B$2:$AZ$251,X$2,FALSE)</f>
        <v>32.876018350000002</v>
      </c>
      <c r="Y35" s="53">
        <f>VLOOKUP($D35,Résultats!$B$2:$AZ$251,Y$2,FALSE)</f>
        <v>17.148277780000001</v>
      </c>
      <c r="Z35" s="53">
        <f>VLOOKUP($D35,Résultats!$B$2:$AZ$251,Z$2,FALSE)</f>
        <v>8.7717215629999998</v>
      </c>
      <c r="AA35" s="53">
        <f>VLOOKUP($D35,Résultats!$B$2:$AZ$251,AA$2,FALSE)</f>
        <v>4.4189808499999996</v>
      </c>
      <c r="AB35" s="53">
        <f>VLOOKUP($D35,Résultats!$B$2:$AZ$251,AB$2,FALSE)</f>
        <v>2.2062786480000001</v>
      </c>
      <c r="AC35" s="53">
        <f>VLOOKUP($D35,Résultats!$B$2:$AZ$251,AC$2,FALSE)</f>
        <v>1.099011652</v>
      </c>
      <c r="AD35" s="53">
        <f>VLOOKUP($D35,Résultats!$B$2:$AZ$251,AD$2,FALSE)</f>
        <v>0.54404994080000002</v>
      </c>
      <c r="AE35" s="53">
        <f>VLOOKUP($D35,Résultats!$B$2:$AZ$251,AE$2,FALSE)</f>
        <v>0.269647364</v>
      </c>
      <c r="AF35" s="53">
        <f>VLOOKUP($D35,Résultats!$B$2:$AZ$251,AF$2,FALSE)</f>
        <v>0.13348041299999999</v>
      </c>
      <c r="AG35" s="53">
        <f>VLOOKUP($D35,Résultats!$B$2:$AZ$251,AG$2,FALSE)</f>
        <v>6.5963307600000007E-2</v>
      </c>
      <c r="AH35" s="53">
        <f>VLOOKUP($D35,Résultats!$B$2:$AZ$251,AH$2,FALSE)</f>
        <v>3.36532207E-2</v>
      </c>
      <c r="AI35" s="53">
        <f>VLOOKUP($D35,Résultats!$B$2:$AZ$251,AI$2,FALSE)</f>
        <v>1.6830946699999998E-2</v>
      </c>
      <c r="AJ35" s="53">
        <f>VLOOKUP($D35,Résultats!$B$2:$AZ$251,AJ$2,FALSE)</f>
        <v>8.3653920800000007E-3</v>
      </c>
      <c r="AK35" s="53">
        <f>VLOOKUP($D35,Résultats!$B$2:$AZ$251,AK$2,FALSE)</f>
        <v>4.1529330699999999E-3</v>
      </c>
      <c r="AL35" s="53">
        <f>VLOOKUP($D35,Résultats!$B$2:$AZ$251,AL$2,FALSE)</f>
        <v>2.0568918000000002E-3</v>
      </c>
      <c r="AM35" s="213">
        <f>VLOOKUP($D35,Résultats!$B$2:$AZ$251,AM$2,FALSE)</f>
        <v>1.0063689099999999E-3</v>
      </c>
    </row>
    <row r="36" spans="2:39" x14ac:dyDescent="0.25">
      <c r="C36" s="218" t="s">
        <v>27</v>
      </c>
      <c r="D36" s="3" t="s">
        <v>151</v>
      </c>
      <c r="E36" s="25">
        <f>VLOOKUP($D36,Résultats!$B$2:$AZ$251,E$2,FALSE)</f>
        <v>1.1860039179999999</v>
      </c>
      <c r="F36" s="25">
        <f>VLOOKUP($D36,Résultats!$B$2:$AZ$251,F$2,FALSE)</f>
        <v>28.166417599999999</v>
      </c>
      <c r="G36" s="25">
        <f>VLOOKUP($D36,Résultats!$B$2:$AZ$251,G$2,FALSE)</f>
        <v>37.360954960000001</v>
      </c>
      <c r="H36" s="25">
        <f>VLOOKUP($D36,Résultats!$B$2:$AZ$251,H$2,FALSE)</f>
        <v>42.58742831</v>
      </c>
      <c r="I36" s="25">
        <f>VLOOKUP($D36,Résultats!$B$2:$AZ$251,I$2,FALSE)</f>
        <v>59.116892890000003</v>
      </c>
      <c r="J36" s="25">
        <f>VLOOKUP($D36,Résultats!$B$2:$AZ$251,J$2,FALSE)</f>
        <v>51.186516320000003</v>
      </c>
      <c r="K36" s="25">
        <f>VLOOKUP($D36,Résultats!$B$2:$AZ$251,K$2,FALSE)</f>
        <v>75.581834439999994</v>
      </c>
      <c r="L36" s="25">
        <f>VLOOKUP($D36,Résultats!$B$2:$AZ$251,L$2,FALSE)</f>
        <v>89.040069950000003</v>
      </c>
      <c r="M36" s="25">
        <f>VLOOKUP($D36,Résultats!$B$2:$AZ$251,M$2,FALSE)</f>
        <v>113.4103411</v>
      </c>
      <c r="N36" s="25">
        <f>VLOOKUP($D36,Résultats!$B$2:$AZ$251,N$2,FALSE)</f>
        <v>125.1987079</v>
      </c>
      <c r="O36" s="25">
        <f>VLOOKUP($D36,Résultats!$B$2:$AZ$251,O$2,FALSE)</f>
        <v>106.185962</v>
      </c>
      <c r="P36" s="25">
        <f>VLOOKUP($D36,Résultats!$B$2:$AZ$251,P$2,FALSE)</f>
        <v>91.14854133</v>
      </c>
      <c r="Q36" s="25">
        <f>VLOOKUP($D36,Résultats!$B$2:$AZ$251,Q$2,FALSE)</f>
        <v>75.337923200000006</v>
      </c>
      <c r="R36" s="25">
        <f>VLOOKUP($D36,Résultats!$B$2:$AZ$251,R$2,FALSE)</f>
        <v>59.59286796</v>
      </c>
      <c r="S36" s="25">
        <f>VLOOKUP($D36,Résultats!$B$2:$AZ$251,S$2,FALSE)</f>
        <v>44.125969079999997</v>
      </c>
      <c r="T36" s="25">
        <f>VLOOKUP($D36,Résultats!$B$2:$AZ$251,T$2,FALSE)</f>
        <v>29.827432850000001</v>
      </c>
      <c r="U36" s="25">
        <f>VLOOKUP($D36,Résultats!$B$2:$AZ$251,U$2,FALSE)</f>
        <v>18.678891499999999</v>
      </c>
      <c r="V36" s="25">
        <f>VLOOKUP($D36,Résultats!$B$2:$AZ$251,V$2,FALSE)</f>
        <v>10.903616899999999</v>
      </c>
      <c r="W36" s="25">
        <f>VLOOKUP($D36,Résultats!$B$2:$AZ$251,W$2,FALSE)</f>
        <v>6.0527134130000002</v>
      </c>
      <c r="X36" s="25">
        <f>VLOOKUP($D36,Résultats!$B$2:$AZ$251,X$2,FALSE)</f>
        <v>3.2478441980000001</v>
      </c>
      <c r="Y36" s="25">
        <f>VLOOKUP($D36,Résultats!$B$2:$AZ$251,Y$2,FALSE)</f>
        <v>1.74732424</v>
      </c>
      <c r="Z36" s="25">
        <f>VLOOKUP($D36,Résultats!$B$2:$AZ$251,Z$2,FALSE)</f>
        <v>0.92227817690000002</v>
      </c>
      <c r="AA36" s="25">
        <f>VLOOKUP($D36,Résultats!$B$2:$AZ$251,AA$2,FALSE)</f>
        <v>0.4798341827</v>
      </c>
      <c r="AB36" s="25">
        <f>VLOOKUP($D36,Résultats!$B$2:$AZ$251,AB$2,FALSE)</f>
        <v>0.24749043849999999</v>
      </c>
      <c r="AC36" s="25">
        <f>VLOOKUP($D36,Résultats!$B$2:$AZ$251,AC$2,FALSE)</f>
        <v>0.12733016859999999</v>
      </c>
      <c r="AD36" s="25">
        <f>VLOOKUP($D36,Résultats!$B$2:$AZ$251,AD$2,FALSE)</f>
        <v>6.5107183099999896E-2</v>
      </c>
      <c r="AE36" s="25">
        <f>VLOOKUP($D36,Résultats!$B$2:$AZ$251,AE$2,FALSE)</f>
        <v>3.3322797600000002E-2</v>
      </c>
      <c r="AF36" s="25">
        <f>VLOOKUP($D36,Résultats!$B$2:$AZ$251,AF$2,FALSE)</f>
        <v>1.7010978600000001E-2</v>
      </c>
      <c r="AG36" s="25">
        <f>VLOOKUP($D36,Résultats!$B$2:$AZ$251,AG$2,FALSE)</f>
        <v>8.6622773300000008E-3</v>
      </c>
      <c r="AH36" s="25">
        <f>VLOOKUP($D36,Résultats!$B$2:$AZ$251,AH$2,FALSE)</f>
        <v>4.8302514699999997E-3</v>
      </c>
      <c r="AI36" s="25">
        <f>VLOOKUP($D36,Résultats!$B$2:$AZ$251,AI$2,FALSE)</f>
        <v>2.4866232099999999E-3</v>
      </c>
      <c r="AJ36" s="25">
        <f>VLOOKUP($D36,Résultats!$B$2:$AZ$251,AJ$2,FALSE)</f>
        <v>1.2734899200000001E-3</v>
      </c>
      <c r="AK36" s="25">
        <f>VLOOKUP($D36,Résultats!$B$2:$AZ$251,AK$2,FALSE)</f>
        <v>6.5085751900000001E-4</v>
      </c>
      <c r="AL36" s="25">
        <f>VLOOKUP($D36,Résultats!$B$2:$AZ$251,AL$2,FALSE)</f>
        <v>3.31669918E-4</v>
      </c>
      <c r="AM36" s="102">
        <f>VLOOKUP($D36,Résultats!$B$2:$AZ$251,AM$2,FALSE)</f>
        <v>1.67024527E-4</v>
      </c>
    </row>
    <row r="37" spans="2:39" x14ac:dyDescent="0.25">
      <c r="C37" s="218" t="s">
        <v>28</v>
      </c>
      <c r="D37" s="3" t="s">
        <v>152</v>
      </c>
      <c r="E37" s="25">
        <f>VLOOKUP($D37,Résultats!$B$2:$AZ$251,E$2,FALSE)</f>
        <v>426.9614105</v>
      </c>
      <c r="F37" s="25">
        <f>VLOOKUP($D37,Résultats!$B$2:$AZ$251,F$2,FALSE)</f>
        <v>359.40770429999998</v>
      </c>
      <c r="G37" s="25">
        <f>VLOOKUP($D37,Résultats!$B$2:$AZ$251,G$2,FALSE)</f>
        <v>399.33694370000001</v>
      </c>
      <c r="H37" s="25">
        <f>VLOOKUP($D37,Résultats!$B$2:$AZ$251,H$2,FALSE)</f>
        <v>403.76737759999997</v>
      </c>
      <c r="I37" s="25">
        <f>VLOOKUP($D37,Résultats!$B$2:$AZ$251,I$2,FALSE)</f>
        <v>354.90423809999999</v>
      </c>
      <c r="J37" s="25">
        <f>VLOOKUP($D37,Résultats!$B$2:$AZ$251,J$2,FALSE)</f>
        <v>303.46828379999999</v>
      </c>
      <c r="K37" s="25">
        <f>VLOOKUP($D37,Résultats!$B$2:$AZ$251,K$2,FALSE)</f>
        <v>315.91728069999999</v>
      </c>
      <c r="L37" s="25">
        <f>VLOOKUP($D37,Résultats!$B$2:$AZ$251,L$2,FALSE)</f>
        <v>322.59341000000001</v>
      </c>
      <c r="M37" s="25">
        <f>VLOOKUP($D37,Résultats!$B$2:$AZ$251,M$2,FALSE)</f>
        <v>397.68777260000002</v>
      </c>
      <c r="N37" s="25">
        <f>VLOOKUP($D37,Résultats!$B$2:$AZ$251,N$2,FALSE)</f>
        <v>414.81798209999999</v>
      </c>
      <c r="O37" s="25">
        <f>VLOOKUP($D37,Résultats!$B$2:$AZ$251,O$2,FALSE)</f>
        <v>329.9148414</v>
      </c>
      <c r="P37" s="25">
        <f>VLOOKUP($D37,Résultats!$B$2:$AZ$251,P$2,FALSE)</f>
        <v>270.91095330000002</v>
      </c>
      <c r="Q37" s="25">
        <f>VLOOKUP($D37,Résultats!$B$2:$AZ$251,Q$2,FALSE)</f>
        <v>216.69606870000001</v>
      </c>
      <c r="R37" s="25">
        <f>VLOOKUP($D37,Résultats!$B$2:$AZ$251,R$2,FALSE)</f>
        <v>163.77013840000001</v>
      </c>
      <c r="S37" s="25">
        <f>VLOOKUP($D37,Résultats!$B$2:$AZ$251,S$2,FALSE)</f>
        <v>115.65298610000001</v>
      </c>
      <c r="T37" s="25">
        <f>VLOOKUP($D37,Résultats!$B$2:$AZ$251,T$2,FALSE)</f>
        <v>75.432200539999997</v>
      </c>
      <c r="U37" s="25">
        <f>VLOOKUP($D37,Résultats!$B$2:$AZ$251,U$2,FALSE)</f>
        <v>45.71762536</v>
      </c>
      <c r="V37" s="25">
        <f>VLOOKUP($D37,Résultats!$B$2:$AZ$251,V$2,FALSE)</f>
        <v>25.820104789999998</v>
      </c>
      <c r="W37" s="25">
        <f>VLOOKUP($D37,Résultats!$B$2:$AZ$251,W$2,FALSE)</f>
        <v>13.86669816</v>
      </c>
      <c r="X37" s="25">
        <f>VLOOKUP($D37,Résultats!$B$2:$AZ$251,X$2,FALSE)</f>
        <v>7.2043610170000001</v>
      </c>
      <c r="Y37" s="25">
        <f>VLOOKUP($D37,Résultats!$B$2:$AZ$251,Y$2,FALSE)</f>
        <v>3.7731436519999999</v>
      </c>
      <c r="Z37" s="25">
        <f>VLOOKUP($D37,Résultats!$B$2:$AZ$251,Z$2,FALSE)</f>
        <v>1.9381801190000001</v>
      </c>
      <c r="AA37" s="25">
        <f>VLOOKUP($D37,Résultats!$B$2:$AZ$251,AA$2,FALSE)</f>
        <v>0.98072137299999995</v>
      </c>
      <c r="AB37" s="25">
        <f>VLOOKUP($D37,Résultats!$B$2:$AZ$251,AB$2,FALSE)</f>
        <v>0.4918190294</v>
      </c>
      <c r="AC37" s="25">
        <f>VLOOKUP($D37,Résultats!$B$2:$AZ$251,AC$2,FALSE)</f>
        <v>0.24609347400000001</v>
      </c>
      <c r="AD37" s="25">
        <f>VLOOKUP($D37,Résultats!$B$2:$AZ$251,AD$2,FALSE)</f>
        <v>0.122176513</v>
      </c>
      <c r="AE37" s="25">
        <f>VLOOKUP($D37,Résultats!$B$2:$AZ$251,AE$2,FALSE)</f>
        <v>6.0725274199999998E-2</v>
      </c>
      <c r="AF37" s="25">
        <f>VLOOKUP($D37,Résultats!$B$2:$AZ$251,AF$2,FALSE)</f>
        <v>3.01391614E-2</v>
      </c>
      <c r="AG37" s="25">
        <f>VLOOKUP($D37,Résultats!$B$2:$AZ$251,AG$2,FALSE)</f>
        <v>1.49313876E-2</v>
      </c>
      <c r="AH37" s="25">
        <f>VLOOKUP($D37,Résultats!$B$2:$AZ$251,AH$2,FALSE)</f>
        <v>7.7062067199999999E-3</v>
      </c>
      <c r="AI37" s="25">
        <f>VLOOKUP($D37,Résultats!$B$2:$AZ$251,AI$2,FALSE)</f>
        <v>3.8605029999999999E-3</v>
      </c>
      <c r="AJ37" s="25">
        <f>VLOOKUP($D37,Résultats!$B$2:$AZ$251,AJ$2,FALSE)</f>
        <v>1.9220229000000001E-3</v>
      </c>
      <c r="AK37" s="25">
        <f>VLOOKUP($D37,Résultats!$B$2:$AZ$251,AK$2,FALSE)</f>
        <v>9.5557499299999999E-4</v>
      </c>
      <c r="AL37" s="25">
        <f>VLOOKUP($D37,Résultats!$B$2:$AZ$251,AL$2,FALSE)</f>
        <v>4.7389128599999999E-4</v>
      </c>
      <c r="AM37" s="102">
        <f>VLOOKUP($D37,Résultats!$B$2:$AZ$251,AM$2,FALSE)</f>
        <v>2.32141461E-4</v>
      </c>
    </row>
    <row r="38" spans="2:39" x14ac:dyDescent="0.25">
      <c r="C38" s="218" t="s">
        <v>29</v>
      </c>
      <c r="D38" s="3" t="s">
        <v>153</v>
      </c>
      <c r="E38" s="25">
        <f>VLOOKUP($D38,Résultats!$B$2:$AZ$251,E$2,FALSE)</f>
        <v>673.65022550000003</v>
      </c>
      <c r="F38" s="25">
        <f>VLOOKUP($D38,Résultats!$B$2:$AZ$251,F$2,FALSE)</f>
        <v>549.456773</v>
      </c>
      <c r="G38" s="25">
        <f>VLOOKUP($D38,Résultats!$B$2:$AZ$251,G$2,FALSE)</f>
        <v>609.25472019999995</v>
      </c>
      <c r="H38" s="25">
        <f>VLOOKUP($D38,Résultats!$B$2:$AZ$251,H$2,FALSE)</f>
        <v>613.36617209999997</v>
      </c>
      <c r="I38" s="25">
        <f>VLOOKUP($D38,Résultats!$B$2:$AZ$251,I$2,FALSE)</f>
        <v>524.51448960000005</v>
      </c>
      <c r="J38" s="25">
        <f>VLOOKUP($D38,Résultats!$B$2:$AZ$251,J$2,FALSE)</f>
        <v>452.50769919999999</v>
      </c>
      <c r="K38" s="25">
        <f>VLOOKUP($D38,Résultats!$B$2:$AZ$251,K$2,FALSE)</f>
        <v>455.06076259999998</v>
      </c>
      <c r="L38" s="25">
        <f>VLOOKUP($D38,Résultats!$B$2:$AZ$251,L$2,FALSE)</f>
        <v>457.16745070000002</v>
      </c>
      <c r="M38" s="25">
        <f>VLOOKUP($D38,Résultats!$B$2:$AZ$251,M$2,FALSE)</f>
        <v>562.70580529999995</v>
      </c>
      <c r="N38" s="25">
        <f>VLOOKUP($D38,Résultats!$B$2:$AZ$251,N$2,FALSE)</f>
        <v>584.07315080000001</v>
      </c>
      <c r="O38" s="25">
        <f>VLOOKUP($D38,Résultats!$B$2:$AZ$251,O$2,FALSE)</f>
        <v>460.27623030000001</v>
      </c>
      <c r="P38" s="25">
        <f>VLOOKUP($D38,Résultats!$B$2:$AZ$251,P$2,FALSE)</f>
        <v>375.5166648</v>
      </c>
      <c r="Q38" s="25">
        <f>VLOOKUP($D38,Résultats!$B$2:$AZ$251,Q$2,FALSE)</f>
        <v>298.9576118</v>
      </c>
      <c r="R38" s="25">
        <f>VLOOKUP($D38,Résultats!$B$2:$AZ$251,R$2,FALSE)</f>
        <v>224.8296958</v>
      </c>
      <c r="S38" s="25">
        <f>VLOOKUP($D38,Résultats!$B$2:$AZ$251,S$2,FALSE)</f>
        <v>157.89618100000001</v>
      </c>
      <c r="T38" s="25">
        <f>VLOOKUP($D38,Résultats!$B$2:$AZ$251,T$2,FALSE)</f>
        <v>102.42388</v>
      </c>
      <c r="U38" s="25">
        <f>VLOOKUP($D38,Résultats!$B$2:$AZ$251,U$2,FALSE)</f>
        <v>61.751442879999999</v>
      </c>
      <c r="V38" s="25">
        <f>VLOOKUP($D38,Résultats!$B$2:$AZ$251,V$2,FALSE)</f>
        <v>34.676955669999998</v>
      </c>
      <c r="W38" s="25">
        <f>VLOOKUP($D38,Résultats!$B$2:$AZ$251,W$2,FALSE)</f>
        <v>18.509935970000001</v>
      </c>
      <c r="X38" s="25">
        <f>VLOOKUP($D38,Résultats!$B$2:$AZ$251,X$2,FALSE)</f>
        <v>9.5559276200000003</v>
      </c>
      <c r="Y38" s="25">
        <f>VLOOKUP($D38,Résultats!$B$2:$AZ$251,Y$2,FALSE)</f>
        <v>4.9753856130000003</v>
      </c>
      <c r="Z38" s="25">
        <f>VLOOKUP($D38,Résultats!$B$2:$AZ$251,Z$2,FALSE)</f>
        <v>2.5399570649999998</v>
      </c>
      <c r="AA38" s="25">
        <f>VLOOKUP($D38,Résultats!$B$2:$AZ$251,AA$2,FALSE)</f>
        <v>1.2767345349999999</v>
      </c>
      <c r="AB38" s="25">
        <f>VLOOKUP($D38,Résultats!$B$2:$AZ$251,AB$2,FALSE)</f>
        <v>0.63588102310000005</v>
      </c>
      <c r="AC38" s="25">
        <f>VLOOKUP($D38,Résultats!$B$2:$AZ$251,AC$2,FALSE)</f>
        <v>0.31591759270000003</v>
      </c>
      <c r="AD38" s="25">
        <f>VLOOKUP($D38,Résultats!$B$2:$AZ$251,AD$2,FALSE)</f>
        <v>0.1559129206</v>
      </c>
      <c r="AE38" s="25">
        <f>VLOOKUP($D38,Résultats!$B$2:$AZ$251,AE$2,FALSE)</f>
        <v>7.7024324699999897E-2</v>
      </c>
      <c r="AF38" s="25">
        <f>VLOOKUP($D38,Résultats!$B$2:$AZ$251,AF$2,FALSE)</f>
        <v>3.80017146E-2</v>
      </c>
      <c r="AG38" s="25">
        <f>VLOOKUP($D38,Résultats!$B$2:$AZ$251,AG$2,FALSE)</f>
        <v>1.87148785E-2</v>
      </c>
      <c r="AH38" s="25">
        <f>VLOOKUP($D38,Résultats!$B$2:$AZ$251,AH$2,FALSE)</f>
        <v>9.43999643E-3</v>
      </c>
      <c r="AI38" s="25">
        <f>VLOOKUP($D38,Résultats!$B$2:$AZ$251,AI$2,FALSE)</f>
        <v>4.7008559200000001E-3</v>
      </c>
      <c r="AJ38" s="25">
        <f>VLOOKUP($D38,Résultats!$B$2:$AZ$251,AJ$2,FALSE)</f>
        <v>2.3254014599999998E-3</v>
      </c>
      <c r="AK38" s="25">
        <f>VLOOKUP($D38,Résultats!$B$2:$AZ$251,AK$2,FALSE)</f>
        <v>1.1488228200000001E-3</v>
      </c>
      <c r="AL38" s="25">
        <f>VLOOKUP($D38,Résultats!$B$2:$AZ$251,AL$2,FALSE)</f>
        <v>5.6613746499999996E-4</v>
      </c>
      <c r="AM38" s="102">
        <f>VLOOKUP($D38,Résultats!$B$2:$AZ$251,AM$2,FALSE)</f>
        <v>2.7550313399999997E-4</v>
      </c>
    </row>
    <row r="39" spans="2:39" x14ac:dyDescent="0.25">
      <c r="C39" s="218" t="s">
        <v>30</v>
      </c>
      <c r="D39" s="3" t="s">
        <v>154</v>
      </c>
      <c r="E39" s="25">
        <f>VLOOKUP($D39,Résultats!$B$2:$AZ$251,E$2,FALSE)</f>
        <v>664.16219420000004</v>
      </c>
      <c r="F39" s="25">
        <f>VLOOKUP($D39,Résultats!$B$2:$AZ$251,F$2,FALSE)</f>
        <v>529.39697079999996</v>
      </c>
      <c r="G39" s="25">
        <f>VLOOKUP($D39,Résultats!$B$2:$AZ$251,G$2,FALSE)</f>
        <v>583.74262729999998</v>
      </c>
      <c r="H39" s="25">
        <f>VLOOKUP($D39,Résultats!$B$2:$AZ$251,H$2,FALSE)</f>
        <v>588.94531949999998</v>
      </c>
      <c r="I39" s="25">
        <f>VLOOKUP($D39,Résultats!$B$2:$AZ$251,I$2,FALSE)</f>
        <v>492.52078710000001</v>
      </c>
      <c r="J39" s="25">
        <f>VLOOKUP($D39,Résultats!$B$2:$AZ$251,J$2,FALSE)</f>
        <v>435.13817130000001</v>
      </c>
      <c r="K39" s="25">
        <f>VLOOKUP($D39,Résultats!$B$2:$AZ$251,K$2,FALSE)</f>
        <v>429.91170310000001</v>
      </c>
      <c r="L39" s="25">
        <f>VLOOKUP($D39,Résultats!$B$2:$AZ$251,L$2,FALSE)</f>
        <v>428.28081329999998</v>
      </c>
      <c r="M39" s="25">
        <f>VLOOKUP($D39,Résultats!$B$2:$AZ$251,M$2,FALSE)</f>
        <v>526.56590870000002</v>
      </c>
      <c r="N39" s="25">
        <f>VLOOKUP($D39,Résultats!$B$2:$AZ$251,N$2,FALSE)</f>
        <v>544.99553400000002</v>
      </c>
      <c r="O39" s="25">
        <f>VLOOKUP($D39,Résultats!$B$2:$AZ$251,O$2,FALSE)</f>
        <v>427.3998737</v>
      </c>
      <c r="P39" s="25">
        <f>VLOOKUP($D39,Résultats!$B$2:$AZ$251,P$2,FALSE)</f>
        <v>347.48180439999999</v>
      </c>
      <c r="Q39" s="25">
        <f>VLOOKUP($D39,Résultats!$B$2:$AZ$251,Q$2,FALSE)</f>
        <v>275.92590860000001</v>
      </c>
      <c r="R39" s="25">
        <f>VLOOKUP($D39,Résultats!$B$2:$AZ$251,R$2,FALSE)</f>
        <v>206.8999622</v>
      </c>
      <c r="S39" s="25">
        <f>VLOOKUP($D39,Résultats!$B$2:$AZ$251,S$2,FALSE)</f>
        <v>144.82742110000001</v>
      </c>
      <c r="T39" s="25">
        <f>VLOOKUP($D39,Résultats!$B$2:$AZ$251,T$2,FALSE)</f>
        <v>93.657633279999999</v>
      </c>
      <c r="U39" s="25">
        <f>VLOOKUP($D39,Résultats!$B$2:$AZ$251,U$2,FALSE)</f>
        <v>56.299085949999998</v>
      </c>
      <c r="V39" s="25">
        <f>VLOOKUP($D39,Résultats!$B$2:$AZ$251,V$2,FALSE)</f>
        <v>31.513877870000002</v>
      </c>
      <c r="W39" s="25">
        <f>VLOOKUP($D39,Résultats!$B$2:$AZ$251,W$2,FALSE)</f>
        <v>16.764126050000002</v>
      </c>
      <c r="X39" s="25">
        <f>VLOOKUP($D39,Résultats!$B$2:$AZ$251,X$2,FALSE)</f>
        <v>8.6240236620000008</v>
      </c>
      <c r="Y39" s="25">
        <f>VLOOKUP($D39,Résultats!$B$2:$AZ$251,Y$2,FALSE)</f>
        <v>4.4756258229999997</v>
      </c>
      <c r="Z39" s="25">
        <f>VLOOKUP($D39,Résultats!$B$2:$AZ$251,Z$2,FALSE)</f>
        <v>2.2770253509999998</v>
      </c>
      <c r="AA39" s="25">
        <f>VLOOKUP($D39,Résultats!$B$2:$AZ$251,AA$2,FALSE)</f>
        <v>1.140394549</v>
      </c>
      <c r="AB39" s="25">
        <f>VLOOKUP($D39,Résultats!$B$2:$AZ$251,AB$2,FALSE)</f>
        <v>0.56582414609999998</v>
      </c>
      <c r="AC39" s="25">
        <f>VLOOKUP($D39,Résultats!$B$2:$AZ$251,AC$2,FALSE)</f>
        <v>0.2800095856</v>
      </c>
      <c r="AD39" s="25">
        <f>VLOOKUP($D39,Résultats!$B$2:$AZ$251,AD$2,FALSE)</f>
        <v>0.13771722920000001</v>
      </c>
      <c r="AE39" s="25">
        <f>VLOOKUP($D39,Résultats!$B$2:$AZ$251,AE$2,FALSE)</f>
        <v>6.7797076900000003E-2</v>
      </c>
      <c r="AF39" s="25">
        <f>VLOOKUP($D39,Résultats!$B$2:$AZ$251,AF$2,FALSE)</f>
        <v>3.3334478700000003E-2</v>
      </c>
      <c r="AG39" s="25">
        <f>VLOOKUP($D39,Résultats!$B$2:$AZ$251,AG$2,FALSE)</f>
        <v>1.63602303E-2</v>
      </c>
      <c r="AH39" s="25">
        <f>VLOOKUP($D39,Résultats!$B$2:$AZ$251,AH$2,FALSE)</f>
        <v>8.1497951400000008E-3</v>
      </c>
      <c r="AI39" s="25">
        <f>VLOOKUP($D39,Résultats!$B$2:$AZ$251,AI$2,FALSE)</f>
        <v>4.0444864299999999E-3</v>
      </c>
      <c r="AJ39" s="25">
        <f>VLOOKUP($D39,Résultats!$B$2:$AZ$251,AJ$2,FALSE)</f>
        <v>1.9934250299999999E-3</v>
      </c>
      <c r="AK39" s="25">
        <f>VLOOKUP($D39,Résultats!$B$2:$AZ$251,AK$2,FALSE)</f>
        <v>9.81303812E-4</v>
      </c>
      <c r="AL39" s="25">
        <f>VLOOKUP($D39,Résultats!$B$2:$AZ$251,AL$2,FALSE)</f>
        <v>4.8187671099999998E-4</v>
      </c>
      <c r="AM39" s="102">
        <f>VLOOKUP($D39,Résultats!$B$2:$AZ$251,AM$2,FALSE)</f>
        <v>2.3364335300000001E-4</v>
      </c>
    </row>
    <row r="40" spans="2:39" x14ac:dyDescent="0.25">
      <c r="C40" s="218" t="s">
        <v>31</v>
      </c>
      <c r="D40" s="3" t="s">
        <v>155</v>
      </c>
      <c r="E40" s="25">
        <f>VLOOKUP($D40,Résultats!$B$2:$AZ$251,E$2,FALSE)</f>
        <v>426.9614105</v>
      </c>
      <c r="F40" s="25">
        <f>VLOOKUP($D40,Résultats!$B$2:$AZ$251,F$2,FALSE)</f>
        <v>324.79954659999999</v>
      </c>
      <c r="G40" s="25">
        <f>VLOOKUP($D40,Résultats!$B$2:$AZ$251,G$2,FALSE)</f>
        <v>350.57360360000001</v>
      </c>
      <c r="H40" s="25">
        <f>VLOOKUP($D40,Résultats!$B$2:$AZ$251,H$2,FALSE)</f>
        <v>346.8647962</v>
      </c>
      <c r="I40" s="25">
        <f>VLOOKUP($D40,Résultats!$B$2:$AZ$251,I$2,FALSE)</f>
        <v>272.54144960000002</v>
      </c>
      <c r="J40" s="25">
        <f>VLOOKUP($D40,Résultats!$B$2:$AZ$251,J$2,FALSE)</f>
        <v>251.7608879</v>
      </c>
      <c r="K40" s="25">
        <f>VLOOKUP($D40,Résultats!$B$2:$AZ$251,K$2,FALSE)</f>
        <v>227.76752640000001</v>
      </c>
      <c r="L40" s="25">
        <f>VLOOKUP($D40,Résultats!$B$2:$AZ$251,L$2,FALSE)</f>
        <v>220.8548921</v>
      </c>
      <c r="M40" s="25">
        <f>VLOOKUP($D40,Résultats!$B$2:$AZ$251,M$2,FALSE)</f>
        <v>270.77696479999997</v>
      </c>
      <c r="N40" s="25">
        <f>VLOOKUP($D40,Résultats!$B$2:$AZ$251,N$2,FALSE)</f>
        <v>277.92795230000002</v>
      </c>
      <c r="O40" s="25">
        <f>VLOOKUP($D40,Résultats!$B$2:$AZ$251,O$2,FALSE)</f>
        <v>214.68121260000001</v>
      </c>
      <c r="P40" s="25">
        <f>VLOOKUP($D40,Résultats!$B$2:$AZ$251,P$2,FALSE)</f>
        <v>172.6929773</v>
      </c>
      <c r="Q40" s="25">
        <f>VLOOKUP($D40,Résultats!$B$2:$AZ$251,Q$2,FALSE)</f>
        <v>136.0788498</v>
      </c>
      <c r="R40" s="25">
        <f>VLOOKUP($D40,Résultats!$B$2:$AZ$251,R$2,FALSE)</f>
        <v>101.20605430000001</v>
      </c>
      <c r="S40" s="25">
        <f>VLOOKUP($D40,Résultats!$B$2:$AZ$251,S$2,FALSE)</f>
        <v>70.20157141</v>
      </c>
      <c r="T40" s="25">
        <f>VLOOKUP($D40,Résultats!$B$2:$AZ$251,T$2,FALSE)</f>
        <v>45.002805649999999</v>
      </c>
      <c r="U40" s="25">
        <f>VLOOKUP($D40,Résultats!$B$2:$AZ$251,U$2,FALSE)</f>
        <v>26.82773877</v>
      </c>
      <c r="V40" s="25">
        <f>VLOOKUP($D40,Résultats!$B$2:$AZ$251,V$2,FALSE)</f>
        <v>14.88375373</v>
      </c>
      <c r="W40" s="25">
        <f>VLOOKUP($D40,Résultats!$B$2:$AZ$251,W$2,FALSE)</f>
        <v>7.8437097009999999</v>
      </c>
      <c r="X40" s="25">
        <f>VLOOKUP($D40,Résultats!$B$2:$AZ$251,X$2,FALSE)</f>
        <v>3.9966989700000002</v>
      </c>
      <c r="Y40" s="25">
        <f>VLOOKUP($D40,Résultats!$B$2:$AZ$251,Y$2,FALSE)</f>
        <v>2.0562847290000001</v>
      </c>
      <c r="Z40" s="25">
        <f>VLOOKUP($D40,Résultats!$B$2:$AZ$251,Z$2,FALSE)</f>
        <v>1.036848298</v>
      </c>
      <c r="AA40" s="25">
        <f>VLOOKUP($D40,Résultats!$B$2:$AZ$251,AA$2,FALSE)</f>
        <v>0.51445920950000001</v>
      </c>
      <c r="AB40" s="25">
        <f>VLOOKUP($D40,Résultats!$B$2:$AZ$251,AB$2,FALSE)</f>
        <v>0.252864168</v>
      </c>
      <c r="AC40" s="25">
        <f>VLOOKUP($D40,Résultats!$B$2:$AZ$251,AC$2,FALSE)</f>
        <v>0.1239555482</v>
      </c>
      <c r="AD40" s="25">
        <f>VLOOKUP($D40,Résultats!$B$2:$AZ$251,AD$2,FALSE)</f>
        <v>6.0498048200000001E-2</v>
      </c>
      <c r="AE40" s="25">
        <f>VLOOKUP($D40,Résultats!$B$2:$AZ$251,AE$2,FALSE)</f>
        <v>2.9557371499999999E-2</v>
      </c>
      <c r="AF40" s="25">
        <f>VLOOKUP($D40,Résultats!$B$2:$AZ$251,AF$2,FALSE)</f>
        <v>1.4428806000000001E-2</v>
      </c>
      <c r="AG40" s="25">
        <f>VLOOKUP($D40,Résultats!$B$2:$AZ$251,AG$2,FALSE)</f>
        <v>7.0328569800000001E-3</v>
      </c>
      <c r="AH40" s="25">
        <f>VLOOKUP($D40,Résultats!$B$2:$AZ$251,AH$2,FALSE)</f>
        <v>3.4205418199999998E-3</v>
      </c>
      <c r="AI40" s="25">
        <f>VLOOKUP($D40,Résultats!$B$2:$AZ$251,AI$2,FALSE)</f>
        <v>1.6882756700000001E-3</v>
      </c>
      <c r="AJ40" s="25">
        <f>VLOOKUP($D40,Résultats!$B$2:$AZ$251,AJ$2,FALSE)</f>
        <v>8.2756145400000002E-4</v>
      </c>
      <c r="AK40" s="25">
        <f>VLOOKUP($D40,Résultats!$B$2:$AZ$251,AK$2,FALSE)</f>
        <v>4.0535750200000002E-4</v>
      </c>
      <c r="AL40" s="25">
        <f>VLOOKUP($D40,Résultats!$B$2:$AZ$251,AL$2,FALSE)</f>
        <v>1.98147943E-4</v>
      </c>
      <c r="AM40" s="102">
        <f>VLOOKUP($D40,Résultats!$B$2:$AZ$251,AM$2,FALSE)</f>
        <v>9.56593854E-5</v>
      </c>
    </row>
    <row r="41" spans="2:39" x14ac:dyDescent="0.25">
      <c r="C41" s="218" t="s">
        <v>32</v>
      </c>
      <c r="D41" s="3" t="s">
        <v>156</v>
      </c>
      <c r="E41" s="25">
        <f>VLOOKUP($D41,Résultats!$B$2:$AZ$251,E$2,FALSE)</f>
        <v>142.32047019999999</v>
      </c>
      <c r="F41" s="25">
        <f>VLOOKUP($D41,Résultats!$B$2:$AZ$251,F$2,FALSE)</f>
        <v>90.254187049999999</v>
      </c>
      <c r="G41" s="25">
        <f>VLOOKUP($D41,Résultats!$B$2:$AZ$251,G$2,FALSE)</f>
        <v>102.0343031</v>
      </c>
      <c r="H41" s="25">
        <f>VLOOKUP($D41,Résultats!$B$2:$AZ$251,H$2,FALSE)</f>
        <v>97.613247400000006</v>
      </c>
      <c r="I41" s="25">
        <f>VLOOKUP($D41,Résultats!$B$2:$AZ$251,I$2,FALSE)</f>
        <v>67.520950859999999</v>
      </c>
      <c r="J41" s="25">
        <f>VLOOKUP($D41,Résultats!$B$2:$AZ$251,J$2,FALSE)</f>
        <v>42.030257159999998</v>
      </c>
      <c r="K41" s="25">
        <f>VLOOKUP($D41,Résultats!$B$2:$AZ$251,K$2,FALSE)</f>
        <v>29.056518400000002</v>
      </c>
      <c r="L41" s="25">
        <f>VLOOKUP($D41,Résultats!$B$2:$AZ$251,L$2,FALSE)</f>
        <v>24.721800160000001</v>
      </c>
      <c r="M41" s="25">
        <f>VLOOKUP($D41,Résultats!$B$2:$AZ$251,M$2,FALSE)</f>
        <v>29.877997069999999</v>
      </c>
      <c r="N41" s="25">
        <f>VLOOKUP($D41,Résultats!$B$2:$AZ$251,N$2,FALSE)</f>
        <v>29.395773850000001</v>
      </c>
      <c r="O41" s="25">
        <f>VLOOKUP($D41,Résultats!$B$2:$AZ$251,O$2,FALSE)</f>
        <v>21.00796244</v>
      </c>
      <c r="P41" s="25">
        <f>VLOOKUP($D41,Résultats!$B$2:$AZ$251,P$2,FALSE)</f>
        <v>15.98019897</v>
      </c>
      <c r="Q41" s="25">
        <f>VLOOKUP($D41,Résultats!$B$2:$AZ$251,Q$2,FALSE)</f>
        <v>12.082577840000001</v>
      </c>
      <c r="R41" s="25">
        <f>VLOOKUP($D41,Résultats!$B$2:$AZ$251,R$2,FALSE)</f>
        <v>8.5881275529999996</v>
      </c>
      <c r="S41" s="25">
        <f>VLOOKUP($D41,Résultats!$B$2:$AZ$251,S$2,FALSE)</f>
        <v>5.6589858709999996</v>
      </c>
      <c r="T41" s="25">
        <f>VLOOKUP($D41,Résultats!$B$2:$AZ$251,T$2,FALSE)</f>
        <v>3.451551314</v>
      </c>
      <c r="U41" s="25">
        <f>VLOOKUP($D41,Résultats!$B$2:$AZ$251,U$2,FALSE)</f>
        <v>1.960782182</v>
      </c>
      <c r="V41" s="25">
        <f>VLOOKUP($D41,Résultats!$B$2:$AZ$251,V$2,FALSE)</f>
        <v>1.032183786</v>
      </c>
      <c r="W41" s="25">
        <f>VLOOKUP($D41,Résultats!$B$2:$AZ$251,W$2,FALSE)</f>
        <v>0.51423323639999996</v>
      </c>
      <c r="X41" s="25">
        <f>VLOOKUP($D41,Résultats!$B$2:$AZ$251,X$2,FALSE)</f>
        <v>0.2471628864</v>
      </c>
      <c r="Y41" s="25">
        <f>VLOOKUP($D41,Résultats!$B$2:$AZ$251,Y$2,FALSE)</f>
        <v>0.1205137233</v>
      </c>
      <c r="Z41" s="25">
        <f>VLOOKUP($D41,Résultats!$B$2:$AZ$251,Z$2,FALSE)</f>
        <v>5.7432552099999999E-2</v>
      </c>
      <c r="AA41" s="25">
        <f>VLOOKUP($D41,Résultats!$B$2:$AZ$251,AA$2,FALSE)</f>
        <v>2.6837000699999999E-2</v>
      </c>
      <c r="AB41" s="25">
        <f>VLOOKUP($D41,Résultats!$B$2:$AZ$251,AB$2,FALSE)</f>
        <v>1.2399842600000001E-2</v>
      </c>
      <c r="AC41" s="25">
        <f>VLOOKUP($D41,Résultats!$B$2:$AZ$251,AC$2,FALSE)</f>
        <v>5.7052828100000001E-3</v>
      </c>
      <c r="AD41" s="25">
        <f>VLOOKUP($D41,Résultats!$B$2:$AZ$251,AD$2,FALSE)</f>
        <v>2.6380466600000002E-3</v>
      </c>
      <c r="AE41" s="25">
        <f>VLOOKUP($D41,Résultats!$B$2:$AZ$251,AE$2,FALSE)</f>
        <v>1.2205192399999999E-3</v>
      </c>
      <c r="AF41" s="25">
        <f>VLOOKUP($D41,Résultats!$B$2:$AZ$251,AF$2,FALSE)</f>
        <v>5.6527367900000003E-4</v>
      </c>
      <c r="AG41" s="25">
        <f>VLOOKUP($D41,Résultats!$B$2:$AZ$251,AG$2,FALSE)</f>
        <v>2.6167693500000002E-4</v>
      </c>
      <c r="AH41" s="25">
        <f>VLOOKUP($D41,Résultats!$B$2:$AZ$251,AH$2,FALSE)</f>
        <v>1.06429072E-4</v>
      </c>
      <c r="AI41" s="25">
        <f>VLOOKUP($D41,Résultats!$B$2:$AZ$251,AI$2,FALSE)</f>
        <v>5.0202441200000001E-5</v>
      </c>
      <c r="AJ41" s="25">
        <f>VLOOKUP($D41,Résultats!$B$2:$AZ$251,AJ$2,FALSE)</f>
        <v>2.34913139E-5</v>
      </c>
      <c r="AK41" s="25">
        <f>VLOOKUP($D41,Résultats!$B$2:$AZ$251,AK$2,FALSE)</f>
        <v>1.10164307E-5</v>
      </c>
      <c r="AL41" s="25">
        <f>VLOOKUP($D41,Résultats!$B$2:$AZ$251,AL$2,FALSE)</f>
        <v>5.1684760200000004E-6</v>
      </c>
      <c r="AM41" s="102">
        <f>VLOOKUP($D41,Résultats!$B$2:$AZ$251,AM$2,FALSE)</f>
        <v>2.3970498999999998E-6</v>
      </c>
    </row>
    <row r="42" spans="2:39" x14ac:dyDescent="0.25">
      <c r="C42" s="219" t="s">
        <v>33</v>
      </c>
      <c r="D42" s="7" t="s">
        <v>157</v>
      </c>
      <c r="E42" s="57">
        <f>VLOOKUP($D42,Résultats!$B$2:$AZ$251,E$2,FALSE)</f>
        <v>35.580117540000003</v>
      </c>
      <c r="F42" s="57">
        <f>VLOOKUP($D42,Résultats!$B$2:$AZ$251,F$2,FALSE)</f>
        <v>16.531371249999999</v>
      </c>
      <c r="G42" s="57">
        <f>VLOOKUP($D42,Résultats!$B$2:$AZ$251,G$2,FALSE)</f>
        <v>18.80904645</v>
      </c>
      <c r="H42" s="57">
        <f>VLOOKUP($D42,Résultats!$B$2:$AZ$251,H$2,FALSE)</f>
        <v>14.733772979999999</v>
      </c>
      <c r="I42" s="57">
        <f>VLOOKUP($D42,Résultats!$B$2:$AZ$251,I$2,FALSE)</f>
        <v>7.500077375</v>
      </c>
      <c r="J42" s="57">
        <f>VLOOKUP($D42,Résultats!$B$2:$AZ$251,J$2,FALSE)</f>
        <v>1.374922397</v>
      </c>
      <c r="K42" s="57">
        <f>VLOOKUP($D42,Résultats!$B$2:$AZ$251,K$2,FALSE)</f>
        <v>0</v>
      </c>
      <c r="L42" s="57">
        <f>VLOOKUP($D42,Résultats!$B$2:$AZ$251,L$2,FALSE)</f>
        <v>0</v>
      </c>
      <c r="M42" s="57">
        <f>VLOOKUP($D42,Résultats!$B$2:$AZ$251,M$2,FALSE)</f>
        <v>0</v>
      </c>
      <c r="N42" s="57">
        <f>VLOOKUP($D42,Résultats!$B$2:$AZ$251,N$2,FALSE)</f>
        <v>0</v>
      </c>
      <c r="O42" s="57">
        <f>VLOOKUP($D42,Résultats!$B$2:$AZ$251,O$2,FALSE)</f>
        <v>0</v>
      </c>
      <c r="P42" s="57">
        <f>VLOOKUP($D42,Résultats!$B$2:$AZ$251,P$2,FALSE)</f>
        <v>0</v>
      </c>
      <c r="Q42" s="57">
        <f>VLOOKUP($D42,Résultats!$B$2:$AZ$251,Q$2,FALSE)</f>
        <v>0</v>
      </c>
      <c r="R42" s="57">
        <f>VLOOKUP($D42,Résultats!$B$2:$AZ$251,R$2,FALSE)</f>
        <v>0</v>
      </c>
      <c r="S42" s="57">
        <f>VLOOKUP($D42,Résultats!$B$2:$AZ$251,S$2,FALSE)</f>
        <v>0</v>
      </c>
      <c r="T42" s="57">
        <f>VLOOKUP($D42,Résultats!$B$2:$AZ$251,T$2,FALSE)</f>
        <v>0</v>
      </c>
      <c r="U42" s="57">
        <f>VLOOKUP($D42,Résultats!$B$2:$AZ$251,U$2,FALSE)</f>
        <v>0</v>
      </c>
      <c r="V42" s="57">
        <f>VLOOKUP($D42,Résultats!$B$2:$AZ$251,V$2,FALSE)</f>
        <v>0</v>
      </c>
      <c r="W42" s="57">
        <f>VLOOKUP($D42,Résultats!$B$2:$AZ$251,W$2,FALSE)</f>
        <v>0</v>
      </c>
      <c r="X42" s="57">
        <f>VLOOKUP($D42,Résultats!$B$2:$AZ$251,X$2,FALSE)</f>
        <v>0</v>
      </c>
      <c r="Y42" s="57">
        <f>VLOOKUP($D42,Résultats!$B$2:$AZ$251,Y$2,FALSE)</f>
        <v>0</v>
      </c>
      <c r="Z42" s="57">
        <f>VLOOKUP($D42,Résultats!$B$2:$AZ$251,Z$2,FALSE)</f>
        <v>0</v>
      </c>
      <c r="AA42" s="57">
        <f>VLOOKUP($D42,Résultats!$B$2:$AZ$251,AA$2,FALSE)</f>
        <v>0</v>
      </c>
      <c r="AB42" s="57">
        <f>VLOOKUP($D42,Résultats!$B$2:$AZ$251,AB$2,FALSE)</f>
        <v>0</v>
      </c>
      <c r="AC42" s="57">
        <f>VLOOKUP($D42,Résultats!$B$2:$AZ$251,AC$2,FALSE)</f>
        <v>0</v>
      </c>
      <c r="AD42" s="57">
        <f>VLOOKUP($D42,Résultats!$B$2:$AZ$251,AD$2,FALSE)</f>
        <v>0</v>
      </c>
      <c r="AE42" s="57">
        <f>VLOOKUP($D42,Résultats!$B$2:$AZ$251,AE$2,FALSE)</f>
        <v>0</v>
      </c>
      <c r="AF42" s="57">
        <f>VLOOKUP($D42,Résultats!$B$2:$AZ$251,AF$2,FALSE)</f>
        <v>0</v>
      </c>
      <c r="AG42" s="57">
        <f>VLOOKUP($D42,Résultats!$B$2:$AZ$251,AG$2,FALSE)</f>
        <v>0</v>
      </c>
      <c r="AH42" s="57">
        <f>VLOOKUP($D42,Résultats!$B$2:$AZ$251,AH$2,FALSE)</f>
        <v>0</v>
      </c>
      <c r="AI42" s="57">
        <f>VLOOKUP($D42,Résultats!$B$2:$AZ$251,AI$2,FALSE)</f>
        <v>0</v>
      </c>
      <c r="AJ42" s="57">
        <f>VLOOKUP($D42,Résultats!$B$2:$AZ$251,AJ$2,FALSE)</f>
        <v>0</v>
      </c>
      <c r="AK42" s="57">
        <f>VLOOKUP($D42,Résultats!$B$2:$AZ$251,AK$2,FALSE)</f>
        <v>0</v>
      </c>
      <c r="AL42" s="57">
        <f>VLOOKUP($D42,Résultats!$B$2:$AZ$251,AL$2,FALSE)</f>
        <v>0</v>
      </c>
      <c r="AM42" s="215">
        <f>VLOOKUP($D42,Résultats!$B$2:$AZ$251,AM$2,FALSE)</f>
        <v>0</v>
      </c>
    </row>
    <row r="43" spans="2:39" x14ac:dyDescent="0.25">
      <c r="B43" s="229" t="s">
        <v>78</v>
      </c>
      <c r="C43" s="220" t="s">
        <v>463</v>
      </c>
      <c r="D43" s="58" t="s">
        <v>130</v>
      </c>
      <c r="E43" s="99">
        <f>VLOOKUP($D48,Résultats!$B$2:$AZ$212,E$2,FALSE)</f>
        <v>32001.800439999999</v>
      </c>
      <c r="F43" s="99">
        <f>VLOOKUP($D48,Résultats!$B$2:$AZ$212,F$2,FALSE)</f>
        <v>35911.307350000003</v>
      </c>
      <c r="G43" s="99">
        <f>VLOOKUP($D48,Résultats!$B$2:$AZ$212,G$2,FALSE)</f>
        <v>36708.886160000002</v>
      </c>
      <c r="H43" s="99">
        <f>VLOOKUP($D48,Résultats!$B$2:$AZ$212,H$2,FALSE)</f>
        <v>37113.743849999999</v>
      </c>
      <c r="I43" s="99">
        <f>VLOOKUP($D48,Résultats!$B$2:$AZ$212,I$2,FALSE)</f>
        <v>37179.433069999999</v>
      </c>
      <c r="J43" s="99">
        <f>VLOOKUP($D48,Résultats!$B$2:$AZ$212,J$2,FALSE)</f>
        <v>37014.380270000001</v>
      </c>
      <c r="K43" s="99">
        <f>VLOOKUP($D48,Résultats!$B$2:$AZ$212,K$2,FALSE)</f>
        <v>36687.539709999997</v>
      </c>
      <c r="L43" s="99">
        <f>VLOOKUP($D48,Résultats!$B$2:$AZ$212,L$2,FALSE)</f>
        <v>36318.101560000003</v>
      </c>
      <c r="M43" s="99">
        <f>VLOOKUP($D48,Résultats!$B$2:$AZ$212,M$2,FALSE)</f>
        <v>36456.715470000003</v>
      </c>
      <c r="N43" s="99">
        <f>VLOOKUP($D48,Résultats!$B$2:$AZ$212,N$2,FALSE)</f>
        <v>36762.837140000003</v>
      </c>
      <c r="O43" s="99">
        <f>VLOOKUP($D48,Résultats!$B$2:$AZ$212,O$2,FALSE)</f>
        <v>36638.10873</v>
      </c>
      <c r="P43" s="99">
        <f>VLOOKUP($D48,Résultats!$B$2:$AZ$212,P$2,FALSE)</f>
        <v>36313.892820000001</v>
      </c>
      <c r="Q43" s="99">
        <f>VLOOKUP($D48,Résultats!$B$2:$AZ$212,Q$2,FALSE)</f>
        <v>35896.839469999999</v>
      </c>
      <c r="R43" s="99">
        <f>VLOOKUP($D48,Résultats!$B$2:$AZ$212,R$2,FALSE)</f>
        <v>35414.42858</v>
      </c>
      <c r="S43" s="99">
        <f>VLOOKUP($D48,Résultats!$B$2:$AZ$212,S$2,FALSE)</f>
        <v>34893.727729999999</v>
      </c>
      <c r="T43" s="99">
        <f>VLOOKUP($D48,Résultats!$B$2:$AZ$212,T$2,FALSE)</f>
        <v>34353.449430000001</v>
      </c>
      <c r="U43" s="99">
        <f>VLOOKUP($D48,Résultats!$B$2:$AZ$212,U$2,FALSE)</f>
        <v>33817.743499999997</v>
      </c>
      <c r="V43" s="99">
        <f>VLOOKUP($D48,Résultats!$B$2:$AZ$212,V$2,FALSE)</f>
        <v>33291.168519999999</v>
      </c>
      <c r="W43" s="99">
        <f>VLOOKUP($D48,Résultats!$B$2:$AZ$212,W$2,FALSE)</f>
        <v>32777.907619999998</v>
      </c>
      <c r="X43" s="99">
        <f>VLOOKUP($D48,Résultats!$B$2:$AZ$212,X$2,FALSE)</f>
        <v>32278.396199999999</v>
      </c>
      <c r="Y43" s="99">
        <f>VLOOKUP($D48,Résultats!$B$2:$AZ$212,Y$2,FALSE)</f>
        <v>31834.17108</v>
      </c>
      <c r="Z43" s="99">
        <f>VLOOKUP($D48,Résultats!$B$2:$AZ$212,Z$2,FALSE)</f>
        <v>31428.593919999999</v>
      </c>
      <c r="AA43" s="99">
        <f>VLOOKUP($D48,Résultats!$B$2:$AZ$212,AA$2,FALSE)</f>
        <v>31044.272400000002</v>
      </c>
      <c r="AB43" s="99">
        <f>VLOOKUP($D48,Résultats!$B$2:$AZ$212,AB$2,FALSE)</f>
        <v>30670.348720000002</v>
      </c>
      <c r="AC43" s="99">
        <f>VLOOKUP($D48,Résultats!$B$2:$AZ$212,AC$2,FALSE)</f>
        <v>30304.93577</v>
      </c>
      <c r="AD43" s="99">
        <f>VLOOKUP($D48,Résultats!$B$2:$AZ$212,AD$2,FALSE)</f>
        <v>29947.084159999999</v>
      </c>
      <c r="AE43" s="99">
        <f>VLOOKUP($D48,Résultats!$B$2:$AZ$212,AE$2,FALSE)</f>
        <v>29598.847989999998</v>
      </c>
      <c r="AF43" s="99">
        <f>VLOOKUP($D48,Résultats!$B$2:$AZ$212,AF$2,FALSE)</f>
        <v>29258.144390000001</v>
      </c>
      <c r="AG43" s="99">
        <f>VLOOKUP($D48,Résultats!$B$2:$AZ$212,AG$2,FALSE)</f>
        <v>28922.241699999999</v>
      </c>
      <c r="AH43" s="99">
        <f>VLOOKUP($D48,Résultats!$B$2:$AZ$212,AH$2,FALSE)</f>
        <v>28518.344079999999</v>
      </c>
      <c r="AI43" s="99">
        <f>VLOOKUP($D48,Résultats!$B$2:$AZ$212,AI$2,FALSE)</f>
        <v>28142.938450000001</v>
      </c>
      <c r="AJ43" s="99">
        <f>VLOOKUP($D48,Résultats!$B$2:$AZ$212,AJ$2,FALSE)</f>
        <v>27784.679899999999</v>
      </c>
      <c r="AK43" s="99">
        <f>VLOOKUP($D48,Résultats!$B$2:$AZ$212,AK$2,FALSE)</f>
        <v>27440.71488</v>
      </c>
      <c r="AL43" s="99">
        <f>VLOOKUP($D48,Résultats!$B$2:$AZ$212,AL$2,FALSE)</f>
        <v>27106.677769999998</v>
      </c>
      <c r="AM43" s="104">
        <f>VLOOKUP($D48,Résultats!$B$2:$AZ$212,AM$2,FALSE)</f>
        <v>26764.013500000001</v>
      </c>
    </row>
    <row r="44" spans="2:39" x14ac:dyDescent="0.25">
      <c r="B44" s="230"/>
      <c r="C44" s="218" t="s">
        <v>8</v>
      </c>
      <c r="D44" s="54" t="s">
        <v>145</v>
      </c>
      <c r="E44" s="25">
        <f>VLOOKUP($D44,Résultats!$B$2:$AZ$212,E$2,FALSE)</f>
        <v>0</v>
      </c>
      <c r="F44" s="25">
        <f>VLOOKUP($D44,Résultats!$B$2:$AZ$212,F$2,FALSE)</f>
        <v>0</v>
      </c>
      <c r="G44" s="25">
        <f>VLOOKUP($D44,Résultats!$B$2:$AZ$212,G$2,FALSE)</f>
        <v>0</v>
      </c>
      <c r="H44" s="25">
        <f>VLOOKUP($D44,Résultats!$B$2:$AZ$212,H$2,FALSE)</f>
        <v>0</v>
      </c>
      <c r="I44" s="25">
        <f>VLOOKUP($D44,Résultats!$B$2:$AZ$212,I$2,FALSE)</f>
        <v>0</v>
      </c>
      <c r="J44" s="25">
        <f>VLOOKUP($D44,Résultats!$B$2:$AZ$212,J$2,FALSE)</f>
        <v>0</v>
      </c>
      <c r="K44" s="25">
        <f>VLOOKUP($D44,Résultats!$B$2:$AZ$212,K$2,FALSE)</f>
        <v>0</v>
      </c>
      <c r="L44" s="25">
        <f>VLOOKUP($D44,Résultats!$B$2:$AZ$212,L$2,FALSE)</f>
        <v>0</v>
      </c>
      <c r="M44" s="25">
        <f>VLOOKUP($D44,Résultats!$B$2:$AZ$212,M$2,FALSE)</f>
        <v>0</v>
      </c>
      <c r="N44" s="25">
        <f>VLOOKUP($D44,Résultats!$B$2:$AZ$212,N$2,FALSE)</f>
        <v>0</v>
      </c>
      <c r="O44" s="25">
        <f>VLOOKUP($D44,Résultats!$B$2:$AZ$212,O$2,FALSE)</f>
        <v>0</v>
      </c>
      <c r="P44" s="25">
        <f>VLOOKUP($D44,Résultats!$B$2:$AZ$212,P$2,FALSE)</f>
        <v>0</v>
      </c>
      <c r="Q44" s="25">
        <f>VLOOKUP($D44,Résultats!$B$2:$AZ$212,Q$2,FALSE)</f>
        <v>0</v>
      </c>
      <c r="R44" s="25">
        <f>VLOOKUP($D44,Résultats!$B$2:$AZ$212,R$2,FALSE)</f>
        <v>0</v>
      </c>
      <c r="S44" s="25">
        <f>VLOOKUP($D44,Résultats!$B$2:$AZ$212,S$2,FALSE)</f>
        <v>0</v>
      </c>
      <c r="T44" s="25">
        <f>VLOOKUP($D44,Résultats!$B$2:$AZ$212,T$2,FALSE)</f>
        <v>0</v>
      </c>
      <c r="U44" s="25">
        <f>VLOOKUP($D44,Résultats!$B$2:$AZ$212,U$2,FALSE)</f>
        <v>0</v>
      </c>
      <c r="V44" s="25">
        <f>VLOOKUP($D44,Résultats!$B$2:$AZ$212,V$2,FALSE)</f>
        <v>0</v>
      </c>
      <c r="W44" s="25">
        <f>VLOOKUP($D44,Résultats!$B$2:$AZ$212,W$2,FALSE)</f>
        <v>0</v>
      </c>
      <c r="X44" s="25">
        <f>VLOOKUP($D44,Résultats!$B$2:$AZ$212,X$2,FALSE)</f>
        <v>0</v>
      </c>
      <c r="Y44" s="25">
        <f>VLOOKUP($D44,Résultats!$B$2:$AZ$212,Y$2,FALSE)</f>
        <v>0</v>
      </c>
      <c r="Z44" s="25">
        <f>VLOOKUP($D44,Résultats!$B$2:$AZ$212,Z$2,FALSE)</f>
        <v>0</v>
      </c>
      <c r="AA44" s="25">
        <f>VLOOKUP($D44,Résultats!$B$2:$AZ$212,AA$2,FALSE)</f>
        <v>0</v>
      </c>
      <c r="AB44" s="25">
        <f>VLOOKUP($D44,Résultats!$B$2:$AZ$212,AB$2,FALSE)</f>
        <v>0</v>
      </c>
      <c r="AC44" s="25">
        <f>VLOOKUP($D44,Résultats!$B$2:$AZ$212,AC$2,FALSE)</f>
        <v>0</v>
      </c>
      <c r="AD44" s="25">
        <f>VLOOKUP($D44,Résultats!$B$2:$AZ$212,AD$2,FALSE)</f>
        <v>0</v>
      </c>
      <c r="AE44" s="25">
        <f>VLOOKUP($D44,Résultats!$B$2:$AZ$212,AE$2,FALSE)</f>
        <v>0</v>
      </c>
      <c r="AF44" s="25">
        <f>VLOOKUP($D44,Résultats!$B$2:$AZ$212,AF$2,FALSE)</f>
        <v>0</v>
      </c>
      <c r="AG44" s="25">
        <f>VLOOKUP($D44,Résultats!$B$2:$AZ$212,AG$2,FALSE)</f>
        <v>0</v>
      </c>
      <c r="AH44" s="25">
        <f>VLOOKUP($D44,Résultats!$B$2:$AZ$212,AH$2,FALSE)</f>
        <v>0</v>
      </c>
      <c r="AI44" s="25">
        <f>VLOOKUP($D44,Résultats!$B$2:$AZ$212,AI$2,FALSE)</f>
        <v>0</v>
      </c>
      <c r="AJ44" s="25">
        <f>VLOOKUP($D44,Résultats!$B$2:$AZ$212,AJ$2,FALSE)</f>
        <v>0</v>
      </c>
      <c r="AK44" s="25">
        <f>VLOOKUP($D44,Résultats!$B$2:$AZ$212,AK$2,FALSE)</f>
        <v>0</v>
      </c>
      <c r="AL44" s="25">
        <f>VLOOKUP($D44,Résultats!$B$2:$AZ$212,AL$2,FALSE)</f>
        <v>0</v>
      </c>
      <c r="AM44" s="102">
        <f>VLOOKUP($D44,Résultats!$B$2:$AZ$212,AM$2,FALSE)</f>
        <v>0</v>
      </c>
    </row>
    <row r="45" spans="2:39" x14ac:dyDescent="0.25">
      <c r="B45" s="230"/>
      <c r="C45" s="218" t="s">
        <v>6</v>
      </c>
      <c r="D45" s="3" t="s">
        <v>146</v>
      </c>
      <c r="E45" s="25">
        <f>VLOOKUP($D45,Résultats!$B$2:$AZ$212,E$2,FALSE)</f>
        <v>31999.388770000001</v>
      </c>
      <c r="F45" s="25">
        <f>VLOOKUP($D45,Résultats!$B$2:$AZ$212,F$2,FALSE)</f>
        <v>35757.951739999997</v>
      </c>
      <c r="G45" s="25">
        <f>VLOOKUP($D45,Résultats!$B$2:$AZ$212,G$2,FALSE)</f>
        <v>36349.322440000004</v>
      </c>
      <c r="H45" s="25">
        <f>VLOOKUP($D45,Résultats!$B$2:$AZ$212,H$2,FALSE)</f>
        <v>36639.73444</v>
      </c>
      <c r="I45" s="25">
        <f>VLOOKUP($D45,Résultats!$B$2:$AZ$212,I$2,FALSE)</f>
        <v>36586.366600000001</v>
      </c>
      <c r="J45" s="25">
        <f>VLOOKUP($D45,Résultats!$B$2:$AZ$212,J$2,FALSE)</f>
        <v>36294.515010000003</v>
      </c>
      <c r="K45" s="25">
        <f>VLOOKUP($D45,Résultats!$B$2:$AZ$212,K$2,FALSE)</f>
        <v>35811.448689999997</v>
      </c>
      <c r="L45" s="25">
        <f>VLOOKUP($D45,Résultats!$B$2:$AZ$212,L$2,FALSE)</f>
        <v>35247.551319999999</v>
      </c>
      <c r="M45" s="25">
        <f>VLOOKUP($D45,Résultats!$B$2:$AZ$212,M$2,FALSE)</f>
        <v>35075.190739999998</v>
      </c>
      <c r="N45" s="25">
        <f>VLOOKUP($D45,Résultats!$B$2:$AZ$212,N$2,FALSE)</f>
        <v>34988.353320000002</v>
      </c>
      <c r="O45" s="25">
        <f>VLOOKUP($D45,Résultats!$B$2:$AZ$212,O$2,FALSE)</f>
        <v>34481.578070000003</v>
      </c>
      <c r="P45" s="25">
        <f>VLOOKUP($D45,Résultats!$B$2:$AZ$212,P$2,FALSE)</f>
        <v>33710.94687</v>
      </c>
      <c r="Q45" s="25">
        <f>VLOOKUP($D45,Résultats!$B$2:$AZ$212,Q$2,FALSE)</f>
        <v>32719.421829999999</v>
      </c>
      <c r="R45" s="25">
        <f>VLOOKUP($D45,Résultats!$B$2:$AZ$212,R$2,FALSE)</f>
        <v>31528.964739999999</v>
      </c>
      <c r="S45" s="25">
        <f>VLOOKUP($D45,Résultats!$B$2:$AZ$212,S$2,FALSE)</f>
        <v>30175.589970000001</v>
      </c>
      <c r="T45" s="25">
        <f>VLOOKUP($D45,Résultats!$B$2:$AZ$212,T$2,FALSE)</f>
        <v>28707.578850000002</v>
      </c>
      <c r="U45" s="25">
        <f>VLOOKUP($D45,Résultats!$B$2:$AZ$212,U$2,FALSE)</f>
        <v>27182.468919999999</v>
      </c>
      <c r="V45" s="25">
        <f>VLOOKUP($D45,Résultats!$B$2:$AZ$212,V$2,FALSE)</f>
        <v>25650.5422</v>
      </c>
      <c r="W45" s="25">
        <f>VLOOKUP($D45,Résultats!$B$2:$AZ$212,W$2,FALSE)</f>
        <v>24150.03616</v>
      </c>
      <c r="X45" s="25">
        <f>VLOOKUP($D45,Résultats!$B$2:$AZ$212,X$2,FALSE)</f>
        <v>22704.338540000001</v>
      </c>
      <c r="Y45" s="25">
        <f>VLOOKUP($D45,Résultats!$B$2:$AZ$212,Y$2,FALSE)</f>
        <v>21325.728299999999</v>
      </c>
      <c r="Z45" s="25">
        <f>VLOOKUP($D45,Résultats!$B$2:$AZ$212,Z$2,FALSE)</f>
        <v>20018.097040000001</v>
      </c>
      <c r="AA45" s="25">
        <f>VLOOKUP($D45,Résultats!$B$2:$AZ$212,AA$2,FALSE)</f>
        <v>18781.724880000002</v>
      </c>
      <c r="AB45" s="25">
        <f>VLOOKUP($D45,Résultats!$B$2:$AZ$212,AB$2,FALSE)</f>
        <v>17614.94413</v>
      </c>
      <c r="AC45" s="25">
        <f>VLOOKUP($D45,Résultats!$B$2:$AZ$212,AC$2,FALSE)</f>
        <v>16515.10914</v>
      </c>
      <c r="AD45" s="25">
        <f>VLOOKUP($D45,Résultats!$B$2:$AZ$212,AD$2,FALSE)</f>
        <v>15483.45887</v>
      </c>
      <c r="AE45" s="25">
        <f>VLOOKUP($D45,Résultats!$B$2:$AZ$212,AE$2,FALSE)</f>
        <v>14516.01233</v>
      </c>
      <c r="AF45" s="25">
        <f>VLOOKUP($D45,Résultats!$B$2:$AZ$212,AF$2,FALSE)</f>
        <v>13608.895039999999</v>
      </c>
      <c r="AG45" s="25">
        <f>VLOOKUP($D45,Résultats!$B$2:$AZ$212,AG$2,FALSE)</f>
        <v>12758.405070000001</v>
      </c>
      <c r="AH45" s="25">
        <f>VLOOKUP($D45,Résultats!$B$2:$AZ$212,AH$2,FALSE)</f>
        <v>11907.87838</v>
      </c>
      <c r="AI45" s="25">
        <f>VLOOKUP($D45,Résultats!$B$2:$AZ$212,AI$2,FALSE)</f>
        <v>11114.03665</v>
      </c>
      <c r="AJ45" s="25">
        <f>VLOOKUP($D45,Résultats!$B$2:$AZ$212,AJ$2,FALSE)</f>
        <v>10373.10924</v>
      </c>
      <c r="AK45" s="25">
        <f>VLOOKUP($D45,Résultats!$B$2:$AZ$212,AK$2,FALSE)</f>
        <v>9681.5727790000001</v>
      </c>
      <c r="AL45" s="25">
        <f>VLOOKUP($D45,Résultats!$B$2:$AZ$212,AL$2,FALSE)</f>
        <v>9036.1366510000007</v>
      </c>
      <c r="AM45" s="102">
        <f>VLOOKUP($D45,Résultats!$B$2:$AZ$212,AM$2,FALSE)</f>
        <v>8433.7285470000006</v>
      </c>
    </row>
    <row r="46" spans="2:39" x14ac:dyDescent="0.25">
      <c r="B46" s="230"/>
      <c r="C46" s="218" t="s">
        <v>34</v>
      </c>
      <c r="D46" s="3" t="s">
        <v>147</v>
      </c>
      <c r="E46" s="25">
        <f>VLOOKUP($D46,Résultats!$B$2:$AZ$212,E$2,FALSE)</f>
        <v>2.411668513</v>
      </c>
      <c r="F46" s="25">
        <f>VLOOKUP($D46,Résultats!$B$2:$AZ$212,F$2,FALSE)</f>
        <v>153.3556141</v>
      </c>
      <c r="G46" s="25">
        <f>VLOOKUP($D46,Résultats!$B$2:$AZ$212,G$2,FALSE)</f>
        <v>359.56371289999998</v>
      </c>
      <c r="H46" s="25">
        <f>VLOOKUP($D46,Résultats!$B$2:$AZ$212,H$2,FALSE)</f>
        <v>474.00941330000001</v>
      </c>
      <c r="I46" s="25">
        <f>VLOOKUP($D46,Résultats!$B$2:$AZ$212,I$2,FALSE)</f>
        <v>593.06646780000005</v>
      </c>
      <c r="J46" s="25">
        <f>VLOOKUP($D46,Résultats!$B$2:$AZ$212,J$2,FALSE)</f>
        <v>719.86525940000001</v>
      </c>
      <c r="K46" s="25">
        <f>VLOOKUP($D46,Résultats!$B$2:$AZ$212,K$2,FALSE)</f>
        <v>876.09102280000002</v>
      </c>
      <c r="L46" s="25">
        <f>VLOOKUP($D46,Résultats!$B$2:$AZ$212,L$2,FALSE)</f>
        <v>1070.5502369999999</v>
      </c>
      <c r="M46" s="25">
        <f>VLOOKUP($D46,Résultats!$B$2:$AZ$212,M$2,FALSE)</f>
        <v>1381.524729</v>
      </c>
      <c r="N46" s="25">
        <f>VLOOKUP($D46,Résultats!$B$2:$AZ$212,N$2,FALSE)</f>
        <v>1774.4838110000001</v>
      </c>
      <c r="O46" s="25">
        <f>VLOOKUP($D46,Résultats!$B$2:$AZ$212,O$2,FALSE)</f>
        <v>2156.5306599999999</v>
      </c>
      <c r="P46" s="25">
        <f>VLOOKUP($D46,Résultats!$B$2:$AZ$212,P$2,FALSE)</f>
        <v>2602.9459499999998</v>
      </c>
      <c r="Q46" s="25">
        <f>VLOOKUP($D46,Résultats!$B$2:$AZ$212,Q$2,FALSE)</f>
        <v>3177.4176400000001</v>
      </c>
      <c r="R46" s="25">
        <f>VLOOKUP($D46,Résultats!$B$2:$AZ$212,R$2,FALSE)</f>
        <v>3885.4638340000001</v>
      </c>
      <c r="S46" s="25">
        <f>VLOOKUP($D46,Résultats!$B$2:$AZ$212,S$2,FALSE)</f>
        <v>4718.137753</v>
      </c>
      <c r="T46" s="25">
        <f>VLOOKUP($D46,Résultats!$B$2:$AZ$212,T$2,FALSE)</f>
        <v>5645.8705819999996</v>
      </c>
      <c r="U46" s="25">
        <f>VLOOKUP($D46,Résultats!$B$2:$AZ$212,U$2,FALSE)</f>
        <v>6635.2745750000004</v>
      </c>
      <c r="V46" s="25">
        <f>VLOOKUP($D46,Résultats!$B$2:$AZ$212,V$2,FALSE)</f>
        <v>7640.6263220000001</v>
      </c>
      <c r="W46" s="25">
        <f>VLOOKUP($D46,Résultats!$B$2:$AZ$212,W$2,FALSE)</f>
        <v>8627.8714610000006</v>
      </c>
      <c r="X46" s="25">
        <f>VLOOKUP($D46,Résultats!$B$2:$AZ$212,X$2,FALSE)</f>
        <v>9574.0576590000001</v>
      </c>
      <c r="Y46" s="25">
        <f>VLOOKUP($D46,Résultats!$B$2:$AZ$212,Y$2,FALSE)</f>
        <v>10508.442789999999</v>
      </c>
      <c r="Z46" s="25">
        <f>VLOOKUP($D46,Résultats!$B$2:$AZ$212,Z$2,FALSE)</f>
        <v>11410.496880000001</v>
      </c>
      <c r="AA46" s="25">
        <f>VLOOKUP($D46,Résultats!$B$2:$AZ$212,AA$2,FALSE)</f>
        <v>12262.54752</v>
      </c>
      <c r="AB46" s="25">
        <f>VLOOKUP($D46,Résultats!$B$2:$AZ$212,AB$2,FALSE)</f>
        <v>13055.40458</v>
      </c>
      <c r="AC46" s="25">
        <f>VLOOKUP($D46,Résultats!$B$2:$AZ$212,AC$2,FALSE)</f>
        <v>13789.82663</v>
      </c>
      <c r="AD46" s="25">
        <f>VLOOKUP($D46,Résultats!$B$2:$AZ$212,AD$2,FALSE)</f>
        <v>14463.62529</v>
      </c>
      <c r="AE46" s="25">
        <f>VLOOKUP($D46,Résultats!$B$2:$AZ$212,AE$2,FALSE)</f>
        <v>15082.835660000001</v>
      </c>
      <c r="AF46" s="25">
        <f>VLOOKUP($D46,Résultats!$B$2:$AZ$212,AF$2,FALSE)</f>
        <v>15649.24934</v>
      </c>
      <c r="AG46" s="25">
        <f>VLOOKUP($D46,Résultats!$B$2:$AZ$212,AG$2,FALSE)</f>
        <v>16163.83663</v>
      </c>
      <c r="AH46" s="25">
        <f>VLOOKUP($D46,Résultats!$B$2:$AZ$212,AH$2,FALSE)</f>
        <v>16610.465700000001</v>
      </c>
      <c r="AI46" s="25">
        <f>VLOOKUP($D46,Résultats!$B$2:$AZ$212,AI$2,FALSE)</f>
        <v>17028.90179</v>
      </c>
      <c r="AJ46" s="25">
        <f>VLOOKUP($D46,Résultats!$B$2:$AZ$212,AJ$2,FALSE)</f>
        <v>17411.570660000001</v>
      </c>
      <c r="AK46" s="25">
        <f>VLOOKUP($D46,Résultats!$B$2:$AZ$212,AK$2,FALSE)</f>
        <v>17759.142100000001</v>
      </c>
      <c r="AL46" s="25">
        <f>VLOOKUP($D46,Résultats!$B$2:$AZ$212,AL$2,FALSE)</f>
        <v>18070.541120000002</v>
      </c>
      <c r="AM46" s="102">
        <f>VLOOKUP($D46,Résultats!$B$2:$AZ$212,AM$2,FALSE)</f>
        <v>18330.284950000001</v>
      </c>
    </row>
    <row r="47" spans="2:39" x14ac:dyDescent="0.25">
      <c r="B47" s="230"/>
      <c r="C47" s="218" t="s">
        <v>35</v>
      </c>
      <c r="D47" s="3" t="s">
        <v>148</v>
      </c>
      <c r="E47" s="25">
        <f>VLOOKUP($D47,Résultats!$B$2:$AZ$212,E$2,FALSE)</f>
        <v>2.2615513600000001E-2</v>
      </c>
      <c r="F47" s="25">
        <f>VLOOKUP($D47,Résultats!$B$2:$AZ$212,F$2,FALSE)</f>
        <v>0.29010598920000003</v>
      </c>
      <c r="G47" s="25">
        <f>VLOOKUP($D47,Résultats!$B$2:$AZ$212,G$2,FALSE)</f>
        <v>0.33581017590000001</v>
      </c>
      <c r="H47" s="25">
        <f>VLOOKUP($D47,Résultats!$B$2:$AZ$212,H$2,FALSE)</f>
        <v>0.3675383565</v>
      </c>
      <c r="I47" s="25">
        <f>VLOOKUP($D47,Résultats!$B$2:$AZ$212,I$2,FALSE)</f>
        <v>0.41630611639999998</v>
      </c>
      <c r="J47" s="25">
        <f>VLOOKUP($D47,Résultats!$B$2:$AZ$212,J$2,FALSE)</f>
        <v>0.45362437890000001</v>
      </c>
      <c r="K47" s="25">
        <f>VLOOKUP($D47,Résultats!$B$2:$AZ$212,K$2,FALSE)</f>
        <v>0.51413066910000005</v>
      </c>
      <c r="L47" s="25">
        <f>VLOOKUP($D47,Résultats!$B$2:$AZ$212,L$2,FALSE)</f>
        <v>0.58480701180000005</v>
      </c>
      <c r="M47" s="25">
        <f>VLOOKUP($D47,Résultats!$B$2:$AZ$212,M$2,FALSE)</f>
        <v>0.67893434649999995</v>
      </c>
      <c r="N47" s="25">
        <f>VLOOKUP($D47,Résultats!$B$2:$AZ$212,N$2,FALSE)</f>
        <v>0.78086030799999995</v>
      </c>
      <c r="O47" s="25">
        <f>VLOOKUP($D47,Résultats!$B$2:$AZ$212,O$2,FALSE)</f>
        <v>0.8550444411</v>
      </c>
      <c r="P47" s="25">
        <f>VLOOKUP($D47,Résultats!$B$2:$AZ$212,P$2,FALSE)</f>
        <v>0.90759988079999998</v>
      </c>
      <c r="Q47" s="25">
        <f>VLOOKUP($D47,Résultats!$B$2:$AZ$212,Q$2,FALSE)</f>
        <v>0.938908933</v>
      </c>
      <c r="R47" s="25">
        <f>VLOOKUP($D47,Résultats!$B$2:$AZ$212,R$2,FALSE)</f>
        <v>0.95029013370000004</v>
      </c>
      <c r="S47" s="25">
        <f>VLOOKUP($D47,Résultats!$B$2:$AZ$212,S$2,FALSE)</f>
        <v>0.94324153119999998</v>
      </c>
      <c r="T47" s="25">
        <f>VLOOKUP($D47,Résultats!$B$2:$AZ$212,T$2,FALSE)</f>
        <v>0.9201939697</v>
      </c>
      <c r="U47" s="25">
        <f>VLOOKUP($D47,Résultats!$B$2:$AZ$212,U$2,FALSE)</f>
        <v>0.88568605010000001</v>
      </c>
      <c r="V47" s="25">
        <f>VLOOKUP($D47,Résultats!$B$2:$AZ$212,V$2,FALSE)</f>
        <v>0.84424408360000003</v>
      </c>
      <c r="W47" s="25">
        <f>VLOOKUP($D47,Résultats!$B$2:$AZ$212,W$2,FALSE)</f>
        <v>0.7996179578</v>
      </c>
      <c r="X47" s="25">
        <f>VLOOKUP($D47,Résultats!$B$2:$AZ$212,X$2,FALSE)</f>
        <v>0.75433834799999999</v>
      </c>
      <c r="Y47" s="25">
        <f>VLOOKUP($D47,Résultats!$B$2:$AZ$212,Y$2,FALSE)</f>
        <v>0.70994297439999998</v>
      </c>
      <c r="Z47" s="25">
        <f>VLOOKUP($D47,Résultats!$B$2:$AZ$212,Z$2,FALSE)</f>
        <v>0.66716325440000002</v>
      </c>
      <c r="AA47" s="25">
        <f>VLOOKUP($D47,Résultats!$B$2:$AZ$212,AA$2,FALSE)</f>
        <v>0.62635325350000004</v>
      </c>
      <c r="AB47" s="25">
        <f>VLOOKUP($D47,Résultats!$B$2:$AZ$212,AB$2,FALSE)</f>
        <v>0.58764871559999998</v>
      </c>
      <c r="AC47" s="25">
        <f>VLOOKUP($D47,Résultats!$B$2:$AZ$212,AC$2,FALSE)</f>
        <v>0.55106477359999995</v>
      </c>
      <c r="AD47" s="25">
        <f>VLOOKUP($D47,Résultats!$B$2:$AZ$212,AD$2,FALSE)</f>
        <v>0.51669690489999998</v>
      </c>
      <c r="AE47" s="25">
        <f>VLOOKUP($D47,Résultats!$B$2:$AZ$212,AE$2,FALSE)</f>
        <v>0.4844410569</v>
      </c>
      <c r="AF47" s="25">
        <f>VLOOKUP($D47,Résultats!$B$2:$AZ$212,AF$2,FALSE)</f>
        <v>0.45418273990000002</v>
      </c>
      <c r="AG47" s="25">
        <f>VLOOKUP($D47,Résultats!$B$2:$AZ$212,AG$2,FALSE)</f>
        <v>0.42580612010000002</v>
      </c>
      <c r="AH47" s="25">
        <f>VLOOKUP($D47,Résultats!$B$2:$AZ$212,AH$2,FALSE)</f>
        <v>0.39742451029999998</v>
      </c>
      <c r="AI47" s="25">
        <f>VLOOKUP($D47,Résultats!$B$2:$AZ$212,AI$2,FALSE)</f>
        <v>0.37093235619999998</v>
      </c>
      <c r="AJ47" s="25">
        <f>VLOOKUP($D47,Résultats!$B$2:$AZ$212,AJ$2,FALSE)</f>
        <v>0.34620497319999999</v>
      </c>
      <c r="AK47" s="25">
        <f>VLOOKUP($D47,Résultats!$B$2:$AZ$212,AK$2,FALSE)</f>
        <v>0.32312537790000001</v>
      </c>
      <c r="AL47" s="25">
        <f>VLOOKUP($D47,Résultats!$B$2:$AZ$212,AL$2,FALSE)</f>
        <v>0.30158406119999998</v>
      </c>
      <c r="AM47" s="102">
        <f>VLOOKUP($D47,Résultats!$B$2:$AZ$212,AM$2,FALSE)</f>
        <v>0.28147864610000001</v>
      </c>
    </row>
    <row r="48" spans="2:39" x14ac:dyDescent="0.25">
      <c r="B48" s="230"/>
      <c r="C48" s="220" t="s">
        <v>463</v>
      </c>
      <c r="D48" s="58" t="s">
        <v>130</v>
      </c>
      <c r="E48" s="59">
        <f>VLOOKUP($D48,Résultats!$B$2:$AZ$212,E$2,FALSE)</f>
        <v>32001.800439999999</v>
      </c>
      <c r="F48" s="59">
        <f>VLOOKUP($D48,Résultats!$B$2:$AZ$212,F$2,FALSE)</f>
        <v>35911.307350000003</v>
      </c>
      <c r="G48" s="59">
        <f>VLOOKUP($D48,Résultats!$B$2:$AZ$212,G$2,FALSE)</f>
        <v>36708.886160000002</v>
      </c>
      <c r="H48" s="59">
        <f>VLOOKUP($D48,Résultats!$B$2:$AZ$212,H$2,FALSE)</f>
        <v>37113.743849999999</v>
      </c>
      <c r="I48" s="59">
        <f>VLOOKUP($D48,Résultats!$B$2:$AZ$212,I$2,FALSE)</f>
        <v>37179.433069999999</v>
      </c>
      <c r="J48" s="59">
        <f>VLOOKUP($D48,Résultats!$B$2:$AZ$212,J$2,FALSE)</f>
        <v>37014.380270000001</v>
      </c>
      <c r="K48" s="59">
        <f>VLOOKUP($D48,Résultats!$B$2:$AZ$212,K$2,FALSE)</f>
        <v>36687.539709999997</v>
      </c>
      <c r="L48" s="59">
        <f>VLOOKUP($D48,Résultats!$B$2:$AZ$212,L$2,FALSE)</f>
        <v>36318.101560000003</v>
      </c>
      <c r="M48" s="59">
        <f>VLOOKUP($D48,Résultats!$B$2:$AZ$212,M$2,FALSE)</f>
        <v>36456.715470000003</v>
      </c>
      <c r="N48" s="59">
        <f>VLOOKUP($D48,Résultats!$B$2:$AZ$212,N$2,FALSE)</f>
        <v>36762.837140000003</v>
      </c>
      <c r="O48" s="59">
        <f>VLOOKUP($D48,Résultats!$B$2:$AZ$212,O$2,FALSE)</f>
        <v>36638.10873</v>
      </c>
      <c r="P48" s="59">
        <f>VLOOKUP($D48,Résultats!$B$2:$AZ$212,P$2,FALSE)</f>
        <v>36313.892820000001</v>
      </c>
      <c r="Q48" s="59">
        <f>VLOOKUP($D48,Résultats!$B$2:$AZ$212,Q$2,FALSE)</f>
        <v>35896.839469999999</v>
      </c>
      <c r="R48" s="59">
        <f>VLOOKUP($D48,Résultats!$B$2:$AZ$212,R$2,FALSE)</f>
        <v>35414.42858</v>
      </c>
      <c r="S48" s="59">
        <f>VLOOKUP($D48,Résultats!$B$2:$AZ$212,S$2,FALSE)</f>
        <v>34893.727729999999</v>
      </c>
      <c r="T48" s="59">
        <f>VLOOKUP($D48,Résultats!$B$2:$AZ$212,T$2,FALSE)</f>
        <v>34353.449430000001</v>
      </c>
      <c r="U48" s="59">
        <f>VLOOKUP($D48,Résultats!$B$2:$AZ$212,U$2,FALSE)</f>
        <v>33817.743499999997</v>
      </c>
      <c r="V48" s="59">
        <f>VLOOKUP($D48,Résultats!$B$2:$AZ$212,V$2,FALSE)</f>
        <v>33291.168519999999</v>
      </c>
      <c r="W48" s="59">
        <f>VLOOKUP($D48,Résultats!$B$2:$AZ$212,W$2,FALSE)</f>
        <v>32777.907619999998</v>
      </c>
      <c r="X48" s="59">
        <f>VLOOKUP($D48,Résultats!$B$2:$AZ$212,X$2,FALSE)</f>
        <v>32278.396199999999</v>
      </c>
      <c r="Y48" s="59">
        <f>VLOOKUP($D48,Résultats!$B$2:$AZ$212,Y$2,FALSE)</f>
        <v>31834.17108</v>
      </c>
      <c r="Z48" s="59">
        <f>VLOOKUP($D48,Résultats!$B$2:$AZ$212,Z$2,FALSE)</f>
        <v>31428.593919999999</v>
      </c>
      <c r="AA48" s="59">
        <f>VLOOKUP($D48,Résultats!$B$2:$AZ$212,AA$2,FALSE)</f>
        <v>31044.272400000002</v>
      </c>
      <c r="AB48" s="59">
        <f>VLOOKUP($D48,Résultats!$B$2:$AZ$212,AB$2,FALSE)</f>
        <v>30670.348720000002</v>
      </c>
      <c r="AC48" s="59">
        <f>VLOOKUP($D48,Résultats!$B$2:$AZ$212,AC$2,FALSE)</f>
        <v>30304.93577</v>
      </c>
      <c r="AD48" s="59">
        <f>VLOOKUP($D48,Résultats!$B$2:$AZ$212,AD$2,FALSE)</f>
        <v>29947.084159999999</v>
      </c>
      <c r="AE48" s="59">
        <f>VLOOKUP($D48,Résultats!$B$2:$AZ$212,AE$2,FALSE)</f>
        <v>29598.847989999998</v>
      </c>
      <c r="AF48" s="59">
        <f>VLOOKUP($D48,Résultats!$B$2:$AZ$212,AF$2,FALSE)</f>
        <v>29258.144390000001</v>
      </c>
      <c r="AG48" s="59">
        <f>VLOOKUP($D48,Résultats!$B$2:$AZ$212,AG$2,FALSE)</f>
        <v>28922.241699999999</v>
      </c>
      <c r="AH48" s="59">
        <f>VLOOKUP($D48,Résultats!$B$2:$AZ$212,AH$2,FALSE)</f>
        <v>28518.344079999999</v>
      </c>
      <c r="AI48" s="59">
        <f>VLOOKUP($D48,Résultats!$B$2:$AZ$212,AI$2,FALSE)</f>
        <v>28142.938450000001</v>
      </c>
      <c r="AJ48" s="59">
        <f>VLOOKUP($D48,Résultats!$B$2:$AZ$212,AJ$2,FALSE)</f>
        <v>27784.679899999999</v>
      </c>
      <c r="AK48" s="59">
        <f>VLOOKUP($D48,Résultats!$B$2:$AZ$212,AK$2,FALSE)</f>
        <v>27440.71488</v>
      </c>
      <c r="AL48" s="59">
        <f>VLOOKUP($D48,Résultats!$B$2:$AZ$212,AL$2,FALSE)</f>
        <v>27106.677769999998</v>
      </c>
      <c r="AM48" s="103">
        <f>VLOOKUP($D48,Résultats!$B$2:$AZ$212,AM$2,FALSE)</f>
        <v>26764.013500000001</v>
      </c>
    </row>
    <row r="49" spans="2:40" x14ac:dyDescent="0.25">
      <c r="B49" s="230"/>
      <c r="C49" s="221" t="s">
        <v>462</v>
      </c>
      <c r="D49" s="3" t="s">
        <v>147</v>
      </c>
      <c r="E49" s="61">
        <f>VLOOKUP($D49,Résultats!$B$2:$AZ$212,E$2,FALSE)</f>
        <v>2.411668513</v>
      </c>
      <c r="F49" s="61">
        <f>VLOOKUP($D49,Résultats!$B$2:$AZ$212,F$2,FALSE)</f>
        <v>153.3556141</v>
      </c>
      <c r="G49" s="61">
        <f>VLOOKUP($D49,Résultats!$B$2:$AZ$212,G$2,FALSE)</f>
        <v>359.56371289999998</v>
      </c>
      <c r="H49" s="61">
        <f>VLOOKUP($D49,Résultats!$B$2:$AZ$212,H$2,FALSE)</f>
        <v>474.00941330000001</v>
      </c>
      <c r="I49" s="61">
        <f>VLOOKUP($D49,Résultats!$B$2:$AZ$212,I$2,FALSE)</f>
        <v>593.06646780000005</v>
      </c>
      <c r="J49" s="61">
        <f>VLOOKUP($D49,Résultats!$B$2:$AZ$212,J$2,FALSE)</f>
        <v>719.86525940000001</v>
      </c>
      <c r="K49" s="61">
        <f>VLOOKUP($D49,Résultats!$B$2:$AZ$212,K$2,FALSE)</f>
        <v>876.09102280000002</v>
      </c>
      <c r="L49" s="61">
        <f>VLOOKUP($D49,Résultats!$B$2:$AZ$212,L$2,FALSE)</f>
        <v>1070.5502369999999</v>
      </c>
      <c r="M49" s="61">
        <f>VLOOKUP($D49,Résultats!$B$2:$AZ$212,M$2,FALSE)</f>
        <v>1381.524729</v>
      </c>
      <c r="N49" s="61">
        <f>VLOOKUP($D49,Résultats!$B$2:$AZ$212,N$2,FALSE)</f>
        <v>1774.4838110000001</v>
      </c>
      <c r="O49" s="61">
        <f>VLOOKUP($D49,Résultats!$B$2:$AZ$212,O$2,FALSE)</f>
        <v>2156.5306599999999</v>
      </c>
      <c r="P49" s="61">
        <f>VLOOKUP($D49,Résultats!$B$2:$AZ$212,P$2,FALSE)</f>
        <v>2602.9459499999998</v>
      </c>
      <c r="Q49" s="61">
        <f>VLOOKUP($D49,Résultats!$B$2:$AZ$212,Q$2,FALSE)</f>
        <v>3177.4176400000001</v>
      </c>
      <c r="R49" s="61">
        <f>VLOOKUP($D49,Résultats!$B$2:$AZ$212,R$2,FALSE)</f>
        <v>3885.4638340000001</v>
      </c>
      <c r="S49" s="61">
        <f>VLOOKUP($D49,Résultats!$B$2:$AZ$212,S$2,FALSE)</f>
        <v>4718.137753</v>
      </c>
      <c r="T49" s="61">
        <f>VLOOKUP($D49,Résultats!$B$2:$AZ$212,T$2,FALSE)</f>
        <v>5645.8705819999996</v>
      </c>
      <c r="U49" s="61">
        <f>VLOOKUP($D49,Résultats!$B$2:$AZ$212,U$2,FALSE)</f>
        <v>6635.2745750000004</v>
      </c>
      <c r="V49" s="61">
        <f>VLOOKUP($D49,Résultats!$B$2:$AZ$212,V$2,FALSE)</f>
        <v>7640.6263220000001</v>
      </c>
      <c r="W49" s="61">
        <f>VLOOKUP($D49,Résultats!$B$2:$AZ$212,W$2,FALSE)</f>
        <v>8627.8714610000006</v>
      </c>
      <c r="X49" s="61">
        <f>VLOOKUP($D49,Résultats!$B$2:$AZ$212,X$2,FALSE)</f>
        <v>9574.0576590000001</v>
      </c>
      <c r="Y49" s="61">
        <f>VLOOKUP($D49,Résultats!$B$2:$AZ$212,Y$2,FALSE)</f>
        <v>10508.442789999999</v>
      </c>
      <c r="Z49" s="61">
        <f>VLOOKUP($D49,Résultats!$B$2:$AZ$212,Z$2,FALSE)</f>
        <v>11410.496880000001</v>
      </c>
      <c r="AA49" s="61">
        <f>VLOOKUP($D49,Résultats!$B$2:$AZ$212,AA$2,FALSE)</f>
        <v>12262.54752</v>
      </c>
      <c r="AB49" s="61">
        <f>VLOOKUP($D49,Résultats!$B$2:$AZ$212,AB$2,FALSE)</f>
        <v>13055.40458</v>
      </c>
      <c r="AC49" s="61">
        <f>VLOOKUP($D49,Résultats!$B$2:$AZ$212,AC$2,FALSE)</f>
        <v>13789.82663</v>
      </c>
      <c r="AD49" s="61">
        <f>VLOOKUP($D49,Résultats!$B$2:$AZ$212,AD$2,FALSE)</f>
        <v>14463.62529</v>
      </c>
      <c r="AE49" s="61">
        <f>VLOOKUP($D49,Résultats!$B$2:$AZ$212,AE$2,FALSE)</f>
        <v>15082.835660000001</v>
      </c>
      <c r="AF49" s="61">
        <f>VLOOKUP($D49,Résultats!$B$2:$AZ$212,AF$2,FALSE)</f>
        <v>15649.24934</v>
      </c>
      <c r="AG49" s="61">
        <f>VLOOKUP($D49,Résultats!$B$2:$AZ$212,AG$2,FALSE)</f>
        <v>16163.83663</v>
      </c>
      <c r="AH49" s="61">
        <f>VLOOKUP($D49,Résultats!$B$2:$AZ$212,AH$2,FALSE)</f>
        <v>16610.465700000001</v>
      </c>
      <c r="AI49" s="61">
        <f>VLOOKUP($D49,Résultats!$B$2:$AZ$212,AI$2,FALSE)</f>
        <v>17028.90179</v>
      </c>
      <c r="AJ49" s="61">
        <f>VLOOKUP($D49,Résultats!$B$2:$AZ$212,AJ$2,FALSE)</f>
        <v>17411.570660000001</v>
      </c>
      <c r="AK49" s="61">
        <f>VLOOKUP($D49,Résultats!$B$2:$AZ$212,AK$2,FALSE)</f>
        <v>17759.142100000001</v>
      </c>
      <c r="AL49" s="61">
        <f>VLOOKUP($D49,Résultats!$B$2:$AZ$212,AL$2,FALSE)</f>
        <v>18070.541120000002</v>
      </c>
      <c r="AM49" s="225">
        <f>VLOOKUP($D49,Résultats!$B$2:$AZ$212,AM$2,FALSE)</f>
        <v>18330.284950000001</v>
      </c>
    </row>
    <row r="50" spans="2:40" x14ac:dyDescent="0.25">
      <c r="B50" s="230"/>
      <c r="C50" s="222" t="s">
        <v>27</v>
      </c>
      <c r="D50" s="63" t="s">
        <v>138</v>
      </c>
      <c r="E50" s="25">
        <f>VLOOKUP($D50,Résultats!$B$2:$AZ$212,E$2,FALSE)</f>
        <v>7.1825179100000001E-3</v>
      </c>
      <c r="F50" s="25">
        <f>VLOOKUP($D50,Résultats!$B$2:$AZ$212,F$2,FALSE)</f>
        <v>1.42720772</v>
      </c>
      <c r="G50" s="25">
        <f>VLOOKUP($D50,Résultats!$B$2:$AZ$212,G$2,FALSE)</f>
        <v>2.8112478780000001</v>
      </c>
      <c r="H50" s="25">
        <f>VLOOKUP($D50,Résultats!$B$2:$AZ$212,H$2,FALSE)</f>
        <v>3.736218579</v>
      </c>
      <c r="I50" s="25">
        <f>VLOOKUP($D50,Résultats!$B$2:$AZ$212,I$2,FALSE)</f>
        <v>5.1076637959999998</v>
      </c>
      <c r="J50" s="25">
        <f>VLOOKUP($D50,Résultats!$B$2:$AZ$212,J$2,FALSE)</f>
        <v>6.9922365529999997</v>
      </c>
      <c r="K50" s="25">
        <f>VLOOKUP($D50,Résultats!$B$2:$AZ$212,K$2,FALSE)</f>
        <v>11.425184870000001</v>
      </c>
      <c r="L50" s="25">
        <f>VLOOKUP($D50,Résultats!$B$2:$AZ$212,L$2,FALSE)</f>
        <v>18.50010563</v>
      </c>
      <c r="M50" s="25">
        <f>VLOOKUP($D50,Résultats!$B$2:$AZ$212,M$2,FALSE)</f>
        <v>29.407234370000001</v>
      </c>
      <c r="N50" s="25">
        <f>VLOOKUP($D50,Résultats!$B$2:$AZ$212,N$2,FALSE)</f>
        <v>43.8352529</v>
      </c>
      <c r="O50" s="25">
        <f>VLOOKUP($D50,Résultats!$B$2:$AZ$212,O$2,FALSE)</f>
        <v>59.682922949999998</v>
      </c>
      <c r="P50" s="25">
        <f>VLOOKUP($D50,Résultats!$B$2:$AZ$212,P$2,FALSE)</f>
        <v>79.506987069999994</v>
      </c>
      <c r="Q50" s="25">
        <f>VLOOKUP($D50,Résultats!$B$2:$AZ$212,Q$2,FALSE)</f>
        <v>106.03510300000001</v>
      </c>
      <c r="R50" s="25">
        <f>VLOOKUP($D50,Résultats!$B$2:$AZ$212,R$2,FALSE)</f>
        <v>140.10338400000001</v>
      </c>
      <c r="S50" s="25">
        <f>VLOOKUP($D50,Résultats!$B$2:$AZ$212,S$2,FALSE)</f>
        <v>182.014734</v>
      </c>
      <c r="T50" s="25">
        <f>VLOOKUP($D50,Résultats!$B$2:$AZ$212,T$2,FALSE)</f>
        <v>231.1647169</v>
      </c>
      <c r="U50" s="25">
        <f>VLOOKUP($D50,Résultats!$B$2:$AZ$212,U$2,FALSE)</f>
        <v>286.45802099999997</v>
      </c>
      <c r="V50" s="25">
        <f>VLOOKUP($D50,Résultats!$B$2:$AZ$212,V$2,FALSE)</f>
        <v>346.09200679999998</v>
      </c>
      <c r="W50" s="25">
        <f>VLOOKUP($D50,Résultats!$B$2:$AZ$212,W$2,FALSE)</f>
        <v>408.49256939999998</v>
      </c>
      <c r="X50" s="25">
        <f>VLOOKUP($D50,Résultats!$B$2:$AZ$212,X$2,FALSE)</f>
        <v>472.43337559999998</v>
      </c>
      <c r="Y50" s="25">
        <f>VLOOKUP($D50,Résultats!$B$2:$AZ$212,Y$2,FALSE)</f>
        <v>539.41410540000004</v>
      </c>
      <c r="Z50" s="25">
        <f>VLOOKUP($D50,Résultats!$B$2:$AZ$212,Z$2,FALSE)</f>
        <v>608.37668780000001</v>
      </c>
      <c r="AA50" s="25">
        <f>VLOOKUP($D50,Résultats!$B$2:$AZ$212,AA$2,FALSE)</f>
        <v>678.2475058</v>
      </c>
      <c r="AB50" s="25">
        <f>VLOOKUP($D50,Résultats!$B$2:$AZ$212,AB$2,FALSE)</f>
        <v>748.32485870000005</v>
      </c>
      <c r="AC50" s="25">
        <f>VLOOKUP($D50,Résultats!$B$2:$AZ$212,AC$2,FALSE)</f>
        <v>818.39789489999998</v>
      </c>
      <c r="AD50" s="25">
        <f>VLOOKUP($D50,Résultats!$B$2:$AZ$212,AD$2,FALSE)</f>
        <v>887.29992649999997</v>
      </c>
      <c r="AE50" s="25">
        <f>VLOOKUP($D50,Résultats!$B$2:$AZ$212,AE$2,FALSE)</f>
        <v>955.19223910000005</v>
      </c>
      <c r="AF50" s="25">
        <f>VLOOKUP($D50,Résultats!$B$2:$AZ$212,AF$2,FALSE)</f>
        <v>1021.9562539999999</v>
      </c>
      <c r="AG50" s="25">
        <f>VLOOKUP($D50,Résultats!$B$2:$AZ$212,AG$2,FALSE)</f>
        <v>1087.4231910000001</v>
      </c>
      <c r="AH50" s="25">
        <f>VLOOKUP($D50,Résultats!$B$2:$AZ$212,AH$2,FALSE)</f>
        <v>1163.6475439999999</v>
      </c>
      <c r="AI50" s="25">
        <f>VLOOKUP($D50,Résultats!$B$2:$AZ$212,AI$2,FALSE)</f>
        <v>1239.4424329999999</v>
      </c>
      <c r="AJ50" s="25">
        <f>VLOOKUP($D50,Résultats!$B$2:$AZ$212,AJ$2,FALSE)</f>
        <v>1314.1078769999999</v>
      </c>
      <c r="AK50" s="25">
        <f>VLOOKUP($D50,Résultats!$B$2:$AZ$212,AK$2,FALSE)</f>
        <v>1387.5228320000001</v>
      </c>
      <c r="AL50" s="25">
        <f>VLOOKUP($D50,Résultats!$B$2:$AZ$212,AL$2,FALSE)</f>
        <v>1459.3954940000001</v>
      </c>
      <c r="AM50" s="102">
        <f>VLOOKUP($D50,Résultats!$B$2:$AZ$212,AM$2,FALSE)</f>
        <v>1527.9787610000001</v>
      </c>
    </row>
    <row r="51" spans="2:40" x14ac:dyDescent="0.25">
      <c r="B51" s="230"/>
      <c r="C51" s="218" t="s">
        <v>28</v>
      </c>
      <c r="D51" s="54" t="s">
        <v>139</v>
      </c>
      <c r="E51" s="25">
        <f>VLOOKUP($D51,Résultats!$B$2:$AZ$212,E$2,FALSE)</f>
        <v>1.6464540999999999E-2</v>
      </c>
      <c r="F51" s="25">
        <f>VLOOKUP($D51,Résultats!$B$2:$AZ$212,F$2,FALSE)</f>
        <v>1.7110739619999999</v>
      </c>
      <c r="G51" s="25">
        <f>VLOOKUP($D51,Résultats!$B$2:$AZ$212,G$2,FALSE)</f>
        <v>3.6476147650000001</v>
      </c>
      <c r="H51" s="25">
        <f>VLOOKUP($D51,Résultats!$B$2:$AZ$212,H$2,FALSE)</f>
        <v>4.830361173</v>
      </c>
      <c r="I51" s="25">
        <f>VLOOKUP($D51,Résultats!$B$2:$AZ$212,I$2,FALSE)</f>
        <v>6.3368633519999999</v>
      </c>
      <c r="J51" s="25">
        <f>VLOOKUP($D51,Résultats!$B$2:$AZ$212,J$2,FALSE)</f>
        <v>8.2242920359999996</v>
      </c>
      <c r="K51" s="25">
        <f>VLOOKUP($D51,Résultats!$B$2:$AZ$212,K$2,FALSE)</f>
        <v>11.92096879</v>
      </c>
      <c r="L51" s="25">
        <f>VLOOKUP($D51,Résultats!$B$2:$AZ$212,L$2,FALSE)</f>
        <v>17.492383419999999</v>
      </c>
      <c r="M51" s="25">
        <f>VLOOKUP($D51,Résultats!$B$2:$AZ$212,M$2,FALSE)</f>
        <v>26.13341664</v>
      </c>
      <c r="N51" s="25">
        <f>VLOOKUP($D51,Résultats!$B$2:$AZ$212,N$2,FALSE)</f>
        <v>37.43782659</v>
      </c>
      <c r="O51" s="25">
        <f>VLOOKUP($D51,Résultats!$B$2:$AZ$212,O$2,FALSE)</f>
        <v>49.525871940000002</v>
      </c>
      <c r="P51" s="25">
        <f>VLOOKUP($D51,Résultats!$B$2:$AZ$212,P$2,FALSE)</f>
        <v>64.415898380000002</v>
      </c>
      <c r="Q51" s="25">
        <f>VLOOKUP($D51,Résultats!$B$2:$AZ$212,Q$2,FALSE)</f>
        <v>84.154726310000001</v>
      </c>
      <c r="R51" s="25">
        <f>VLOOKUP($D51,Résultats!$B$2:$AZ$212,R$2,FALSE)</f>
        <v>109.26054449999999</v>
      </c>
      <c r="S51" s="25">
        <f>VLOOKUP($D51,Résultats!$B$2:$AZ$212,S$2,FALSE)</f>
        <v>139.8276448</v>
      </c>
      <c r="T51" s="25">
        <f>VLOOKUP($D51,Résultats!$B$2:$AZ$212,T$2,FALSE)</f>
        <v>175.2609147</v>
      </c>
      <c r="U51" s="25">
        <f>VLOOKUP($D51,Résultats!$B$2:$AZ$212,U$2,FALSE)</f>
        <v>214.64690830000001</v>
      </c>
      <c r="V51" s="25">
        <f>VLOOKUP($D51,Résultats!$B$2:$AZ$212,V$2,FALSE)</f>
        <v>256.56337680000001</v>
      </c>
      <c r="W51" s="25">
        <f>VLOOKUP($D51,Résultats!$B$2:$AZ$212,W$2,FALSE)</f>
        <v>299.80836299999999</v>
      </c>
      <c r="X51" s="25">
        <f>VLOOKUP($D51,Résultats!$B$2:$AZ$212,X$2,FALSE)</f>
        <v>343.466385</v>
      </c>
      <c r="Y51" s="25">
        <f>VLOOKUP($D51,Résultats!$B$2:$AZ$212,Y$2,FALSE)</f>
        <v>388.59104880000001</v>
      </c>
      <c r="Z51" s="25">
        <f>VLOOKUP($D51,Résultats!$B$2:$AZ$212,Z$2,FALSE)</f>
        <v>434.3760307</v>
      </c>
      <c r="AA51" s="25">
        <f>VLOOKUP($D51,Résultats!$B$2:$AZ$212,AA$2,FALSE)</f>
        <v>480.03108850000001</v>
      </c>
      <c r="AB51" s="25">
        <f>VLOOKUP($D51,Résultats!$B$2:$AZ$212,AB$2,FALSE)</f>
        <v>525.04761659999997</v>
      </c>
      <c r="AC51" s="25">
        <f>VLOOKUP($D51,Résultats!$B$2:$AZ$212,AC$2,FALSE)</f>
        <v>569.28173630000003</v>
      </c>
      <c r="AD51" s="25">
        <f>VLOOKUP($D51,Résultats!$B$2:$AZ$212,AD$2,FALSE)</f>
        <v>612.09344750000002</v>
      </c>
      <c r="AE51" s="25">
        <f>VLOOKUP($D51,Résultats!$B$2:$AZ$212,AE$2,FALSE)</f>
        <v>653.60685369999999</v>
      </c>
      <c r="AF51" s="25">
        <f>VLOOKUP($D51,Résultats!$B$2:$AZ$212,AF$2,FALSE)</f>
        <v>693.75705730000004</v>
      </c>
      <c r="AG51" s="25">
        <f>VLOOKUP($D51,Résultats!$B$2:$AZ$212,AG$2,FALSE)</f>
        <v>732.4461652</v>
      </c>
      <c r="AH51" s="25">
        <f>VLOOKUP($D51,Résultats!$B$2:$AZ$212,AH$2,FALSE)</f>
        <v>774.59717179999996</v>
      </c>
      <c r="AI51" s="25">
        <f>VLOOKUP($D51,Résultats!$B$2:$AZ$212,AI$2,FALSE)</f>
        <v>815.88020280000001</v>
      </c>
      <c r="AJ51" s="25">
        <f>VLOOKUP($D51,Résultats!$B$2:$AZ$212,AJ$2,FALSE)</f>
        <v>855.82417599999997</v>
      </c>
      <c r="AK51" s="25">
        <f>VLOOKUP($D51,Résultats!$B$2:$AZ$212,AK$2,FALSE)</f>
        <v>894.35878830000001</v>
      </c>
      <c r="AL51" s="25">
        <f>VLOOKUP($D51,Résultats!$B$2:$AZ$212,AL$2,FALSE)</f>
        <v>931.31139989999997</v>
      </c>
      <c r="AM51" s="102">
        <f>VLOOKUP($D51,Résultats!$B$2:$AZ$212,AM$2,FALSE)</f>
        <v>965.62750540000002</v>
      </c>
    </row>
    <row r="52" spans="2:40" x14ac:dyDescent="0.25">
      <c r="B52" s="230"/>
      <c r="C52" s="218" t="s">
        <v>29</v>
      </c>
      <c r="D52" s="54" t="s">
        <v>140</v>
      </c>
      <c r="E52" s="25">
        <f>VLOOKUP($D52,Résultats!$B$2:$AZ$212,E$2,FALSE)</f>
        <v>6.7405168000000001E-2</v>
      </c>
      <c r="F52" s="25">
        <f>VLOOKUP($D52,Résultats!$B$2:$AZ$212,F$2,FALSE)</f>
        <v>4.5553942750000003</v>
      </c>
      <c r="G52" s="25">
        <f>VLOOKUP($D52,Résultats!$B$2:$AZ$212,G$2,FALSE)</f>
        <v>10.538360320000001</v>
      </c>
      <c r="H52" s="25">
        <f>VLOOKUP($D52,Résultats!$B$2:$AZ$212,H$2,FALSE)</f>
        <v>13.903484130000001</v>
      </c>
      <c r="I52" s="25">
        <f>VLOOKUP($D52,Résultats!$B$2:$AZ$212,I$2,FALSE)</f>
        <v>17.507587709999999</v>
      </c>
      <c r="J52" s="25">
        <f>VLOOKUP($D52,Résultats!$B$2:$AZ$212,J$2,FALSE)</f>
        <v>21.447566040000002</v>
      </c>
      <c r="K52" s="25">
        <f>VLOOKUP($D52,Résultats!$B$2:$AZ$212,K$2,FALSE)</f>
        <v>26.740024980000001</v>
      </c>
      <c r="L52" s="25">
        <f>VLOOKUP($D52,Résultats!$B$2:$AZ$212,L$2,FALSE)</f>
        <v>33.578615290000002</v>
      </c>
      <c r="M52" s="25">
        <f>VLOOKUP($D52,Résultats!$B$2:$AZ$212,M$2,FALSE)</f>
        <v>44.422632399999998</v>
      </c>
      <c r="N52" s="25">
        <f>VLOOKUP($D52,Résultats!$B$2:$AZ$212,N$2,FALSE)</f>
        <v>58.200732129999999</v>
      </c>
      <c r="O52" s="25">
        <f>VLOOKUP($D52,Résultats!$B$2:$AZ$212,O$2,FALSE)</f>
        <v>71.828014229999894</v>
      </c>
      <c r="P52" s="25">
        <f>VLOOKUP($D52,Résultats!$B$2:$AZ$212,P$2,FALSE)</f>
        <v>87.880152129999999</v>
      </c>
      <c r="Q52" s="25">
        <f>VLOOKUP($D52,Résultats!$B$2:$AZ$212,Q$2,FALSE)</f>
        <v>108.6063855</v>
      </c>
      <c r="R52" s="25">
        <f>VLOOKUP($D52,Résultats!$B$2:$AZ$212,R$2,FALSE)</f>
        <v>134.24394380000001</v>
      </c>
      <c r="S52" s="25">
        <f>VLOOKUP($D52,Résultats!$B$2:$AZ$212,S$2,FALSE)</f>
        <v>164.51235500000001</v>
      </c>
      <c r="T52" s="25">
        <f>VLOOKUP($D52,Résultats!$B$2:$AZ$212,T$2,FALSE)</f>
        <v>198.38046790000001</v>
      </c>
      <c r="U52" s="25">
        <f>VLOOKUP($D52,Résultats!$B$2:$AZ$212,U$2,FALSE)</f>
        <v>234.64408259999999</v>
      </c>
      <c r="V52" s="25">
        <f>VLOOKUP($D52,Résultats!$B$2:$AZ$212,V$2,FALSE)</f>
        <v>271.63418669999999</v>
      </c>
      <c r="W52" s="25">
        <f>VLOOKUP($D52,Résultats!$B$2:$AZ$212,W$2,FALSE)</f>
        <v>308.07452540000003</v>
      </c>
      <c r="X52" s="25">
        <f>VLOOKUP($D52,Résultats!$B$2:$AZ$212,X$2,FALSE)</f>
        <v>343.07632360000002</v>
      </c>
      <c r="Y52" s="25">
        <f>VLOOKUP($D52,Résultats!$B$2:$AZ$212,Y$2,FALSE)</f>
        <v>377.65056870000001</v>
      </c>
      <c r="Z52" s="25">
        <f>VLOOKUP($D52,Résultats!$B$2:$AZ$212,Z$2,FALSE)</f>
        <v>410.99192859999999</v>
      </c>
      <c r="AA52" s="25">
        <f>VLOOKUP($D52,Résultats!$B$2:$AZ$212,AA$2,FALSE)</f>
        <v>442.3914848</v>
      </c>
      <c r="AB52" s="25">
        <f>VLOOKUP($D52,Résultats!$B$2:$AZ$212,AB$2,FALSE)</f>
        <v>471.4481442</v>
      </c>
      <c r="AC52" s="25">
        <f>VLOOKUP($D52,Résultats!$B$2:$AZ$212,AC$2,FALSE)</f>
        <v>498.1303557</v>
      </c>
      <c r="AD52" s="25">
        <f>VLOOKUP($D52,Résultats!$B$2:$AZ$212,AD$2,FALSE)</f>
        <v>522.34925229999999</v>
      </c>
      <c r="AE52" s="25">
        <f>VLOOKUP($D52,Résultats!$B$2:$AZ$212,AE$2,FALSE)</f>
        <v>544.29322260000004</v>
      </c>
      <c r="AF52" s="25">
        <f>VLOOKUP($D52,Résultats!$B$2:$AZ$212,AF$2,FALSE)</f>
        <v>563.99904760000004</v>
      </c>
      <c r="AG52" s="25">
        <f>VLOOKUP($D52,Résultats!$B$2:$AZ$212,AG$2,FALSE)</f>
        <v>581.4768249</v>
      </c>
      <c r="AH52" s="25">
        <f>VLOOKUP($D52,Résultats!$B$2:$AZ$212,AH$2,FALSE)</f>
        <v>594.47650080000005</v>
      </c>
      <c r="AI52" s="25">
        <f>VLOOKUP($D52,Résultats!$B$2:$AZ$212,AI$2,FALSE)</f>
        <v>605.97951869999997</v>
      </c>
      <c r="AJ52" s="25">
        <f>VLOOKUP($D52,Résultats!$B$2:$AZ$212,AJ$2,FALSE)</f>
        <v>615.68124450000005</v>
      </c>
      <c r="AK52" s="25">
        <f>VLOOKUP($D52,Résultats!$B$2:$AZ$212,AK$2,FALSE)</f>
        <v>623.5938711</v>
      </c>
      <c r="AL52" s="25">
        <f>VLOOKUP($D52,Résultats!$B$2:$AZ$212,AL$2,FALSE)</f>
        <v>629.67384700000002</v>
      </c>
      <c r="AM52" s="102">
        <f>VLOOKUP($D52,Résultats!$B$2:$AZ$212,AM$2,FALSE)</f>
        <v>633.39516679999997</v>
      </c>
    </row>
    <row r="53" spans="2:40" x14ac:dyDescent="0.25">
      <c r="B53" s="230"/>
      <c r="C53" s="218" t="s">
        <v>30</v>
      </c>
      <c r="D53" s="54" t="s">
        <v>141</v>
      </c>
      <c r="E53" s="25">
        <f>VLOOKUP($D53,Résultats!$B$2:$AZ$212,E$2,FALSE)</f>
        <v>1.5834689479999999</v>
      </c>
      <c r="F53" s="25">
        <f>VLOOKUP($D53,Résultats!$B$2:$AZ$212,F$2,FALSE)</f>
        <v>100.44915690000001</v>
      </c>
      <c r="G53" s="25">
        <f>VLOOKUP($D53,Résultats!$B$2:$AZ$212,G$2,FALSE)</f>
        <v>235.74127440000001</v>
      </c>
      <c r="H53" s="25">
        <f>VLOOKUP($D53,Résultats!$B$2:$AZ$212,H$2,FALSE)</f>
        <v>310.78634010000002</v>
      </c>
      <c r="I53" s="25">
        <f>VLOOKUP($D53,Résultats!$B$2:$AZ$212,I$2,FALSE)</f>
        <v>388.64630549999998</v>
      </c>
      <c r="J53" s="25">
        <f>VLOOKUP($D53,Résultats!$B$2:$AZ$212,J$2,FALSE)</f>
        <v>471.35024659999999</v>
      </c>
      <c r="K53" s="25">
        <f>VLOOKUP($D53,Résultats!$B$2:$AZ$212,K$2,FALSE)</f>
        <v>572.13256630000001</v>
      </c>
      <c r="L53" s="25">
        <f>VLOOKUP($D53,Résultats!$B$2:$AZ$212,L$2,FALSE)</f>
        <v>696.73161159999995</v>
      </c>
      <c r="M53" s="25">
        <f>VLOOKUP($D53,Résultats!$B$2:$AZ$212,M$2,FALSE)</f>
        <v>896.19743149999999</v>
      </c>
      <c r="N53" s="25">
        <f>VLOOKUP($D53,Résultats!$B$2:$AZ$212,N$2,FALSE)</f>
        <v>1147.8889369999999</v>
      </c>
      <c r="O53" s="25">
        <f>VLOOKUP($D53,Résultats!$B$2:$AZ$212,O$2,FALSE)</f>
        <v>1391.5836650000001</v>
      </c>
      <c r="P53" s="25">
        <f>VLOOKUP($D53,Résultats!$B$2:$AZ$212,P$2,FALSE)</f>
        <v>1675.6031660000001</v>
      </c>
      <c r="Q53" s="25">
        <f>VLOOKUP($D53,Résultats!$B$2:$AZ$212,Q$2,FALSE)</f>
        <v>2040.5152860000001</v>
      </c>
      <c r="R53" s="25">
        <f>VLOOKUP($D53,Résultats!$B$2:$AZ$212,R$2,FALSE)</f>
        <v>2489.4953569999998</v>
      </c>
      <c r="S53" s="25">
        <f>VLOOKUP($D53,Résultats!$B$2:$AZ$212,S$2,FALSE)</f>
        <v>3016.4535070000002</v>
      </c>
      <c r="T53" s="25">
        <f>VLOOKUP($D53,Résultats!$B$2:$AZ$212,T$2,FALSE)</f>
        <v>3602.1738260000002</v>
      </c>
      <c r="U53" s="25">
        <f>VLOOKUP($D53,Résultats!$B$2:$AZ$212,U$2,FALSE)</f>
        <v>4225.19067</v>
      </c>
      <c r="V53" s="25">
        <f>VLOOKUP($D53,Résultats!$B$2:$AZ$212,V$2,FALSE)</f>
        <v>4856.2797039999996</v>
      </c>
      <c r="W53" s="25">
        <f>VLOOKUP($D53,Résultats!$B$2:$AZ$212,W$2,FALSE)</f>
        <v>5473.8040419999998</v>
      </c>
      <c r="X53" s="25">
        <f>VLOOKUP($D53,Résultats!$B$2:$AZ$212,X$2,FALSE)</f>
        <v>6063.2727130000003</v>
      </c>
      <c r="Y53" s="25">
        <f>VLOOKUP($D53,Résultats!$B$2:$AZ$212,Y$2,FALSE)</f>
        <v>6643.1793859999998</v>
      </c>
      <c r="Z53" s="25">
        <f>VLOOKUP($D53,Résultats!$B$2:$AZ$212,Z$2,FALSE)</f>
        <v>7200.5405259999998</v>
      </c>
      <c r="AA53" s="25">
        <f>VLOOKUP($D53,Résultats!$B$2:$AZ$212,AA$2,FALSE)</f>
        <v>7724.2729410000002</v>
      </c>
      <c r="AB53" s="25">
        <f>VLOOKUP($D53,Résultats!$B$2:$AZ$212,AB$2,FALSE)</f>
        <v>8208.6940630000008</v>
      </c>
      <c r="AC53" s="25">
        <f>VLOOKUP($D53,Résultats!$B$2:$AZ$212,AC$2,FALSE)</f>
        <v>8654.4246309999999</v>
      </c>
      <c r="AD53" s="25">
        <f>VLOOKUP($D53,Résultats!$B$2:$AZ$212,AD$2,FALSE)</f>
        <v>9060.6894429999902</v>
      </c>
      <c r="AE53" s="25">
        <f>VLOOKUP($D53,Résultats!$B$2:$AZ$212,AE$2,FALSE)</f>
        <v>9431.3900439999998</v>
      </c>
      <c r="AF53" s="25">
        <f>VLOOKUP($D53,Résultats!$B$2:$AZ$212,AF$2,FALSE)</f>
        <v>9767.7813870000009</v>
      </c>
      <c r="AG53" s="25">
        <f>VLOOKUP($D53,Résultats!$B$2:$AZ$212,AG$2,FALSE)</f>
        <v>10070.604439999999</v>
      </c>
      <c r="AH53" s="25">
        <f>VLOOKUP($D53,Résultats!$B$2:$AZ$212,AH$2,FALSE)</f>
        <v>10322.205239999999</v>
      </c>
      <c r="AI53" s="25">
        <f>VLOOKUP($D53,Résultats!$B$2:$AZ$212,AI$2,FALSE)</f>
        <v>10555.392830000001</v>
      </c>
      <c r="AJ53" s="25">
        <f>VLOOKUP($D53,Résultats!$B$2:$AZ$212,AJ$2,FALSE)</f>
        <v>10765.562760000001</v>
      </c>
      <c r="AK53" s="25">
        <f>VLOOKUP($D53,Résultats!$B$2:$AZ$212,AK$2,FALSE)</f>
        <v>10953.23337</v>
      </c>
      <c r="AL53" s="25">
        <f>VLOOKUP($D53,Résultats!$B$2:$AZ$212,AL$2,FALSE)</f>
        <v>11117.86716</v>
      </c>
      <c r="AM53" s="102">
        <f>VLOOKUP($D53,Résultats!$B$2:$AZ$212,AM$2,FALSE)</f>
        <v>11250.231589999999</v>
      </c>
    </row>
    <row r="54" spans="2:40" x14ac:dyDescent="0.25">
      <c r="B54" s="230"/>
      <c r="C54" s="218" t="s">
        <v>31</v>
      </c>
      <c r="D54" s="54" t="s">
        <v>142</v>
      </c>
      <c r="E54" s="25">
        <f>VLOOKUP($D54,Résultats!$B$2:$AZ$212,E$2,FALSE)</f>
        <v>0.62410555599999995</v>
      </c>
      <c r="F54" s="25">
        <f>VLOOKUP($D54,Résultats!$B$2:$AZ$212,F$2,FALSE)</f>
        <v>39.065611939999997</v>
      </c>
      <c r="G54" s="25">
        <f>VLOOKUP($D54,Résultats!$B$2:$AZ$212,G$2,FALSE)</f>
        <v>91.973255230000007</v>
      </c>
      <c r="H54" s="25">
        <f>VLOOKUP($D54,Résultats!$B$2:$AZ$212,H$2,FALSE)</f>
        <v>121.2356293</v>
      </c>
      <c r="I54" s="25">
        <f>VLOOKUP($D54,Résultats!$B$2:$AZ$212,I$2,FALSE)</f>
        <v>151.3723894</v>
      </c>
      <c r="J54" s="25">
        <f>VLOOKUP($D54,Résultats!$B$2:$AZ$212,J$2,FALSE)</f>
        <v>183.151803</v>
      </c>
      <c r="K54" s="25">
        <f>VLOOKUP($D54,Résultats!$B$2:$AZ$212,K$2,FALSE)</f>
        <v>220.7183359</v>
      </c>
      <c r="L54" s="25">
        <f>VLOOKUP($D54,Résultats!$B$2:$AZ$212,L$2,FALSE)</f>
        <v>266.30359220000003</v>
      </c>
      <c r="M54" s="25">
        <f>VLOOKUP($D54,Résultats!$B$2:$AZ$212,M$2,FALSE)</f>
        <v>339.50714640000001</v>
      </c>
      <c r="N54" s="25">
        <f>VLOOKUP($D54,Résultats!$B$2:$AZ$212,N$2,FALSE)</f>
        <v>431.52352990000003</v>
      </c>
      <c r="O54" s="25">
        <f>VLOOKUP($D54,Résultats!$B$2:$AZ$212,O$2,FALSE)</f>
        <v>519.61779730000001</v>
      </c>
      <c r="P54" s="25">
        <f>VLOOKUP($D54,Résultats!$B$2:$AZ$212,P$2,FALSE)</f>
        <v>621.57784519999996</v>
      </c>
      <c r="Q54" s="25">
        <f>VLOOKUP($D54,Résultats!$B$2:$AZ$212,Q$2,FALSE)</f>
        <v>752.02957919999994</v>
      </c>
      <c r="R54" s="25">
        <f>VLOOKUP($D54,Résultats!$B$2:$AZ$212,R$2,FALSE)</f>
        <v>911.79757280000001</v>
      </c>
      <c r="S54" s="25">
        <f>VLOOKUP($D54,Résultats!$B$2:$AZ$212,S$2,FALSE)</f>
        <v>1098.3247329999999</v>
      </c>
      <c r="T54" s="25">
        <f>VLOOKUP($D54,Résultats!$B$2:$AZ$212,T$2,FALSE)</f>
        <v>1304.3424460000001</v>
      </c>
      <c r="U54" s="25">
        <f>VLOOKUP($D54,Résultats!$B$2:$AZ$212,U$2,FALSE)</f>
        <v>1521.9523340000001</v>
      </c>
      <c r="V54" s="25">
        <f>VLOOKUP($D54,Résultats!$B$2:$AZ$212,V$2,FALSE)</f>
        <v>1740.562062</v>
      </c>
      <c r="W54" s="25">
        <f>VLOOKUP($D54,Résultats!$B$2:$AZ$212,W$2,FALSE)</f>
        <v>1952.461861</v>
      </c>
      <c r="X54" s="25">
        <f>VLOOKUP($D54,Résultats!$B$2:$AZ$212,X$2,FALSE)</f>
        <v>2152.5870439999999</v>
      </c>
      <c r="Y54" s="25">
        <f>VLOOKUP($D54,Résultats!$B$2:$AZ$212,Y$2,FALSE)</f>
        <v>2347.4978580000002</v>
      </c>
      <c r="Z54" s="25">
        <f>VLOOKUP($D54,Résultats!$B$2:$AZ$212,Z$2,FALSE)</f>
        <v>2532.64624</v>
      </c>
      <c r="AA54" s="25">
        <f>VLOOKUP($D54,Résultats!$B$2:$AZ$212,AA$2,FALSE)</f>
        <v>2704.243391</v>
      </c>
      <c r="AB54" s="25">
        <f>VLOOKUP($D54,Résultats!$B$2:$AZ$212,AB$2,FALSE)</f>
        <v>2860.4424680000002</v>
      </c>
      <c r="AC54" s="25">
        <f>VLOOKUP($D54,Résultats!$B$2:$AZ$212,AC$2,FALSE)</f>
        <v>3001.630189</v>
      </c>
      <c r="AD54" s="25">
        <f>VLOOKUP($D54,Résultats!$B$2:$AZ$212,AD$2,FALSE)</f>
        <v>3128.0738470000001</v>
      </c>
      <c r="AE54" s="25">
        <f>VLOOKUP($D54,Résultats!$B$2:$AZ$212,AE$2,FALSE)</f>
        <v>3241.2519010000001</v>
      </c>
      <c r="AF54" s="25">
        <f>VLOOKUP($D54,Résultats!$B$2:$AZ$212,AF$2,FALSE)</f>
        <v>3341.7388740000001</v>
      </c>
      <c r="AG54" s="25">
        <f>VLOOKUP($D54,Résultats!$B$2:$AZ$212,AG$2,FALSE)</f>
        <v>3429.9308420000002</v>
      </c>
      <c r="AH54" s="25">
        <f>VLOOKUP($D54,Résultats!$B$2:$AZ$212,AH$2,FALSE)</f>
        <v>3494.3878690000001</v>
      </c>
      <c r="AI54" s="25">
        <f>VLOOKUP($D54,Résultats!$B$2:$AZ$212,AI$2,FALSE)</f>
        <v>3552.2124260000001</v>
      </c>
      <c r="AJ54" s="25">
        <f>VLOOKUP($D54,Résultats!$B$2:$AZ$212,AJ$2,FALSE)</f>
        <v>3601.971266</v>
      </c>
      <c r="AK54" s="25">
        <f>VLOOKUP($D54,Résultats!$B$2:$AZ$212,AK$2,FALSE)</f>
        <v>3643.9479759999999</v>
      </c>
      <c r="AL54" s="25">
        <f>VLOOKUP($D54,Résultats!$B$2:$AZ$212,AL$2,FALSE)</f>
        <v>3678.0889750000001</v>
      </c>
      <c r="AM54" s="102">
        <f>VLOOKUP($D54,Résultats!$B$2:$AZ$212,AM$2,FALSE)</f>
        <v>3701.6016249999998</v>
      </c>
    </row>
    <row r="55" spans="2:40" x14ac:dyDescent="0.25">
      <c r="B55" s="230"/>
      <c r="C55" s="218" t="s">
        <v>32</v>
      </c>
      <c r="D55" s="54" t="s">
        <v>143</v>
      </c>
      <c r="E55" s="25">
        <f>VLOOKUP($D55,Résultats!$B$2:$AZ$212,E$2,FALSE)</f>
        <v>8.5085212099999998E-3</v>
      </c>
      <c r="F55" s="25">
        <f>VLOOKUP($D55,Résultats!$B$2:$AZ$212,F$2,FALSE)</f>
        <v>0.16746920800000001</v>
      </c>
      <c r="G55" s="25">
        <f>VLOOKUP($D55,Résultats!$B$2:$AZ$212,G$2,FALSE)</f>
        <v>0.46294453540000002</v>
      </c>
      <c r="H55" s="25">
        <f>VLOOKUP($D55,Résultats!$B$2:$AZ$212,H$2,FALSE)</f>
        <v>0.57204347980000003</v>
      </c>
      <c r="I55" s="25">
        <f>VLOOKUP($D55,Résultats!$B$2:$AZ$212,I$2,FALSE)</f>
        <v>0.68570147869999998</v>
      </c>
      <c r="J55" s="25">
        <f>VLOOKUP($D55,Résultats!$B$2:$AZ$212,J$2,FALSE)</f>
        <v>0.80700693430000003</v>
      </c>
      <c r="K55" s="25">
        <f>VLOOKUP($D55,Résultats!$B$2:$AZ$212,K$2,FALSE)</f>
        <v>0.95582258119999997</v>
      </c>
      <c r="L55" s="25">
        <f>VLOOKUP($D55,Résultats!$B$2:$AZ$212,L$2,FALSE)</f>
        <v>1.141269254</v>
      </c>
      <c r="M55" s="25">
        <f>VLOOKUP($D55,Résultats!$B$2:$AZ$212,M$2,FALSE)</f>
        <v>1.4413761039999999</v>
      </c>
      <c r="N55" s="25">
        <f>VLOOKUP($D55,Résultats!$B$2:$AZ$212,N$2,FALSE)</f>
        <v>1.821723153</v>
      </c>
      <c r="O55" s="25">
        <f>VLOOKUP($D55,Résultats!$B$2:$AZ$212,O$2,FALSE)</f>
        <v>2.190534795</v>
      </c>
      <c r="P55" s="25">
        <f>VLOOKUP($D55,Résultats!$B$2:$AZ$212,P$2,FALSE)</f>
        <v>2.621672013</v>
      </c>
      <c r="Q55" s="25">
        <f>VLOOKUP($D55,Résultats!$B$2:$AZ$212,Q$2,FALSE)</f>
        <v>3.1772835399999999</v>
      </c>
      <c r="R55" s="25">
        <f>VLOOKUP($D55,Résultats!$B$2:$AZ$212,R$2,FALSE)</f>
        <v>3.862425698</v>
      </c>
      <c r="S55" s="25">
        <f>VLOOKUP($D55,Résultats!$B$2:$AZ$212,S$2,FALSE)</f>
        <v>4.6680077009999996</v>
      </c>
      <c r="T55" s="25">
        <f>VLOOKUP($D55,Résultats!$B$2:$AZ$212,T$2,FALSE)</f>
        <v>5.5648503749999998</v>
      </c>
      <c r="U55" s="25">
        <f>VLOOKUP($D55,Résultats!$B$2:$AZ$212,U$2,FALSE)</f>
        <v>6.5202401969999997</v>
      </c>
      <c r="V55" s="25">
        <f>VLOOKUP($D55,Résultats!$B$2:$AZ$212,V$2,FALSE)</f>
        <v>7.489539948</v>
      </c>
      <c r="W55" s="25">
        <f>VLOOKUP($D55,Résultats!$B$2:$AZ$212,W$2,FALSE)</f>
        <v>8.4396463589999904</v>
      </c>
      <c r="X55" s="25">
        <f>VLOOKUP($D55,Résultats!$B$2:$AZ$212,X$2,FALSE)</f>
        <v>9.3483547120000008</v>
      </c>
      <c r="Y55" s="25">
        <f>VLOOKUP($D55,Résultats!$B$2:$AZ$212,Y$2,FALSE)</f>
        <v>10.24413251</v>
      </c>
      <c r="Z55" s="25">
        <f>VLOOKUP($D55,Résultats!$B$2:$AZ$212,Z$2,FALSE)</f>
        <v>11.10711422</v>
      </c>
      <c r="AA55" s="25">
        <f>VLOOKUP($D55,Résultats!$B$2:$AZ$212,AA$2,FALSE)</f>
        <v>11.920290189999999</v>
      </c>
      <c r="AB55" s="25">
        <f>VLOOKUP($D55,Résultats!$B$2:$AZ$212,AB$2,FALSE)</f>
        <v>12.674915629999999</v>
      </c>
      <c r="AC55" s="25">
        <f>VLOOKUP($D55,Résultats!$B$2:$AZ$212,AC$2,FALSE)</f>
        <v>13.37190451</v>
      </c>
      <c r="AD55" s="25">
        <f>VLOOKUP($D55,Résultats!$B$2:$AZ$212,AD$2,FALSE)</f>
        <v>14.00960997</v>
      </c>
      <c r="AE55" s="25">
        <f>VLOOKUP($D55,Résultats!$B$2:$AZ$212,AE$2,FALSE)</f>
        <v>14.59398831</v>
      </c>
      <c r="AF55" s="25">
        <f>VLOOKUP($D55,Résultats!$B$2:$AZ$212,AF$2,FALSE)</f>
        <v>15.126899760000001</v>
      </c>
      <c r="AG55" s="25">
        <f>VLOOKUP($D55,Résultats!$B$2:$AZ$212,AG$2,FALSE)</f>
        <v>15.6094068</v>
      </c>
      <c r="AH55" s="25">
        <f>VLOOKUP($D55,Résultats!$B$2:$AZ$212,AH$2,FALSE)</f>
        <v>16.022101129999999</v>
      </c>
      <c r="AI55" s="25">
        <f>VLOOKUP($D55,Résultats!$B$2:$AZ$212,AI$2,FALSE)</f>
        <v>16.40763785</v>
      </c>
      <c r="AJ55" s="25">
        <f>VLOOKUP($D55,Résultats!$B$2:$AZ$212,AJ$2,FALSE)</f>
        <v>16.758825770000001</v>
      </c>
      <c r="AK55" s="25">
        <f>VLOOKUP($D55,Résultats!$B$2:$AZ$212,AK$2,FALSE)</f>
        <v>17.076388779999998</v>
      </c>
      <c r="AL55" s="25">
        <f>VLOOKUP($D55,Résultats!$B$2:$AZ$212,AL$2,FALSE)</f>
        <v>17.35938294</v>
      </c>
      <c r="AM55" s="102">
        <f>VLOOKUP($D55,Résultats!$B$2:$AZ$212,AM$2,FALSE)</f>
        <v>17.59313964</v>
      </c>
    </row>
    <row r="56" spans="2:40" x14ac:dyDescent="0.25">
      <c r="B56" s="230"/>
      <c r="C56" s="218" t="s">
        <v>33</v>
      </c>
      <c r="D56" s="54" t="s">
        <v>144</v>
      </c>
      <c r="E56" s="25">
        <f>VLOOKUP($D56,Résultats!$B$2:$AZ$212,E$2,FALSE)</f>
        <v>0.1045332606</v>
      </c>
      <c r="F56" s="25">
        <f>VLOOKUP($D56,Résultats!$B$2:$AZ$212,F$2,FALSE)</f>
        <v>5.979700126</v>
      </c>
      <c r="G56" s="25">
        <f>VLOOKUP($D56,Résultats!$B$2:$AZ$212,G$2,FALSE)</f>
        <v>14.389015819999999</v>
      </c>
      <c r="H56" s="25">
        <f>VLOOKUP($D56,Résultats!$B$2:$AZ$212,H$2,FALSE)</f>
        <v>18.94533646</v>
      </c>
      <c r="I56" s="25">
        <f>VLOOKUP($D56,Résultats!$B$2:$AZ$212,I$2,FALSE)</f>
        <v>23.409956640000001</v>
      </c>
      <c r="J56" s="25">
        <f>VLOOKUP($D56,Résultats!$B$2:$AZ$212,J$2,FALSE)</f>
        <v>27.892108279999999</v>
      </c>
      <c r="K56" s="25">
        <f>VLOOKUP($D56,Résultats!$B$2:$AZ$212,K$2,FALSE)</f>
        <v>32.198119419999998</v>
      </c>
      <c r="L56" s="25">
        <f>VLOOKUP($D56,Résultats!$B$2:$AZ$212,L$2,FALSE)</f>
        <v>36.802659380000001</v>
      </c>
      <c r="M56" s="25">
        <f>VLOOKUP($D56,Résultats!$B$2:$AZ$212,M$2,FALSE)</f>
        <v>44.415492059999998</v>
      </c>
      <c r="N56" s="25">
        <f>VLOOKUP($D56,Résultats!$B$2:$AZ$212,N$2,FALSE)</f>
        <v>53.775809250000002</v>
      </c>
      <c r="O56" s="25">
        <f>VLOOKUP($D56,Résultats!$B$2:$AZ$212,O$2,FALSE)</f>
        <v>62.101853589999997</v>
      </c>
      <c r="P56" s="25">
        <f>VLOOKUP($D56,Résultats!$B$2:$AZ$212,P$2,FALSE)</f>
        <v>71.340229019999995</v>
      </c>
      <c r="Q56" s="25">
        <f>VLOOKUP($D56,Résultats!$B$2:$AZ$212,Q$2,FALSE)</f>
        <v>82.89927643</v>
      </c>
      <c r="R56" s="25">
        <f>VLOOKUP($D56,Résultats!$B$2:$AZ$212,R$2,FALSE)</f>
        <v>96.700605969999998</v>
      </c>
      <c r="S56" s="25">
        <f>VLOOKUP($D56,Résultats!$B$2:$AZ$212,S$2,FALSE)</f>
        <v>112.33677059999999</v>
      </c>
      <c r="T56" s="25">
        <f>VLOOKUP($D56,Résultats!$B$2:$AZ$212,T$2,FALSE)</f>
        <v>128.98335990000001</v>
      </c>
      <c r="U56" s="25">
        <f>VLOOKUP($D56,Résultats!$B$2:$AZ$212,U$2,FALSE)</f>
        <v>145.8623197</v>
      </c>
      <c r="V56" s="25">
        <f>VLOOKUP($D56,Résultats!$B$2:$AZ$212,V$2,FALSE)</f>
        <v>162.0054456</v>
      </c>
      <c r="W56" s="25">
        <f>VLOOKUP($D56,Résultats!$B$2:$AZ$212,W$2,FALSE)</f>
        <v>176.7904546</v>
      </c>
      <c r="X56" s="25">
        <f>VLOOKUP($D56,Résultats!$B$2:$AZ$212,X$2,FALSE)</f>
        <v>189.87346310000001</v>
      </c>
      <c r="Y56" s="25">
        <f>VLOOKUP($D56,Résultats!$B$2:$AZ$212,Y$2,FALSE)</f>
        <v>201.86568700000001</v>
      </c>
      <c r="Z56" s="25">
        <f>VLOOKUP($D56,Résultats!$B$2:$AZ$212,Z$2,FALSE)</f>
        <v>212.4583509</v>
      </c>
      <c r="AA56" s="25">
        <f>VLOOKUP($D56,Résultats!$B$2:$AZ$212,AA$2,FALSE)</f>
        <v>221.4408147</v>
      </c>
      <c r="AB56" s="25">
        <f>VLOOKUP($D56,Résultats!$B$2:$AZ$212,AB$2,FALSE)</f>
        <v>228.77251680000001</v>
      </c>
      <c r="AC56" s="25">
        <f>VLOOKUP($D56,Résultats!$B$2:$AZ$212,AC$2,FALSE)</f>
        <v>234.58992380000001</v>
      </c>
      <c r="AD56" s="25">
        <f>VLOOKUP($D56,Résultats!$B$2:$AZ$212,AD$2,FALSE)</f>
        <v>239.1097666</v>
      </c>
      <c r="AE56" s="25">
        <f>VLOOKUP($D56,Résultats!$B$2:$AZ$212,AE$2,FALSE)</f>
        <v>242.50741289999999</v>
      </c>
      <c r="AF56" s="25">
        <f>VLOOKUP($D56,Résultats!$B$2:$AZ$212,AF$2,FALSE)</f>
        <v>244.8898236</v>
      </c>
      <c r="AG56" s="25">
        <f>VLOOKUP($D56,Résultats!$B$2:$AZ$212,AG$2,FALSE)</f>
        <v>246.34576300000001</v>
      </c>
      <c r="AH56" s="25">
        <f>VLOOKUP($D56,Résultats!$B$2:$AZ$212,AH$2,FALSE)</f>
        <v>245.12927769999999</v>
      </c>
      <c r="AI56" s="25">
        <f>VLOOKUP($D56,Résultats!$B$2:$AZ$212,AI$2,FALSE)</f>
        <v>243.5867413</v>
      </c>
      <c r="AJ56" s="25">
        <f>VLOOKUP($D56,Résultats!$B$2:$AZ$212,AJ$2,FALSE)</f>
        <v>241.6645054</v>
      </c>
      <c r="AK56" s="25">
        <f>VLOOKUP($D56,Résultats!$B$2:$AZ$212,AK$2,FALSE)</f>
        <v>239.4088691</v>
      </c>
      <c r="AL56" s="25">
        <f>VLOOKUP($D56,Résultats!$B$2:$AZ$212,AL$2,FALSE)</f>
        <v>236.84486340000001</v>
      </c>
      <c r="AM56" s="102">
        <f>VLOOKUP($D56,Résultats!$B$2:$AZ$212,AM$2,FALSE)</f>
        <v>233.8571618</v>
      </c>
    </row>
    <row r="57" spans="2:40" x14ac:dyDescent="0.25">
      <c r="B57" s="230"/>
      <c r="C57" s="223" t="s">
        <v>46</v>
      </c>
      <c r="D57" s="52" t="s">
        <v>146</v>
      </c>
      <c r="E57" s="61">
        <f>VLOOKUP($D57,Résultats!$B$2:$AZ$212,E$2,FALSE)</f>
        <v>31999.388770000001</v>
      </c>
      <c r="F57" s="61">
        <f>VLOOKUP($D57,Résultats!$B$2:$AZ$212,F$2,FALSE)</f>
        <v>35757.951739999997</v>
      </c>
      <c r="G57" s="61">
        <f>VLOOKUP($D57,Résultats!$B$2:$AZ$212,G$2,FALSE)</f>
        <v>36349.322440000004</v>
      </c>
      <c r="H57" s="61">
        <f>VLOOKUP($D57,Résultats!$B$2:$AZ$212,H$2,FALSE)</f>
        <v>36639.73444</v>
      </c>
      <c r="I57" s="61">
        <f>VLOOKUP($D57,Résultats!$B$2:$AZ$212,I$2,FALSE)</f>
        <v>36586.366600000001</v>
      </c>
      <c r="J57" s="61">
        <f>VLOOKUP($D57,Résultats!$B$2:$AZ$212,J$2,FALSE)</f>
        <v>36294.515010000003</v>
      </c>
      <c r="K57" s="61">
        <f>VLOOKUP($D57,Résultats!$B$2:$AZ$212,K$2,FALSE)</f>
        <v>35811.448689999997</v>
      </c>
      <c r="L57" s="61">
        <f>VLOOKUP($D57,Résultats!$B$2:$AZ$212,L$2,FALSE)</f>
        <v>35247.551319999999</v>
      </c>
      <c r="M57" s="61">
        <f>VLOOKUP($D57,Résultats!$B$2:$AZ$212,M$2,FALSE)</f>
        <v>35075.190739999998</v>
      </c>
      <c r="N57" s="61">
        <f>VLOOKUP($D57,Résultats!$B$2:$AZ$212,N$2,FALSE)</f>
        <v>34988.353320000002</v>
      </c>
      <c r="O57" s="61">
        <f>VLOOKUP($D57,Résultats!$B$2:$AZ$212,O$2,FALSE)</f>
        <v>34481.578070000003</v>
      </c>
      <c r="P57" s="61">
        <f>VLOOKUP($D57,Résultats!$B$2:$AZ$212,P$2,FALSE)</f>
        <v>33710.94687</v>
      </c>
      <c r="Q57" s="61">
        <f>VLOOKUP($D57,Résultats!$B$2:$AZ$212,Q$2,FALSE)</f>
        <v>32719.421829999999</v>
      </c>
      <c r="R57" s="61">
        <f>VLOOKUP($D57,Résultats!$B$2:$AZ$212,R$2,FALSE)</f>
        <v>31528.964739999999</v>
      </c>
      <c r="S57" s="61">
        <f>VLOOKUP($D57,Résultats!$B$2:$AZ$212,S$2,FALSE)</f>
        <v>30175.589970000001</v>
      </c>
      <c r="T57" s="61">
        <f>VLOOKUP($D57,Résultats!$B$2:$AZ$212,T$2,FALSE)</f>
        <v>28707.578850000002</v>
      </c>
      <c r="U57" s="61">
        <f>VLOOKUP($D57,Résultats!$B$2:$AZ$212,U$2,FALSE)</f>
        <v>27182.468919999999</v>
      </c>
      <c r="V57" s="61">
        <f>VLOOKUP($D57,Résultats!$B$2:$AZ$212,V$2,FALSE)</f>
        <v>25650.5422</v>
      </c>
      <c r="W57" s="61">
        <f>VLOOKUP($D57,Résultats!$B$2:$AZ$212,W$2,FALSE)</f>
        <v>24150.03616</v>
      </c>
      <c r="X57" s="61">
        <f>VLOOKUP($D57,Résultats!$B$2:$AZ$212,X$2,FALSE)</f>
        <v>22704.338540000001</v>
      </c>
      <c r="Y57" s="61">
        <f>VLOOKUP($D57,Résultats!$B$2:$AZ$212,Y$2,FALSE)</f>
        <v>21325.728299999999</v>
      </c>
      <c r="Z57" s="61">
        <f>VLOOKUP($D57,Résultats!$B$2:$AZ$212,Z$2,FALSE)</f>
        <v>20018.097040000001</v>
      </c>
      <c r="AA57" s="61">
        <f>VLOOKUP($D57,Résultats!$B$2:$AZ$212,AA$2,FALSE)</f>
        <v>18781.724880000002</v>
      </c>
      <c r="AB57" s="61">
        <f>VLOOKUP($D57,Résultats!$B$2:$AZ$212,AB$2,FALSE)</f>
        <v>17614.94413</v>
      </c>
      <c r="AC57" s="61">
        <f>VLOOKUP($D57,Résultats!$B$2:$AZ$212,AC$2,FALSE)</f>
        <v>16515.10914</v>
      </c>
      <c r="AD57" s="61">
        <f>VLOOKUP($D57,Résultats!$B$2:$AZ$212,AD$2,FALSE)</f>
        <v>15483.45887</v>
      </c>
      <c r="AE57" s="61">
        <f>VLOOKUP($D57,Résultats!$B$2:$AZ$212,AE$2,FALSE)</f>
        <v>14516.01233</v>
      </c>
      <c r="AF57" s="61">
        <f>VLOOKUP($D57,Résultats!$B$2:$AZ$212,AF$2,FALSE)</f>
        <v>13608.895039999999</v>
      </c>
      <c r="AG57" s="61">
        <f>VLOOKUP($D57,Résultats!$B$2:$AZ$212,AG$2,FALSE)</f>
        <v>12758.405070000001</v>
      </c>
      <c r="AH57" s="61">
        <f>VLOOKUP($D57,Résultats!$B$2:$AZ$212,AH$2,FALSE)</f>
        <v>11907.87838</v>
      </c>
      <c r="AI57" s="61">
        <f>VLOOKUP($D57,Résultats!$B$2:$AZ$212,AI$2,FALSE)</f>
        <v>11114.03665</v>
      </c>
      <c r="AJ57" s="61">
        <f>VLOOKUP($D57,Résultats!$B$2:$AZ$212,AJ$2,FALSE)</f>
        <v>10373.10924</v>
      </c>
      <c r="AK57" s="61">
        <f>VLOOKUP($D57,Résultats!$B$2:$AZ$212,AK$2,FALSE)</f>
        <v>9681.5727790000001</v>
      </c>
      <c r="AL57" s="61">
        <f>VLOOKUP($D57,Résultats!$B$2:$AZ$212,AL$2,FALSE)</f>
        <v>9036.1366510000007</v>
      </c>
      <c r="AM57" s="225">
        <f>VLOOKUP($D57,Résultats!$B$2:$AZ$212,AM$2,FALSE)</f>
        <v>8433.7285470000006</v>
      </c>
      <c r="AN57" s="212"/>
    </row>
    <row r="58" spans="2:40" x14ac:dyDescent="0.25">
      <c r="B58" s="230"/>
      <c r="C58" s="218" t="s">
        <v>27</v>
      </c>
      <c r="D58" s="54" t="s">
        <v>131</v>
      </c>
      <c r="E58" s="65">
        <f>VLOOKUP($D58,Résultats!$B$2:$AZ$212,E$2,FALSE)</f>
        <v>18.581072330000001</v>
      </c>
      <c r="F58" s="65">
        <f>VLOOKUP($D58,Résultats!$B$2:$AZ$212,F$2,FALSE)</f>
        <v>253.1926948</v>
      </c>
      <c r="G58" s="65">
        <f>VLOOKUP($D58,Résultats!$B$2:$AZ$212,G$2,FALSE)</f>
        <v>293.19606110000001</v>
      </c>
      <c r="H58" s="65">
        <f>VLOOKUP($D58,Résultats!$B$2:$AZ$212,H$2,FALSE)</f>
        <v>321.1236864</v>
      </c>
      <c r="I58" s="65">
        <f>VLOOKUP($D58,Résultats!$B$2:$AZ$212,I$2,FALSE)</f>
        <v>364.18439489999997</v>
      </c>
      <c r="J58" s="65">
        <f>VLOOKUP($D58,Résultats!$B$2:$AZ$212,J$2,FALSE)</f>
        <v>397.16169150000002</v>
      </c>
      <c r="K58" s="65">
        <f>VLOOKUP($D58,Résultats!$B$2:$AZ$212,K$2,FALSE)</f>
        <v>450.67898750000001</v>
      </c>
      <c r="L58" s="65">
        <f>VLOOKUP($D58,Résultats!$B$2:$AZ$212,L$2,FALSE)</f>
        <v>513.20852879999995</v>
      </c>
      <c r="M58" s="65">
        <f>VLOOKUP($D58,Résultats!$B$2:$AZ$212,M$2,FALSE)</f>
        <v>596.43013289999999</v>
      </c>
      <c r="N58" s="65">
        <f>VLOOKUP($D58,Résultats!$B$2:$AZ$212,N$2,FALSE)</f>
        <v>686.54471539999997</v>
      </c>
      <c r="O58" s="65">
        <f>VLOOKUP($D58,Résultats!$B$2:$AZ$212,O$2,FALSE)</f>
        <v>752.18669820000002</v>
      </c>
      <c r="P58" s="65">
        <f>VLOOKUP($D58,Résultats!$B$2:$AZ$212,P$2,FALSE)</f>
        <v>798.73919020000005</v>
      </c>
      <c r="Q58" s="65">
        <f>VLOOKUP($D58,Résultats!$B$2:$AZ$212,Q$2,FALSE)</f>
        <v>826.53311399999996</v>
      </c>
      <c r="R58" s="65">
        <f>VLOOKUP($D58,Résultats!$B$2:$AZ$212,R$2,FALSE)</f>
        <v>836.73157270000002</v>
      </c>
      <c r="S58" s="65">
        <f>VLOOKUP($D58,Résultats!$B$2:$AZ$212,S$2,FALSE)</f>
        <v>830.65364750000003</v>
      </c>
      <c r="T58" s="65">
        <f>VLOOKUP($D58,Résultats!$B$2:$AZ$212,T$2,FALSE)</f>
        <v>810.44170399999996</v>
      </c>
      <c r="U58" s="65">
        <f>VLOOKUP($D58,Résultats!$B$2:$AZ$212,U$2,FALSE)</f>
        <v>780.101944</v>
      </c>
      <c r="V58" s="65">
        <f>VLOOKUP($D58,Résultats!$B$2:$AZ$212,V$2,FALSE)</f>
        <v>743.63094890000002</v>
      </c>
      <c r="W58" s="65">
        <f>VLOOKUP($D58,Résultats!$B$2:$AZ$212,W$2,FALSE)</f>
        <v>704.34031179999999</v>
      </c>
      <c r="X58" s="65">
        <f>VLOOKUP($D58,Résultats!$B$2:$AZ$212,X$2,FALSE)</f>
        <v>664.46527979999996</v>
      </c>
      <c r="Y58" s="65">
        <f>VLOOKUP($D58,Résultats!$B$2:$AZ$212,Y$2,FALSE)</f>
        <v>625.36432860000002</v>
      </c>
      <c r="Z58" s="65">
        <f>VLOOKUP($D58,Résultats!$B$2:$AZ$212,Z$2,FALSE)</f>
        <v>587.68387040000005</v>
      </c>
      <c r="AA58" s="65">
        <f>VLOOKUP($D58,Résultats!$B$2:$AZ$212,AA$2,FALSE)</f>
        <v>551.73701840000001</v>
      </c>
      <c r="AB58" s="65">
        <f>VLOOKUP($D58,Résultats!$B$2:$AZ$212,AB$2,FALSE)</f>
        <v>517.64403059999995</v>
      </c>
      <c r="AC58" s="65">
        <f>VLOOKUP($D58,Résultats!$B$2:$AZ$212,AC$2,FALSE)</f>
        <v>485.41860880000002</v>
      </c>
      <c r="AD58" s="65">
        <f>VLOOKUP($D58,Résultats!$B$2:$AZ$212,AD$2,FALSE)</f>
        <v>455.1450529</v>
      </c>
      <c r="AE58" s="65">
        <f>VLOOKUP($D58,Résultats!$B$2:$AZ$212,AE$2,FALSE)</f>
        <v>426.73180989999997</v>
      </c>
      <c r="AF58" s="65">
        <f>VLOOKUP($D58,Résultats!$B$2:$AZ$212,AF$2,FALSE)</f>
        <v>400.0780828</v>
      </c>
      <c r="AG58" s="65">
        <f>VLOOKUP($D58,Résultats!$B$2:$AZ$212,AG$2,FALSE)</f>
        <v>375.08186490000003</v>
      </c>
      <c r="AH58" s="65">
        <f>VLOOKUP($D58,Résultats!$B$2:$AZ$212,AH$2,FALSE)</f>
        <v>350.08123749999999</v>
      </c>
      <c r="AI58" s="65">
        <f>VLOOKUP($D58,Résultats!$B$2:$AZ$212,AI$2,FALSE)</f>
        <v>326.74497489999999</v>
      </c>
      <c r="AJ58" s="65">
        <f>VLOOKUP($D58,Résultats!$B$2:$AZ$212,AJ$2,FALSE)</f>
        <v>304.96325009999998</v>
      </c>
      <c r="AK58" s="65">
        <f>VLOOKUP($D58,Résultats!$B$2:$AZ$212,AK$2,FALSE)</f>
        <v>284.63301760000002</v>
      </c>
      <c r="AL58" s="65">
        <f>VLOOKUP($D58,Résultats!$B$2:$AZ$212,AL$2,FALSE)</f>
        <v>265.65781479999998</v>
      </c>
      <c r="AM58" s="226">
        <f>VLOOKUP($D58,Résultats!$B$2:$AZ$212,AM$2,FALSE)</f>
        <v>247.94746079999999</v>
      </c>
    </row>
    <row r="59" spans="2:40" x14ac:dyDescent="0.25">
      <c r="B59" s="230"/>
      <c r="C59" s="218" t="s">
        <v>28</v>
      </c>
      <c r="D59" s="54" t="s">
        <v>132</v>
      </c>
      <c r="E59" s="65">
        <f>VLOOKUP($D59,Résultats!$B$2:$AZ$212,E$2,FALSE)</f>
        <v>1622.772802</v>
      </c>
      <c r="F59" s="65">
        <f>VLOOKUP($D59,Résultats!$B$2:$AZ$212,F$2,FALSE)</f>
        <v>4050.9903389999999</v>
      </c>
      <c r="G59" s="65">
        <f>VLOOKUP($D59,Résultats!$B$2:$AZ$212,G$2,FALSE)</f>
        <v>4559.7067230000002</v>
      </c>
      <c r="H59" s="65">
        <f>VLOOKUP($D59,Résultats!$B$2:$AZ$212,H$2,FALSE)</f>
        <v>4735.4887650000001</v>
      </c>
      <c r="I59" s="65">
        <f>VLOOKUP($D59,Résultats!$B$2:$AZ$212,I$2,FALSE)</f>
        <v>4853.6185649999998</v>
      </c>
      <c r="J59" s="65">
        <f>VLOOKUP($D59,Résultats!$B$2:$AZ$212,J$2,FALSE)</f>
        <v>4914.4059200000002</v>
      </c>
      <c r="K59" s="65">
        <f>VLOOKUP($D59,Résultats!$B$2:$AZ$212,K$2,FALSE)</f>
        <v>4957.3006500000001</v>
      </c>
      <c r="L59" s="65">
        <f>VLOOKUP($D59,Résultats!$B$2:$AZ$212,L$2,FALSE)</f>
        <v>4988.2881390000002</v>
      </c>
      <c r="M59" s="65">
        <f>VLOOKUP($D59,Résultats!$B$2:$AZ$212,M$2,FALSE)</f>
        <v>5092.5471980000002</v>
      </c>
      <c r="N59" s="65">
        <f>VLOOKUP($D59,Résultats!$B$2:$AZ$212,N$2,FALSE)</f>
        <v>5207.8035799999998</v>
      </c>
      <c r="O59" s="65">
        <f>VLOOKUP($D59,Résultats!$B$2:$AZ$212,O$2,FALSE)</f>
        <v>5230.1709659999997</v>
      </c>
      <c r="P59" s="65">
        <f>VLOOKUP($D59,Résultats!$B$2:$AZ$212,P$2,FALSE)</f>
        <v>5190.9927310000003</v>
      </c>
      <c r="Q59" s="65">
        <f>VLOOKUP($D59,Résultats!$B$2:$AZ$212,Q$2,FALSE)</f>
        <v>5098.7011380000004</v>
      </c>
      <c r="R59" s="65">
        <f>VLOOKUP($D59,Résultats!$B$2:$AZ$212,R$2,FALSE)</f>
        <v>4957.7680209999999</v>
      </c>
      <c r="S59" s="65">
        <f>VLOOKUP($D59,Résultats!$B$2:$AZ$212,S$2,FALSE)</f>
        <v>4775.9549260000003</v>
      </c>
      <c r="T59" s="65">
        <f>VLOOKUP($D59,Résultats!$B$2:$AZ$212,T$2,FALSE)</f>
        <v>4563.6789980000003</v>
      </c>
      <c r="U59" s="65">
        <f>VLOOKUP($D59,Résultats!$B$2:$AZ$212,U$2,FALSE)</f>
        <v>4333.3676519999999</v>
      </c>
      <c r="V59" s="65">
        <f>VLOOKUP($D59,Résultats!$B$2:$AZ$212,V$2,FALSE)</f>
        <v>4096.0277779999997</v>
      </c>
      <c r="W59" s="65">
        <f>VLOOKUP($D59,Résultats!$B$2:$AZ$212,W$2,FALSE)</f>
        <v>3860.1366849999999</v>
      </c>
      <c r="X59" s="65">
        <f>VLOOKUP($D59,Résultats!$B$2:$AZ$212,X$2,FALSE)</f>
        <v>3631.0061470000001</v>
      </c>
      <c r="Y59" s="65">
        <f>VLOOKUP($D59,Résultats!$B$2:$AZ$212,Y$2,FALSE)</f>
        <v>3411.5616989999999</v>
      </c>
      <c r="Z59" s="65">
        <f>VLOOKUP($D59,Résultats!$B$2:$AZ$212,Z$2,FALSE)</f>
        <v>3202.9096509999999</v>
      </c>
      <c r="AA59" s="65">
        <f>VLOOKUP($D59,Résultats!$B$2:$AZ$212,AA$2,FALSE)</f>
        <v>3005.3629150000002</v>
      </c>
      <c r="AB59" s="65">
        <f>VLOOKUP($D59,Résultats!$B$2:$AZ$212,AB$2,FALSE)</f>
        <v>2818.7989510000002</v>
      </c>
      <c r="AC59" s="65">
        <f>VLOOKUP($D59,Résultats!$B$2:$AZ$212,AC$2,FALSE)</f>
        <v>2642.8701099999998</v>
      </c>
      <c r="AD59" s="65">
        <f>VLOOKUP($D59,Résultats!$B$2:$AZ$212,AD$2,FALSE)</f>
        <v>2477.8129039999999</v>
      </c>
      <c r="AE59" s="65">
        <f>VLOOKUP($D59,Résultats!$B$2:$AZ$212,AE$2,FALSE)</f>
        <v>2323.010323</v>
      </c>
      <c r="AF59" s="65">
        <f>VLOOKUP($D59,Résultats!$B$2:$AZ$212,AF$2,FALSE)</f>
        <v>2177.8523169999999</v>
      </c>
      <c r="AG59" s="65">
        <f>VLOOKUP($D59,Résultats!$B$2:$AZ$212,AG$2,FALSE)</f>
        <v>2041.751479</v>
      </c>
      <c r="AH59" s="65">
        <f>VLOOKUP($D59,Résultats!$B$2:$AZ$212,AH$2,FALSE)</f>
        <v>1905.6424199999999</v>
      </c>
      <c r="AI59" s="65">
        <f>VLOOKUP($D59,Résultats!$B$2:$AZ$212,AI$2,FALSE)</f>
        <v>1778.6034520000001</v>
      </c>
      <c r="AJ59" s="65">
        <f>VLOOKUP($D59,Résultats!$B$2:$AZ$212,AJ$2,FALSE)</f>
        <v>1660.0318110000001</v>
      </c>
      <c r="AK59" s="65">
        <f>VLOOKUP($D59,Résultats!$B$2:$AZ$212,AK$2,FALSE)</f>
        <v>1549.363979</v>
      </c>
      <c r="AL59" s="65">
        <f>VLOOKUP($D59,Résultats!$B$2:$AZ$212,AL$2,FALSE)</f>
        <v>1446.073521</v>
      </c>
      <c r="AM59" s="226">
        <f>VLOOKUP($D59,Résultats!$B$2:$AZ$212,AM$2,FALSE)</f>
        <v>1349.668852</v>
      </c>
    </row>
    <row r="60" spans="2:40" x14ac:dyDescent="0.25">
      <c r="B60" s="230"/>
      <c r="C60" s="218" t="s">
        <v>29</v>
      </c>
      <c r="D60" s="54" t="s">
        <v>133</v>
      </c>
      <c r="E60" s="65">
        <f>VLOOKUP($D60,Résultats!$B$2:$AZ$212,E$2,FALSE)</f>
        <v>3840.9962489999998</v>
      </c>
      <c r="F60" s="65">
        <f>VLOOKUP($D60,Résultats!$B$2:$AZ$212,F$2,FALSE)</f>
        <v>7001.1554429999997</v>
      </c>
      <c r="G60" s="65">
        <f>VLOOKUP($D60,Résultats!$B$2:$AZ$212,G$2,FALSE)</f>
        <v>7666.7770909999999</v>
      </c>
      <c r="H60" s="65">
        <f>VLOOKUP($D60,Résultats!$B$2:$AZ$212,H$2,FALSE)</f>
        <v>7896.804408</v>
      </c>
      <c r="I60" s="65">
        <f>VLOOKUP($D60,Résultats!$B$2:$AZ$212,I$2,FALSE)</f>
        <v>8026.4786770000001</v>
      </c>
      <c r="J60" s="65">
        <f>VLOOKUP($D60,Résultats!$B$2:$AZ$212,J$2,FALSE)</f>
        <v>8077.6624430000002</v>
      </c>
      <c r="K60" s="65">
        <f>VLOOKUP($D60,Résultats!$B$2:$AZ$212,K$2,FALSE)</f>
        <v>8083.9641810000003</v>
      </c>
      <c r="L60" s="65">
        <f>VLOOKUP($D60,Résultats!$B$2:$AZ$212,L$2,FALSE)</f>
        <v>8065.604327</v>
      </c>
      <c r="M60" s="65">
        <f>VLOOKUP($D60,Résultats!$B$2:$AZ$212,M$2,FALSE)</f>
        <v>8153.8628189999999</v>
      </c>
      <c r="N60" s="65">
        <f>VLOOKUP($D60,Résultats!$B$2:$AZ$212,N$2,FALSE)</f>
        <v>8258.2969799999901</v>
      </c>
      <c r="O60" s="65">
        <f>VLOOKUP($D60,Résultats!$B$2:$AZ$212,O$2,FALSE)</f>
        <v>8230.8785069999994</v>
      </c>
      <c r="P60" s="65">
        <f>VLOOKUP($D60,Résultats!$B$2:$AZ$212,P$2,FALSE)</f>
        <v>8118.3984220000002</v>
      </c>
      <c r="Q60" s="65">
        <f>VLOOKUP($D60,Résultats!$B$2:$AZ$212,Q$2,FALSE)</f>
        <v>7934.1180329999997</v>
      </c>
      <c r="R60" s="65">
        <f>VLOOKUP($D60,Résultats!$B$2:$AZ$212,R$2,FALSE)</f>
        <v>7684.7972490000002</v>
      </c>
      <c r="S60" s="65">
        <f>VLOOKUP($D60,Résultats!$B$2:$AZ$212,S$2,FALSE)</f>
        <v>7381.605595</v>
      </c>
      <c r="T60" s="65">
        <f>VLOOKUP($D60,Résultats!$B$2:$AZ$212,T$2,FALSE)</f>
        <v>7039.3544389999997</v>
      </c>
      <c r="U60" s="65">
        <f>VLOOKUP($D60,Résultats!$B$2:$AZ$212,U$2,FALSE)</f>
        <v>6675.3384759999999</v>
      </c>
      <c r="V60" s="65">
        <f>VLOOKUP($D60,Résultats!$B$2:$AZ$212,V$2,FALSE)</f>
        <v>6304.6305039999997</v>
      </c>
      <c r="W60" s="65">
        <f>VLOOKUP($D60,Résultats!$B$2:$AZ$212,W$2,FALSE)</f>
        <v>5938.7117509999998</v>
      </c>
      <c r="X60" s="65">
        <f>VLOOKUP($D60,Résultats!$B$2:$AZ$212,X$2,FALSE)</f>
        <v>5584.6730809999999</v>
      </c>
      <c r="Y60" s="65">
        <f>VLOOKUP($D60,Résultats!$B$2:$AZ$212,Y$2,FALSE)</f>
        <v>5246.3284009999998</v>
      </c>
      <c r="Z60" s="65">
        <f>VLOOKUP($D60,Résultats!$B$2:$AZ$212,Z$2,FALSE)</f>
        <v>4925.0209249999998</v>
      </c>
      <c r="AA60" s="65">
        <f>VLOOKUP($D60,Résultats!$B$2:$AZ$212,AA$2,FALSE)</f>
        <v>4621.0277679999999</v>
      </c>
      <c r="AB60" s="65">
        <f>VLOOKUP($D60,Résultats!$B$2:$AZ$212,AB$2,FALSE)</f>
        <v>4334.0478130000001</v>
      </c>
      <c r="AC60" s="65">
        <f>VLOOKUP($D60,Résultats!$B$2:$AZ$212,AC$2,FALSE)</f>
        <v>4063.4857419999998</v>
      </c>
      <c r="AD60" s="65">
        <f>VLOOKUP($D60,Résultats!$B$2:$AZ$212,AD$2,FALSE)</f>
        <v>3809.673796</v>
      </c>
      <c r="AE60" s="65">
        <f>VLOOKUP($D60,Résultats!$B$2:$AZ$212,AE$2,FALSE)</f>
        <v>3571.6462080000001</v>
      </c>
      <c r="AF60" s="65">
        <f>VLOOKUP($D60,Résultats!$B$2:$AZ$212,AF$2,FALSE)</f>
        <v>3348.456322</v>
      </c>
      <c r="AG60" s="65">
        <f>VLOOKUP($D60,Résultats!$B$2:$AZ$212,AG$2,FALSE)</f>
        <v>3139.1965169999999</v>
      </c>
      <c r="AH60" s="65">
        <f>VLOOKUP($D60,Résultats!$B$2:$AZ$212,AH$2,FALSE)</f>
        <v>2929.9261889999998</v>
      </c>
      <c r="AI60" s="65">
        <f>VLOOKUP($D60,Résultats!$B$2:$AZ$212,AI$2,FALSE)</f>
        <v>2734.6024769999999</v>
      </c>
      <c r="AJ60" s="65">
        <f>VLOOKUP($D60,Résultats!$B$2:$AZ$212,AJ$2,FALSE)</f>
        <v>2552.297971</v>
      </c>
      <c r="AK60" s="65">
        <f>VLOOKUP($D60,Résultats!$B$2:$AZ$212,AK$2,FALSE)</f>
        <v>2382.1459209999998</v>
      </c>
      <c r="AL60" s="65">
        <f>VLOOKUP($D60,Résultats!$B$2:$AZ$212,AL$2,FALSE)</f>
        <v>2223.3367600000001</v>
      </c>
      <c r="AM60" s="226">
        <f>VLOOKUP($D60,Résultats!$B$2:$AZ$212,AM$2,FALSE)</f>
        <v>2075.1145839999999</v>
      </c>
    </row>
    <row r="61" spans="2:40" x14ac:dyDescent="0.25">
      <c r="B61" s="230"/>
      <c r="C61" s="218" t="s">
        <v>30</v>
      </c>
      <c r="D61" s="54" t="s">
        <v>134</v>
      </c>
      <c r="E61" s="65">
        <f>VLOOKUP($D61,Résultats!$B$2:$AZ$212,E$2,FALSE)</f>
        <v>5377.3855290000001</v>
      </c>
      <c r="F61" s="65">
        <f>VLOOKUP($D61,Résultats!$B$2:$AZ$212,F$2,FALSE)</f>
        <v>7827.0189920000003</v>
      </c>
      <c r="G61" s="65">
        <f>VLOOKUP($D61,Résultats!$B$2:$AZ$212,G$2,FALSE)</f>
        <v>8310.1070099999997</v>
      </c>
      <c r="H61" s="65">
        <f>VLOOKUP($D61,Résultats!$B$2:$AZ$212,H$2,FALSE)</f>
        <v>8483.5469790000006</v>
      </c>
      <c r="I61" s="65">
        <f>VLOOKUP($D61,Résultats!$B$2:$AZ$212,I$2,FALSE)</f>
        <v>8551.8904170000005</v>
      </c>
      <c r="J61" s="65">
        <f>VLOOKUP($D61,Résultats!$B$2:$AZ$212,J$2,FALSE)</f>
        <v>8559.4340680000005</v>
      </c>
      <c r="K61" s="65">
        <f>VLOOKUP($D61,Résultats!$B$2:$AZ$212,K$2,FALSE)</f>
        <v>8513.8216560000001</v>
      </c>
      <c r="L61" s="65">
        <f>VLOOKUP($D61,Résultats!$B$2:$AZ$212,L$2,FALSE)</f>
        <v>8441.2894309999901</v>
      </c>
      <c r="M61" s="65">
        <f>VLOOKUP($D61,Résultats!$B$2:$AZ$212,M$2,FALSE)</f>
        <v>8471.3089020000007</v>
      </c>
      <c r="N61" s="65">
        <f>VLOOKUP($D61,Résultats!$B$2:$AZ$212,N$2,FALSE)</f>
        <v>8517.9921479999903</v>
      </c>
      <c r="O61" s="65">
        <f>VLOOKUP($D61,Résultats!$B$2:$AZ$212,O$2,FALSE)</f>
        <v>8442.3609890000007</v>
      </c>
      <c r="P61" s="65">
        <f>VLOOKUP($D61,Résultats!$B$2:$AZ$212,P$2,FALSE)</f>
        <v>8289.3075570000001</v>
      </c>
      <c r="Q61" s="65">
        <f>VLOOKUP($D61,Résultats!$B$2:$AZ$212,Q$2,FALSE)</f>
        <v>8071.8223019999996</v>
      </c>
      <c r="R61" s="65">
        <f>VLOOKUP($D61,Résultats!$B$2:$AZ$212,R$2,FALSE)</f>
        <v>7796.3424450000002</v>
      </c>
      <c r="S61" s="65">
        <f>VLOOKUP($D61,Résultats!$B$2:$AZ$212,S$2,FALSE)</f>
        <v>7473.3893189999999</v>
      </c>
      <c r="T61" s="65">
        <f>VLOOKUP($D61,Résultats!$B$2:$AZ$212,T$2,FALSE)</f>
        <v>7116.8427769999998</v>
      </c>
      <c r="U61" s="65">
        <f>VLOOKUP($D61,Résultats!$B$2:$AZ$212,U$2,FALSE)</f>
        <v>6742.6876620000003</v>
      </c>
      <c r="V61" s="65">
        <f>VLOOKUP($D61,Résultats!$B$2:$AZ$212,V$2,FALSE)</f>
        <v>6364.7265809999999</v>
      </c>
      <c r="W61" s="65">
        <f>VLOOKUP($D61,Résultats!$B$2:$AZ$212,W$2,FALSE)</f>
        <v>5993.3976229999998</v>
      </c>
      <c r="X61" s="65">
        <f>VLOOKUP($D61,Résultats!$B$2:$AZ$212,X$2,FALSE)</f>
        <v>5635.0789349999995</v>
      </c>
      <c r="Y61" s="65">
        <f>VLOOKUP($D61,Résultats!$B$2:$AZ$212,Y$2,FALSE)</f>
        <v>5293.1357740000003</v>
      </c>
      <c r="Z61" s="65">
        <f>VLOOKUP($D61,Résultats!$B$2:$AZ$212,Z$2,FALSE)</f>
        <v>4968.676023</v>
      </c>
      <c r="AA61" s="65">
        <f>VLOOKUP($D61,Résultats!$B$2:$AZ$212,AA$2,FALSE)</f>
        <v>4661.840631</v>
      </c>
      <c r="AB61" s="65">
        <f>VLOOKUP($D61,Résultats!$B$2:$AZ$212,AB$2,FALSE)</f>
        <v>4372.2503989999996</v>
      </c>
      <c r="AC61" s="65">
        <f>VLOOKUP($D61,Résultats!$B$2:$AZ$212,AC$2,FALSE)</f>
        <v>4099.2647589999997</v>
      </c>
      <c r="AD61" s="65">
        <f>VLOOKUP($D61,Résultats!$B$2:$AZ$212,AD$2,FALSE)</f>
        <v>3843.198429</v>
      </c>
      <c r="AE61" s="65">
        <f>VLOOKUP($D61,Résultats!$B$2:$AZ$212,AE$2,FALSE)</f>
        <v>3603.0663239999999</v>
      </c>
      <c r="AF61" s="65">
        <f>VLOOKUP($D61,Résultats!$B$2:$AZ$212,AF$2,FALSE)</f>
        <v>3377.9080130000002</v>
      </c>
      <c r="AG61" s="65">
        <f>VLOOKUP($D61,Résultats!$B$2:$AZ$212,AG$2,FALSE)</f>
        <v>3166.8051230000001</v>
      </c>
      <c r="AH61" s="65">
        <f>VLOOKUP($D61,Résultats!$B$2:$AZ$212,AH$2,FALSE)</f>
        <v>2955.692931</v>
      </c>
      <c r="AI61" s="65">
        <f>VLOOKUP($D61,Résultats!$B$2:$AZ$212,AI$2,FALSE)</f>
        <v>2758.6507799999999</v>
      </c>
      <c r="AJ61" s="65">
        <f>VLOOKUP($D61,Résultats!$B$2:$AZ$212,AJ$2,FALSE)</f>
        <v>2574.7427210000001</v>
      </c>
      <c r="AK61" s="65">
        <f>VLOOKUP($D61,Résultats!$B$2:$AZ$212,AK$2,FALSE)</f>
        <v>2403.094188</v>
      </c>
      <c r="AL61" s="65">
        <f>VLOOKUP($D61,Résultats!$B$2:$AZ$212,AL$2,FALSE)</f>
        <v>2242.888391</v>
      </c>
      <c r="AM61" s="226">
        <f>VLOOKUP($D61,Résultats!$B$2:$AZ$212,AM$2,FALSE)</f>
        <v>2093.3627320000001</v>
      </c>
    </row>
    <row r="62" spans="2:40" x14ac:dyDescent="0.25">
      <c r="B62" s="230"/>
      <c r="C62" s="218" t="s">
        <v>31</v>
      </c>
      <c r="D62" s="54" t="s">
        <v>135</v>
      </c>
      <c r="E62" s="65">
        <f>VLOOKUP($D62,Résultats!$B$2:$AZ$212,E$2,FALSE)</f>
        <v>13959.64589</v>
      </c>
      <c r="F62" s="65">
        <f>VLOOKUP($D62,Résultats!$B$2:$AZ$212,F$2,FALSE)</f>
        <v>11272.314759999999</v>
      </c>
      <c r="G62" s="65">
        <f>VLOOKUP($D62,Résultats!$B$2:$AZ$212,G$2,FALSE)</f>
        <v>10609.240529999999</v>
      </c>
      <c r="H62" s="65">
        <f>VLOOKUP($D62,Résultats!$B$2:$AZ$212,H$2,FALSE)</f>
        <v>10425.6433</v>
      </c>
      <c r="I62" s="65">
        <f>VLOOKUP($D62,Résultats!$B$2:$AZ$212,I$2,FALSE)</f>
        <v>10176.90259</v>
      </c>
      <c r="J62" s="65">
        <f>VLOOKUP($D62,Résultats!$B$2:$AZ$212,J$2,FALSE)</f>
        <v>9919.818346</v>
      </c>
      <c r="K62" s="65">
        <f>VLOOKUP($D62,Résultats!$B$2:$AZ$212,K$2,FALSE)</f>
        <v>9596.4848529999999</v>
      </c>
      <c r="L62" s="65">
        <f>VLOOKUP($D62,Résultats!$B$2:$AZ$212,L$2,FALSE)</f>
        <v>9252.8406360000008</v>
      </c>
      <c r="M62" s="65">
        <f>VLOOKUP($D62,Résultats!$B$2:$AZ$212,M$2,FALSE)</f>
        <v>8979.3328569999994</v>
      </c>
      <c r="N62" s="65">
        <f>VLOOKUP($D62,Résultats!$B$2:$AZ$212,N$2,FALSE)</f>
        <v>8729.0647590000008</v>
      </c>
      <c r="O62" s="65">
        <f>VLOOKUP($D62,Résultats!$B$2:$AZ$212,O$2,FALSE)</f>
        <v>8428.2500220000002</v>
      </c>
      <c r="P62" s="65">
        <f>VLOOKUP($D62,Résultats!$B$2:$AZ$212,P$2,FALSE)</f>
        <v>8101.2443810000004</v>
      </c>
      <c r="Q62" s="65">
        <f>VLOOKUP($D62,Résultats!$B$2:$AZ$212,Q$2,FALSE)</f>
        <v>7755.1063029999996</v>
      </c>
      <c r="R62" s="65">
        <f>VLOOKUP($D62,Résultats!$B$2:$AZ$212,R$2,FALSE)</f>
        <v>7392.8597900000004</v>
      </c>
      <c r="S62" s="65">
        <f>VLOOKUP($D62,Résultats!$B$2:$AZ$212,S$2,FALSE)</f>
        <v>7019.4897739999997</v>
      </c>
      <c r="T62" s="65">
        <f>VLOOKUP($D62,Résultats!$B$2:$AZ$212,T$2,FALSE)</f>
        <v>6641.6317499999996</v>
      </c>
      <c r="U62" s="65">
        <f>VLOOKUP($D62,Résultats!$B$2:$AZ$212,U$2,FALSE)</f>
        <v>6266.747891</v>
      </c>
      <c r="V62" s="65">
        <f>VLOOKUP($D62,Résultats!$B$2:$AZ$212,V$2,FALSE)</f>
        <v>5901.0599099999999</v>
      </c>
      <c r="W62" s="65">
        <f>VLOOKUP($D62,Résultats!$B$2:$AZ$212,W$2,FALSE)</f>
        <v>5549.0828940000001</v>
      </c>
      <c r="X62" s="65">
        <f>VLOOKUP($D62,Résultats!$B$2:$AZ$212,X$2,FALSE)</f>
        <v>5213.3398239999997</v>
      </c>
      <c r="Y62" s="65">
        <f>VLOOKUP($D62,Résultats!$B$2:$AZ$212,Y$2,FALSE)</f>
        <v>4894.9039059999996</v>
      </c>
      <c r="Z62" s="65">
        <f>VLOOKUP($D62,Résultats!$B$2:$AZ$212,Z$2,FALSE)</f>
        <v>4593.7861919999996</v>
      </c>
      <c r="AA62" s="65">
        <f>VLOOKUP($D62,Résultats!$B$2:$AZ$212,AA$2,FALSE)</f>
        <v>4309.5618379999996</v>
      </c>
      <c r="AB62" s="65">
        <f>VLOOKUP($D62,Résultats!$B$2:$AZ$212,AB$2,FALSE)</f>
        <v>4041.5847119999999</v>
      </c>
      <c r="AC62" s="65">
        <f>VLOOKUP($D62,Résultats!$B$2:$AZ$212,AC$2,FALSE)</f>
        <v>3789.1096229999998</v>
      </c>
      <c r="AD62" s="65">
        <f>VLOOKUP($D62,Résultats!$B$2:$AZ$212,AD$2,FALSE)</f>
        <v>3552.35077</v>
      </c>
      <c r="AE62" s="65">
        <f>VLOOKUP($D62,Résultats!$B$2:$AZ$212,AE$2,FALSE)</f>
        <v>3330.3584040000001</v>
      </c>
      <c r="AF62" s="65">
        <f>VLOOKUP($D62,Résultats!$B$2:$AZ$212,AF$2,FALSE)</f>
        <v>3122.2254330000001</v>
      </c>
      <c r="AG62" s="65">
        <f>VLOOKUP($D62,Résultats!$B$2:$AZ$212,AG$2,FALSE)</f>
        <v>2927.0933759999998</v>
      </c>
      <c r="AH62" s="65">
        <f>VLOOKUP($D62,Résultats!$B$2:$AZ$212,AH$2,FALSE)</f>
        <v>2731.957238</v>
      </c>
      <c r="AI62" s="65">
        <f>VLOOKUP($D62,Résultats!$B$2:$AZ$212,AI$2,FALSE)</f>
        <v>2549.8284440000002</v>
      </c>
      <c r="AJ62" s="65">
        <f>VLOOKUP($D62,Résultats!$B$2:$AZ$212,AJ$2,FALSE)</f>
        <v>2379.8407080000002</v>
      </c>
      <c r="AK62" s="65">
        <f>VLOOKUP($D62,Résultats!$B$2:$AZ$212,AK$2,FALSE)</f>
        <v>2221.1850669999999</v>
      </c>
      <c r="AL62" s="65">
        <f>VLOOKUP($D62,Résultats!$B$2:$AZ$212,AL$2,FALSE)</f>
        <v>2073.10626</v>
      </c>
      <c r="AM62" s="226">
        <f>VLOOKUP($D62,Résultats!$B$2:$AZ$212,AM$2,FALSE)</f>
        <v>1934.8992720000001</v>
      </c>
    </row>
    <row r="63" spans="2:40" x14ac:dyDescent="0.25">
      <c r="B63" s="230"/>
      <c r="C63" s="218" t="s">
        <v>32</v>
      </c>
      <c r="D63" s="54" t="s">
        <v>136</v>
      </c>
      <c r="E63" s="65">
        <f>VLOOKUP($D63,Résultats!$B$2:$AZ$212,E$2,FALSE)</f>
        <v>4923.9468200000001</v>
      </c>
      <c r="F63" s="65">
        <f>VLOOKUP($D63,Résultats!$B$2:$AZ$212,F$2,FALSE)</f>
        <v>3830.998321</v>
      </c>
      <c r="G63" s="65">
        <f>VLOOKUP($D63,Résultats!$B$2:$AZ$212,G$2,FALSE)</f>
        <v>3556.149856</v>
      </c>
      <c r="H63" s="65">
        <f>VLOOKUP($D63,Résultats!$B$2:$AZ$212,H$2,FALSE)</f>
        <v>3475.9556109999999</v>
      </c>
      <c r="I63" s="65">
        <f>VLOOKUP($D63,Résultats!$B$2:$AZ$212,I$2,FALSE)</f>
        <v>3369.6787810000001</v>
      </c>
      <c r="J63" s="65">
        <f>VLOOKUP($D63,Résultats!$B$2:$AZ$212,J$2,FALSE)</f>
        <v>3243.2250990000002</v>
      </c>
      <c r="K63" s="65">
        <f>VLOOKUP($D63,Résultats!$B$2:$AZ$212,K$2,FALSE)</f>
        <v>3092.102445</v>
      </c>
      <c r="L63" s="65">
        <f>VLOOKUP($D63,Résultats!$B$2:$AZ$212,L$2,FALSE)</f>
        <v>2934.9358670000001</v>
      </c>
      <c r="M63" s="65">
        <f>VLOOKUP($D63,Résultats!$B$2:$AZ$212,M$2,FALSE)</f>
        <v>2792.1705769999999</v>
      </c>
      <c r="N63" s="65">
        <f>VLOOKUP($D63,Résultats!$B$2:$AZ$212,N$2,FALSE)</f>
        <v>2657.321023</v>
      </c>
      <c r="O63" s="65">
        <f>VLOOKUP($D63,Résultats!$B$2:$AZ$212,O$2,FALSE)</f>
        <v>2521.4005790000001</v>
      </c>
      <c r="P63" s="65">
        <f>VLOOKUP($D63,Résultats!$B$2:$AZ$212,P$2,FALSE)</f>
        <v>2387.890625</v>
      </c>
      <c r="Q63" s="65">
        <f>VLOOKUP($D63,Résultats!$B$2:$AZ$212,Q$2,FALSE)</f>
        <v>2257.8368559999999</v>
      </c>
      <c r="R63" s="65">
        <f>VLOOKUP($D63,Résultats!$B$2:$AZ$212,R$2,FALSE)</f>
        <v>2131.494494</v>
      </c>
      <c r="S63" s="65">
        <f>VLOOKUP($D63,Résultats!$B$2:$AZ$212,S$2,FALSE)</f>
        <v>2009.2638099999999</v>
      </c>
      <c r="T63" s="65">
        <f>VLOOKUP($D63,Résultats!$B$2:$AZ$212,T$2,FALSE)</f>
        <v>1891.675373</v>
      </c>
      <c r="U63" s="65">
        <f>VLOOKUP($D63,Résultats!$B$2:$AZ$212,U$2,FALSE)</f>
        <v>1779.2203059999999</v>
      </c>
      <c r="V63" s="65">
        <f>VLOOKUP($D63,Résultats!$B$2:$AZ$212,V$2,FALSE)</f>
        <v>1672.2026739999999</v>
      </c>
      <c r="W63" s="65">
        <f>VLOOKUP($D63,Résultats!$B$2:$AZ$212,W$2,FALSE)</f>
        <v>1570.7533289999999</v>
      </c>
      <c r="X63" s="65">
        <f>VLOOKUP($D63,Résultats!$B$2:$AZ$212,X$2,FALSE)</f>
        <v>1474.831921</v>
      </c>
      <c r="Y63" s="65">
        <f>VLOOKUP($D63,Résultats!$B$2:$AZ$212,Y$2,FALSE)</f>
        <v>1384.2865380000001</v>
      </c>
      <c r="Z63" s="65">
        <f>VLOOKUP($D63,Résultats!$B$2:$AZ$212,Z$2,FALSE)</f>
        <v>1298.894184</v>
      </c>
      <c r="AA63" s="65">
        <f>VLOOKUP($D63,Résultats!$B$2:$AZ$212,AA$2,FALSE)</f>
        <v>1218.411051</v>
      </c>
      <c r="AB63" s="65">
        <f>VLOOKUP($D63,Résultats!$B$2:$AZ$212,AB$2,FALSE)</f>
        <v>1142.5887379999999</v>
      </c>
      <c r="AC63" s="65">
        <f>VLOOKUP($D63,Résultats!$B$2:$AZ$212,AC$2,FALSE)</f>
        <v>1071.1826470000001</v>
      </c>
      <c r="AD63" s="65">
        <f>VLOOKUP($D63,Résultats!$B$2:$AZ$212,AD$2,FALSE)</f>
        <v>1004.23637</v>
      </c>
      <c r="AE63" s="65">
        <f>VLOOKUP($D63,Résultats!$B$2:$AZ$212,AE$2,FALSE)</f>
        <v>941.47281729999997</v>
      </c>
      <c r="AF63" s="65">
        <f>VLOOKUP($D63,Résultats!$B$2:$AZ$212,AF$2,FALSE)</f>
        <v>882.63133149999999</v>
      </c>
      <c r="AG63" s="65">
        <f>VLOOKUP($D63,Résultats!$B$2:$AZ$212,AG$2,FALSE)</f>
        <v>827.46713499999998</v>
      </c>
      <c r="AH63" s="65">
        <f>VLOOKUP($D63,Résultats!$B$2:$AZ$212,AH$2,FALSE)</f>
        <v>772.30276570000001</v>
      </c>
      <c r="AI63" s="65">
        <f>VLOOKUP($D63,Résultats!$B$2:$AZ$212,AI$2,FALSE)</f>
        <v>720.81596490000004</v>
      </c>
      <c r="AJ63" s="65">
        <f>VLOOKUP($D63,Résultats!$B$2:$AZ$212,AJ$2,FALSE)</f>
        <v>672.76159070000006</v>
      </c>
      <c r="AK63" s="65">
        <f>VLOOKUP($D63,Résultats!$B$2:$AZ$212,AK$2,FALSE)</f>
        <v>627.91082900000004</v>
      </c>
      <c r="AL63" s="65">
        <f>VLOOKUP($D63,Résultats!$B$2:$AZ$212,AL$2,FALSE)</f>
        <v>586.05011219999994</v>
      </c>
      <c r="AM63" s="226">
        <f>VLOOKUP($D63,Résultats!$B$2:$AZ$212,AM$2,FALSE)</f>
        <v>546.98010720000002</v>
      </c>
    </row>
    <row r="64" spans="2:40" x14ac:dyDescent="0.25">
      <c r="B64" s="230"/>
      <c r="C64" s="219" t="s">
        <v>33</v>
      </c>
      <c r="D64" s="54" t="s">
        <v>137</v>
      </c>
      <c r="E64" s="224">
        <f>VLOOKUP($D64,Résultats!$B$2:$AZ$212,E$2,FALSE)</f>
        <v>2256.0604069999999</v>
      </c>
      <c r="F64" s="224">
        <f>VLOOKUP($D64,Résultats!$B$2:$AZ$212,F$2,FALSE)</f>
        <v>1522.281189</v>
      </c>
      <c r="G64" s="224">
        <f>VLOOKUP($D64,Résultats!$B$2:$AZ$212,G$2,FALSE)</f>
        <v>1354.14517</v>
      </c>
      <c r="H64" s="224">
        <f>VLOOKUP($D64,Résultats!$B$2:$AZ$212,H$2,FALSE)</f>
        <v>1301.171685</v>
      </c>
      <c r="I64" s="224">
        <f>VLOOKUP($D64,Résultats!$B$2:$AZ$212,I$2,FALSE)</f>
        <v>1243.6131780000001</v>
      </c>
      <c r="J64" s="224">
        <f>VLOOKUP($D64,Résultats!$B$2:$AZ$212,J$2,FALSE)</f>
        <v>1182.8074409999999</v>
      </c>
      <c r="K64" s="224">
        <f>VLOOKUP($D64,Résultats!$B$2:$AZ$212,K$2,FALSE)</f>
        <v>1117.0959170000001</v>
      </c>
      <c r="L64" s="224">
        <f>VLOOKUP($D64,Résultats!$B$2:$AZ$212,L$2,FALSE)</f>
        <v>1051.3843919999999</v>
      </c>
      <c r="M64" s="224">
        <f>VLOOKUP($D64,Résultats!$B$2:$AZ$212,M$2,FALSE)</f>
        <v>989.53825159999997</v>
      </c>
      <c r="N64" s="224">
        <f>VLOOKUP($D64,Résultats!$B$2:$AZ$212,N$2,FALSE)</f>
        <v>931.33011910000005</v>
      </c>
      <c r="O64" s="224">
        <f>VLOOKUP($D64,Résultats!$B$2:$AZ$212,O$2,FALSE)</f>
        <v>876.33030889999998</v>
      </c>
      <c r="P64" s="224">
        <f>VLOOKUP($D64,Résultats!$B$2:$AZ$212,P$2,FALSE)</f>
        <v>824.37396650000005</v>
      </c>
      <c r="Q64" s="224">
        <f>VLOOKUP($D64,Résultats!$B$2:$AZ$212,Q$2,FALSE)</f>
        <v>775.30408750000004</v>
      </c>
      <c r="R64" s="224">
        <f>VLOOKUP($D64,Résultats!$B$2:$AZ$212,R$2,FALSE)</f>
        <v>728.97117390000005</v>
      </c>
      <c r="S64" s="224">
        <f>VLOOKUP($D64,Résultats!$B$2:$AZ$212,S$2,FALSE)</f>
        <v>685.23290350000002</v>
      </c>
      <c r="T64" s="224">
        <f>VLOOKUP($D64,Résultats!$B$2:$AZ$212,T$2,FALSE)</f>
        <v>643.9538129</v>
      </c>
      <c r="U64" s="224">
        <f>VLOOKUP($D64,Résultats!$B$2:$AZ$212,U$2,FALSE)</f>
        <v>605.00499360000003</v>
      </c>
      <c r="V64" s="224">
        <f>VLOOKUP($D64,Résultats!$B$2:$AZ$212,V$2,FALSE)</f>
        <v>568.26379970000005</v>
      </c>
      <c r="W64" s="224">
        <f>VLOOKUP($D64,Résultats!$B$2:$AZ$212,W$2,FALSE)</f>
        <v>533.61356799999999</v>
      </c>
      <c r="X64" s="224">
        <f>VLOOKUP($D64,Résultats!$B$2:$AZ$212,X$2,FALSE)</f>
        <v>500.94334950000001</v>
      </c>
      <c r="Y64" s="224">
        <f>VLOOKUP($D64,Résultats!$B$2:$AZ$212,Y$2,FALSE)</f>
        <v>470.14765180000001</v>
      </c>
      <c r="Z64" s="224">
        <f>VLOOKUP($D64,Résultats!$B$2:$AZ$212,Z$2,FALSE)</f>
        <v>441.12619180000002</v>
      </c>
      <c r="AA64" s="224">
        <f>VLOOKUP($D64,Résultats!$B$2:$AZ$212,AA$2,FALSE)</f>
        <v>413.78365930000001</v>
      </c>
      <c r="AB64" s="224">
        <f>VLOOKUP($D64,Résultats!$B$2:$AZ$212,AB$2,FALSE)</f>
        <v>388.02948959999998</v>
      </c>
      <c r="AC64" s="224">
        <f>VLOOKUP($D64,Résultats!$B$2:$AZ$212,AC$2,FALSE)</f>
        <v>363.7776465</v>
      </c>
      <c r="AD64" s="224">
        <f>VLOOKUP($D64,Résultats!$B$2:$AZ$212,AD$2,FALSE)</f>
        <v>341.04154360000001</v>
      </c>
      <c r="AE64" s="224">
        <f>VLOOKUP($D64,Résultats!$B$2:$AZ$212,AE$2,FALSE)</f>
        <v>319.72644709999997</v>
      </c>
      <c r="AF64" s="224">
        <f>VLOOKUP($D64,Résultats!$B$2:$AZ$212,AF$2,FALSE)</f>
        <v>299.74354419999997</v>
      </c>
      <c r="AG64" s="224">
        <f>VLOOKUP($D64,Résultats!$B$2:$AZ$212,AG$2,FALSE)</f>
        <v>281.00957269999998</v>
      </c>
      <c r="AH64" s="224">
        <f>VLOOKUP($D64,Résultats!$B$2:$AZ$212,AH$2,FALSE)</f>
        <v>262.27560119999998</v>
      </c>
      <c r="AI64" s="224">
        <f>VLOOKUP($D64,Résultats!$B$2:$AZ$212,AI$2,FALSE)</f>
        <v>244.79056109999999</v>
      </c>
      <c r="AJ64" s="224">
        <f>VLOOKUP($D64,Résultats!$B$2:$AZ$212,AJ$2,FALSE)</f>
        <v>228.47119029999999</v>
      </c>
      <c r="AK64" s="224">
        <f>VLOOKUP($D64,Résultats!$B$2:$AZ$212,AK$2,FALSE)</f>
        <v>213.23977769999999</v>
      </c>
      <c r="AL64" s="224">
        <f>VLOOKUP($D64,Résultats!$B$2:$AZ$212,AL$2,FALSE)</f>
        <v>199.02379250000001</v>
      </c>
      <c r="AM64" s="227">
        <f>VLOOKUP($D64,Résultats!$B$2:$AZ$212,AM$2,FALSE)</f>
        <v>185.75553959999999</v>
      </c>
    </row>
    <row r="65" spans="2:39" s="3" customFormat="1" x14ac:dyDescent="0.25"/>
    <row r="66" spans="2:39" s="3" customFormat="1" x14ac:dyDescent="0.25"/>
    <row r="67" spans="2:39" x14ac:dyDescent="0.25">
      <c r="C67" s="11"/>
      <c r="D67" s="11"/>
      <c r="E67" s="93">
        <v>2006</v>
      </c>
      <c r="F67" s="93">
        <v>2015</v>
      </c>
      <c r="G67" s="93">
        <v>2018</v>
      </c>
      <c r="H67" s="93">
        <v>2019</v>
      </c>
      <c r="I67" s="93">
        <v>2020</v>
      </c>
      <c r="J67" s="20">
        <v>2021</v>
      </c>
      <c r="K67" s="4">
        <v>2022</v>
      </c>
      <c r="L67" s="4">
        <v>2023</v>
      </c>
      <c r="M67" s="4">
        <v>2024</v>
      </c>
      <c r="N67" s="92">
        <v>2025</v>
      </c>
      <c r="O67" s="20">
        <v>2026</v>
      </c>
      <c r="P67" s="4">
        <v>2027</v>
      </c>
      <c r="Q67" s="4">
        <v>2028</v>
      </c>
      <c r="R67" s="4">
        <v>2029</v>
      </c>
      <c r="S67" s="92">
        <v>2030</v>
      </c>
      <c r="T67" s="92">
        <v>2031</v>
      </c>
      <c r="U67" s="92">
        <v>2032</v>
      </c>
      <c r="V67" s="92">
        <v>2033</v>
      </c>
      <c r="W67" s="92">
        <v>2034</v>
      </c>
      <c r="X67" s="93">
        <v>2035</v>
      </c>
      <c r="Y67" s="93">
        <v>2036</v>
      </c>
      <c r="Z67" s="93">
        <v>2037</v>
      </c>
      <c r="AA67" s="93">
        <v>2038</v>
      </c>
      <c r="AB67" s="93">
        <v>2039</v>
      </c>
      <c r="AC67" s="93">
        <v>2040</v>
      </c>
      <c r="AD67" s="93">
        <v>2041</v>
      </c>
      <c r="AE67" s="93">
        <v>2042</v>
      </c>
      <c r="AF67" s="93">
        <v>2043</v>
      </c>
      <c r="AG67" s="93">
        <v>2044</v>
      </c>
      <c r="AH67" s="93">
        <v>2045</v>
      </c>
      <c r="AI67" s="93">
        <v>2046</v>
      </c>
      <c r="AJ67" s="93">
        <v>2047</v>
      </c>
      <c r="AK67" s="93">
        <v>2048</v>
      </c>
      <c r="AL67" s="93">
        <v>2049</v>
      </c>
      <c r="AM67" s="93">
        <v>2050</v>
      </c>
    </row>
    <row r="68" spans="2:39" x14ac:dyDescent="0.25">
      <c r="B68" s="229" t="s">
        <v>79</v>
      </c>
      <c r="C68" s="50" t="s">
        <v>51</v>
      </c>
      <c r="D68" s="50" t="s">
        <v>149</v>
      </c>
      <c r="E68" s="51">
        <f t="shared" ref="E68:AM68" si="11">E26</f>
        <v>2373</v>
      </c>
      <c r="F68" s="51">
        <f t="shared" si="11"/>
        <v>1940.3869999999999</v>
      </c>
      <c r="G68" s="51">
        <f t="shared" si="11"/>
        <v>2203.7420000000002</v>
      </c>
      <c r="H68" s="51">
        <f t="shared" si="11"/>
        <v>2240.3020000000001</v>
      </c>
      <c r="I68" s="51">
        <f t="shared" si="11"/>
        <v>1921.3764100000001</v>
      </c>
      <c r="J68" s="51">
        <f t="shared" si="11"/>
        <v>1693.9188529999999</v>
      </c>
      <c r="K68" s="51">
        <f t="shared" si="11"/>
        <v>1729.513895</v>
      </c>
      <c r="L68" s="51">
        <f t="shared" si="11"/>
        <v>1788.6524159999999</v>
      </c>
      <c r="M68" s="51">
        <f t="shared" si="11"/>
        <v>2274.9728540000001</v>
      </c>
      <c r="N68" s="51">
        <f t="shared" si="11"/>
        <v>2450.6343430000002</v>
      </c>
      <c r="O68" s="51">
        <f t="shared" si="11"/>
        <v>2046.3052829999999</v>
      </c>
      <c r="P68" s="51">
        <f t="shared" si="11"/>
        <v>1848.0039790000001</v>
      </c>
      <c r="Q68" s="51">
        <f t="shared" si="11"/>
        <v>1744.487889</v>
      </c>
      <c r="R68" s="51">
        <f t="shared" si="11"/>
        <v>1662.8185559999999</v>
      </c>
      <c r="S68" s="51">
        <f t="shared" si="11"/>
        <v>1604.1648640000001</v>
      </c>
      <c r="T68" s="51">
        <f t="shared" si="11"/>
        <v>1561.753498</v>
      </c>
      <c r="U68" s="51">
        <f t="shared" si="11"/>
        <v>1542.123668</v>
      </c>
      <c r="V68" s="51">
        <f t="shared" si="11"/>
        <v>1527.1341359999999</v>
      </c>
      <c r="W68" s="51">
        <f t="shared" si="11"/>
        <v>1516.6884050000001</v>
      </c>
      <c r="X68" s="51">
        <f t="shared" si="11"/>
        <v>1507.2992449999999</v>
      </c>
      <c r="Y68" s="51">
        <f t="shared" si="11"/>
        <v>1540.102523</v>
      </c>
      <c r="Z68" s="51">
        <f t="shared" si="11"/>
        <v>1559.495122</v>
      </c>
      <c r="AA68" s="51">
        <f t="shared" si="11"/>
        <v>1563.731822</v>
      </c>
      <c r="AB68" s="51">
        <f t="shared" si="11"/>
        <v>1558.2924439999999</v>
      </c>
      <c r="AC68" s="51">
        <f t="shared" si="11"/>
        <v>1551.4838500000001</v>
      </c>
      <c r="AD68" s="51">
        <f t="shared" si="11"/>
        <v>1536.2068730000001</v>
      </c>
      <c r="AE68" s="51">
        <f t="shared" si="11"/>
        <v>1523.456596</v>
      </c>
      <c r="AF68" s="51">
        <f t="shared" si="11"/>
        <v>1509.2243920000001</v>
      </c>
      <c r="AG68" s="51">
        <f t="shared" si="11"/>
        <v>1492.7313360000001</v>
      </c>
      <c r="AH68" s="51">
        <f t="shared" si="11"/>
        <v>1524.251829</v>
      </c>
      <c r="AI68" s="51">
        <f t="shared" si="11"/>
        <v>1525.8173039999999</v>
      </c>
      <c r="AJ68" s="51">
        <f t="shared" si="11"/>
        <v>1517.9373479999999</v>
      </c>
      <c r="AK68" s="51">
        <f t="shared" si="11"/>
        <v>1508.3469720000001</v>
      </c>
      <c r="AL68" s="51">
        <f t="shared" si="11"/>
        <v>1495.343887</v>
      </c>
      <c r="AM68" s="100">
        <f t="shared" si="11"/>
        <v>1464.447576</v>
      </c>
    </row>
    <row r="69" spans="2:39" x14ac:dyDescent="0.25">
      <c r="B69" s="230"/>
      <c r="C69" s="52" t="s">
        <v>45</v>
      </c>
      <c r="D69" s="52" t="s">
        <v>425</v>
      </c>
      <c r="E69" s="124">
        <f t="shared" ref="E69:AM69" si="12">E27/E$26</f>
        <v>9.1789619258322809E-4</v>
      </c>
      <c r="F69" s="124">
        <f t="shared" si="12"/>
        <v>2.1837926898087858E-2</v>
      </c>
      <c r="G69" s="124">
        <f t="shared" si="12"/>
        <v>4.6570696842007812E-2</v>
      </c>
      <c r="H69" s="124">
        <f t="shared" si="12"/>
        <v>5.9109836977336093E-2</v>
      </c>
      <c r="I69" s="124">
        <f t="shared" si="12"/>
        <v>7.4299613785723542E-2</v>
      </c>
      <c r="J69" s="123">
        <f t="shared" si="12"/>
        <v>9.2361044758972291E-2</v>
      </c>
      <c r="K69" s="67">
        <f t="shared" si="12"/>
        <v>0.11345284797495078</v>
      </c>
      <c r="L69" s="67">
        <f t="shared" si="12"/>
        <v>0.13753034284331295</v>
      </c>
      <c r="M69" s="67">
        <f t="shared" si="12"/>
        <v>0.16437472396318975</v>
      </c>
      <c r="N69" s="124">
        <f t="shared" si="12"/>
        <v>0.19351122033141277</v>
      </c>
      <c r="O69" s="123">
        <f t="shared" si="12"/>
        <v>0.23791132439743598</v>
      </c>
      <c r="P69" s="67">
        <f t="shared" si="12"/>
        <v>0.3107530315550257</v>
      </c>
      <c r="Q69" s="67">
        <f t="shared" si="12"/>
        <v>0.41812210540373662</v>
      </c>
      <c r="R69" s="67">
        <f t="shared" si="12"/>
        <v>0.54000582731048141</v>
      </c>
      <c r="S69" s="124">
        <f t="shared" si="12"/>
        <v>0.66439664208977456</v>
      </c>
      <c r="T69" s="124">
        <f t="shared" si="12"/>
        <v>0.77602387031759357</v>
      </c>
      <c r="U69" s="124">
        <f t="shared" si="12"/>
        <v>0.86302293948062281</v>
      </c>
      <c r="V69" s="124">
        <f t="shared" si="12"/>
        <v>0.92218725965274351</v>
      </c>
      <c r="W69" s="124">
        <f t="shared" si="12"/>
        <v>0.95809856738503907</v>
      </c>
      <c r="X69" s="118">
        <f t="shared" si="12"/>
        <v>0.97818879090594923</v>
      </c>
      <c r="Y69" s="118">
        <f t="shared" si="12"/>
        <v>0.98886549580699568</v>
      </c>
      <c r="Z69" s="118">
        <f t="shared" si="12"/>
        <v>0.99437528089940386</v>
      </c>
      <c r="AA69" s="118">
        <f t="shared" si="12"/>
        <v>0.9971740800194574</v>
      </c>
      <c r="AB69" s="118">
        <f t="shared" si="12"/>
        <v>0.99858416883910661</v>
      </c>
      <c r="AC69" s="118">
        <f t="shared" si="12"/>
        <v>0.99929163813081257</v>
      </c>
      <c r="AD69" s="118">
        <f t="shared" si="12"/>
        <v>0.99964584847941884</v>
      </c>
      <c r="AE69" s="118">
        <f t="shared" si="12"/>
        <v>0.99982300316221151</v>
      </c>
      <c r="AF69" s="118">
        <f t="shared" si="12"/>
        <v>0.9999115572205779</v>
      </c>
      <c r="AG69" s="118">
        <f t="shared" si="12"/>
        <v>0.99995580986450183</v>
      </c>
      <c r="AH69" s="118">
        <f t="shared" si="12"/>
        <v>0.99997792097122029</v>
      </c>
      <c r="AI69" s="118">
        <f t="shared" si="12"/>
        <v>0.99998896919050806</v>
      </c>
      <c r="AJ69" s="118">
        <f t="shared" si="12"/>
        <v>0.99999448923237122</v>
      </c>
      <c r="AK69" s="118">
        <f t="shared" si="12"/>
        <v>0.999997247317708</v>
      </c>
      <c r="AL69" s="118">
        <f t="shared" si="12"/>
        <v>0.99999862439669041</v>
      </c>
      <c r="AM69" s="118">
        <f t="shared" si="12"/>
        <v>0.99999931305154488</v>
      </c>
    </row>
    <row r="70" spans="2:39" x14ac:dyDescent="0.25">
      <c r="B70" s="230"/>
      <c r="C70" s="35" t="s">
        <v>27</v>
      </c>
      <c r="D70" s="54" t="s">
        <v>426</v>
      </c>
      <c r="E70" s="111">
        <f t="shared" ref="E70:AM70" si="13">E28/E$26</f>
        <v>2.7337114538558786E-6</v>
      </c>
      <c r="F70" s="111">
        <f t="shared" si="13"/>
        <v>2.4026566906498549E-4</v>
      </c>
      <c r="G70" s="111">
        <f t="shared" si="13"/>
        <v>2.8522856700103732E-4</v>
      </c>
      <c r="H70" s="111">
        <f t="shared" si="13"/>
        <v>4.7562029360327304E-4</v>
      </c>
      <c r="I70" s="111">
        <f t="shared" si="13"/>
        <v>8.1101034492247147E-4</v>
      </c>
      <c r="J70" s="110">
        <f t="shared" si="13"/>
        <v>1.2633166832106803E-3</v>
      </c>
      <c r="K70" s="68">
        <f t="shared" si="13"/>
        <v>2.7877231399751198E-3</v>
      </c>
      <c r="L70" s="68">
        <f t="shared" si="13"/>
        <v>4.331188320716192E-3</v>
      </c>
      <c r="M70" s="68">
        <f t="shared" si="13"/>
        <v>5.2727531358930232E-3</v>
      </c>
      <c r="N70" s="111">
        <f t="shared" si="13"/>
        <v>6.5933360871046924E-3</v>
      </c>
      <c r="O70" s="110">
        <f t="shared" si="13"/>
        <v>9.0095872952892144E-3</v>
      </c>
      <c r="P70" s="68">
        <f t="shared" si="13"/>
        <v>1.2642060085088161E-2</v>
      </c>
      <c r="Q70" s="68">
        <f t="shared" si="13"/>
        <v>1.7919685689488898E-2</v>
      </c>
      <c r="R70" s="68">
        <f t="shared" si="13"/>
        <v>2.4299127547142915E-2</v>
      </c>
      <c r="S70" s="111">
        <f t="shared" si="13"/>
        <v>3.1366821521406914E-2</v>
      </c>
      <c r="T70" s="111">
        <f t="shared" si="13"/>
        <v>3.84918145193743E-2</v>
      </c>
      <c r="U70" s="111">
        <f t="shared" si="13"/>
        <v>4.4921845386008304E-2</v>
      </c>
      <c r="V70" s="111">
        <f t="shared" si="13"/>
        <v>5.0441032050900343E-2</v>
      </c>
      <c r="W70" s="111">
        <f t="shared" si="13"/>
        <v>5.5056617736851492E-2</v>
      </c>
      <c r="X70" s="116">
        <f t="shared" si="13"/>
        <v>5.9013202378403642E-2</v>
      </c>
      <c r="Y70" s="116">
        <f t="shared" si="13"/>
        <v>6.2348943499523121E-2</v>
      </c>
      <c r="Z70" s="116">
        <f t="shared" si="13"/>
        <v>6.5572343226604851E-2</v>
      </c>
      <c r="AA70" s="116">
        <f t="shared" si="13"/>
        <v>6.8797037565179117E-2</v>
      </c>
      <c r="AB70" s="116">
        <f t="shared" si="13"/>
        <v>7.2060881981662231E-2</v>
      </c>
      <c r="AC70" s="116">
        <f t="shared" si="13"/>
        <v>7.5310703234197376E-2</v>
      </c>
      <c r="AD70" s="116">
        <f t="shared" si="13"/>
        <v>7.8148263824360589E-2</v>
      </c>
      <c r="AE70" s="116">
        <f t="shared" si="13"/>
        <v>8.0966243688113573E-2</v>
      </c>
      <c r="AF70" s="116">
        <f t="shared" si="13"/>
        <v>8.3793722570579821E-2</v>
      </c>
      <c r="AG70" s="116">
        <f t="shared" si="13"/>
        <v>8.6646002385522378E-2</v>
      </c>
      <c r="AH70" s="116">
        <f t="shared" si="13"/>
        <v>9.7568675838538219E-2</v>
      </c>
      <c r="AI70" s="116">
        <f t="shared" si="13"/>
        <v>0.10051753299554926</v>
      </c>
      <c r="AJ70" s="116">
        <f t="shared" si="13"/>
        <v>0.10362413185712063</v>
      </c>
      <c r="AK70" s="116">
        <f t="shared" si="13"/>
        <v>0.10675404896162047</v>
      </c>
      <c r="AL70" s="116">
        <f t="shared" si="13"/>
        <v>0.10992400211684553</v>
      </c>
      <c r="AM70" s="116">
        <f t="shared" si="13"/>
        <v>0.11326885463054637</v>
      </c>
    </row>
    <row r="71" spans="2:39" x14ac:dyDescent="0.25">
      <c r="B71" s="230"/>
      <c r="C71" s="35" t="s">
        <v>28</v>
      </c>
      <c r="D71" s="54" t="s">
        <v>427</v>
      </c>
      <c r="E71" s="111">
        <f t="shared" ref="E71:AM71" si="14">E29/E$26</f>
        <v>6.2665077960387695E-6</v>
      </c>
      <c r="F71" s="111">
        <f t="shared" si="14"/>
        <v>2.6867063601230065E-4</v>
      </c>
      <c r="G71" s="111">
        <f t="shared" si="14"/>
        <v>4.1913683530104699E-4</v>
      </c>
      <c r="H71" s="111">
        <f t="shared" si="14"/>
        <v>6.0934960866883118E-4</v>
      </c>
      <c r="I71" s="111">
        <f t="shared" si="14"/>
        <v>9.0977500759468577E-4</v>
      </c>
      <c r="J71" s="110">
        <f t="shared" si="14"/>
        <v>1.3012853874883937E-3</v>
      </c>
      <c r="K71" s="68">
        <f t="shared" si="14"/>
        <v>2.4015891881574041E-3</v>
      </c>
      <c r="L71" s="68">
        <f t="shared" si="14"/>
        <v>3.5069128204504099E-3</v>
      </c>
      <c r="M71" s="68">
        <f t="shared" si="14"/>
        <v>4.2505988280245209E-3</v>
      </c>
      <c r="N71" s="111">
        <f t="shared" si="14"/>
        <v>5.2401411074161214E-3</v>
      </c>
      <c r="O71" s="110">
        <f t="shared" si="14"/>
        <v>6.9876868953966343E-3</v>
      </c>
      <c r="P71" s="68">
        <f t="shared" si="14"/>
        <v>9.6462687107666673E-3</v>
      </c>
      <c r="Q71" s="68">
        <f t="shared" si="14"/>
        <v>1.3512909856607207E-2</v>
      </c>
      <c r="R71" s="68">
        <f t="shared" si="14"/>
        <v>1.8122834275130617E-2</v>
      </c>
      <c r="S71" s="111">
        <f t="shared" si="14"/>
        <v>2.3141469946819631E-2</v>
      </c>
      <c r="T71" s="111">
        <f t="shared" si="14"/>
        <v>2.8081654355929606E-2</v>
      </c>
      <c r="U71" s="111">
        <f t="shared" si="14"/>
        <v>3.2414036083648255E-2</v>
      </c>
      <c r="V71" s="111">
        <f t="shared" si="14"/>
        <v>3.598354884786624E-2</v>
      </c>
      <c r="W71" s="111">
        <f t="shared" si="14"/>
        <v>3.8827417962623637E-2</v>
      </c>
      <c r="X71" s="116">
        <f t="shared" si="14"/>
        <v>4.1142219274448055E-2</v>
      </c>
      <c r="Y71" s="116">
        <f t="shared" si="14"/>
        <v>4.3009734449996742E-2</v>
      </c>
      <c r="Z71" s="116">
        <f t="shared" si="14"/>
        <v>4.4740174390875714E-2</v>
      </c>
      <c r="AA71" s="116">
        <f t="shared" si="14"/>
        <v>4.6414091546190972E-2</v>
      </c>
      <c r="AB71" s="116">
        <f t="shared" si="14"/>
        <v>4.8061570226031268E-2</v>
      </c>
      <c r="AC71" s="116">
        <f t="shared" si="14"/>
        <v>4.9661874172908724E-2</v>
      </c>
      <c r="AD71" s="116">
        <f t="shared" si="14"/>
        <v>5.1029468158094803E-2</v>
      </c>
      <c r="AE71" s="116">
        <f t="shared" si="14"/>
        <v>5.2360695309234796E-2</v>
      </c>
      <c r="AF71" s="116">
        <f t="shared" si="14"/>
        <v>5.3670370277185395E-2</v>
      </c>
      <c r="AG71" s="116">
        <f t="shared" si="14"/>
        <v>5.496563379573885E-2</v>
      </c>
      <c r="AH71" s="116">
        <f t="shared" si="14"/>
        <v>5.9688792382613563E-2</v>
      </c>
      <c r="AI71" s="116">
        <f t="shared" si="14"/>
        <v>6.0900372689704413E-2</v>
      </c>
      <c r="AJ71" s="116">
        <f t="shared" si="14"/>
        <v>6.2147483784027693E-2</v>
      </c>
      <c r="AK71" s="116">
        <f t="shared" si="14"/>
        <v>6.3373719107383195E-2</v>
      </c>
      <c r="AL71" s="116">
        <f t="shared" si="14"/>
        <v>6.4584830111389616E-2</v>
      </c>
      <c r="AM71" s="116">
        <f t="shared" si="14"/>
        <v>6.5829281737293133E-2</v>
      </c>
    </row>
    <row r="72" spans="2:39" x14ac:dyDescent="0.25">
      <c r="B72" s="230"/>
      <c r="C72" s="35" t="s">
        <v>29</v>
      </c>
      <c r="D72" s="54" t="s">
        <v>428</v>
      </c>
      <c r="E72" s="111">
        <f t="shared" ref="E72:AM72" si="15">E30/E$26</f>
        <v>2.5654830594184575E-5</v>
      </c>
      <c r="F72" s="111">
        <f t="shared" si="15"/>
        <v>6.5813615531334728E-4</v>
      </c>
      <c r="G72" s="111">
        <f t="shared" si="15"/>
        <v>1.3450045331985321E-3</v>
      </c>
      <c r="H72" s="111">
        <f t="shared" si="15"/>
        <v>1.7372844491501591E-3</v>
      </c>
      <c r="I72" s="111">
        <f t="shared" si="15"/>
        <v>2.2376030878821919E-3</v>
      </c>
      <c r="J72" s="110">
        <f t="shared" si="15"/>
        <v>2.8427322256150602E-3</v>
      </c>
      <c r="K72" s="68">
        <f t="shared" si="15"/>
        <v>3.7490247448980453E-3</v>
      </c>
      <c r="L72" s="68">
        <f t="shared" si="15"/>
        <v>4.7027208197391885E-3</v>
      </c>
      <c r="M72" s="68">
        <f t="shared" si="15"/>
        <v>5.6348935098106444E-3</v>
      </c>
      <c r="N72" s="111">
        <f t="shared" si="15"/>
        <v>6.6885522096839399E-3</v>
      </c>
      <c r="O72" s="110">
        <f t="shared" si="15"/>
        <v>8.339094543597483E-3</v>
      </c>
      <c r="P72" s="68">
        <f t="shared" si="15"/>
        <v>1.0990623424409844E-2</v>
      </c>
      <c r="Q72" s="68">
        <f t="shared" si="15"/>
        <v>1.4879549994972766E-2</v>
      </c>
      <c r="R72" s="68">
        <f t="shared" si="15"/>
        <v>1.932139837751486E-2</v>
      </c>
      <c r="S72" s="111">
        <f t="shared" si="15"/>
        <v>2.3889719043241678E-2</v>
      </c>
      <c r="T72" s="111">
        <f t="shared" si="15"/>
        <v>2.8031629668871086E-2</v>
      </c>
      <c r="U72" s="111">
        <f t="shared" si="15"/>
        <v>3.1296084932405044E-2</v>
      </c>
      <c r="V72" s="111">
        <f t="shared" si="15"/>
        <v>3.3552877623580279E-2</v>
      </c>
      <c r="W72" s="111">
        <f t="shared" si="15"/>
        <v>3.4946795080166779E-2</v>
      </c>
      <c r="X72" s="116">
        <f t="shared" si="15"/>
        <v>3.5735109686199043E-2</v>
      </c>
      <c r="Y72" s="116">
        <f t="shared" si="15"/>
        <v>3.6143699408769811E-2</v>
      </c>
      <c r="Z72" s="116">
        <f t="shared" si="15"/>
        <v>3.6327861883494877E-2</v>
      </c>
      <c r="AA72" s="116">
        <f t="shared" si="15"/>
        <v>3.6370854503209059E-2</v>
      </c>
      <c r="AB72" s="116">
        <f t="shared" si="15"/>
        <v>3.6316289197125824E-2</v>
      </c>
      <c r="AC72" s="116">
        <f t="shared" si="15"/>
        <v>3.6189690617791474E-2</v>
      </c>
      <c r="AD72" s="116">
        <f t="shared" si="15"/>
        <v>3.6031634054536604E-2</v>
      </c>
      <c r="AE72" s="116">
        <f t="shared" si="15"/>
        <v>3.5833510874766002E-2</v>
      </c>
      <c r="AF72" s="116">
        <f t="shared" si="15"/>
        <v>3.5597192620777623E-2</v>
      </c>
      <c r="AG72" s="116">
        <f t="shared" si="15"/>
        <v>3.5322979131189085E-2</v>
      </c>
      <c r="AH72" s="116">
        <f t="shared" si="15"/>
        <v>3.3960790832024648E-2</v>
      </c>
      <c r="AI72" s="116">
        <f t="shared" si="15"/>
        <v>3.3513045432076186E-2</v>
      </c>
      <c r="AJ72" s="116">
        <f t="shared" si="15"/>
        <v>3.3005552196216204E-2</v>
      </c>
      <c r="AK72" s="116">
        <f t="shared" si="15"/>
        <v>3.245807747741479E-2</v>
      </c>
      <c r="AL72" s="116">
        <f t="shared" si="15"/>
        <v>3.186751960821705E-2</v>
      </c>
      <c r="AM72" s="116">
        <f t="shared" si="15"/>
        <v>3.12060172101374E-2</v>
      </c>
    </row>
    <row r="73" spans="2:39" x14ac:dyDescent="0.25">
      <c r="B73" s="230"/>
      <c r="C73" s="35" t="s">
        <v>30</v>
      </c>
      <c r="D73" s="54" t="s">
        <v>429</v>
      </c>
      <c r="E73" s="111">
        <f t="shared" ref="E73:AM73" si="16">E31/E$26</f>
        <v>6.026782330383481E-4</v>
      </c>
      <c r="F73" s="111">
        <f t="shared" si="16"/>
        <v>1.4286517942039398E-2</v>
      </c>
      <c r="G73" s="111">
        <f t="shared" si="16"/>
        <v>3.0578672498867834E-2</v>
      </c>
      <c r="H73" s="111">
        <f t="shared" si="16"/>
        <v>3.8759117953740159E-2</v>
      </c>
      <c r="I73" s="111">
        <f t="shared" si="16"/>
        <v>4.8610611577145364E-2</v>
      </c>
      <c r="J73" s="110">
        <f t="shared" si="16"/>
        <v>6.0295837795956098E-2</v>
      </c>
      <c r="K73" s="68">
        <f t="shared" si="16"/>
        <v>7.3412792384648637E-2</v>
      </c>
      <c r="L73" s="68">
        <f t="shared" si="16"/>
        <v>8.8476609923970842E-2</v>
      </c>
      <c r="M73" s="68">
        <f t="shared" si="16"/>
        <v>0.10569358305846405</v>
      </c>
      <c r="N73" s="111">
        <f t="shared" si="16"/>
        <v>0.12421641056713126</v>
      </c>
      <c r="O73" s="110">
        <f t="shared" si="16"/>
        <v>0.15221748557641779</v>
      </c>
      <c r="P73" s="68">
        <f t="shared" si="16"/>
        <v>0.1983353203050652</v>
      </c>
      <c r="Q73" s="68">
        <f t="shared" si="16"/>
        <v>0.26635347062590015</v>
      </c>
      <c r="R73" s="68">
        <f t="shared" si="16"/>
        <v>0.34334667095211324</v>
      </c>
      <c r="S73" s="111">
        <f t="shared" si="16"/>
        <v>0.42160745873311928</v>
      </c>
      <c r="T73" s="111">
        <f t="shared" si="16"/>
        <v>0.49139277496915196</v>
      </c>
      <c r="U73" s="111">
        <f t="shared" si="16"/>
        <v>0.54528069217079156</v>
      </c>
      <c r="V73" s="111">
        <f t="shared" si="16"/>
        <v>0.58127150685340978</v>
      </c>
      <c r="W73" s="111">
        <f t="shared" si="16"/>
        <v>0.60239067621803311</v>
      </c>
      <c r="X73" s="116">
        <f t="shared" si="16"/>
        <v>0.61341471095873867</v>
      </c>
      <c r="Y73" s="116">
        <f t="shared" si="16"/>
        <v>0.6185619683579987</v>
      </c>
      <c r="Z73" s="116">
        <f t="shared" si="16"/>
        <v>0.62035073271617458</v>
      </c>
      <c r="AA73" s="116">
        <f t="shared" si="16"/>
        <v>0.62034096675177852</v>
      </c>
      <c r="AB73" s="116">
        <f t="shared" si="16"/>
        <v>0.61938630461587485</v>
      </c>
      <c r="AC73" s="116">
        <f t="shared" si="16"/>
        <v>0.61797223773872989</v>
      </c>
      <c r="AD73" s="116">
        <f t="shared" si="16"/>
        <v>0.61656171961417849</v>
      </c>
      <c r="AE73" s="116">
        <f t="shared" si="16"/>
        <v>0.61504455962853044</v>
      </c>
      <c r="AF73" s="116">
        <f t="shared" si="16"/>
        <v>0.61346293229005799</v>
      </c>
      <c r="AG73" s="116">
        <f t="shared" si="16"/>
        <v>0.61183775484163883</v>
      </c>
      <c r="AH73" s="116">
        <f t="shared" si="16"/>
        <v>0.60552620475156405</v>
      </c>
      <c r="AI73" s="116">
        <f t="shared" si="16"/>
        <v>0.6038302303851707</v>
      </c>
      <c r="AJ73" s="116">
        <f t="shared" si="16"/>
        <v>0.60204249174321001</v>
      </c>
      <c r="AK73" s="116">
        <f t="shared" si="16"/>
        <v>0.60024305621107443</v>
      </c>
      <c r="AL73" s="116">
        <f t="shared" si="16"/>
        <v>0.59842378203402513</v>
      </c>
      <c r="AM73" s="116">
        <f t="shared" si="16"/>
        <v>0.59650860120649352</v>
      </c>
    </row>
    <row r="74" spans="2:39" x14ac:dyDescent="0.25">
      <c r="B74" s="230"/>
      <c r="C74" s="35" t="s">
        <v>31</v>
      </c>
      <c r="D74" s="54" t="s">
        <v>430</v>
      </c>
      <c r="E74" s="111">
        <f t="shared" ref="E74:AM74" si="17">E32/E$26</f>
        <v>2.3753849688158449E-4</v>
      </c>
      <c r="F74" s="111">
        <f t="shared" si="17"/>
        <v>5.5359548533359584E-3</v>
      </c>
      <c r="G74" s="111">
        <f t="shared" si="17"/>
        <v>1.1973153105036796E-2</v>
      </c>
      <c r="H74" s="111">
        <f t="shared" si="17"/>
        <v>1.5114496554482385E-2</v>
      </c>
      <c r="I74" s="111">
        <f t="shared" si="17"/>
        <v>1.8839901079039476E-2</v>
      </c>
      <c r="J74" s="110">
        <f t="shared" si="17"/>
        <v>2.3228995297096443E-2</v>
      </c>
      <c r="K74" s="68">
        <f t="shared" si="17"/>
        <v>2.7604076051669996E-2</v>
      </c>
      <c r="L74" s="68">
        <f t="shared" si="17"/>
        <v>3.2744588784319739E-2</v>
      </c>
      <c r="M74" s="68">
        <f t="shared" si="17"/>
        <v>3.9063530482900434E-2</v>
      </c>
      <c r="N74" s="111">
        <f t="shared" si="17"/>
        <v>4.5697307890865541E-2</v>
      </c>
      <c r="O74" s="110">
        <f t="shared" si="17"/>
        <v>5.5503908113596949E-2</v>
      </c>
      <c r="P74" s="68">
        <f t="shared" si="17"/>
        <v>7.184369119802636E-2</v>
      </c>
      <c r="Q74" s="68">
        <f t="shared" si="17"/>
        <v>9.598829338734377E-2</v>
      </c>
      <c r="R74" s="68">
        <f t="shared" si="17"/>
        <v>0.12311024528884316</v>
      </c>
      <c r="S74" s="111">
        <f t="shared" si="17"/>
        <v>0.15038043795478614</v>
      </c>
      <c r="T74" s="111">
        <f t="shared" si="17"/>
        <v>0.17427965037284007</v>
      </c>
      <c r="U74" s="111">
        <f t="shared" si="17"/>
        <v>0.19226834653574618</v>
      </c>
      <c r="V74" s="111">
        <f t="shared" si="17"/>
        <v>0.20367299536286446</v>
      </c>
      <c r="W74" s="111">
        <f t="shared" si="17"/>
        <v>0.20968818008468915</v>
      </c>
      <c r="X74" s="116">
        <f t="shared" si="17"/>
        <v>0.21207710815246908</v>
      </c>
      <c r="Y74" s="116">
        <f t="shared" si="17"/>
        <v>0.21248064925090704</v>
      </c>
      <c r="Z74" s="116">
        <f t="shared" si="17"/>
        <v>0.2116426356478209</v>
      </c>
      <c r="AA74" s="116">
        <f t="shared" si="17"/>
        <v>0.21012513224917923</v>
      </c>
      <c r="AB74" s="116">
        <f t="shared" si="17"/>
        <v>0.20824908806398604</v>
      </c>
      <c r="AC74" s="116">
        <f t="shared" si="17"/>
        <v>0.20623184392154645</v>
      </c>
      <c r="AD74" s="116">
        <f t="shared" si="17"/>
        <v>0.20442920229012673</v>
      </c>
      <c r="AE74" s="116">
        <f t="shared" si="17"/>
        <v>0.20261992990839367</v>
      </c>
      <c r="AF74" s="116">
        <f t="shared" si="17"/>
        <v>0.2008085869182003</v>
      </c>
      <c r="AG74" s="116">
        <f t="shared" si="17"/>
        <v>0.1989980645787153</v>
      </c>
      <c r="AH74" s="116">
        <f t="shared" si="17"/>
        <v>0.19230357971248332</v>
      </c>
      <c r="AI74" s="116">
        <f t="shared" si="17"/>
        <v>0.19057573120824955</v>
      </c>
      <c r="AJ74" s="116">
        <f t="shared" si="17"/>
        <v>0.1887910607625421</v>
      </c>
      <c r="AK74" s="116">
        <f t="shared" si="17"/>
        <v>0.18703132166330227</v>
      </c>
      <c r="AL74" s="116">
        <f t="shared" si="17"/>
        <v>0.18528906033505591</v>
      </c>
      <c r="AM74" s="116">
        <f t="shared" si="17"/>
        <v>0.18349484570419339</v>
      </c>
    </row>
    <row r="75" spans="2:39" x14ac:dyDescent="0.25">
      <c r="B75" s="230"/>
      <c r="C75" s="35" t="s">
        <v>32</v>
      </c>
      <c r="D75" s="54" t="s">
        <v>431</v>
      </c>
      <c r="E75" s="111">
        <f t="shared" ref="E75:AM75" si="18">E33/E$26</f>
        <v>3.2383966455962915E-6</v>
      </c>
      <c r="F75" s="111">
        <f t="shared" si="18"/>
        <v>2.1760444540187086E-5</v>
      </c>
      <c r="G75" s="111">
        <f t="shared" si="18"/>
        <v>5.1925194873084054E-5</v>
      </c>
      <c r="H75" s="111">
        <f t="shared" si="18"/>
        <v>5.9030510707931344E-5</v>
      </c>
      <c r="I75" s="111">
        <f t="shared" si="18"/>
        <v>7.4040761695413966E-5</v>
      </c>
      <c r="J75" s="110">
        <f t="shared" si="18"/>
        <v>9.1852410299609556E-5</v>
      </c>
      <c r="K75" s="68">
        <f t="shared" si="18"/>
        <v>1.1196751067443722E-4</v>
      </c>
      <c r="L75" s="68">
        <f t="shared" si="18"/>
        <v>1.3511374710825874E-4</v>
      </c>
      <c r="M75" s="68">
        <f t="shared" si="18"/>
        <v>1.6142624944042518E-4</v>
      </c>
      <c r="N75" s="111">
        <f t="shared" si="18"/>
        <v>1.8980142032556179E-4</v>
      </c>
      <c r="O75" s="110">
        <f t="shared" si="18"/>
        <v>2.3280676737616576E-4</v>
      </c>
      <c r="P75" s="68">
        <f t="shared" si="18"/>
        <v>3.0357663136828129E-4</v>
      </c>
      <c r="Q75" s="68">
        <f t="shared" si="18"/>
        <v>4.0794976972178908E-4</v>
      </c>
      <c r="R75" s="68">
        <f t="shared" si="18"/>
        <v>5.2622678333883116E-4</v>
      </c>
      <c r="S75" s="111">
        <f t="shared" si="18"/>
        <v>6.4664646900033332E-4</v>
      </c>
      <c r="T75" s="111">
        <f t="shared" si="18"/>
        <v>7.5431107310380417E-4</v>
      </c>
      <c r="U75" s="111">
        <f t="shared" si="18"/>
        <v>8.3778852553088499E-4</v>
      </c>
      <c r="V75" s="111">
        <f t="shared" si="18"/>
        <v>8.9400513276195943E-4</v>
      </c>
      <c r="W75" s="111">
        <f t="shared" si="18"/>
        <v>9.2753770079754768E-4</v>
      </c>
      <c r="X75" s="116">
        <f t="shared" si="18"/>
        <v>9.4567910103345151E-4</v>
      </c>
      <c r="Y75" s="116">
        <f t="shared" si="18"/>
        <v>9.5478821379737459E-4</v>
      </c>
      <c r="Z75" s="116">
        <f t="shared" si="18"/>
        <v>9.5885876711321956E-4</v>
      </c>
      <c r="AA75" s="116">
        <f t="shared" si="18"/>
        <v>9.6028835435440791E-4</v>
      </c>
      <c r="AB75" s="116">
        <f t="shared" si="18"/>
        <v>9.6037956338829568E-4</v>
      </c>
      <c r="AC75" s="116">
        <f t="shared" si="18"/>
        <v>9.5983667893159176E-4</v>
      </c>
      <c r="AD75" s="116">
        <f t="shared" si="18"/>
        <v>9.591478347721205E-4</v>
      </c>
      <c r="AE75" s="116">
        <f t="shared" si="18"/>
        <v>9.5833315030656777E-4</v>
      </c>
      <c r="AF75" s="116">
        <f t="shared" si="18"/>
        <v>9.5746910178483248E-4</v>
      </c>
      <c r="AG75" s="116">
        <f t="shared" si="18"/>
        <v>9.5659429233017716E-4</v>
      </c>
      <c r="AH75" s="116">
        <f t="shared" si="18"/>
        <v>9.5346544209395196E-4</v>
      </c>
      <c r="AI75" s="116">
        <f t="shared" si="18"/>
        <v>9.5272009053057642E-4</v>
      </c>
      <c r="AJ75" s="116">
        <f t="shared" si="18"/>
        <v>9.5196975152099625E-4</v>
      </c>
      <c r="AK75" s="116">
        <f t="shared" si="18"/>
        <v>9.5125199084498176E-4</v>
      </c>
      <c r="AL75" s="116">
        <f t="shared" si="18"/>
        <v>9.5056401230334518E-4</v>
      </c>
      <c r="AM75" s="116">
        <f t="shared" si="18"/>
        <v>9.4987960839098E-4</v>
      </c>
    </row>
    <row r="76" spans="2:39" x14ac:dyDescent="0.25">
      <c r="B76" s="230"/>
      <c r="C76" s="35" t="s">
        <v>33</v>
      </c>
      <c r="D76" s="54" t="s">
        <v>432</v>
      </c>
      <c r="E76" s="126">
        <f t="shared" ref="E76:AM76" si="19">E34/E$26</f>
        <v>3.9786015929203542E-5</v>
      </c>
      <c r="F76" s="126">
        <f t="shared" si="19"/>
        <v>8.2662119876086577E-4</v>
      </c>
      <c r="G76" s="126">
        <f t="shared" si="19"/>
        <v>1.9175761119042062E-3</v>
      </c>
      <c r="H76" s="126">
        <f t="shared" si="19"/>
        <v>2.3549376088580912E-3</v>
      </c>
      <c r="I76" s="126">
        <f t="shared" si="19"/>
        <v>2.8166719279123448E-3</v>
      </c>
      <c r="J76" s="125">
        <f t="shared" si="19"/>
        <v>3.3370249525170141E-3</v>
      </c>
      <c r="K76" s="69">
        <f t="shared" si="19"/>
        <v>3.3856754356980747E-3</v>
      </c>
      <c r="L76" s="69">
        <f t="shared" si="19"/>
        <v>3.6332083974888953E-3</v>
      </c>
      <c r="M76" s="69">
        <f t="shared" si="19"/>
        <v>4.2979391951021451E-3</v>
      </c>
      <c r="N76" s="126">
        <f t="shared" si="19"/>
        <v>4.8856710199135572E-3</v>
      </c>
      <c r="O76" s="125">
        <f t="shared" si="19"/>
        <v>5.6207552243317943E-3</v>
      </c>
      <c r="P76" s="69">
        <f t="shared" si="19"/>
        <v>6.9914911747059605E-3</v>
      </c>
      <c r="Q76" s="69">
        <f t="shared" si="19"/>
        <v>9.0602461098541909E-3</v>
      </c>
      <c r="R76" s="69">
        <f t="shared" si="19"/>
        <v>1.1279324188633845E-2</v>
      </c>
      <c r="S76" s="126">
        <f t="shared" si="19"/>
        <v>1.3364088393348577E-2</v>
      </c>
      <c r="T76" s="126">
        <f t="shared" si="19"/>
        <v>1.4992035939080061E-2</v>
      </c>
      <c r="U76" s="126">
        <f t="shared" si="19"/>
        <v>1.6004146218706501E-2</v>
      </c>
      <c r="V76" s="126">
        <f t="shared" si="19"/>
        <v>1.6371293759096482E-2</v>
      </c>
      <c r="W76" s="126">
        <f t="shared" si="19"/>
        <v>1.6261342625613334E-2</v>
      </c>
      <c r="X76" s="119">
        <f t="shared" si="19"/>
        <v>1.5860761550371506E-2</v>
      </c>
      <c r="Y76" s="119">
        <f t="shared" si="19"/>
        <v>1.5365712675999557E-2</v>
      </c>
      <c r="Z76" s="119">
        <f t="shared" si="19"/>
        <v>1.4782674498163643E-2</v>
      </c>
      <c r="AA76" s="119">
        <f t="shared" si="19"/>
        <v>1.4165708926782972E-2</v>
      </c>
      <c r="AB76" s="119">
        <f t="shared" si="19"/>
        <v>1.3549655291789376E-2</v>
      </c>
      <c r="AC76" s="119">
        <f t="shared" si="19"/>
        <v>1.2965451938155849E-2</v>
      </c>
      <c r="AD76" s="119">
        <f t="shared" si="19"/>
        <v>1.2486412733293374E-2</v>
      </c>
      <c r="AE76" s="119">
        <f t="shared" si="19"/>
        <v>1.2039730385597412E-2</v>
      </c>
      <c r="AF76" s="119">
        <f t="shared" si="19"/>
        <v>1.1621283145813349E-2</v>
      </c>
      <c r="AG76" s="119">
        <f t="shared" si="19"/>
        <v>1.1228781064458073E-2</v>
      </c>
      <c r="AH76" s="119">
        <f t="shared" si="19"/>
        <v>9.9764128936465912E-3</v>
      </c>
      <c r="AI76" s="119">
        <f t="shared" si="19"/>
        <v>9.6993364940892047E-3</v>
      </c>
      <c r="AJ76" s="119">
        <f t="shared" si="19"/>
        <v>9.4317991245578079E-3</v>
      </c>
      <c r="AK76" s="119">
        <f t="shared" si="19"/>
        <v>9.1857715944683848E-3</v>
      </c>
      <c r="AL76" s="119">
        <f t="shared" si="19"/>
        <v>8.9588660417615363E-3</v>
      </c>
      <c r="AM76" s="119">
        <f t="shared" si="19"/>
        <v>8.7418328725479763E-3</v>
      </c>
    </row>
    <row r="77" spans="2:39" x14ac:dyDescent="0.25">
      <c r="B77" s="230"/>
      <c r="C77" s="52" t="s">
        <v>46</v>
      </c>
      <c r="D77" s="52" t="s">
        <v>433</v>
      </c>
      <c r="E77" s="124">
        <f t="shared" ref="E77:AM77" si="20">E35/E$26</f>
        <v>0.99908210366624528</v>
      </c>
      <c r="F77" s="124">
        <f t="shared" si="20"/>
        <v>0.97816207333897831</v>
      </c>
      <c r="G77" s="124">
        <f t="shared" si="20"/>
        <v>0.95342930297648276</v>
      </c>
      <c r="H77" s="124">
        <f t="shared" si="20"/>
        <v>0.94089016302266393</v>
      </c>
      <c r="I77" s="124">
        <f t="shared" si="20"/>
        <v>0.92570038631836848</v>
      </c>
      <c r="J77" s="123">
        <f t="shared" si="20"/>
        <v>0.90763895524102778</v>
      </c>
      <c r="K77" s="67">
        <f t="shared" si="20"/>
        <v>0.8865471520250493</v>
      </c>
      <c r="L77" s="67">
        <f t="shared" si="20"/>
        <v>0.86246965715668711</v>
      </c>
      <c r="M77" s="67">
        <f t="shared" si="20"/>
        <v>0.83562527599285363</v>
      </c>
      <c r="N77" s="124">
        <f t="shared" si="20"/>
        <v>0.80648877979100442</v>
      </c>
      <c r="O77" s="123">
        <f t="shared" si="20"/>
        <v>0.7620886756025641</v>
      </c>
      <c r="P77" s="67">
        <f t="shared" si="20"/>
        <v>0.68924696833674948</v>
      </c>
      <c r="Q77" s="67">
        <f t="shared" si="20"/>
        <v>0.58187789459626338</v>
      </c>
      <c r="R77" s="67">
        <f t="shared" si="20"/>
        <v>0.45999417280979638</v>
      </c>
      <c r="S77" s="124">
        <f t="shared" si="20"/>
        <v>0.33560335766087446</v>
      </c>
      <c r="T77" s="124">
        <f t="shared" si="20"/>
        <v>0.22397612955434532</v>
      </c>
      <c r="U77" s="124">
        <f t="shared" si="20"/>
        <v>0.13697706032484031</v>
      </c>
      <c r="V77" s="124">
        <f t="shared" si="20"/>
        <v>7.7812740805631497E-2</v>
      </c>
      <c r="W77" s="124">
        <f t="shared" si="20"/>
        <v>4.190143230507521E-2</v>
      </c>
      <c r="X77" s="118">
        <f t="shared" si="20"/>
        <v>2.1811208662815992E-2</v>
      </c>
      <c r="Y77" s="118">
        <f t="shared" si="20"/>
        <v>1.1134504050156667E-2</v>
      </c>
      <c r="Z77" s="118">
        <f t="shared" si="20"/>
        <v>5.6247188203773042E-3</v>
      </c>
      <c r="AA77" s="118">
        <f t="shared" si="20"/>
        <v>2.8259198846181692E-3</v>
      </c>
      <c r="AB77" s="118">
        <f t="shared" si="20"/>
        <v>1.4158309350051628E-3</v>
      </c>
      <c r="AC77" s="118">
        <f t="shared" si="20"/>
        <v>7.0836164488595867E-4</v>
      </c>
      <c r="AD77" s="118">
        <f t="shared" si="20"/>
        <v>3.5415148204456705E-4</v>
      </c>
      <c r="AE77" s="118">
        <f t="shared" si="20"/>
        <v>1.7699707671881714E-4</v>
      </c>
      <c r="AF77" s="118">
        <f t="shared" si="20"/>
        <v>8.8443053072521496E-5</v>
      </c>
      <c r="AG77" s="118">
        <f t="shared" si="20"/>
        <v>4.4189671650331055E-5</v>
      </c>
      <c r="AH77" s="118">
        <f t="shared" si="20"/>
        <v>2.2078517512475952E-5</v>
      </c>
      <c r="AI77" s="118">
        <f t="shared" si="20"/>
        <v>1.1030774559887938E-5</v>
      </c>
      <c r="AJ77" s="118">
        <f t="shared" si="20"/>
        <v>5.5110259267433227E-6</v>
      </c>
      <c r="AK77" s="118">
        <f t="shared" si="20"/>
        <v>2.7533008963404474E-6</v>
      </c>
      <c r="AL77" s="118">
        <f t="shared" si="20"/>
        <v>1.3755309516974005E-6</v>
      </c>
      <c r="AM77" s="118">
        <f t="shared" si="20"/>
        <v>6.8720036585317818E-7</v>
      </c>
    </row>
    <row r="78" spans="2:39" x14ac:dyDescent="0.25">
      <c r="B78" s="230"/>
      <c r="C78" s="35" t="s">
        <v>27</v>
      </c>
      <c r="D78" s="3" t="s">
        <v>434</v>
      </c>
      <c r="E78" s="111">
        <f t="shared" ref="E78:AM78" si="21">E36/E$26</f>
        <v>4.9979094732406236E-4</v>
      </c>
      <c r="F78" s="111">
        <f t="shared" si="21"/>
        <v>1.4515876265920149E-2</v>
      </c>
      <c r="G78" s="111">
        <f t="shared" si="21"/>
        <v>1.6953416035089406E-2</v>
      </c>
      <c r="H78" s="111">
        <f t="shared" si="21"/>
        <v>1.9009681868783761E-2</v>
      </c>
      <c r="I78" s="111">
        <f t="shared" si="21"/>
        <v>3.0767991416111952E-2</v>
      </c>
      <c r="J78" s="110">
        <f t="shared" si="21"/>
        <v>3.0217808975528303E-2</v>
      </c>
      <c r="K78" s="68">
        <f t="shared" si="21"/>
        <v>4.3701201047592619E-2</v>
      </c>
      <c r="L78" s="68">
        <f t="shared" si="21"/>
        <v>4.9780532625294596E-2</v>
      </c>
      <c r="M78" s="68">
        <f t="shared" si="21"/>
        <v>4.9851294225596941E-2</v>
      </c>
      <c r="N78" s="111">
        <f t="shared" si="21"/>
        <v>5.1088285878967618E-2</v>
      </c>
      <c r="O78" s="110">
        <f t="shared" si="21"/>
        <v>5.1891554443101152E-2</v>
      </c>
      <c r="P78" s="68">
        <f t="shared" si="21"/>
        <v>4.9322697551399591E-2</v>
      </c>
      <c r="Q78" s="68">
        <f t="shared" si="21"/>
        <v>4.3186268976155677E-2</v>
      </c>
      <c r="R78" s="68">
        <f t="shared" si="21"/>
        <v>3.5838467008302982E-2</v>
      </c>
      <c r="S78" s="111">
        <f t="shared" si="21"/>
        <v>2.7507128519179431E-2</v>
      </c>
      <c r="T78" s="111">
        <f t="shared" si="21"/>
        <v>1.9098681634584051E-2</v>
      </c>
      <c r="U78" s="111">
        <f t="shared" si="21"/>
        <v>1.2112447197068762E-2</v>
      </c>
      <c r="V78" s="111">
        <f t="shared" si="21"/>
        <v>7.1399208772581586E-3</v>
      </c>
      <c r="W78" s="111">
        <f t="shared" si="21"/>
        <v>3.9907428533417187E-3</v>
      </c>
      <c r="X78" s="116">
        <f t="shared" si="21"/>
        <v>2.1547441284626933E-3</v>
      </c>
      <c r="Y78" s="116">
        <f t="shared" si="21"/>
        <v>1.134550599005804E-3</v>
      </c>
      <c r="Z78" s="116">
        <f t="shared" si="21"/>
        <v>5.9139535859349744E-4</v>
      </c>
      <c r="AA78" s="116">
        <f t="shared" si="21"/>
        <v>3.0685196524701791E-4</v>
      </c>
      <c r="AB78" s="116">
        <f t="shared" si="21"/>
        <v>1.5882156103171093E-4</v>
      </c>
      <c r="AC78" s="116">
        <f t="shared" si="21"/>
        <v>8.2069928475246438E-5</v>
      </c>
      <c r="AD78" s="116">
        <f t="shared" si="21"/>
        <v>4.238178089442768E-5</v>
      </c>
      <c r="AE78" s="116">
        <f t="shared" si="21"/>
        <v>2.1873151941113786E-5</v>
      </c>
      <c r="AF78" s="116">
        <f t="shared" si="21"/>
        <v>1.1271338238482432E-5</v>
      </c>
      <c r="AG78" s="116">
        <f t="shared" si="21"/>
        <v>5.8029714531295942E-6</v>
      </c>
      <c r="AH78" s="116">
        <f t="shared" si="21"/>
        <v>3.1689327039672519E-6</v>
      </c>
      <c r="AI78" s="116">
        <f t="shared" si="21"/>
        <v>1.6296991805514352E-6</v>
      </c>
      <c r="AJ78" s="116">
        <f t="shared" si="21"/>
        <v>8.3896079220787449E-7</v>
      </c>
      <c r="AK78" s="116">
        <f t="shared" si="21"/>
        <v>4.3150384565495054E-7</v>
      </c>
      <c r="AL78" s="116">
        <f t="shared" si="21"/>
        <v>2.2180176806380326E-7</v>
      </c>
      <c r="AM78" s="116">
        <f t="shared" si="21"/>
        <v>1.1405292325739081E-7</v>
      </c>
    </row>
    <row r="79" spans="2:39" x14ac:dyDescent="0.25">
      <c r="B79" s="230"/>
      <c r="C79" s="35" t="s">
        <v>28</v>
      </c>
      <c r="D79" s="3" t="s">
        <v>435</v>
      </c>
      <c r="E79" s="111">
        <f t="shared" ref="E79:AM79" si="22">E37/E$26</f>
        <v>0.1799247410450906</v>
      </c>
      <c r="F79" s="111">
        <f t="shared" si="22"/>
        <v>0.18522475377334521</v>
      </c>
      <c r="G79" s="111">
        <f t="shared" si="22"/>
        <v>0.1812085732812643</v>
      </c>
      <c r="H79" s="111">
        <f t="shared" si="22"/>
        <v>0.18022899484087412</v>
      </c>
      <c r="I79" s="111">
        <f t="shared" si="22"/>
        <v>0.18471353986281114</v>
      </c>
      <c r="J79" s="110">
        <f t="shared" si="22"/>
        <v>0.179151606502605</v>
      </c>
      <c r="K79" s="68">
        <f t="shared" si="22"/>
        <v>0.18266247042785394</v>
      </c>
      <c r="L79" s="68">
        <f t="shared" si="22"/>
        <v>0.18035556104378417</v>
      </c>
      <c r="M79" s="68">
        <f t="shared" si="22"/>
        <v>0.17480989801735894</v>
      </c>
      <c r="N79" s="111">
        <f t="shared" si="22"/>
        <v>0.16926963554758279</v>
      </c>
      <c r="O79" s="110">
        <f t="shared" si="22"/>
        <v>0.16122464430934083</v>
      </c>
      <c r="P79" s="68">
        <f t="shared" si="22"/>
        <v>0.14659652055868219</v>
      </c>
      <c r="Q79" s="68">
        <f t="shared" si="22"/>
        <v>0.12421758274528211</v>
      </c>
      <c r="R79" s="68">
        <f t="shared" si="22"/>
        <v>9.8489482095964781E-2</v>
      </c>
      <c r="S79" s="111">
        <f t="shared" si="22"/>
        <v>7.2095448975000115E-2</v>
      </c>
      <c r="T79" s="111">
        <f t="shared" si="22"/>
        <v>4.8299684064482241E-2</v>
      </c>
      <c r="U79" s="111">
        <f t="shared" si="22"/>
        <v>2.9645887880893351E-2</v>
      </c>
      <c r="V79" s="111">
        <f t="shared" si="22"/>
        <v>1.6907555257477395E-2</v>
      </c>
      <c r="W79" s="111">
        <f t="shared" si="22"/>
        <v>9.1427468650029011E-3</v>
      </c>
      <c r="X79" s="116">
        <f t="shared" si="22"/>
        <v>4.7796487929641336E-3</v>
      </c>
      <c r="Y79" s="116">
        <f t="shared" si="22"/>
        <v>2.4499301803948799E-3</v>
      </c>
      <c r="Z79" s="116">
        <f t="shared" si="22"/>
        <v>1.2428253808927272E-3</v>
      </c>
      <c r="AA79" s="116">
        <f t="shared" si="22"/>
        <v>6.2716724134044002E-4</v>
      </c>
      <c r="AB79" s="116">
        <f t="shared" si="22"/>
        <v>3.1561407571068222E-4</v>
      </c>
      <c r="AC79" s="116">
        <f t="shared" si="22"/>
        <v>1.58618134503946E-4</v>
      </c>
      <c r="AD79" s="116">
        <f t="shared" si="22"/>
        <v>7.9531289142982501E-5</v>
      </c>
      <c r="AE79" s="116">
        <f t="shared" si="22"/>
        <v>3.9860193168246977E-5</v>
      </c>
      <c r="AF79" s="116">
        <f t="shared" si="22"/>
        <v>1.9969967063718114E-5</v>
      </c>
      <c r="AG79" s="116">
        <f t="shared" si="22"/>
        <v>1.000272938599314E-5</v>
      </c>
      <c r="AH79" s="116">
        <f t="shared" si="22"/>
        <v>5.055730669554604E-6</v>
      </c>
      <c r="AI79" s="116">
        <f t="shared" si="22"/>
        <v>2.5301213912566822E-6</v>
      </c>
      <c r="AJ79" s="116">
        <f t="shared" si="22"/>
        <v>1.2662070028993055E-6</v>
      </c>
      <c r="AK79" s="116">
        <f t="shared" si="22"/>
        <v>6.335246536365241E-7</v>
      </c>
      <c r="AL79" s="116">
        <f t="shared" si="22"/>
        <v>3.1691124036407016E-7</v>
      </c>
      <c r="AM79" s="116">
        <f t="shared" si="22"/>
        <v>1.5851810935702623E-7</v>
      </c>
    </row>
    <row r="80" spans="2:39" x14ac:dyDescent="0.25">
      <c r="B80" s="230"/>
      <c r="C80" s="35" t="s">
        <v>29</v>
      </c>
      <c r="D80" s="3" t="s">
        <v>436</v>
      </c>
      <c r="E80" s="111">
        <f t="shared" ref="E80:AM80" si="23">E38/E$26</f>
        <v>0.28388125811209441</v>
      </c>
      <c r="F80" s="111">
        <f t="shared" si="23"/>
        <v>0.28316865295428179</v>
      </c>
      <c r="G80" s="111">
        <f t="shared" si="23"/>
        <v>0.27646372406570274</v>
      </c>
      <c r="H80" s="111">
        <f t="shared" si="23"/>
        <v>0.27378727158213489</v>
      </c>
      <c r="I80" s="111">
        <f t="shared" si="23"/>
        <v>0.27298892963924754</v>
      </c>
      <c r="J80" s="110">
        <f t="shared" si="23"/>
        <v>0.26713658591058848</v>
      </c>
      <c r="K80" s="68">
        <f t="shared" si="23"/>
        <v>0.26311483470330832</v>
      </c>
      <c r="L80" s="68">
        <f t="shared" si="23"/>
        <v>0.25559323131230438</v>
      </c>
      <c r="M80" s="68">
        <f t="shared" si="23"/>
        <v>0.24734616253139693</v>
      </c>
      <c r="N80" s="111">
        <f t="shared" si="23"/>
        <v>0.23833549565170684</v>
      </c>
      <c r="O80" s="110">
        <f t="shared" si="23"/>
        <v>0.22493038263831724</v>
      </c>
      <c r="P80" s="68">
        <f t="shared" si="23"/>
        <v>0.2032012209211807</v>
      </c>
      <c r="Q80" s="68">
        <f t="shared" si="23"/>
        <v>0.17137270696179652</v>
      </c>
      <c r="R80" s="68">
        <f t="shared" si="23"/>
        <v>0.1352099993043378</v>
      </c>
      <c r="S80" s="111">
        <f t="shared" si="23"/>
        <v>9.8428898764360423E-2</v>
      </c>
      <c r="T80" s="111">
        <f t="shared" si="23"/>
        <v>6.558261603458243E-2</v>
      </c>
      <c r="U80" s="111">
        <f t="shared" si="23"/>
        <v>4.0043119862161407E-2</v>
      </c>
      <c r="V80" s="111">
        <f t="shared" si="23"/>
        <v>2.2707210095394004E-2</v>
      </c>
      <c r="W80" s="111">
        <f t="shared" si="23"/>
        <v>1.2204178464725587E-2</v>
      </c>
      <c r="X80" s="116">
        <f t="shared" si="23"/>
        <v>6.3397680664266506E-3</v>
      </c>
      <c r="Y80" s="116">
        <f t="shared" si="23"/>
        <v>3.2305548096293849E-3</v>
      </c>
      <c r="Z80" s="116">
        <f t="shared" si="23"/>
        <v>1.6287047193469836E-3</v>
      </c>
      <c r="AA80" s="116">
        <f t="shared" si="23"/>
        <v>8.1646642796273541E-4</v>
      </c>
      <c r="AB80" s="116">
        <f t="shared" si="23"/>
        <v>4.0806270064927563E-4</v>
      </c>
      <c r="AC80" s="116">
        <f t="shared" si="23"/>
        <v>2.036228689715333E-4</v>
      </c>
      <c r="AD80" s="116">
        <f t="shared" si="23"/>
        <v>1.0149213842242718E-4</v>
      </c>
      <c r="AE80" s="116">
        <f t="shared" si="23"/>
        <v>5.0558922979647463E-5</v>
      </c>
      <c r="AF80" s="116">
        <f t="shared" si="23"/>
        <v>2.517963187014274E-5</v>
      </c>
      <c r="AG80" s="116">
        <f t="shared" si="23"/>
        <v>1.2537338802137936E-5</v>
      </c>
      <c r="AH80" s="116">
        <f t="shared" si="23"/>
        <v>6.1932000017301599E-6</v>
      </c>
      <c r="AI80" s="116">
        <f t="shared" si="23"/>
        <v>3.0808773158336134E-6</v>
      </c>
      <c r="AJ80" s="116">
        <f t="shared" si="23"/>
        <v>1.5319482474450585E-6</v>
      </c>
      <c r="AK80" s="116">
        <f t="shared" si="23"/>
        <v>7.6164360145644257E-7</v>
      </c>
      <c r="AL80" s="116">
        <f t="shared" si="23"/>
        <v>3.7860018014705665E-7</v>
      </c>
      <c r="AM80" s="116">
        <f t="shared" si="23"/>
        <v>1.8812768617672932E-7</v>
      </c>
    </row>
    <row r="81" spans="2:39" x14ac:dyDescent="0.25">
      <c r="B81" s="230"/>
      <c r="C81" s="35" t="s">
        <v>30</v>
      </c>
      <c r="D81" s="3" t="s">
        <v>437</v>
      </c>
      <c r="E81" s="111">
        <f t="shared" ref="E81:AM81" si="24">E39/E$26</f>
        <v>0.27988293055204383</v>
      </c>
      <c r="F81" s="111">
        <f t="shared" si="24"/>
        <v>0.27283061100697953</v>
      </c>
      <c r="G81" s="111">
        <f t="shared" si="24"/>
        <v>0.26488700914172347</v>
      </c>
      <c r="H81" s="111">
        <f t="shared" si="24"/>
        <v>0.26288657489034956</v>
      </c>
      <c r="I81" s="111">
        <f t="shared" si="24"/>
        <v>0.25633748001517309</v>
      </c>
      <c r="J81" s="110">
        <f t="shared" si="24"/>
        <v>0.25688253633245323</v>
      </c>
      <c r="K81" s="68">
        <f t="shared" si="24"/>
        <v>0.24857372024756125</v>
      </c>
      <c r="L81" s="68">
        <f t="shared" si="24"/>
        <v>0.2394432867274309</v>
      </c>
      <c r="M81" s="68">
        <f t="shared" si="24"/>
        <v>0.23146030414128185</v>
      </c>
      <c r="N81" s="111">
        <f t="shared" si="24"/>
        <v>0.22238957662399819</v>
      </c>
      <c r="O81" s="110">
        <f t="shared" si="24"/>
        <v>0.20886417938256382</v>
      </c>
      <c r="P81" s="68">
        <f t="shared" si="24"/>
        <v>0.18803087458070888</v>
      </c>
      <c r="Q81" s="68">
        <f t="shared" si="24"/>
        <v>0.15817014858049266</v>
      </c>
      <c r="R81" s="68">
        <f t="shared" si="24"/>
        <v>0.12442726324735578</v>
      </c>
      <c r="S81" s="111">
        <f t="shared" si="24"/>
        <v>9.0282130191326776E-2</v>
      </c>
      <c r="T81" s="111">
        <f t="shared" si="24"/>
        <v>5.9969536421681825E-2</v>
      </c>
      <c r="U81" s="111">
        <f t="shared" si="24"/>
        <v>3.6507503981840189E-2</v>
      </c>
      <c r="V81" s="111">
        <f t="shared" si="24"/>
        <v>2.0635959295981582E-2</v>
      </c>
      <c r="W81" s="111">
        <f t="shared" si="24"/>
        <v>1.1053111499194194E-2</v>
      </c>
      <c r="X81" s="116">
        <f t="shared" si="24"/>
        <v>5.7215073188735003E-3</v>
      </c>
      <c r="Y81" s="116">
        <f t="shared" si="24"/>
        <v>2.9060570683838815E-3</v>
      </c>
      <c r="Z81" s="116">
        <f t="shared" si="24"/>
        <v>1.4601041829998104E-3</v>
      </c>
      <c r="AA81" s="116">
        <f t="shared" si="24"/>
        <v>7.2927757365802339E-4</v>
      </c>
      <c r="AB81" s="116">
        <f t="shared" si="24"/>
        <v>3.6310523629799491E-4</v>
      </c>
      <c r="AC81" s="116">
        <f t="shared" si="24"/>
        <v>1.8047856933863668E-4</v>
      </c>
      <c r="AD81" s="116">
        <f t="shared" si="24"/>
        <v>8.9647580427144733E-5</v>
      </c>
      <c r="AE81" s="116">
        <f t="shared" si="24"/>
        <v>4.4502138805928938E-5</v>
      </c>
      <c r="AF81" s="116">
        <f t="shared" si="24"/>
        <v>2.2087158726493734E-5</v>
      </c>
      <c r="AG81" s="116">
        <f t="shared" si="24"/>
        <v>1.0959929563641182E-5</v>
      </c>
      <c r="AH81" s="116">
        <f t="shared" si="24"/>
        <v>5.346751097780707E-6</v>
      </c>
      <c r="AI81" s="116">
        <f t="shared" si="24"/>
        <v>2.6507016399651475E-6</v>
      </c>
      <c r="AJ81" s="116">
        <f t="shared" si="24"/>
        <v>1.3132459206083123E-6</v>
      </c>
      <c r="AK81" s="116">
        <f t="shared" si="24"/>
        <v>6.5058227995037208E-7</v>
      </c>
      <c r="AL81" s="116">
        <f t="shared" si="24"/>
        <v>3.2225143339219068E-7</v>
      </c>
      <c r="AM81" s="116">
        <f t="shared" si="24"/>
        <v>1.595436783323953E-7</v>
      </c>
    </row>
    <row r="82" spans="2:39" x14ac:dyDescent="0.25">
      <c r="B82" s="230"/>
      <c r="C82" s="35" t="s">
        <v>31</v>
      </c>
      <c r="D82" s="3" t="s">
        <v>438</v>
      </c>
      <c r="E82" s="111">
        <f t="shared" ref="E82:AM82" si="25">E40/E$26</f>
        <v>0.1799247410450906</v>
      </c>
      <c r="F82" s="111">
        <f t="shared" si="25"/>
        <v>0.16738905517301444</v>
      </c>
      <c r="G82" s="111">
        <f t="shared" si="25"/>
        <v>0.15908105558636174</v>
      </c>
      <c r="H82" s="111">
        <f t="shared" si="25"/>
        <v>0.15482948111459971</v>
      </c>
      <c r="I82" s="111">
        <f t="shared" si="25"/>
        <v>0.14184698437095936</v>
      </c>
      <c r="J82" s="110">
        <f t="shared" si="25"/>
        <v>0.14862629780294442</v>
      </c>
      <c r="K82" s="68">
        <f t="shared" si="25"/>
        <v>0.13169453397192857</v>
      </c>
      <c r="L82" s="68">
        <f t="shared" si="25"/>
        <v>0.12347557866715229</v>
      </c>
      <c r="M82" s="68">
        <f t="shared" si="25"/>
        <v>0.11902426190444555</v>
      </c>
      <c r="N82" s="111">
        <f t="shared" si="25"/>
        <v>0.11341061676291052</v>
      </c>
      <c r="O82" s="110">
        <f t="shared" si="25"/>
        <v>0.10491162505589838</v>
      </c>
      <c r="P82" s="68">
        <f t="shared" si="25"/>
        <v>9.3448379582736815E-2</v>
      </c>
      <c r="Q82" s="68">
        <f t="shared" si="25"/>
        <v>7.8005041283493823E-2</v>
      </c>
      <c r="R82" s="68">
        <f t="shared" si="25"/>
        <v>6.0864159793511473E-2</v>
      </c>
      <c r="S82" s="111">
        <f t="shared" si="25"/>
        <v>4.3762067718496042E-2</v>
      </c>
      <c r="T82" s="111">
        <f t="shared" si="25"/>
        <v>2.8815562576060258E-2</v>
      </c>
      <c r="U82" s="111">
        <f t="shared" si="25"/>
        <v>1.7396619562160823E-2</v>
      </c>
      <c r="V82" s="111">
        <f t="shared" si="25"/>
        <v>9.7461993541607273E-3</v>
      </c>
      <c r="W82" s="111">
        <f t="shared" si="25"/>
        <v>5.17160260152447E-3</v>
      </c>
      <c r="X82" s="116">
        <f t="shared" si="25"/>
        <v>2.6515630411531191E-3</v>
      </c>
      <c r="Y82" s="116">
        <f t="shared" si="25"/>
        <v>1.3351609378540056E-3</v>
      </c>
      <c r="Z82" s="116">
        <f t="shared" si="25"/>
        <v>6.6486152048380698E-4</v>
      </c>
      <c r="AA82" s="116">
        <f t="shared" si="25"/>
        <v>3.2899452595523123E-4</v>
      </c>
      <c r="AB82" s="116">
        <f t="shared" si="25"/>
        <v>1.6227003408353819E-4</v>
      </c>
      <c r="AC82" s="116">
        <f t="shared" si="25"/>
        <v>7.9894836288498905E-5</v>
      </c>
      <c r="AD82" s="116">
        <f t="shared" si="25"/>
        <v>3.9381446121156626E-5</v>
      </c>
      <c r="AE82" s="116">
        <f t="shared" si="25"/>
        <v>1.9401518610773733E-5</v>
      </c>
      <c r="AF82" s="116">
        <f t="shared" si="25"/>
        <v>9.5604113453793165E-6</v>
      </c>
      <c r="AG82" s="116">
        <f t="shared" si="25"/>
        <v>4.7114017173683828E-6</v>
      </c>
      <c r="AH82" s="116">
        <f t="shared" si="25"/>
        <v>2.2440791967060186E-6</v>
      </c>
      <c r="AI82" s="116">
        <f t="shared" si="25"/>
        <v>1.1064730132330443E-6</v>
      </c>
      <c r="AJ82" s="116">
        <f t="shared" si="25"/>
        <v>5.4518814962315566E-7</v>
      </c>
      <c r="AK82" s="116">
        <f t="shared" si="25"/>
        <v>2.6874287516387177E-7</v>
      </c>
      <c r="AL82" s="116">
        <f t="shared" si="25"/>
        <v>1.3250994953243153E-7</v>
      </c>
      <c r="AM82" s="116">
        <f t="shared" si="25"/>
        <v>6.5321140181258352E-8</v>
      </c>
    </row>
    <row r="83" spans="2:39" x14ac:dyDescent="0.25">
      <c r="B83" s="230"/>
      <c r="C83" s="35" t="s">
        <v>32</v>
      </c>
      <c r="D83" s="3" t="s">
        <v>439</v>
      </c>
      <c r="E83" s="111">
        <f t="shared" ref="E83:AM83" si="26">E41/E$26</f>
        <v>5.997491369574378E-2</v>
      </c>
      <c r="F83" s="111">
        <f t="shared" si="26"/>
        <v>4.6513498106305597E-2</v>
      </c>
      <c r="G83" s="111">
        <f t="shared" si="26"/>
        <v>4.6300475781647761E-2</v>
      </c>
      <c r="H83" s="111">
        <f t="shared" si="26"/>
        <v>4.3571468221695109E-2</v>
      </c>
      <c r="I83" s="111">
        <f t="shared" si="26"/>
        <v>3.5141969323959792E-2</v>
      </c>
      <c r="J83" s="110">
        <f t="shared" si="26"/>
        <v>2.481243837953789E-2</v>
      </c>
      <c r="K83" s="68">
        <f t="shared" si="26"/>
        <v>1.6800396044230684E-2</v>
      </c>
      <c r="L83" s="68">
        <f t="shared" si="26"/>
        <v>1.3821466898127625E-2</v>
      </c>
      <c r="M83" s="68">
        <f t="shared" si="26"/>
        <v>1.3133342236355317E-2</v>
      </c>
      <c r="N83" s="111">
        <f t="shared" si="26"/>
        <v>1.1995169305435625E-2</v>
      </c>
      <c r="O83" s="110">
        <f t="shared" si="26"/>
        <v>1.0266289499678725E-2</v>
      </c>
      <c r="P83" s="68">
        <f t="shared" si="26"/>
        <v>8.647275196153676E-3</v>
      </c>
      <c r="Q83" s="68">
        <f t="shared" si="26"/>
        <v>6.9261460146485439E-3</v>
      </c>
      <c r="R83" s="68">
        <f t="shared" si="26"/>
        <v>5.1648013681415764E-3</v>
      </c>
      <c r="S83" s="111">
        <f t="shared" si="26"/>
        <v>3.5276834681999365E-3</v>
      </c>
      <c r="T83" s="111">
        <f t="shared" si="26"/>
        <v>2.2100487166637358E-3</v>
      </c>
      <c r="U83" s="111">
        <f t="shared" si="26"/>
        <v>1.2714818031053007E-3</v>
      </c>
      <c r="V83" s="111">
        <f t="shared" si="26"/>
        <v>6.7589595548141169E-4</v>
      </c>
      <c r="W83" s="111">
        <f t="shared" si="26"/>
        <v>3.3905002155007566E-4</v>
      </c>
      <c r="X83" s="116">
        <f t="shared" si="26"/>
        <v>1.6397731719158394E-4</v>
      </c>
      <c r="Y83" s="116">
        <f t="shared" si="26"/>
        <v>7.8250455083502259E-5</v>
      </c>
      <c r="Z83" s="116">
        <f t="shared" si="26"/>
        <v>3.68276574192452E-5</v>
      </c>
      <c r="AA83" s="116">
        <f t="shared" si="26"/>
        <v>1.7162150390772057E-5</v>
      </c>
      <c r="AB83" s="116">
        <f t="shared" si="26"/>
        <v>7.9573270394424125E-6</v>
      </c>
      <c r="AC83" s="116">
        <f t="shared" si="26"/>
        <v>3.6773072500883588E-6</v>
      </c>
      <c r="AD83" s="116">
        <f t="shared" si="26"/>
        <v>1.717247010390117E-6</v>
      </c>
      <c r="AE83" s="116">
        <f t="shared" si="26"/>
        <v>8.0115130500245631E-7</v>
      </c>
      <c r="AF83" s="116">
        <f t="shared" si="26"/>
        <v>3.7454581439073374E-7</v>
      </c>
      <c r="AG83" s="116">
        <f t="shared" si="26"/>
        <v>1.7530075820690081E-7</v>
      </c>
      <c r="AH83" s="116">
        <f t="shared" si="26"/>
        <v>6.9823811246350156E-8</v>
      </c>
      <c r="AI83" s="116">
        <f t="shared" si="26"/>
        <v>3.290200017288571E-8</v>
      </c>
      <c r="AJ83" s="116">
        <f t="shared" si="26"/>
        <v>1.5475812576159105E-8</v>
      </c>
      <c r="AK83" s="116">
        <f t="shared" si="26"/>
        <v>7.3036449202352363E-9</v>
      </c>
      <c r="AL83" s="116">
        <f t="shared" si="26"/>
        <v>3.4563795424804516E-9</v>
      </c>
      <c r="AM83" s="116">
        <f t="shared" si="26"/>
        <v>1.6368287532335673E-9</v>
      </c>
    </row>
    <row r="84" spans="2:39" x14ac:dyDescent="0.25">
      <c r="B84" s="230"/>
      <c r="C84" s="56" t="s">
        <v>33</v>
      </c>
      <c r="D84" s="7" t="s">
        <v>440</v>
      </c>
      <c r="E84" s="113">
        <f t="shared" ref="E84:AM84" si="27">E42/E$26</f>
        <v>1.4993728419721873E-2</v>
      </c>
      <c r="F84" s="113">
        <f t="shared" si="27"/>
        <v>8.5196258529870589E-3</v>
      </c>
      <c r="G84" s="113">
        <f t="shared" si="27"/>
        <v>8.5350492253630401E-3</v>
      </c>
      <c r="H84" s="113">
        <f t="shared" si="27"/>
        <v>6.5766905443998165E-3</v>
      </c>
      <c r="I84" s="113">
        <f t="shared" si="27"/>
        <v>3.9034919633472547E-3</v>
      </c>
      <c r="J84" s="112">
        <f t="shared" si="27"/>
        <v>8.1168138282713834E-4</v>
      </c>
      <c r="K84" s="70">
        <f t="shared" si="27"/>
        <v>0</v>
      </c>
      <c r="L84" s="70">
        <f t="shared" si="27"/>
        <v>0</v>
      </c>
      <c r="M84" s="70">
        <f t="shared" si="27"/>
        <v>0</v>
      </c>
      <c r="N84" s="113">
        <f t="shared" si="27"/>
        <v>0</v>
      </c>
      <c r="O84" s="112">
        <f t="shared" si="27"/>
        <v>0</v>
      </c>
      <c r="P84" s="70">
        <f t="shared" si="27"/>
        <v>0</v>
      </c>
      <c r="Q84" s="70">
        <f t="shared" si="27"/>
        <v>0</v>
      </c>
      <c r="R84" s="70">
        <f t="shared" si="27"/>
        <v>0</v>
      </c>
      <c r="S84" s="113">
        <f t="shared" si="27"/>
        <v>0</v>
      </c>
      <c r="T84" s="113">
        <f t="shared" si="27"/>
        <v>0</v>
      </c>
      <c r="U84" s="113">
        <f t="shared" si="27"/>
        <v>0</v>
      </c>
      <c r="V84" s="113">
        <f t="shared" si="27"/>
        <v>0</v>
      </c>
      <c r="W84" s="113">
        <f t="shared" si="27"/>
        <v>0</v>
      </c>
      <c r="X84" s="117">
        <f t="shared" si="27"/>
        <v>0</v>
      </c>
      <c r="Y84" s="117">
        <f t="shared" si="27"/>
        <v>0</v>
      </c>
      <c r="Z84" s="117">
        <f t="shared" si="27"/>
        <v>0</v>
      </c>
      <c r="AA84" s="117">
        <f t="shared" si="27"/>
        <v>0</v>
      </c>
      <c r="AB84" s="117">
        <f t="shared" si="27"/>
        <v>0</v>
      </c>
      <c r="AC84" s="117">
        <f t="shared" si="27"/>
        <v>0</v>
      </c>
      <c r="AD84" s="117">
        <f t="shared" si="27"/>
        <v>0</v>
      </c>
      <c r="AE84" s="117">
        <f t="shared" si="27"/>
        <v>0</v>
      </c>
      <c r="AF84" s="117">
        <f t="shared" si="27"/>
        <v>0</v>
      </c>
      <c r="AG84" s="117">
        <f t="shared" si="27"/>
        <v>0</v>
      </c>
      <c r="AH84" s="117">
        <f t="shared" si="27"/>
        <v>0</v>
      </c>
      <c r="AI84" s="117">
        <f t="shared" si="27"/>
        <v>0</v>
      </c>
      <c r="AJ84" s="117">
        <f t="shared" si="27"/>
        <v>0</v>
      </c>
      <c r="AK84" s="117">
        <f t="shared" si="27"/>
        <v>0</v>
      </c>
      <c r="AL84" s="117">
        <f t="shared" si="27"/>
        <v>0</v>
      </c>
      <c r="AM84" s="117">
        <f t="shared" si="27"/>
        <v>0</v>
      </c>
    </row>
    <row r="85" spans="2:39" x14ac:dyDescent="0.25">
      <c r="B85" s="229" t="s">
        <v>80</v>
      </c>
      <c r="C85" s="58" t="s">
        <v>52</v>
      </c>
      <c r="D85" s="58" t="s">
        <v>130</v>
      </c>
      <c r="E85" s="100">
        <f t="shared" ref="E85:AM85" si="28">E43</f>
        <v>32001.800439999999</v>
      </c>
      <c r="F85" s="100">
        <f t="shared" si="28"/>
        <v>35911.307350000003</v>
      </c>
      <c r="G85" s="100">
        <f t="shared" si="28"/>
        <v>36708.886160000002</v>
      </c>
      <c r="H85" s="100">
        <f t="shared" si="28"/>
        <v>37113.743849999999</v>
      </c>
      <c r="I85" s="100">
        <f t="shared" si="28"/>
        <v>37179.433069999999</v>
      </c>
      <c r="J85" s="99">
        <f t="shared" si="28"/>
        <v>37014.380270000001</v>
      </c>
      <c r="K85" s="51">
        <f t="shared" si="28"/>
        <v>36687.539709999997</v>
      </c>
      <c r="L85" s="51">
        <f t="shared" si="28"/>
        <v>36318.101560000003</v>
      </c>
      <c r="M85" s="51">
        <f t="shared" si="28"/>
        <v>36456.715470000003</v>
      </c>
      <c r="N85" s="100">
        <f t="shared" si="28"/>
        <v>36762.837140000003</v>
      </c>
      <c r="O85" s="99">
        <f t="shared" si="28"/>
        <v>36638.10873</v>
      </c>
      <c r="P85" s="51">
        <f t="shared" si="28"/>
        <v>36313.892820000001</v>
      </c>
      <c r="Q85" s="51">
        <f t="shared" si="28"/>
        <v>35896.839469999999</v>
      </c>
      <c r="R85" s="51">
        <f t="shared" si="28"/>
        <v>35414.42858</v>
      </c>
      <c r="S85" s="100">
        <f t="shared" si="28"/>
        <v>34893.727729999999</v>
      </c>
      <c r="T85" s="100">
        <f t="shared" si="28"/>
        <v>34353.449430000001</v>
      </c>
      <c r="U85" s="100">
        <f t="shared" si="28"/>
        <v>33817.743499999997</v>
      </c>
      <c r="V85" s="100">
        <f t="shared" si="28"/>
        <v>33291.168519999999</v>
      </c>
      <c r="W85" s="100">
        <f t="shared" si="28"/>
        <v>32777.907619999998</v>
      </c>
      <c r="X85" s="104">
        <f t="shared" si="28"/>
        <v>32278.396199999999</v>
      </c>
      <c r="Y85" s="104">
        <f t="shared" si="28"/>
        <v>31834.17108</v>
      </c>
      <c r="Z85" s="104">
        <f t="shared" si="28"/>
        <v>31428.593919999999</v>
      </c>
      <c r="AA85" s="104">
        <f t="shared" si="28"/>
        <v>31044.272400000002</v>
      </c>
      <c r="AB85" s="104">
        <f t="shared" si="28"/>
        <v>30670.348720000002</v>
      </c>
      <c r="AC85" s="104">
        <f t="shared" si="28"/>
        <v>30304.93577</v>
      </c>
      <c r="AD85" s="104">
        <f t="shared" si="28"/>
        <v>29947.084159999999</v>
      </c>
      <c r="AE85" s="104">
        <f t="shared" si="28"/>
        <v>29598.847989999998</v>
      </c>
      <c r="AF85" s="104">
        <f t="shared" si="28"/>
        <v>29258.144390000001</v>
      </c>
      <c r="AG85" s="104">
        <f t="shared" si="28"/>
        <v>28922.241699999999</v>
      </c>
      <c r="AH85" s="104">
        <f t="shared" si="28"/>
        <v>28518.344079999999</v>
      </c>
      <c r="AI85" s="104">
        <f t="shared" si="28"/>
        <v>28142.938450000001</v>
      </c>
      <c r="AJ85" s="104">
        <f t="shared" si="28"/>
        <v>27784.679899999999</v>
      </c>
      <c r="AK85" s="104">
        <f t="shared" si="28"/>
        <v>27440.71488</v>
      </c>
      <c r="AL85" s="104">
        <f t="shared" si="28"/>
        <v>27106.677769999998</v>
      </c>
      <c r="AM85" s="104">
        <f t="shared" si="28"/>
        <v>26764.013500000001</v>
      </c>
    </row>
    <row r="86" spans="2:39" x14ac:dyDescent="0.25">
      <c r="B86" s="230"/>
      <c r="C86" s="35" t="s">
        <v>8</v>
      </c>
      <c r="D86" s="54" t="s">
        <v>441</v>
      </c>
      <c r="E86" s="111">
        <f t="shared" ref="E86:AM89" si="29">E44/E$43</f>
        <v>0</v>
      </c>
      <c r="F86" s="111">
        <f t="shared" si="29"/>
        <v>0</v>
      </c>
      <c r="G86" s="111">
        <f t="shared" si="29"/>
        <v>0</v>
      </c>
      <c r="H86" s="111">
        <f t="shared" si="29"/>
        <v>0</v>
      </c>
      <c r="I86" s="111">
        <f t="shared" si="29"/>
        <v>0</v>
      </c>
      <c r="J86" s="110">
        <f t="shared" si="29"/>
        <v>0</v>
      </c>
      <c r="K86" s="68">
        <f t="shared" si="29"/>
        <v>0</v>
      </c>
      <c r="L86" s="68">
        <f t="shared" si="29"/>
        <v>0</v>
      </c>
      <c r="M86" s="68">
        <f t="shared" si="29"/>
        <v>0</v>
      </c>
      <c r="N86" s="111">
        <f t="shared" si="29"/>
        <v>0</v>
      </c>
      <c r="O86" s="110">
        <f t="shared" si="29"/>
        <v>0</v>
      </c>
      <c r="P86" s="68">
        <f t="shared" si="29"/>
        <v>0</v>
      </c>
      <c r="Q86" s="68">
        <f t="shared" si="29"/>
        <v>0</v>
      </c>
      <c r="R86" s="68">
        <f t="shared" si="29"/>
        <v>0</v>
      </c>
      <c r="S86" s="111">
        <f t="shared" si="29"/>
        <v>0</v>
      </c>
      <c r="T86" s="111">
        <f t="shared" si="29"/>
        <v>0</v>
      </c>
      <c r="U86" s="111">
        <f t="shared" si="29"/>
        <v>0</v>
      </c>
      <c r="V86" s="111">
        <f t="shared" si="29"/>
        <v>0</v>
      </c>
      <c r="W86" s="111">
        <f t="shared" si="29"/>
        <v>0</v>
      </c>
      <c r="X86" s="116">
        <f t="shared" si="29"/>
        <v>0</v>
      </c>
      <c r="Y86" s="116">
        <f t="shared" si="29"/>
        <v>0</v>
      </c>
      <c r="Z86" s="116">
        <f t="shared" si="29"/>
        <v>0</v>
      </c>
      <c r="AA86" s="116">
        <f t="shared" si="29"/>
        <v>0</v>
      </c>
      <c r="AB86" s="116">
        <f t="shared" si="29"/>
        <v>0</v>
      </c>
      <c r="AC86" s="116">
        <f t="shared" si="29"/>
        <v>0</v>
      </c>
      <c r="AD86" s="116">
        <f t="shared" si="29"/>
        <v>0</v>
      </c>
      <c r="AE86" s="116">
        <f t="shared" si="29"/>
        <v>0</v>
      </c>
      <c r="AF86" s="116">
        <f t="shared" si="29"/>
        <v>0</v>
      </c>
      <c r="AG86" s="116">
        <f t="shared" si="29"/>
        <v>0</v>
      </c>
      <c r="AH86" s="116">
        <f t="shared" si="29"/>
        <v>0</v>
      </c>
      <c r="AI86" s="116">
        <f t="shared" si="29"/>
        <v>0</v>
      </c>
      <c r="AJ86" s="116">
        <f t="shared" si="29"/>
        <v>0</v>
      </c>
      <c r="AK86" s="116">
        <f t="shared" si="29"/>
        <v>0</v>
      </c>
      <c r="AL86" s="116">
        <f t="shared" si="29"/>
        <v>0</v>
      </c>
      <c r="AM86" s="116">
        <f t="shared" si="29"/>
        <v>0</v>
      </c>
    </row>
    <row r="87" spans="2:39" x14ac:dyDescent="0.25">
      <c r="B87" s="230"/>
      <c r="C87" s="35" t="s">
        <v>6</v>
      </c>
      <c r="D87" s="3" t="s">
        <v>424</v>
      </c>
      <c r="E87" s="111">
        <f t="shared" si="29"/>
        <v>0.9999246395525615</v>
      </c>
      <c r="F87" s="111">
        <f t="shared" si="29"/>
        <v>0.99572960102773855</v>
      </c>
      <c r="G87" s="111">
        <f t="shared" si="29"/>
        <v>0.99020499509484439</v>
      </c>
      <c r="H87" s="111">
        <f t="shared" si="29"/>
        <v>0.98722819740536638</v>
      </c>
      <c r="I87" s="111">
        <f t="shared" si="29"/>
        <v>0.98404853379868928</v>
      </c>
      <c r="J87" s="110">
        <f t="shared" si="29"/>
        <v>0.98055174084372154</v>
      </c>
      <c r="K87" s="68">
        <f t="shared" si="29"/>
        <v>0.9761202024740514</v>
      </c>
      <c r="L87" s="68">
        <f t="shared" si="29"/>
        <v>0.97052295703751523</v>
      </c>
      <c r="M87" s="68">
        <f t="shared" si="29"/>
        <v>0.96210506864950984</v>
      </c>
      <c r="N87" s="111">
        <f t="shared" si="29"/>
        <v>0.95173158662258783</v>
      </c>
      <c r="O87" s="110">
        <f t="shared" si="29"/>
        <v>0.9411396839314965</v>
      </c>
      <c r="P87" s="68">
        <f t="shared" si="29"/>
        <v>0.92832093317832287</v>
      </c>
      <c r="Q87" s="68">
        <f t="shared" si="29"/>
        <v>0.91148475222573688</v>
      </c>
      <c r="R87" s="68">
        <f t="shared" si="29"/>
        <v>0.89028585252412396</v>
      </c>
      <c r="S87" s="111">
        <f t="shared" si="29"/>
        <v>0.86478550539203169</v>
      </c>
      <c r="T87" s="111">
        <f t="shared" si="29"/>
        <v>0.83565345915250067</v>
      </c>
      <c r="U87" s="111">
        <f t="shared" si="29"/>
        <v>0.80379310109794888</v>
      </c>
      <c r="V87" s="111">
        <f t="shared" si="29"/>
        <v>0.77049089414179572</v>
      </c>
      <c r="W87" s="111">
        <f t="shared" si="29"/>
        <v>0.73677784561405146</v>
      </c>
      <c r="X87" s="116">
        <f t="shared" si="29"/>
        <v>0.70339115981233302</v>
      </c>
      <c r="Y87" s="116">
        <f t="shared" si="29"/>
        <v>0.66990053695470686</v>
      </c>
      <c r="Z87" s="116">
        <f t="shared" si="29"/>
        <v>0.63693899545602073</v>
      </c>
      <c r="AA87" s="116">
        <f t="shared" si="29"/>
        <v>0.60499806978887349</v>
      </c>
      <c r="AB87" s="116">
        <f t="shared" si="29"/>
        <v>0.5743313938427238</v>
      </c>
      <c r="AC87" s="116">
        <f t="shared" si="29"/>
        <v>0.54496433403924027</v>
      </c>
      <c r="AD87" s="116">
        <f t="shared" si="29"/>
        <v>0.51702726005896404</v>
      </c>
      <c r="AE87" s="116">
        <f t="shared" si="29"/>
        <v>0.49042490893241014</v>
      </c>
      <c r="AF87" s="116">
        <f t="shared" si="29"/>
        <v>0.46513185725651546</v>
      </c>
      <c r="AG87" s="116">
        <f t="shared" si="29"/>
        <v>0.44112780753090802</v>
      </c>
      <c r="AH87" s="116">
        <f t="shared" si="29"/>
        <v>0.41755153618302232</v>
      </c>
      <c r="AI87" s="116">
        <f t="shared" si="29"/>
        <v>0.39491386692777986</v>
      </c>
      <c r="AJ87" s="116">
        <f t="shared" si="29"/>
        <v>0.37333916666788736</v>
      </c>
      <c r="AK87" s="116">
        <f t="shared" si="29"/>
        <v>0.35281780454110384</v>
      </c>
      <c r="AL87" s="116">
        <f t="shared" si="29"/>
        <v>0.3333546341485138</v>
      </c>
      <c r="AM87" s="116">
        <f t="shared" si="29"/>
        <v>0.31511449308602391</v>
      </c>
    </row>
    <row r="88" spans="2:39" x14ac:dyDescent="0.25">
      <c r="B88" s="230"/>
      <c r="C88" s="35" t="s">
        <v>34</v>
      </c>
      <c r="D88" s="3" t="s">
        <v>423</v>
      </c>
      <c r="E88" s="111">
        <f t="shared" si="29"/>
        <v>7.5360400972489787E-5</v>
      </c>
      <c r="F88" s="111">
        <f t="shared" si="29"/>
        <v>4.2703990864314768E-3</v>
      </c>
      <c r="G88" s="111">
        <f t="shared" si="29"/>
        <v>9.7950047117419808E-3</v>
      </c>
      <c r="H88" s="111">
        <f t="shared" si="29"/>
        <v>1.2771802683549533E-2</v>
      </c>
      <c r="I88" s="111">
        <f t="shared" si="29"/>
        <v>1.5951466142138247E-2</v>
      </c>
      <c r="J88" s="110">
        <f t="shared" si="29"/>
        <v>1.9448259140068536E-2</v>
      </c>
      <c r="K88" s="68">
        <f t="shared" si="29"/>
        <v>2.3879797602268819E-2</v>
      </c>
      <c r="L88" s="68">
        <f t="shared" si="29"/>
        <v>2.9477042879881187E-2</v>
      </c>
      <c r="M88" s="68">
        <f t="shared" si="29"/>
        <v>3.7894931323060294E-2</v>
      </c>
      <c r="N88" s="111">
        <f t="shared" si="29"/>
        <v>4.8268413132599698E-2</v>
      </c>
      <c r="O88" s="110">
        <f t="shared" si="29"/>
        <v>5.8860316068503567E-2</v>
      </c>
      <c r="P88" s="68">
        <f t="shared" si="29"/>
        <v>7.1679066821677087E-2</v>
      </c>
      <c r="Q88" s="68">
        <f t="shared" si="29"/>
        <v>8.8515247774263187E-2</v>
      </c>
      <c r="R88" s="68">
        <f t="shared" si="29"/>
        <v>0.1097141473064536</v>
      </c>
      <c r="S88" s="111">
        <f t="shared" si="29"/>
        <v>0.13521449440735922</v>
      </c>
      <c r="T88" s="111">
        <f t="shared" si="29"/>
        <v>0.16434654090571771</v>
      </c>
      <c r="U88" s="111">
        <f t="shared" si="29"/>
        <v>0.19620689875419989</v>
      </c>
      <c r="V88" s="111">
        <f t="shared" si="29"/>
        <v>0.22950910591828033</v>
      </c>
      <c r="W88" s="111">
        <f t="shared" si="29"/>
        <v>0.26322215441645697</v>
      </c>
      <c r="X88" s="116">
        <f t="shared" si="29"/>
        <v>0.29660884015668659</v>
      </c>
      <c r="Y88" s="116">
        <f t="shared" si="29"/>
        <v>0.33009946335942097</v>
      </c>
      <c r="Z88" s="116">
        <f t="shared" si="29"/>
        <v>0.36306100454397933</v>
      </c>
      <c r="AA88" s="116">
        <f t="shared" si="29"/>
        <v>0.39500193021112645</v>
      </c>
      <c r="AB88" s="116">
        <f t="shared" si="29"/>
        <v>0.4256686058312284</v>
      </c>
      <c r="AC88" s="116">
        <f t="shared" si="29"/>
        <v>0.45503566596075973</v>
      </c>
      <c r="AD88" s="116">
        <f t="shared" si="29"/>
        <v>0.48297273994103607</v>
      </c>
      <c r="AE88" s="116">
        <f t="shared" si="29"/>
        <v>0.50957509106758991</v>
      </c>
      <c r="AF88" s="116">
        <f t="shared" si="29"/>
        <v>0.53486814240169933</v>
      </c>
      <c r="AG88" s="116">
        <f t="shared" si="29"/>
        <v>0.55887219246909203</v>
      </c>
      <c r="AH88" s="116">
        <f t="shared" si="29"/>
        <v>0.58244846381697779</v>
      </c>
      <c r="AI88" s="116">
        <f t="shared" si="29"/>
        <v>0.60508613271689116</v>
      </c>
      <c r="AJ88" s="116">
        <f t="shared" si="29"/>
        <v>0.62666083333211275</v>
      </c>
      <c r="AK88" s="116">
        <f t="shared" si="29"/>
        <v>0.64718219542245403</v>
      </c>
      <c r="AL88" s="116">
        <f t="shared" si="29"/>
        <v>0.66664536588837764</v>
      </c>
      <c r="AM88" s="116">
        <f t="shared" si="29"/>
        <v>0.68488550680188531</v>
      </c>
    </row>
    <row r="89" spans="2:39" x14ac:dyDescent="0.25">
      <c r="B89" s="230"/>
      <c r="C89" s="35" t="s">
        <v>35</v>
      </c>
      <c r="D89" s="3" t="s">
        <v>442</v>
      </c>
      <c r="E89" s="111">
        <f t="shared" si="29"/>
        <v>7.0669503868701714E-7</v>
      </c>
      <c r="F89" s="111">
        <f t="shared" si="29"/>
        <v>8.0784023364161935E-6</v>
      </c>
      <c r="G89" s="111">
        <f t="shared" si="29"/>
        <v>9.1479260481054054E-6</v>
      </c>
      <c r="H89" s="111">
        <f t="shared" si="29"/>
        <v>9.9030256280652758E-6</v>
      </c>
      <c r="I89" s="111">
        <f t="shared" si="29"/>
        <v>1.1197215288791383E-5</v>
      </c>
      <c r="J89" s="110">
        <f t="shared" si="29"/>
        <v>1.2255355231968065E-5</v>
      </c>
      <c r="K89" s="68">
        <f t="shared" si="29"/>
        <v>1.401376797583029E-5</v>
      </c>
      <c r="L89" s="68">
        <f t="shared" si="29"/>
        <v>1.6102356309397358E-5</v>
      </c>
      <c r="M89" s="68">
        <f t="shared" si="29"/>
        <v>1.86230256277116E-5</v>
      </c>
      <c r="N89" s="111">
        <f t="shared" si="29"/>
        <v>2.1240480026781738E-5</v>
      </c>
      <c r="O89" s="110">
        <f t="shared" si="29"/>
        <v>2.3337570380642298E-5</v>
      </c>
      <c r="P89" s="68">
        <f t="shared" si="29"/>
        <v>2.4993186087175325E-5</v>
      </c>
      <c r="Q89" s="68">
        <f t="shared" si="29"/>
        <v>2.6155754848130087E-5</v>
      </c>
      <c r="R89" s="68">
        <f t="shared" si="29"/>
        <v>2.6833417107191965E-5</v>
      </c>
      <c r="S89" s="111">
        <f t="shared" si="29"/>
        <v>2.7031836165473513E-5</v>
      </c>
      <c r="T89" s="111">
        <f t="shared" si="29"/>
        <v>2.6786071994750484E-5</v>
      </c>
      <c r="U89" s="111">
        <f t="shared" si="29"/>
        <v>2.618998071530113E-5</v>
      </c>
      <c r="V89" s="111">
        <f t="shared" si="29"/>
        <v>2.5359400739953363E-5</v>
      </c>
      <c r="W89" s="111">
        <f t="shared" si="29"/>
        <v>2.4395027500538182E-5</v>
      </c>
      <c r="X89" s="116">
        <f t="shared" si="29"/>
        <v>2.3369759244729762E-5</v>
      </c>
      <c r="Y89" s="116">
        <f t="shared" si="29"/>
        <v>2.2301286646223551E-5</v>
      </c>
      <c r="Z89" s="116">
        <f t="shared" si="29"/>
        <v>2.1227906539447248E-5</v>
      </c>
      <c r="AA89" s="116">
        <f t="shared" si="29"/>
        <v>2.0176129284962725E-5</v>
      </c>
      <c r="AB89" s="116">
        <f t="shared" si="29"/>
        <v>1.9160157615579923E-5</v>
      </c>
      <c r="AC89" s="116">
        <f t="shared" si="29"/>
        <v>1.8183994111794811E-5</v>
      </c>
      <c r="AD89" s="116">
        <f t="shared" si="29"/>
        <v>1.7253663232767967E-5</v>
      </c>
      <c r="AE89" s="116">
        <f t="shared" si="29"/>
        <v>1.6366888909449075E-5</v>
      </c>
      <c r="AF89" s="116">
        <f t="shared" si="29"/>
        <v>1.552329272307621E-5</v>
      </c>
      <c r="AG89" s="116">
        <f t="shared" si="29"/>
        <v>1.4722445255687081E-5</v>
      </c>
      <c r="AH89" s="116">
        <f t="shared" si="29"/>
        <v>1.3935749887340584E-5</v>
      </c>
      <c r="AI89" s="116">
        <f t="shared" si="29"/>
        <v>1.3180299450926736E-5</v>
      </c>
      <c r="AJ89" s="116">
        <f t="shared" si="29"/>
        <v>1.2460282948949863E-5</v>
      </c>
      <c r="AK89" s="116">
        <f t="shared" si="29"/>
        <v>1.1775399413355226E-5</v>
      </c>
      <c r="AL89" s="116">
        <f t="shared" si="29"/>
        <v>1.1125821605987239E-5</v>
      </c>
      <c r="AM89" s="116">
        <f t="shared" si="29"/>
        <v>1.0517056647725872E-5</v>
      </c>
    </row>
    <row r="90" spans="2:39" x14ac:dyDescent="0.25">
      <c r="B90" s="230"/>
      <c r="C90" s="58" t="s">
        <v>52</v>
      </c>
      <c r="D90" s="58" t="s">
        <v>130</v>
      </c>
      <c r="E90" s="59">
        <f>E43</f>
        <v>32001.800439999999</v>
      </c>
      <c r="F90" s="59">
        <f t="shared" ref="F90:AM90" si="30">F43</f>
        <v>35911.307350000003</v>
      </c>
      <c r="G90" s="59">
        <f t="shared" si="30"/>
        <v>36708.886160000002</v>
      </c>
      <c r="H90" s="59">
        <f t="shared" si="30"/>
        <v>37113.743849999999</v>
      </c>
      <c r="I90" s="59">
        <f t="shared" si="30"/>
        <v>37179.433069999999</v>
      </c>
      <c r="J90" s="59">
        <f t="shared" si="30"/>
        <v>37014.380270000001</v>
      </c>
      <c r="K90" s="59">
        <f t="shared" si="30"/>
        <v>36687.539709999997</v>
      </c>
      <c r="L90" s="59">
        <f t="shared" si="30"/>
        <v>36318.101560000003</v>
      </c>
      <c r="M90" s="59">
        <f t="shared" si="30"/>
        <v>36456.715470000003</v>
      </c>
      <c r="N90" s="59">
        <f t="shared" si="30"/>
        <v>36762.837140000003</v>
      </c>
      <c r="O90" s="59">
        <f t="shared" si="30"/>
        <v>36638.10873</v>
      </c>
      <c r="P90" s="59">
        <f t="shared" si="30"/>
        <v>36313.892820000001</v>
      </c>
      <c r="Q90" s="59">
        <f t="shared" si="30"/>
        <v>35896.839469999999</v>
      </c>
      <c r="R90" s="59">
        <f t="shared" si="30"/>
        <v>35414.42858</v>
      </c>
      <c r="S90" s="59">
        <f t="shared" si="30"/>
        <v>34893.727729999999</v>
      </c>
      <c r="T90" s="59">
        <f t="shared" si="30"/>
        <v>34353.449430000001</v>
      </c>
      <c r="U90" s="59">
        <f t="shared" si="30"/>
        <v>33817.743499999997</v>
      </c>
      <c r="V90" s="59">
        <f t="shared" si="30"/>
        <v>33291.168519999999</v>
      </c>
      <c r="W90" s="59">
        <f t="shared" si="30"/>
        <v>32777.907619999998</v>
      </c>
      <c r="X90" s="59">
        <f t="shared" si="30"/>
        <v>32278.396199999999</v>
      </c>
      <c r="Y90" s="59">
        <f t="shared" si="30"/>
        <v>31834.17108</v>
      </c>
      <c r="Z90" s="59">
        <f t="shared" si="30"/>
        <v>31428.593919999999</v>
      </c>
      <c r="AA90" s="59">
        <f t="shared" si="30"/>
        <v>31044.272400000002</v>
      </c>
      <c r="AB90" s="59">
        <f t="shared" si="30"/>
        <v>30670.348720000002</v>
      </c>
      <c r="AC90" s="59">
        <f t="shared" si="30"/>
        <v>30304.93577</v>
      </c>
      <c r="AD90" s="59">
        <f t="shared" si="30"/>
        <v>29947.084159999999</v>
      </c>
      <c r="AE90" s="59">
        <f t="shared" si="30"/>
        <v>29598.847989999998</v>
      </c>
      <c r="AF90" s="59">
        <f t="shared" si="30"/>
        <v>29258.144390000001</v>
      </c>
      <c r="AG90" s="59">
        <f t="shared" si="30"/>
        <v>28922.241699999999</v>
      </c>
      <c r="AH90" s="59">
        <f t="shared" si="30"/>
        <v>28518.344079999999</v>
      </c>
      <c r="AI90" s="59">
        <f t="shared" si="30"/>
        <v>28142.938450000001</v>
      </c>
      <c r="AJ90" s="59">
        <f t="shared" si="30"/>
        <v>27784.679899999999</v>
      </c>
      <c r="AK90" s="59">
        <f t="shared" si="30"/>
        <v>27440.71488</v>
      </c>
      <c r="AL90" s="59">
        <f t="shared" si="30"/>
        <v>27106.677769999998</v>
      </c>
      <c r="AM90" s="59">
        <f t="shared" si="30"/>
        <v>26764.013500000001</v>
      </c>
    </row>
    <row r="91" spans="2:39" x14ac:dyDescent="0.25">
      <c r="B91" s="230"/>
      <c r="C91" s="60" t="s">
        <v>45</v>
      </c>
      <c r="D91" s="3" t="s">
        <v>423</v>
      </c>
      <c r="E91" s="128">
        <f t="shared" ref="E91:AM98" si="31">E49/E$48</f>
        <v>7.5360400972489787E-5</v>
      </c>
      <c r="F91" s="128">
        <f t="shared" si="31"/>
        <v>4.2703990864314768E-3</v>
      </c>
      <c r="G91" s="128">
        <f t="shared" si="31"/>
        <v>9.7950047117419808E-3</v>
      </c>
      <c r="H91" s="128">
        <f t="shared" si="31"/>
        <v>1.2771802683549533E-2</v>
      </c>
      <c r="I91" s="128">
        <f t="shared" si="31"/>
        <v>1.5951466142138247E-2</v>
      </c>
      <c r="J91" s="127">
        <f t="shared" si="31"/>
        <v>1.9448259140068536E-2</v>
      </c>
      <c r="K91" s="71">
        <f t="shared" si="31"/>
        <v>2.3879797602268819E-2</v>
      </c>
      <c r="L91" s="71">
        <f t="shared" si="31"/>
        <v>2.9477042879881187E-2</v>
      </c>
      <c r="M91" s="71">
        <f t="shared" si="31"/>
        <v>3.7894931323060294E-2</v>
      </c>
      <c r="N91" s="128">
        <f t="shared" si="31"/>
        <v>4.8268413132599698E-2</v>
      </c>
      <c r="O91" s="127">
        <f t="shared" si="31"/>
        <v>5.8860316068503567E-2</v>
      </c>
      <c r="P91" s="71">
        <f t="shared" si="31"/>
        <v>7.1679066821677087E-2</v>
      </c>
      <c r="Q91" s="71">
        <f t="shared" si="31"/>
        <v>8.8515247774263187E-2</v>
      </c>
      <c r="R91" s="71">
        <f t="shared" si="31"/>
        <v>0.1097141473064536</v>
      </c>
      <c r="S91" s="128">
        <f t="shared" si="31"/>
        <v>0.13521449440735922</v>
      </c>
      <c r="T91" s="128">
        <f t="shared" si="31"/>
        <v>0.16434654090571771</v>
      </c>
      <c r="U91" s="128">
        <f t="shared" si="31"/>
        <v>0.19620689875419989</v>
      </c>
      <c r="V91" s="128">
        <f t="shared" si="31"/>
        <v>0.22950910591828033</v>
      </c>
      <c r="W91" s="128">
        <f t="shared" si="31"/>
        <v>0.26322215441645697</v>
      </c>
      <c r="X91" s="120">
        <f t="shared" si="31"/>
        <v>0.29660884015668659</v>
      </c>
      <c r="Y91" s="120">
        <f t="shared" si="31"/>
        <v>0.33009946335942097</v>
      </c>
      <c r="Z91" s="120">
        <f t="shared" si="31"/>
        <v>0.36306100454397933</v>
      </c>
      <c r="AA91" s="120">
        <f t="shared" si="31"/>
        <v>0.39500193021112645</v>
      </c>
      <c r="AB91" s="120">
        <f t="shared" si="31"/>
        <v>0.4256686058312284</v>
      </c>
      <c r="AC91" s="120">
        <f t="shared" si="31"/>
        <v>0.45503566596075973</v>
      </c>
      <c r="AD91" s="120">
        <f t="shared" si="31"/>
        <v>0.48297273994103607</v>
      </c>
      <c r="AE91" s="120">
        <f t="shared" si="31"/>
        <v>0.50957509106758991</v>
      </c>
      <c r="AF91" s="120">
        <f t="shared" si="31"/>
        <v>0.53486814240169933</v>
      </c>
      <c r="AG91" s="120">
        <f t="shared" si="31"/>
        <v>0.55887219246909203</v>
      </c>
      <c r="AH91" s="120">
        <f t="shared" si="31"/>
        <v>0.58244846381697779</v>
      </c>
      <c r="AI91" s="120">
        <f t="shared" si="31"/>
        <v>0.60508613271689116</v>
      </c>
      <c r="AJ91" s="120">
        <f t="shared" si="31"/>
        <v>0.62666083333211275</v>
      </c>
      <c r="AK91" s="120">
        <f t="shared" si="31"/>
        <v>0.64718219542245403</v>
      </c>
      <c r="AL91" s="120">
        <f t="shared" si="31"/>
        <v>0.66664536588837764</v>
      </c>
      <c r="AM91" s="120">
        <f t="shared" si="31"/>
        <v>0.68488550680188531</v>
      </c>
    </row>
    <row r="92" spans="2:39" x14ac:dyDescent="0.25">
      <c r="B92" s="230"/>
      <c r="C92" s="62" t="s">
        <v>27</v>
      </c>
      <c r="D92" s="63" t="s">
        <v>443</v>
      </c>
      <c r="E92" s="111">
        <f t="shared" si="31"/>
        <v>2.2444105679199093E-7</v>
      </c>
      <c r="F92" s="111">
        <f t="shared" si="31"/>
        <v>3.9742572056486267E-5</v>
      </c>
      <c r="G92" s="111">
        <f t="shared" si="31"/>
        <v>7.6582216789331203E-5</v>
      </c>
      <c r="H92" s="111">
        <f t="shared" si="31"/>
        <v>1.0066940684023717E-4</v>
      </c>
      <c r="I92" s="111">
        <f t="shared" si="31"/>
        <v>1.373787434139592E-4</v>
      </c>
      <c r="J92" s="110">
        <f t="shared" si="31"/>
        <v>1.8890594687781867E-4</v>
      </c>
      <c r="K92" s="68">
        <f t="shared" si="31"/>
        <v>3.1141867130670022E-4</v>
      </c>
      <c r="L92" s="68">
        <f t="shared" si="31"/>
        <v>5.0939076756081403E-4</v>
      </c>
      <c r="M92" s="68">
        <f t="shared" si="31"/>
        <v>8.0663422337645934E-4</v>
      </c>
      <c r="N92" s="111">
        <f t="shared" si="31"/>
        <v>1.1923794872813235E-3</v>
      </c>
      <c r="O92" s="110">
        <f t="shared" si="31"/>
        <v>1.6289848198722783E-3</v>
      </c>
      <c r="P92" s="68">
        <f t="shared" si="31"/>
        <v>2.1894371794315384E-3</v>
      </c>
      <c r="Q92" s="68">
        <f t="shared" si="31"/>
        <v>2.9538840902307438E-3</v>
      </c>
      <c r="R92" s="68">
        <f t="shared" si="31"/>
        <v>3.9561102527324752E-3</v>
      </c>
      <c r="S92" s="111">
        <f t="shared" si="31"/>
        <v>5.2162593635277392E-3</v>
      </c>
      <c r="T92" s="111">
        <f t="shared" si="31"/>
        <v>6.7290103537064223E-3</v>
      </c>
      <c r="U92" s="111">
        <f t="shared" si="31"/>
        <v>8.4706426672140327E-3</v>
      </c>
      <c r="V92" s="111">
        <f t="shared" si="31"/>
        <v>1.0395910452710056E-2</v>
      </c>
      <c r="W92" s="111">
        <f t="shared" si="31"/>
        <v>1.2462435800836514E-2</v>
      </c>
      <c r="X92" s="116">
        <f t="shared" si="31"/>
        <v>1.4636209701149898E-2</v>
      </c>
      <c r="Y92" s="116">
        <f t="shared" si="31"/>
        <v>1.6944499796914456E-2</v>
      </c>
      <c r="Z92" s="116">
        <f t="shared" si="31"/>
        <v>1.9357426213485532E-2</v>
      </c>
      <c r="AA92" s="116">
        <f t="shared" si="31"/>
        <v>2.1847750111869266E-2</v>
      </c>
      <c r="AB92" s="116">
        <f t="shared" si="31"/>
        <v>2.4398968056467536E-2</v>
      </c>
      <c r="AC92" s="116">
        <f t="shared" si="31"/>
        <v>2.7005432419037263E-2</v>
      </c>
      <c r="AD92" s="116">
        <f t="shared" si="31"/>
        <v>2.962892553276212E-2</v>
      </c>
      <c r="AE92" s="116">
        <f t="shared" si="31"/>
        <v>3.2271264051314183E-2</v>
      </c>
      <c r="AF92" s="116">
        <f t="shared" si="31"/>
        <v>3.4928949709787112E-2</v>
      </c>
      <c r="AG92" s="116">
        <f t="shared" si="31"/>
        <v>3.759816414921946E-2</v>
      </c>
      <c r="AH92" s="116">
        <f t="shared" si="31"/>
        <v>4.0803475150440784E-2</v>
      </c>
      <c r="AI92" s="116">
        <f t="shared" si="31"/>
        <v>4.404097444202739E-2</v>
      </c>
      <c r="AJ92" s="116">
        <f t="shared" si="31"/>
        <v>4.729613159948623E-2</v>
      </c>
      <c r="AK92" s="116">
        <f t="shared" si="31"/>
        <v>5.0564383547138846E-2</v>
      </c>
      <c r="AL92" s="116">
        <f t="shared" si="31"/>
        <v>5.3838965674176759E-2</v>
      </c>
      <c r="AM92" s="116">
        <f t="shared" si="31"/>
        <v>5.7090793239960066E-2</v>
      </c>
    </row>
    <row r="93" spans="2:39" x14ac:dyDescent="0.25">
      <c r="B93" s="230"/>
      <c r="C93" s="35" t="s">
        <v>28</v>
      </c>
      <c r="D93" s="54" t="s">
        <v>444</v>
      </c>
      <c r="E93" s="111">
        <f t="shared" si="31"/>
        <v>5.1448795922808401E-7</v>
      </c>
      <c r="F93" s="111">
        <f t="shared" si="31"/>
        <v>4.7647220005762333E-5</v>
      </c>
      <c r="G93" s="111">
        <f t="shared" si="31"/>
        <v>9.9365988635597441E-5</v>
      </c>
      <c r="H93" s="111">
        <f t="shared" si="31"/>
        <v>1.3015019968135066E-4</v>
      </c>
      <c r="I93" s="111">
        <f t="shared" si="31"/>
        <v>1.7044002096721589E-4</v>
      </c>
      <c r="J93" s="110">
        <f t="shared" si="31"/>
        <v>2.2219180696821645E-4</v>
      </c>
      <c r="K93" s="68">
        <f t="shared" si="31"/>
        <v>3.2493235807662179E-4</v>
      </c>
      <c r="L93" s="68">
        <f t="shared" si="31"/>
        <v>4.8164366166280411E-4</v>
      </c>
      <c r="M93" s="68">
        <f t="shared" si="31"/>
        <v>7.1683409498326915E-4</v>
      </c>
      <c r="N93" s="111">
        <f t="shared" si="31"/>
        <v>1.0183606463078328E-3</v>
      </c>
      <c r="O93" s="110">
        <f t="shared" si="31"/>
        <v>1.3517584192179453E-3</v>
      </c>
      <c r="P93" s="68">
        <f t="shared" si="31"/>
        <v>1.7738637578542042E-3</v>
      </c>
      <c r="Q93" s="68">
        <f t="shared" si="31"/>
        <v>2.3443491837305199E-3</v>
      </c>
      <c r="R93" s="68">
        <f t="shared" si="31"/>
        <v>3.0851985724740442E-3</v>
      </c>
      <c r="S93" s="111">
        <f t="shared" si="31"/>
        <v>4.0072429601662402E-3</v>
      </c>
      <c r="T93" s="111">
        <f t="shared" si="31"/>
        <v>5.1016977220036909E-3</v>
      </c>
      <c r="U93" s="111">
        <f t="shared" si="31"/>
        <v>6.3471682639026474E-3</v>
      </c>
      <c r="V93" s="111">
        <f t="shared" si="31"/>
        <v>7.7066497874914491E-3</v>
      </c>
      <c r="W93" s="111">
        <f t="shared" si="31"/>
        <v>9.1466595877848778E-3</v>
      </c>
      <c r="X93" s="116">
        <f t="shared" si="31"/>
        <v>1.0640751258886897E-2</v>
      </c>
      <c r="Y93" s="116">
        <f t="shared" si="31"/>
        <v>1.2206727413239749E-2</v>
      </c>
      <c r="Z93" s="116">
        <f t="shared" si="31"/>
        <v>1.382104563142989E-2</v>
      </c>
      <c r="AA93" s="116">
        <f t="shared" si="31"/>
        <v>1.5462790762652888E-2</v>
      </c>
      <c r="AB93" s="116">
        <f t="shared" si="31"/>
        <v>1.7119062498875948E-2</v>
      </c>
      <c r="AC93" s="116">
        <f t="shared" si="31"/>
        <v>1.878511608209886E-2</v>
      </c>
      <c r="AD93" s="116">
        <f t="shared" si="31"/>
        <v>2.043916677262245E-2</v>
      </c>
      <c r="AE93" s="116">
        <f t="shared" si="31"/>
        <v>2.2082172046723633E-2</v>
      </c>
      <c r="AF93" s="116">
        <f t="shared" si="31"/>
        <v>2.37115877224639E-2</v>
      </c>
      <c r="AG93" s="116">
        <f t="shared" si="31"/>
        <v>2.5324667873168352E-2</v>
      </c>
      <c r="AH93" s="116">
        <f t="shared" si="31"/>
        <v>2.7161365667904516E-2</v>
      </c>
      <c r="AI93" s="116">
        <f t="shared" si="31"/>
        <v>2.8990583348271509E-2</v>
      </c>
      <c r="AJ93" s="116">
        <f t="shared" si="31"/>
        <v>3.0802016761762297E-2</v>
      </c>
      <c r="AK93" s="116">
        <f t="shared" si="31"/>
        <v>3.2592401189658803E-2</v>
      </c>
      <c r="AL93" s="116">
        <f t="shared" si="31"/>
        <v>3.4357268264380153E-2</v>
      </c>
      <c r="AM93" s="116">
        <f t="shared" si="31"/>
        <v>3.6079323655998002E-2</v>
      </c>
    </row>
    <row r="94" spans="2:39" x14ac:dyDescent="0.25">
      <c r="B94" s="230"/>
      <c r="C94" s="35" t="s">
        <v>29</v>
      </c>
      <c r="D94" s="54" t="s">
        <v>445</v>
      </c>
      <c r="E94" s="111">
        <f t="shared" si="31"/>
        <v>2.1062929920576682E-6</v>
      </c>
      <c r="F94" s="111">
        <f t="shared" si="31"/>
        <v>1.268512513510595E-4</v>
      </c>
      <c r="G94" s="111">
        <f t="shared" si="31"/>
        <v>2.8707927214318942E-4</v>
      </c>
      <c r="H94" s="111">
        <f t="shared" si="31"/>
        <v>3.7461820575667955E-4</v>
      </c>
      <c r="I94" s="111">
        <f t="shared" si="31"/>
        <v>4.7089442372715554E-4</v>
      </c>
      <c r="J94" s="110">
        <f t="shared" si="31"/>
        <v>5.7943874471358262E-4</v>
      </c>
      <c r="K94" s="68">
        <f t="shared" si="31"/>
        <v>7.2885849504679152E-4</v>
      </c>
      <c r="L94" s="68">
        <f t="shared" si="31"/>
        <v>9.2456967318420595E-4</v>
      </c>
      <c r="M94" s="68">
        <f t="shared" si="31"/>
        <v>1.2185034177463162E-3</v>
      </c>
      <c r="N94" s="111">
        <f t="shared" si="31"/>
        <v>1.5831403846324574E-3</v>
      </c>
      <c r="O94" s="110">
        <f t="shared" si="31"/>
        <v>1.9604727623723033E-3</v>
      </c>
      <c r="P94" s="68">
        <f t="shared" si="31"/>
        <v>2.4200146364258615E-3</v>
      </c>
      <c r="Q94" s="68">
        <f t="shared" si="31"/>
        <v>3.0255138642711265E-3</v>
      </c>
      <c r="R94" s="68">
        <f t="shared" si="31"/>
        <v>3.7906567798135574E-3</v>
      </c>
      <c r="S94" s="111">
        <f t="shared" si="31"/>
        <v>4.7146683860480737E-3</v>
      </c>
      <c r="T94" s="111">
        <f t="shared" si="31"/>
        <v>5.7746884575369415E-3</v>
      </c>
      <c r="U94" s="111">
        <f t="shared" si="31"/>
        <v>6.9384902218564649E-3</v>
      </c>
      <c r="V94" s="111">
        <f t="shared" si="31"/>
        <v>8.1593467209423141E-3</v>
      </c>
      <c r="W94" s="111">
        <f t="shared" si="31"/>
        <v>9.3988465942232112E-3</v>
      </c>
      <c r="X94" s="116">
        <f t="shared" si="31"/>
        <v>1.0628666971997823E-2</v>
      </c>
      <c r="Y94" s="116">
        <f t="shared" si="31"/>
        <v>1.1863056454366456E-2</v>
      </c>
      <c r="Z94" s="116">
        <f t="shared" si="31"/>
        <v>1.3077006551618585E-2</v>
      </c>
      <c r="AA94" s="116">
        <f t="shared" si="31"/>
        <v>1.425034154770527E-2</v>
      </c>
      <c r="AB94" s="116">
        <f t="shared" si="31"/>
        <v>1.5371463445166853E-2</v>
      </c>
      <c r="AC94" s="116">
        <f t="shared" si="31"/>
        <v>1.6437268155939076E-2</v>
      </c>
      <c r="AD94" s="116">
        <f t="shared" si="31"/>
        <v>1.7442407731891853E-2</v>
      </c>
      <c r="AE94" s="116">
        <f t="shared" si="31"/>
        <v>1.8389000233518887E-2</v>
      </c>
      <c r="AF94" s="116">
        <f t="shared" si="31"/>
        <v>1.9276651317394089E-2</v>
      </c>
      <c r="AG94" s="116">
        <f t="shared" si="31"/>
        <v>2.0104832499895746E-2</v>
      </c>
      <c r="AH94" s="116">
        <f t="shared" si="31"/>
        <v>2.0845407402770914E-2</v>
      </c>
      <c r="AI94" s="116">
        <f t="shared" si="31"/>
        <v>2.1532204953530712E-2</v>
      </c>
      <c r="AJ94" s="116">
        <f t="shared" si="31"/>
        <v>2.2159018808778866E-2</v>
      </c>
      <c r="AK94" s="116">
        <f t="shared" si="31"/>
        <v>2.2725132119444259E-2</v>
      </c>
      <c r="AL94" s="116">
        <f t="shared" si="31"/>
        <v>2.3229473281188455E-2</v>
      </c>
      <c r="AM94" s="116">
        <f t="shared" si="31"/>
        <v>2.3665926143700382E-2</v>
      </c>
    </row>
    <row r="95" spans="2:39" x14ac:dyDescent="0.25">
      <c r="B95" s="230"/>
      <c r="C95" s="35" t="s">
        <v>30</v>
      </c>
      <c r="D95" s="54" t="s">
        <v>446</v>
      </c>
      <c r="E95" s="111">
        <f t="shared" si="31"/>
        <v>4.9480620659729355E-5</v>
      </c>
      <c r="F95" s="111">
        <f t="shared" si="31"/>
        <v>2.7971456433206125E-3</v>
      </c>
      <c r="G95" s="111">
        <f t="shared" si="31"/>
        <v>6.4219130314249777E-3</v>
      </c>
      <c r="H95" s="111">
        <f t="shared" si="31"/>
        <v>8.3738881573382426E-3</v>
      </c>
      <c r="I95" s="111">
        <f t="shared" si="31"/>
        <v>1.0453260671518895E-2</v>
      </c>
      <c r="J95" s="110">
        <f t="shared" si="31"/>
        <v>1.2734246613390617E-2</v>
      </c>
      <c r="K95" s="68">
        <f t="shared" si="31"/>
        <v>1.559473790890515E-2</v>
      </c>
      <c r="L95" s="68">
        <f t="shared" si="31"/>
        <v>1.9184141837616468E-2</v>
      </c>
      <c r="M95" s="68">
        <f t="shared" si="31"/>
        <v>2.4582506129425596E-2</v>
      </c>
      <c r="N95" s="111">
        <f t="shared" si="31"/>
        <v>3.1224166204273533E-2</v>
      </c>
      <c r="O95" s="110">
        <f t="shared" si="31"/>
        <v>3.7981864054585986E-2</v>
      </c>
      <c r="P95" s="68">
        <f t="shared" si="31"/>
        <v>4.6142207179648773E-2</v>
      </c>
      <c r="Q95" s="68">
        <f t="shared" si="31"/>
        <v>5.6843870271791372E-2</v>
      </c>
      <c r="R95" s="68">
        <f t="shared" si="31"/>
        <v>7.029607583181284E-2</v>
      </c>
      <c r="S95" s="111">
        <f t="shared" si="31"/>
        <v>8.6446868914111297E-2</v>
      </c>
      <c r="T95" s="111">
        <f t="shared" si="31"/>
        <v>0.10485624837587089</v>
      </c>
      <c r="U95" s="111">
        <f t="shared" si="31"/>
        <v>0.12494005314103823</v>
      </c>
      <c r="V95" s="111">
        <f t="shared" si="31"/>
        <v>0.14587291224345403</v>
      </c>
      <c r="W95" s="111">
        <f t="shared" si="31"/>
        <v>0.16699674992860328</v>
      </c>
      <c r="X95" s="116">
        <f t="shared" si="31"/>
        <v>0.18784305996590997</v>
      </c>
      <c r="Y95" s="116">
        <f t="shared" si="31"/>
        <v>0.20868077165588944</v>
      </c>
      <c r="Z95" s="116">
        <f t="shared" si="31"/>
        <v>0.22910794368747883</v>
      </c>
      <c r="AA95" s="116">
        <f t="shared" si="31"/>
        <v>0.24881475208934192</v>
      </c>
      <c r="AB95" s="116">
        <f t="shared" si="31"/>
        <v>0.26764267136118824</v>
      </c>
      <c r="AC95" s="116">
        <f t="shared" si="31"/>
        <v>0.28557805555777954</v>
      </c>
      <c r="AD95" s="116">
        <f t="shared" si="31"/>
        <v>0.30255664940836735</v>
      </c>
      <c r="AE95" s="116">
        <f t="shared" si="31"/>
        <v>0.31864044327625202</v>
      </c>
      <c r="AF95" s="116">
        <f t="shared" si="31"/>
        <v>0.33384828705468017</v>
      </c>
      <c r="AG95" s="116">
        <f t="shared" si="31"/>
        <v>0.34819584679703441</v>
      </c>
      <c r="AH95" s="116">
        <f t="shared" si="31"/>
        <v>0.36194967039615017</v>
      </c>
      <c r="AI95" s="116">
        <f t="shared" si="31"/>
        <v>0.37506363625650468</v>
      </c>
      <c r="AJ95" s="116">
        <f t="shared" si="31"/>
        <v>0.38746398370419954</v>
      </c>
      <c r="AK95" s="116">
        <f t="shared" si="31"/>
        <v>0.39915991321287325</v>
      </c>
      <c r="AL95" s="116">
        <f t="shared" si="31"/>
        <v>0.41015233420838354</v>
      </c>
      <c r="AM95" s="116">
        <f t="shared" si="31"/>
        <v>0.42034919725324449</v>
      </c>
    </row>
    <row r="96" spans="2:39" x14ac:dyDescent="0.25">
      <c r="B96" s="230"/>
      <c r="C96" s="35" t="s">
        <v>31</v>
      </c>
      <c r="D96" s="54" t="s">
        <v>447</v>
      </c>
      <c r="E96" s="111">
        <f t="shared" si="31"/>
        <v>1.950220135801834E-5</v>
      </c>
      <c r="F96" s="111">
        <f t="shared" si="31"/>
        <v>1.0878359720869364E-3</v>
      </c>
      <c r="G96" s="111">
        <f t="shared" si="31"/>
        <v>2.5054765984760135E-3</v>
      </c>
      <c r="H96" s="111">
        <f t="shared" si="31"/>
        <v>3.2665965953203075E-3</v>
      </c>
      <c r="I96" s="111">
        <f t="shared" si="31"/>
        <v>4.0714012264523218E-3</v>
      </c>
      <c r="J96" s="110">
        <f t="shared" si="31"/>
        <v>4.9481256112896147E-3</v>
      </c>
      <c r="K96" s="68">
        <f t="shared" si="31"/>
        <v>6.0161661873401216E-3</v>
      </c>
      <c r="L96" s="68">
        <f t="shared" si="31"/>
        <v>7.3325306324188823E-3</v>
      </c>
      <c r="M96" s="68">
        <f t="shared" si="31"/>
        <v>9.3126092689117396E-3</v>
      </c>
      <c r="N96" s="111">
        <f t="shared" si="31"/>
        <v>1.1738036655241674E-2</v>
      </c>
      <c r="O96" s="110">
        <f t="shared" si="31"/>
        <v>1.4182440505574646E-2</v>
      </c>
      <c r="P96" s="68">
        <f t="shared" si="31"/>
        <v>1.7116805633618653E-2</v>
      </c>
      <c r="Q96" s="68">
        <f t="shared" si="31"/>
        <v>2.0949743495621453E-2</v>
      </c>
      <c r="R96" s="68">
        <f t="shared" si="31"/>
        <v>2.5746499643225361E-2</v>
      </c>
      <c r="S96" s="111">
        <f t="shared" si="31"/>
        <v>3.1476279676926337E-2</v>
      </c>
      <c r="T96" s="111">
        <f t="shared" si="31"/>
        <v>3.7968310828808673E-2</v>
      </c>
      <c r="U96" s="111">
        <f t="shared" si="31"/>
        <v>4.5004550170534001E-2</v>
      </c>
      <c r="V96" s="111">
        <f t="shared" si="31"/>
        <v>5.2282996944199786E-2</v>
      </c>
      <c r="W96" s="111">
        <f t="shared" si="31"/>
        <v>5.956639708779557E-2</v>
      </c>
      <c r="X96" s="116">
        <f t="shared" si="31"/>
        <v>6.6688166000019547E-2</v>
      </c>
      <c r="Y96" s="116">
        <f t="shared" si="31"/>
        <v>7.3741447581615507E-2</v>
      </c>
      <c r="Z96" s="116">
        <f t="shared" si="31"/>
        <v>8.0584140876513E-2</v>
      </c>
      <c r="AA96" s="116">
        <f t="shared" si="31"/>
        <v>8.7109253396449385E-2</v>
      </c>
      <c r="AB96" s="116">
        <f t="shared" si="31"/>
        <v>9.3264099932933525E-2</v>
      </c>
      <c r="AC96" s="116">
        <f t="shared" si="31"/>
        <v>9.904756808530929E-2</v>
      </c>
      <c r="AD96" s="116">
        <f t="shared" si="31"/>
        <v>0.10445336949291828</v>
      </c>
      <c r="AE96" s="116">
        <f t="shared" si="31"/>
        <v>0.10950601530488824</v>
      </c>
      <c r="AF96" s="116">
        <f t="shared" si="31"/>
        <v>0.11421568057959809</v>
      </c>
      <c r="AG96" s="116">
        <f t="shared" si="31"/>
        <v>0.11859145904309348</v>
      </c>
      <c r="AH96" s="116">
        <f t="shared" si="31"/>
        <v>0.12253123320195246</v>
      </c>
      <c r="AI96" s="116">
        <f t="shared" si="31"/>
        <v>0.12622038143994874</v>
      </c>
      <c r="AJ96" s="116">
        <f t="shared" si="31"/>
        <v>0.12963875340525338</v>
      </c>
      <c r="AK96" s="116">
        <f t="shared" si="31"/>
        <v>0.13279347830168484</v>
      </c>
      <c r="AL96" s="116">
        <f t="shared" si="31"/>
        <v>0.1356894048842342</v>
      </c>
      <c r="AM96" s="116">
        <f t="shared" si="31"/>
        <v>0.13830517702436518</v>
      </c>
    </row>
    <row r="97" spans="2:40" x14ac:dyDescent="0.25">
      <c r="B97" s="230"/>
      <c r="C97" s="35" t="s">
        <v>32</v>
      </c>
      <c r="D97" s="54" t="s">
        <v>448</v>
      </c>
      <c r="E97" s="111">
        <f t="shared" si="31"/>
        <v>2.6587632861321598E-7</v>
      </c>
      <c r="F97" s="111">
        <f t="shared" si="31"/>
        <v>4.663411620407075E-6</v>
      </c>
      <c r="G97" s="111">
        <f t="shared" si="31"/>
        <v>1.2611238962201189E-5</v>
      </c>
      <c r="H97" s="111">
        <f t="shared" si="31"/>
        <v>1.5413251816146273E-5</v>
      </c>
      <c r="I97" s="111">
        <f t="shared" si="31"/>
        <v>1.8443032130398215E-5</v>
      </c>
      <c r="J97" s="110">
        <f t="shared" si="31"/>
        <v>2.180252454352385E-5</v>
      </c>
      <c r="K97" s="68">
        <f t="shared" si="31"/>
        <v>2.605305748914718E-5</v>
      </c>
      <c r="L97" s="68">
        <f t="shared" si="31"/>
        <v>3.1424254159170316E-5</v>
      </c>
      <c r="M97" s="68">
        <f t="shared" si="31"/>
        <v>3.9536641889368754E-5</v>
      </c>
      <c r="N97" s="111">
        <f t="shared" si="31"/>
        <v>4.9553388550032885E-5</v>
      </c>
      <c r="O97" s="110">
        <f t="shared" si="31"/>
        <v>5.978842442831519E-5</v>
      </c>
      <c r="P97" s="68">
        <f t="shared" si="31"/>
        <v>7.2194738966572741E-5</v>
      </c>
      <c r="Q97" s="68">
        <f t="shared" si="31"/>
        <v>8.8511512069338179E-5</v>
      </c>
      <c r="R97" s="68">
        <f t="shared" si="31"/>
        <v>1.090636176516278E-4</v>
      </c>
      <c r="S97" s="111">
        <f t="shared" si="31"/>
        <v>1.3377784503622021E-4</v>
      </c>
      <c r="T97" s="111">
        <f t="shared" si="31"/>
        <v>1.6198811086901672E-4</v>
      </c>
      <c r="U97" s="111">
        <f t="shared" si="31"/>
        <v>1.9280530047783941E-4</v>
      </c>
      <c r="V97" s="111">
        <f t="shared" si="31"/>
        <v>2.2497077396068524E-4</v>
      </c>
      <c r="W97" s="111">
        <f t="shared" si="31"/>
        <v>2.574797164249251E-4</v>
      </c>
      <c r="X97" s="116">
        <f t="shared" si="31"/>
        <v>2.8961645597497195E-4</v>
      </c>
      <c r="Y97" s="116">
        <f t="shared" si="31"/>
        <v>3.2179674112626524E-4</v>
      </c>
      <c r="Z97" s="116">
        <f t="shared" si="31"/>
        <v>3.5340792681570911E-4</v>
      </c>
      <c r="AA97" s="116">
        <f t="shared" si="31"/>
        <v>3.8397711617811983E-4</v>
      </c>
      <c r="AB97" s="116">
        <f t="shared" si="31"/>
        <v>4.1326284698337131E-4</v>
      </c>
      <c r="AC97" s="116">
        <f t="shared" si="31"/>
        <v>4.4124510315700301E-4</v>
      </c>
      <c r="AD97" s="116">
        <f t="shared" si="31"/>
        <v>4.6781215477106403E-4</v>
      </c>
      <c r="AE97" s="116">
        <f t="shared" si="31"/>
        <v>4.9305933511096763E-4</v>
      </c>
      <c r="AF97" s="116">
        <f t="shared" si="31"/>
        <v>5.1701500814146473E-4</v>
      </c>
      <c r="AG97" s="116">
        <f t="shared" si="31"/>
        <v>5.3970252243621905E-4</v>
      </c>
      <c r="AH97" s="116">
        <f t="shared" si="31"/>
        <v>5.6181737218173014E-4</v>
      </c>
      <c r="AI97" s="116">
        <f t="shared" si="31"/>
        <v>5.8301082806795537E-4</v>
      </c>
      <c r="AJ97" s="116">
        <f t="shared" si="31"/>
        <v>6.0316785474285781E-4</v>
      </c>
      <c r="AK97" s="116">
        <f t="shared" si="31"/>
        <v>6.2230116287699273E-4</v>
      </c>
      <c r="AL97" s="116">
        <f t="shared" si="31"/>
        <v>6.404098313815607E-4</v>
      </c>
      <c r="AM97" s="116">
        <f t="shared" si="31"/>
        <v>6.5734310139994509E-4</v>
      </c>
    </row>
    <row r="98" spans="2:40" x14ac:dyDescent="0.25">
      <c r="B98" s="230"/>
      <c r="C98" s="35" t="s">
        <v>33</v>
      </c>
      <c r="D98" s="54" t="s">
        <v>449</v>
      </c>
      <c r="E98" s="111">
        <f t="shared" si="31"/>
        <v>3.2664806093016185E-6</v>
      </c>
      <c r="F98" s="111">
        <f t="shared" si="31"/>
        <v>1.6651301685345073E-4</v>
      </c>
      <c r="G98" s="111">
        <f t="shared" si="31"/>
        <v>3.9197636662915297E-4</v>
      </c>
      <c r="H98" s="111">
        <f t="shared" si="31"/>
        <v>5.1046686468953471E-4</v>
      </c>
      <c r="I98" s="111">
        <f t="shared" si="31"/>
        <v>6.2964802599126883E-4</v>
      </c>
      <c r="J98" s="110">
        <f t="shared" si="31"/>
        <v>7.5354789345497789E-4</v>
      </c>
      <c r="K98" s="68">
        <f t="shared" si="31"/>
        <v>8.7763092522728336E-4</v>
      </c>
      <c r="L98" s="68">
        <f t="shared" si="31"/>
        <v>1.0133420470560522E-3</v>
      </c>
      <c r="M98" s="68">
        <f t="shared" si="31"/>
        <v>1.2183075597292691E-3</v>
      </c>
      <c r="N98" s="111">
        <f t="shared" si="31"/>
        <v>1.4627763642183357E-3</v>
      </c>
      <c r="O98" s="110">
        <f t="shared" ref="O98:AM106" si="32">O56/O$48</f>
        <v>1.6950070771297697E-3</v>
      </c>
      <c r="P98" s="68">
        <f t="shared" si="32"/>
        <v>1.9645436905819449E-3</v>
      </c>
      <c r="Q98" s="68">
        <f t="shared" si="32"/>
        <v>2.3093753559914726E-3</v>
      </c>
      <c r="R98" s="68">
        <f t="shared" si="32"/>
        <v>2.7305426021926793E-3</v>
      </c>
      <c r="S98" s="111">
        <f t="shared" si="32"/>
        <v>3.2193972357793714E-3</v>
      </c>
      <c r="T98" s="111">
        <f t="shared" si="32"/>
        <v>3.754597050372534E-3</v>
      </c>
      <c r="U98" s="111">
        <f t="shared" si="32"/>
        <v>4.3131890127441532E-3</v>
      </c>
      <c r="V98" s="111">
        <f t="shared" si="32"/>
        <v>4.8663189909562239E-3</v>
      </c>
      <c r="W98" s="111">
        <f t="shared" si="32"/>
        <v>5.393585723944389E-3</v>
      </c>
      <c r="X98" s="116">
        <f t="shared" si="32"/>
        <v>5.882369803119277E-3</v>
      </c>
      <c r="Y98" s="116">
        <f t="shared" si="32"/>
        <v>6.3411636034972265E-3</v>
      </c>
      <c r="Z98" s="116">
        <f t="shared" si="32"/>
        <v>6.7600336000014092E-3</v>
      </c>
      <c r="AA98" s="116">
        <f t="shared" si="32"/>
        <v>7.1330650577592532E-3</v>
      </c>
      <c r="AB98" s="116">
        <f t="shared" si="32"/>
        <v>7.4590777851449219E-3</v>
      </c>
      <c r="AC98" s="116">
        <f t="shared" si="32"/>
        <v>7.7409807293579358E-3</v>
      </c>
      <c r="AD98" s="116">
        <f t="shared" si="32"/>
        <v>7.9844089435383622E-3</v>
      </c>
      <c r="AE98" s="116">
        <f t="shared" si="32"/>
        <v>8.1931368741760286E-3</v>
      </c>
      <c r="AF98" s="116">
        <f t="shared" si="32"/>
        <v>8.3699711210564569E-3</v>
      </c>
      <c r="AG98" s="116">
        <f t="shared" si="32"/>
        <v>8.5175196845132511E-3</v>
      </c>
      <c r="AH98" s="116">
        <f t="shared" si="32"/>
        <v>8.5954947809157647E-3</v>
      </c>
      <c r="AI98" s="116">
        <f t="shared" si="32"/>
        <v>8.6553414361036623E-3</v>
      </c>
      <c r="AJ98" s="116">
        <f t="shared" si="32"/>
        <v>8.6977610060571548E-3</v>
      </c>
      <c r="AK98" s="116">
        <f t="shared" si="32"/>
        <v>8.7245857167697807E-3</v>
      </c>
      <c r="AL98" s="116">
        <f t="shared" si="32"/>
        <v>8.7375098272694015E-3</v>
      </c>
      <c r="AM98" s="116">
        <f t="shared" si="32"/>
        <v>8.7377463697662534E-3</v>
      </c>
    </row>
    <row r="99" spans="2:40" x14ac:dyDescent="0.25">
      <c r="B99" s="230"/>
      <c r="C99" s="64" t="s">
        <v>46</v>
      </c>
      <c r="D99" s="52" t="s">
        <v>424</v>
      </c>
      <c r="E99" s="128">
        <f t="shared" ref="E99:AM106" si="33">E57/E$48</f>
        <v>0.9999246395525615</v>
      </c>
      <c r="F99" s="128">
        <f t="shared" si="33"/>
        <v>0.99572960102773855</v>
      </c>
      <c r="G99" s="128">
        <f t="shared" si="33"/>
        <v>0.99020499509484439</v>
      </c>
      <c r="H99" s="128">
        <f t="shared" si="33"/>
        <v>0.98722819740536638</v>
      </c>
      <c r="I99" s="128">
        <f t="shared" si="33"/>
        <v>0.98404853379868928</v>
      </c>
      <c r="J99" s="127">
        <f t="shared" si="33"/>
        <v>0.98055174084372154</v>
      </c>
      <c r="K99" s="71">
        <f t="shared" si="33"/>
        <v>0.9761202024740514</v>
      </c>
      <c r="L99" s="71">
        <f t="shared" si="33"/>
        <v>0.97052295703751523</v>
      </c>
      <c r="M99" s="71">
        <f t="shared" si="33"/>
        <v>0.96210506864950984</v>
      </c>
      <c r="N99" s="128">
        <f t="shared" si="33"/>
        <v>0.95173158662258783</v>
      </c>
      <c r="O99" s="127">
        <f t="shared" si="33"/>
        <v>0.9411396839314965</v>
      </c>
      <c r="P99" s="71">
        <f t="shared" si="33"/>
        <v>0.92832093317832287</v>
      </c>
      <c r="Q99" s="71">
        <f t="shared" si="33"/>
        <v>0.91148475222573688</v>
      </c>
      <c r="R99" s="71">
        <f t="shared" si="33"/>
        <v>0.89028585252412396</v>
      </c>
      <c r="S99" s="128">
        <f t="shared" si="33"/>
        <v>0.86478550539203169</v>
      </c>
      <c r="T99" s="128">
        <f t="shared" si="32"/>
        <v>0.83565345915250067</v>
      </c>
      <c r="U99" s="128">
        <f t="shared" si="32"/>
        <v>0.80379310109794888</v>
      </c>
      <c r="V99" s="128">
        <f t="shared" si="32"/>
        <v>0.77049089414179572</v>
      </c>
      <c r="W99" s="128">
        <f t="shared" si="32"/>
        <v>0.73677784561405146</v>
      </c>
      <c r="X99" s="120">
        <f t="shared" si="33"/>
        <v>0.70339115981233302</v>
      </c>
      <c r="Y99" s="120">
        <f t="shared" si="32"/>
        <v>0.66990053695470686</v>
      </c>
      <c r="Z99" s="120">
        <f t="shared" si="32"/>
        <v>0.63693899545602073</v>
      </c>
      <c r="AA99" s="120">
        <f t="shared" si="32"/>
        <v>0.60499806978887349</v>
      </c>
      <c r="AB99" s="120">
        <f t="shared" si="32"/>
        <v>0.5743313938427238</v>
      </c>
      <c r="AC99" s="120">
        <f t="shared" si="33"/>
        <v>0.54496433403924027</v>
      </c>
      <c r="AD99" s="120">
        <f t="shared" si="32"/>
        <v>0.51702726005896404</v>
      </c>
      <c r="AE99" s="120">
        <f t="shared" si="32"/>
        <v>0.49042490893241014</v>
      </c>
      <c r="AF99" s="120">
        <f t="shared" si="32"/>
        <v>0.46513185725651546</v>
      </c>
      <c r="AG99" s="120">
        <f t="shared" si="32"/>
        <v>0.44112780753090802</v>
      </c>
      <c r="AH99" s="120">
        <f t="shared" si="33"/>
        <v>0.41755153618302232</v>
      </c>
      <c r="AI99" s="120">
        <f t="shared" si="32"/>
        <v>0.39491386692777986</v>
      </c>
      <c r="AJ99" s="120">
        <f t="shared" si="32"/>
        <v>0.37333916666788736</v>
      </c>
      <c r="AK99" s="120">
        <f t="shared" si="32"/>
        <v>0.35281780454110384</v>
      </c>
      <c r="AL99" s="120">
        <f t="shared" si="32"/>
        <v>0.3333546341485138</v>
      </c>
      <c r="AM99" s="120">
        <f t="shared" si="33"/>
        <v>0.31511449308602391</v>
      </c>
      <c r="AN99" s="232"/>
    </row>
    <row r="100" spans="2:40" x14ac:dyDescent="0.25">
      <c r="B100" s="230"/>
      <c r="C100" s="35" t="s">
        <v>27</v>
      </c>
      <c r="D100" s="54" t="s">
        <v>450</v>
      </c>
      <c r="E100" s="130">
        <f t="shared" si="33"/>
        <v>5.806258421252752E-4</v>
      </c>
      <c r="F100" s="130">
        <f t="shared" si="33"/>
        <v>7.0505006217770009E-3</v>
      </c>
      <c r="G100" s="130">
        <f t="shared" si="33"/>
        <v>7.987059586119569E-3</v>
      </c>
      <c r="H100" s="130">
        <f t="shared" si="33"/>
        <v>8.6524196453438632E-3</v>
      </c>
      <c r="I100" s="130">
        <f t="shared" si="33"/>
        <v>9.7953186702531923E-3</v>
      </c>
      <c r="J100" s="129">
        <f t="shared" si="33"/>
        <v>1.0729929519362989E-2</v>
      </c>
      <c r="K100" s="72">
        <f t="shared" si="33"/>
        <v>1.2284252121086156E-2</v>
      </c>
      <c r="L100" s="72">
        <f t="shared" si="33"/>
        <v>1.4130929392114402E-2</v>
      </c>
      <c r="M100" s="72">
        <f t="shared" si="33"/>
        <v>1.6359952486416352E-2</v>
      </c>
      <c r="N100" s="130">
        <f t="shared" si="33"/>
        <v>1.8674965503492149E-2</v>
      </c>
      <c r="O100" s="129">
        <f t="shared" si="33"/>
        <v>2.0530172661016612E-2</v>
      </c>
      <c r="P100" s="72">
        <f t="shared" si="33"/>
        <v>2.1995416304144946E-2</v>
      </c>
      <c r="Q100" s="72">
        <f t="shared" si="33"/>
        <v>2.302523359168589E-2</v>
      </c>
      <c r="R100" s="72">
        <f t="shared" si="33"/>
        <v>2.3626855105394449E-2</v>
      </c>
      <c r="S100" s="130">
        <f t="shared" si="33"/>
        <v>2.3805242418563459E-2</v>
      </c>
      <c r="T100" s="130">
        <f t="shared" si="32"/>
        <v>2.3591275911066491E-2</v>
      </c>
      <c r="U100" s="130">
        <f t="shared" si="32"/>
        <v>2.3067829584785871E-2</v>
      </c>
      <c r="V100" s="130">
        <f t="shared" si="32"/>
        <v>2.2337183762512161E-2</v>
      </c>
      <c r="W100" s="130">
        <f t="shared" si="32"/>
        <v>2.1488263374390464E-2</v>
      </c>
      <c r="X100" s="121">
        <f t="shared" si="33"/>
        <v>2.0585449031696314E-2</v>
      </c>
      <c r="Y100" s="121">
        <f t="shared" si="32"/>
        <v>1.9644435755165265E-2</v>
      </c>
      <c r="Z100" s="121">
        <f t="shared" si="32"/>
        <v>1.8699018858302142E-2</v>
      </c>
      <c r="AA100" s="121">
        <f t="shared" si="32"/>
        <v>1.7772586559316492E-2</v>
      </c>
      <c r="AB100" s="121">
        <f t="shared" si="32"/>
        <v>1.6877670199505965E-2</v>
      </c>
      <c r="AC100" s="121">
        <f t="shared" si="33"/>
        <v>1.6017806884135826E-2</v>
      </c>
      <c r="AD100" s="121">
        <f t="shared" si="32"/>
        <v>1.5198309473746108E-2</v>
      </c>
      <c r="AE100" s="121">
        <f t="shared" si="32"/>
        <v>1.4417176305110651E-2</v>
      </c>
      <c r="AF100" s="121">
        <f t="shared" si="32"/>
        <v>1.3674075753646932E-2</v>
      </c>
      <c r="AG100" s="121">
        <f t="shared" si="32"/>
        <v>1.296863046753392E-2</v>
      </c>
      <c r="AH100" s="121">
        <f t="shared" si="33"/>
        <v>1.227565094656085E-2</v>
      </c>
      <c r="AI100" s="121">
        <f t="shared" si="32"/>
        <v>1.1610193991665428E-2</v>
      </c>
      <c r="AJ100" s="121">
        <f t="shared" si="32"/>
        <v>1.0975949739122241E-2</v>
      </c>
      <c r="AK100" s="121">
        <f t="shared" si="32"/>
        <v>1.0372653148604851E-2</v>
      </c>
      <c r="AL100" s="121">
        <f t="shared" si="32"/>
        <v>9.8004564430250359E-3</v>
      </c>
      <c r="AM100" s="121">
        <f t="shared" si="33"/>
        <v>9.2642107208621757E-3</v>
      </c>
    </row>
    <row r="101" spans="2:40" x14ac:dyDescent="0.25">
      <c r="B101" s="230"/>
      <c r="C101" s="35" t="s">
        <v>28</v>
      </c>
      <c r="D101" s="54" t="s">
        <v>451</v>
      </c>
      <c r="E101" s="130">
        <f t="shared" si="33"/>
        <v>5.070879699542305E-2</v>
      </c>
      <c r="F101" s="130">
        <f t="shared" si="33"/>
        <v>0.1128054264223271</v>
      </c>
      <c r="G101" s="130">
        <f t="shared" si="33"/>
        <v>0.12421261443689634</v>
      </c>
      <c r="H101" s="130">
        <f t="shared" si="33"/>
        <v>0.12759393889603515</v>
      </c>
      <c r="I101" s="130">
        <f t="shared" si="33"/>
        <v>0.13054579277370351</v>
      </c>
      <c r="J101" s="129">
        <f t="shared" si="33"/>
        <v>0.13277017970183619</v>
      </c>
      <c r="K101" s="72">
        <f t="shared" si="33"/>
        <v>0.13512218832839257</v>
      </c>
      <c r="L101" s="72">
        <f t="shared" si="33"/>
        <v>0.13734991436044655</v>
      </c>
      <c r="M101" s="72">
        <f t="shared" si="33"/>
        <v>0.13968749330121702</v>
      </c>
      <c r="N101" s="130">
        <f t="shared" si="33"/>
        <v>0.14165945789677969</v>
      </c>
      <c r="O101" s="129">
        <f t="shared" si="33"/>
        <v>0.14275220930597418</v>
      </c>
      <c r="P101" s="72">
        <f t="shared" si="33"/>
        <v>0.14294784524288301</v>
      </c>
      <c r="Q101" s="72">
        <f t="shared" si="33"/>
        <v>0.14203760590848474</v>
      </c>
      <c r="R101" s="72">
        <f t="shared" si="33"/>
        <v>0.13999288481531105</v>
      </c>
      <c r="S101" s="130">
        <f t="shared" si="33"/>
        <v>0.13687144471795307</v>
      </c>
      <c r="T101" s="130">
        <f t="shared" si="32"/>
        <v>0.13284485470081075</v>
      </c>
      <c r="U101" s="130">
        <f t="shared" si="32"/>
        <v>0.1281388763268608</v>
      </c>
      <c r="V101" s="130">
        <f t="shared" si="32"/>
        <v>0.12303646763072526</v>
      </c>
      <c r="W101" s="130">
        <f t="shared" si="32"/>
        <v>0.11776641540855011</v>
      </c>
      <c r="X101" s="121">
        <f t="shared" si="33"/>
        <v>0.11249028992958454</v>
      </c>
      <c r="Y101" s="121">
        <f t="shared" si="32"/>
        <v>0.10716665718817264</v>
      </c>
      <c r="Z101" s="121">
        <f t="shared" si="32"/>
        <v>0.1019106886917326</v>
      </c>
      <c r="AA101" s="121">
        <f t="shared" si="32"/>
        <v>9.6808933908207814E-2</v>
      </c>
      <c r="AB101" s="121">
        <f t="shared" si="32"/>
        <v>9.1906322185436179E-2</v>
      </c>
      <c r="AC101" s="121">
        <f t="shared" si="33"/>
        <v>8.7209229877869485E-2</v>
      </c>
      <c r="AD101" s="121">
        <f t="shared" si="32"/>
        <v>8.2739704832752572E-2</v>
      </c>
      <c r="AE101" s="121">
        <f t="shared" si="32"/>
        <v>7.8483132984933451E-2</v>
      </c>
      <c r="AF101" s="121">
        <f t="shared" si="32"/>
        <v>7.4435763525193252E-2</v>
      </c>
      <c r="AG101" s="121">
        <f t="shared" si="32"/>
        <v>7.0594509933854827E-2</v>
      </c>
      <c r="AH101" s="121">
        <f t="shared" si="33"/>
        <v>6.6821636440540483E-2</v>
      </c>
      <c r="AI101" s="121">
        <f t="shared" si="32"/>
        <v>6.3198924844324489E-2</v>
      </c>
      <c r="AJ101" s="121">
        <f t="shared" si="32"/>
        <v>5.9746299650549513E-2</v>
      </c>
      <c r="AK101" s="121">
        <f t="shared" si="32"/>
        <v>5.6462230877565245E-2</v>
      </c>
      <c r="AL101" s="121">
        <f t="shared" si="32"/>
        <v>5.3347501057485737E-2</v>
      </c>
      <c r="AM101" s="121">
        <f t="shared" si="33"/>
        <v>5.0428492423230914E-2</v>
      </c>
    </row>
    <row r="102" spans="2:40" x14ac:dyDescent="0.25">
      <c r="B102" s="230"/>
      <c r="C102" s="35" t="s">
        <v>29</v>
      </c>
      <c r="D102" s="54" t="s">
        <v>452</v>
      </c>
      <c r="E102" s="130">
        <f t="shared" si="33"/>
        <v>0.1200243797595533</v>
      </c>
      <c r="F102" s="130">
        <f t="shared" si="33"/>
        <v>0.1949568523018419</v>
      </c>
      <c r="G102" s="130">
        <f t="shared" si="33"/>
        <v>0.20885343830873673</v>
      </c>
      <c r="H102" s="130">
        <f t="shared" si="33"/>
        <v>0.21277304817094059</v>
      </c>
      <c r="I102" s="130">
        <f t="shared" si="33"/>
        <v>0.21588491308859004</v>
      </c>
      <c r="J102" s="129">
        <f t="shared" si="33"/>
        <v>0.21823038462559136</v>
      </c>
      <c r="K102" s="72">
        <f t="shared" si="33"/>
        <v>0.2203463149859716</v>
      </c>
      <c r="L102" s="72">
        <f t="shared" si="33"/>
        <v>0.22208221191504371</v>
      </c>
      <c r="M102" s="72">
        <f t="shared" si="33"/>
        <v>0.22365873375811271</v>
      </c>
      <c r="N102" s="130">
        <f t="shared" si="33"/>
        <v>0.22463709611287061</v>
      </c>
      <c r="O102" s="129">
        <f t="shared" si="33"/>
        <v>0.22465347672982899</v>
      </c>
      <c r="P102" s="72">
        <f t="shared" si="33"/>
        <v>0.22356177736826838</v>
      </c>
      <c r="Q102" s="72">
        <f t="shared" si="33"/>
        <v>0.22102553177782588</v>
      </c>
      <c r="R102" s="72">
        <f t="shared" si="33"/>
        <v>0.21699622320999201</v>
      </c>
      <c r="S102" s="130">
        <f t="shared" si="33"/>
        <v>0.21154534282256235</v>
      </c>
      <c r="T102" s="130">
        <f t="shared" si="32"/>
        <v>0.20490968318461519</v>
      </c>
      <c r="U102" s="130">
        <f t="shared" si="32"/>
        <v>0.19739159935375347</v>
      </c>
      <c r="V102" s="130">
        <f t="shared" si="32"/>
        <v>0.18937846835302374</v>
      </c>
      <c r="W102" s="130">
        <f t="shared" si="32"/>
        <v>0.18118031876373933</v>
      </c>
      <c r="X102" s="121">
        <f t="shared" si="33"/>
        <v>0.17301581672140204</v>
      </c>
      <c r="Y102" s="121">
        <f t="shared" si="32"/>
        <v>0.1648017907491876</v>
      </c>
      <c r="Z102" s="121">
        <f t="shared" si="32"/>
        <v>0.1567050991061327</v>
      </c>
      <c r="AA102" s="121">
        <f t="shared" si="32"/>
        <v>0.14885282890379481</v>
      </c>
      <c r="AB102" s="121">
        <f t="shared" si="32"/>
        <v>0.14131067933289543</v>
      </c>
      <c r="AC102" s="121">
        <f t="shared" si="33"/>
        <v>0.13408659806573811</v>
      </c>
      <c r="AD102" s="121">
        <f t="shared" si="32"/>
        <v>0.12721351353092802</v>
      </c>
      <c r="AE102" s="121">
        <f t="shared" si="32"/>
        <v>0.12066841956844687</v>
      </c>
      <c r="AF102" s="121">
        <f t="shared" si="32"/>
        <v>0.1144452729936097</v>
      </c>
      <c r="AG102" s="121">
        <f t="shared" si="32"/>
        <v>0.10853918411863628</v>
      </c>
      <c r="AH102" s="121">
        <f t="shared" si="33"/>
        <v>0.10273829997916203</v>
      </c>
      <c r="AI102" s="121">
        <f t="shared" si="32"/>
        <v>9.7168335206304648E-2</v>
      </c>
      <c r="AJ102" s="121">
        <f t="shared" si="32"/>
        <v>9.1859901938262031E-2</v>
      </c>
      <c r="AK102" s="121">
        <f t="shared" si="32"/>
        <v>8.6810636363421151E-2</v>
      </c>
      <c r="AL102" s="121">
        <f t="shared" si="32"/>
        <v>8.2021735709001287E-2</v>
      </c>
      <c r="AM102" s="121">
        <f t="shared" si="33"/>
        <v>7.7533759426627102E-2</v>
      </c>
    </row>
    <row r="103" spans="2:40" x14ac:dyDescent="0.25">
      <c r="B103" s="230"/>
      <c r="C103" s="35" t="s">
        <v>30</v>
      </c>
      <c r="D103" s="54" t="s">
        <v>453</v>
      </c>
      <c r="E103" s="130">
        <f t="shared" si="33"/>
        <v>0.16803384356708401</v>
      </c>
      <c r="F103" s="130">
        <f t="shared" si="33"/>
        <v>0.21795416456761216</v>
      </c>
      <c r="G103" s="130">
        <f t="shared" si="33"/>
        <v>0.22637862052744995</v>
      </c>
      <c r="H103" s="130">
        <f t="shared" si="33"/>
        <v>0.22858235518592127</v>
      </c>
      <c r="I103" s="130">
        <f t="shared" si="33"/>
        <v>0.23001669769678393</v>
      </c>
      <c r="J103" s="129">
        <f t="shared" si="33"/>
        <v>0.23124618068878991</v>
      </c>
      <c r="K103" s="72">
        <f t="shared" si="33"/>
        <v>0.23206303075371856</v>
      </c>
      <c r="L103" s="72">
        <f t="shared" si="33"/>
        <v>0.23242650547288105</v>
      </c>
      <c r="M103" s="72">
        <f t="shared" si="33"/>
        <v>0.23236621272069852</v>
      </c>
      <c r="N103" s="130">
        <f t="shared" si="33"/>
        <v>0.23170116374755917</v>
      </c>
      <c r="O103" s="129">
        <f t="shared" si="33"/>
        <v>0.23042567647841578</v>
      </c>
      <c r="P103" s="72">
        <f t="shared" si="33"/>
        <v>0.22826821674250897</v>
      </c>
      <c r="Q103" s="72">
        <f t="shared" si="33"/>
        <v>0.22486164300748118</v>
      </c>
      <c r="R103" s="72">
        <f t="shared" si="33"/>
        <v>0.22014593366622662</v>
      </c>
      <c r="S103" s="130">
        <f t="shared" si="33"/>
        <v>0.21417572168922291</v>
      </c>
      <c r="T103" s="130">
        <f t="shared" si="32"/>
        <v>0.20716530348725448</v>
      </c>
      <c r="U103" s="130">
        <f t="shared" si="32"/>
        <v>0.19938313335424054</v>
      </c>
      <c r="V103" s="130">
        <f t="shared" si="32"/>
        <v>0.19118363409732306</v>
      </c>
      <c r="W103" s="130">
        <f t="shared" si="32"/>
        <v>0.18284869469041479</v>
      </c>
      <c r="X103" s="121">
        <f t="shared" si="33"/>
        <v>0.17457741394846624</v>
      </c>
      <c r="Y103" s="121">
        <f t="shared" si="32"/>
        <v>0.16627214073513111</v>
      </c>
      <c r="Z103" s="121">
        <f t="shared" si="32"/>
        <v>0.15809412395755057</v>
      </c>
      <c r="AA103" s="121">
        <f t="shared" si="32"/>
        <v>0.15016749534126622</v>
      </c>
      <c r="AB103" s="121">
        <f t="shared" si="32"/>
        <v>0.14255626627906171</v>
      </c>
      <c r="AC103" s="121">
        <f t="shared" si="33"/>
        <v>0.13526723138803073</v>
      </c>
      <c r="AD103" s="121">
        <f t="shared" si="32"/>
        <v>0.12833297587393563</v>
      </c>
      <c r="AE103" s="121">
        <f t="shared" si="32"/>
        <v>0.12172995128787781</v>
      </c>
      <c r="AF103" s="121">
        <f t="shared" si="32"/>
        <v>0.11545188812980631</v>
      </c>
      <c r="AG103" s="121">
        <f t="shared" si="32"/>
        <v>0.10949376455145246</v>
      </c>
      <c r="AH103" s="121">
        <f t="shared" si="33"/>
        <v>0.10364181464073283</v>
      </c>
      <c r="AI103" s="121">
        <f t="shared" si="32"/>
        <v>9.8022840965990163E-2</v>
      </c>
      <c r="AJ103" s="121">
        <f t="shared" si="32"/>
        <v>9.2667712216472214E-2</v>
      </c>
      <c r="AK103" s="121">
        <f t="shared" si="32"/>
        <v>8.7574037283973269E-2</v>
      </c>
      <c r="AL103" s="121">
        <f t="shared" si="32"/>
        <v>8.2743020374200588E-2</v>
      </c>
      <c r="AM103" s="121">
        <f t="shared" si="33"/>
        <v>7.8215576000961143E-2</v>
      </c>
    </row>
    <row r="104" spans="2:40" x14ac:dyDescent="0.25">
      <c r="B104" s="230"/>
      <c r="C104" s="35" t="s">
        <v>31</v>
      </c>
      <c r="D104" s="54" t="s">
        <v>454</v>
      </c>
      <c r="E104" s="130">
        <f t="shared" si="33"/>
        <v>0.4362143910050581</v>
      </c>
      <c r="F104" s="130">
        <f t="shared" si="33"/>
        <v>0.31389318829686103</v>
      </c>
      <c r="G104" s="130">
        <f t="shared" si="33"/>
        <v>0.28901014549333848</v>
      </c>
      <c r="H104" s="130">
        <f t="shared" si="33"/>
        <v>0.28091057970698369</v>
      </c>
      <c r="I104" s="130">
        <f t="shared" si="33"/>
        <v>0.27372398527000991</v>
      </c>
      <c r="J104" s="129">
        <f t="shared" si="33"/>
        <v>0.26799903912047857</v>
      </c>
      <c r="K104" s="72">
        <f t="shared" si="33"/>
        <v>0.26157340963325121</v>
      </c>
      <c r="L104" s="72">
        <f t="shared" si="33"/>
        <v>0.25477214497882472</v>
      </c>
      <c r="M104" s="72">
        <f t="shared" si="33"/>
        <v>0.24630120243248557</v>
      </c>
      <c r="N104" s="130">
        <f t="shared" si="33"/>
        <v>0.23744263060432555</v>
      </c>
      <c r="O104" s="129">
        <f t="shared" si="33"/>
        <v>0.23004053195297125</v>
      </c>
      <c r="P104" s="72">
        <f t="shared" si="33"/>
        <v>0.22308939504657602</v>
      </c>
      <c r="Q104" s="72">
        <f t="shared" si="33"/>
        <v>0.21603869358697053</v>
      </c>
      <c r="R104" s="72">
        <f t="shared" si="33"/>
        <v>0.20875276226184983</v>
      </c>
      <c r="S104" s="130">
        <f t="shared" si="33"/>
        <v>0.2011676662440674</v>
      </c>
      <c r="T104" s="130">
        <f t="shared" si="32"/>
        <v>0.19333231044333005</v>
      </c>
      <c r="U104" s="130">
        <f t="shared" si="32"/>
        <v>0.18530946309294707</v>
      </c>
      <c r="V104" s="130">
        <f t="shared" si="32"/>
        <v>0.17725601630519155</v>
      </c>
      <c r="W104" s="130">
        <f t="shared" si="32"/>
        <v>0.16929338377334777</v>
      </c>
      <c r="X104" s="121">
        <f t="shared" si="33"/>
        <v>0.16151173657134799</v>
      </c>
      <c r="Y104" s="121">
        <f t="shared" si="32"/>
        <v>0.15376256833259436</v>
      </c>
      <c r="Z104" s="121">
        <f t="shared" si="32"/>
        <v>0.1461658196893334</v>
      </c>
      <c r="AA104" s="121">
        <f t="shared" si="32"/>
        <v>0.13881986932958362</v>
      </c>
      <c r="AB104" s="121">
        <f t="shared" si="32"/>
        <v>0.13177498400481177</v>
      </c>
      <c r="AC104" s="121">
        <f t="shared" si="33"/>
        <v>0.12503275544807399</v>
      </c>
      <c r="AD104" s="121">
        <f t="shared" si="32"/>
        <v>0.11862092319307792</v>
      </c>
      <c r="AE104" s="121">
        <f t="shared" si="32"/>
        <v>0.1125164873013019</v>
      </c>
      <c r="AF104" s="121">
        <f t="shared" si="32"/>
        <v>0.10671303659527807</v>
      </c>
      <c r="AG104" s="121">
        <f t="shared" si="32"/>
        <v>0.1012056190651363</v>
      </c>
      <c r="AH104" s="121">
        <f t="shared" si="33"/>
        <v>9.5796489106670463E-2</v>
      </c>
      <c r="AI104" s="121">
        <f t="shared" si="32"/>
        <v>9.0602779398112218E-2</v>
      </c>
      <c r="AJ104" s="121">
        <f t="shared" si="32"/>
        <v>8.5652982743198713E-2</v>
      </c>
      <c r="AK104" s="121">
        <f t="shared" si="32"/>
        <v>8.0944868845924181E-2</v>
      </c>
      <c r="AL104" s="121">
        <f t="shared" si="32"/>
        <v>7.647954048778291E-2</v>
      </c>
      <c r="AM104" s="121">
        <f t="shared" si="33"/>
        <v>7.2294810044091481E-2</v>
      </c>
    </row>
    <row r="105" spans="2:40" x14ac:dyDescent="0.25">
      <c r="B105" s="230"/>
      <c r="C105" s="35" t="s">
        <v>32</v>
      </c>
      <c r="D105" s="54" t="s">
        <v>455</v>
      </c>
      <c r="E105" s="130">
        <f t="shared" si="33"/>
        <v>0.15386468112104759</v>
      </c>
      <c r="F105" s="130">
        <f t="shared" si="33"/>
        <v>0.10667944454547962</v>
      </c>
      <c r="G105" s="130">
        <f t="shared" si="33"/>
        <v>9.6874360080011754E-2</v>
      </c>
      <c r="H105" s="130">
        <f t="shared" si="33"/>
        <v>9.3656830338877284E-2</v>
      </c>
      <c r="I105" s="130">
        <f t="shared" si="33"/>
        <v>9.0632871530227449E-2</v>
      </c>
      <c r="J105" s="129">
        <f t="shared" si="33"/>
        <v>8.762067810787097E-2</v>
      </c>
      <c r="K105" s="72">
        <f t="shared" si="33"/>
        <v>8.4282087854399765E-2</v>
      </c>
      <c r="L105" s="72">
        <f t="shared" si="33"/>
        <v>8.0811929614528016E-2</v>
      </c>
      <c r="M105" s="72">
        <f t="shared" si="33"/>
        <v>7.6588648785370125E-2</v>
      </c>
      <c r="N105" s="130">
        <f t="shared" si="33"/>
        <v>7.2282805945591388E-2</v>
      </c>
      <c r="O105" s="129">
        <f t="shared" si="33"/>
        <v>6.8819070263182777E-2</v>
      </c>
      <c r="P105" s="72">
        <f t="shared" si="33"/>
        <v>6.5756944231681519E-2</v>
      </c>
      <c r="Q105" s="72">
        <f t="shared" si="33"/>
        <v>6.2897928879976681E-2</v>
      </c>
      <c r="R105" s="72">
        <f t="shared" si="33"/>
        <v>6.0187177358658375E-2</v>
      </c>
      <c r="S105" s="130">
        <f t="shared" si="33"/>
        <v>5.7582377714047693E-2</v>
      </c>
      <c r="T105" s="130">
        <f t="shared" si="32"/>
        <v>5.506507801653384E-2</v>
      </c>
      <c r="U105" s="130">
        <f t="shared" si="32"/>
        <v>5.2612035040126202E-2</v>
      </c>
      <c r="V105" s="130">
        <f t="shared" si="32"/>
        <v>5.022961789386899E-2</v>
      </c>
      <c r="W105" s="130">
        <f t="shared" si="32"/>
        <v>4.7921098174112185E-2</v>
      </c>
      <c r="X105" s="121">
        <f t="shared" si="33"/>
        <v>4.5690991332462794E-2</v>
      </c>
      <c r="Y105" s="121">
        <f t="shared" si="32"/>
        <v>4.3484296623312615E-2</v>
      </c>
      <c r="Z105" s="121">
        <f t="shared" si="32"/>
        <v>4.1328421732969467E-2</v>
      </c>
      <c r="AA105" s="121">
        <f t="shared" si="32"/>
        <v>3.9247531245087258E-2</v>
      </c>
      <c r="AB105" s="121">
        <f t="shared" si="32"/>
        <v>3.7253855456000171E-2</v>
      </c>
      <c r="AC105" s="121">
        <f t="shared" si="33"/>
        <v>3.5346804729426425E-2</v>
      </c>
      <c r="AD105" s="121">
        <f t="shared" si="32"/>
        <v>3.3533694453677321E-2</v>
      </c>
      <c r="AE105" s="121">
        <f t="shared" si="32"/>
        <v>3.1807752032041163E-2</v>
      </c>
      <c r="AF105" s="121">
        <f t="shared" si="32"/>
        <v>3.0167030408178253E-2</v>
      </c>
      <c r="AG105" s="121">
        <f t="shared" si="32"/>
        <v>2.861006223456047E-2</v>
      </c>
      <c r="AH105" s="121">
        <f t="shared" si="33"/>
        <v>2.7080911974886306E-2</v>
      </c>
      <c r="AI105" s="121">
        <f t="shared" si="32"/>
        <v>2.5612676024596145E-2</v>
      </c>
      <c r="AJ105" s="121">
        <f t="shared" si="32"/>
        <v>2.4213400806535838E-2</v>
      </c>
      <c r="AK105" s="121">
        <f t="shared" si="32"/>
        <v>2.2882451559512726E-2</v>
      </c>
      <c r="AL105" s="121">
        <f t="shared" si="32"/>
        <v>2.1620137929577048E-2</v>
      </c>
      <c r="AM105" s="121">
        <f t="shared" si="33"/>
        <v>2.0437148083190138E-2</v>
      </c>
    </row>
    <row r="106" spans="2:40" x14ac:dyDescent="0.25">
      <c r="B106" s="230"/>
      <c r="C106" s="56" t="s">
        <v>33</v>
      </c>
      <c r="D106" s="66" t="s">
        <v>456</v>
      </c>
      <c r="E106" s="132">
        <f t="shared" si="33"/>
        <v>7.0497921241333764E-2</v>
      </c>
      <c r="F106" s="132">
        <f t="shared" si="33"/>
        <v>4.2390024238424168E-2</v>
      </c>
      <c r="G106" s="132">
        <f t="shared" si="33"/>
        <v>3.688875669225699E-2</v>
      </c>
      <c r="H106" s="132">
        <f t="shared" si="33"/>
        <v>3.5059025310377037E-2</v>
      </c>
      <c r="I106" s="132">
        <f t="shared" si="33"/>
        <v>3.3448954847121341E-2</v>
      </c>
      <c r="J106" s="131">
        <f t="shared" si="33"/>
        <v>3.1955349039266785E-2</v>
      </c>
      <c r="K106" s="73">
        <f t="shared" si="33"/>
        <v>3.0448918783603007E-2</v>
      </c>
      <c r="L106" s="73">
        <f t="shared" si="33"/>
        <v>2.8949321325704224E-2</v>
      </c>
      <c r="M106" s="73">
        <f t="shared" si="33"/>
        <v>2.7142825096635067E-2</v>
      </c>
      <c r="N106" s="132">
        <f t="shared" si="33"/>
        <v>2.5333466934374913E-2</v>
      </c>
      <c r="O106" s="131">
        <f t="shared" si="33"/>
        <v>2.3918546542836247E-2</v>
      </c>
      <c r="P106" s="73">
        <f t="shared" si="33"/>
        <v>2.2701338316611797E-2</v>
      </c>
      <c r="Q106" s="73">
        <f t="shared" si="33"/>
        <v>2.1598115570813512E-2</v>
      </c>
      <c r="R106" s="73">
        <f t="shared" si="33"/>
        <v>2.058401626481926E-2</v>
      </c>
      <c r="S106" s="132">
        <f t="shared" si="33"/>
        <v>1.9637709928907045E-2</v>
      </c>
      <c r="T106" s="132">
        <f t="shared" si="32"/>
        <v>1.8744953522415463E-2</v>
      </c>
      <c r="U106" s="132">
        <f t="shared" si="32"/>
        <v>1.7890164481258193E-2</v>
      </c>
      <c r="V106" s="132">
        <f t="shared" si="32"/>
        <v>1.7069505966983704E-2</v>
      </c>
      <c r="W106" s="132">
        <f t="shared" si="32"/>
        <v>1.6279671484411853E-2</v>
      </c>
      <c r="X106" s="122">
        <f t="shared" si="33"/>
        <v>1.5519462193725722E-2</v>
      </c>
      <c r="Y106" s="122">
        <f t="shared" si="32"/>
        <v>1.476864752088277E-2</v>
      </c>
      <c r="Z106" s="122">
        <f t="shared" si="32"/>
        <v>1.4035823330908977E-2</v>
      </c>
      <c r="AA106" s="122">
        <f t="shared" si="32"/>
        <v>1.3328824524165688E-2</v>
      </c>
      <c r="AB106" s="122">
        <f t="shared" si="32"/>
        <v>1.2651616489347825E-2</v>
      </c>
      <c r="AC106" s="122">
        <f t="shared" si="33"/>
        <v>1.2003907523873297E-2</v>
      </c>
      <c r="AD106" s="122">
        <f t="shared" si="32"/>
        <v>1.1388138550581347E-2</v>
      </c>
      <c r="AE106" s="122">
        <f t="shared" si="32"/>
        <v>1.0801989564189115E-2</v>
      </c>
      <c r="AF106" s="122">
        <f t="shared" si="32"/>
        <v>1.0244789970427786E-2</v>
      </c>
      <c r="AG106" s="122">
        <f t="shared" si="32"/>
        <v>9.7160370767525941E-3</v>
      </c>
      <c r="AH106" s="122">
        <f t="shared" si="33"/>
        <v>9.1967331786257066E-3</v>
      </c>
      <c r="AI106" s="122">
        <f t="shared" si="32"/>
        <v>8.6981166353650597E-3</v>
      </c>
      <c r="AJ106" s="122">
        <f t="shared" si="32"/>
        <v>8.2229196493280449E-3</v>
      </c>
      <c r="AK106" s="122">
        <f t="shared" si="32"/>
        <v>7.7709264730350929E-3</v>
      </c>
      <c r="AL106" s="122">
        <f t="shared" si="32"/>
        <v>7.3422421658867875E-3</v>
      </c>
      <c r="AM106" s="122">
        <f t="shared" si="33"/>
        <v>6.9404964094790939E-3</v>
      </c>
    </row>
    <row r="107" spans="2:40" s="3" customFormat="1" x14ac:dyDescent="0.25"/>
    <row r="108" spans="2:40" s="3" customFormat="1" x14ac:dyDescent="0.25"/>
    <row r="109" spans="2:40" s="3" customFormat="1" x14ac:dyDescent="0.25"/>
    <row r="110" spans="2:40" s="3" customFormat="1" x14ac:dyDescent="0.25"/>
    <row r="111" spans="2:40" s="3" customFormat="1" x14ac:dyDescent="0.25"/>
    <row r="112" spans="2:40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</sheetData>
  <pageMargins left="0.7" right="0.7" top="0.75" bottom="0.75" header="0.3" footer="0.3"/>
  <pageSetup paperSize="9" scale="6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8"/>
  <dimension ref="B4:B11"/>
  <sheetViews>
    <sheetView workbookViewId="0">
      <selection activeCell="B4" sqref="B4"/>
    </sheetView>
  </sheetViews>
  <sheetFormatPr baseColWidth="10" defaultRowHeight="15" x14ac:dyDescent="0.25"/>
  <cols>
    <col min="2" max="2" width="68.5703125" customWidth="1"/>
  </cols>
  <sheetData>
    <row r="4" spans="2:2" x14ac:dyDescent="0.25">
      <c r="B4" t="str">
        <f>Résultats!B1&amp;" : Energie finale par usage et énergie primaire (Mtep)"</f>
        <v>SNBC3 : Energie finale par usage et énergie primaire (Mtep)</v>
      </c>
    </row>
    <row r="5" spans="2:2" x14ac:dyDescent="0.25">
      <c r="B5" t="str">
        <f>Résultats!B1&amp;" : Ventilation du mix énergie (Mtep)"</f>
        <v>SNBC3 : Ventilation du mix énergie (Mtep)</v>
      </c>
    </row>
    <row r="6" spans="2:2" x14ac:dyDescent="0.25">
      <c r="B6" t="str">
        <f>Résultats!B1&amp;" : Ventilation du mix electrique (%)"</f>
        <v>SNBC3 : Ventilation du mix electrique (%)</v>
      </c>
    </row>
    <row r="7" spans="2:2" x14ac:dyDescent="0.25">
      <c r="B7" t="str">
        <f>Résultats!B1&amp;" : Ventilation du mix carburant (%)"</f>
        <v>SNBC3 : Ventilation du mix carburant (%)</v>
      </c>
    </row>
    <row r="8" spans="2:2" x14ac:dyDescent="0.25">
      <c r="B8" t="str">
        <f>Résultats!B1&amp;" : Ventilation du mix gaz (%)"</f>
        <v>SNBC3 : Ventilation du mix gaz (%)</v>
      </c>
    </row>
    <row r="9" spans="2:2" x14ac:dyDescent="0.25">
      <c r="B9" t="str">
        <f>Résultats!B1&amp;" : Emissions CO2 (Mt.eqCO2)"</f>
        <v>SNBC3 : Emissions CO2 (Mt.eqCO2)</v>
      </c>
    </row>
    <row r="10" spans="2:2" x14ac:dyDescent="0.25">
      <c r="B10" t="str">
        <f>Résultats!B1&amp;" : Ventilation du parc auto (%)"</f>
        <v>SNBC3 : Ventilation du parc auto (%)</v>
      </c>
    </row>
    <row r="11" spans="2:2" x14ac:dyDescent="0.25">
      <c r="B11" t="str">
        <f>Résultats!B1&amp;" : Ventilation du parc de logements (%)"</f>
        <v>SNBC3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8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2</vt:i4>
      </vt:variant>
    </vt:vector>
  </HeadingPairs>
  <TitlesOfParts>
    <vt:vector size="20" baseType="lpstr">
      <vt:lpstr>T energie vecteurs</vt:lpstr>
      <vt:lpstr>T energie usages</vt:lpstr>
      <vt:lpstr>T transport</vt:lpstr>
      <vt:lpstr>Résultats</vt:lpstr>
      <vt:lpstr>T CO2</vt:lpstr>
      <vt:lpstr>T logement</vt:lpstr>
      <vt:lpstr>T parc auto</vt:lpstr>
      <vt:lpstr>Table Graphs</vt:lpstr>
      <vt:lpstr>G energie</vt:lpstr>
      <vt:lpstr>G mix energie</vt:lpstr>
      <vt:lpstr>G mix élec</vt:lpstr>
      <vt:lpstr>G mix carb</vt:lpstr>
      <vt:lpstr>G mix gaz</vt:lpstr>
      <vt:lpstr>G CO2</vt:lpstr>
      <vt:lpstr>G parc auto total</vt:lpstr>
      <vt:lpstr>G parc elec</vt:lpstr>
      <vt:lpstr>G parc auto</vt:lpstr>
      <vt:lpstr>G parc logt</vt:lpstr>
      <vt:lpstr>'T parc auto'!Zone_d_impression</vt:lpstr>
      <vt:lpstr>'T transport'!Zone_d_impression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2025-03-13T10:38:10Z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2025-03-12T13:29:27Z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3cca8261-751f-4fae-93e7-83dd1c3f6774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