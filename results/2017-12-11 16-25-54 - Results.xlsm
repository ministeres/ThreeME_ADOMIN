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llonnecg\Desktop\GitHub\ThreeME\results\"/>
    </mc:Choice>
  </mc:AlternateContent>
  <bookViews>
    <workbookView xWindow="120" yWindow="60" windowWidth="19080" windowHeight="7185" firstSheet="3" activeTab="3"/>
  </bookViews>
  <sheets>
    <sheet name="resultsSheets" sheetId="2" state="hidden" r:id="rId1"/>
    <sheet name="Instructions" sheetId="1" state="hidden" r:id="rId2"/>
    <sheet name="Full example" sheetId="3" state="hidden" r:id="rId3"/>
    <sheet name="Primary energy" sheetId="6" r:id="rId4"/>
    <sheet name="Final energy" sheetId="7" r:id="rId5"/>
    <sheet name="Final energy by uses" sheetId="8" r:id="rId6"/>
    <sheet name="BAU primary energy" sheetId="55" r:id="rId7"/>
    <sheet name="BAU Final energy" sheetId="56" r:id="rId8"/>
    <sheet name="ADEMEhaut primary energy" sheetId="58" r:id="rId9"/>
    <sheet name="ADEMEhaut Final energy" sheetId="59" r:id="rId10"/>
    <sheet name="Households energy bill" sheetId="62" r:id="rId11"/>
    <sheet name="Disposable income" sheetId="63" r:id="rId12"/>
    <sheet name="Mean of investment" sheetId="67" r:id="rId13"/>
    <sheet name="Employment by sector" sheetId="73" r:id="rId14"/>
    <sheet name="Unemployment rate" sheetId="78" r:id="rId15"/>
    <sheet name="Trade balance" sheetId="75" r:id="rId16"/>
    <sheet name="GDP gap" sheetId="77" r:id="rId17"/>
    <sheet name="Carbon tax" sheetId="79" r:id="rId18"/>
    <sheet name="Energy price signal" sheetId="80" r:id="rId19"/>
    <sheet name="Public debt " sheetId="82" r:id="rId20"/>
    <sheet name="Public Balance" sheetId="83" r:id="rId21"/>
    <sheet name="Macro impacts" sheetId="5" r:id="rId22"/>
    <sheet name="Value Added" sheetId="51" r:id="rId23"/>
    <sheet name="Investment" sheetId="52" r:id="rId24"/>
    <sheet name="Consumption" sheetId="53" r:id="rId25"/>
    <sheet name="GDP" sheetId="16" r:id="rId26"/>
    <sheet name="Employment" sheetId="71" r:id="rId27"/>
    <sheet name="Emissions" sheetId="38" r:id="rId28"/>
    <sheet name="Households" sheetId="60" r:id="rId29"/>
    <sheet name="Energy MIX" sheetId="57" r:id="rId30"/>
    <sheet name="output Final energy by uses" sheetId="9" r:id="rId31"/>
    <sheet name="Investments and other variables" sheetId="65" r:id="rId32"/>
  </sheets>
  <functionGroups builtInGroupCount="18"/>
  <calcPr calcId="162913" calcMode="manual"/>
</workbook>
</file>

<file path=xl/calcChain.xml><?xml version="1.0" encoding="utf-8"?>
<calcChain xmlns="http://schemas.openxmlformats.org/spreadsheetml/2006/main">
  <c r="Q18" i="7" l="1"/>
  <c r="P18" i="7"/>
  <c r="O18" i="7"/>
  <c r="N18" i="7"/>
  <c r="M18" i="7"/>
  <c r="Q9" i="7"/>
  <c r="P9" i="7"/>
  <c r="O9" i="7"/>
  <c r="N9" i="7"/>
  <c r="M9" i="7"/>
  <c r="Q6" i="7"/>
  <c r="P6" i="7"/>
  <c r="O6" i="7"/>
  <c r="O26" i="7" s="1"/>
  <c r="N6" i="7"/>
  <c r="N26" i="7" s="1"/>
  <c r="M6" i="7"/>
  <c r="N43" i="7"/>
  <c r="O43" i="7"/>
  <c r="P43" i="7"/>
  <c r="Q43" i="7"/>
  <c r="M43" i="7"/>
  <c r="N34" i="7"/>
  <c r="O34" i="7"/>
  <c r="P34" i="7"/>
  <c r="Q34" i="7"/>
  <c r="M34" i="7"/>
  <c r="N31" i="7"/>
  <c r="O31" i="7"/>
  <c r="P31" i="7"/>
  <c r="Q31" i="7"/>
  <c r="Q51" i="7" s="1"/>
  <c r="M31" i="7"/>
  <c r="J24" i="8"/>
  <c r="K24" i="8"/>
  <c r="L24" i="8"/>
  <c r="AS13" i="65"/>
  <c r="AM13" i="65"/>
  <c r="L13" i="65"/>
  <c r="AH13" i="65"/>
  <c r="E13" i="65"/>
  <c r="D13" i="65"/>
  <c r="AE13" i="65"/>
  <c r="Q13" i="65"/>
  <c r="AR13" i="65"/>
  <c r="AD13" i="65"/>
  <c r="O13" i="65"/>
  <c r="C13" i="65"/>
  <c r="AQ13" i="65"/>
  <c r="P13" i="65"/>
  <c r="T13" i="65"/>
  <c r="Y13" i="65"/>
  <c r="AA13" i="65"/>
  <c r="AI13" i="65"/>
  <c r="AN13" i="65"/>
  <c r="AO13" i="65"/>
  <c r="AF13" i="65"/>
  <c r="AU13" i="65"/>
  <c r="AK13" i="65"/>
  <c r="AG13" i="65"/>
  <c r="S13" i="65"/>
  <c r="F13" i="65"/>
  <c r="H13" i="65"/>
  <c r="AL13" i="65"/>
  <c r="X13" i="65"/>
  <c r="AT13" i="65"/>
  <c r="AC13" i="65"/>
  <c r="AB13" i="65"/>
  <c r="K13" i="65"/>
  <c r="M13" i="65"/>
  <c r="J13" i="65"/>
  <c r="R13" i="65"/>
  <c r="AJ13" i="65"/>
  <c r="U13" i="65"/>
  <c r="W13" i="65"/>
  <c r="N13" i="65"/>
  <c r="I13" i="65"/>
  <c r="V13" i="65"/>
  <c r="G13" i="65"/>
  <c r="I26" i="5"/>
  <c r="Z13" i="65"/>
  <c r="AP13" i="65"/>
  <c r="AW13" i="65" l="1"/>
  <c r="P26" i="7"/>
  <c r="M26" i="7"/>
  <c r="Q26" i="7"/>
  <c r="O51" i="7"/>
  <c r="M51" i="7"/>
  <c r="N51" i="7"/>
  <c r="P51" i="7"/>
  <c r="K19" i="8"/>
  <c r="K27" i="8" s="1"/>
  <c r="L19" i="8"/>
  <c r="L27" i="8" s="1"/>
  <c r="J19" i="8"/>
  <c r="J27" i="8" s="1"/>
  <c r="L14" i="8"/>
  <c r="O43" i="6"/>
  <c r="N43" i="6"/>
  <c r="O31" i="6"/>
  <c r="N31" i="6"/>
  <c r="N43" i="9" l="1"/>
  <c r="N42" i="9"/>
  <c r="N22" i="9"/>
  <c r="N23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21" i="9"/>
  <c r="K14" i="8"/>
  <c r="J14" i="8"/>
  <c r="E59" i="71" l="1"/>
  <c r="K4" i="65"/>
  <c r="E14" i="71"/>
  <c r="AS24" i="60"/>
  <c r="D53" i="71"/>
  <c r="AJ8" i="65"/>
  <c r="AT6" i="65"/>
  <c r="AS6" i="65"/>
  <c r="G51" i="71"/>
  <c r="Z8" i="65"/>
  <c r="AP5" i="60"/>
  <c r="D52" i="71"/>
  <c r="V23" i="60"/>
  <c r="O11" i="65"/>
  <c r="D33" i="71"/>
  <c r="AC6" i="65"/>
  <c r="D20" i="71"/>
  <c r="E5" i="71"/>
  <c r="F44" i="60"/>
  <c r="I5" i="65"/>
  <c r="R5" i="65"/>
  <c r="Z4" i="65"/>
  <c r="AF4" i="65"/>
  <c r="E78" i="71"/>
  <c r="D11" i="65"/>
  <c r="AF11" i="65"/>
  <c r="F75" i="71"/>
  <c r="AM9" i="65"/>
  <c r="E3" i="65"/>
  <c r="AH4" i="65"/>
  <c r="Q4" i="65"/>
  <c r="C10" i="71"/>
  <c r="AD8" i="65"/>
  <c r="E76" i="71"/>
  <c r="E53" i="71"/>
  <c r="C61" i="71"/>
  <c r="AC13" i="60"/>
  <c r="Q10" i="65"/>
  <c r="M4" i="65"/>
  <c r="G6" i="65"/>
  <c r="G38" i="71"/>
  <c r="AK9" i="65"/>
  <c r="Q8" i="65"/>
  <c r="E68" i="71"/>
  <c r="G7" i="71"/>
  <c r="AA6" i="65"/>
  <c r="F48" i="71"/>
  <c r="F23" i="71"/>
  <c r="AI3" i="65"/>
  <c r="C47" i="71"/>
  <c r="E75" i="71"/>
  <c r="X12" i="65"/>
  <c r="U6" i="65"/>
  <c r="V6" i="65"/>
  <c r="U3" i="65"/>
  <c r="C12" i="71"/>
  <c r="F109" i="65"/>
  <c r="F50" i="71"/>
  <c r="AN5" i="65"/>
  <c r="AM106" i="65"/>
  <c r="D29" i="71"/>
  <c r="AN9" i="60"/>
  <c r="E16" i="71"/>
  <c r="AD4" i="60"/>
  <c r="S9" i="65"/>
  <c r="AH10" i="65"/>
  <c r="AR12" i="65"/>
  <c r="O3" i="65"/>
  <c r="AJ3" i="65"/>
  <c r="AL4" i="65"/>
  <c r="K12" i="65"/>
  <c r="M16" i="60"/>
  <c r="AO5" i="60"/>
  <c r="P10" i="65"/>
  <c r="X10" i="65"/>
  <c r="Z5" i="65"/>
  <c r="AH12" i="65"/>
  <c r="E73" i="71"/>
  <c r="AF8" i="65"/>
  <c r="D12" i="65"/>
  <c r="AP10" i="65"/>
  <c r="AM2" i="60"/>
  <c r="AF100" i="65"/>
  <c r="AA10" i="65"/>
  <c r="C41" i="71"/>
  <c r="G14" i="71"/>
  <c r="N2" i="60"/>
  <c r="AL6" i="65"/>
  <c r="E16" i="60"/>
  <c r="AF9" i="60"/>
  <c r="AR10" i="60"/>
  <c r="J9" i="65"/>
  <c r="C78" i="71"/>
  <c r="Y6" i="65"/>
  <c r="G56" i="71"/>
  <c r="F69" i="71"/>
  <c r="H6" i="65"/>
  <c r="G20" i="71"/>
  <c r="AT7" i="65"/>
  <c r="G11" i="71"/>
  <c r="C18" i="71"/>
  <c r="I12" i="65"/>
  <c r="D57" i="71"/>
  <c r="AG6" i="65"/>
  <c r="M3" i="65"/>
  <c r="E2" i="71"/>
  <c r="AR5" i="65"/>
  <c r="AG25" i="60"/>
  <c r="D44" i="71"/>
  <c r="F55" i="71"/>
  <c r="F67" i="71"/>
  <c r="C20" i="71"/>
  <c r="G37" i="71"/>
  <c r="Z18" i="60"/>
  <c r="AQ10" i="65"/>
  <c r="F26" i="71"/>
  <c r="X6" i="65"/>
  <c r="D30" i="71"/>
  <c r="H27" i="60"/>
  <c r="AD11" i="65"/>
  <c r="AE18" i="60"/>
  <c r="G44" i="71"/>
  <c r="R76" i="65"/>
  <c r="T12" i="65"/>
  <c r="L19" i="60"/>
  <c r="AA19" i="60"/>
  <c r="AL72" i="65"/>
  <c r="D73" i="71"/>
  <c r="AT8" i="65"/>
  <c r="M12" i="65"/>
  <c r="AB7" i="65"/>
  <c r="F6" i="71"/>
  <c r="E41" i="71"/>
  <c r="AO3" i="65"/>
  <c r="AC11" i="65"/>
  <c r="F4" i="65"/>
  <c r="G9" i="71"/>
  <c r="F29" i="71"/>
  <c r="T6" i="60"/>
  <c r="D26" i="71"/>
  <c r="AJ10" i="65"/>
  <c r="AE10" i="65"/>
  <c r="AB10" i="65"/>
  <c r="E71" i="71"/>
  <c r="I23" i="60"/>
  <c r="AS11" i="65"/>
  <c r="D45" i="71"/>
  <c r="C31" i="71"/>
  <c r="E74" i="71"/>
  <c r="Q3" i="65"/>
  <c r="AU20" i="60"/>
  <c r="D69" i="71"/>
  <c r="K57" i="65"/>
  <c r="AD17" i="60"/>
  <c r="C23" i="71"/>
  <c r="X20" i="60"/>
  <c r="F25" i="71"/>
  <c r="D35" i="71"/>
  <c r="E6" i="65"/>
  <c r="W9" i="65"/>
  <c r="C17" i="71"/>
  <c r="AI6" i="65"/>
  <c r="U18" i="60"/>
  <c r="AO12" i="65"/>
  <c r="G54" i="71"/>
  <c r="AP9" i="65"/>
  <c r="AD10" i="65"/>
  <c r="AB8" i="65"/>
  <c r="F41" i="71"/>
  <c r="C5" i="65"/>
  <c r="E4" i="65"/>
  <c r="G63" i="71"/>
  <c r="D6" i="65"/>
  <c r="AH4" i="60"/>
  <c r="E30" i="71"/>
  <c r="AI5" i="65"/>
  <c r="C51" i="71"/>
  <c r="E29" i="71"/>
  <c r="D77" i="71"/>
  <c r="AN11" i="65"/>
  <c r="F8" i="65"/>
  <c r="T7" i="65"/>
  <c r="AQ4" i="65"/>
  <c r="L20" i="60"/>
  <c r="E56" i="71"/>
  <c r="E6" i="71"/>
  <c r="T16" i="60"/>
  <c r="D81" i="65"/>
  <c r="AK4" i="65"/>
  <c r="I97" i="65"/>
  <c r="K13" i="60"/>
  <c r="C58" i="71"/>
  <c r="D49" i="71"/>
  <c r="F16" i="60"/>
  <c r="AP6" i="65"/>
  <c r="G67" i="71"/>
  <c r="L7" i="65"/>
  <c r="F74" i="71"/>
  <c r="G75" i="71"/>
  <c r="Y10" i="60"/>
  <c r="AI12" i="65"/>
  <c r="E50" i="71"/>
  <c r="AA12" i="65"/>
  <c r="R12" i="65"/>
  <c r="C34" i="71"/>
  <c r="N8" i="65"/>
  <c r="K8" i="65"/>
  <c r="AJ4" i="65"/>
  <c r="AE9" i="65"/>
  <c r="R9" i="65"/>
  <c r="G33" i="71"/>
  <c r="AU3" i="65"/>
  <c r="H10" i="65"/>
  <c r="I10" i="65"/>
  <c r="C53" i="71"/>
  <c r="F14" i="71"/>
  <c r="F62" i="71"/>
  <c r="AN24" i="60"/>
  <c r="D3" i="65"/>
  <c r="AU4" i="65"/>
  <c r="AR8" i="65"/>
  <c r="F52" i="71"/>
  <c r="AS9" i="65"/>
  <c r="AM5" i="65"/>
  <c r="D51" i="71"/>
  <c r="AM11" i="60"/>
  <c r="D46" i="71"/>
  <c r="U11" i="65"/>
  <c r="C75" i="71"/>
  <c r="C67" i="71"/>
  <c r="D42" i="71"/>
  <c r="D22" i="71"/>
  <c r="AK4" i="60"/>
  <c r="D21" i="71"/>
  <c r="AQ3" i="65"/>
  <c r="R4" i="65"/>
  <c r="D16" i="60"/>
  <c r="F78" i="71"/>
  <c r="R10" i="65"/>
  <c r="AN9" i="65"/>
  <c r="E8" i="65"/>
  <c r="H3" i="60"/>
  <c r="Y12" i="65"/>
  <c r="G5" i="65"/>
  <c r="D10" i="71"/>
  <c r="AL25" i="60"/>
  <c r="G39" i="71"/>
  <c r="E5" i="65"/>
  <c r="C8" i="71"/>
  <c r="AC18" i="60"/>
  <c r="AR7" i="65"/>
  <c r="X26" i="60"/>
  <c r="D52" i="65"/>
  <c r="K4" i="60"/>
  <c r="W4" i="65"/>
  <c r="C3" i="65"/>
  <c r="AI11" i="65"/>
  <c r="G47" i="71"/>
  <c r="AJ9" i="65"/>
  <c r="F7" i="65"/>
  <c r="AR6" i="65"/>
  <c r="H18" i="60"/>
  <c r="U12" i="65"/>
  <c r="AR10" i="65"/>
  <c r="AL7" i="65"/>
  <c r="E46" i="71"/>
  <c r="AT12" i="65"/>
  <c r="E61" i="71"/>
  <c r="E19" i="71"/>
  <c r="G36" i="71"/>
  <c r="C6" i="65"/>
  <c r="F36" i="71"/>
  <c r="E48" i="71"/>
  <c r="G8" i="71"/>
  <c r="E34" i="71"/>
  <c r="R11" i="65"/>
  <c r="E24" i="60"/>
  <c r="AF10" i="60"/>
  <c r="J10" i="65"/>
  <c r="E23" i="71"/>
  <c r="Q69" i="65"/>
  <c r="AO23" i="60"/>
  <c r="F13" i="71"/>
  <c r="G13" i="71"/>
  <c r="M7" i="65"/>
  <c r="C2" i="71"/>
  <c r="F10" i="65"/>
  <c r="E33" i="71"/>
  <c r="G65" i="71"/>
  <c r="C4" i="65"/>
  <c r="G7" i="65"/>
  <c r="G31" i="71"/>
  <c r="C4" i="71"/>
  <c r="G19" i="71"/>
  <c r="AQ27" i="60"/>
  <c r="G27" i="71"/>
  <c r="AG7" i="65"/>
  <c r="AU9" i="65"/>
  <c r="G10" i="65"/>
  <c r="E42" i="71"/>
  <c r="E97" i="65"/>
  <c r="N6" i="65"/>
  <c r="C10" i="65"/>
  <c r="AR9" i="65"/>
  <c r="K35" i="65"/>
  <c r="AD13" i="60"/>
  <c r="I9" i="65"/>
  <c r="C21" i="71"/>
  <c r="E26" i="5"/>
  <c r="M6" i="65"/>
  <c r="AC11" i="60"/>
  <c r="E57" i="71"/>
  <c r="K9" i="60"/>
  <c r="F12" i="71"/>
  <c r="AJ11" i="65"/>
  <c r="C12" i="65"/>
  <c r="AL9" i="65"/>
  <c r="K26" i="5"/>
  <c r="D55" i="71"/>
  <c r="T6" i="65"/>
  <c r="AM12" i="65"/>
  <c r="AD5" i="65"/>
  <c r="L6" i="65"/>
  <c r="D9" i="71"/>
  <c r="C71" i="71"/>
  <c r="E39" i="71"/>
  <c r="G11" i="65"/>
  <c r="P9" i="65"/>
  <c r="AU8" i="65"/>
  <c r="C92" i="65"/>
  <c r="AJ12" i="65"/>
  <c r="AD4" i="65"/>
  <c r="L12" i="65"/>
  <c r="K5" i="65"/>
  <c r="Z17" i="60"/>
  <c r="E51" i="71"/>
  <c r="AI5" i="60"/>
  <c r="AH5" i="65"/>
  <c r="P7" i="65"/>
  <c r="AB12" i="65"/>
  <c r="E28" i="71"/>
  <c r="F3" i="65"/>
  <c r="T3" i="65"/>
  <c r="AE3" i="65"/>
  <c r="F27" i="71"/>
  <c r="D48" i="71"/>
  <c r="S6" i="65"/>
  <c r="L5" i="65"/>
  <c r="D13" i="71"/>
  <c r="E60" i="71"/>
  <c r="V4" i="65"/>
  <c r="D4" i="65"/>
  <c r="G12" i="71"/>
  <c r="AR11" i="65"/>
  <c r="D39" i="71"/>
  <c r="E58" i="71"/>
  <c r="F32" i="71"/>
  <c r="K9" i="65"/>
  <c r="Z19" i="60"/>
  <c r="AU13" i="60"/>
  <c r="Z6" i="65"/>
  <c r="D100" i="65"/>
  <c r="E37" i="71"/>
  <c r="J6" i="65"/>
  <c r="H100" i="65"/>
  <c r="C44" i="71"/>
  <c r="O17" i="60"/>
  <c r="G28" i="71"/>
  <c r="D4" i="71"/>
  <c r="C9" i="71"/>
  <c r="AT5" i="65"/>
  <c r="AT10" i="60"/>
  <c r="M5" i="60"/>
  <c r="AE20" i="60"/>
  <c r="G62" i="71"/>
  <c r="AE23" i="65"/>
  <c r="H96" i="65"/>
  <c r="F20" i="60"/>
  <c r="G6" i="60"/>
  <c r="AU17" i="60"/>
  <c r="M9" i="65"/>
  <c r="F68" i="71"/>
  <c r="R6" i="65"/>
  <c r="X3" i="65"/>
  <c r="X9" i="65"/>
  <c r="AJ7" i="65"/>
  <c r="Q7" i="65"/>
  <c r="U10" i="65"/>
  <c r="F17" i="71"/>
  <c r="AU12" i="65"/>
  <c r="C8" i="65"/>
  <c r="N5" i="65"/>
  <c r="F59" i="71"/>
  <c r="AT11" i="65"/>
  <c r="H8" i="65"/>
  <c r="AB11" i="65"/>
  <c r="U4" i="65"/>
  <c r="AM6" i="65"/>
  <c r="AA8" i="65"/>
  <c r="AQ6" i="65"/>
  <c r="F30" i="71"/>
  <c r="G8" i="65"/>
  <c r="P89" i="65"/>
  <c r="AN6" i="60"/>
  <c r="F22" i="65"/>
  <c r="C68" i="71"/>
  <c r="F19" i="60"/>
  <c r="AF5" i="65"/>
  <c r="D84" i="65"/>
  <c r="G5" i="71"/>
  <c r="S11" i="65"/>
  <c r="AB91" i="65"/>
  <c r="AT10" i="65"/>
  <c r="O8" i="65"/>
  <c r="M11" i="65"/>
  <c r="E77" i="71"/>
  <c r="F6" i="65"/>
  <c r="G4" i="65"/>
  <c r="V9" i="65"/>
  <c r="D5" i="65"/>
  <c r="F11" i="71"/>
  <c r="AV2" i="60"/>
  <c r="R7" i="65"/>
  <c r="AQ5" i="65"/>
  <c r="AQ8" i="65"/>
  <c r="U7" i="65"/>
  <c r="G74" i="71"/>
  <c r="G25" i="71"/>
  <c r="O6" i="65"/>
  <c r="AO10" i="65"/>
  <c r="AS9" i="60"/>
  <c r="C28" i="71"/>
  <c r="G68" i="71"/>
  <c r="AH8" i="65"/>
  <c r="AG16" i="60"/>
  <c r="O7" i="65"/>
  <c r="Y3" i="60"/>
  <c r="F38" i="71"/>
  <c r="AR16" i="60"/>
  <c r="J16" i="60"/>
  <c r="AP7" i="65"/>
  <c r="AO4" i="65"/>
  <c r="AK12" i="65"/>
  <c r="E47" i="60"/>
  <c r="AI8" i="65"/>
  <c r="S3" i="65"/>
  <c r="F47" i="71"/>
  <c r="AN6" i="65"/>
  <c r="AF9" i="65"/>
  <c r="I4" i="65"/>
  <c r="E22" i="71"/>
  <c r="C7" i="71"/>
  <c r="G43" i="71"/>
  <c r="I8" i="65"/>
  <c r="AU5" i="65"/>
  <c r="G55" i="71"/>
  <c r="C65" i="71"/>
  <c r="N7" i="65"/>
  <c r="AU6" i="65"/>
  <c r="V12" i="65"/>
  <c r="D7" i="71"/>
  <c r="N19" i="60"/>
  <c r="C5" i="71"/>
  <c r="AK6" i="65"/>
  <c r="D23" i="71"/>
  <c r="G16" i="71"/>
  <c r="E54" i="71"/>
  <c r="P9" i="60"/>
  <c r="AC3" i="60"/>
  <c r="O5" i="65"/>
  <c r="J37" i="65"/>
  <c r="S11" i="60"/>
  <c r="AJ6" i="65"/>
  <c r="F34" i="71"/>
  <c r="C64" i="71"/>
  <c r="H4" i="65"/>
  <c r="V3" i="65"/>
  <c r="AB9" i="65"/>
  <c r="D38" i="71"/>
  <c r="AM8" i="65"/>
  <c r="AE13" i="60"/>
  <c r="F9" i="71"/>
  <c r="Z7" i="65"/>
  <c r="F45" i="71"/>
  <c r="C91" i="65"/>
  <c r="H69" i="65"/>
  <c r="T4" i="65"/>
  <c r="Z23" i="60"/>
  <c r="G48" i="71"/>
  <c r="AU23" i="60"/>
  <c r="D28" i="71"/>
  <c r="E69" i="71"/>
  <c r="N20" i="60"/>
  <c r="AQ79" i="65"/>
  <c r="G3" i="71"/>
  <c r="I64" i="65"/>
  <c r="AC7" i="65"/>
  <c r="G15" i="71"/>
  <c r="E19" i="60"/>
  <c r="D15" i="71"/>
  <c r="C70" i="71"/>
  <c r="W101" i="65"/>
  <c r="K19" i="60"/>
  <c r="AT3" i="65"/>
  <c r="AI6" i="60"/>
  <c r="I79" i="65"/>
  <c r="AS76" i="65"/>
  <c r="AQ11" i="65"/>
  <c r="K24" i="60"/>
  <c r="AE27" i="60"/>
  <c r="AB19" i="60"/>
  <c r="X101" i="65"/>
  <c r="D12" i="71"/>
  <c r="D17" i="60"/>
  <c r="U19" i="60"/>
  <c r="Q4" i="60"/>
  <c r="K74" i="65"/>
  <c r="AS12" i="60"/>
  <c r="E43" i="71"/>
  <c r="AO5" i="65"/>
  <c r="D5" i="71"/>
  <c r="E62" i="71"/>
  <c r="C29" i="65"/>
  <c r="AC42" i="65"/>
  <c r="E17" i="60"/>
  <c r="V18" i="60"/>
  <c r="D102" i="65"/>
  <c r="C22" i="71"/>
  <c r="E36" i="71"/>
  <c r="AF6" i="65"/>
  <c r="AI19" i="60"/>
  <c r="AF5" i="60"/>
  <c r="S9" i="60"/>
  <c r="F48" i="60"/>
  <c r="Q20" i="60"/>
  <c r="K3" i="65"/>
  <c r="P4" i="60"/>
  <c r="P4" i="65"/>
  <c r="AH9" i="60"/>
  <c r="AS81" i="65"/>
  <c r="G26" i="5"/>
  <c r="AK11" i="65"/>
  <c r="C13" i="71"/>
  <c r="C35" i="71"/>
  <c r="AE8" i="65"/>
  <c r="O10" i="65"/>
  <c r="D17" i="71"/>
  <c r="E52" i="71"/>
  <c r="C33" i="71"/>
  <c r="Q9" i="65"/>
  <c r="E2" i="60"/>
  <c r="G46" i="71"/>
  <c r="U25" i="60"/>
  <c r="L4" i="65"/>
  <c r="G58" i="71"/>
  <c r="Q12" i="65"/>
  <c r="G49" i="71"/>
  <c r="AS25" i="60"/>
  <c r="AA16" i="60"/>
  <c r="E39" i="65"/>
  <c r="AR18" i="60"/>
  <c r="E13" i="71"/>
  <c r="F3" i="71"/>
  <c r="AO7" i="65"/>
  <c r="F12" i="65"/>
  <c r="C15" i="71"/>
  <c r="AG4" i="65"/>
  <c r="AR78" i="65"/>
  <c r="X27" i="60"/>
  <c r="J60" i="65"/>
  <c r="H19" i="60"/>
  <c r="AP19" i="60"/>
  <c r="K53" i="65"/>
  <c r="AD32" i="65"/>
  <c r="F42" i="65"/>
  <c r="AG8" i="65"/>
  <c r="F23" i="60"/>
  <c r="Y4" i="65"/>
  <c r="I24" i="60"/>
  <c r="I46" i="65"/>
  <c r="E53" i="65"/>
  <c r="AM101" i="65"/>
  <c r="C31" i="65"/>
  <c r="M77" i="65"/>
  <c r="N9" i="65"/>
  <c r="S8" i="65"/>
  <c r="J4" i="60"/>
  <c r="Q3" i="60"/>
  <c r="S26" i="60"/>
  <c r="H51" i="65"/>
  <c r="AB87" i="65"/>
  <c r="X10" i="60"/>
  <c r="F11" i="65"/>
  <c r="X7" i="65"/>
  <c r="L3" i="60"/>
  <c r="W20" i="60"/>
  <c r="AF93" i="65"/>
  <c r="AF4" i="60"/>
  <c r="G70" i="71"/>
  <c r="AU19" i="60"/>
  <c r="AF26" i="60"/>
  <c r="AH20" i="60"/>
  <c r="D14" i="71"/>
  <c r="Y89" i="65"/>
  <c r="T5" i="65"/>
  <c r="AD12" i="65"/>
  <c r="C36" i="71"/>
  <c r="J8" i="65"/>
  <c r="F64" i="71"/>
  <c r="K10" i="65"/>
  <c r="AM7" i="65"/>
  <c r="U8" i="65"/>
  <c r="O4" i="65"/>
  <c r="D59" i="71"/>
  <c r="U9" i="65"/>
  <c r="X4" i="65"/>
  <c r="AH5" i="60"/>
  <c r="D59" i="65"/>
  <c r="G20" i="65"/>
  <c r="I7" i="65"/>
  <c r="AA101" i="65"/>
  <c r="V2" i="60"/>
  <c r="AK7" i="65"/>
  <c r="AG6" i="60"/>
  <c r="G111" i="65"/>
  <c r="AJ85" i="65"/>
  <c r="C16" i="71"/>
  <c r="F22" i="71"/>
  <c r="P13" i="60"/>
  <c r="AC70" i="65"/>
  <c r="AA7" i="65"/>
  <c r="G9" i="65"/>
  <c r="C30" i="71"/>
  <c r="L8" i="65"/>
  <c r="J20" i="60"/>
  <c r="J12" i="65"/>
  <c r="AR11" i="60"/>
  <c r="G112" i="65"/>
  <c r="F18" i="60"/>
  <c r="V20" i="60"/>
  <c r="S13" i="60"/>
  <c r="AL4" i="60"/>
  <c r="S12" i="60"/>
  <c r="AT9" i="60"/>
  <c r="F99" i="65"/>
  <c r="AD30" i="65"/>
  <c r="AU6" i="60"/>
  <c r="G2" i="71"/>
  <c r="J5" i="65"/>
  <c r="AP25" i="60"/>
  <c r="W11" i="60"/>
  <c r="AD74" i="65"/>
  <c r="F92" i="65"/>
  <c r="G42" i="65"/>
  <c r="V10" i="60"/>
  <c r="AC27" i="65"/>
  <c r="C49" i="71"/>
  <c r="AG23" i="60"/>
  <c r="AB3" i="60"/>
  <c r="M27" i="60"/>
  <c r="G59" i="71"/>
  <c r="Q23" i="60"/>
  <c r="AH9" i="65"/>
  <c r="Y20" i="60"/>
  <c r="I95" i="65"/>
  <c r="I30" i="65"/>
  <c r="G6" i="71"/>
  <c r="AU22" i="65"/>
  <c r="F24" i="71"/>
  <c r="AS12" i="65"/>
  <c r="D66" i="71"/>
  <c r="AA9" i="65"/>
  <c r="C63" i="71"/>
  <c r="E24" i="71"/>
  <c r="D2" i="71"/>
  <c r="P11" i="65"/>
  <c r="T10" i="65"/>
  <c r="H26" i="5"/>
  <c r="Z11" i="65"/>
  <c r="V10" i="65"/>
  <c r="AB18" i="60"/>
  <c r="D31" i="71"/>
  <c r="D7" i="65"/>
  <c r="C7" i="65"/>
  <c r="R16" i="60"/>
  <c r="D62" i="71"/>
  <c r="L9" i="65"/>
  <c r="Y4" i="60"/>
  <c r="F46" i="71"/>
  <c r="AK5" i="65"/>
  <c r="AG3" i="65"/>
  <c r="D68" i="71"/>
  <c r="K93" i="65"/>
  <c r="C26" i="71"/>
  <c r="F13" i="60"/>
  <c r="AV4" i="60"/>
  <c r="G61" i="71"/>
  <c r="U5" i="60"/>
  <c r="C44" i="65"/>
  <c r="T8" i="65"/>
  <c r="AM4" i="60"/>
  <c r="G31" i="65"/>
  <c r="H5" i="60"/>
  <c r="J82" i="65"/>
  <c r="G107" i="65"/>
  <c r="P25" i="60"/>
  <c r="C76" i="71"/>
  <c r="AE70" i="65"/>
  <c r="Y102" i="65"/>
  <c r="C82" i="65"/>
  <c r="T11" i="60"/>
  <c r="J22" i="65"/>
  <c r="AC107" i="65"/>
  <c r="Y13" i="60"/>
  <c r="G109" i="65"/>
  <c r="AG18" i="60"/>
  <c r="E4" i="71"/>
  <c r="F85" i="65"/>
  <c r="AS16" i="60"/>
  <c r="E50" i="65"/>
  <c r="AF11" i="60"/>
  <c r="G92" i="65"/>
  <c r="AD26" i="60"/>
  <c r="S3" i="60"/>
  <c r="AT9" i="65"/>
  <c r="AK24" i="60"/>
  <c r="AK10" i="65"/>
  <c r="R18" i="60"/>
  <c r="Z12" i="60"/>
  <c r="T17" i="60"/>
  <c r="F53" i="71"/>
  <c r="T111" i="65"/>
  <c r="M8" i="65"/>
  <c r="AF7" i="65"/>
  <c r="C55" i="71"/>
  <c r="E7" i="71"/>
  <c r="F31" i="71"/>
  <c r="AR3" i="65"/>
  <c r="AL23" i="60"/>
  <c r="H11" i="65"/>
  <c r="G24" i="60"/>
  <c r="D76" i="71"/>
  <c r="AG11" i="65"/>
  <c r="F83" i="65"/>
  <c r="O9" i="60"/>
  <c r="AL20" i="60"/>
  <c r="AC6" i="60"/>
  <c r="E45" i="71"/>
  <c r="AT75" i="65"/>
  <c r="AD3" i="65"/>
  <c r="F97" i="65"/>
  <c r="AD5" i="60"/>
  <c r="AR6" i="60"/>
  <c r="D60" i="71"/>
  <c r="AL5" i="60"/>
  <c r="AB59" i="65"/>
  <c r="X11" i="65"/>
  <c r="E31" i="71"/>
  <c r="C42" i="71"/>
  <c r="F28" i="71"/>
  <c r="L11" i="65"/>
  <c r="D18" i="60"/>
  <c r="Q5" i="65"/>
  <c r="AK8" i="65"/>
  <c r="J29" i="65"/>
  <c r="X5" i="65"/>
  <c r="AB80" i="65"/>
  <c r="AP9" i="60"/>
  <c r="AK85" i="65"/>
  <c r="AC74" i="65"/>
  <c r="AC105" i="65"/>
  <c r="C25" i="71"/>
  <c r="Z75" i="65"/>
  <c r="W12" i="65"/>
  <c r="AD23" i="60"/>
  <c r="F10" i="60"/>
  <c r="D19" i="60"/>
  <c r="T13" i="60"/>
  <c r="G27" i="60"/>
  <c r="G73" i="71"/>
  <c r="J29" i="53"/>
  <c r="G34" i="71"/>
  <c r="AR4" i="65"/>
  <c r="AN4" i="60"/>
  <c r="O26" i="60"/>
  <c r="V16" i="60"/>
  <c r="H101" i="65"/>
  <c r="D70" i="71"/>
  <c r="I9" i="60"/>
  <c r="AL55" i="65"/>
  <c r="AB92" i="65"/>
  <c r="AS10" i="60"/>
  <c r="AJ6" i="60"/>
  <c r="F39" i="71"/>
  <c r="Z98" i="65"/>
  <c r="K11" i="65"/>
  <c r="L10" i="65"/>
  <c r="F65" i="71"/>
  <c r="C45" i="71"/>
  <c r="AD7" i="65"/>
  <c r="Y10" i="65"/>
  <c r="AH11" i="65"/>
  <c r="J4" i="65"/>
  <c r="AP12" i="65"/>
  <c r="F34" i="65"/>
  <c r="AI9" i="60"/>
  <c r="N16" i="60"/>
  <c r="T9" i="65"/>
  <c r="G30" i="71"/>
  <c r="AK3" i="65"/>
  <c r="AA3" i="60"/>
  <c r="AH12" i="60"/>
  <c r="Q5" i="60"/>
  <c r="C14" i="71"/>
  <c r="G76" i="71"/>
  <c r="C54" i="71"/>
  <c r="AQ12" i="65"/>
  <c r="AI9" i="65"/>
  <c r="F81" i="65"/>
  <c r="O18" i="60"/>
  <c r="E65" i="71"/>
  <c r="K5" i="60"/>
  <c r="F10" i="71"/>
  <c r="AM3" i="65"/>
  <c r="AT45" i="65"/>
  <c r="AH3" i="60"/>
  <c r="AM11" i="65"/>
  <c r="F76" i="71"/>
  <c r="AV26" i="60"/>
  <c r="Y8" i="65"/>
  <c r="H108" i="65"/>
  <c r="W25" i="60"/>
  <c r="K92" i="65"/>
  <c r="AD24" i="60"/>
  <c r="V13" i="60"/>
  <c r="N4" i="65"/>
  <c r="G2" i="60"/>
  <c r="AG19" i="60"/>
  <c r="AI10" i="65"/>
  <c r="Z86" i="65"/>
  <c r="AL2" i="60"/>
  <c r="C77" i="71"/>
  <c r="AK115" i="65"/>
  <c r="G29" i="71"/>
  <c r="AB20" i="60"/>
  <c r="AF10" i="65"/>
  <c r="D65" i="71"/>
  <c r="AG10" i="65"/>
  <c r="AK12" i="60"/>
  <c r="AC17" i="60"/>
  <c r="AT24" i="60"/>
  <c r="R29" i="65"/>
  <c r="E56" i="65"/>
  <c r="F4" i="71"/>
  <c r="AE25" i="60"/>
  <c r="G78" i="71"/>
  <c r="W24" i="60"/>
  <c r="AO9" i="60"/>
  <c r="AK38" i="65"/>
  <c r="AU11" i="65"/>
  <c r="S10" i="65"/>
  <c r="F57" i="71"/>
  <c r="F73" i="71"/>
  <c r="AH6" i="65"/>
  <c r="D25" i="71"/>
  <c r="D58" i="71"/>
  <c r="AR5" i="60"/>
  <c r="W4" i="60"/>
  <c r="E35" i="71"/>
  <c r="W8" i="65"/>
  <c r="O3" i="60"/>
  <c r="E12" i="65"/>
  <c r="C27" i="71"/>
  <c r="W5" i="65"/>
  <c r="AA12" i="60"/>
  <c r="AO12" i="60"/>
  <c r="AO11" i="60"/>
  <c r="AC25" i="60"/>
  <c r="E21" i="65"/>
  <c r="C11" i="71"/>
  <c r="AE4" i="65"/>
  <c r="AO103" i="65"/>
  <c r="F37" i="71"/>
  <c r="AD3" i="60"/>
  <c r="N10" i="60"/>
  <c r="E67" i="71"/>
  <c r="I3" i="65"/>
  <c r="G72" i="71"/>
  <c r="AA3" i="65"/>
  <c r="AE5" i="65"/>
  <c r="S6" i="60"/>
  <c r="K26" i="65"/>
  <c r="M10" i="65"/>
  <c r="AN18" i="60"/>
  <c r="D47" i="71"/>
  <c r="W80" i="65"/>
  <c r="H48" i="65"/>
  <c r="N17" i="60"/>
  <c r="D6" i="60"/>
  <c r="AP6" i="60"/>
  <c r="G69" i="71"/>
  <c r="C60" i="71"/>
  <c r="AN10" i="65"/>
  <c r="U37" i="65"/>
  <c r="AE11" i="65"/>
  <c r="C37" i="65"/>
  <c r="D43" i="71"/>
  <c r="G17" i="71"/>
  <c r="AC3" i="65"/>
  <c r="F56" i="71"/>
  <c r="K113" i="65"/>
  <c r="AN26" i="60"/>
  <c r="AE4" i="60"/>
  <c r="K79" i="65"/>
  <c r="S16" i="60"/>
  <c r="AG73" i="65"/>
  <c r="AC4" i="60"/>
  <c r="AV17" i="60"/>
  <c r="AN12" i="65"/>
  <c r="J19" i="60"/>
  <c r="AI74" i="65"/>
  <c r="AQ91" i="65"/>
  <c r="P8" i="65"/>
  <c r="AO6" i="65"/>
  <c r="Y9" i="65"/>
  <c r="AJ43" i="65"/>
  <c r="Q11" i="65"/>
  <c r="F49" i="71"/>
  <c r="AQ7" i="65"/>
  <c r="F9" i="65"/>
  <c r="W11" i="65"/>
  <c r="AJ5" i="65"/>
  <c r="C38" i="71"/>
  <c r="G57" i="71"/>
  <c r="AI23" i="60"/>
  <c r="G60" i="71"/>
  <c r="AU7" i="65"/>
  <c r="C43" i="71"/>
  <c r="AO8" i="65"/>
  <c r="E20" i="71"/>
  <c r="D11" i="71"/>
  <c r="E3" i="71"/>
  <c r="AE12" i="65"/>
  <c r="AL8" i="65"/>
  <c r="AB6" i="65"/>
  <c r="R81" i="65"/>
  <c r="F42" i="71"/>
  <c r="AT18" i="60"/>
  <c r="S18" i="60"/>
  <c r="V5" i="65"/>
  <c r="AP3" i="60"/>
  <c r="AH25" i="60"/>
  <c r="Z10" i="60"/>
  <c r="AK26" i="60"/>
  <c r="Z28" i="65"/>
  <c r="F26" i="60"/>
  <c r="O12" i="60"/>
  <c r="G71" i="71"/>
  <c r="D71" i="71"/>
  <c r="M12" i="60"/>
  <c r="AJ26" i="60"/>
  <c r="I92" i="65"/>
  <c r="Q13" i="60"/>
  <c r="AT26" i="60"/>
  <c r="J111" i="65"/>
  <c r="E38" i="71"/>
  <c r="I44" i="65"/>
  <c r="G3" i="60"/>
  <c r="AO20" i="60"/>
  <c r="E88" i="65"/>
  <c r="F5" i="71"/>
  <c r="F77" i="71"/>
  <c r="U13" i="60"/>
  <c r="G50" i="71"/>
  <c r="C6" i="71"/>
  <c r="H17" i="60"/>
  <c r="C56" i="71"/>
  <c r="AI26" i="65"/>
  <c r="F5" i="60"/>
  <c r="AO83" i="65"/>
  <c r="K17" i="60"/>
  <c r="D18" i="71"/>
  <c r="D34" i="71"/>
  <c r="C69" i="65"/>
  <c r="AI38" i="65"/>
  <c r="AC4" i="65"/>
  <c r="Z9" i="65"/>
  <c r="F18" i="71"/>
  <c r="AS5" i="65"/>
  <c r="T11" i="65"/>
  <c r="Z25" i="60"/>
  <c r="AD6" i="65"/>
  <c r="AL5" i="65"/>
  <c r="AJ13" i="60"/>
  <c r="V26" i="65"/>
  <c r="N12" i="65"/>
  <c r="AT4" i="65"/>
  <c r="F4" i="60"/>
  <c r="AQ3" i="60"/>
  <c r="Q19" i="60"/>
  <c r="AO4" i="60"/>
  <c r="S5" i="65"/>
  <c r="Q11" i="60"/>
  <c r="S24" i="60"/>
  <c r="AA11" i="65"/>
  <c r="N13" i="60"/>
  <c r="AG9" i="65"/>
  <c r="E25" i="60"/>
  <c r="G53" i="65"/>
  <c r="E47" i="71"/>
  <c r="G4" i="71"/>
  <c r="E26" i="71"/>
  <c r="G42" i="71"/>
  <c r="C41" i="65"/>
  <c r="AF3" i="65"/>
  <c r="F7" i="71"/>
  <c r="AI20" i="60"/>
  <c r="C11" i="65"/>
  <c r="AB17" i="60"/>
  <c r="D61" i="71"/>
  <c r="AU10" i="65"/>
  <c r="F44" i="71"/>
  <c r="F21" i="71"/>
  <c r="AS7" i="65"/>
  <c r="AI4" i="65"/>
  <c r="G77" i="71"/>
  <c r="AD9" i="65"/>
  <c r="C9" i="65"/>
  <c r="F3" i="60"/>
  <c r="AL18" i="60"/>
  <c r="H4" i="60"/>
  <c r="AF46" i="65"/>
  <c r="E17" i="71"/>
  <c r="V97" i="65"/>
  <c r="G93" i="65"/>
  <c r="M27" i="65"/>
  <c r="O74" i="65"/>
  <c r="U108" i="65"/>
  <c r="R10" i="60"/>
  <c r="C80" i="65"/>
  <c r="P24" i="60"/>
  <c r="F40" i="65"/>
  <c r="AQ23" i="60"/>
  <c r="Q73" i="65"/>
  <c r="P5" i="65"/>
  <c r="D37" i="71"/>
  <c r="D36" i="71"/>
  <c r="AO9" i="65"/>
  <c r="E15" i="71"/>
  <c r="F60" i="71"/>
  <c r="AH7" i="65"/>
  <c r="AH11" i="60"/>
  <c r="AC5" i="65"/>
  <c r="AN3" i="60"/>
  <c r="P6" i="65"/>
  <c r="R3" i="65"/>
  <c r="F16" i="71"/>
  <c r="AS8" i="65"/>
  <c r="D63" i="71"/>
  <c r="P12" i="60"/>
  <c r="W10" i="65"/>
  <c r="AU18" i="60"/>
  <c r="AU25" i="60"/>
  <c r="M69" i="65"/>
  <c r="K20" i="65"/>
  <c r="AL70" i="65"/>
  <c r="S76" i="65"/>
  <c r="AJ25" i="60"/>
  <c r="AQ71" i="65"/>
  <c r="F20" i="71"/>
  <c r="D54" i="71"/>
  <c r="D3" i="71"/>
  <c r="AR3" i="60"/>
  <c r="N81" i="65"/>
  <c r="AA9" i="60"/>
  <c r="E63" i="71"/>
  <c r="AT27" i="60"/>
  <c r="J34" i="5"/>
  <c r="E7" i="65"/>
  <c r="P3" i="65"/>
  <c r="U26" i="60"/>
  <c r="K29" i="65"/>
  <c r="Y97" i="65"/>
  <c r="F115" i="65"/>
  <c r="O19" i="60"/>
  <c r="AA24" i="60"/>
  <c r="G12" i="65"/>
  <c r="E112" i="65"/>
  <c r="X11" i="60"/>
  <c r="AQ21" i="65"/>
  <c r="AM6" i="60"/>
  <c r="AD96" i="65"/>
  <c r="V74" i="65"/>
  <c r="J75" i="65"/>
  <c r="AQ19" i="60"/>
  <c r="S42" i="65"/>
  <c r="L104" i="65"/>
  <c r="R3" i="60"/>
  <c r="H115" i="65"/>
  <c r="AO2" i="60"/>
  <c r="U73" i="65"/>
  <c r="I23" i="51"/>
  <c r="G24" i="71"/>
  <c r="G23" i="71"/>
  <c r="K11" i="60"/>
  <c r="Z3" i="60"/>
  <c r="AC16" i="60"/>
  <c r="AH13" i="60"/>
  <c r="AO70" i="65"/>
  <c r="AR102" i="65"/>
  <c r="C104" i="65"/>
  <c r="Z20" i="60"/>
  <c r="J23" i="60"/>
  <c r="AR95" i="65"/>
  <c r="H45" i="65"/>
  <c r="AD12" i="60"/>
  <c r="AT5" i="60"/>
  <c r="Y3" i="65"/>
  <c r="E29" i="5"/>
  <c r="K80" i="65"/>
  <c r="U4" i="60"/>
  <c r="AJ88" i="65"/>
  <c r="K30" i="65"/>
  <c r="AA25" i="65"/>
  <c r="AU32" i="65"/>
  <c r="AL63" i="65"/>
  <c r="AJ12" i="60"/>
  <c r="K27" i="65"/>
  <c r="AB6" i="60"/>
  <c r="G21" i="71"/>
  <c r="H2" i="60"/>
  <c r="M17" i="60"/>
  <c r="AT74" i="65"/>
  <c r="AQ46" i="65"/>
  <c r="D72" i="71"/>
  <c r="N25" i="60"/>
  <c r="V7" i="65"/>
  <c r="H107" i="65"/>
  <c r="AJ71" i="65"/>
  <c r="K73" i="65"/>
  <c r="AE16" i="60"/>
  <c r="E10" i="65"/>
  <c r="E57" i="65"/>
  <c r="E27" i="60"/>
  <c r="C85" i="65"/>
  <c r="Y18" i="60"/>
  <c r="I87" i="65"/>
  <c r="AA26" i="60"/>
  <c r="J39" i="65"/>
  <c r="AB3" i="65"/>
  <c r="N11" i="65"/>
  <c r="AG5" i="65"/>
  <c r="U23" i="60"/>
  <c r="G18" i="71"/>
  <c r="P2" i="60"/>
  <c r="AC24" i="60"/>
  <c r="C52" i="65"/>
  <c r="X77" i="65"/>
  <c r="F58" i="71"/>
  <c r="T42" i="65"/>
  <c r="J24" i="60"/>
  <c r="F26" i="5"/>
  <c r="Z80" i="65"/>
  <c r="AN71" i="65"/>
  <c r="I41" i="65"/>
  <c r="F2" i="71"/>
  <c r="AR27" i="60"/>
  <c r="L94" i="65"/>
  <c r="AJ90" i="65"/>
  <c r="M13" i="60"/>
  <c r="E79" i="65"/>
  <c r="Y11" i="65"/>
  <c r="AB5" i="65"/>
  <c r="AP4" i="65"/>
  <c r="I11" i="65"/>
  <c r="C46" i="71"/>
  <c r="R27" i="60"/>
  <c r="D8" i="71"/>
  <c r="AP5" i="65"/>
  <c r="E9" i="65"/>
  <c r="M5" i="65"/>
  <c r="C69" i="71"/>
  <c r="D50" i="71"/>
  <c r="E8" i="71"/>
  <c r="V8" i="65"/>
  <c r="AO27" i="60"/>
  <c r="E44" i="71"/>
  <c r="U5" i="65"/>
  <c r="I13" i="60"/>
  <c r="S26" i="65"/>
  <c r="AM16" i="60"/>
  <c r="D64" i="65"/>
  <c r="E20" i="60"/>
  <c r="D8" i="65"/>
  <c r="AQ6" i="60"/>
  <c r="AN112" i="65"/>
  <c r="AA2" i="60"/>
  <c r="AB24" i="60"/>
  <c r="G64" i="71"/>
  <c r="F35" i="71"/>
  <c r="D75" i="71"/>
  <c r="AE24" i="60"/>
  <c r="AE12" i="60"/>
  <c r="AG12" i="65"/>
  <c r="F63" i="71"/>
  <c r="AL97" i="65"/>
  <c r="J7" i="65"/>
  <c r="AI3" i="60"/>
  <c r="N26" i="60"/>
  <c r="Y83" i="65"/>
  <c r="Q44" i="65"/>
  <c r="Y5" i="60"/>
  <c r="W79" i="65"/>
  <c r="AR24" i="60"/>
  <c r="R45" i="65"/>
  <c r="N110" i="65"/>
  <c r="M41" i="65"/>
  <c r="AB12" i="60"/>
  <c r="AL3" i="60"/>
  <c r="H11" i="60"/>
  <c r="AD27" i="60"/>
  <c r="M87" i="65"/>
  <c r="AL3" i="16"/>
  <c r="S106" i="65"/>
  <c r="R74" i="65"/>
  <c r="G9" i="60"/>
  <c r="AP27" i="60"/>
  <c r="C43" i="65"/>
  <c r="AA95" i="65"/>
  <c r="AR26" i="60"/>
  <c r="H7" i="65"/>
  <c r="D78" i="71"/>
  <c r="AL24" i="60"/>
  <c r="AK3" i="60"/>
  <c r="D73" i="65"/>
  <c r="U95" i="65"/>
  <c r="C29" i="71"/>
  <c r="J99" i="65"/>
  <c r="I26" i="60"/>
  <c r="E111" i="65"/>
  <c r="C57" i="65"/>
  <c r="AC69" i="65"/>
  <c r="H32" i="65"/>
  <c r="AD9" i="60"/>
  <c r="D113" i="65"/>
  <c r="F8" i="71"/>
  <c r="T33" i="65"/>
  <c r="K20" i="60"/>
  <c r="J114" i="65"/>
  <c r="W99" i="65"/>
  <c r="K87" i="65"/>
  <c r="AL29" i="65"/>
  <c r="AE80" i="65"/>
  <c r="AR83" i="65"/>
  <c r="O109" i="65"/>
  <c r="W2" i="60"/>
  <c r="AD25" i="60"/>
  <c r="H12" i="60"/>
  <c r="Q24" i="60"/>
  <c r="C70" i="65"/>
  <c r="R9" i="60"/>
  <c r="C73" i="71"/>
  <c r="AJ4" i="60"/>
  <c r="AP18" i="60"/>
  <c r="G3" i="65"/>
  <c r="Z10" i="65"/>
  <c r="T23" i="60"/>
  <c r="AN4" i="65"/>
  <c r="D103" i="65"/>
  <c r="AR9" i="60"/>
  <c r="C32" i="71"/>
  <c r="AT11" i="60"/>
  <c r="C113" i="65"/>
  <c r="AA23" i="60"/>
  <c r="E25" i="71"/>
  <c r="E48" i="60"/>
  <c r="C72" i="71"/>
  <c r="C19" i="71"/>
  <c r="AP8" i="65"/>
  <c r="D4" i="60"/>
  <c r="AC9" i="65"/>
  <c r="AG20" i="60"/>
  <c r="AI22" i="65"/>
  <c r="O12" i="65"/>
  <c r="G41" i="71"/>
  <c r="D74" i="71"/>
  <c r="E66" i="71"/>
  <c r="E32" i="71"/>
  <c r="F51" i="71"/>
  <c r="E114" i="65"/>
  <c r="AM10" i="65"/>
  <c r="AB16" i="60"/>
  <c r="I55" i="65"/>
  <c r="AN7" i="65"/>
  <c r="AM4" i="65"/>
  <c r="C52" i="71"/>
  <c r="AV6" i="60"/>
  <c r="C3" i="71"/>
  <c r="Y6" i="60"/>
  <c r="AP3" i="65"/>
  <c r="G32" i="71"/>
  <c r="C50" i="71"/>
  <c r="Z16" i="60"/>
  <c r="F33" i="71"/>
  <c r="AN3" i="65"/>
  <c r="S7" i="65"/>
  <c r="AA4" i="65"/>
  <c r="S4" i="65"/>
  <c r="AG12" i="60"/>
  <c r="C24" i="71"/>
  <c r="Y16" i="60"/>
  <c r="H12" i="65"/>
  <c r="I75" i="65"/>
  <c r="AJ9" i="60"/>
  <c r="F71" i="71"/>
  <c r="AA25" i="60"/>
  <c r="N3" i="65"/>
  <c r="N10" i="65"/>
  <c r="G17" i="60"/>
  <c r="AE78" i="65"/>
  <c r="L5" i="60"/>
  <c r="AF110" i="65"/>
  <c r="AN8" i="65"/>
  <c r="H79" i="65"/>
  <c r="O25" i="60"/>
  <c r="S12" i="65"/>
  <c r="AE7" i="65"/>
  <c r="H9" i="65"/>
  <c r="G52" i="71"/>
  <c r="AE9" i="60"/>
  <c r="Z3" i="65"/>
  <c r="C59" i="71"/>
  <c r="C66" i="71"/>
  <c r="G10" i="71"/>
  <c r="I6" i="65"/>
  <c r="AT17" i="60"/>
  <c r="AF35" i="65"/>
  <c r="F107" i="65"/>
  <c r="K25" i="60"/>
  <c r="AK25" i="60"/>
  <c r="AJ2" i="60"/>
  <c r="R24" i="60"/>
  <c r="M6" i="60"/>
  <c r="I29" i="65"/>
  <c r="S74" i="65"/>
  <c r="D75" i="65"/>
  <c r="P77" i="65"/>
  <c r="AI110" i="65"/>
  <c r="AC75" i="65"/>
  <c r="X79" i="65"/>
  <c r="E38" i="52"/>
  <c r="P103" i="65"/>
  <c r="AC72" i="65"/>
  <c r="E73" i="65"/>
  <c r="Y5" i="65"/>
  <c r="AP34" i="65"/>
  <c r="T75" i="65"/>
  <c r="D19" i="71"/>
  <c r="AL10" i="65"/>
  <c r="C37" i="71"/>
  <c r="I25" i="60"/>
  <c r="D76" i="65"/>
  <c r="S5" i="60"/>
  <c r="G101" i="65"/>
  <c r="I36" i="65"/>
  <c r="AM5" i="60"/>
  <c r="F66" i="71"/>
  <c r="H25" i="60"/>
  <c r="O16" i="60"/>
  <c r="H42" i="65"/>
  <c r="AL46" i="65"/>
  <c r="J76" i="65"/>
  <c r="G29" i="5"/>
  <c r="U24" i="60"/>
  <c r="AE84" i="65"/>
  <c r="K24" i="65"/>
  <c r="AP10" i="60"/>
  <c r="W5" i="60"/>
  <c r="H90" i="65"/>
  <c r="H29" i="65"/>
  <c r="AQ5" i="60"/>
  <c r="Q16" i="60"/>
  <c r="AQ101" i="65"/>
  <c r="H19" i="53"/>
  <c r="AC2" i="60"/>
  <c r="Y70" i="65"/>
  <c r="AR38" i="65"/>
  <c r="D54" i="65"/>
  <c r="AL39" i="65"/>
  <c r="G45" i="71"/>
  <c r="G26" i="71"/>
  <c r="Q10" i="60"/>
  <c r="AH16" i="60"/>
  <c r="AE94" i="65"/>
  <c r="AQ9" i="65"/>
  <c r="AS10" i="65"/>
  <c r="P5" i="60"/>
  <c r="AM23" i="60"/>
  <c r="Z24" i="60"/>
  <c r="C111" i="65"/>
  <c r="E49" i="71"/>
  <c r="C106" i="65"/>
  <c r="P12" i="65"/>
  <c r="AH3" i="65"/>
  <c r="AG101" i="65"/>
  <c r="F19" i="71"/>
  <c r="P6" i="60"/>
  <c r="E18" i="71"/>
  <c r="J46" i="65"/>
  <c r="H16" i="60"/>
  <c r="AO24" i="60"/>
  <c r="V9" i="60"/>
  <c r="J5" i="60"/>
  <c r="D16" i="71"/>
  <c r="O20" i="60"/>
  <c r="N111" i="65"/>
  <c r="E26" i="60"/>
  <c r="K6" i="65"/>
  <c r="AH26" i="60"/>
  <c r="AQ100" i="65"/>
  <c r="AV18" i="60"/>
  <c r="D67" i="71"/>
  <c r="AD20" i="65"/>
  <c r="AU11" i="60"/>
  <c r="AU16" i="60"/>
  <c r="AK34" i="65"/>
  <c r="F35" i="65"/>
  <c r="J26" i="5"/>
  <c r="Y2" i="60"/>
  <c r="Q6" i="65"/>
  <c r="V11" i="65"/>
  <c r="Z2" i="60"/>
  <c r="AC8" i="65"/>
  <c r="D41" i="71"/>
  <c r="E9" i="71"/>
  <c r="E70" i="71"/>
  <c r="AL12" i="65"/>
  <c r="AC10" i="65"/>
  <c r="L3" i="65"/>
  <c r="F72" i="71"/>
  <c r="H3" i="65"/>
  <c r="D27" i="71"/>
  <c r="R2" i="60"/>
  <c r="G72" i="65"/>
  <c r="AT19" i="60"/>
  <c r="AG11" i="60"/>
  <c r="O84" i="65"/>
  <c r="AO3" i="38"/>
  <c r="I96" i="65"/>
  <c r="V17" i="60"/>
  <c r="AM9" i="60"/>
  <c r="C32" i="65"/>
  <c r="T5" i="60"/>
  <c r="AO11" i="65"/>
  <c r="W7" i="65"/>
  <c r="C39" i="71"/>
  <c r="C61" i="65"/>
  <c r="F61" i="71"/>
  <c r="G35" i="71"/>
  <c r="G90" i="65"/>
  <c r="G53" i="71"/>
  <c r="AS37" i="65"/>
  <c r="K7" i="65"/>
  <c r="S27" i="60"/>
  <c r="AO10" i="60"/>
  <c r="AG96" i="65"/>
  <c r="C53" i="65"/>
  <c r="J74" i="65"/>
  <c r="AU94" i="65"/>
  <c r="AN25" i="60"/>
  <c r="J33" i="65"/>
  <c r="AG10" i="60"/>
  <c r="AT25" i="60"/>
  <c r="AO81" i="65"/>
  <c r="AK110" i="65"/>
  <c r="AK19" i="60"/>
  <c r="C78" i="65"/>
  <c r="P96" i="65"/>
  <c r="U17" i="60"/>
  <c r="AG5" i="60"/>
  <c r="D26" i="65"/>
  <c r="AS73" i="65"/>
  <c r="AI17" i="60"/>
  <c r="F36" i="65"/>
  <c r="K12" i="53"/>
  <c r="E11" i="65"/>
  <c r="Z12" i="65"/>
  <c r="AC12" i="65"/>
  <c r="K101" i="65"/>
  <c r="AQ26" i="60"/>
  <c r="C57" i="71"/>
  <c r="AS3" i="65"/>
  <c r="T100" i="65"/>
  <c r="D13" i="60"/>
  <c r="D6" i="71"/>
  <c r="T30" i="65"/>
  <c r="AE6" i="60"/>
  <c r="J94" i="65"/>
  <c r="X74" i="65"/>
  <c r="AD19" i="60"/>
  <c r="I29" i="5"/>
  <c r="AT23" i="60"/>
  <c r="I109" i="65"/>
  <c r="Q78" i="65"/>
  <c r="R20" i="60"/>
  <c r="AG27" i="60"/>
  <c r="Z11" i="60"/>
  <c r="AP2" i="60"/>
  <c r="V78" i="65"/>
  <c r="I12" i="60"/>
  <c r="AB73" i="65"/>
  <c r="AS38" i="65"/>
  <c r="R82" i="65"/>
  <c r="F63" i="65"/>
  <c r="AD75" i="65"/>
  <c r="G41" i="65"/>
  <c r="M4" i="60"/>
  <c r="D9" i="65"/>
  <c r="F70" i="71"/>
  <c r="Y7" i="65"/>
  <c r="I17" i="60"/>
  <c r="D26" i="60"/>
  <c r="E43" i="60"/>
  <c r="F15" i="71"/>
  <c r="I40" i="65"/>
  <c r="AM27" i="65"/>
  <c r="AL6" i="60"/>
  <c r="D25" i="65"/>
  <c r="AG17" i="60"/>
  <c r="AK11" i="60"/>
  <c r="E12" i="60"/>
  <c r="AQ23" i="65"/>
  <c r="I48" i="65"/>
  <c r="F75" i="65"/>
  <c r="J32" i="65"/>
  <c r="T24" i="65"/>
  <c r="AK13" i="60"/>
  <c r="AI11" i="60"/>
  <c r="D94" i="65"/>
  <c r="E27" i="71"/>
  <c r="AO16" i="60"/>
  <c r="K22" i="65"/>
  <c r="H56" i="65"/>
  <c r="F24" i="65"/>
  <c r="AA27" i="60"/>
  <c r="E99" i="65"/>
  <c r="B9" i="9"/>
  <c r="J102" i="65"/>
  <c r="G11" i="60"/>
  <c r="E12" i="71"/>
  <c r="AP4" i="60"/>
  <c r="AK6" i="60"/>
  <c r="AE115" i="65"/>
  <c r="R103" i="65"/>
  <c r="L24" i="60"/>
  <c r="AB95" i="65"/>
  <c r="D10" i="60"/>
  <c r="W89" i="65"/>
  <c r="C60" i="65"/>
  <c r="AO18" i="60"/>
  <c r="S17" i="60"/>
  <c r="F53" i="65"/>
  <c r="AQ9" i="60"/>
  <c r="AL96" i="65"/>
  <c r="AL17" i="60"/>
  <c r="E77" i="65"/>
  <c r="Y100" i="65"/>
  <c r="D105" i="65"/>
  <c r="R109" i="65"/>
  <c r="AQ80" i="65"/>
  <c r="U87" i="65"/>
  <c r="P10" i="60"/>
  <c r="C28" i="65"/>
  <c r="O70" i="65"/>
  <c r="T26" i="60"/>
  <c r="G28" i="65"/>
  <c r="J93" i="65"/>
  <c r="AL108" i="65"/>
  <c r="J18" i="60"/>
  <c r="E9" i="5"/>
  <c r="F24" i="60"/>
  <c r="Y111" i="65"/>
  <c r="AJ11" i="60"/>
  <c r="AP37" i="65"/>
  <c r="AP69" i="65"/>
  <c r="AB94" i="65"/>
  <c r="F44" i="65"/>
  <c r="J3" i="60"/>
  <c r="Y27" i="60"/>
  <c r="AT81" i="65"/>
  <c r="AA102" i="65"/>
  <c r="U2" i="60"/>
  <c r="AV16" i="60"/>
  <c r="AC41" i="65"/>
  <c r="K94" i="65"/>
  <c r="M99" i="65"/>
  <c r="J84" i="65"/>
  <c r="AC12" i="60"/>
  <c r="G88" i="65"/>
  <c r="J23" i="65"/>
  <c r="AM84" i="65"/>
  <c r="D5" i="60"/>
  <c r="G57" i="65"/>
  <c r="AT43" i="65"/>
  <c r="AP94" i="65"/>
  <c r="AN43" i="65"/>
  <c r="D16" i="9"/>
  <c r="D91" i="65"/>
  <c r="AF12" i="60"/>
  <c r="G66" i="71"/>
  <c r="I20" i="65"/>
  <c r="U93" i="65"/>
  <c r="AU103" i="65"/>
  <c r="AP96" i="65"/>
  <c r="H105" i="65"/>
  <c r="J103" i="65"/>
  <c r="AG4" i="60"/>
  <c r="O23" i="60"/>
  <c r="K55" i="65"/>
  <c r="V71" i="65"/>
  <c r="F32" i="65"/>
  <c r="AM78" i="65"/>
  <c r="AE26" i="65"/>
  <c r="I106" i="65"/>
  <c r="AC99" i="65"/>
  <c r="C56" i="65"/>
  <c r="N25" i="65"/>
  <c r="AP23" i="65"/>
  <c r="H6" i="60"/>
  <c r="AH17" i="60"/>
  <c r="AR105" i="65"/>
  <c r="AE89" i="65"/>
  <c r="AF77" i="65"/>
  <c r="AH2" i="60"/>
  <c r="J2" i="60"/>
  <c r="AG22" i="65"/>
  <c r="G26" i="60"/>
  <c r="AK109" i="65"/>
  <c r="G36" i="65"/>
  <c r="E106" i="65"/>
  <c r="Y94" i="65"/>
  <c r="T83" i="65"/>
  <c r="H23" i="60"/>
  <c r="AF24" i="60"/>
  <c r="S98" i="65"/>
  <c r="D93" i="65"/>
  <c r="AH27" i="60"/>
  <c r="E63" i="65"/>
  <c r="AG85" i="65"/>
  <c r="I11" i="60"/>
  <c r="M3" i="60"/>
  <c r="X107" i="65"/>
  <c r="AD16" i="60"/>
  <c r="AP54" i="65"/>
  <c r="M86" i="65"/>
  <c r="Q17" i="60"/>
  <c r="AP77" i="65"/>
  <c r="J70" i="65"/>
  <c r="AI79" i="65"/>
  <c r="T89" i="65"/>
  <c r="AN72" i="65"/>
  <c r="R92" i="65"/>
  <c r="G28" i="51"/>
  <c r="AR114" i="65"/>
  <c r="AT86" i="65"/>
  <c r="AP32" i="65"/>
  <c r="AH70" i="65"/>
  <c r="AE46" i="65"/>
  <c r="AN47" i="65"/>
  <c r="F9" i="5"/>
  <c r="K71" i="65"/>
  <c r="AS4" i="65"/>
  <c r="X17" i="60"/>
  <c r="AB71" i="65"/>
  <c r="U10" i="60"/>
  <c r="AN80" i="65"/>
  <c r="AJ80" i="65"/>
  <c r="AG77" i="65"/>
  <c r="AI12" i="60"/>
  <c r="K45" i="65"/>
  <c r="Q106" i="65"/>
  <c r="I22" i="65"/>
  <c r="R26" i="60"/>
  <c r="AD2" i="60"/>
  <c r="K44" i="65"/>
  <c r="X66" i="65"/>
  <c r="H24" i="60"/>
  <c r="F79" i="65"/>
  <c r="P78" i="65"/>
  <c r="AQ94" i="65"/>
  <c r="K18" i="60"/>
  <c r="AD79" i="65"/>
  <c r="AT4" i="60"/>
  <c r="E9" i="60"/>
  <c r="AR99" i="65"/>
  <c r="U110" i="65"/>
  <c r="AH83" i="65"/>
  <c r="AL28" i="65"/>
  <c r="AB113" i="65"/>
  <c r="N23" i="60"/>
  <c r="AN22" i="65"/>
  <c r="I6" i="60"/>
  <c r="R23" i="60"/>
  <c r="D107" i="65"/>
  <c r="AS63" i="65"/>
  <c r="AH73" i="65"/>
  <c r="H84" i="65"/>
  <c r="N107" i="65"/>
  <c r="L72" i="65"/>
  <c r="N30" i="65"/>
  <c r="AA60" i="65"/>
  <c r="K49" i="7"/>
  <c r="I4" i="60"/>
  <c r="P90" i="65"/>
  <c r="I31" i="52"/>
  <c r="G61" i="65"/>
  <c r="AP13" i="60"/>
  <c r="E31" i="60"/>
  <c r="X72" i="65"/>
  <c r="J97" i="65"/>
  <c r="AN28" i="65"/>
  <c r="R25" i="60"/>
  <c r="G20" i="52"/>
  <c r="E80" i="65"/>
  <c r="AF21" i="65"/>
  <c r="F31" i="65"/>
  <c r="P11" i="60"/>
  <c r="AD49" i="65"/>
  <c r="AR87" i="65"/>
  <c r="AJ83" i="65"/>
  <c r="O34" i="65"/>
  <c r="AO6" i="60"/>
  <c r="AQ59" i="65"/>
  <c r="S70" i="65"/>
  <c r="AS95" i="65"/>
  <c r="K88" i="65"/>
  <c r="M21" i="65"/>
  <c r="AS5" i="60"/>
  <c r="G75" i="65"/>
  <c r="AB103" i="65"/>
  <c r="K22" i="53"/>
  <c r="D25" i="60"/>
  <c r="F22" i="6"/>
  <c r="K99" i="65"/>
  <c r="R49" i="65"/>
  <c r="AU74" i="65"/>
  <c r="C95" i="65"/>
  <c r="C50" i="65"/>
  <c r="AK20" i="60"/>
  <c r="G43" i="60"/>
  <c r="W75" i="65"/>
  <c r="M22" i="65"/>
  <c r="F96" i="65"/>
  <c r="N70" i="65"/>
  <c r="AT20" i="60"/>
  <c r="W100" i="65"/>
  <c r="AR4" i="60"/>
  <c r="J92" i="65"/>
  <c r="H65" i="65"/>
  <c r="M85" i="65"/>
  <c r="Y58" i="65"/>
  <c r="L13" i="60"/>
  <c r="F77" i="65"/>
  <c r="D20" i="60"/>
  <c r="X70" i="65"/>
  <c r="M20" i="60"/>
  <c r="AB90" i="65"/>
  <c r="F66" i="65"/>
  <c r="S20" i="60"/>
  <c r="I101" i="65"/>
  <c r="C88" i="65"/>
  <c r="S54" i="65"/>
  <c r="AP24" i="65"/>
  <c r="AT92" i="65"/>
  <c r="AL11" i="60"/>
  <c r="AK33" i="65"/>
  <c r="D90" i="65"/>
  <c r="X108" i="65"/>
  <c r="AF33" i="65"/>
  <c r="AO113" i="65"/>
  <c r="H46" i="65"/>
  <c r="Z71" i="65"/>
  <c r="E10" i="9"/>
  <c r="AQ2" i="60"/>
  <c r="AI16" i="60"/>
  <c r="C102" i="65"/>
  <c r="AH24" i="60"/>
  <c r="J17" i="60"/>
  <c r="AM103" i="65"/>
  <c r="AJ82" i="65"/>
  <c r="W17" i="60"/>
  <c r="AT70" i="65"/>
  <c r="AM19" i="60"/>
  <c r="V4" i="60"/>
  <c r="AI102" i="65"/>
  <c r="AM17" i="60"/>
  <c r="O24" i="60"/>
  <c r="AQ87" i="65"/>
  <c r="AP111" i="65"/>
  <c r="AN88" i="65"/>
  <c r="I26" i="65"/>
  <c r="H88" i="65"/>
  <c r="AI24" i="60"/>
  <c r="J11" i="65"/>
  <c r="X2" i="60"/>
  <c r="AA5" i="65"/>
  <c r="V22" i="65"/>
  <c r="G20" i="60"/>
  <c r="AP58" i="65"/>
  <c r="AG104" i="65"/>
  <c r="L73" i="65"/>
  <c r="C75" i="65"/>
  <c r="K110" i="65"/>
  <c r="U82" i="65"/>
  <c r="O91" i="65"/>
  <c r="C30" i="65"/>
  <c r="E10" i="71"/>
  <c r="U92" i="65"/>
  <c r="I5" i="60"/>
  <c r="AN37" i="65"/>
  <c r="I47" i="65"/>
  <c r="AE17" i="60"/>
  <c r="P110" i="65"/>
  <c r="J98" i="65"/>
  <c r="Z9" i="60"/>
  <c r="AK28" i="65"/>
  <c r="M19" i="60"/>
  <c r="H44" i="65"/>
  <c r="H58" i="65"/>
  <c r="AP26" i="60"/>
  <c r="D3" i="60"/>
  <c r="AQ11" i="60"/>
  <c r="O28" i="65"/>
  <c r="AB30" i="65"/>
  <c r="F22" i="51"/>
  <c r="AE5" i="60"/>
  <c r="AR65" i="65"/>
  <c r="C86" i="65"/>
  <c r="AJ101" i="65"/>
  <c r="N74" i="65"/>
  <c r="H77" i="65"/>
  <c r="K23" i="60"/>
  <c r="W26" i="60"/>
  <c r="I61" i="65"/>
  <c r="AG20" i="65"/>
  <c r="AG94" i="65"/>
  <c r="I31" i="65"/>
  <c r="E110" i="65"/>
  <c r="O11" i="60"/>
  <c r="AR23" i="60"/>
  <c r="AA86" i="65"/>
  <c r="F41" i="65"/>
  <c r="AN104" i="65"/>
  <c r="AL45" i="65"/>
  <c r="G78" i="65"/>
  <c r="AL25" i="65"/>
  <c r="AB9" i="60"/>
  <c r="AD72" i="65"/>
  <c r="F41" i="52"/>
  <c r="G77" i="65"/>
  <c r="AS100" i="65"/>
  <c r="AL80" i="65"/>
  <c r="Q18" i="60"/>
  <c r="D64" i="71"/>
  <c r="K2" i="60"/>
  <c r="J43" i="65"/>
  <c r="AH23" i="60"/>
  <c r="G44" i="60"/>
  <c r="AD34" i="65"/>
  <c r="AC46" i="65"/>
  <c r="L23" i="60"/>
  <c r="E103" i="65"/>
  <c r="K39" i="65"/>
  <c r="S19" i="60"/>
  <c r="G79" i="65"/>
  <c r="AR12" i="60"/>
  <c r="V23" i="65"/>
  <c r="E23" i="60"/>
  <c r="Z106" i="65"/>
  <c r="U76" i="65"/>
  <c r="AF18" i="60"/>
  <c r="AI18" i="60"/>
  <c r="AI113" i="65"/>
  <c r="AC27" i="60"/>
  <c r="I66" i="65"/>
  <c r="U114" i="65"/>
  <c r="AM29" i="65"/>
  <c r="AJ23" i="60"/>
  <c r="V77" i="65"/>
  <c r="H26" i="60"/>
  <c r="I70" i="65"/>
  <c r="K37" i="65"/>
  <c r="AC85" i="65"/>
  <c r="AC66" i="65"/>
  <c r="AG60" i="65"/>
  <c r="AP24" i="60"/>
  <c r="U20" i="60"/>
  <c r="Y28" i="65"/>
  <c r="AU82" i="65"/>
  <c r="W87" i="65"/>
  <c r="I86" i="65"/>
  <c r="AK23" i="60"/>
  <c r="U72" i="65"/>
  <c r="D49" i="65"/>
  <c r="AA66" i="65"/>
  <c r="F111" i="65"/>
  <c r="J18" i="53"/>
  <c r="AK9" i="60"/>
  <c r="AH43" i="65"/>
  <c r="AL82" i="65"/>
  <c r="M73" i="65"/>
  <c r="G74" i="65"/>
  <c r="Z21" i="65"/>
  <c r="V35" i="65"/>
  <c r="AH74" i="65"/>
  <c r="AI112" i="65"/>
  <c r="T64" i="65"/>
  <c r="AH38" i="65"/>
  <c r="G39" i="65"/>
  <c r="C59" i="65"/>
  <c r="AQ51" i="65"/>
  <c r="E44" i="60"/>
  <c r="C38" i="65"/>
  <c r="K85" i="65"/>
  <c r="F60" i="65"/>
  <c r="H22" i="53"/>
  <c r="V19" i="60"/>
  <c r="L10" i="60"/>
  <c r="E21" i="71"/>
  <c r="G19" i="60"/>
  <c r="R8" i="65"/>
  <c r="AB23" i="60"/>
  <c r="O80" i="65"/>
  <c r="T39" i="65"/>
  <c r="N84" i="65"/>
  <c r="AN23" i="65"/>
  <c r="AQ110" i="65"/>
  <c r="R17" i="60"/>
  <c r="AF23" i="60"/>
  <c r="M72" i="65"/>
  <c r="T87" i="65"/>
  <c r="J77" i="65"/>
  <c r="H91" i="65"/>
  <c r="AB82" i="65"/>
  <c r="AB70" i="65"/>
  <c r="G44" i="65"/>
  <c r="J101" i="65"/>
  <c r="AA110" i="65"/>
  <c r="D51" i="65"/>
  <c r="D31" i="60"/>
  <c r="AB78" i="65"/>
  <c r="AG3" i="60"/>
  <c r="J41" i="52"/>
  <c r="AQ18" i="60"/>
  <c r="AC23" i="60"/>
  <c r="AC34" i="65"/>
  <c r="U83" i="65"/>
  <c r="F9" i="60"/>
  <c r="G44" i="6"/>
  <c r="G27" i="5"/>
  <c r="AO26" i="60"/>
  <c r="J57" i="65"/>
  <c r="AE91" i="65"/>
  <c r="AJ27" i="60"/>
  <c r="AC64" i="65"/>
  <c r="U112" i="65"/>
  <c r="AJ47" i="65"/>
  <c r="I17" i="5"/>
  <c r="P100" i="65"/>
  <c r="O25" i="65"/>
  <c r="AM72" i="65"/>
  <c r="AN83" i="65"/>
  <c r="AU78" i="65"/>
  <c r="X94" i="65"/>
  <c r="H74" i="65"/>
  <c r="T27" i="60"/>
  <c r="Q12" i="60"/>
  <c r="AN89" i="65"/>
  <c r="AM88" i="65"/>
  <c r="D39" i="65"/>
  <c r="AL19" i="60"/>
  <c r="AJ16" i="60"/>
  <c r="W32" i="65"/>
  <c r="I104" i="65"/>
  <c r="AB88" i="65"/>
  <c r="Y11" i="60"/>
  <c r="AH50" i="65"/>
  <c r="U70" i="65"/>
  <c r="D33" i="65"/>
  <c r="F5" i="65"/>
  <c r="D56" i="71"/>
  <c r="AU9" i="60"/>
  <c r="AA4" i="60"/>
  <c r="O6" i="60"/>
  <c r="AL11" i="65"/>
  <c r="AS91" i="65"/>
  <c r="T12" i="60"/>
  <c r="W88" i="65"/>
  <c r="P82" i="65"/>
  <c r="G29" i="65"/>
  <c r="T18" i="60"/>
  <c r="AQ16" i="60"/>
  <c r="M100" i="65"/>
  <c r="AL26" i="60"/>
  <c r="N24" i="60"/>
  <c r="AC110" i="65"/>
  <c r="AF91" i="65"/>
  <c r="C66" i="65"/>
  <c r="F38" i="65"/>
  <c r="AU4" i="60"/>
  <c r="Y19" i="60"/>
  <c r="F106" i="65"/>
  <c r="F73" i="65"/>
  <c r="AM80" i="65"/>
  <c r="C21" i="65"/>
  <c r="AF82" i="65"/>
  <c r="I23" i="65"/>
  <c r="V28" i="65"/>
  <c r="AN91" i="65"/>
  <c r="G35" i="5"/>
  <c r="AC82" i="65"/>
  <c r="K21" i="65"/>
  <c r="AL94" i="65"/>
  <c r="P27" i="60"/>
  <c r="N106" i="65"/>
  <c r="D106" i="65"/>
  <c r="H52" i="65"/>
  <c r="AV19" i="60"/>
  <c r="X55" i="65"/>
  <c r="AO17" i="60"/>
  <c r="AA27" i="65"/>
  <c r="O87" i="65"/>
  <c r="D23" i="65"/>
  <c r="T50" i="65"/>
  <c r="Z46" i="65"/>
  <c r="G97" i="65"/>
  <c r="K14" i="7"/>
  <c r="AT59" i="65"/>
  <c r="AA77" i="65"/>
  <c r="G23" i="60"/>
  <c r="Q95" i="65"/>
  <c r="AI25" i="65"/>
  <c r="X12" i="60"/>
  <c r="AQ10" i="60"/>
  <c r="AO19" i="60"/>
  <c r="K31" i="65"/>
  <c r="AN20" i="60"/>
  <c r="AN5" i="60"/>
  <c r="AO13" i="60"/>
  <c r="K3" i="60"/>
  <c r="AL81" i="65"/>
  <c r="AF85" i="65"/>
  <c r="AM70" i="65"/>
  <c r="K82" i="65"/>
  <c r="AH6" i="60"/>
  <c r="AP12" i="60"/>
  <c r="I2" i="60"/>
  <c r="E4" i="60"/>
  <c r="AL3" i="65"/>
  <c r="W6" i="65"/>
  <c r="G18" i="60"/>
  <c r="Z4" i="60"/>
  <c r="E26" i="65"/>
  <c r="S81" i="65"/>
  <c r="AG82" i="65"/>
  <c r="X8" i="65"/>
  <c r="K23" i="5"/>
  <c r="AO82" i="65"/>
  <c r="AA31" i="65"/>
  <c r="AS25" i="65"/>
  <c r="M35" i="65"/>
  <c r="F80" i="65"/>
  <c r="AM38" i="65"/>
  <c r="U102" i="65"/>
  <c r="AU3" i="60"/>
  <c r="AB13" i="60"/>
  <c r="R75" i="65"/>
  <c r="G12" i="60"/>
  <c r="U3" i="60"/>
  <c r="C45" i="65"/>
  <c r="AS17" i="60"/>
  <c r="AK36" i="65"/>
  <c r="F43" i="60"/>
  <c r="Y69" i="65"/>
  <c r="I91" i="65"/>
  <c r="K51" i="65"/>
  <c r="F55" i="65"/>
  <c r="AU12" i="60"/>
  <c r="AM71" i="65"/>
  <c r="K62" i="65"/>
  <c r="C77" i="65"/>
  <c r="AO72" i="65"/>
  <c r="G80" i="65"/>
  <c r="F112" i="65"/>
  <c r="AH48" i="65"/>
  <c r="F56" i="65"/>
  <c r="I36" i="51"/>
  <c r="AO86" i="65"/>
  <c r="J66" i="65"/>
  <c r="G52" i="65"/>
  <c r="AR62" i="65"/>
  <c r="D97" i="65"/>
  <c r="H64" i="65"/>
  <c r="AJ18" i="60"/>
  <c r="AL36" i="65"/>
  <c r="AQ69" i="65"/>
  <c r="G5" i="60"/>
  <c r="X102" i="65"/>
  <c r="X95" i="65"/>
  <c r="AG72" i="65"/>
  <c r="C42" i="65"/>
  <c r="AG95" i="65"/>
  <c r="G37" i="7"/>
  <c r="H47" i="65"/>
  <c r="F95" i="65"/>
  <c r="H7" i="7"/>
  <c r="D10" i="65"/>
  <c r="G33" i="65"/>
  <c r="S86" i="65"/>
  <c r="N36" i="65"/>
  <c r="AF12" i="65"/>
  <c r="H5" i="65"/>
  <c r="U54" i="65"/>
  <c r="G16" i="60"/>
  <c r="W16" i="60"/>
  <c r="P40" i="65"/>
  <c r="N113" i="65"/>
  <c r="K65" i="65"/>
  <c r="N5" i="60"/>
  <c r="F2" i="60"/>
  <c r="H114" i="65"/>
  <c r="AL9" i="60"/>
  <c r="AD83" i="65"/>
  <c r="AN105" i="65"/>
  <c r="T73" i="65"/>
  <c r="AH42" i="65"/>
  <c r="V91" i="65"/>
  <c r="AG70" i="65"/>
  <c r="I60" i="65"/>
  <c r="Z30" i="65"/>
  <c r="AE21" i="65"/>
  <c r="AN94" i="65"/>
  <c r="L18" i="60"/>
  <c r="M11" i="60"/>
  <c r="D35" i="65"/>
  <c r="F17" i="60"/>
  <c r="AQ83" i="65"/>
  <c r="M79" i="65"/>
  <c r="G66" i="65"/>
  <c r="AU92" i="65"/>
  <c r="H23" i="65"/>
  <c r="O76" i="65"/>
  <c r="J11" i="60"/>
  <c r="H43" i="65"/>
  <c r="O95" i="65"/>
  <c r="AM62" i="65"/>
  <c r="AJ42" i="65"/>
  <c r="P20" i="60"/>
  <c r="AB114" i="65"/>
  <c r="F65" i="65"/>
  <c r="S83" i="65"/>
  <c r="S27" i="65"/>
  <c r="AN19" i="60"/>
  <c r="X82" i="65"/>
  <c r="N31" i="65"/>
  <c r="AO69" i="65"/>
  <c r="AS88" i="65"/>
  <c r="Q72" i="65"/>
  <c r="O30" i="65"/>
  <c r="F25" i="65"/>
  <c r="AI114" i="65"/>
  <c r="H89" i="65"/>
  <c r="AC20" i="60"/>
  <c r="H33" i="65"/>
  <c r="M91" i="65"/>
  <c r="AT91" i="65"/>
  <c r="N26" i="65"/>
  <c r="AF75" i="65"/>
  <c r="AA70" i="65"/>
  <c r="Q114" i="65"/>
  <c r="AE23" i="60"/>
  <c r="H38" i="65"/>
  <c r="AB4" i="60"/>
  <c r="V5" i="60"/>
  <c r="I52" i="65"/>
  <c r="AF3" i="60"/>
  <c r="AT60" i="65"/>
  <c r="AI85" i="65"/>
  <c r="H103" i="65"/>
  <c r="U97" i="65"/>
  <c r="R113" i="65"/>
  <c r="AV23" i="60"/>
  <c r="AF17" i="60"/>
  <c r="AO3" i="60"/>
  <c r="S25" i="60"/>
  <c r="M26" i="60"/>
  <c r="AV3" i="60"/>
  <c r="AD20" i="60"/>
  <c r="AF106" i="65"/>
  <c r="E39" i="52"/>
  <c r="G63" i="65"/>
  <c r="V24" i="60"/>
  <c r="G25" i="65"/>
  <c r="AR19" i="60"/>
  <c r="V27" i="60"/>
  <c r="Z97" i="65"/>
  <c r="P92" i="65"/>
  <c r="AJ91" i="65"/>
  <c r="F41" i="9"/>
  <c r="J24" i="5"/>
  <c r="D112" i="65"/>
  <c r="AP81" i="65"/>
  <c r="X4" i="60"/>
  <c r="AS18" i="60"/>
  <c r="AC92" i="65"/>
  <c r="AG87" i="65"/>
  <c r="G106" i="65"/>
  <c r="E62" i="65"/>
  <c r="G56" i="65"/>
  <c r="AD10" i="60"/>
  <c r="I29" i="53"/>
  <c r="E54" i="65"/>
  <c r="W30" i="65"/>
  <c r="AF80" i="65"/>
  <c r="AT85" i="65"/>
  <c r="AA11" i="60"/>
  <c r="V63" i="65"/>
  <c r="I57" i="65"/>
  <c r="AL98" i="65"/>
  <c r="D104" i="65"/>
  <c r="Q105" i="65"/>
  <c r="E66" i="65"/>
  <c r="V104" i="65"/>
  <c r="Z81" i="65"/>
  <c r="V11" i="60"/>
  <c r="O90" i="65"/>
  <c r="AP20" i="60"/>
  <c r="W12" i="60"/>
  <c r="AD91" i="65"/>
  <c r="AD70" i="65"/>
  <c r="X75" i="65"/>
  <c r="R86" i="65"/>
  <c r="AJ22" i="65"/>
  <c r="H78" i="65"/>
  <c r="C74" i="71"/>
  <c r="K66" i="65"/>
  <c r="AC26" i="60"/>
  <c r="D53" i="65"/>
  <c r="C109" i="65"/>
  <c r="L109" i="65"/>
  <c r="M10" i="60"/>
  <c r="AI27" i="60"/>
  <c r="C100" i="65"/>
  <c r="Q91" i="65"/>
  <c r="F103" i="65"/>
  <c r="U88" i="65"/>
  <c r="X19" i="60"/>
  <c r="C115" i="65"/>
  <c r="AS70" i="65"/>
  <c r="F61" i="65"/>
  <c r="K81" i="65"/>
  <c r="Z6" i="60"/>
  <c r="AE107" i="65"/>
  <c r="D92" i="65"/>
  <c r="AO90" i="65"/>
  <c r="AD11" i="60"/>
  <c r="AL74" i="65"/>
  <c r="Y12" i="60"/>
  <c r="D88" i="65"/>
  <c r="D27" i="60"/>
  <c r="X25" i="60"/>
  <c r="U104" i="65"/>
  <c r="H80" i="65"/>
  <c r="T25" i="60"/>
  <c r="D24" i="65"/>
  <c r="J41" i="65"/>
  <c r="J27" i="60"/>
  <c r="K103" i="65"/>
  <c r="K58" i="65"/>
  <c r="AF41" i="65"/>
  <c r="Q26" i="60"/>
  <c r="Y9" i="60"/>
  <c r="G33" i="51"/>
  <c r="I50" i="65"/>
  <c r="C55" i="65"/>
  <c r="C71" i="65"/>
  <c r="G102" i="65"/>
  <c r="AN11" i="60"/>
  <c r="F37" i="65"/>
  <c r="AB2" i="60"/>
  <c r="E20" i="52"/>
  <c r="AK114" i="65"/>
  <c r="G65" i="65"/>
  <c r="P3" i="60"/>
  <c r="F100" i="65"/>
  <c r="R61" i="65"/>
  <c r="G91" i="65"/>
  <c r="T2" i="60"/>
  <c r="O9" i="65"/>
  <c r="K10" i="60"/>
  <c r="AR93" i="65"/>
  <c r="J54" i="65"/>
  <c r="L17" i="60"/>
  <c r="V44" i="65"/>
  <c r="E86" i="65"/>
  <c r="AP56" i="65"/>
  <c r="N91" i="65"/>
  <c r="X6" i="60"/>
  <c r="I85" i="65"/>
  <c r="T94" i="65"/>
  <c r="AD76" i="65"/>
  <c r="AF51" i="65"/>
  <c r="AI7" i="65"/>
  <c r="F54" i="71"/>
  <c r="AM26" i="60"/>
  <c r="AP70" i="65"/>
  <c r="G13" i="60"/>
  <c r="C89" i="65"/>
  <c r="G10" i="60"/>
  <c r="Q25" i="65"/>
  <c r="AF37" i="65"/>
  <c r="AQ39" i="65"/>
  <c r="AS11" i="60"/>
  <c r="O92" i="65"/>
  <c r="AN96" i="65"/>
  <c r="AE110" i="65"/>
  <c r="AM76" i="65"/>
  <c r="H102" i="65"/>
  <c r="M105" i="65"/>
  <c r="AD6" i="60"/>
  <c r="AU2" i="60"/>
  <c r="H38" i="9"/>
  <c r="T85" i="65"/>
  <c r="AQ25" i="60"/>
  <c r="F93" i="65"/>
  <c r="J30" i="65"/>
  <c r="AR27" i="65"/>
  <c r="Y43" i="65"/>
  <c r="AQ102" i="65"/>
  <c r="I69" i="65"/>
  <c r="E60" i="65"/>
  <c r="AA99" i="65"/>
  <c r="W19" i="60"/>
  <c r="G103" i="65"/>
  <c r="Z94" i="65"/>
  <c r="Z26" i="60"/>
  <c r="V114" i="65"/>
  <c r="D24" i="60"/>
  <c r="AE100" i="65"/>
  <c r="AQ81" i="65"/>
  <c r="J40" i="65"/>
  <c r="K61" i="65"/>
  <c r="D20" i="65"/>
  <c r="X24" i="60"/>
  <c r="AE86" i="65"/>
  <c r="G82" i="65"/>
  <c r="V95" i="65"/>
  <c r="J87" i="65"/>
  <c r="AN23" i="60"/>
  <c r="H25" i="65"/>
  <c r="J13" i="60"/>
  <c r="U27" i="65"/>
  <c r="E16" i="9"/>
  <c r="Q26" i="65"/>
  <c r="AH76" i="65"/>
  <c r="C20" i="65"/>
  <c r="AC98" i="65"/>
  <c r="AB102" i="65"/>
  <c r="U75" i="65"/>
  <c r="AR17" i="60"/>
  <c r="Z113" i="65"/>
  <c r="M25" i="60"/>
  <c r="I6" i="52"/>
  <c r="M113" i="65"/>
  <c r="S100" i="65"/>
  <c r="AO73" i="65"/>
  <c r="I14" i="53"/>
  <c r="AE71" i="65"/>
  <c r="K70" i="65"/>
  <c r="E38" i="51"/>
  <c r="X26" i="65"/>
  <c r="AI101" i="65"/>
  <c r="AI44" i="65"/>
  <c r="AN52" i="65"/>
  <c r="AT37" i="65"/>
  <c r="J30" i="51"/>
  <c r="E51" i="65"/>
  <c r="C114" i="65"/>
  <c r="AA48" i="65"/>
  <c r="AO58" i="65"/>
  <c r="J20" i="7"/>
  <c r="L9" i="60"/>
  <c r="AE112" i="65"/>
  <c r="R12" i="60"/>
  <c r="D31" i="65"/>
  <c r="H35" i="65"/>
  <c r="O31" i="65"/>
  <c r="F11" i="60"/>
  <c r="C83" i="65"/>
  <c r="AI26" i="60"/>
  <c r="AS30" i="65"/>
  <c r="X73" i="65"/>
  <c r="C23" i="65"/>
  <c r="E64" i="71"/>
  <c r="C90" i="65"/>
  <c r="F114" i="65"/>
  <c r="E18" i="52"/>
  <c r="V12" i="60"/>
  <c r="AS6" i="60"/>
  <c r="M101" i="65"/>
  <c r="J10" i="52"/>
  <c r="AD35" i="65"/>
  <c r="J40" i="6"/>
  <c r="L89" i="65"/>
  <c r="AM40" i="65"/>
  <c r="M24" i="65"/>
  <c r="AF36" i="65"/>
  <c r="D82" i="65"/>
  <c r="H104" i="65"/>
  <c r="AB83" i="65"/>
  <c r="AT90" i="65"/>
  <c r="S20" i="65"/>
  <c r="AS20" i="60"/>
  <c r="AA20" i="65"/>
  <c r="O98" i="65"/>
  <c r="AJ111" i="65"/>
  <c r="O81" i="65"/>
  <c r="R25" i="65"/>
  <c r="AR98" i="65"/>
  <c r="AF60" i="65"/>
  <c r="J39" i="51"/>
  <c r="Q79" i="65"/>
  <c r="I19" i="51"/>
  <c r="AS3" i="60"/>
  <c r="G34" i="60"/>
  <c r="M108" i="65"/>
  <c r="AO101" i="65"/>
  <c r="AV10" i="60"/>
  <c r="AG25" i="65"/>
  <c r="AN51" i="65"/>
  <c r="X105" i="65"/>
  <c r="E102" i="65"/>
  <c r="O52" i="65"/>
  <c r="W92" i="65"/>
  <c r="AM112" i="65"/>
  <c r="D77" i="65"/>
  <c r="AG83" i="65"/>
  <c r="G6" i="52"/>
  <c r="Z61" i="65"/>
  <c r="AN98" i="65"/>
  <c r="R63" i="65"/>
  <c r="AG26" i="60"/>
  <c r="S23" i="60"/>
  <c r="AN107" i="65"/>
  <c r="I73" i="65"/>
  <c r="AT22" i="65"/>
  <c r="G110" i="65"/>
  <c r="X106" i="65"/>
  <c r="AR20" i="60"/>
  <c r="J96" i="65"/>
  <c r="J25" i="65"/>
  <c r="AD95" i="65"/>
  <c r="J83" i="65"/>
  <c r="AJ98" i="65"/>
  <c r="T60" i="65"/>
  <c r="AR107" i="65"/>
  <c r="AU76" i="65"/>
  <c r="AG13" i="60"/>
  <c r="AP16" i="60"/>
  <c r="AR80" i="65"/>
  <c r="N57" i="65"/>
  <c r="AK76" i="65"/>
  <c r="G84" i="65"/>
  <c r="AI83" i="65"/>
  <c r="U11" i="60"/>
  <c r="M71" i="65"/>
  <c r="AO92" i="65"/>
  <c r="L51" i="65"/>
  <c r="F48" i="65"/>
  <c r="AN27" i="60"/>
  <c r="AJ41" i="65"/>
  <c r="AI50" i="65"/>
  <c r="H37" i="5"/>
  <c r="G48" i="65"/>
  <c r="AE63" i="65"/>
  <c r="X44" i="65"/>
  <c r="AT2" i="60"/>
  <c r="Z102" i="65"/>
  <c r="K109" i="65"/>
  <c r="AA97" i="65"/>
  <c r="J21" i="5"/>
  <c r="P39" i="65"/>
  <c r="AR113" i="65"/>
  <c r="J18" i="52"/>
  <c r="I24" i="6"/>
  <c r="AD99" i="65"/>
  <c r="H95" i="65"/>
  <c r="J73" i="65"/>
  <c r="AT30" i="65"/>
  <c r="W76" i="65"/>
  <c r="F91" i="65"/>
  <c r="F23" i="65"/>
  <c r="S22" i="65"/>
  <c r="C32" i="9"/>
  <c r="X16" i="60"/>
  <c r="AB75" i="65"/>
  <c r="AC78" i="65"/>
  <c r="M104" i="65"/>
  <c r="AU56" i="65"/>
  <c r="AD44" i="65"/>
  <c r="AR55" i="65"/>
  <c r="J35" i="65"/>
  <c r="S73" i="65"/>
  <c r="N75" i="65"/>
  <c r="AN108" i="65"/>
  <c r="D40" i="65"/>
  <c r="H82" i="65"/>
  <c r="AL49" i="65"/>
  <c r="AQ89" i="65"/>
  <c r="S77" i="65"/>
  <c r="AG42" i="65"/>
  <c r="AT66" i="65"/>
  <c r="W111" i="65"/>
  <c r="AN10" i="60"/>
  <c r="AS89" i="65"/>
  <c r="AH58" i="65"/>
  <c r="M2" i="60"/>
  <c r="Z36" i="65"/>
  <c r="AH79" i="65"/>
  <c r="L80" i="65"/>
  <c r="F43" i="71"/>
  <c r="AJ110" i="65"/>
  <c r="N96" i="65"/>
  <c r="AP23" i="60"/>
  <c r="L49" i="65"/>
  <c r="O27" i="60"/>
  <c r="AE69" i="65"/>
  <c r="G27" i="65"/>
  <c r="D60" i="65"/>
  <c r="AD82" i="65"/>
  <c r="AJ70" i="65"/>
  <c r="AG48" i="65"/>
  <c r="AP108" i="65"/>
  <c r="F45" i="9"/>
  <c r="G86" i="65"/>
  <c r="AK103" i="65"/>
  <c r="AA28" i="65"/>
  <c r="AP11" i="65"/>
  <c r="D69" i="65"/>
  <c r="W23" i="60"/>
  <c r="M112" i="65"/>
  <c r="U16" i="60"/>
  <c r="K84" i="65"/>
  <c r="AE6" i="65"/>
  <c r="AO56" i="65"/>
  <c r="E81" i="65"/>
  <c r="AR39" i="65"/>
  <c r="L26" i="60"/>
  <c r="O69" i="65"/>
  <c r="J34" i="65"/>
  <c r="I105" i="65"/>
  <c r="P19" i="60"/>
  <c r="AS32" i="65"/>
  <c r="D24" i="71"/>
  <c r="Z109" i="65"/>
  <c r="AM25" i="60"/>
  <c r="R83" i="65"/>
  <c r="AD111" i="65"/>
  <c r="AG45" i="65"/>
  <c r="C72" i="65"/>
  <c r="X29" i="65"/>
  <c r="E96" i="65"/>
  <c r="AA90" i="65"/>
  <c r="AM25" i="65"/>
  <c r="L100" i="65"/>
  <c r="AS23" i="60"/>
  <c r="J3" i="65"/>
  <c r="AU98" i="65"/>
  <c r="K52" i="65"/>
  <c r="D23" i="60"/>
  <c r="AH101" i="65"/>
  <c r="U78" i="65"/>
  <c r="C97" i="65"/>
  <c r="AP80" i="65"/>
  <c r="AK82" i="65"/>
  <c r="N12" i="60"/>
  <c r="V6" i="60"/>
  <c r="M88" i="65"/>
  <c r="W103" i="65"/>
  <c r="AO45" i="65"/>
  <c r="N92" i="65"/>
  <c r="AG99" i="65"/>
  <c r="I51" i="65"/>
  <c r="AF73" i="65"/>
  <c r="I114" i="65"/>
  <c r="AP30" i="65"/>
  <c r="AN92" i="65"/>
  <c r="D12" i="60"/>
  <c r="AQ27" i="65"/>
  <c r="D48" i="60"/>
  <c r="AE87" i="65"/>
  <c r="I107" i="65"/>
  <c r="G113" i="65"/>
  <c r="E108" i="65"/>
  <c r="AM10" i="60"/>
  <c r="AC9" i="60"/>
  <c r="H63" i="65"/>
  <c r="AS46" i="65"/>
  <c r="AR52" i="65"/>
  <c r="AP103" i="65"/>
  <c r="AM69" i="65"/>
  <c r="I115" i="65"/>
  <c r="X78" i="65"/>
  <c r="AL110" i="65"/>
  <c r="K36" i="65"/>
  <c r="AK53" i="65"/>
  <c r="AL91" i="65"/>
  <c r="J6" i="60"/>
  <c r="K40" i="65"/>
  <c r="AM81" i="65"/>
  <c r="AS82" i="65"/>
  <c r="F102" i="65"/>
  <c r="K106" i="65"/>
  <c r="AF78" i="65"/>
  <c r="AE66" i="65"/>
  <c r="AD23" i="65"/>
  <c r="X113" i="65"/>
  <c r="I10" i="60"/>
  <c r="K11" i="52"/>
  <c r="J36" i="65"/>
  <c r="J8" i="7"/>
  <c r="AP31" i="65"/>
  <c r="AT105" i="65"/>
  <c r="AI108" i="65"/>
  <c r="AR45" i="65"/>
  <c r="T91" i="65"/>
  <c r="C76" i="65"/>
  <c r="K83" i="65"/>
  <c r="P62" i="65"/>
  <c r="H29" i="51"/>
  <c r="C3" i="38"/>
  <c r="AG110" i="65"/>
  <c r="E90" i="65"/>
  <c r="R11" i="60"/>
  <c r="F70" i="65"/>
  <c r="AA96" i="65"/>
  <c r="AI10" i="60"/>
  <c r="K33" i="65"/>
  <c r="AK10" i="60"/>
  <c r="AN87" i="65"/>
  <c r="C64" i="65"/>
  <c r="AB25" i="60"/>
  <c r="W38" i="65"/>
  <c r="AE10" i="60"/>
  <c r="AF107" i="65"/>
  <c r="L25" i="65"/>
  <c r="AL12" i="60"/>
  <c r="F27" i="60"/>
  <c r="E11" i="71"/>
  <c r="P16" i="60"/>
  <c r="R13" i="60"/>
  <c r="M93" i="65"/>
  <c r="G7" i="7"/>
  <c r="F26" i="9"/>
  <c r="AK60" i="65"/>
  <c r="K50" i="6"/>
  <c r="M34" i="65"/>
  <c r="K22" i="7"/>
  <c r="X85" i="65"/>
  <c r="R19" i="60"/>
  <c r="AT73" i="65"/>
  <c r="AT100" i="65"/>
  <c r="E23" i="52"/>
  <c r="M18" i="60"/>
  <c r="V111" i="65"/>
  <c r="AN73" i="65"/>
  <c r="F50" i="65"/>
  <c r="F35" i="7"/>
  <c r="AR23" i="65"/>
  <c r="W78" i="65"/>
  <c r="G44" i="9"/>
  <c r="H92" i="65"/>
  <c r="D44" i="65"/>
  <c r="H85" i="65"/>
  <c r="AE103" i="65"/>
  <c r="AE42" i="65"/>
  <c r="AO93" i="65"/>
  <c r="N115" i="65"/>
  <c r="J115" i="65"/>
  <c r="R33" i="65"/>
  <c r="W102" i="65"/>
  <c r="R3" i="38"/>
  <c r="J104" i="65"/>
  <c r="T109" i="65"/>
  <c r="E11" i="9"/>
  <c r="J7" i="5"/>
  <c r="AS45" i="65"/>
  <c r="X24" i="65"/>
  <c r="AK65" i="65"/>
  <c r="AL79" i="65"/>
  <c r="X27" i="65"/>
  <c r="U85" i="65"/>
  <c r="T70" i="65"/>
  <c r="E18" i="60"/>
  <c r="E19" i="5"/>
  <c r="AD73" i="65"/>
  <c r="I80" i="65"/>
  <c r="AH92" i="65"/>
  <c r="K24" i="53"/>
  <c r="AU70" i="65"/>
  <c r="AV27" i="60"/>
  <c r="AP98" i="65"/>
  <c r="C96" i="65"/>
  <c r="T9" i="60"/>
  <c r="AJ79" i="65"/>
  <c r="E55" i="71"/>
  <c r="J56" i="65"/>
  <c r="N20" i="65"/>
  <c r="E36" i="65"/>
  <c r="AF69" i="65"/>
  <c r="Y17" i="60"/>
  <c r="AK112" i="65"/>
  <c r="K105" i="65"/>
  <c r="W82" i="65"/>
  <c r="AS27" i="60"/>
  <c r="I34" i="65"/>
  <c r="AG98" i="65"/>
  <c r="AV12" i="60"/>
  <c r="AM12" i="60"/>
  <c r="K43" i="65"/>
  <c r="G45" i="65"/>
  <c r="K19" i="6"/>
  <c r="F20" i="6"/>
  <c r="T37" i="65"/>
  <c r="AF28" i="65"/>
  <c r="AF101" i="65"/>
  <c r="E14" i="52"/>
  <c r="AA69" i="65"/>
  <c r="AL71" i="65"/>
  <c r="AP112" i="65"/>
  <c r="Z5" i="60"/>
  <c r="AD97" i="65"/>
  <c r="P71" i="65"/>
  <c r="AJ55" i="65"/>
  <c r="C49" i="65"/>
  <c r="AB38" i="65"/>
  <c r="AJ96" i="65"/>
  <c r="F101" i="65"/>
  <c r="Q85" i="65"/>
  <c r="R102" i="65"/>
  <c r="E49" i="65"/>
  <c r="AK42" i="65"/>
  <c r="E52" i="65"/>
  <c r="AK72" i="65"/>
  <c r="Z33" i="65"/>
  <c r="AB72" i="65"/>
  <c r="D63" i="65"/>
  <c r="T69" i="65"/>
  <c r="C5" i="9"/>
  <c r="AP79" i="65"/>
  <c r="C38" i="9"/>
  <c r="K6" i="60"/>
  <c r="I53" i="65"/>
  <c r="O93" i="65"/>
  <c r="AH60" i="65"/>
  <c r="AM32" i="65"/>
  <c r="AD42" i="65"/>
  <c r="F76" i="65"/>
  <c r="E48" i="65"/>
  <c r="I18" i="60"/>
  <c r="AG24" i="60"/>
  <c r="H72" i="65"/>
  <c r="AM73" i="65"/>
  <c r="I40" i="52"/>
  <c r="AP72" i="65"/>
  <c r="AD88" i="65"/>
  <c r="AC111" i="65"/>
  <c r="AO34" i="65"/>
  <c r="Q100" i="65"/>
  <c r="AD103" i="65"/>
  <c r="AL92" i="65"/>
  <c r="V81" i="65"/>
  <c r="J108" i="65"/>
  <c r="AQ97" i="65"/>
  <c r="AH77" i="65"/>
  <c r="V73" i="65"/>
  <c r="K76" i="65"/>
  <c r="AC102" i="65"/>
  <c r="I3" i="60"/>
  <c r="Q27" i="60"/>
  <c r="D62" i="65"/>
  <c r="AM24" i="65"/>
  <c r="AB74" i="65"/>
  <c r="Y29" i="65"/>
  <c r="K56" i="65"/>
  <c r="AG33" i="65"/>
  <c r="E33" i="60"/>
  <c r="T80" i="65"/>
  <c r="AM96" i="65"/>
  <c r="C58" i="65"/>
  <c r="AK5" i="60"/>
  <c r="F69" i="65"/>
  <c r="S2" i="60"/>
  <c r="AI55" i="65"/>
  <c r="P83" i="65"/>
  <c r="L27" i="60"/>
  <c r="C25" i="65"/>
  <c r="D114" i="65"/>
  <c r="AN106" i="65"/>
  <c r="AM24" i="60"/>
  <c r="Z103" i="65"/>
  <c r="AQ115" i="65"/>
  <c r="AQ17" i="60"/>
  <c r="Z13" i="60"/>
  <c r="D111" i="65"/>
  <c r="AI77" i="65"/>
  <c r="I56" i="65"/>
  <c r="Q25" i="60"/>
  <c r="D32" i="71"/>
  <c r="K77" i="65"/>
  <c r="L11" i="60"/>
  <c r="AB96" i="65"/>
  <c r="E35" i="65"/>
  <c r="AI4" i="60"/>
  <c r="P38" i="65"/>
  <c r="K32" i="65"/>
  <c r="X23" i="65"/>
  <c r="N11" i="60"/>
  <c r="D71" i="65"/>
  <c r="S107" i="65"/>
  <c r="AA111" i="65"/>
  <c r="F12" i="60"/>
  <c r="S4" i="60"/>
  <c r="AB5" i="60"/>
  <c r="C62" i="71"/>
  <c r="H94" i="65"/>
  <c r="I32" i="5"/>
  <c r="K42" i="65"/>
  <c r="AJ45" i="65"/>
  <c r="P18" i="60"/>
  <c r="K115" i="65"/>
  <c r="O100" i="65"/>
  <c r="R35" i="65"/>
  <c r="AL22" i="65"/>
  <c r="AU72" i="65"/>
  <c r="X18" i="60"/>
  <c r="G81" i="65"/>
  <c r="I102" i="65"/>
  <c r="C98" i="65"/>
  <c r="AB77" i="65"/>
  <c r="L32" i="65"/>
  <c r="G22" i="71"/>
  <c r="O88" i="65"/>
  <c r="AK2" i="60"/>
  <c r="AE37" i="65"/>
  <c r="W3" i="60"/>
  <c r="AB63" i="65"/>
  <c r="J64" i="65"/>
  <c r="P17" i="60"/>
  <c r="E28" i="65"/>
  <c r="I24" i="65"/>
  <c r="C40" i="65"/>
  <c r="AU107" i="65"/>
  <c r="J50" i="65"/>
  <c r="D27" i="65"/>
  <c r="W73" i="65"/>
  <c r="F104" i="65"/>
  <c r="F47" i="60"/>
  <c r="G47" i="65"/>
  <c r="Y91" i="65"/>
  <c r="AJ58" i="65"/>
  <c r="H34" i="5"/>
  <c r="I111" i="65"/>
  <c r="O13" i="60"/>
  <c r="AF13" i="60"/>
  <c r="E85" i="65"/>
  <c r="AI88" i="65"/>
  <c r="D47" i="60"/>
  <c r="N90" i="65"/>
  <c r="S33" i="65"/>
  <c r="AF47" i="65"/>
  <c r="AH37" i="65"/>
  <c r="AN115" i="65"/>
  <c r="AC86" i="65"/>
  <c r="K27" i="5"/>
  <c r="G46" i="7"/>
  <c r="K112" i="65"/>
  <c r="AT12" i="60"/>
  <c r="Y26" i="60"/>
  <c r="AH24" i="65"/>
  <c r="U31" i="65"/>
  <c r="AQ109" i="65"/>
  <c r="O41" i="65"/>
  <c r="AF103" i="65"/>
  <c r="J86" i="65"/>
  <c r="Q53" i="65"/>
  <c r="AA6" i="60"/>
  <c r="AM79" i="65"/>
  <c r="AA108" i="65"/>
  <c r="AT58" i="65"/>
  <c r="K25" i="7"/>
  <c r="D36" i="65"/>
  <c r="Q93" i="65"/>
  <c r="AD109" i="65"/>
  <c r="AG37" i="65"/>
  <c r="I93" i="65"/>
  <c r="AU79" i="65"/>
  <c r="AI82" i="65"/>
  <c r="F28" i="65"/>
  <c r="AF6" i="60"/>
  <c r="V56" i="65"/>
  <c r="AP74" i="65"/>
  <c r="AU110" i="65"/>
  <c r="E42" i="65"/>
  <c r="I19" i="60"/>
  <c r="AC79" i="65"/>
  <c r="F25" i="60"/>
  <c r="F110" i="65"/>
  <c r="S30" i="65"/>
  <c r="T76" i="65"/>
  <c r="S84" i="65"/>
  <c r="F90" i="65"/>
  <c r="AG75" i="65"/>
  <c r="E72" i="71"/>
  <c r="AH51" i="65"/>
  <c r="AA74" i="65"/>
  <c r="L4" i="60"/>
  <c r="F47" i="65"/>
  <c r="AF50" i="65"/>
  <c r="I89" i="65"/>
  <c r="J21" i="65"/>
  <c r="W22" i="65"/>
  <c r="V61" i="65"/>
  <c r="O111" i="65"/>
  <c r="J61" i="65"/>
  <c r="S28" i="65"/>
  <c r="G34" i="5"/>
  <c r="AI92" i="65"/>
  <c r="AN3" i="16"/>
  <c r="AO79" i="65"/>
  <c r="I41" i="52"/>
  <c r="AB106" i="65"/>
  <c r="G38" i="5"/>
  <c r="AQ93" i="65"/>
  <c r="I28" i="52"/>
  <c r="D30" i="65"/>
  <c r="W59" i="65"/>
  <c r="AH75" i="65"/>
  <c r="P101" i="65"/>
  <c r="Z38" i="65"/>
  <c r="AM105" i="65"/>
  <c r="I72" i="65"/>
  <c r="J89" i="65"/>
  <c r="L71" i="65"/>
  <c r="K12" i="60"/>
  <c r="AH107" i="65"/>
  <c r="E84" i="65"/>
  <c r="Y53" i="65"/>
  <c r="AO95" i="65"/>
  <c r="AD29" i="65"/>
  <c r="P30" i="65"/>
  <c r="P26" i="60"/>
  <c r="G25" i="60"/>
  <c r="I59" i="65"/>
  <c r="C93" i="65"/>
  <c r="AF16" i="60"/>
  <c r="AH10" i="60"/>
  <c r="AF88" i="65"/>
  <c r="AT83" i="65"/>
  <c r="Y95" i="65"/>
  <c r="K108" i="65"/>
  <c r="AM93" i="65"/>
  <c r="P23" i="60"/>
  <c r="AM48" i="65"/>
  <c r="Y96" i="65"/>
  <c r="W77" i="65"/>
  <c r="AT104" i="65"/>
  <c r="AP11" i="60"/>
  <c r="I49" i="65"/>
  <c r="J50" i="7"/>
  <c r="AI62" i="65"/>
  <c r="AB108" i="65"/>
  <c r="AQ104" i="65"/>
  <c r="R55" i="65"/>
  <c r="G98" i="65"/>
  <c r="V108" i="65"/>
  <c r="J26" i="60"/>
  <c r="G51" i="60"/>
  <c r="AQ112" i="65"/>
  <c r="N52" i="65"/>
  <c r="AK55" i="65"/>
  <c r="W91" i="65"/>
  <c r="Q115" i="65"/>
  <c r="Z40" i="65"/>
  <c r="O71" i="65"/>
  <c r="AA13" i="60"/>
  <c r="F29" i="65"/>
  <c r="W21" i="65"/>
  <c r="Z76" i="65"/>
  <c r="E9" i="52"/>
  <c r="R69" i="65"/>
  <c r="AS74" i="65"/>
  <c r="D44" i="60"/>
  <c r="Q9" i="60"/>
  <c r="E34" i="65"/>
  <c r="AF61" i="65"/>
  <c r="AR104" i="65"/>
  <c r="AF79" i="65"/>
  <c r="Y61" i="65"/>
  <c r="AI2" i="60"/>
  <c r="T20" i="60"/>
  <c r="F72" i="65"/>
  <c r="AE2" i="60"/>
  <c r="AA64" i="65"/>
  <c r="AH90" i="65"/>
  <c r="AS49" i="65"/>
  <c r="E109" i="65"/>
  <c r="H26" i="51"/>
  <c r="S99" i="65"/>
  <c r="J44" i="65"/>
  <c r="X103" i="65"/>
  <c r="J18" i="51"/>
  <c r="I16" i="60"/>
  <c r="E27" i="65"/>
  <c r="AO114" i="65"/>
  <c r="T49" i="65"/>
  <c r="D70" i="65"/>
  <c r="U12" i="60"/>
  <c r="AJ112" i="65"/>
  <c r="AK94" i="65"/>
  <c r="J78" i="65"/>
  <c r="K18" i="52"/>
  <c r="Z93" i="65"/>
  <c r="Z108" i="65"/>
  <c r="AA103" i="65"/>
  <c r="AB33" i="65"/>
  <c r="C35" i="65"/>
  <c r="H10" i="60"/>
  <c r="O72" i="65"/>
  <c r="H106" i="65"/>
  <c r="T103" i="65"/>
  <c r="AB10" i="60"/>
  <c r="G100" i="65"/>
  <c r="G83" i="65"/>
  <c r="E32" i="60"/>
  <c r="G24" i="65"/>
  <c r="AB35" i="65"/>
  <c r="D55" i="65"/>
  <c r="AA98" i="65"/>
  <c r="AE52" i="65"/>
  <c r="AG71" i="65"/>
  <c r="V33" i="65"/>
  <c r="AL38" i="65"/>
  <c r="X97" i="65"/>
  <c r="J12" i="60"/>
  <c r="E37" i="65"/>
  <c r="I27" i="60"/>
  <c r="E55" i="65"/>
  <c r="AS87" i="65"/>
  <c r="AH65" i="65"/>
  <c r="K75" i="65"/>
  <c r="T88" i="65"/>
  <c r="AA26" i="65"/>
  <c r="J42" i="65"/>
  <c r="Z27" i="60"/>
  <c r="E32" i="65"/>
  <c r="T19" i="60"/>
  <c r="W10" i="60"/>
  <c r="AU34" i="65"/>
  <c r="AT99" i="65"/>
  <c r="X65" i="65"/>
  <c r="O21" i="65"/>
  <c r="AC62" i="65"/>
  <c r="AJ50" i="65"/>
  <c r="M37" i="65"/>
  <c r="O97" i="65"/>
  <c r="D108" i="65"/>
  <c r="AG102" i="65"/>
  <c r="K40" i="6"/>
  <c r="AO78" i="65"/>
  <c r="J65" i="65"/>
  <c r="AG113" i="65"/>
  <c r="V83" i="65"/>
  <c r="AM75" i="65"/>
  <c r="Q107" i="65"/>
  <c r="AO75" i="65"/>
  <c r="AR36" i="65"/>
  <c r="AI75" i="65"/>
  <c r="Z37" i="65"/>
  <c r="AJ103" i="65"/>
  <c r="W94" i="65"/>
  <c r="J30" i="5"/>
  <c r="AR21" i="65"/>
  <c r="AA107" i="65"/>
  <c r="W69" i="65"/>
  <c r="J109" i="65"/>
  <c r="AA10" i="60"/>
  <c r="AK17" i="60"/>
  <c r="AK75" i="65"/>
  <c r="AO61" i="65"/>
  <c r="AL16" i="60"/>
  <c r="S46" i="65"/>
  <c r="AE3" i="60"/>
  <c r="AR79" i="65"/>
  <c r="E47" i="6"/>
  <c r="I19" i="6"/>
  <c r="D58" i="65"/>
  <c r="L25" i="60"/>
  <c r="AP106" i="65"/>
  <c r="X61" i="65"/>
  <c r="G4" i="60"/>
  <c r="AQ25" i="65"/>
  <c r="G38" i="65"/>
  <c r="AU115" i="65"/>
  <c r="T4" i="60"/>
  <c r="AO30" i="65"/>
  <c r="U113" i="65"/>
  <c r="AM87" i="65"/>
  <c r="F62" i="65"/>
  <c r="AM30" i="65"/>
  <c r="AK84" i="65"/>
  <c r="J31" i="65"/>
  <c r="J85" i="65"/>
  <c r="AS26" i="60"/>
  <c r="K41" i="52"/>
  <c r="H45" i="6"/>
  <c r="H26" i="65"/>
  <c r="AP105" i="65"/>
  <c r="AK30" i="65"/>
  <c r="AR111" i="65"/>
  <c r="AC81" i="65"/>
  <c r="S88" i="65"/>
  <c r="F57" i="65"/>
  <c r="D38" i="60"/>
  <c r="S59" i="65"/>
  <c r="D79" i="65"/>
  <c r="AN17" i="60"/>
  <c r="AS26" i="65"/>
  <c r="AH33" i="65"/>
  <c r="K25" i="65"/>
  <c r="AA84" i="65"/>
  <c r="AC52" i="65"/>
  <c r="K30" i="5"/>
  <c r="N71" i="65"/>
  <c r="H8" i="7"/>
  <c r="N87" i="65"/>
  <c r="AK97" i="65"/>
  <c r="K14" i="52"/>
  <c r="AI25" i="60"/>
  <c r="AM98" i="65"/>
  <c r="S10" i="60"/>
  <c r="AR90" i="65"/>
  <c r="W6" i="60"/>
  <c r="AC106" i="65"/>
  <c r="E43" i="65"/>
  <c r="S51" i="65"/>
  <c r="E71" i="65"/>
  <c r="K16" i="60"/>
  <c r="AL113" i="65"/>
  <c r="AN76" i="65"/>
  <c r="AQ72" i="65"/>
  <c r="AG23" i="65"/>
  <c r="AO24" i="65"/>
  <c r="O23" i="65"/>
  <c r="F78" i="65"/>
  <c r="AC95" i="65"/>
  <c r="V99" i="65"/>
  <c r="S108" i="65"/>
  <c r="AM85" i="65"/>
  <c r="C73" i="65"/>
  <c r="AA50" i="65"/>
  <c r="AD78" i="65"/>
  <c r="M40" i="65"/>
  <c r="G31" i="60"/>
  <c r="AB26" i="60"/>
  <c r="AT95" i="65"/>
  <c r="J25" i="52"/>
  <c r="E31" i="65"/>
  <c r="H25" i="6"/>
  <c r="AF20" i="60"/>
  <c r="AC77" i="65"/>
  <c r="AS33" i="65"/>
  <c r="C81" i="65"/>
  <c r="U86" i="65"/>
  <c r="AK69" i="65"/>
  <c r="AS83" i="65"/>
  <c r="K37" i="51"/>
  <c r="Z62" i="65"/>
  <c r="K18" i="51"/>
  <c r="AK45" i="65"/>
  <c r="G51" i="65"/>
  <c r="AL83" i="65"/>
  <c r="AK91" i="65"/>
  <c r="AI69" i="65"/>
  <c r="H22" i="52"/>
  <c r="U71" i="65"/>
  <c r="H16" i="5"/>
  <c r="F23" i="6"/>
  <c r="AK26" i="65"/>
  <c r="N93" i="65"/>
  <c r="K44" i="7"/>
  <c r="Y31" i="65"/>
  <c r="AR85" i="65"/>
  <c r="B17" i="9"/>
  <c r="I39" i="52"/>
  <c r="Q76" i="65"/>
  <c r="F38" i="5"/>
  <c r="F13" i="53"/>
  <c r="F16" i="9"/>
  <c r="F26" i="53"/>
  <c r="F38" i="60"/>
  <c r="AG93" i="65"/>
  <c r="N98" i="65"/>
  <c r="AS47" i="65"/>
  <c r="H49" i="65"/>
  <c r="AH105" i="65"/>
  <c r="H111" i="65"/>
  <c r="F19" i="52"/>
  <c r="N76" i="65"/>
  <c r="AK39" i="65"/>
  <c r="AR40" i="65"/>
  <c r="AN29" i="65"/>
  <c r="S24" i="65"/>
  <c r="AU77" i="65"/>
  <c r="AA41" i="65"/>
  <c r="AE97" i="65"/>
  <c r="AI97" i="65"/>
  <c r="I20" i="60"/>
  <c r="I77" i="65"/>
  <c r="G43" i="65"/>
  <c r="J53" i="65"/>
  <c r="G46" i="65"/>
  <c r="D65" i="65"/>
  <c r="AT54" i="65"/>
  <c r="AA89" i="65"/>
  <c r="O106" i="65"/>
  <c r="AI20" i="65"/>
  <c r="E46" i="65"/>
  <c r="AN39" i="65"/>
  <c r="M28" i="65"/>
  <c r="W27" i="60"/>
  <c r="AT108" i="65"/>
  <c r="G13" i="5"/>
  <c r="AP75" i="65"/>
  <c r="AB104" i="65"/>
  <c r="AU73" i="65"/>
  <c r="J47" i="7"/>
  <c r="Z95" i="65"/>
  <c r="AE73" i="65"/>
  <c r="Z69" i="65"/>
  <c r="H19" i="52"/>
  <c r="H36" i="6"/>
  <c r="N62" i="65"/>
  <c r="AM74" i="65"/>
  <c r="AI104" i="65"/>
  <c r="E4" i="9"/>
  <c r="X13" i="60"/>
  <c r="G37" i="5"/>
  <c r="AL64" i="65"/>
  <c r="E29" i="53"/>
  <c r="J22" i="6"/>
  <c r="F19" i="7"/>
  <c r="D22" i="9"/>
  <c r="Y77" i="65"/>
  <c r="D32" i="65"/>
  <c r="AQ106" i="65"/>
  <c r="E100" i="65"/>
  <c r="AU47" i="65"/>
  <c r="AJ75" i="65"/>
  <c r="AO31" i="65"/>
  <c r="Y54" i="65"/>
  <c r="AF113" i="65"/>
  <c r="E10" i="52"/>
  <c r="S85" i="65"/>
  <c r="AN86" i="65"/>
  <c r="Y55" i="65"/>
  <c r="H12" i="7"/>
  <c r="I40" i="7"/>
  <c r="AJ21" i="65"/>
  <c r="I11" i="5"/>
  <c r="AQ61" i="65"/>
  <c r="H55" i="65"/>
  <c r="AR61" i="65"/>
  <c r="Q23" i="65"/>
  <c r="P48" i="65"/>
  <c r="AN26" i="65"/>
  <c r="Q66" i="65"/>
  <c r="F34" i="9"/>
  <c r="V3" i="60"/>
  <c r="AD37" i="65"/>
  <c r="AE82" i="65"/>
  <c r="D38" i="65"/>
  <c r="AR44" i="65"/>
  <c r="K28" i="5"/>
  <c r="AQ4" i="60"/>
  <c r="J26" i="51"/>
  <c r="Z64" i="65"/>
  <c r="AF108" i="65"/>
  <c r="W84" i="65"/>
  <c r="AN46" i="65"/>
  <c r="V43" i="65"/>
  <c r="G8" i="9"/>
  <c r="J10" i="5"/>
  <c r="AI45" i="65"/>
  <c r="R24" i="65"/>
  <c r="N88" i="65"/>
  <c r="I21" i="51"/>
  <c r="AP60" i="65"/>
  <c r="AS108" i="65"/>
  <c r="AC19" i="60"/>
  <c r="U23" i="65"/>
  <c r="V50" i="65"/>
  <c r="AE90" i="65"/>
  <c r="AF111" i="65"/>
  <c r="AI100" i="65"/>
  <c r="T10" i="60"/>
  <c r="V79" i="65"/>
  <c r="AA5" i="60"/>
  <c r="AA82" i="65"/>
  <c r="AT13" i="60"/>
  <c r="R98" i="65"/>
  <c r="L106" i="65"/>
  <c r="E22" i="65"/>
  <c r="AM55" i="65"/>
  <c r="Q46" i="65"/>
  <c r="K64" i="65"/>
  <c r="X83" i="65"/>
  <c r="AN66" i="65"/>
  <c r="AK16" i="60"/>
  <c r="AC47" i="65"/>
  <c r="I98" i="65"/>
  <c r="D48" i="65"/>
  <c r="AC5" i="60"/>
  <c r="AL10" i="60"/>
  <c r="AG79" i="65"/>
  <c r="K28" i="53"/>
  <c r="AF31" i="65"/>
  <c r="E5" i="60"/>
  <c r="AR2" i="60"/>
  <c r="AF19" i="60"/>
  <c r="AE31" i="65"/>
  <c r="J12" i="5"/>
  <c r="AS27" i="65"/>
  <c r="J6" i="53"/>
  <c r="P86" i="65"/>
  <c r="AF26" i="65"/>
  <c r="K95" i="65"/>
  <c r="AR57" i="65"/>
  <c r="K25" i="53"/>
  <c r="AH89" i="65"/>
  <c r="H57" i="65"/>
  <c r="T97" i="65"/>
  <c r="AU40" i="65"/>
  <c r="M76" i="65"/>
  <c r="AM20" i="60"/>
  <c r="N6" i="60"/>
  <c r="AB105" i="65"/>
  <c r="H73" i="65"/>
  <c r="J105" i="65"/>
  <c r="J9" i="60"/>
  <c r="AK54" i="65"/>
  <c r="F46" i="65"/>
  <c r="G39" i="5"/>
  <c r="K28" i="65"/>
  <c r="K63" i="65"/>
  <c r="H24" i="65"/>
  <c r="W71" i="65"/>
  <c r="G17" i="6"/>
  <c r="F31" i="60"/>
  <c r="AL102" i="65"/>
  <c r="I37" i="52"/>
  <c r="S109" i="65"/>
  <c r="AE43" i="65"/>
  <c r="AD101" i="65"/>
  <c r="Y84" i="65"/>
  <c r="F6" i="60"/>
  <c r="V80" i="65"/>
  <c r="AE60" i="65"/>
  <c r="N45" i="65"/>
  <c r="AU83" i="65"/>
  <c r="E25" i="6"/>
  <c r="AE98" i="65"/>
  <c r="AQ3" i="38"/>
  <c r="P97" i="65"/>
  <c r="G42" i="6"/>
  <c r="AV9" i="60"/>
  <c r="AE111" i="65"/>
  <c r="E40" i="65"/>
  <c r="S94" i="65"/>
  <c r="G34" i="51"/>
  <c r="AT16" i="60"/>
  <c r="AU31" i="65"/>
  <c r="AN79" i="65"/>
  <c r="E37" i="5"/>
  <c r="O56" i="65"/>
  <c r="T78" i="65"/>
  <c r="AS104" i="65"/>
  <c r="P27" i="65"/>
  <c r="R108" i="65"/>
  <c r="K107" i="65"/>
  <c r="I23" i="5"/>
  <c r="Q6" i="60"/>
  <c r="I28" i="65"/>
  <c r="H20" i="53"/>
  <c r="AH18" i="60"/>
  <c r="U9" i="60"/>
  <c r="K22" i="5"/>
  <c r="AA24" i="65"/>
  <c r="AJ97" i="65"/>
  <c r="AL115" i="65"/>
  <c r="M55" i="65"/>
  <c r="AF114" i="65"/>
  <c r="R39" i="65"/>
  <c r="AI43" i="65"/>
  <c r="AD43" i="65"/>
  <c r="AA85" i="65"/>
  <c r="E13" i="60"/>
  <c r="I42" i="65"/>
  <c r="R85" i="65"/>
  <c r="AJ92" i="65"/>
  <c r="G41" i="9"/>
  <c r="AB101" i="65"/>
  <c r="C26" i="65"/>
  <c r="AU69" i="65"/>
  <c r="H113" i="65"/>
  <c r="AS65" i="65"/>
  <c r="I43" i="65"/>
  <c r="M24" i="60"/>
  <c r="O89" i="65"/>
  <c r="H22" i="65"/>
  <c r="L90" i="65"/>
  <c r="AD105" i="65"/>
  <c r="J39" i="5"/>
  <c r="E89" i="65"/>
  <c r="P99" i="65"/>
  <c r="K8" i="5"/>
  <c r="D42" i="65"/>
  <c r="AN102" i="65"/>
  <c r="AJ57" i="65"/>
  <c r="E107" i="65"/>
  <c r="AM97" i="65"/>
  <c r="V25" i="65"/>
  <c r="J19" i="53"/>
  <c r="S105" i="65"/>
  <c r="S35" i="65"/>
  <c r="AS39" i="65"/>
  <c r="Y113" i="65"/>
  <c r="J24" i="51"/>
  <c r="Q108" i="65"/>
  <c r="AK22" i="65"/>
  <c r="M111" i="65"/>
  <c r="E23" i="7"/>
  <c r="K38" i="6"/>
  <c r="E9" i="53"/>
  <c r="AB42" i="65"/>
  <c r="AT115" i="65"/>
  <c r="AK86" i="65"/>
  <c r="I112" i="65"/>
  <c r="P50" i="65"/>
  <c r="I94" i="65"/>
  <c r="H13" i="60"/>
  <c r="K78" i="65"/>
  <c r="H28" i="65"/>
  <c r="AK100" i="65"/>
  <c r="K30" i="51"/>
  <c r="E10" i="6"/>
  <c r="G36" i="5"/>
  <c r="Q111" i="65"/>
  <c r="M38" i="65"/>
  <c r="O94" i="65"/>
  <c r="V65" i="65"/>
  <c r="AS92" i="65"/>
  <c r="E30" i="65"/>
  <c r="AB4" i="65"/>
  <c r="AP27" i="65"/>
  <c r="U77" i="65"/>
  <c r="M83" i="65"/>
  <c r="AB110" i="65"/>
  <c r="V100" i="65"/>
  <c r="M103" i="65"/>
  <c r="AL69" i="65"/>
  <c r="J32" i="52"/>
  <c r="AJ36" i="65"/>
  <c r="R89" i="65"/>
  <c r="AD114" i="65"/>
  <c r="AG9" i="60"/>
  <c r="L64" i="65"/>
  <c r="W49" i="65"/>
  <c r="AR81" i="65"/>
  <c r="U53" i="65"/>
  <c r="K90" i="65"/>
  <c r="AR69" i="65"/>
  <c r="E44" i="7"/>
  <c r="B32" i="9"/>
  <c r="AK79" i="65"/>
  <c r="W36" i="65"/>
  <c r="AL73" i="65"/>
  <c r="AD84" i="65"/>
  <c r="F54" i="65"/>
  <c r="D99" i="65"/>
  <c r="N100" i="65"/>
  <c r="D50" i="65"/>
  <c r="V25" i="60"/>
  <c r="M64" i="65"/>
  <c r="E46" i="9"/>
  <c r="AG69" i="65"/>
  <c r="V98" i="65"/>
  <c r="AL85" i="65"/>
  <c r="E44" i="9"/>
  <c r="I16" i="51"/>
  <c r="AS60" i="65"/>
  <c r="G17" i="7"/>
  <c r="M51" i="65"/>
  <c r="K23" i="6"/>
  <c r="H18" i="51"/>
  <c r="K8" i="53"/>
  <c r="I21" i="5"/>
  <c r="AG90" i="65"/>
  <c r="AC63" i="65"/>
  <c r="AR32" i="65"/>
  <c r="P20" i="65"/>
  <c r="AR84" i="65"/>
  <c r="AF90" i="65"/>
  <c r="AT24" i="65"/>
  <c r="N3" i="16"/>
  <c r="P102" i="65"/>
  <c r="I37" i="5"/>
  <c r="AQ42" i="65"/>
  <c r="W56" i="65"/>
  <c r="K27" i="53"/>
  <c r="AC94" i="65"/>
  <c r="T46" i="65"/>
  <c r="M57" i="65"/>
  <c r="F49" i="65"/>
  <c r="H20" i="65"/>
  <c r="O4" i="60"/>
  <c r="AP52" i="65"/>
  <c r="D115" i="65"/>
  <c r="AP101" i="65"/>
  <c r="AC21" i="65"/>
  <c r="F71" i="65"/>
  <c r="H34" i="65"/>
  <c r="J59" i="65"/>
  <c r="N49" i="65"/>
  <c r="AH44" i="65"/>
  <c r="M90" i="65"/>
  <c r="K26" i="60"/>
  <c r="H9" i="53"/>
  <c r="R91" i="65"/>
  <c r="D83" i="65"/>
  <c r="T108" i="65"/>
  <c r="F51" i="65"/>
  <c r="AF83" i="65"/>
  <c r="X100" i="65"/>
  <c r="AH53" i="65"/>
  <c r="G33" i="5"/>
  <c r="AO97" i="65"/>
  <c r="V110" i="65"/>
  <c r="L52" i="65"/>
  <c r="E26" i="51"/>
  <c r="AF99" i="65"/>
  <c r="S65" i="65"/>
  <c r="V85" i="65"/>
  <c r="L6" i="60"/>
  <c r="AT84" i="65"/>
  <c r="AE41" i="65"/>
  <c r="C24" i="65"/>
  <c r="D2" i="60"/>
  <c r="AB64" i="65"/>
  <c r="AD110" i="65"/>
  <c r="U6" i="60"/>
  <c r="E87" i="65"/>
  <c r="AT98" i="65"/>
  <c r="U27" i="60"/>
  <c r="AA87" i="65"/>
  <c r="J6" i="51"/>
  <c r="H59" i="65"/>
  <c r="I54" i="65"/>
  <c r="G115" i="65"/>
  <c r="AC10" i="60"/>
  <c r="AL66" i="65"/>
  <c r="I45" i="65"/>
  <c r="T72" i="65"/>
  <c r="AJ99" i="65"/>
  <c r="J45" i="65"/>
  <c r="E38" i="5"/>
  <c r="AF98" i="65"/>
  <c r="AR37" i="65"/>
  <c r="P43" i="65"/>
  <c r="K100" i="65"/>
  <c r="O27" i="65"/>
  <c r="E24" i="65"/>
  <c r="Z99" i="65"/>
  <c r="F40" i="6"/>
  <c r="C74" i="65"/>
  <c r="F3" i="16"/>
  <c r="AR88" i="65"/>
  <c r="AT80" i="65"/>
  <c r="AN12" i="60"/>
  <c r="U33" i="65"/>
  <c r="H20" i="60"/>
  <c r="V107" i="65"/>
  <c r="W83" i="65"/>
  <c r="O24" i="65"/>
  <c r="C79" i="65"/>
  <c r="AD81" i="65"/>
  <c r="F82" i="65"/>
  <c r="AU5" i="60"/>
  <c r="AT44" i="65"/>
  <c r="AS53" i="65"/>
  <c r="M75" i="65"/>
  <c r="G59" i="65"/>
  <c r="AQ96" i="65"/>
  <c r="K114" i="65"/>
  <c r="M82" i="65"/>
  <c r="H62" i="65"/>
  <c r="AJ27" i="65"/>
  <c r="D41" i="65"/>
  <c r="AC58" i="65"/>
  <c r="AE51" i="65"/>
  <c r="R27" i="65"/>
  <c r="L111" i="65"/>
  <c r="E3" i="60"/>
  <c r="H9" i="60"/>
  <c r="AL76" i="65"/>
  <c r="K39" i="5"/>
  <c r="D72" i="65"/>
  <c r="F74" i="65"/>
  <c r="AF25" i="60"/>
  <c r="AJ105" i="65"/>
  <c r="AC26" i="65"/>
  <c r="D31" i="9"/>
  <c r="AR77" i="65"/>
  <c r="H83" i="65"/>
  <c r="AO50" i="65"/>
  <c r="AL34" i="65"/>
  <c r="G105" i="65"/>
  <c r="AK99" i="65"/>
  <c r="E31" i="9"/>
  <c r="G39" i="51"/>
  <c r="AC80" i="65"/>
  <c r="AE35" i="65"/>
  <c r="AT96" i="65"/>
  <c r="P24" i="65"/>
  <c r="Z42" i="65"/>
  <c r="G14" i="52"/>
  <c r="P76" i="65"/>
  <c r="E25" i="7"/>
  <c r="V82" i="65"/>
  <c r="AF29" i="65"/>
  <c r="AR25" i="60"/>
  <c r="S47" i="65"/>
  <c r="Y90" i="65"/>
  <c r="F17" i="5"/>
  <c r="N82" i="65"/>
  <c r="AQ82" i="65"/>
  <c r="U81" i="65"/>
  <c r="AM56" i="65"/>
  <c r="AU36" i="65"/>
  <c r="P60" i="65"/>
  <c r="T113" i="65"/>
  <c r="AE77" i="65"/>
  <c r="M80" i="65"/>
  <c r="AP46" i="65"/>
  <c r="U111" i="65"/>
  <c r="AO106" i="65"/>
  <c r="AQ54" i="65"/>
  <c r="P75" i="65"/>
  <c r="E78" i="65"/>
  <c r="AA93" i="65"/>
  <c r="I30" i="52"/>
  <c r="AN74" i="65"/>
  <c r="AJ33" i="65"/>
  <c r="AJ95" i="65"/>
  <c r="H33" i="5"/>
  <c r="T24" i="60"/>
  <c r="E41" i="65"/>
  <c r="AF2" i="60"/>
  <c r="AG84" i="65"/>
  <c r="G12" i="52"/>
  <c r="AM91" i="65"/>
  <c r="P49" i="65"/>
  <c r="AU95" i="65"/>
  <c r="U96" i="65"/>
  <c r="H11" i="6"/>
  <c r="Z84" i="65"/>
  <c r="AR35" i="65"/>
  <c r="AA104" i="65"/>
  <c r="J21" i="7"/>
  <c r="F20" i="65"/>
  <c r="O32" i="65"/>
  <c r="K10" i="52"/>
  <c r="O103" i="65"/>
  <c r="G9" i="52"/>
  <c r="AT114" i="65"/>
  <c r="G18" i="5"/>
  <c r="AK23" i="65"/>
  <c r="AF105" i="65"/>
  <c r="AB32" i="65"/>
  <c r="F33" i="5"/>
  <c r="R110" i="65"/>
  <c r="AD102" i="65"/>
  <c r="K102" i="65"/>
  <c r="AA38" i="65"/>
  <c r="O79" i="65"/>
  <c r="AN30" i="65"/>
  <c r="G27" i="52"/>
  <c r="AS69" i="65"/>
  <c r="V27" i="65"/>
  <c r="M74" i="65"/>
  <c r="Q52" i="65"/>
  <c r="AJ17" i="60"/>
  <c r="P26" i="65"/>
  <c r="AD51" i="65"/>
  <c r="O50" i="65"/>
  <c r="AH72" i="65"/>
  <c r="AD87" i="65"/>
  <c r="Q97" i="65"/>
  <c r="H6" i="9"/>
  <c r="B47" i="9"/>
  <c r="AJ24" i="60"/>
  <c r="AJ78" i="65"/>
  <c r="P85" i="65"/>
  <c r="AL44" i="65"/>
  <c r="AQ88" i="65"/>
  <c r="AL101" i="65"/>
  <c r="H24" i="51"/>
  <c r="J10" i="60"/>
  <c r="T47" i="65"/>
  <c r="J58" i="65"/>
  <c r="K27" i="60"/>
  <c r="N112" i="65"/>
  <c r="AM83" i="65"/>
  <c r="AM58" i="65"/>
  <c r="L95" i="65"/>
  <c r="AL65" i="65"/>
  <c r="I99" i="65"/>
  <c r="AU28" i="65"/>
  <c r="J63" i="65"/>
  <c r="D56" i="65"/>
  <c r="E58" i="65"/>
  <c r="Q50" i="65"/>
  <c r="D98" i="65"/>
  <c r="AG34" i="65"/>
  <c r="AE19" i="60"/>
  <c r="AR59" i="65"/>
  <c r="G23" i="65"/>
  <c r="AF22" i="65"/>
  <c r="O33" i="65"/>
  <c r="M81" i="65"/>
  <c r="V106" i="65"/>
  <c r="AC30" i="65"/>
  <c r="G96" i="65"/>
  <c r="H86" i="65"/>
  <c r="S102" i="65"/>
  <c r="F89" i="65"/>
  <c r="R4" i="60"/>
  <c r="AG41" i="65"/>
  <c r="L107" i="65"/>
  <c r="AQ73" i="65"/>
  <c r="X114" i="65"/>
  <c r="AO84" i="65"/>
  <c r="W31" i="65"/>
  <c r="AK89" i="65"/>
  <c r="AH96" i="65"/>
  <c r="I9" i="5"/>
  <c r="I44" i="7"/>
  <c r="E21" i="6"/>
  <c r="AC113" i="65"/>
  <c r="AH106" i="65"/>
  <c r="AU52" i="65"/>
  <c r="AC87" i="65"/>
  <c r="X91" i="65"/>
  <c r="B39" i="9"/>
  <c r="H20" i="51"/>
  <c r="AD63" i="65"/>
  <c r="X76" i="65"/>
  <c r="E83" i="65"/>
  <c r="AS4" i="60"/>
  <c r="Y72" i="65"/>
  <c r="J27" i="65"/>
  <c r="K41" i="6"/>
  <c r="L58" i="65"/>
  <c r="F20" i="53"/>
  <c r="AR91" i="65"/>
  <c r="AG91" i="65"/>
  <c r="F51" i="60"/>
  <c r="AP49" i="65"/>
  <c r="AU10" i="60"/>
  <c r="R93" i="65"/>
  <c r="AJ26" i="65"/>
  <c r="AN16" i="60"/>
  <c r="D9" i="60"/>
  <c r="AG27" i="65"/>
  <c r="E13" i="52"/>
  <c r="AB53" i="65"/>
  <c r="S48" i="65"/>
  <c r="G26" i="65"/>
  <c r="F45" i="65"/>
  <c r="AH100" i="65"/>
  <c r="AO66" i="65"/>
  <c r="K98" i="65"/>
  <c r="AQ113" i="65"/>
  <c r="W72" i="65"/>
  <c r="D96" i="65"/>
  <c r="AA71" i="65"/>
  <c r="N97" i="65"/>
  <c r="K49" i="6"/>
  <c r="AC51" i="65"/>
  <c r="AR34" i="65"/>
  <c r="AK81" i="65"/>
  <c r="Z110" i="65"/>
  <c r="E16" i="7"/>
  <c r="H16" i="6"/>
  <c r="J29" i="52"/>
  <c r="E93" i="65"/>
  <c r="AK63" i="65"/>
  <c r="S25" i="65"/>
  <c r="AV25" i="60"/>
  <c r="O5" i="60"/>
  <c r="AL112" i="65"/>
  <c r="C48" i="71"/>
  <c r="W3" i="65"/>
  <c r="R70" i="65"/>
  <c r="J48" i="65"/>
  <c r="AF57" i="65"/>
  <c r="P79" i="65"/>
  <c r="K42" i="52"/>
  <c r="AJ81" i="65"/>
  <c r="P105" i="65"/>
  <c r="AC76" i="65"/>
  <c r="L2" i="60"/>
  <c r="AN70" i="65"/>
  <c r="Z101" i="65"/>
  <c r="AR43" i="65"/>
  <c r="AM77" i="65"/>
  <c r="AM27" i="60"/>
  <c r="C39" i="9"/>
  <c r="AG78" i="65"/>
  <c r="AT103" i="65"/>
  <c r="H109" i="65"/>
  <c r="H11" i="7"/>
  <c r="W57" i="65"/>
  <c r="AU84" i="65"/>
  <c r="G22" i="65"/>
  <c r="AJ20" i="60"/>
  <c r="X109" i="65"/>
  <c r="AQ103" i="65"/>
  <c r="AM44" i="65"/>
  <c r="M62" i="65"/>
  <c r="AJ73" i="65"/>
  <c r="AS50" i="65"/>
  <c r="G15" i="5"/>
  <c r="O51" i="65"/>
  <c r="L43" i="65"/>
  <c r="H24" i="6"/>
  <c r="AT102" i="65"/>
  <c r="E39" i="6"/>
  <c r="AE38" i="65"/>
  <c r="AG21" i="65"/>
  <c r="AK95" i="65"/>
  <c r="AA51" i="65"/>
  <c r="S80" i="65"/>
  <c r="AE47" i="65"/>
  <c r="AN78" i="65"/>
  <c r="AU75" i="65"/>
  <c r="L12" i="60"/>
  <c r="H9" i="5"/>
  <c r="AP29" i="65"/>
  <c r="G8" i="5"/>
  <c r="AT69" i="65"/>
  <c r="D47" i="65"/>
  <c r="L96" i="65"/>
  <c r="D13" i="9"/>
  <c r="AC101" i="65"/>
  <c r="AB60" i="65"/>
  <c r="N9" i="60"/>
  <c r="AD98" i="65"/>
  <c r="K20" i="6"/>
  <c r="U29" i="65"/>
  <c r="Y92" i="65"/>
  <c r="H34" i="52"/>
  <c r="G45" i="6"/>
  <c r="AO51" i="65"/>
  <c r="AR33" i="65"/>
  <c r="Y27" i="65"/>
  <c r="AS64" i="65"/>
  <c r="N83" i="65"/>
  <c r="T74" i="65"/>
  <c r="AJ51" i="65"/>
  <c r="S37" i="65"/>
  <c r="E31" i="5"/>
  <c r="O96" i="65"/>
  <c r="AC31" i="65"/>
  <c r="K8" i="7"/>
  <c r="H12" i="5"/>
  <c r="F14" i="6"/>
  <c r="D66" i="65"/>
  <c r="AE72" i="65"/>
  <c r="T40" i="65"/>
  <c r="AS75" i="65"/>
  <c r="AE92" i="65"/>
  <c r="AM99" i="65"/>
  <c r="F7" i="52"/>
  <c r="AB111" i="65"/>
  <c r="I7" i="5"/>
  <c r="AT106" i="65"/>
  <c r="J28" i="65"/>
  <c r="T95" i="65"/>
  <c r="S43" i="65"/>
  <c r="P74" i="65"/>
  <c r="I90" i="65"/>
  <c r="AQ63" i="65"/>
  <c r="AH41" i="65"/>
  <c r="D61" i="65"/>
  <c r="AO55" i="65"/>
  <c r="AD18" i="60"/>
  <c r="G14" i="9"/>
  <c r="AF20" i="65"/>
  <c r="AS71" i="65"/>
  <c r="P69" i="65"/>
  <c r="T77" i="65"/>
  <c r="AP87" i="65"/>
  <c r="AQ84" i="65"/>
  <c r="H8" i="6"/>
  <c r="AG61" i="65"/>
  <c r="N77" i="65"/>
  <c r="Q2" i="60"/>
  <c r="Q88" i="65"/>
  <c r="AJ10" i="60"/>
  <c r="Z91" i="65"/>
  <c r="X5" i="60"/>
  <c r="H97" i="65"/>
  <c r="AB51" i="65"/>
  <c r="I63" i="65"/>
  <c r="G70" i="65"/>
  <c r="I71" i="65"/>
  <c r="G89" i="65"/>
  <c r="R37" i="65"/>
  <c r="Q89" i="65"/>
  <c r="G17" i="5"/>
  <c r="AP78" i="65"/>
  <c r="V90" i="65"/>
  <c r="G17" i="53"/>
  <c r="AF58" i="65"/>
  <c r="C52" i="60"/>
  <c r="H93" i="65"/>
  <c r="H32" i="5"/>
  <c r="H40" i="65"/>
  <c r="H28" i="9"/>
  <c r="V93" i="65"/>
  <c r="L30" i="65"/>
  <c r="I7" i="7"/>
  <c r="AA29" i="65"/>
  <c r="S66" i="65"/>
  <c r="L29" i="65"/>
  <c r="I27" i="51"/>
  <c r="AO100" i="65"/>
  <c r="Q29" i="65"/>
  <c r="Q36" i="65"/>
  <c r="AC54" i="65"/>
  <c r="U74" i="65"/>
  <c r="I88" i="65"/>
  <c r="AN99" i="65"/>
  <c r="J112" i="65"/>
  <c r="N47" i="65"/>
  <c r="U91" i="65"/>
  <c r="AO25" i="60"/>
  <c r="AO59" i="65"/>
  <c r="C54" i="65"/>
  <c r="AD57" i="65"/>
  <c r="G19" i="5"/>
  <c r="Y48" i="65"/>
  <c r="J19" i="7"/>
  <c r="G28" i="5"/>
  <c r="D38" i="9"/>
  <c r="R73" i="65"/>
  <c r="H26" i="52"/>
  <c r="N85" i="65"/>
  <c r="K19" i="52"/>
  <c r="G45" i="7"/>
  <c r="D37" i="65"/>
  <c r="G60" i="65"/>
  <c r="AT32" i="65"/>
  <c r="AH40" i="65"/>
  <c r="S29" i="65"/>
  <c r="X58" i="65"/>
  <c r="E14" i="53"/>
  <c r="U43" i="65"/>
  <c r="K33" i="6"/>
  <c r="X96" i="65"/>
  <c r="G9" i="53"/>
  <c r="X36" i="65"/>
  <c r="Q56" i="65"/>
  <c r="N43" i="65"/>
  <c r="E44" i="65"/>
  <c r="Z105" i="65"/>
  <c r="H15" i="7"/>
  <c r="AU21" i="65"/>
  <c r="I3" i="16"/>
  <c r="L16" i="60"/>
  <c r="X23" i="60"/>
  <c r="J3" i="38"/>
  <c r="K17" i="51"/>
  <c r="K24" i="5"/>
  <c r="K18" i="53"/>
  <c r="AC28" i="65"/>
  <c r="O47" i="65"/>
  <c r="AK48" i="65"/>
  <c r="AC57" i="65"/>
  <c r="Y73" i="65"/>
  <c r="P29" i="65"/>
  <c r="AU88" i="65"/>
  <c r="H13" i="5"/>
  <c r="K41" i="65"/>
  <c r="AD94" i="65"/>
  <c r="H98" i="65"/>
  <c r="T110" i="65"/>
  <c r="C4" i="9"/>
  <c r="D45" i="9"/>
  <c r="L36" i="65"/>
  <c r="H35" i="52"/>
  <c r="H34" i="9"/>
  <c r="K8" i="52"/>
  <c r="C47" i="9"/>
  <c r="E14" i="5"/>
  <c r="G31" i="51"/>
  <c r="V102" i="65"/>
  <c r="AO108" i="65"/>
  <c r="Q47" i="65"/>
  <c r="D2" i="9"/>
  <c r="I25" i="6"/>
  <c r="AQ31" i="65"/>
  <c r="W85" i="65"/>
  <c r="AL109" i="65"/>
  <c r="T98" i="65"/>
  <c r="Q55" i="65"/>
  <c r="AR112" i="65"/>
  <c r="E61" i="65"/>
  <c r="B7" i="9"/>
  <c r="B19" i="9"/>
  <c r="J36" i="51"/>
  <c r="AR72" i="65"/>
  <c r="AM39" i="65"/>
  <c r="K12" i="7"/>
  <c r="AE88" i="65"/>
  <c r="AC97" i="65"/>
  <c r="G32" i="51"/>
  <c r="AI3" i="38"/>
  <c r="E13" i="53"/>
  <c r="F11" i="9"/>
  <c r="D34" i="9"/>
  <c r="N86" i="65"/>
  <c r="K9" i="5"/>
  <c r="J40" i="51"/>
  <c r="E20" i="51"/>
  <c r="AU45" i="65"/>
  <c r="E82" i="65"/>
  <c r="E35" i="9"/>
  <c r="E65" i="65"/>
  <c r="F6" i="52"/>
  <c r="N39" i="65"/>
  <c r="AD21" i="65"/>
  <c r="E14" i="51"/>
  <c r="E15" i="6"/>
  <c r="AF52" i="65"/>
  <c r="E12" i="53"/>
  <c r="AE29" i="65"/>
  <c r="E45" i="9"/>
  <c r="J27" i="5"/>
  <c r="N94" i="65"/>
  <c r="AC22" i="65"/>
  <c r="AB28" i="65"/>
  <c r="O105" i="65"/>
  <c r="C34" i="60"/>
  <c r="AG81" i="65"/>
  <c r="K89" i="65"/>
  <c r="O26" i="65"/>
  <c r="P94" i="65"/>
  <c r="T65" i="65"/>
  <c r="I62" i="65"/>
  <c r="Z52" i="65"/>
  <c r="N55" i="65"/>
  <c r="AJ100" i="65"/>
  <c r="AK18" i="60"/>
  <c r="K33" i="7"/>
  <c r="AJ3" i="60"/>
  <c r="AQ95" i="65"/>
  <c r="J26" i="65"/>
  <c r="AM43" i="65"/>
  <c r="AK32" i="65"/>
  <c r="AQ30" i="65"/>
  <c r="E38" i="65"/>
  <c r="Z72" i="65"/>
  <c r="Y60" i="65"/>
  <c r="P107" i="65"/>
  <c r="AB99" i="65"/>
  <c r="W35" i="65"/>
  <c r="AD85" i="65"/>
  <c r="AD26" i="65"/>
  <c r="AP86" i="65"/>
  <c r="J25" i="5"/>
  <c r="H66" i="65"/>
  <c r="E115" i="65"/>
  <c r="Q81" i="65"/>
  <c r="AB11" i="60"/>
  <c r="H13" i="7"/>
  <c r="AN41" i="65"/>
  <c r="E7" i="52"/>
  <c r="AP82" i="65"/>
  <c r="AT63" i="65"/>
  <c r="K49" i="65"/>
  <c r="F32" i="5"/>
  <c r="L98" i="65"/>
  <c r="G19" i="6"/>
  <c r="G29" i="53"/>
  <c r="AK27" i="60"/>
  <c r="H32" i="9"/>
  <c r="AN110" i="65"/>
  <c r="J95" i="65"/>
  <c r="H71" i="65"/>
  <c r="R30" i="65"/>
  <c r="M106" i="65"/>
  <c r="AS59" i="65"/>
  <c r="H76" i="65"/>
  <c r="O86" i="65"/>
  <c r="P70" i="65"/>
  <c r="K86" i="65"/>
  <c r="Z53" i="65"/>
  <c r="I16" i="5"/>
  <c r="AM37" i="65"/>
  <c r="AP107" i="65"/>
  <c r="D89" i="65"/>
  <c r="AG39" i="65"/>
  <c r="G104" i="65"/>
  <c r="N38" i="65"/>
  <c r="M32" i="65"/>
  <c r="AA73" i="65"/>
  <c r="C16" i="9"/>
  <c r="AP99" i="65"/>
  <c r="AA57" i="65"/>
  <c r="AI80" i="65"/>
  <c r="AO40" i="65"/>
  <c r="D35" i="9"/>
  <c r="AA43" i="65"/>
  <c r="W96" i="65"/>
  <c r="AR109" i="65"/>
  <c r="G39" i="60"/>
  <c r="E20" i="65"/>
  <c r="AO88" i="65"/>
  <c r="D39" i="60"/>
  <c r="H42" i="52"/>
  <c r="AN27" i="65"/>
  <c r="AT52" i="65"/>
  <c r="AI99" i="65"/>
  <c r="G50" i="7"/>
  <c r="E10" i="53"/>
  <c r="O61" i="65"/>
  <c r="T99" i="65"/>
  <c r="H10" i="7"/>
  <c r="E35" i="52"/>
  <c r="E52" i="60"/>
  <c r="AT53" i="65"/>
  <c r="H21" i="5"/>
  <c r="H42" i="6"/>
  <c r="AS79" i="65"/>
  <c r="U34" i="65"/>
  <c r="AC84" i="65"/>
  <c r="D40" i="60"/>
  <c r="R48" i="65"/>
  <c r="AH113" i="65"/>
  <c r="D110" i="65"/>
  <c r="AG108" i="65"/>
  <c r="AE64" i="65"/>
  <c r="C39" i="65"/>
  <c r="I22" i="6"/>
  <c r="Y110" i="65"/>
  <c r="AK61" i="65"/>
  <c r="U100" i="65"/>
  <c r="AD77" i="65"/>
  <c r="G108" i="65"/>
  <c r="AH87" i="65"/>
  <c r="P93" i="65"/>
  <c r="K38" i="65"/>
  <c r="AJ39" i="65"/>
  <c r="AL77" i="65"/>
  <c r="AK104" i="65"/>
  <c r="G21" i="65"/>
  <c r="AA61" i="65"/>
  <c r="AD61" i="65"/>
  <c r="N73" i="65"/>
  <c r="AQ92" i="65"/>
  <c r="E33" i="5"/>
  <c r="R60" i="65"/>
  <c r="I26" i="51"/>
  <c r="I37" i="51"/>
  <c r="AO25" i="65"/>
  <c r="U52" i="65"/>
  <c r="M95" i="65"/>
  <c r="K13" i="51"/>
  <c r="AR42" i="65"/>
  <c r="D22" i="65"/>
  <c r="J11" i="53"/>
  <c r="AH45" i="65"/>
  <c r="O104" i="65"/>
  <c r="C94" i="65"/>
  <c r="G37" i="52"/>
  <c r="AS21" i="65"/>
  <c r="E34" i="60"/>
  <c r="AD48" i="65"/>
  <c r="G50" i="65"/>
  <c r="AJ86" i="65"/>
  <c r="AB36" i="65"/>
  <c r="AO27" i="65"/>
  <c r="H21" i="52"/>
  <c r="I50" i="6"/>
  <c r="S55" i="65"/>
  <c r="G16" i="53"/>
  <c r="Z32" i="65"/>
  <c r="S82" i="65"/>
  <c r="E34" i="52"/>
  <c r="AG2" i="60"/>
  <c r="K32" i="7"/>
  <c r="V86" i="65"/>
  <c r="AI78" i="65"/>
  <c r="R38" i="65"/>
  <c r="H8" i="9"/>
  <c r="AG52" i="65"/>
  <c r="AS35" i="65"/>
  <c r="F45" i="6"/>
  <c r="B44" i="9"/>
  <c r="F32" i="51"/>
  <c r="AM109" i="65"/>
  <c r="I18" i="51"/>
  <c r="N109" i="65"/>
  <c r="G95" i="65"/>
  <c r="G2" i="9"/>
  <c r="V96" i="65"/>
  <c r="AQ50" i="65"/>
  <c r="J25" i="60"/>
  <c r="Y24" i="60"/>
  <c r="AN113" i="65"/>
  <c r="V34" i="65"/>
  <c r="G18" i="51"/>
  <c r="N46" i="65"/>
  <c r="X59" i="65"/>
  <c r="AE83" i="65"/>
  <c r="B21" i="9"/>
  <c r="P32" i="65"/>
  <c r="V31" i="65"/>
  <c r="G49" i="7"/>
  <c r="AE76" i="65"/>
  <c r="L115" i="65"/>
  <c r="I110" i="65"/>
  <c r="AU86" i="65"/>
  <c r="H46" i="7"/>
  <c r="R23" i="65"/>
  <c r="Z85" i="65"/>
  <c r="AA58" i="65"/>
  <c r="AL24" i="65"/>
  <c r="I29" i="52"/>
  <c r="AO110" i="65"/>
  <c r="F32" i="6"/>
  <c r="L87" i="65"/>
  <c r="S49" i="65"/>
  <c r="E45" i="6"/>
  <c r="AD80" i="65"/>
  <c r="AI47" i="65"/>
  <c r="AD108" i="65"/>
  <c r="I8" i="7"/>
  <c r="Y109" i="65"/>
  <c r="P45" i="65"/>
  <c r="L57" i="65"/>
  <c r="AH35" i="65"/>
  <c r="AG56" i="65"/>
  <c r="R31" i="65"/>
  <c r="Z44" i="65"/>
  <c r="X37" i="65"/>
  <c r="H6" i="53"/>
  <c r="C12" i="9"/>
  <c r="AP25" i="65"/>
  <c r="R80" i="65"/>
  <c r="AR51" i="65"/>
  <c r="G99" i="65"/>
  <c r="AA36" i="65"/>
  <c r="P55" i="65"/>
  <c r="J106" i="65"/>
  <c r="AT21" i="65"/>
  <c r="G35" i="52"/>
  <c r="AL37" i="65"/>
  <c r="I35" i="5"/>
  <c r="M3" i="38"/>
  <c r="H29" i="5"/>
  <c r="H21" i="6"/>
  <c r="AL93" i="65"/>
  <c r="H16" i="52"/>
  <c r="AM86" i="65"/>
  <c r="AL90" i="65"/>
  <c r="E24" i="52"/>
  <c r="D57" i="65"/>
  <c r="G69" i="65"/>
  <c r="AT72" i="65"/>
  <c r="O29" i="65"/>
  <c r="H36" i="51"/>
  <c r="AN31" i="65"/>
  <c r="AR13" i="60"/>
  <c r="E51" i="60"/>
  <c r="AJ59" i="65"/>
  <c r="X87" i="65"/>
  <c r="O108" i="65"/>
  <c r="AO21" i="65"/>
  <c r="AF3" i="16"/>
  <c r="V42" i="65"/>
  <c r="J26" i="52"/>
  <c r="F50" i="6"/>
  <c r="J24" i="6"/>
  <c r="AG53" i="65"/>
  <c r="AJ108" i="65"/>
  <c r="Z88" i="65"/>
  <c r="AF34" i="65"/>
  <c r="E32" i="9"/>
  <c r="I9" i="51"/>
  <c r="AM45" i="65"/>
  <c r="H31" i="52"/>
  <c r="AI37" i="65"/>
  <c r="R65" i="65"/>
  <c r="AF76" i="65"/>
  <c r="J34" i="51"/>
  <c r="AJ69" i="65"/>
  <c r="L69" i="65"/>
  <c r="AT77" i="65"/>
  <c r="C84" i="65"/>
  <c r="AA20" i="60"/>
  <c r="P21" i="65"/>
  <c r="V26" i="60"/>
  <c r="W81" i="65"/>
  <c r="N18" i="60"/>
  <c r="AR96" i="65"/>
  <c r="V88" i="65"/>
  <c r="G36" i="6"/>
  <c r="L3" i="16"/>
  <c r="S58" i="65"/>
  <c r="N27" i="60"/>
  <c r="AT39" i="65"/>
  <c r="G52" i="60"/>
  <c r="E101" i="65"/>
  <c r="AV11" i="60"/>
  <c r="AM18" i="60"/>
  <c r="AR73" i="65"/>
  <c r="AT111" i="65"/>
  <c r="V94" i="65"/>
  <c r="D95" i="65"/>
  <c r="AI13" i="60"/>
  <c r="AS111" i="65"/>
  <c r="AA32" i="65"/>
  <c r="AU96" i="65"/>
  <c r="AQ105" i="65"/>
  <c r="F9" i="51"/>
  <c r="N63" i="65"/>
  <c r="AE74" i="65"/>
  <c r="L84" i="65"/>
  <c r="Y23" i="65"/>
  <c r="C103" i="65"/>
  <c r="H10" i="6"/>
  <c r="AG74" i="65"/>
  <c r="X21" i="65"/>
  <c r="AQ114" i="65"/>
  <c r="AH94" i="65"/>
  <c r="I38" i="65"/>
  <c r="F18" i="52"/>
  <c r="H19" i="6"/>
  <c r="G32" i="65"/>
  <c r="R79" i="65"/>
  <c r="N66" i="65"/>
  <c r="AT51" i="65"/>
  <c r="Y23" i="60"/>
  <c r="D80" i="65"/>
  <c r="AP113" i="65"/>
  <c r="L82" i="65"/>
  <c r="K3" i="38"/>
  <c r="J16" i="52"/>
  <c r="I37" i="7"/>
  <c r="AH56" i="65"/>
  <c r="AC73" i="65"/>
  <c r="P98" i="65"/>
  <c r="E25" i="51"/>
  <c r="AD28" i="65"/>
  <c r="AV5" i="60"/>
  <c r="Y108" i="65"/>
  <c r="AJ84" i="65"/>
  <c r="C36" i="65"/>
  <c r="U94" i="65"/>
  <c r="Q84" i="65"/>
  <c r="AH82" i="65"/>
  <c r="AK70" i="65"/>
  <c r="F15" i="53"/>
  <c r="AP28" i="65"/>
  <c r="AJ28" i="65"/>
  <c r="J13" i="53"/>
  <c r="AS109" i="65"/>
  <c r="U80" i="65"/>
  <c r="G40" i="7"/>
  <c r="AL27" i="65"/>
  <c r="AP57" i="65"/>
  <c r="Y25" i="65"/>
  <c r="P108" i="65"/>
  <c r="Z115" i="65"/>
  <c r="AC3" i="38"/>
  <c r="AH66" i="65"/>
  <c r="M44" i="65"/>
  <c r="AT71" i="65"/>
  <c r="AU43" i="65"/>
  <c r="AA34" i="65"/>
  <c r="AH103" i="65"/>
  <c r="Z57" i="65"/>
  <c r="G30" i="65"/>
  <c r="X35" i="65"/>
  <c r="S87" i="65"/>
  <c r="AM41" i="65"/>
  <c r="AA94" i="65"/>
  <c r="E76" i="65"/>
  <c r="P52" i="65"/>
  <c r="F13" i="51"/>
  <c r="L21" i="65"/>
  <c r="F32" i="7"/>
  <c r="N105" i="65"/>
  <c r="R41" i="65"/>
  <c r="D101" i="65"/>
  <c r="C51" i="60"/>
  <c r="AK40" i="65"/>
  <c r="T101" i="65"/>
  <c r="AB62" i="65"/>
  <c r="I16" i="6"/>
  <c r="G48" i="60"/>
  <c r="S75" i="65"/>
  <c r="P88" i="65"/>
  <c r="E21" i="53"/>
  <c r="AO89" i="65"/>
  <c r="G58" i="65"/>
  <c r="F21" i="65"/>
  <c r="AA75" i="65"/>
  <c r="AN59" i="65"/>
  <c r="AK96" i="65"/>
  <c r="H60" i="65"/>
  <c r="W13" i="60"/>
  <c r="C99" i="65"/>
  <c r="W90" i="65"/>
  <c r="AN13" i="60"/>
  <c r="AF42" i="65"/>
  <c r="AL95" i="65"/>
  <c r="AG89" i="65"/>
  <c r="F26" i="65"/>
  <c r="AK101" i="65"/>
  <c r="AG28" i="65"/>
  <c r="G40" i="51"/>
  <c r="AH19" i="60"/>
  <c r="E6" i="52"/>
  <c r="AO77" i="65"/>
  <c r="G40" i="52"/>
  <c r="AG29" i="65"/>
  <c r="C105" i="65"/>
  <c r="AI107" i="65"/>
  <c r="AD69" i="65"/>
  <c r="W23" i="65"/>
  <c r="J49" i="65"/>
  <c r="AQ66" i="65"/>
  <c r="V30" i="65"/>
  <c r="AD113" i="65"/>
  <c r="K27" i="51"/>
  <c r="X71" i="65"/>
  <c r="AR71" i="65"/>
  <c r="AS80" i="65"/>
  <c r="O64" i="65"/>
  <c r="T41" i="65"/>
  <c r="I24" i="51"/>
  <c r="J26" i="53"/>
  <c r="AB76" i="65"/>
  <c r="Q57" i="65"/>
  <c r="AU85" i="65"/>
  <c r="AH81" i="65"/>
  <c r="I32" i="52"/>
  <c r="O78" i="65"/>
  <c r="AD52" i="65"/>
  <c r="N50" i="65"/>
  <c r="AS101" i="65"/>
  <c r="R44" i="65"/>
  <c r="AK113" i="65"/>
  <c r="AA37" i="65"/>
  <c r="H49" i="6"/>
  <c r="N44" i="65"/>
  <c r="S79" i="65"/>
  <c r="AK73" i="65"/>
  <c r="AS3" i="16"/>
  <c r="F88" i="65"/>
  <c r="AA106" i="65"/>
  <c r="Y71" i="65"/>
  <c r="AP59" i="65"/>
  <c r="G28" i="53"/>
  <c r="I23" i="6"/>
  <c r="Y76" i="65"/>
  <c r="E36" i="52"/>
  <c r="G34" i="65"/>
  <c r="AC3" i="16"/>
  <c r="AV24" i="60"/>
  <c r="AE101" i="65"/>
  <c r="J16" i="5"/>
  <c r="F31" i="5"/>
  <c r="P41" i="65"/>
  <c r="Q3" i="38"/>
  <c r="F52" i="65"/>
  <c r="G44" i="7"/>
  <c r="E98" i="65"/>
  <c r="F86" i="65"/>
  <c r="F11" i="5"/>
  <c r="D21" i="65"/>
  <c r="H6" i="52"/>
  <c r="X3" i="60"/>
  <c r="E15" i="52"/>
  <c r="I10" i="7"/>
  <c r="F8" i="7"/>
  <c r="AB86" i="65"/>
  <c r="AA109" i="65"/>
  <c r="S89" i="65"/>
  <c r="P23" i="65"/>
  <c r="V48" i="65"/>
  <c r="J50" i="6"/>
  <c r="AU102" i="65"/>
  <c r="U24" i="65"/>
  <c r="H21" i="9"/>
  <c r="AT26" i="65"/>
  <c r="V64" i="65"/>
  <c r="AN109" i="65"/>
  <c r="J24" i="7"/>
  <c r="AP83" i="65"/>
  <c r="H39" i="5"/>
  <c r="AU66" i="65"/>
  <c r="U98" i="65"/>
  <c r="AF43" i="65"/>
  <c r="AP114" i="65"/>
  <c r="H41" i="52"/>
  <c r="L39" i="65"/>
  <c r="H24" i="52"/>
  <c r="H110" i="65"/>
  <c r="AQ58" i="65"/>
  <c r="L110" i="65"/>
  <c r="G8" i="7"/>
  <c r="D14" i="9"/>
  <c r="AQ107" i="65"/>
  <c r="AE65" i="65"/>
  <c r="H7" i="9"/>
  <c r="AS36" i="65"/>
  <c r="AC61" i="65"/>
  <c r="B3" i="9"/>
  <c r="AI87" i="65"/>
  <c r="T115" i="65"/>
  <c r="E34" i="5"/>
  <c r="H10" i="9"/>
  <c r="J13" i="52"/>
  <c r="H18" i="52"/>
  <c r="W97" i="65"/>
  <c r="I14" i="7"/>
  <c r="AT89" i="65"/>
  <c r="AI41" i="65"/>
  <c r="AA54" i="65"/>
  <c r="W104" i="65"/>
  <c r="R53" i="65"/>
  <c r="F17" i="9"/>
  <c r="E13" i="5"/>
  <c r="R21" i="65"/>
  <c r="AN103" i="65"/>
  <c r="AU113" i="65"/>
  <c r="AO107" i="65"/>
  <c r="I27" i="5"/>
  <c r="W26" i="65"/>
  <c r="AK62" i="65"/>
  <c r="H5" i="9"/>
  <c r="S112" i="65"/>
  <c r="P36" i="65"/>
  <c r="E42" i="7"/>
  <c r="Q109" i="65"/>
  <c r="G12" i="5"/>
  <c r="M26" i="65"/>
  <c r="G6" i="51"/>
  <c r="K7" i="51"/>
  <c r="AC88" i="65"/>
  <c r="E12" i="5"/>
  <c r="S104" i="65"/>
  <c r="X115" i="65"/>
  <c r="AK78" i="65"/>
  <c r="M9" i="60"/>
  <c r="AK37" i="65"/>
  <c r="AA114" i="65"/>
  <c r="F32" i="60"/>
  <c r="N27" i="65"/>
  <c r="AB52" i="65"/>
  <c r="P66" i="65"/>
  <c r="D45" i="65"/>
  <c r="I76" i="65"/>
  <c r="R112" i="65"/>
  <c r="K19" i="51"/>
  <c r="AS28" i="65"/>
  <c r="Y3" i="38"/>
  <c r="AE102" i="65"/>
  <c r="AP85" i="65"/>
  <c r="E105" i="65"/>
  <c r="AH86" i="65"/>
  <c r="J13" i="51"/>
  <c r="AU29" i="65"/>
  <c r="H11" i="9"/>
  <c r="F20" i="9"/>
  <c r="K48" i="65"/>
  <c r="H21" i="65"/>
  <c r="E12" i="52"/>
  <c r="AK88" i="65"/>
  <c r="AM13" i="60"/>
  <c r="J45" i="7"/>
  <c r="AL27" i="60"/>
  <c r="AQ20" i="60"/>
  <c r="V29" i="65"/>
  <c r="Y81" i="65"/>
  <c r="J35" i="5"/>
  <c r="AI48" i="65"/>
  <c r="AI90" i="65"/>
  <c r="I34" i="5"/>
  <c r="Y104" i="65"/>
  <c r="AU97" i="65"/>
  <c r="AC20" i="65"/>
  <c r="C38" i="60"/>
  <c r="AO96" i="65"/>
  <c r="AN75" i="65"/>
  <c r="AJ19" i="60"/>
  <c r="Q103" i="65"/>
  <c r="E41" i="6"/>
  <c r="F14" i="9"/>
  <c r="I33" i="7"/>
  <c r="J42" i="52"/>
  <c r="Y26" i="65"/>
  <c r="Z48" i="65"/>
  <c r="AA46" i="65"/>
  <c r="K9" i="51"/>
  <c r="AO102" i="65"/>
  <c r="E19" i="52"/>
  <c r="AO53" i="65"/>
  <c r="AB85" i="65"/>
  <c r="AK87" i="65"/>
  <c r="L42" i="65"/>
  <c r="G36" i="52"/>
  <c r="I26" i="52"/>
  <c r="H31" i="65"/>
  <c r="I49" i="7"/>
  <c r="G12" i="53"/>
  <c r="C62" i="65"/>
  <c r="U101" i="65"/>
  <c r="AK3" i="38"/>
  <c r="Z45" i="65"/>
  <c r="AQ86" i="65"/>
  <c r="L20" i="65"/>
  <c r="C10" i="9"/>
  <c r="H13" i="52"/>
  <c r="X86" i="65"/>
  <c r="F98" i="65"/>
  <c r="H75" i="65"/>
  <c r="E28" i="51"/>
  <c r="W105" i="65"/>
  <c r="AU39" i="65"/>
  <c r="AD66" i="65"/>
  <c r="J15" i="7"/>
  <c r="AU27" i="60"/>
  <c r="J71" i="65"/>
  <c r="D8" i="9"/>
  <c r="H21" i="53"/>
  <c r="AD58" i="65"/>
  <c r="K36" i="7"/>
  <c r="AI35" i="65"/>
  <c r="G37" i="51"/>
  <c r="V115" i="65"/>
  <c r="E8" i="5"/>
  <c r="J39" i="6"/>
  <c r="AI89" i="65"/>
  <c r="H7" i="5"/>
  <c r="AF27" i="60"/>
  <c r="H37" i="6"/>
  <c r="AH88" i="65"/>
  <c r="Y38" i="65"/>
  <c r="D29" i="65"/>
  <c r="X80" i="65"/>
  <c r="U35" i="65"/>
  <c r="T3" i="60"/>
  <c r="M49" i="65"/>
  <c r="AJ31" i="65"/>
  <c r="F12" i="5"/>
  <c r="AL50" i="65"/>
  <c r="AO41" i="65"/>
  <c r="K15" i="5"/>
  <c r="G16" i="7"/>
  <c r="F23" i="5"/>
  <c r="I8" i="52"/>
  <c r="R104" i="65"/>
  <c r="M92" i="65"/>
  <c r="AG106" i="65"/>
  <c r="Y105" i="65"/>
  <c r="V76" i="65"/>
  <c r="E16" i="53"/>
  <c r="AU109" i="65"/>
  <c r="AC32" i="65"/>
  <c r="J39" i="7"/>
  <c r="C15" i="9"/>
  <c r="I65" i="65"/>
  <c r="K32" i="51"/>
  <c r="AA55" i="65"/>
  <c r="R72" i="65"/>
  <c r="F22" i="52"/>
  <c r="G28" i="52"/>
  <c r="H70" i="65"/>
  <c r="AH61" i="65"/>
  <c r="K16" i="7"/>
  <c r="Q112" i="65"/>
  <c r="V20" i="65"/>
  <c r="P25" i="65"/>
  <c r="B23" i="9"/>
  <c r="X89" i="65"/>
  <c r="Y45" i="65"/>
  <c r="AC100" i="65"/>
  <c r="O40" i="65"/>
  <c r="J40" i="52"/>
  <c r="AQ90" i="65"/>
  <c r="AU30" i="65"/>
  <c r="Q104" i="65"/>
  <c r="D87" i="65"/>
  <c r="L54" i="65"/>
  <c r="AT55" i="65"/>
  <c r="Z49" i="65"/>
  <c r="AP20" i="65"/>
  <c r="J62" i="65"/>
  <c r="AM57" i="65"/>
  <c r="F47" i="6"/>
  <c r="K38" i="7"/>
  <c r="Y51" i="65"/>
  <c r="H112" i="65"/>
  <c r="H7" i="52"/>
  <c r="H23" i="52"/>
  <c r="Q21" i="65"/>
  <c r="AH30" i="65"/>
  <c r="R52" i="65"/>
  <c r="K36" i="5"/>
  <c r="K11" i="51"/>
  <c r="D32" i="60"/>
  <c r="E41" i="52"/>
  <c r="K33" i="52"/>
  <c r="U107" i="65"/>
  <c r="T112" i="65"/>
  <c r="Q83" i="65"/>
  <c r="E39" i="60"/>
  <c r="K36" i="51"/>
  <c r="G27" i="9"/>
  <c r="J11" i="52"/>
  <c r="AI34" i="65"/>
  <c r="X93" i="65"/>
  <c r="I22" i="7"/>
  <c r="K21" i="53"/>
  <c r="AU81" i="65"/>
  <c r="N48" i="65"/>
  <c r="G23" i="5"/>
  <c r="G49" i="65"/>
  <c r="AS44" i="65"/>
  <c r="T25" i="65"/>
  <c r="E45" i="65"/>
  <c r="AF94" i="65"/>
  <c r="Q3" i="16"/>
  <c r="C42" i="9"/>
  <c r="I25" i="65"/>
  <c r="AT46" i="65"/>
  <c r="F30" i="51"/>
  <c r="R5" i="60"/>
  <c r="U26" i="65"/>
  <c r="U51" i="65"/>
  <c r="AB39" i="65"/>
  <c r="G38" i="9"/>
  <c r="AT109" i="65"/>
  <c r="V66" i="65"/>
  <c r="I19" i="5"/>
  <c r="Y44" i="65"/>
  <c r="F18" i="5"/>
  <c r="AS96" i="65"/>
  <c r="I20" i="53"/>
  <c r="AH62" i="65"/>
  <c r="S64" i="65"/>
  <c r="G6" i="5"/>
  <c r="G7" i="53"/>
  <c r="AA81" i="65"/>
  <c r="E40" i="7"/>
  <c r="G33" i="60"/>
  <c r="AN90" i="65"/>
  <c r="E33" i="6"/>
  <c r="L112" i="65"/>
  <c r="AG112" i="65"/>
  <c r="R57" i="65"/>
  <c r="H36" i="52"/>
  <c r="H19" i="9"/>
  <c r="J21" i="6"/>
  <c r="F28" i="51"/>
  <c r="L37" i="65"/>
  <c r="G32" i="5"/>
  <c r="F105" i="65"/>
  <c r="AI51" i="65"/>
  <c r="R77" i="65"/>
  <c r="T54" i="65"/>
  <c r="AK92" i="65"/>
  <c r="V112" i="65"/>
  <c r="AU58" i="65"/>
  <c r="L65" i="65"/>
  <c r="AJ87" i="65"/>
  <c r="G40" i="65"/>
  <c r="F21" i="52"/>
  <c r="W9" i="60"/>
  <c r="Y39" i="65"/>
  <c r="G40" i="9"/>
  <c r="H30" i="65"/>
  <c r="AB26" i="65"/>
  <c r="Z66" i="65"/>
  <c r="AH80" i="65"/>
  <c r="AD47" i="65"/>
  <c r="H20" i="5"/>
  <c r="S96" i="65"/>
  <c r="AV20" i="60"/>
  <c r="AE109" i="65"/>
  <c r="AO112" i="65"/>
  <c r="F27" i="9"/>
  <c r="AB25" i="65"/>
  <c r="AJ40" i="65"/>
  <c r="AE44" i="65"/>
  <c r="M89" i="65"/>
  <c r="AK31" i="65"/>
  <c r="C27" i="9"/>
  <c r="E11" i="5"/>
  <c r="AS84" i="65"/>
  <c r="H38" i="6"/>
  <c r="AN34" i="65"/>
  <c r="I13" i="7"/>
  <c r="B16" i="9"/>
  <c r="H99" i="65"/>
  <c r="W63" i="65"/>
  <c r="R50" i="65"/>
  <c r="AH102" i="65"/>
  <c r="AQ37" i="65"/>
  <c r="AJ54" i="65"/>
  <c r="Y103" i="65"/>
  <c r="I20" i="7"/>
  <c r="I36" i="52"/>
  <c r="U39" i="65"/>
  <c r="Q80" i="65"/>
  <c r="J46" i="6"/>
  <c r="I26" i="53"/>
  <c r="AS94" i="65"/>
  <c r="AH49" i="65"/>
  <c r="F13" i="52"/>
  <c r="Z31" i="65"/>
  <c r="AJ53" i="65"/>
  <c r="H30" i="52"/>
  <c r="L23" i="65"/>
  <c r="W42" i="65"/>
  <c r="P109" i="65"/>
  <c r="AB29" i="65"/>
  <c r="J88" i="65"/>
  <c r="AH3" i="38"/>
  <c r="G19" i="9"/>
  <c r="Z41" i="65"/>
  <c r="E41" i="7"/>
  <c r="T105" i="65"/>
  <c r="J39" i="52"/>
  <c r="AC65" i="65"/>
  <c r="I35" i="51"/>
  <c r="D7" i="9"/>
  <c r="J31" i="51"/>
  <c r="C63" i="65"/>
  <c r="H27" i="53"/>
  <c r="I14" i="52"/>
  <c r="F39" i="60"/>
  <c r="AD115" i="65"/>
  <c r="X112" i="65"/>
  <c r="AM114" i="65"/>
  <c r="M58" i="65"/>
  <c r="J25" i="7"/>
  <c r="O73" i="65"/>
  <c r="AP90" i="65"/>
  <c r="AV13" i="60"/>
  <c r="F10" i="6"/>
  <c r="J42" i="6"/>
  <c r="U62" i="65"/>
  <c r="E17" i="7"/>
  <c r="AF59" i="65"/>
  <c r="AD89" i="65"/>
  <c r="B41" i="9"/>
  <c r="B46" i="9"/>
  <c r="G36" i="7"/>
  <c r="E50" i="7"/>
  <c r="P106" i="65"/>
  <c r="H37" i="7"/>
  <c r="F3" i="38"/>
  <c r="AQ52" i="65"/>
  <c r="J81" i="65"/>
  <c r="J7" i="6"/>
  <c r="Y50" i="65"/>
  <c r="J20" i="51"/>
  <c r="M45" i="65"/>
  <c r="N99" i="65"/>
  <c r="X63" i="65"/>
  <c r="M54" i="65"/>
  <c r="AO42" i="65"/>
  <c r="J19" i="52"/>
  <c r="AJ106" i="65"/>
  <c r="E75" i="65"/>
  <c r="E27" i="51"/>
  <c r="E12" i="51"/>
  <c r="AC108" i="65"/>
  <c r="AS3" i="38"/>
  <c r="G46" i="6"/>
  <c r="B30" i="9"/>
  <c r="AO38" i="65"/>
  <c r="AF62" i="65"/>
  <c r="E35" i="6"/>
  <c r="F17" i="51"/>
  <c r="E26" i="52"/>
  <c r="W58" i="65"/>
  <c r="K16" i="51"/>
  <c r="B5" i="9"/>
  <c r="F13" i="7"/>
  <c r="L97" i="65"/>
  <c r="H17" i="53"/>
  <c r="AU33" i="65"/>
  <c r="F25" i="52"/>
  <c r="AK111" i="65"/>
  <c r="E40" i="6"/>
  <c r="AJ89" i="65"/>
  <c r="Y99" i="65"/>
  <c r="B37" i="9"/>
  <c r="G42" i="52"/>
  <c r="E40" i="52"/>
  <c r="P81" i="65"/>
  <c r="AC115" i="65"/>
  <c r="AE34" i="65"/>
  <c r="Z54" i="65"/>
  <c r="AS57" i="65"/>
  <c r="AT31" i="65"/>
  <c r="C11" i="9"/>
  <c r="K6" i="53"/>
  <c r="AI93" i="65"/>
  <c r="P115" i="65"/>
  <c r="AR49" i="65"/>
  <c r="G62" i="65"/>
  <c r="S63" i="65"/>
  <c r="I24" i="5"/>
  <c r="Q98" i="65"/>
  <c r="N60" i="65"/>
  <c r="P53" i="65"/>
  <c r="AA105" i="65"/>
  <c r="AJ56" i="65"/>
  <c r="AN49" i="65"/>
  <c r="E27" i="5"/>
  <c r="AM3" i="38"/>
  <c r="E11" i="52"/>
  <c r="V51" i="65"/>
  <c r="G29" i="52"/>
  <c r="E20" i="53"/>
  <c r="R46" i="65"/>
  <c r="F21" i="6"/>
  <c r="G20" i="7"/>
  <c r="AM110" i="65"/>
  <c r="AH99" i="65"/>
  <c r="D43" i="9"/>
  <c r="AN20" i="65"/>
  <c r="AU23" i="65"/>
  <c r="H50" i="65"/>
  <c r="G8" i="53"/>
  <c r="E28" i="52"/>
  <c r="AI109" i="65"/>
  <c r="AI46" i="65"/>
  <c r="AG63" i="65"/>
  <c r="N24" i="65"/>
  <c r="K69" i="65"/>
  <c r="AB23" i="65"/>
  <c r="K26" i="52"/>
  <c r="X104" i="65"/>
  <c r="H22" i="7"/>
  <c r="R84" i="65"/>
  <c r="AH115" i="65"/>
  <c r="U45" i="65"/>
  <c r="AR106" i="65"/>
  <c r="AD56" i="65"/>
  <c r="J27" i="52"/>
  <c r="R62" i="65"/>
  <c r="K20" i="52"/>
  <c r="X31" i="65"/>
  <c r="Y20" i="65"/>
  <c r="K12" i="52"/>
  <c r="J113" i="65"/>
  <c r="G47" i="6"/>
  <c r="R97" i="65"/>
  <c r="K29" i="52"/>
  <c r="F3" i="9"/>
  <c r="AB24" i="65"/>
  <c r="G48" i="6"/>
  <c r="F17" i="53"/>
  <c r="I78" i="65"/>
  <c r="W107" i="65"/>
  <c r="G33" i="7"/>
  <c r="AR31" i="65"/>
  <c r="L22" i="65"/>
  <c r="F28" i="9"/>
  <c r="AQ32" i="65"/>
  <c r="F40" i="9"/>
  <c r="P113" i="65"/>
  <c r="F13" i="9"/>
  <c r="I33" i="51"/>
  <c r="AK90" i="65"/>
  <c r="W114" i="65"/>
  <c r="D51" i="60"/>
  <c r="AL100" i="65"/>
  <c r="L77" i="65"/>
  <c r="C14" i="9"/>
  <c r="B2" i="9"/>
  <c r="X3" i="16"/>
  <c r="J24" i="65"/>
  <c r="E46" i="6"/>
  <c r="AG62" i="65"/>
  <c r="E11" i="60"/>
  <c r="AF63" i="65"/>
  <c r="K14" i="53"/>
  <c r="AQ13" i="60"/>
  <c r="L53" i="65"/>
  <c r="AN42" i="65"/>
  <c r="E28" i="5"/>
  <c r="W20" i="65"/>
  <c r="K35" i="51"/>
  <c r="H39" i="52"/>
  <c r="F37" i="60"/>
  <c r="AD40" i="65"/>
  <c r="G33" i="9"/>
  <c r="I23" i="53"/>
  <c r="H54" i="65"/>
  <c r="F24" i="7"/>
  <c r="AL86" i="65"/>
  <c r="F6" i="51"/>
  <c r="AC71" i="65"/>
  <c r="Q32" i="65"/>
  <c r="AL43" i="65"/>
  <c r="O99" i="65"/>
  <c r="AN93" i="65"/>
  <c r="AA52" i="65"/>
  <c r="U48" i="65"/>
  <c r="H48" i="7"/>
  <c r="I17" i="53"/>
  <c r="R87" i="65"/>
  <c r="Q43" i="65"/>
  <c r="E21" i="9"/>
  <c r="E16" i="5"/>
  <c r="E94" i="65"/>
  <c r="J8" i="52"/>
  <c r="E50" i="6"/>
  <c r="Y33" i="65"/>
  <c r="C28" i="9"/>
  <c r="AT88" i="65"/>
  <c r="F10" i="9"/>
  <c r="H19" i="7"/>
  <c r="AI36" i="65"/>
  <c r="R99" i="65"/>
  <c r="N51" i="65"/>
  <c r="F36" i="51"/>
  <c r="R40" i="65"/>
  <c r="K39" i="52"/>
  <c r="B28" i="9"/>
  <c r="H12" i="53"/>
  <c r="S53" i="65"/>
  <c r="R96" i="65"/>
  <c r="AR22" i="65"/>
  <c r="F6" i="53"/>
  <c r="K39" i="51"/>
  <c r="J23" i="51"/>
  <c r="E23" i="9"/>
  <c r="F11" i="51"/>
  <c r="K44" i="6"/>
  <c r="E20" i="9"/>
  <c r="Q58" i="65"/>
  <c r="S34" i="65"/>
  <c r="I39" i="7"/>
  <c r="I7" i="6"/>
  <c r="J27" i="51"/>
  <c r="E36" i="7"/>
  <c r="Z82" i="65"/>
  <c r="K24" i="7"/>
  <c r="K14" i="6"/>
  <c r="F47" i="9"/>
  <c r="AS29" i="65"/>
  <c r="AA100" i="65"/>
  <c r="W3" i="38"/>
  <c r="K46" i="7"/>
  <c r="J17" i="6"/>
  <c r="I13" i="53"/>
  <c r="I31" i="5"/>
  <c r="AE22" i="65"/>
  <c r="AM49" i="65"/>
  <c r="M23" i="60"/>
  <c r="J7" i="53"/>
  <c r="AM108" i="65"/>
  <c r="J38" i="65"/>
  <c r="L103" i="65"/>
  <c r="E22" i="7"/>
  <c r="AU87" i="65"/>
  <c r="O77" i="65"/>
  <c r="I81" i="65"/>
  <c r="S101" i="65"/>
  <c r="AI94" i="65"/>
  <c r="W33" i="65"/>
  <c r="U60" i="65"/>
  <c r="D85" i="65"/>
  <c r="H7" i="51"/>
  <c r="C21" i="9"/>
  <c r="AP17" i="60"/>
  <c r="AG88" i="65"/>
  <c r="X110" i="65"/>
  <c r="AF23" i="65"/>
  <c r="O102" i="65"/>
  <c r="G20" i="5"/>
  <c r="AE32" i="65"/>
  <c r="AL99" i="65"/>
  <c r="C46" i="65"/>
  <c r="AS55" i="65"/>
  <c r="E59" i="65"/>
  <c r="I12" i="5"/>
  <c r="AI72" i="65"/>
  <c r="AM33" i="65"/>
  <c r="X39" i="65"/>
  <c r="AK106" i="65"/>
  <c r="I39" i="65"/>
  <c r="AH93" i="65"/>
  <c r="AU24" i="60"/>
  <c r="AK25" i="65"/>
  <c r="N80" i="65"/>
  <c r="P73" i="65"/>
  <c r="E8" i="53"/>
  <c r="AP97" i="65"/>
  <c r="E9" i="9"/>
  <c r="M48" i="65"/>
  <c r="Q87" i="65"/>
  <c r="J14" i="53"/>
  <c r="F35" i="9"/>
  <c r="Y32" i="65"/>
  <c r="AP45" i="65"/>
  <c r="W51" i="65"/>
  <c r="AD93" i="65"/>
  <c r="E37" i="51"/>
  <c r="AL104" i="65"/>
  <c r="K21" i="51"/>
  <c r="AE49" i="65"/>
  <c r="AT97" i="65"/>
  <c r="AC114" i="65"/>
  <c r="F12" i="53"/>
  <c r="F23" i="9"/>
  <c r="AH21" i="65"/>
  <c r="X9" i="60"/>
  <c r="K7" i="7"/>
  <c r="Q71" i="65"/>
  <c r="D42" i="9"/>
  <c r="AM20" i="65"/>
  <c r="AA56" i="65"/>
  <c r="H10" i="5"/>
  <c r="I39" i="51"/>
  <c r="J16" i="51"/>
  <c r="I45" i="7"/>
  <c r="L3" i="38"/>
  <c r="K25" i="52"/>
  <c r="AM61" i="65"/>
  <c r="AO98" i="65"/>
  <c r="AD41" i="65"/>
  <c r="Y80" i="65"/>
  <c r="H33" i="7"/>
  <c r="T23" i="65"/>
  <c r="AG30" i="65"/>
  <c r="AP43" i="65"/>
  <c r="R111" i="65"/>
  <c r="I27" i="65"/>
  <c r="Q86" i="65"/>
  <c r="G37" i="65"/>
  <c r="I14" i="51"/>
  <c r="AN38" i="65"/>
  <c r="X47" i="65"/>
  <c r="AN33" i="65"/>
  <c r="AP91" i="65"/>
  <c r="U109" i="65"/>
  <c r="C46" i="9"/>
  <c r="Z111" i="65"/>
  <c r="V69" i="65"/>
  <c r="E35" i="5"/>
  <c r="D86" i="65"/>
  <c r="C51" i="65"/>
  <c r="L47" i="65"/>
  <c r="P112" i="65"/>
  <c r="AE55" i="65"/>
  <c r="AJ29" i="65"/>
  <c r="AM35" i="65"/>
  <c r="AD92" i="65"/>
  <c r="E9" i="51"/>
  <c r="I74" i="65"/>
  <c r="K34" i="65"/>
  <c r="U115" i="65"/>
  <c r="W24" i="65"/>
  <c r="AB50" i="65"/>
  <c r="AO47" i="65"/>
  <c r="O113" i="65"/>
  <c r="T102" i="65"/>
  <c r="K30" i="52"/>
  <c r="J3" i="16"/>
  <c r="AA91" i="65"/>
  <c r="C48" i="65"/>
  <c r="H15" i="52"/>
  <c r="AM63" i="65"/>
  <c r="AN95" i="65"/>
  <c r="AB20" i="65"/>
  <c r="AL53" i="65"/>
  <c r="Q110" i="65"/>
  <c r="C110" i="65"/>
  <c r="N3" i="60"/>
  <c r="H20" i="9"/>
  <c r="F49" i="6"/>
  <c r="O10" i="60"/>
  <c r="F36" i="6"/>
  <c r="AR25" i="65"/>
  <c r="AS90" i="65"/>
  <c r="E37" i="60"/>
  <c r="G12" i="51"/>
  <c r="AQ78" i="65"/>
  <c r="AA62" i="65"/>
  <c r="AU104" i="65"/>
  <c r="J41" i="7"/>
  <c r="H8" i="5"/>
  <c r="AM102" i="65"/>
  <c r="AK51" i="65"/>
  <c r="X34" i="65"/>
  <c r="J47" i="65"/>
  <c r="I27" i="52"/>
  <c r="H40" i="52"/>
  <c r="F30" i="9"/>
  <c r="L61" i="65"/>
  <c r="U63" i="65"/>
  <c r="V113" i="65"/>
  <c r="AC23" i="65"/>
  <c r="AQ85" i="65"/>
  <c r="V36" i="65"/>
  <c r="I82" i="65"/>
  <c r="T29" i="65"/>
  <c r="F44" i="6"/>
  <c r="AG109" i="65"/>
  <c r="R54" i="65"/>
  <c r="AT112" i="65"/>
  <c r="AB45" i="65"/>
  <c r="AH25" i="65"/>
  <c r="N114" i="65"/>
  <c r="AR76" i="65"/>
  <c r="AG49" i="65"/>
  <c r="AI111" i="65"/>
  <c r="F14" i="51"/>
  <c r="AU106" i="65"/>
  <c r="AS43" i="65"/>
  <c r="F10" i="51"/>
  <c r="I16" i="7"/>
  <c r="Q41" i="65"/>
  <c r="J38" i="6"/>
  <c r="H24" i="5"/>
  <c r="Q38" i="65"/>
  <c r="J36" i="7"/>
  <c r="H27" i="5"/>
  <c r="AL114" i="65"/>
  <c r="AT62" i="65"/>
  <c r="AF48" i="65"/>
  <c r="H25" i="52"/>
  <c r="AB109" i="65"/>
  <c r="H15" i="6"/>
  <c r="V58" i="65"/>
  <c r="Y21" i="65"/>
  <c r="X45" i="65"/>
  <c r="J21" i="51"/>
  <c r="AL75" i="65"/>
  <c r="Y74" i="65"/>
  <c r="G12" i="9"/>
  <c r="G32" i="52"/>
  <c r="V49" i="65"/>
  <c r="K26" i="53"/>
  <c r="F2" i="9"/>
  <c r="T86" i="65"/>
  <c r="Z51" i="65"/>
  <c r="AS115" i="65"/>
  <c r="W86" i="65"/>
  <c r="Q61" i="65"/>
  <c r="B29" i="9"/>
  <c r="F33" i="7"/>
  <c r="K13" i="6"/>
  <c r="E25" i="65"/>
  <c r="J11" i="6"/>
  <c r="R32" i="65"/>
  <c r="AD25" i="65"/>
  <c r="I12" i="6"/>
  <c r="X28" i="65"/>
  <c r="AU91" i="65"/>
  <c r="AP73" i="65"/>
  <c r="E20" i="7"/>
  <c r="R88" i="65"/>
  <c r="C47" i="65"/>
  <c r="I19" i="7"/>
  <c r="AQ24" i="65"/>
  <c r="AM23" i="65"/>
  <c r="AI95" i="65"/>
  <c r="I32" i="51"/>
  <c r="AJ23" i="65"/>
  <c r="F34" i="52"/>
  <c r="N34" i="65"/>
  <c r="K19" i="7"/>
  <c r="AB89" i="65"/>
  <c r="Z73" i="65"/>
  <c r="W34" i="65"/>
  <c r="J28" i="5"/>
  <c r="AB3" i="16"/>
  <c r="W115" i="65"/>
  <c r="E33" i="51"/>
  <c r="I17" i="6"/>
  <c r="C33" i="9"/>
  <c r="AQ29" i="65"/>
  <c r="AN2" i="60"/>
  <c r="AU46" i="65"/>
  <c r="J69" i="65"/>
  <c r="T45" i="65"/>
  <c r="AU44" i="65"/>
  <c r="J25" i="53"/>
  <c r="AI32" i="65"/>
  <c r="Y46" i="65"/>
  <c r="AS62" i="65"/>
  <c r="AD90" i="65"/>
  <c r="Q82" i="65"/>
  <c r="G6" i="53"/>
  <c r="AM22" i="65"/>
  <c r="AK98" i="65"/>
  <c r="AJ30" i="65"/>
  <c r="AP100" i="65"/>
  <c r="L59" i="65"/>
  <c r="F24" i="5"/>
  <c r="I32" i="65"/>
  <c r="K13" i="52"/>
  <c r="J110" i="65"/>
  <c r="L62" i="65"/>
  <c r="K20" i="53"/>
  <c r="AQ20" i="65"/>
  <c r="F7" i="5"/>
  <c r="AS20" i="65"/>
  <c r="F52" i="60"/>
  <c r="H39" i="6"/>
  <c r="H20" i="6"/>
  <c r="I50" i="7"/>
  <c r="K11" i="5"/>
  <c r="O37" i="65"/>
  <c r="M3" i="16"/>
  <c r="AP42" i="65"/>
  <c r="AD53" i="65"/>
  <c r="AB66" i="65"/>
  <c r="H14" i="53"/>
  <c r="O43" i="65"/>
  <c r="E37" i="52"/>
  <c r="K31" i="5"/>
  <c r="C40" i="60"/>
  <c r="AP95" i="65"/>
  <c r="J35" i="52"/>
  <c r="AP63" i="65"/>
  <c r="AU54" i="65"/>
  <c r="E33" i="52"/>
  <c r="AN35" i="65"/>
  <c r="AI23" i="65"/>
  <c r="F20" i="7"/>
  <c r="D39" i="9"/>
  <c r="AG50" i="65"/>
  <c r="AL26" i="65"/>
  <c r="AE50" i="65"/>
  <c r="F18" i="51"/>
  <c r="AM90" i="65"/>
  <c r="K6" i="51"/>
  <c r="E23" i="6"/>
  <c r="AI106" i="65"/>
  <c r="AS77" i="65"/>
  <c r="F22" i="9"/>
  <c r="AP26" i="65"/>
  <c r="X88" i="65"/>
  <c r="AU55" i="65"/>
  <c r="AF54" i="65"/>
  <c r="D44" i="9"/>
  <c r="AO63" i="65"/>
  <c r="E12" i="9"/>
  <c r="AO115" i="65"/>
  <c r="AO91" i="65"/>
  <c r="C27" i="65"/>
  <c r="AF109" i="65"/>
  <c r="F16" i="52"/>
  <c r="AS58" i="65"/>
  <c r="G16" i="5"/>
  <c r="AO54" i="65"/>
  <c r="Z89" i="65"/>
  <c r="S56" i="65"/>
  <c r="AQ75" i="65"/>
  <c r="AB115" i="65"/>
  <c r="AC90" i="65"/>
  <c r="AR41" i="65"/>
  <c r="G17" i="51"/>
  <c r="AJ102" i="65"/>
  <c r="Q102" i="65"/>
  <c r="X90" i="65"/>
  <c r="AH36" i="65"/>
  <c r="E19" i="6"/>
  <c r="Y78" i="65"/>
  <c r="G13" i="53"/>
  <c r="AT87" i="65"/>
  <c r="E11" i="53"/>
  <c r="I41" i="7"/>
  <c r="AN24" i="65"/>
  <c r="X49" i="65"/>
  <c r="F8" i="5"/>
  <c r="H8" i="52"/>
  <c r="H48" i="6"/>
  <c r="G17" i="9"/>
  <c r="Q94" i="65"/>
  <c r="C26" i="9"/>
  <c r="G40" i="60"/>
  <c r="Y86" i="65"/>
  <c r="AI39" i="65"/>
  <c r="J23" i="7"/>
  <c r="R22" i="65"/>
  <c r="AI60" i="65"/>
  <c r="V3" i="38"/>
  <c r="F26" i="52"/>
  <c r="F34" i="51"/>
  <c r="G73" i="65"/>
  <c r="AJ3" i="16"/>
  <c r="U46" i="65"/>
  <c r="G22" i="52"/>
  <c r="F14" i="7"/>
  <c r="AG40" i="65"/>
  <c r="AU64" i="65"/>
  <c r="AQ60" i="65"/>
  <c r="W47" i="65"/>
  <c r="Z100" i="65"/>
  <c r="AM3" i="60"/>
  <c r="E69" i="65"/>
  <c r="O107" i="65"/>
  <c r="AE3" i="38"/>
  <c r="AE53" i="65"/>
  <c r="R36" i="65"/>
  <c r="AF44" i="65"/>
  <c r="O39" i="65"/>
  <c r="S31" i="65"/>
  <c r="G15" i="7"/>
  <c r="AD38" i="65"/>
  <c r="AS24" i="65"/>
  <c r="AU25" i="65"/>
  <c r="S39" i="65"/>
  <c r="AR24" i="65"/>
  <c r="D30" i="9"/>
  <c r="S91" i="65"/>
  <c r="N4" i="60"/>
  <c r="M31" i="65"/>
  <c r="AH27" i="65"/>
  <c r="AO3" i="16"/>
  <c r="I36" i="6"/>
  <c r="E18" i="53"/>
  <c r="G41" i="7"/>
  <c r="X69" i="65"/>
  <c r="Z22" i="65"/>
  <c r="I10" i="52"/>
  <c r="I28" i="5"/>
  <c r="J100" i="65"/>
  <c r="F94" i="65"/>
  <c r="AM92" i="65"/>
  <c r="M65" i="65"/>
  <c r="AQ47" i="65"/>
  <c r="K38" i="52"/>
  <c r="W106" i="65"/>
  <c r="J80" i="65"/>
  <c r="AE95" i="65"/>
  <c r="J12" i="7"/>
  <c r="N102" i="65"/>
  <c r="R95" i="65"/>
  <c r="AR47" i="65"/>
  <c r="K35" i="6"/>
  <c r="T106" i="65"/>
  <c r="AH64" i="65"/>
  <c r="AT3" i="38"/>
  <c r="I28" i="53"/>
  <c r="AG114" i="65"/>
  <c r="E13" i="51"/>
  <c r="AE48" i="65"/>
  <c r="F33" i="6"/>
  <c r="K35" i="52"/>
  <c r="AL88" i="65"/>
  <c r="I23" i="52"/>
  <c r="AF74" i="65"/>
  <c r="E3" i="16"/>
  <c r="F12" i="51"/>
  <c r="J72" i="65"/>
  <c r="T3" i="16"/>
  <c r="S36" i="65"/>
  <c r="E49" i="7"/>
  <c r="AG47" i="65"/>
  <c r="F35" i="52"/>
  <c r="K21" i="52"/>
  <c r="T3" i="38"/>
  <c r="AL57" i="65"/>
  <c r="H26" i="53"/>
  <c r="H39" i="65"/>
  <c r="N79" i="65"/>
  <c r="D43" i="60"/>
  <c r="AQ22" i="65"/>
  <c r="V39" i="65"/>
  <c r="AG76" i="65"/>
  <c r="AB81" i="65"/>
  <c r="AJ77" i="65"/>
  <c r="F39" i="5"/>
  <c r="AJ60" i="65"/>
  <c r="M70" i="65"/>
  <c r="AN25" i="65"/>
  <c r="B18" i="9"/>
  <c r="U90" i="65"/>
  <c r="N22" i="65"/>
  <c r="AO57" i="65"/>
  <c r="F10" i="52"/>
  <c r="F27" i="65"/>
  <c r="T92" i="65"/>
  <c r="H4" i="9"/>
  <c r="U30" i="65"/>
  <c r="AC45" i="65"/>
  <c r="AG105" i="65"/>
  <c r="AM54" i="65"/>
  <c r="Q70" i="65"/>
  <c r="J20" i="52"/>
  <c r="T32" i="65"/>
  <c r="H46" i="9"/>
  <c r="J31" i="52"/>
  <c r="O44" i="65"/>
  <c r="AM53" i="65"/>
  <c r="AC35" i="65"/>
  <c r="P87" i="65"/>
  <c r="AL33" i="65"/>
  <c r="C31" i="60"/>
  <c r="K33" i="5"/>
  <c r="I21" i="6"/>
  <c r="H6" i="5"/>
  <c r="K28" i="51"/>
  <c r="F8" i="9"/>
  <c r="U38" i="65"/>
  <c r="T31" i="65"/>
  <c r="G10" i="9"/>
  <c r="Z60" i="65"/>
  <c r="F21" i="7"/>
  <c r="W46" i="65"/>
  <c r="AL42" i="65"/>
  <c r="N64" i="65"/>
  <c r="N61" i="65"/>
  <c r="N3" i="38"/>
  <c r="E8" i="7"/>
  <c r="AT47" i="65"/>
  <c r="AM52" i="65"/>
  <c r="F43" i="9"/>
  <c r="K32" i="52"/>
  <c r="AJ115" i="65"/>
  <c r="J33" i="7"/>
  <c r="F41" i="51"/>
  <c r="J30" i="52"/>
  <c r="C8" i="9"/>
  <c r="I24" i="7"/>
  <c r="F46" i="7"/>
  <c r="I35" i="7"/>
  <c r="AN45" i="65"/>
  <c r="AG92" i="65"/>
  <c r="AF40" i="65"/>
  <c r="F38" i="7"/>
  <c r="Q96" i="65"/>
  <c r="AU100" i="65"/>
  <c r="C33" i="60"/>
  <c r="K13" i="7"/>
  <c r="AJ63" i="65"/>
  <c r="H53" i="65"/>
  <c r="AJ38" i="65"/>
  <c r="AT50" i="65"/>
  <c r="Y79" i="65"/>
  <c r="U3" i="16"/>
  <c r="P51" i="65"/>
  <c r="F41" i="7"/>
  <c r="Y114" i="65"/>
  <c r="AJ74" i="65"/>
  <c r="AG65" i="65"/>
  <c r="AG66" i="65"/>
  <c r="X40" i="65"/>
  <c r="AT3" i="60"/>
  <c r="D19" i="9"/>
  <c r="AA23" i="65"/>
  <c r="F10" i="5"/>
  <c r="F16" i="51"/>
  <c r="G39" i="6"/>
  <c r="AD71" i="65"/>
  <c r="AU93" i="65"/>
  <c r="F42" i="6"/>
  <c r="E36" i="9"/>
  <c r="AU89" i="65"/>
  <c r="E8" i="9"/>
  <c r="S52" i="65"/>
  <c r="N89" i="65"/>
  <c r="AI71" i="65"/>
  <c r="P44" i="65"/>
  <c r="G87" i="65"/>
  <c r="AO111" i="65"/>
  <c r="AS107" i="65"/>
  <c r="E7" i="9"/>
  <c r="H37" i="65"/>
  <c r="F24" i="53"/>
  <c r="S3" i="16"/>
  <c r="O83" i="65"/>
  <c r="W29" i="65"/>
  <c r="AI57" i="65"/>
  <c r="AU26" i="60"/>
  <c r="AK107" i="65"/>
  <c r="U106" i="65"/>
  <c r="G94" i="65"/>
  <c r="M97" i="65"/>
  <c r="AS13" i="60"/>
  <c r="F35" i="51"/>
  <c r="F23" i="7"/>
  <c r="K15" i="52"/>
  <c r="AS2" i="60"/>
  <c r="H36" i="65"/>
  <c r="I18" i="53"/>
  <c r="X56" i="65"/>
  <c r="F16" i="6"/>
  <c r="AP110" i="65"/>
  <c r="P3" i="38"/>
  <c r="AO44" i="65"/>
  <c r="G16" i="51"/>
  <c r="N59" i="65"/>
  <c r="AG57" i="65"/>
  <c r="G13" i="52"/>
  <c r="I27" i="53"/>
  <c r="M115" i="65"/>
  <c r="U40" i="65"/>
  <c r="E22" i="9"/>
  <c r="I23" i="7"/>
  <c r="AP84" i="65"/>
  <c r="G32" i="6"/>
  <c r="AC109" i="65"/>
  <c r="AL47" i="65"/>
  <c r="G27" i="53"/>
  <c r="I15" i="6"/>
  <c r="I37" i="6"/>
  <c r="I41" i="51"/>
  <c r="AA79" i="65"/>
  <c r="F30" i="65"/>
  <c r="AC93" i="65"/>
  <c r="K36" i="52"/>
  <c r="M60" i="65"/>
  <c r="H20" i="52"/>
  <c r="E35" i="51"/>
  <c r="AG55" i="65"/>
  <c r="Q90" i="65"/>
  <c r="H81" i="65"/>
  <c r="AQ26" i="65"/>
  <c r="AR46" i="65"/>
  <c r="E5" i="9"/>
  <c r="M94" i="65"/>
  <c r="E6" i="60"/>
  <c r="U84" i="65"/>
  <c r="G38" i="51"/>
  <c r="X3" i="38"/>
  <c r="H12" i="9"/>
  <c r="Z70" i="65"/>
  <c r="AH34" i="65"/>
  <c r="AF30" i="65"/>
  <c r="G34" i="52"/>
  <c r="H9" i="52"/>
  <c r="AQ34" i="65"/>
  <c r="I11" i="53"/>
  <c r="N35" i="65"/>
  <c r="S111" i="65"/>
  <c r="AQ77" i="65"/>
  <c r="AB55" i="65"/>
  <c r="J79" i="65"/>
  <c r="H2" i="9"/>
  <c r="S97" i="65"/>
  <c r="I31" i="51"/>
  <c r="G7" i="51"/>
  <c r="AR94" i="65"/>
  <c r="C3" i="16"/>
  <c r="U79" i="65"/>
  <c r="V101" i="65"/>
  <c r="AR100" i="65"/>
  <c r="F25" i="7"/>
  <c r="T35" i="65"/>
  <c r="Y98" i="65"/>
  <c r="T82" i="65"/>
  <c r="H40" i="6"/>
  <c r="S41" i="65"/>
  <c r="F33" i="51"/>
  <c r="AQ65" i="65"/>
  <c r="M107" i="65"/>
  <c r="G20" i="51"/>
  <c r="AJ62" i="65"/>
  <c r="AO49" i="65"/>
  <c r="J16" i="53"/>
  <c r="I17" i="52"/>
  <c r="N103" i="65"/>
  <c r="G40" i="6"/>
  <c r="F19" i="5"/>
  <c r="AI73" i="65"/>
  <c r="H35" i="5"/>
  <c r="K14" i="5"/>
  <c r="N65" i="65"/>
  <c r="AK21" i="65"/>
  <c r="Y88" i="65"/>
  <c r="Z43" i="65"/>
  <c r="E24" i="53"/>
  <c r="T27" i="65"/>
  <c r="S93" i="65"/>
  <c r="AP65" i="65"/>
  <c r="AT27" i="65"/>
  <c r="C39" i="60"/>
  <c r="R71" i="65"/>
  <c r="AB27" i="65"/>
  <c r="D74" i="65"/>
  <c r="AQ43" i="65"/>
  <c r="H12" i="51"/>
  <c r="AE99" i="65"/>
  <c r="E22" i="5"/>
  <c r="AM50" i="65"/>
  <c r="U57" i="65"/>
  <c r="AP62" i="65"/>
  <c r="AB3" i="38"/>
  <c r="F108" i="65"/>
  <c r="Q74" i="65"/>
  <c r="E8" i="6"/>
  <c r="AG24" i="65"/>
  <c r="AH69" i="65"/>
  <c r="AK57" i="65"/>
  <c r="I48" i="6"/>
  <c r="AE75" i="65"/>
  <c r="AF95" i="65"/>
  <c r="AH23" i="65"/>
  <c r="N33" i="65"/>
  <c r="V45" i="65"/>
  <c r="G21" i="53"/>
  <c r="W18" i="60"/>
  <c r="F28" i="5"/>
  <c r="J19" i="5"/>
  <c r="F17" i="6"/>
  <c r="H17" i="7"/>
  <c r="H27" i="52"/>
  <c r="D18" i="9"/>
  <c r="L44" i="65"/>
  <c r="G25" i="53"/>
  <c r="I25" i="52"/>
  <c r="L55" i="65"/>
  <c r="AS41" i="65"/>
  <c r="I9" i="53"/>
  <c r="AQ57" i="65"/>
  <c r="AR110" i="65"/>
  <c r="AE40" i="65"/>
  <c r="J23" i="6"/>
  <c r="V75" i="65"/>
  <c r="F21" i="53"/>
  <c r="AK20" i="65"/>
  <c r="U25" i="65"/>
  <c r="E70" i="65"/>
  <c r="K23" i="7"/>
  <c r="AG32" i="65"/>
  <c r="X32" i="65"/>
  <c r="AI84" i="65"/>
  <c r="G48" i="7"/>
  <c r="D37" i="60"/>
  <c r="AO28" i="65"/>
  <c r="AR26" i="65"/>
  <c r="R26" i="65"/>
  <c r="AI115" i="65"/>
  <c r="H14" i="9"/>
  <c r="P28" i="65"/>
  <c r="O63" i="65"/>
  <c r="AR48" i="65"/>
  <c r="K12" i="5"/>
  <c r="Y106" i="65"/>
  <c r="AN62" i="65"/>
  <c r="AM94" i="65"/>
  <c r="AC104" i="65"/>
  <c r="AQ76" i="65"/>
  <c r="Y85" i="65"/>
  <c r="L70" i="65"/>
  <c r="U89" i="65"/>
  <c r="AO36" i="65"/>
  <c r="AT110" i="65"/>
  <c r="AN36" i="65"/>
  <c r="K16" i="6"/>
  <c r="G3" i="16"/>
  <c r="AH20" i="65"/>
  <c r="K7" i="52"/>
  <c r="AG80" i="65"/>
  <c r="AL107" i="65"/>
  <c r="D28" i="9"/>
  <c r="G71" i="65"/>
  <c r="AE58" i="65"/>
  <c r="H27" i="51"/>
  <c r="E32" i="51"/>
  <c r="E10" i="7"/>
  <c r="F15" i="7"/>
  <c r="E33" i="7"/>
  <c r="T26" i="65"/>
  <c r="AN111" i="65"/>
  <c r="Q92" i="65"/>
  <c r="F22" i="7"/>
  <c r="L78" i="65"/>
  <c r="AA17" i="60"/>
  <c r="G37" i="9"/>
  <c r="R6" i="60"/>
  <c r="G85" i="65"/>
  <c r="AF104" i="65"/>
  <c r="AJ34" i="65"/>
  <c r="K28" i="52"/>
  <c r="AD45" i="65"/>
  <c r="X38" i="65"/>
  <c r="E42" i="51"/>
  <c r="N37" i="65"/>
  <c r="E17" i="51"/>
  <c r="AF65" i="65"/>
  <c r="F27" i="53"/>
  <c r="Y24" i="65"/>
  <c r="AJ66" i="65"/>
  <c r="V54" i="65"/>
  <c r="F11" i="53"/>
  <c r="AB61" i="65"/>
  <c r="V72" i="65"/>
  <c r="D32" i="9"/>
  <c r="H33" i="52"/>
  <c r="AU90" i="65"/>
  <c r="AU108" i="65"/>
  <c r="E91" i="65"/>
  <c r="I21" i="53"/>
  <c r="AO33" i="65"/>
  <c r="I45" i="6"/>
  <c r="H10" i="52"/>
  <c r="K19" i="53"/>
  <c r="M66" i="65"/>
  <c r="C22" i="9"/>
  <c r="F10" i="7"/>
  <c r="V38" i="65"/>
  <c r="AU51" i="65"/>
  <c r="K39" i="7"/>
  <c r="H45" i="9"/>
  <c r="B22" i="9"/>
  <c r="B34" i="9"/>
  <c r="E25" i="52"/>
  <c r="I42" i="7"/>
  <c r="G23" i="51"/>
  <c r="AA22" i="65"/>
  <c r="V92" i="65"/>
  <c r="H18" i="9"/>
  <c r="AU65" i="65"/>
  <c r="AL51" i="65"/>
  <c r="E17" i="9"/>
  <c r="G4" i="9"/>
  <c r="E41" i="51"/>
  <c r="J17" i="5"/>
  <c r="E13" i="7"/>
  <c r="Q99" i="65"/>
  <c r="S71" i="65"/>
  <c r="J28" i="53"/>
  <c r="Y22" i="65"/>
  <c r="AL30" i="65"/>
  <c r="N42" i="65"/>
  <c r="B31" i="9"/>
  <c r="F40" i="60"/>
  <c r="L56" i="65"/>
  <c r="G36" i="51"/>
  <c r="AT25" i="65"/>
  <c r="F11" i="52"/>
  <c r="I7" i="52"/>
  <c r="B27" i="9"/>
  <c r="E23" i="5"/>
  <c r="AJ24" i="65"/>
  <c r="G9" i="5"/>
  <c r="AD24" i="65"/>
  <c r="R64" i="65"/>
  <c r="I9" i="52"/>
  <c r="AT49" i="65"/>
  <c r="H32" i="6"/>
  <c r="J20" i="65"/>
  <c r="F9" i="52"/>
  <c r="F25" i="6"/>
  <c r="E28" i="9"/>
  <c r="AH26" i="65"/>
  <c r="AU3" i="16"/>
  <c r="H23" i="51"/>
  <c r="I16" i="52"/>
  <c r="O3" i="38"/>
  <c r="R47" i="65"/>
  <c r="H39" i="7"/>
  <c r="E2" i="9"/>
  <c r="Z47" i="65"/>
  <c r="K38" i="51"/>
  <c r="M23" i="65"/>
  <c r="G10" i="52"/>
  <c r="B15" i="9"/>
  <c r="O114" i="65"/>
  <c r="W39" i="65"/>
  <c r="AA21" i="65"/>
  <c r="E38" i="6"/>
  <c r="AQ108" i="65"/>
  <c r="AC29" i="65"/>
  <c r="U103" i="65"/>
  <c r="E42" i="52"/>
  <c r="H32" i="7"/>
  <c r="S60" i="65"/>
  <c r="K17" i="52"/>
  <c r="AU42" i="65"/>
  <c r="E14" i="7"/>
  <c r="S114" i="65"/>
  <c r="M43" i="65"/>
  <c r="N41" i="65"/>
  <c r="AE20" i="65"/>
  <c r="AU20" i="65"/>
  <c r="I38" i="7"/>
  <c r="L91" i="65"/>
  <c r="R107" i="65"/>
  <c r="I15" i="53"/>
  <c r="AN58" i="65"/>
  <c r="K10" i="53"/>
  <c r="D4" i="9"/>
  <c r="Z112" i="65"/>
  <c r="M53" i="65"/>
  <c r="AR108" i="65"/>
  <c r="I39" i="5"/>
  <c r="Q101" i="65"/>
  <c r="G15" i="52"/>
  <c r="G42" i="9"/>
  <c r="F39" i="51"/>
  <c r="AH98" i="65"/>
  <c r="R114" i="65"/>
  <c r="N104" i="65"/>
  <c r="H21" i="7"/>
  <c r="F35" i="6"/>
  <c r="AL3" i="38"/>
  <c r="G11" i="52"/>
  <c r="X41" i="65"/>
  <c r="H12" i="6"/>
  <c r="AC36" i="65"/>
  <c r="F29" i="5"/>
  <c r="G11" i="6"/>
  <c r="P54" i="65"/>
  <c r="AG111" i="65"/>
  <c r="G35" i="51"/>
  <c r="J27" i="53"/>
  <c r="K46" i="6"/>
  <c r="I13" i="51"/>
  <c r="AT28" i="65"/>
  <c r="K18" i="5"/>
  <c r="F45" i="7"/>
  <c r="H41" i="65"/>
  <c r="AK52" i="65"/>
  <c r="D47" i="9"/>
  <c r="F37" i="52"/>
  <c r="AB44" i="65"/>
  <c r="AU60" i="65"/>
  <c r="L105" i="65"/>
  <c r="F59" i="65"/>
  <c r="E12" i="7"/>
  <c r="E33" i="65"/>
  <c r="I58" i="65"/>
  <c r="E40" i="60"/>
  <c r="J37" i="5"/>
  <c r="O110" i="65"/>
  <c r="S61" i="65"/>
  <c r="I36" i="5"/>
  <c r="J10" i="7"/>
  <c r="AC53" i="65"/>
  <c r="D109" i="65"/>
  <c r="AJ104" i="65"/>
  <c r="AD86" i="65"/>
  <c r="K32" i="6"/>
  <c r="I24" i="52"/>
  <c r="O112" i="65"/>
  <c r="AM100" i="65"/>
  <c r="I44" i="6"/>
  <c r="G14" i="51"/>
  <c r="J32" i="51"/>
  <c r="F20" i="5"/>
  <c r="AF25" i="65"/>
  <c r="U36" i="65"/>
  <c r="AD50" i="65"/>
  <c r="E32" i="52"/>
  <c r="D27" i="9"/>
  <c r="Y42" i="65"/>
  <c r="S44" i="65"/>
  <c r="F12" i="7"/>
  <c r="AO64" i="65"/>
  <c r="Z78" i="65"/>
  <c r="AR60" i="65"/>
  <c r="AP109" i="65"/>
  <c r="G13" i="51"/>
  <c r="Q62" i="65"/>
  <c r="F8" i="53"/>
  <c r="AT35" i="65"/>
  <c r="U56" i="65"/>
  <c r="E27" i="52"/>
  <c r="AB107" i="65"/>
  <c r="K26" i="51"/>
  <c r="H23" i="9"/>
  <c r="AE56" i="65"/>
  <c r="J35" i="6"/>
  <c r="AM95" i="65"/>
  <c r="D10" i="9"/>
  <c r="L76" i="65"/>
  <c r="AD112" i="65"/>
  <c r="K6" i="52"/>
  <c r="E18" i="5"/>
  <c r="H25" i="53"/>
  <c r="K10" i="6"/>
  <c r="H30" i="9"/>
  <c r="J25" i="51"/>
  <c r="H37" i="9"/>
  <c r="M84" i="65"/>
  <c r="I22" i="51"/>
  <c r="P111" i="65"/>
  <c r="AD65" i="65"/>
  <c r="L34" i="65"/>
  <c r="G37" i="60"/>
  <c r="G20" i="9"/>
  <c r="AO46" i="65"/>
  <c r="AR63" i="65"/>
  <c r="F29" i="9"/>
  <c r="F39" i="9"/>
  <c r="F32" i="52"/>
  <c r="C19" i="9"/>
  <c r="AR92" i="65"/>
  <c r="AJ35" i="65"/>
  <c r="AA30" i="65"/>
  <c r="J42" i="7"/>
  <c r="E32" i="7"/>
  <c r="E24" i="5"/>
  <c r="AU105" i="65"/>
  <c r="K45" i="6"/>
  <c r="G21" i="5"/>
  <c r="H28" i="5"/>
  <c r="J13" i="5"/>
  <c r="I42" i="52"/>
  <c r="AA39" i="65"/>
  <c r="AT79" i="65"/>
  <c r="P65" i="65"/>
  <c r="G13" i="6"/>
  <c r="E29" i="65"/>
  <c r="L101" i="65"/>
  <c r="F27" i="5"/>
  <c r="AF53" i="65"/>
  <c r="E6" i="53"/>
  <c r="AH111" i="65"/>
  <c r="K17" i="6"/>
  <c r="AB46" i="65"/>
  <c r="Q28" i="65"/>
  <c r="AB57" i="65"/>
  <c r="AI56" i="65"/>
  <c r="S110" i="65"/>
  <c r="K16" i="52"/>
  <c r="H35" i="9"/>
  <c r="T53" i="65"/>
  <c r="AG3" i="16"/>
  <c r="I25" i="51"/>
  <c r="AG64" i="65"/>
  <c r="F27" i="52"/>
  <c r="G42" i="51"/>
  <c r="AB56" i="65"/>
  <c r="M52" i="65"/>
  <c r="AL54" i="65"/>
  <c r="E47" i="7"/>
  <c r="K7" i="53"/>
  <c r="I29" i="51"/>
  <c r="AO37" i="65"/>
  <c r="G16" i="52"/>
  <c r="AR66" i="65"/>
  <c r="G26" i="52"/>
  <c r="N58" i="65"/>
  <c r="H22" i="51"/>
  <c r="I113" i="65"/>
  <c r="F38" i="9"/>
  <c r="K15" i="6"/>
  <c r="H10" i="53"/>
  <c r="E24" i="7"/>
  <c r="M25" i="65"/>
  <c r="T84" i="65"/>
  <c r="E7" i="5"/>
  <c r="R101" i="65"/>
  <c r="F20" i="51"/>
  <c r="H31" i="5"/>
  <c r="I15" i="7"/>
  <c r="I37" i="65"/>
  <c r="K39" i="6"/>
  <c r="F27" i="51"/>
  <c r="I25" i="5"/>
  <c r="E21" i="52"/>
  <c r="J37" i="52"/>
  <c r="Q59" i="65"/>
  <c r="J49" i="6"/>
  <c r="AP3" i="38"/>
  <c r="AT36" i="65"/>
  <c r="Y41" i="65"/>
  <c r="F48" i="6"/>
  <c r="F22" i="53"/>
  <c r="G17" i="52"/>
  <c r="AA18" i="60"/>
  <c r="G47" i="7"/>
  <c r="W65" i="65"/>
  <c r="E22" i="53"/>
  <c r="H14" i="7"/>
  <c r="C23" i="9"/>
  <c r="AQ33" i="65"/>
  <c r="W70" i="65"/>
  <c r="E17" i="6"/>
  <c r="AI24" i="65"/>
  <c r="Y25" i="60"/>
  <c r="L108" i="65"/>
  <c r="J90" i="65"/>
  <c r="Z26" i="65"/>
  <c r="J41" i="6"/>
  <c r="C107" i="65"/>
  <c r="P80" i="65"/>
  <c r="S3" i="38"/>
  <c r="AT82" i="65"/>
  <c r="T22" i="65"/>
  <c r="Q33" i="65"/>
  <c r="S23" i="65"/>
  <c r="G47" i="60"/>
  <c r="O48" i="65"/>
  <c r="AC59" i="65"/>
  <c r="AT23" i="65"/>
  <c r="AO39" i="65"/>
  <c r="S69" i="65"/>
  <c r="L45" i="65"/>
  <c r="I108" i="65"/>
  <c r="Z29" i="65"/>
  <c r="J16" i="6"/>
  <c r="X25" i="65"/>
  <c r="AE54" i="65"/>
  <c r="K3" i="16"/>
  <c r="AI86" i="65"/>
  <c r="AT65" i="65"/>
  <c r="J42" i="51"/>
  <c r="F18" i="9"/>
  <c r="AU38" i="65"/>
  <c r="G15" i="53"/>
  <c r="AN100" i="65"/>
  <c r="E41" i="9"/>
  <c r="AG100" i="65"/>
  <c r="AH71" i="65"/>
  <c r="G16" i="9"/>
  <c r="AA35" i="65"/>
  <c r="L28" i="65"/>
  <c r="M98" i="65"/>
  <c r="G38" i="7"/>
  <c r="AL13" i="60"/>
  <c r="U59" i="65"/>
  <c r="AM115" i="65"/>
  <c r="U50" i="65"/>
  <c r="J12" i="52"/>
  <c r="P3" i="16"/>
  <c r="K96" i="65"/>
  <c r="G14" i="53"/>
  <c r="AR103" i="65"/>
  <c r="AQ98" i="65"/>
  <c r="H42" i="51"/>
  <c r="V105" i="65"/>
  <c r="U105" i="65"/>
  <c r="E47" i="65"/>
  <c r="AT107" i="65"/>
  <c r="C22" i="65"/>
  <c r="AE96" i="65"/>
  <c r="H41" i="9"/>
  <c r="V84" i="65"/>
  <c r="AH63" i="65"/>
  <c r="AJ44" i="65"/>
  <c r="B12" i="9"/>
  <c r="K16" i="5"/>
  <c r="H25" i="51"/>
  <c r="I83" i="65"/>
  <c r="Z23" i="65"/>
  <c r="T43" i="65"/>
  <c r="T58" i="65"/>
  <c r="E20" i="5"/>
  <c r="J23" i="5"/>
  <c r="AI81" i="65"/>
  <c r="AM46" i="65"/>
  <c r="AN48" i="65"/>
  <c r="J17" i="52"/>
  <c r="K34" i="5"/>
  <c r="AJ37" i="65"/>
  <c r="F19" i="53"/>
  <c r="AC38" i="65"/>
  <c r="AK71" i="65"/>
  <c r="L114" i="65"/>
  <c r="F6" i="5"/>
  <c r="AO109" i="65"/>
  <c r="F15" i="52"/>
  <c r="G13" i="9"/>
  <c r="X99" i="65"/>
  <c r="E18" i="51"/>
  <c r="AP38" i="65"/>
  <c r="K11" i="6"/>
  <c r="AE36" i="65"/>
  <c r="E21" i="7"/>
  <c r="O101" i="65"/>
  <c r="Z34" i="65"/>
  <c r="AS114" i="65"/>
  <c r="J28" i="52"/>
  <c r="AE27" i="65"/>
  <c r="H17" i="52"/>
  <c r="L75" i="65"/>
  <c r="X84" i="65"/>
  <c r="I11" i="52"/>
  <c r="AG54" i="65"/>
  <c r="M30" i="65"/>
  <c r="AS31" i="65"/>
  <c r="AT42" i="65"/>
  <c r="L38" i="65"/>
  <c r="T34" i="65"/>
  <c r="Q51" i="65"/>
  <c r="K29" i="53"/>
  <c r="X111" i="65"/>
  <c r="AF27" i="65"/>
  <c r="AF87" i="65"/>
  <c r="O2" i="60"/>
  <c r="Y57" i="65"/>
  <c r="AT6" i="60"/>
  <c r="G26" i="9"/>
  <c r="J12" i="6"/>
  <c r="O36" i="65"/>
  <c r="V32" i="65"/>
  <c r="U55" i="65"/>
  <c r="C101" i="65"/>
  <c r="K60" i="65"/>
  <c r="AS54" i="65"/>
  <c r="X64" i="65"/>
  <c r="AP33" i="65"/>
  <c r="AL56" i="65"/>
  <c r="K104" i="65"/>
  <c r="AP44" i="65"/>
  <c r="E95" i="65"/>
  <c r="AD106" i="65"/>
  <c r="AM26" i="65"/>
  <c r="AU26" i="65"/>
  <c r="AK93" i="65"/>
  <c r="Z96" i="65"/>
  <c r="AT113" i="65"/>
  <c r="H32" i="52"/>
  <c r="AU27" i="65"/>
  <c r="B13" i="9"/>
  <c r="AN40" i="65"/>
  <c r="AS102" i="65"/>
  <c r="AS42" i="65"/>
  <c r="AA47" i="65"/>
  <c r="AQ45" i="65"/>
  <c r="M50" i="65"/>
  <c r="AN44" i="65"/>
  <c r="F28" i="52"/>
  <c r="E19" i="7"/>
  <c r="J32" i="7"/>
  <c r="H24" i="53"/>
  <c r="Y75" i="65"/>
  <c r="O54" i="65"/>
  <c r="K45" i="7"/>
  <c r="AN61" i="65"/>
  <c r="AJ72" i="65"/>
  <c r="AE79" i="65"/>
  <c r="AE26" i="60"/>
  <c r="E44" i="6"/>
  <c r="AI49" i="65"/>
  <c r="AS52" i="65"/>
  <c r="F48" i="7"/>
  <c r="AN53" i="65"/>
  <c r="AB58" i="65"/>
  <c r="E15" i="7"/>
  <c r="AM64" i="65"/>
  <c r="K31" i="52"/>
  <c r="G37" i="6"/>
  <c r="G21" i="7"/>
  <c r="M46" i="65"/>
  <c r="J15" i="51"/>
  <c r="I10" i="6"/>
  <c r="G20" i="53"/>
  <c r="D29" i="9"/>
  <c r="AQ12" i="60"/>
  <c r="AB47" i="65"/>
  <c r="AB100" i="65"/>
  <c r="E17" i="53"/>
  <c r="G33" i="52"/>
  <c r="AL20" i="65"/>
  <c r="E7" i="6"/>
  <c r="J22" i="53"/>
  <c r="T44" i="65"/>
  <c r="Q75" i="65"/>
  <c r="F58" i="65"/>
  <c r="AI96" i="65"/>
  <c r="AE93" i="65"/>
  <c r="AI76" i="65"/>
  <c r="AP39" i="65"/>
  <c r="K17" i="53"/>
  <c r="AK105" i="65"/>
  <c r="H44" i="9"/>
  <c r="H31" i="51"/>
  <c r="AA40" i="65"/>
  <c r="AI105" i="65"/>
  <c r="H15" i="51"/>
  <c r="AE39" i="65"/>
  <c r="AS61" i="65"/>
  <c r="AU63" i="65"/>
  <c r="L92" i="65"/>
  <c r="C33" i="65"/>
  <c r="I6" i="5"/>
  <c r="AN64" i="65"/>
  <c r="AA44" i="65"/>
  <c r="E19" i="9"/>
  <c r="AQ40" i="65"/>
  <c r="G11" i="53"/>
  <c r="H14" i="5"/>
  <c r="AT76" i="65"/>
  <c r="D78" i="65"/>
  <c r="AJ32" i="65"/>
  <c r="K59" i="65"/>
  <c r="H20" i="7"/>
  <c r="K31" i="51"/>
  <c r="B43" i="9"/>
  <c r="AO99" i="65"/>
  <c r="Q20" i="65"/>
  <c r="K54" i="65"/>
  <c r="AG31" i="65"/>
  <c r="Z50" i="65"/>
  <c r="D5" i="9"/>
  <c r="J20" i="6"/>
  <c r="L85" i="65"/>
  <c r="W98" i="65"/>
  <c r="F42" i="52"/>
  <c r="AF112" i="65"/>
  <c r="F41" i="6"/>
  <c r="P47" i="65"/>
  <c r="J24" i="52"/>
  <c r="AB93" i="65"/>
  <c r="L26" i="65"/>
  <c r="AH31" i="65"/>
  <c r="AM113" i="65"/>
  <c r="J6" i="52"/>
  <c r="G41" i="52"/>
  <c r="AM82" i="65"/>
  <c r="F7" i="9"/>
  <c r="O38" i="65"/>
  <c r="G5" i="9"/>
  <c r="H22" i="6"/>
  <c r="T48" i="65"/>
  <c r="E13" i="6"/>
  <c r="H11" i="5"/>
  <c r="AS85" i="65"/>
  <c r="T96" i="65"/>
  <c r="K48" i="6"/>
  <c r="AI103" i="65"/>
  <c r="J8" i="53"/>
  <c r="G20" i="6"/>
  <c r="X42" i="65"/>
  <c r="G12" i="7"/>
  <c r="AH55" i="65"/>
  <c r="J32" i="5"/>
  <c r="M59" i="65"/>
  <c r="J13" i="6"/>
  <c r="F19" i="9"/>
  <c r="I33" i="52"/>
  <c r="K47" i="7"/>
  <c r="G42" i="7"/>
  <c r="H39" i="9"/>
  <c r="AA65" i="65"/>
  <c r="Q39" i="65"/>
  <c r="L48" i="65"/>
  <c r="H38" i="52"/>
  <c r="F37" i="5"/>
  <c r="AK24" i="65"/>
  <c r="AP51" i="65"/>
  <c r="E24" i="51"/>
  <c r="Z77" i="65"/>
  <c r="W54" i="65"/>
  <c r="I10" i="51"/>
  <c r="D36" i="9"/>
  <c r="AF102" i="65"/>
  <c r="I6" i="51"/>
  <c r="K15" i="53"/>
  <c r="K37" i="6"/>
  <c r="E113" i="65"/>
  <c r="F5" i="9"/>
  <c r="AS103" i="65"/>
  <c r="D23" i="9"/>
  <c r="AL61" i="65"/>
  <c r="L27" i="65"/>
  <c r="D34" i="60"/>
  <c r="AC24" i="65"/>
  <c r="V41" i="65"/>
  <c r="F4" i="9"/>
  <c r="G25" i="5"/>
  <c r="S72" i="65"/>
  <c r="F15" i="6"/>
  <c r="H28" i="51"/>
  <c r="G16" i="6"/>
  <c r="AN32" i="65"/>
  <c r="J28" i="51"/>
  <c r="K15" i="7"/>
  <c r="M61" i="65"/>
  <c r="AG44" i="65"/>
  <c r="G6" i="9"/>
  <c r="F26" i="51"/>
  <c r="K47" i="6"/>
  <c r="W95" i="65"/>
  <c r="E15" i="53"/>
  <c r="D41" i="9"/>
  <c r="AE3" i="16"/>
  <c r="K6" i="5"/>
  <c r="AF45" i="65"/>
  <c r="AR3" i="38"/>
  <c r="J46" i="7"/>
  <c r="Y107" i="65"/>
  <c r="AJ113" i="65"/>
  <c r="AJ25" i="65"/>
  <c r="I38" i="52"/>
  <c r="AG115" i="65"/>
  <c r="D26" i="9"/>
  <c r="M114" i="65"/>
  <c r="AI66" i="65"/>
  <c r="AU41" i="65"/>
  <c r="AS72" i="65"/>
  <c r="F49" i="7"/>
  <c r="U99" i="65"/>
  <c r="J22" i="7"/>
  <c r="I20" i="51"/>
  <c r="AQ55" i="65"/>
  <c r="T20" i="65"/>
  <c r="AI58" i="65"/>
  <c r="Y34" i="65"/>
  <c r="E43" i="9"/>
  <c r="F24" i="52"/>
  <c r="J10" i="51"/>
  <c r="C34" i="9"/>
  <c r="R56" i="65"/>
  <c r="O46" i="65"/>
  <c r="K11" i="7"/>
  <c r="X43" i="65"/>
  <c r="W27" i="65"/>
  <c r="AT78" i="65"/>
  <c r="AG58" i="65"/>
  <c r="S32" i="65"/>
  <c r="AH95" i="65"/>
  <c r="AS78" i="65"/>
  <c r="N53" i="65"/>
  <c r="AU50" i="65"/>
  <c r="AK58" i="65"/>
  <c r="K34" i="52"/>
  <c r="E6" i="9"/>
  <c r="Q60" i="65"/>
  <c r="E7" i="7"/>
  <c r="J14" i="6"/>
  <c r="E38" i="7"/>
  <c r="Y3" i="16"/>
  <c r="J34" i="52"/>
  <c r="AB49" i="65"/>
  <c r="E10" i="51"/>
  <c r="J12" i="53"/>
  <c r="AJ20" i="65"/>
  <c r="I22" i="5"/>
  <c r="E30" i="51"/>
  <c r="J10" i="53"/>
  <c r="P37" i="65"/>
  <c r="AI61" i="65"/>
  <c r="W43" i="65"/>
  <c r="I46" i="6"/>
  <c r="N56" i="65"/>
  <c r="AR20" i="65"/>
  <c r="AC33" i="65"/>
  <c r="AE24" i="65"/>
  <c r="K27" i="52"/>
  <c r="AA113" i="65"/>
  <c r="AK47" i="65"/>
  <c r="H49" i="7"/>
  <c r="AQ48" i="65"/>
  <c r="I17" i="51"/>
  <c r="E42" i="6"/>
  <c r="I10" i="53"/>
  <c r="I18" i="52"/>
  <c r="AL60" i="65"/>
  <c r="C20" i="9"/>
  <c r="G14" i="7"/>
  <c r="AK64" i="65"/>
  <c r="F84" i="65"/>
  <c r="AF49" i="65"/>
  <c r="K42" i="7"/>
  <c r="AD3" i="16"/>
  <c r="J29" i="51"/>
  <c r="F28" i="53"/>
  <c r="F15" i="51"/>
  <c r="F40" i="51"/>
  <c r="I34" i="52"/>
  <c r="Y59" i="65"/>
  <c r="E19" i="53"/>
  <c r="J44" i="6"/>
  <c r="AT38" i="65"/>
  <c r="R90" i="65"/>
  <c r="AO104" i="65"/>
  <c r="G21" i="51"/>
  <c r="T21" i="65"/>
  <c r="AR29" i="65"/>
  <c r="O35" i="65"/>
  <c r="H17" i="9"/>
  <c r="I25" i="7"/>
  <c r="AR3" i="16"/>
  <c r="I13" i="5"/>
  <c r="AM36" i="65"/>
  <c r="K22" i="52"/>
  <c r="H29" i="52"/>
  <c r="H16" i="9"/>
  <c r="D37" i="9"/>
  <c r="AS22" i="65"/>
  <c r="F19" i="6"/>
  <c r="Z74" i="65"/>
  <c r="F21" i="51"/>
  <c r="AC48" i="65"/>
  <c r="K21" i="6"/>
  <c r="G55" i="65"/>
  <c r="AI40" i="65"/>
  <c r="AC112" i="65"/>
  <c r="E16" i="52"/>
  <c r="J7" i="51"/>
  <c r="AJ48" i="65"/>
  <c r="AH54" i="65"/>
  <c r="I17" i="7"/>
  <c r="P63" i="65"/>
  <c r="E15" i="9"/>
  <c r="F30" i="52"/>
  <c r="E14" i="9"/>
  <c r="E26" i="53"/>
  <c r="AL21" i="65"/>
  <c r="E3" i="38"/>
  <c r="F7" i="53"/>
  <c r="B11" i="9"/>
  <c r="K11" i="53"/>
  <c r="R59" i="65"/>
  <c r="Z27" i="65"/>
  <c r="F37" i="51"/>
  <c r="F15" i="5"/>
  <c r="J11" i="51"/>
  <c r="K36" i="6"/>
  <c r="F87" i="65"/>
  <c r="AA115" i="65"/>
  <c r="G31" i="5"/>
  <c r="X50" i="65"/>
  <c r="H50" i="7"/>
  <c r="AN3" i="38"/>
  <c r="AM89" i="65"/>
  <c r="AP115" i="65"/>
  <c r="AA112" i="65"/>
  <c r="K46" i="65"/>
  <c r="AE114" i="65"/>
  <c r="I46" i="7"/>
  <c r="F36" i="52"/>
  <c r="C3" i="9"/>
  <c r="AI3" i="16"/>
  <c r="K40" i="7"/>
  <c r="G25" i="51"/>
  <c r="AR89" i="65"/>
  <c r="P104" i="65"/>
  <c r="K33" i="51"/>
  <c r="AK56" i="65"/>
  <c r="L81" i="65"/>
  <c r="F47" i="7"/>
  <c r="AF66" i="65"/>
  <c r="H38" i="51"/>
  <c r="E27" i="53"/>
  <c r="Z20" i="65"/>
  <c r="AQ53" i="65"/>
  <c r="K34" i="51"/>
  <c r="AI29" i="65"/>
  <c r="H15" i="5"/>
  <c r="Q35" i="65"/>
  <c r="F11" i="7"/>
  <c r="M102" i="65"/>
  <c r="H35" i="6"/>
  <c r="J48" i="6"/>
  <c r="E39" i="7"/>
  <c r="N28" i="65"/>
  <c r="C7" i="9"/>
  <c r="D12" i="9"/>
  <c r="O60" i="65"/>
  <c r="AI64" i="65"/>
  <c r="E21" i="5"/>
  <c r="G26" i="51"/>
  <c r="AM107" i="65"/>
  <c r="AQ35" i="65"/>
  <c r="F37" i="9"/>
  <c r="AA80" i="65"/>
  <c r="I21" i="52"/>
  <c r="M47" i="65"/>
  <c r="J14" i="52"/>
  <c r="K35" i="7"/>
  <c r="K17" i="5"/>
  <c r="AP104" i="65"/>
  <c r="AC55" i="65"/>
  <c r="H21" i="51"/>
  <c r="AB37" i="65"/>
  <c r="AI63" i="65"/>
  <c r="AT41" i="65"/>
  <c r="X92" i="65"/>
  <c r="F16" i="53"/>
  <c r="C36" i="9"/>
  <c r="O53" i="65"/>
  <c r="AT57" i="65"/>
  <c r="J47" i="6"/>
  <c r="I20" i="6"/>
  <c r="AT64" i="65"/>
  <c r="X57" i="65"/>
  <c r="M39" i="65"/>
  <c r="T93" i="65"/>
  <c r="AH97" i="65"/>
  <c r="K12" i="6"/>
  <c r="O75" i="65"/>
  <c r="H22" i="9"/>
  <c r="I28" i="51"/>
  <c r="H28" i="52"/>
  <c r="K40" i="51"/>
  <c r="J18" i="5"/>
  <c r="P95" i="65"/>
  <c r="G8" i="51"/>
  <c r="E47" i="9"/>
  <c r="C6" i="9"/>
  <c r="G22" i="6"/>
  <c r="AA92" i="65"/>
  <c r="E17" i="52"/>
  <c r="AD62" i="65"/>
  <c r="AR50" i="65"/>
  <c r="W60" i="65"/>
  <c r="F64" i="65"/>
  <c r="H61" i="65"/>
  <c r="T81" i="65"/>
  <c r="N72" i="65"/>
  <c r="AD31" i="65"/>
  <c r="AR97" i="65"/>
  <c r="E34" i="9"/>
  <c r="Y101" i="65"/>
  <c r="AB41" i="65"/>
  <c r="AP89" i="65"/>
  <c r="E6" i="5"/>
  <c r="AC96" i="65"/>
  <c r="E36" i="5"/>
  <c r="AE61" i="65"/>
  <c r="AE59" i="65"/>
  <c r="AO94" i="65"/>
  <c r="AF115" i="65"/>
  <c r="J36" i="52"/>
  <c r="B33" i="9"/>
  <c r="M20" i="65"/>
  <c r="D6" i="9"/>
  <c r="H27" i="65"/>
  <c r="W64" i="65"/>
  <c r="AP41" i="65"/>
  <c r="J20" i="53"/>
  <c r="J35" i="51"/>
  <c r="F17" i="7"/>
  <c r="AH104" i="65"/>
  <c r="G30" i="51"/>
  <c r="E23" i="65"/>
  <c r="AF81" i="65"/>
  <c r="AH109" i="65"/>
  <c r="J17" i="7"/>
  <c r="J33" i="51"/>
  <c r="F32" i="9"/>
  <c r="T66" i="65"/>
  <c r="AE85" i="65"/>
  <c r="AJ46" i="65"/>
  <c r="AN84" i="65"/>
  <c r="AS48" i="65"/>
  <c r="AF71" i="65"/>
  <c r="F39" i="52"/>
  <c r="U22" i="65"/>
  <c r="D43" i="65"/>
  <c r="AN81" i="65"/>
  <c r="O82" i="65"/>
  <c r="S95" i="65"/>
  <c r="G41" i="51"/>
  <c r="AC103" i="65"/>
  <c r="W28" i="65"/>
  <c r="J52" i="65"/>
  <c r="I30" i="5"/>
  <c r="G35" i="65"/>
  <c r="V21" i="65"/>
  <c r="G7" i="6"/>
  <c r="K23" i="65"/>
  <c r="AP64" i="65"/>
  <c r="E19" i="51"/>
  <c r="AL23" i="65"/>
  <c r="AR54" i="65"/>
  <c r="AC91" i="65"/>
  <c r="E21" i="51"/>
  <c r="I12" i="51"/>
  <c r="I18" i="5"/>
  <c r="AN85" i="65"/>
  <c r="AL31" i="65"/>
  <c r="AD36" i="65"/>
  <c r="AO105" i="65"/>
  <c r="H31" i="9"/>
  <c r="S113" i="65"/>
  <c r="AJ5" i="60"/>
  <c r="U21" i="65"/>
  <c r="B36" i="9"/>
  <c r="S92" i="65"/>
  <c r="X51" i="65"/>
  <c r="AT3" i="16"/>
  <c r="D11" i="9"/>
  <c r="J107" i="65"/>
  <c r="E11" i="7"/>
  <c r="S78" i="65"/>
  <c r="AJ93" i="65"/>
  <c r="F30" i="5"/>
  <c r="AI27" i="65"/>
  <c r="AN63" i="65"/>
  <c r="AH47" i="65"/>
  <c r="C43" i="9"/>
  <c r="I41" i="6"/>
  <c r="I14" i="6"/>
  <c r="F33" i="52"/>
  <c r="J19" i="6"/>
  <c r="AT48" i="65"/>
  <c r="G33" i="6"/>
  <c r="AS66" i="65"/>
  <c r="Z104" i="65"/>
  <c r="I38" i="5"/>
  <c r="I35" i="65"/>
  <c r="K37" i="7"/>
  <c r="G13" i="7"/>
  <c r="AO76" i="65"/>
  <c r="G76" i="65"/>
  <c r="F113" i="65"/>
  <c r="F34" i="60"/>
  <c r="J45" i="6"/>
  <c r="H11" i="51"/>
  <c r="G23" i="6"/>
  <c r="H9" i="9"/>
  <c r="W110" i="65"/>
  <c r="AM3" i="16"/>
  <c r="P46" i="65"/>
  <c r="H3" i="9"/>
  <c r="AL52" i="65"/>
  <c r="D33" i="9"/>
  <c r="J41" i="51"/>
  <c r="E104" i="65"/>
  <c r="V87" i="65"/>
  <c r="AQ24" i="60"/>
  <c r="AK49" i="65"/>
  <c r="W40" i="65"/>
  <c r="R58" i="65"/>
  <c r="L83" i="65"/>
  <c r="V57" i="65"/>
  <c r="AG36" i="65"/>
  <c r="Y40" i="65"/>
  <c r="AO26" i="65"/>
  <c r="J14" i="5"/>
  <c r="L60" i="65"/>
  <c r="Z114" i="65"/>
  <c r="G24" i="53"/>
  <c r="F33" i="9"/>
  <c r="I42" i="51"/>
  <c r="H7" i="6"/>
  <c r="G38" i="52"/>
  <c r="AM66" i="65"/>
  <c r="T38" i="65"/>
  <c r="V55" i="65"/>
  <c r="AO60" i="65"/>
  <c r="W74" i="65"/>
  <c r="W66" i="65"/>
  <c r="H23" i="53"/>
  <c r="X60" i="65"/>
  <c r="O115" i="65"/>
  <c r="AF64" i="65"/>
  <c r="E33" i="9"/>
  <c r="AH108" i="65"/>
  <c r="U42" i="65"/>
  <c r="AD3" i="38"/>
  <c r="H45" i="7"/>
  <c r="K29" i="51"/>
  <c r="AB112" i="65"/>
  <c r="E10" i="60"/>
  <c r="AA83" i="65"/>
  <c r="J6" i="5"/>
  <c r="H35" i="51"/>
  <c r="AF56" i="65"/>
  <c r="K24" i="51"/>
  <c r="G32" i="7"/>
  <c r="K8" i="51"/>
  <c r="E18" i="9"/>
  <c r="AJ52" i="65"/>
  <c r="V53" i="65"/>
  <c r="H7" i="53"/>
  <c r="I6" i="53"/>
  <c r="AE11" i="60"/>
  <c r="E36" i="6"/>
  <c r="P114" i="65"/>
  <c r="AT101" i="65"/>
  <c r="E10" i="5"/>
  <c r="H15" i="9"/>
  <c r="AF72" i="65"/>
  <c r="K50" i="7"/>
  <c r="G22" i="51"/>
  <c r="O20" i="65"/>
  <c r="I100" i="65"/>
  <c r="AB40" i="65"/>
  <c r="S90" i="65"/>
  <c r="F7" i="7"/>
  <c r="AE28" i="65"/>
  <c r="AF89" i="65"/>
  <c r="AI21" i="65"/>
  <c r="L102" i="65"/>
  <c r="K13" i="53"/>
  <c r="AH32" i="65"/>
  <c r="AF38" i="65"/>
  <c r="Q113" i="65"/>
  <c r="AU101" i="65"/>
  <c r="R78" i="65"/>
  <c r="H25" i="7"/>
  <c r="F14" i="53"/>
  <c r="AT20" i="65"/>
  <c r="AE25" i="65"/>
  <c r="Z56" i="65"/>
  <c r="D46" i="9"/>
  <c r="AI70" i="65"/>
  <c r="F31" i="9"/>
  <c r="AA72" i="65"/>
  <c r="Z83" i="65"/>
  <c r="W109" i="65"/>
  <c r="P56" i="65"/>
  <c r="D34" i="65"/>
  <c r="H8" i="53"/>
  <c r="AH84" i="65"/>
  <c r="H13" i="9"/>
  <c r="S115" i="65"/>
  <c r="AH52" i="65"/>
  <c r="AP53" i="65"/>
  <c r="L33" i="65"/>
  <c r="F11" i="6"/>
  <c r="E30" i="5"/>
  <c r="AN77" i="65"/>
  <c r="AQ3" i="16"/>
  <c r="F13" i="5"/>
  <c r="L113" i="65"/>
  <c r="I15" i="5"/>
  <c r="I3" i="38"/>
  <c r="H3" i="16"/>
  <c r="I13" i="52"/>
  <c r="AQ56" i="65"/>
  <c r="AB27" i="60"/>
  <c r="AH85" i="65"/>
  <c r="X46" i="65"/>
  <c r="W44" i="65"/>
  <c r="AD33" i="65"/>
  <c r="H14" i="51"/>
  <c r="N32" i="65"/>
  <c r="G14" i="6"/>
  <c r="H44" i="6"/>
  <c r="I8" i="6"/>
  <c r="I25" i="53"/>
  <c r="T62" i="65"/>
  <c r="B4" i="9"/>
  <c r="AF86" i="65"/>
  <c r="Z24" i="65"/>
  <c r="AP92" i="65"/>
  <c r="J15" i="52"/>
  <c r="I47" i="7"/>
  <c r="T28" i="65"/>
  <c r="AH22" i="65"/>
  <c r="AM34" i="65"/>
  <c r="C108" i="65"/>
  <c r="AR28" i="65"/>
  <c r="AB79" i="65"/>
  <c r="L31" i="65"/>
  <c r="Y87" i="65"/>
  <c r="X54" i="65"/>
  <c r="AH46" i="65"/>
  <c r="F8" i="51"/>
  <c r="J9" i="5"/>
  <c r="I47" i="6"/>
  <c r="J21" i="53"/>
  <c r="AU62" i="65"/>
  <c r="R43" i="65"/>
  <c r="AN101" i="65"/>
  <c r="AU48" i="65"/>
  <c r="Z58" i="65"/>
  <c r="AJ94" i="65"/>
  <c r="L63" i="65"/>
  <c r="R94" i="65"/>
  <c r="V52" i="65"/>
  <c r="F19" i="51"/>
  <c r="F46" i="6"/>
  <c r="H16" i="53"/>
  <c r="AP71" i="65"/>
  <c r="AO32" i="65"/>
  <c r="AJ65" i="65"/>
  <c r="Q30" i="65"/>
  <c r="L88" i="65"/>
  <c r="I15" i="51"/>
  <c r="K24" i="52"/>
  <c r="E7" i="53"/>
  <c r="W62" i="65"/>
  <c r="C13" i="9"/>
  <c r="E39" i="51"/>
  <c r="AA76" i="65"/>
  <c r="AI31" i="65"/>
  <c r="AN54" i="65"/>
  <c r="F37" i="6"/>
  <c r="E42" i="9"/>
  <c r="G21" i="9"/>
  <c r="H13" i="51"/>
  <c r="E31" i="52"/>
  <c r="AO43" i="65"/>
  <c r="X20" i="65"/>
  <c r="G22" i="5"/>
  <c r="AP35" i="65"/>
  <c r="Z39" i="65"/>
  <c r="U20" i="65"/>
  <c r="AA3" i="38"/>
  <c r="C18" i="9"/>
  <c r="F24" i="51"/>
  <c r="C30" i="9"/>
  <c r="N29" i="65"/>
  <c r="AO35" i="65"/>
  <c r="AS93" i="65"/>
  <c r="D20" i="9"/>
  <c r="AL41" i="65"/>
  <c r="AK43" i="65"/>
  <c r="H30" i="5"/>
  <c r="G26" i="53"/>
  <c r="G29" i="9"/>
  <c r="AJ64" i="65"/>
  <c r="H27" i="9"/>
  <c r="G24" i="51"/>
  <c r="I33" i="5"/>
  <c r="K7" i="6"/>
  <c r="E39" i="9"/>
  <c r="H14" i="52"/>
  <c r="I35" i="52"/>
  <c r="Q54" i="65"/>
  <c r="F33" i="60"/>
  <c r="Q24" i="65"/>
  <c r="D21" i="9"/>
  <c r="Y30" i="65"/>
  <c r="Y82" i="65"/>
  <c r="K97" i="65"/>
  <c r="AF96" i="65"/>
  <c r="H15" i="53"/>
  <c r="H47" i="6"/>
  <c r="J11" i="5"/>
  <c r="AO52" i="65"/>
  <c r="G30" i="9"/>
  <c r="AJ49" i="65"/>
  <c r="AR53" i="65"/>
  <c r="AJ3" i="38"/>
  <c r="G7" i="9"/>
  <c r="V47" i="65"/>
  <c r="AI53" i="65"/>
  <c r="AM42" i="65"/>
  <c r="K23" i="53"/>
  <c r="E6" i="51"/>
  <c r="W52" i="65"/>
  <c r="E25" i="5"/>
  <c r="T63" i="65"/>
  <c r="H28" i="53"/>
  <c r="AC25" i="65"/>
  <c r="C45" i="9"/>
  <c r="E49" i="6"/>
  <c r="H40" i="7"/>
  <c r="AU61" i="65"/>
  <c r="T104" i="65"/>
  <c r="AK46" i="65"/>
  <c r="M29" i="65"/>
  <c r="F40" i="52"/>
  <c r="AS40" i="65"/>
  <c r="H50" i="6"/>
  <c r="F36" i="7"/>
  <c r="AO29" i="65"/>
  <c r="F42" i="51"/>
  <c r="J38" i="5"/>
  <c r="AP48" i="65"/>
  <c r="I12" i="52"/>
  <c r="E39" i="5"/>
  <c r="E23" i="53"/>
  <c r="AO48" i="65"/>
  <c r="G19" i="7"/>
  <c r="Q64" i="65"/>
  <c r="AO74" i="65"/>
  <c r="J8" i="6"/>
  <c r="AH110" i="65"/>
  <c r="H11" i="52"/>
  <c r="H22" i="5"/>
  <c r="O85" i="65"/>
  <c r="G8" i="6"/>
  <c r="H37" i="51"/>
  <c r="AA78" i="65"/>
  <c r="H47" i="9"/>
  <c r="I42" i="6"/>
  <c r="P57" i="65"/>
  <c r="B35" i="9"/>
  <c r="K17" i="7"/>
  <c r="K16" i="53"/>
  <c r="AI52" i="65"/>
  <c r="AD39" i="65"/>
  <c r="H41" i="6"/>
  <c r="Y36" i="65"/>
  <c r="AK50" i="65"/>
  <c r="G38" i="60"/>
  <c r="J35" i="7"/>
  <c r="J31" i="5"/>
  <c r="J24" i="53"/>
  <c r="I11" i="6"/>
  <c r="R105" i="65"/>
  <c r="F31" i="51"/>
  <c r="AF92" i="65"/>
  <c r="O22" i="65"/>
  <c r="H87" i="65"/>
  <c r="AS106" i="65"/>
  <c r="AD22" i="65"/>
  <c r="I36" i="7"/>
  <c r="H29" i="9"/>
  <c r="R42" i="65"/>
  <c r="G10" i="53"/>
  <c r="AC43" i="65"/>
  <c r="AU35" i="65"/>
  <c r="Z3" i="38"/>
  <c r="K8" i="6"/>
  <c r="M56" i="65"/>
  <c r="AR86" i="65"/>
  <c r="AM60" i="65"/>
  <c r="I21" i="7"/>
  <c r="G15" i="6"/>
  <c r="E15" i="51"/>
  <c r="H18" i="5"/>
  <c r="G8" i="52"/>
  <c r="Z59" i="65"/>
  <c r="H13" i="6"/>
  <c r="G7" i="52"/>
  <c r="E34" i="51"/>
  <c r="G19" i="53"/>
  <c r="X30" i="65"/>
  <c r="G24" i="5"/>
  <c r="P22" i="65"/>
  <c r="O45" i="65"/>
  <c r="AL58" i="65"/>
  <c r="E11" i="6"/>
  <c r="E46" i="7"/>
  <c r="R3" i="16"/>
  <c r="E13" i="9"/>
  <c r="F44" i="9"/>
  <c r="AI59" i="65"/>
  <c r="J38" i="52"/>
  <c r="E17" i="5"/>
  <c r="P91" i="65"/>
  <c r="J91" i="65"/>
  <c r="R115" i="65"/>
  <c r="K32" i="5"/>
  <c r="W50" i="65"/>
  <c r="G9" i="51"/>
  <c r="E35" i="7"/>
  <c r="F20" i="52"/>
  <c r="AN21" i="65"/>
  <c r="S40" i="65"/>
  <c r="AL59" i="65"/>
  <c r="E48" i="7"/>
  <c r="AM111" i="65"/>
  <c r="T52" i="65"/>
  <c r="G12" i="6"/>
  <c r="I12" i="53"/>
  <c r="P64" i="65"/>
  <c r="X33" i="65"/>
  <c r="J10" i="6"/>
  <c r="C65" i="65"/>
  <c r="H35" i="7"/>
  <c r="W55" i="65"/>
  <c r="H23" i="5"/>
  <c r="I12" i="7"/>
  <c r="AD104" i="65"/>
  <c r="K10" i="51"/>
  <c r="O57" i="65"/>
  <c r="AC39" i="65"/>
  <c r="F23" i="52"/>
  <c r="I16" i="53"/>
  <c r="J9" i="53"/>
  <c r="G23" i="7"/>
  <c r="K22" i="6"/>
  <c r="F39" i="65"/>
  <c r="Y63" i="65"/>
  <c r="I19" i="53"/>
  <c r="M42" i="65"/>
  <c r="J13" i="7"/>
  <c r="I8" i="51"/>
  <c r="G21" i="6"/>
  <c r="AL32" i="65"/>
  <c r="AK66" i="65"/>
  <c r="F34" i="5"/>
  <c r="AS99" i="65"/>
  <c r="AS113" i="65"/>
  <c r="B20" i="9"/>
  <c r="H16" i="7"/>
  <c r="AH3" i="16"/>
  <c r="Y47" i="65"/>
  <c r="AC37" i="65"/>
  <c r="K12" i="51"/>
  <c r="N108" i="65"/>
  <c r="N95" i="65"/>
  <c r="AB43" i="65"/>
  <c r="I11" i="51"/>
  <c r="K21" i="7"/>
  <c r="G41" i="6"/>
  <c r="J17" i="51"/>
  <c r="H17" i="6"/>
  <c r="F23" i="51"/>
  <c r="H38" i="7"/>
  <c r="M36" i="65"/>
  <c r="F14" i="5"/>
  <c r="I13" i="6"/>
  <c r="G31" i="52"/>
  <c r="G15" i="51"/>
  <c r="AP3" i="16"/>
  <c r="F42" i="9"/>
  <c r="AS97" i="65"/>
  <c r="D3" i="9"/>
  <c r="P59" i="65"/>
  <c r="H33" i="51"/>
  <c r="P84" i="65"/>
  <c r="AE105" i="65"/>
  <c r="AD27" i="65"/>
  <c r="V40" i="65"/>
  <c r="AD64" i="65"/>
  <c r="H38" i="5"/>
  <c r="W53" i="65"/>
  <c r="E29" i="52"/>
  <c r="E74" i="65"/>
  <c r="G31" i="9"/>
  <c r="Y49" i="65"/>
  <c r="W93" i="65"/>
  <c r="AR82" i="65"/>
  <c r="R34" i="65"/>
  <c r="F13" i="6"/>
  <c r="AG107" i="65"/>
  <c r="K14" i="51"/>
  <c r="AD55" i="65"/>
  <c r="M33" i="65"/>
  <c r="J37" i="6"/>
  <c r="J21" i="52"/>
  <c r="P33" i="65"/>
  <c r="AU37" i="65"/>
  <c r="K72" i="65"/>
  <c r="J7" i="7"/>
  <c r="I7" i="51"/>
  <c r="F38" i="51"/>
  <c r="AL48" i="65"/>
  <c r="F12" i="52"/>
  <c r="W61" i="65"/>
  <c r="K42" i="6"/>
  <c r="I40" i="6"/>
  <c r="E12" i="6"/>
  <c r="Y65" i="65"/>
  <c r="AT56" i="65"/>
  <c r="AL89" i="65"/>
  <c r="AQ74" i="65"/>
  <c r="AK27" i="65"/>
  <c r="Y35" i="65"/>
  <c r="M110" i="65"/>
  <c r="T59" i="65"/>
  <c r="G25" i="6"/>
  <c r="H41" i="51"/>
  <c r="AH29" i="65"/>
  <c r="W48" i="65"/>
  <c r="K37" i="5"/>
  <c r="E25" i="53"/>
  <c r="AH59" i="65"/>
  <c r="AU80" i="65"/>
  <c r="G114" i="65"/>
  <c r="J38" i="51"/>
  <c r="AE106" i="65"/>
  <c r="P35" i="65"/>
  <c r="E3" i="9"/>
  <c r="G47" i="9"/>
  <c r="M96" i="65"/>
  <c r="AS56" i="65"/>
  <c r="Y52" i="65"/>
  <c r="AE108" i="65"/>
  <c r="AQ49" i="65"/>
  <c r="N101" i="65"/>
  <c r="H37" i="52"/>
  <c r="E36" i="51"/>
  <c r="R28" i="65"/>
  <c r="H10" i="51"/>
  <c r="AU99" i="65"/>
  <c r="AH28" i="65"/>
  <c r="J23" i="53"/>
  <c r="F44" i="7"/>
  <c r="B8" i="9"/>
  <c r="V59" i="65"/>
  <c r="AA59" i="65"/>
  <c r="J19" i="51"/>
  <c r="D3" i="38"/>
  <c r="H30" i="51"/>
  <c r="AU112" i="65"/>
  <c r="U64" i="65"/>
  <c r="AL40" i="65"/>
  <c r="AA33" i="65"/>
  <c r="AB65" i="65"/>
  <c r="AP21" i="65"/>
  <c r="H33" i="9"/>
  <c r="AN60" i="65"/>
  <c r="AL106" i="65"/>
  <c r="I8" i="5"/>
  <c r="J15" i="53"/>
  <c r="F39" i="6"/>
  <c r="D9" i="9"/>
  <c r="U65" i="65"/>
  <c r="I22" i="52"/>
  <c r="I22" i="53"/>
  <c r="T114" i="65"/>
  <c r="E37" i="9"/>
  <c r="G25" i="52"/>
  <c r="AM31" i="65"/>
  <c r="P31" i="65"/>
  <c r="AU3" i="38"/>
  <c r="C9" i="9"/>
  <c r="Y56" i="65"/>
  <c r="AS98" i="65"/>
  <c r="AL84" i="65"/>
  <c r="C37" i="9"/>
  <c r="AT34" i="65"/>
  <c r="K22" i="51"/>
  <c r="E37" i="7"/>
  <c r="T57" i="65"/>
  <c r="G32" i="9"/>
  <c r="E45" i="7"/>
  <c r="AG35" i="65"/>
  <c r="J22" i="5"/>
  <c r="K23" i="52"/>
  <c r="U28" i="65"/>
  <c r="AJ114" i="65"/>
  <c r="F8" i="6"/>
  <c r="F25" i="5"/>
  <c r="X53" i="65"/>
  <c r="AR56" i="65"/>
  <c r="AE45" i="65"/>
  <c r="E40" i="9"/>
  <c r="AO62" i="65"/>
  <c r="AK83" i="65"/>
  <c r="F42" i="7"/>
  <c r="E27" i="9"/>
  <c r="Z107" i="65"/>
  <c r="F33" i="65"/>
  <c r="O55" i="65"/>
  <c r="I14" i="5"/>
  <c r="F24" i="6"/>
  <c r="AA49" i="65"/>
  <c r="F40" i="7"/>
  <c r="AK3" i="16"/>
  <c r="K7" i="5"/>
  <c r="I38" i="6"/>
  <c r="T79" i="65"/>
  <c r="X22" i="65"/>
  <c r="V89" i="65"/>
  <c r="Q42" i="65"/>
  <c r="U44" i="65"/>
  <c r="K50" i="65"/>
  <c r="E32" i="5"/>
  <c r="C41" i="9"/>
  <c r="C44" i="9"/>
  <c r="R66" i="65"/>
  <c r="AI28" i="65"/>
  <c r="H32" i="51"/>
  <c r="F39" i="7"/>
  <c r="H24" i="7"/>
  <c r="H44" i="7"/>
  <c r="C40" i="9"/>
  <c r="H8" i="51"/>
  <c r="K25" i="5"/>
  <c r="P58" i="65"/>
  <c r="F38" i="6"/>
  <c r="Q77" i="65"/>
  <c r="M109" i="65"/>
  <c r="AT61" i="65"/>
  <c r="AE33" i="65"/>
  <c r="L99" i="65"/>
  <c r="O65" i="65"/>
  <c r="AE30" i="65"/>
  <c r="K41" i="51"/>
  <c r="G22" i="9"/>
  <c r="AD59" i="65"/>
  <c r="H34" i="51"/>
  <c r="K23" i="51"/>
  <c r="G45" i="9"/>
  <c r="AP55" i="65"/>
  <c r="C35" i="9"/>
  <c r="E29" i="9"/>
  <c r="H47" i="7"/>
  <c r="Z65" i="65"/>
  <c r="S50" i="65"/>
  <c r="Y62" i="65"/>
  <c r="F31" i="52"/>
  <c r="AT29" i="65"/>
  <c r="AS105" i="65"/>
  <c r="G7" i="5"/>
  <c r="H36" i="9"/>
  <c r="E28" i="53"/>
  <c r="F9" i="53"/>
  <c r="J36" i="5"/>
  <c r="H39" i="51"/>
  <c r="G64" i="65"/>
  <c r="AA53" i="65"/>
  <c r="AA45" i="65"/>
  <c r="J8" i="51"/>
  <c r="AG86" i="65"/>
  <c r="AT94" i="65"/>
  <c r="S45" i="65"/>
  <c r="AU24" i="65"/>
  <c r="AF3" i="38"/>
  <c r="G18" i="53"/>
  <c r="AR70" i="65"/>
  <c r="U49" i="65"/>
  <c r="L41" i="65"/>
  <c r="AN56" i="65"/>
  <c r="AK102" i="65"/>
  <c r="AR115" i="65"/>
  <c r="C112" i="65"/>
  <c r="G10" i="7"/>
  <c r="F29" i="51"/>
  <c r="K47" i="65"/>
  <c r="L40" i="65"/>
  <c r="G46" i="9"/>
  <c r="I10" i="5"/>
  <c r="R20" i="65"/>
  <c r="H17" i="5"/>
  <c r="F37" i="7"/>
  <c r="AM28" i="65"/>
  <c r="S62" i="65"/>
  <c r="AU53" i="65"/>
  <c r="J20" i="5"/>
  <c r="H16" i="51"/>
  <c r="F21" i="5"/>
  <c r="I8" i="53"/>
  <c r="AH91" i="65"/>
  <c r="I20" i="5"/>
  <c r="I15" i="52"/>
  <c r="H23" i="7"/>
  <c r="Y37" i="65"/>
  <c r="K20" i="7"/>
  <c r="I38" i="51"/>
  <c r="H36" i="7"/>
  <c r="H43" i="9"/>
  <c r="AL62" i="65"/>
  <c r="J9" i="51"/>
  <c r="AK74" i="65"/>
  <c r="H40" i="9"/>
  <c r="P61" i="65"/>
  <c r="H41" i="7"/>
  <c r="F7" i="6"/>
  <c r="O42" i="65"/>
  <c r="I30" i="51"/>
  <c r="V62" i="65"/>
  <c r="AK44" i="65"/>
  <c r="AQ70" i="65"/>
  <c r="W113" i="65"/>
  <c r="W37" i="65"/>
  <c r="C32" i="60"/>
  <c r="AC40" i="65"/>
  <c r="B38" i="9"/>
  <c r="AB31" i="65"/>
  <c r="F14" i="52"/>
  <c r="O62" i="65"/>
  <c r="AU111" i="65"/>
  <c r="X48" i="65"/>
  <c r="K20" i="51"/>
  <c r="T90" i="65"/>
  <c r="AC83" i="65"/>
  <c r="AL87" i="65"/>
  <c r="E64" i="65"/>
  <c r="J7" i="52"/>
  <c r="Z79" i="65"/>
  <c r="G9" i="9"/>
  <c r="AH78" i="65"/>
  <c r="G30" i="52"/>
  <c r="Z63" i="65"/>
  <c r="AG51" i="65"/>
  <c r="AP88" i="65"/>
  <c r="AQ28" i="65"/>
  <c r="Q65" i="65"/>
  <c r="E16" i="51"/>
  <c r="AI42" i="65"/>
  <c r="K21" i="5"/>
  <c r="K41" i="7"/>
  <c r="E26" i="9"/>
  <c r="Q63" i="65"/>
  <c r="AD100" i="65"/>
  <c r="AP36" i="65"/>
  <c r="I39" i="6"/>
  <c r="J16" i="7"/>
  <c r="AL35" i="65"/>
  <c r="U66" i="65"/>
  <c r="AK77" i="65"/>
  <c r="L66" i="65"/>
  <c r="AB97" i="65"/>
  <c r="Q37" i="65"/>
  <c r="K25" i="51"/>
  <c r="B40" i="9"/>
  <c r="F43" i="65"/>
  <c r="F36" i="9"/>
  <c r="S38" i="65"/>
  <c r="AQ111" i="65"/>
  <c r="AS34" i="65"/>
  <c r="H29" i="53"/>
  <c r="L79" i="65"/>
  <c r="G35" i="7"/>
  <c r="AK108" i="65"/>
  <c r="I48" i="7"/>
  <c r="AE104" i="65"/>
  <c r="AS19" i="60"/>
  <c r="P72" i="65"/>
  <c r="AO65" i="65"/>
  <c r="G11" i="5"/>
  <c r="F29" i="53"/>
  <c r="I32" i="7"/>
  <c r="N54" i="65"/>
  <c r="D46" i="65"/>
  <c r="L86" i="65"/>
  <c r="AP50" i="65"/>
  <c r="AB48" i="65"/>
  <c r="Q22" i="65"/>
  <c r="E23" i="51"/>
  <c r="J15" i="6"/>
  <c r="D33" i="60"/>
  <c r="F6" i="9"/>
  <c r="D15" i="9"/>
  <c r="J14" i="7"/>
  <c r="AF84" i="65"/>
  <c r="AB21" i="65"/>
  <c r="B10" i="9"/>
  <c r="AG38" i="65"/>
  <c r="AQ44" i="65"/>
  <c r="U61" i="65"/>
  <c r="G23" i="9"/>
  <c r="Y64" i="65"/>
  <c r="E72" i="65"/>
  <c r="AF97" i="65"/>
  <c r="I20" i="52"/>
  <c r="AP102" i="65"/>
  <c r="J48" i="7"/>
  <c r="W112" i="65"/>
  <c r="AM104" i="65"/>
  <c r="C31" i="9"/>
  <c r="AE113" i="65"/>
  <c r="G39" i="52"/>
  <c r="K19" i="5"/>
  <c r="AO80" i="65"/>
  <c r="AQ36" i="65"/>
  <c r="AN97" i="65"/>
  <c r="H36" i="5"/>
  <c r="F12" i="6"/>
  <c r="M63" i="65"/>
  <c r="J44" i="7"/>
  <c r="AQ99" i="65"/>
  <c r="U32" i="65"/>
  <c r="Y112" i="65"/>
  <c r="AH112" i="65"/>
  <c r="AL105" i="65"/>
  <c r="AL111" i="65"/>
  <c r="AU49" i="65"/>
  <c r="AI33" i="65"/>
  <c r="J36" i="6"/>
  <c r="G27" i="51"/>
  <c r="G10" i="5"/>
  <c r="F16" i="7"/>
  <c r="X81" i="65"/>
  <c r="E32" i="6"/>
  <c r="AL78" i="65"/>
  <c r="E48" i="6"/>
  <c r="E24" i="6"/>
  <c r="J9" i="52"/>
  <c r="E37" i="6"/>
  <c r="AB34" i="65"/>
  <c r="AI54" i="65"/>
  <c r="W41" i="65"/>
  <c r="D17" i="9"/>
  <c r="J33" i="52"/>
  <c r="F46" i="9"/>
  <c r="E30" i="52"/>
  <c r="G11" i="9"/>
  <c r="G38" i="6"/>
  <c r="AE81" i="65"/>
  <c r="AK35" i="65"/>
  <c r="AQ64" i="65"/>
  <c r="C17" i="9"/>
  <c r="G10" i="6"/>
  <c r="N21" i="65"/>
  <c r="AS112" i="65"/>
  <c r="AO87" i="65"/>
  <c r="AT40" i="65"/>
  <c r="T36" i="65"/>
  <c r="G19" i="52"/>
  <c r="Q45" i="65"/>
  <c r="G22" i="53"/>
  <c r="AJ107" i="65"/>
  <c r="J40" i="7"/>
  <c r="G3" i="38"/>
  <c r="I32" i="6"/>
  <c r="AU71" i="65"/>
  <c r="K20" i="5"/>
  <c r="I24" i="53"/>
  <c r="C2" i="9"/>
  <c r="J37" i="7"/>
  <c r="X52" i="65"/>
  <c r="E22" i="52"/>
  <c r="T71" i="65"/>
  <c r="J32" i="6"/>
  <c r="AC56" i="65"/>
  <c r="K38" i="5"/>
  <c r="Q40" i="65"/>
  <c r="G35" i="6"/>
  <c r="AS86" i="65"/>
  <c r="J38" i="7"/>
  <c r="AN57" i="65"/>
  <c r="E38" i="9"/>
  <c r="J23" i="52"/>
  <c r="AF32" i="65"/>
  <c r="F50" i="7"/>
  <c r="F10" i="53"/>
  <c r="AI98" i="65"/>
  <c r="AA63" i="65"/>
  <c r="AO22" i="65"/>
  <c r="G23" i="52"/>
  <c r="F9" i="9"/>
  <c r="V37" i="65"/>
  <c r="H14" i="6"/>
  <c r="AB98" i="65"/>
  <c r="T107" i="65"/>
  <c r="K9" i="53"/>
  <c r="L50" i="65"/>
  <c r="AR101" i="65"/>
  <c r="J14" i="51"/>
  <c r="J33" i="6"/>
  <c r="AU57" i="65"/>
  <c r="AO85" i="65"/>
  <c r="J15" i="5"/>
  <c r="F36" i="5"/>
  <c r="U47" i="65"/>
  <c r="G54" i="65"/>
  <c r="AF70" i="65"/>
  <c r="B14" i="9"/>
  <c r="H18" i="53"/>
  <c r="I21" i="65"/>
  <c r="AC89" i="65"/>
  <c r="G14" i="5"/>
  <c r="K15" i="51"/>
  <c r="W45" i="65"/>
  <c r="AF39" i="65"/>
  <c r="AA42" i="65"/>
  <c r="O58" i="65"/>
  <c r="AA3" i="16"/>
  <c r="T56" i="65"/>
  <c r="G21" i="52"/>
  <c r="H42" i="7"/>
  <c r="X98" i="65"/>
  <c r="AE62" i="65"/>
  <c r="AM21" i="65"/>
  <c r="AT33" i="65"/>
  <c r="I84" i="65"/>
  <c r="V103" i="65"/>
  <c r="E22" i="51"/>
  <c r="J55" i="65"/>
  <c r="S21" i="65"/>
  <c r="E31" i="51"/>
  <c r="K9" i="52"/>
  <c r="AK41" i="65"/>
  <c r="F25" i="53"/>
  <c r="C87" i="65"/>
  <c r="O49" i="65"/>
  <c r="AG26" i="65"/>
  <c r="V3" i="16"/>
  <c r="AO23" i="65"/>
  <c r="AS23" i="65"/>
  <c r="I35" i="6"/>
  <c r="J33" i="5"/>
  <c r="AG97" i="65"/>
  <c r="AM51" i="65"/>
  <c r="J11" i="7"/>
  <c r="I33" i="65"/>
  <c r="H25" i="5"/>
  <c r="I34" i="51"/>
  <c r="B42" i="9"/>
  <c r="H42" i="9"/>
  <c r="J49" i="7"/>
  <c r="G19" i="51"/>
  <c r="AK80" i="65"/>
  <c r="L24" i="65"/>
  <c r="F22" i="5"/>
  <c r="I103" i="65"/>
  <c r="G35" i="9"/>
  <c r="AO20" i="65"/>
  <c r="H33" i="6"/>
  <c r="E15" i="5"/>
  <c r="D40" i="9"/>
  <c r="AR75" i="65"/>
  <c r="K111" i="65"/>
  <c r="V70" i="65"/>
  <c r="N78" i="65"/>
  <c r="Y66" i="65"/>
  <c r="AF55" i="65"/>
  <c r="S103" i="65"/>
  <c r="U41" i="65"/>
  <c r="AG46" i="65"/>
  <c r="V24" i="65"/>
  <c r="AC44" i="65"/>
  <c r="E92" i="65"/>
  <c r="I7" i="53"/>
  <c r="J12" i="51"/>
  <c r="AR64" i="65"/>
  <c r="AM59" i="65"/>
  <c r="AD54" i="65"/>
  <c r="G32" i="60"/>
  <c r="AH114" i="65"/>
  <c r="T51" i="65"/>
  <c r="H19" i="51"/>
  <c r="AK29" i="65"/>
  <c r="AN55" i="65"/>
  <c r="AH57" i="65"/>
  <c r="C34" i="65"/>
  <c r="G24" i="6"/>
  <c r="AP66" i="65"/>
  <c r="G11" i="7"/>
  <c r="U58" i="65"/>
  <c r="O3" i="16"/>
  <c r="F35" i="5"/>
  <c r="G23" i="53"/>
  <c r="M78" i="65"/>
  <c r="AU114" i="65"/>
  <c r="D52" i="60"/>
  <c r="X62" i="65"/>
  <c r="AG103" i="65"/>
  <c r="D11" i="60"/>
  <c r="J29" i="5"/>
  <c r="J51" i="65"/>
  <c r="F7" i="51"/>
  <c r="AQ62" i="65"/>
  <c r="G43" i="9"/>
  <c r="V109" i="65"/>
  <c r="L74" i="65"/>
  <c r="AA88" i="65"/>
  <c r="G3" i="9"/>
  <c r="G39" i="9"/>
  <c r="AP40" i="65"/>
  <c r="Z90" i="65"/>
  <c r="AM47" i="65"/>
  <c r="AC60" i="65"/>
  <c r="E8" i="52"/>
  <c r="R51" i="65"/>
  <c r="Z25" i="65"/>
  <c r="F29" i="52"/>
  <c r="Q31" i="65"/>
  <c r="AR30" i="65"/>
  <c r="F18" i="53"/>
  <c r="AN69" i="65"/>
  <c r="G18" i="9"/>
  <c r="H9" i="51"/>
  <c r="G36" i="9"/>
  <c r="Q48" i="65"/>
  <c r="G24" i="7"/>
  <c r="G10" i="51"/>
  <c r="H19" i="5"/>
  <c r="AJ109" i="65"/>
  <c r="V46" i="65"/>
  <c r="G24" i="52"/>
  <c r="Y93" i="65"/>
  <c r="G28" i="9"/>
  <c r="E16" i="6"/>
  <c r="AN82" i="65"/>
  <c r="D28" i="65"/>
  <c r="AB84" i="65"/>
  <c r="N40" i="65"/>
  <c r="H6" i="51"/>
  <c r="T55" i="65"/>
  <c r="AR74" i="65"/>
  <c r="P34" i="65"/>
  <c r="AD60" i="65"/>
  <c r="AP22" i="65"/>
  <c r="G18" i="52"/>
  <c r="H12" i="52"/>
  <c r="I49" i="6"/>
  <c r="AT93" i="65"/>
  <c r="H40" i="51"/>
  <c r="K40" i="52"/>
  <c r="D3" i="16"/>
  <c r="H11" i="53"/>
  <c r="G50" i="6"/>
  <c r="K91" i="65"/>
  <c r="E40" i="51"/>
  <c r="AP61" i="65"/>
  <c r="I33" i="6"/>
  <c r="C29" i="9"/>
  <c r="N23" i="65"/>
  <c r="E11" i="51"/>
  <c r="G30" i="5"/>
  <c r="I19" i="52"/>
  <c r="F16" i="5"/>
  <c r="G39" i="7"/>
  <c r="I11" i="7"/>
  <c r="Z35" i="65"/>
  <c r="E7" i="51"/>
  <c r="AK59" i="65"/>
  <c r="G11" i="51"/>
  <c r="E29" i="51"/>
  <c r="AB54" i="65"/>
  <c r="AC50" i="65"/>
  <c r="K29" i="5"/>
  <c r="J22" i="52"/>
  <c r="U69" i="65"/>
  <c r="F38" i="52"/>
  <c r="Z92" i="65"/>
  <c r="AS110" i="65"/>
  <c r="E30" i="9"/>
  <c r="J17" i="53"/>
  <c r="AG43" i="65"/>
  <c r="Z3" i="16"/>
  <c r="K10" i="5"/>
  <c r="AG59" i="65"/>
  <c r="AN114" i="65"/>
  <c r="Q49" i="65"/>
  <c r="K37" i="52"/>
  <c r="G22" i="7"/>
  <c r="AP47" i="65"/>
  <c r="W25" i="65"/>
  <c r="H3" i="38"/>
  <c r="P42" i="65"/>
  <c r="V60" i="65"/>
  <c r="AR58" i="65"/>
  <c r="H17" i="51"/>
  <c r="R106" i="65"/>
  <c r="AC49" i="65"/>
  <c r="K48" i="7"/>
  <c r="G49" i="6"/>
  <c r="J8" i="5"/>
  <c r="J25" i="6"/>
  <c r="Q34" i="65"/>
  <c r="AD46" i="65"/>
  <c r="F17" i="52"/>
  <c r="T61" i="65"/>
  <c r="AP93" i="65"/>
  <c r="B6" i="9"/>
  <c r="E8" i="51"/>
  <c r="O66" i="65"/>
  <c r="H26" i="9"/>
  <c r="F15" i="9"/>
  <c r="AL103" i="65"/>
  <c r="L35" i="65"/>
  <c r="AJ76" i="65"/>
  <c r="AI91" i="65"/>
  <c r="J37" i="51"/>
  <c r="G25" i="7"/>
  <c r="O59" i="65"/>
  <c r="H23" i="6"/>
  <c r="H13" i="53"/>
  <c r="R100" i="65"/>
  <c r="AP76" i="65"/>
  <c r="B45" i="9"/>
  <c r="AI30" i="65"/>
  <c r="AG3" i="38"/>
  <c r="AF24" i="65"/>
  <c r="E22" i="6"/>
  <c r="L46" i="65"/>
  <c r="AB22" i="65"/>
  <c r="AQ41" i="65"/>
  <c r="G34" i="9"/>
  <c r="K24" i="6"/>
  <c r="J22" i="51"/>
  <c r="G29" i="51"/>
  <c r="AB69" i="65"/>
  <c r="Z87" i="65"/>
  <c r="AS51" i="65"/>
  <c r="K10" i="7"/>
  <c r="W108" i="65"/>
  <c r="F23" i="53"/>
  <c r="AU59" i="65"/>
  <c r="AD107" i="65"/>
  <c r="N69" i="65"/>
  <c r="E14" i="6"/>
  <c r="AI65" i="65"/>
  <c r="Z55" i="65"/>
  <c r="F25" i="51"/>
  <c r="K42" i="51"/>
  <c r="AM65" i="65"/>
  <c r="F12" i="9"/>
  <c r="I40" i="51"/>
  <c r="L93" i="65"/>
  <c r="F21" i="9"/>
  <c r="W3" i="16"/>
  <c r="B26" i="9"/>
  <c r="G15" i="9"/>
  <c r="K25" i="6"/>
  <c r="AO71" i="65"/>
  <c r="C37" i="60"/>
  <c r="U3" i="38"/>
  <c r="H46" i="6"/>
  <c r="AH39" i="65"/>
  <c r="F8" i="52"/>
  <c r="AQ38" i="65"/>
  <c r="AE57" i="65"/>
  <c r="E20" i="6"/>
  <c r="E38" i="60"/>
  <c r="S57" i="65"/>
  <c r="AN50" i="65"/>
  <c r="Q27" i="65"/>
  <c r="K35" i="5"/>
  <c r="K13" i="5"/>
  <c r="AN65" i="65"/>
  <c r="Y115" i="65"/>
  <c r="AJ61" i="65"/>
  <c r="C41" i="60" l="1"/>
  <c r="H7" i="57"/>
  <c r="G8" i="8"/>
  <c r="B26" i="8"/>
  <c r="B48" i="9"/>
  <c r="L137" i="65"/>
  <c r="D150" i="65" s="1"/>
  <c r="N116" i="65"/>
  <c r="N139" i="65"/>
  <c r="AD138" i="65"/>
  <c r="K9" i="7"/>
  <c r="R8" i="57"/>
  <c r="AB116" i="65"/>
  <c r="AB139" i="65"/>
  <c r="N7" i="57"/>
  <c r="AI135" i="65"/>
  <c r="F8" i="8"/>
  <c r="H48" i="9"/>
  <c r="H26" i="8"/>
  <c r="AP137" i="65"/>
  <c r="G7" i="57"/>
  <c r="AR126" i="65"/>
  <c r="V119" i="65"/>
  <c r="V128" i="65" s="1"/>
  <c r="P123" i="65"/>
  <c r="AG124" i="65"/>
  <c r="Z136" i="65"/>
  <c r="U116" i="65"/>
  <c r="U139" i="65"/>
  <c r="P9" i="57"/>
  <c r="F25" i="57"/>
  <c r="K135" i="65"/>
  <c r="D21" i="57"/>
  <c r="AT137" i="65"/>
  <c r="AD119" i="65"/>
  <c r="AD128" i="65" s="1"/>
  <c r="N122" i="65"/>
  <c r="AN133" i="65"/>
  <c r="Y137" i="65"/>
  <c r="AJ131" i="65"/>
  <c r="AJ140" i="65" s="1"/>
  <c r="AN116" i="65"/>
  <c r="AN139" i="65"/>
  <c r="AC119" i="65"/>
  <c r="AC128" i="65" s="1"/>
  <c r="AC129" i="65" s="1"/>
  <c r="AP122" i="65"/>
  <c r="G21" i="8"/>
  <c r="G12" i="8"/>
  <c r="G11" i="8" s="1"/>
  <c r="V131" i="65"/>
  <c r="V140" i="65" s="1"/>
  <c r="V141" i="65" s="1"/>
  <c r="U126" i="65"/>
  <c r="N9" i="57"/>
  <c r="E136" i="65"/>
  <c r="AC125" i="65"/>
  <c r="E25" i="57"/>
  <c r="AO127" i="65"/>
  <c r="AO67" i="65"/>
  <c r="I121" i="65"/>
  <c r="Q9" i="57"/>
  <c r="F22" i="57"/>
  <c r="I34" i="6"/>
  <c r="AT121" i="65"/>
  <c r="O126" i="65"/>
  <c r="AA123" i="65"/>
  <c r="AC134" i="65"/>
  <c r="G25" i="57"/>
  <c r="T138" i="65"/>
  <c r="AA120" i="65"/>
  <c r="M21" i="57"/>
  <c r="D22" i="57"/>
  <c r="G34" i="6"/>
  <c r="Q122" i="65"/>
  <c r="G20" i="57"/>
  <c r="G26" i="57" s="1"/>
  <c r="J31" i="6"/>
  <c r="J51" i="6" s="1"/>
  <c r="C13" i="8"/>
  <c r="C24" i="9"/>
  <c r="F20" i="57"/>
  <c r="F26" i="57" s="1"/>
  <c r="I31" i="6"/>
  <c r="I51" i="6" s="1"/>
  <c r="AJ138" i="65"/>
  <c r="AT122" i="65"/>
  <c r="AS132" i="65"/>
  <c r="D8" i="57"/>
  <c r="G9" i="6"/>
  <c r="F20" i="8"/>
  <c r="F19" i="8" s="1"/>
  <c r="F27" i="8" s="1"/>
  <c r="B20" i="57"/>
  <c r="B26" i="57" s="1"/>
  <c r="E31" i="6"/>
  <c r="E51" i="6" s="1"/>
  <c r="G23" i="57"/>
  <c r="AI121" i="65"/>
  <c r="AH132" i="65"/>
  <c r="Y132" i="65"/>
  <c r="J43" i="7"/>
  <c r="Q24" i="57"/>
  <c r="M120" i="65"/>
  <c r="W132" i="65"/>
  <c r="G9" i="8"/>
  <c r="AQ125" i="65"/>
  <c r="D8" i="8"/>
  <c r="P20" i="57"/>
  <c r="P26" i="57" s="1"/>
  <c r="I31" i="7"/>
  <c r="I51" i="7" s="1"/>
  <c r="G34" i="7"/>
  <c r="N22" i="57"/>
  <c r="F124" i="65"/>
  <c r="Q120" i="65"/>
  <c r="E48" i="9"/>
  <c r="E26" i="8"/>
  <c r="AI123" i="65"/>
  <c r="Z120" i="65"/>
  <c r="AC122" i="65"/>
  <c r="AK125" i="65"/>
  <c r="O123" i="65"/>
  <c r="F6" i="6"/>
  <c r="F26" i="6" s="1"/>
  <c r="C6" i="57"/>
  <c r="C12" i="57" s="1"/>
  <c r="O23" i="57"/>
  <c r="AH135" i="65"/>
  <c r="R67" i="65"/>
  <c r="R127" i="65"/>
  <c r="G20" i="8"/>
  <c r="G19" i="8" s="1"/>
  <c r="G27" i="8" s="1"/>
  <c r="L122" i="65"/>
  <c r="N8" i="57"/>
  <c r="G9" i="7"/>
  <c r="C132" i="65"/>
  <c r="G7" i="8"/>
  <c r="G6" i="8" s="1"/>
  <c r="G14" i="8" s="1"/>
  <c r="AE121" i="65"/>
  <c r="M131" i="65"/>
  <c r="M140" i="65" s="1"/>
  <c r="P126" i="65"/>
  <c r="H43" i="7"/>
  <c r="O24" i="57"/>
  <c r="C23" i="8"/>
  <c r="U125" i="65"/>
  <c r="Q123" i="65"/>
  <c r="V134" i="65"/>
  <c r="F121" i="65"/>
  <c r="Z138" i="65"/>
  <c r="E25" i="8"/>
  <c r="E24" i="8" s="1"/>
  <c r="E27" i="8" s="1"/>
  <c r="C11" i="57"/>
  <c r="AN119" i="65"/>
  <c r="AN128" i="65" s="1"/>
  <c r="AA121" i="65"/>
  <c r="AL122" i="65"/>
  <c r="AU132" i="65"/>
  <c r="F43" i="7"/>
  <c r="M24" i="57"/>
  <c r="G22" i="8"/>
  <c r="E12" i="8"/>
  <c r="E11" i="8" s="1"/>
  <c r="D7" i="57"/>
  <c r="AL134" i="65"/>
  <c r="Q6" i="57"/>
  <c r="Q12" i="57" s="1"/>
  <c r="J6" i="7"/>
  <c r="J26" i="7" s="1"/>
  <c r="P121" i="65"/>
  <c r="M121" i="65"/>
  <c r="AG138" i="65"/>
  <c r="AR133" i="65"/>
  <c r="W137" i="65"/>
  <c r="V122" i="65"/>
  <c r="D12" i="8"/>
  <c r="D11" i="8" s="1"/>
  <c r="AB124" i="65"/>
  <c r="B10" i="8"/>
  <c r="M123" i="65"/>
  <c r="Y120" i="65"/>
  <c r="H34" i="7"/>
  <c r="O22" i="57"/>
  <c r="J9" i="6"/>
  <c r="G8" i="57"/>
  <c r="X121" i="65"/>
  <c r="S122" i="65"/>
  <c r="E34" i="7"/>
  <c r="L22" i="57"/>
  <c r="J135" i="65"/>
  <c r="P135" i="65"/>
  <c r="F23" i="8"/>
  <c r="B9" i="57"/>
  <c r="AL126" i="65"/>
  <c r="AM119" i="65"/>
  <c r="AM128" i="65" s="1"/>
  <c r="H11" i="57"/>
  <c r="AC124" i="65"/>
  <c r="R123" i="65"/>
  <c r="P23" i="57"/>
  <c r="AF136" i="65"/>
  <c r="F9" i="57"/>
  <c r="J34" i="7"/>
  <c r="Q22" i="57"/>
  <c r="H22" i="8"/>
  <c r="D11" i="57"/>
  <c r="G11" i="57"/>
  <c r="G18" i="7"/>
  <c r="N10" i="57"/>
  <c r="M23" i="57"/>
  <c r="E21" i="57"/>
  <c r="AS122" i="65"/>
  <c r="T120" i="65"/>
  <c r="AM123" i="65"/>
  <c r="Y133" i="65"/>
  <c r="E21" i="8"/>
  <c r="K6" i="6"/>
  <c r="K26" i="6" s="1"/>
  <c r="H6" i="57"/>
  <c r="H12" i="57" s="1"/>
  <c r="H25" i="8"/>
  <c r="H24" i="8" s="1"/>
  <c r="AK124" i="65"/>
  <c r="D10" i="8"/>
  <c r="AS137" i="65"/>
  <c r="U127" i="65"/>
  <c r="U67" i="65"/>
  <c r="X127" i="65"/>
  <c r="X67" i="65"/>
  <c r="AO124" i="65"/>
  <c r="L120" i="65"/>
  <c r="Z126" i="65"/>
  <c r="R124" i="65"/>
  <c r="AP136" i="65"/>
  <c r="F11" i="57"/>
  <c r="H43" i="6"/>
  <c r="E24" i="57"/>
  <c r="AD121" i="65"/>
  <c r="W125" i="65"/>
  <c r="C9" i="57"/>
  <c r="L121" i="65"/>
  <c r="W131" i="65"/>
  <c r="W140" i="65" s="1"/>
  <c r="D20" i="8"/>
  <c r="D19" i="8" s="1"/>
  <c r="D27" i="8" s="1"/>
  <c r="AT67" i="65"/>
  <c r="AT127" i="65"/>
  <c r="O7" i="57"/>
  <c r="AF134" i="65"/>
  <c r="M6" i="57"/>
  <c r="M12" i="57" s="1"/>
  <c r="F6" i="7"/>
  <c r="F26" i="7" s="1"/>
  <c r="AB122" i="65"/>
  <c r="O67" i="65"/>
  <c r="O127" i="65"/>
  <c r="R21" i="57"/>
  <c r="H8" i="8"/>
  <c r="B23" i="57"/>
  <c r="N20" i="57"/>
  <c r="N26" i="57" s="1"/>
  <c r="G31" i="7"/>
  <c r="G51" i="7" s="1"/>
  <c r="E14" i="60"/>
  <c r="AB132" i="65"/>
  <c r="U123" i="65"/>
  <c r="X119" i="65"/>
  <c r="X128" i="65" s="1"/>
  <c r="X129" i="65" s="1"/>
  <c r="AO119" i="65"/>
  <c r="AO128" i="65" s="1"/>
  <c r="AO129" i="65" s="1"/>
  <c r="H6" i="6"/>
  <c r="H26" i="6" s="1"/>
  <c r="E6" i="57"/>
  <c r="E12" i="57" s="1"/>
  <c r="L119" i="65"/>
  <c r="Y122" i="65"/>
  <c r="R126" i="65"/>
  <c r="W122" i="65"/>
  <c r="AQ28" i="60"/>
  <c r="H12" i="8"/>
  <c r="H11" i="8" s="1"/>
  <c r="D25" i="57"/>
  <c r="G10" i="57"/>
  <c r="J18" i="6"/>
  <c r="AN120" i="65"/>
  <c r="AJ137" i="65"/>
  <c r="L9" i="57"/>
  <c r="J138" i="65"/>
  <c r="S136" i="65"/>
  <c r="AC135" i="65"/>
  <c r="G6" i="6"/>
  <c r="G26" i="6" s="1"/>
  <c r="D6" i="57"/>
  <c r="D12" i="57" s="1"/>
  <c r="O133" i="65"/>
  <c r="D124" i="65"/>
  <c r="AH131" i="65"/>
  <c r="AH140" i="65" s="1"/>
  <c r="M67" i="65"/>
  <c r="M127" i="65"/>
  <c r="AP134" i="65"/>
  <c r="W119" i="65"/>
  <c r="W128" i="65" s="1"/>
  <c r="AA136" i="65"/>
  <c r="E22" i="8"/>
  <c r="H7" i="8"/>
  <c r="H6" i="8" s="1"/>
  <c r="H14" i="8" s="1"/>
  <c r="T137" i="65"/>
  <c r="X136" i="65"/>
  <c r="AI120" i="65"/>
  <c r="R22" i="57"/>
  <c r="K34" i="7"/>
  <c r="AM138" i="65"/>
  <c r="O119" i="65"/>
  <c r="O128" i="65" s="1"/>
  <c r="O129" i="65" s="1"/>
  <c r="H34" i="6"/>
  <c r="E22" i="57"/>
  <c r="M9" i="57"/>
  <c r="Z67" i="65"/>
  <c r="Z127" i="65"/>
  <c r="AR134" i="65"/>
  <c r="C12" i="8"/>
  <c r="C11" i="8" s="1"/>
  <c r="AA132" i="65"/>
  <c r="AM134" i="65"/>
  <c r="O21" i="57"/>
  <c r="H23" i="57"/>
  <c r="E8" i="8"/>
  <c r="P120" i="65"/>
  <c r="AC132" i="65"/>
  <c r="AI122" i="65"/>
  <c r="F18" i="6"/>
  <c r="C10" i="57"/>
  <c r="P7" i="57"/>
  <c r="J43" i="6"/>
  <c r="G24" i="57"/>
  <c r="C10" i="8"/>
  <c r="AL119" i="65"/>
  <c r="AL128" i="65" s="1"/>
  <c r="AC121" i="65"/>
  <c r="AR67" i="65"/>
  <c r="AR127" i="65"/>
  <c r="W124" i="65"/>
  <c r="AJ67" i="65"/>
  <c r="AJ127" i="65"/>
  <c r="E6" i="7"/>
  <c r="E26" i="7" s="1"/>
  <c r="L6" i="57"/>
  <c r="L12" i="57" s="1"/>
  <c r="Q119" i="65"/>
  <c r="Q128" i="65" s="1"/>
  <c r="Q129" i="65" s="1"/>
  <c r="AK126" i="65"/>
  <c r="AG126" i="65"/>
  <c r="X124" i="65"/>
  <c r="R9" i="57"/>
  <c r="AI126" i="65"/>
  <c r="T127" i="65"/>
  <c r="T67" i="65"/>
  <c r="D26" i="8"/>
  <c r="D48" i="9"/>
  <c r="Y138" i="65"/>
  <c r="AG125" i="65"/>
  <c r="D9" i="8"/>
  <c r="H21" i="8"/>
  <c r="X123" i="65"/>
  <c r="AM133" i="65"/>
  <c r="AB137" i="65"/>
  <c r="AF132" i="65"/>
  <c r="Q67" i="65"/>
  <c r="Q127" i="65"/>
  <c r="AQ122" i="65"/>
  <c r="AA125" i="65"/>
  <c r="C121" i="65"/>
  <c r="L136" i="65"/>
  <c r="D149" i="65" s="1"/>
  <c r="AU120" i="65"/>
  <c r="AA122" i="65"/>
  <c r="H23" i="8"/>
  <c r="AE137" i="65"/>
  <c r="F126" i="65"/>
  <c r="T125" i="65"/>
  <c r="B6" i="57"/>
  <c r="B12" i="57" s="1"/>
  <c r="E6" i="6"/>
  <c r="E26" i="6" s="1"/>
  <c r="AL127" i="65"/>
  <c r="AL67" i="65"/>
  <c r="F8" i="57"/>
  <c r="I9" i="6"/>
  <c r="AB126" i="65"/>
  <c r="E43" i="6"/>
  <c r="B24" i="57"/>
  <c r="Q20" i="57"/>
  <c r="Q26" i="57" s="1"/>
  <c r="J31" i="7"/>
  <c r="J51" i="7" s="1"/>
  <c r="L10" i="57"/>
  <c r="E18" i="7"/>
  <c r="AN125" i="65"/>
  <c r="AS123" i="65"/>
  <c r="AN122" i="65"/>
  <c r="AK137" i="65"/>
  <c r="AP125" i="65"/>
  <c r="AP121" i="65"/>
  <c r="K119" i="65"/>
  <c r="K128" i="65" s="1"/>
  <c r="G48" i="9"/>
  <c r="G26" i="8"/>
  <c r="AT123" i="65"/>
  <c r="H9" i="57"/>
  <c r="AO131" i="65"/>
  <c r="AO140" i="65" s="1"/>
  <c r="T126" i="65"/>
  <c r="T124" i="65"/>
  <c r="AJ125" i="65"/>
  <c r="AH120" i="65"/>
  <c r="AT138" i="65"/>
  <c r="S116" i="65"/>
  <c r="S139" i="65"/>
  <c r="G49" i="60"/>
  <c r="Q121" i="65"/>
  <c r="AT133" i="65"/>
  <c r="C138" i="65"/>
  <c r="AQ121" i="65"/>
  <c r="C9" i="8"/>
  <c r="N126" i="65"/>
  <c r="L20" i="57"/>
  <c r="L26" i="57" s="1"/>
  <c r="E31" i="7"/>
  <c r="E51" i="7" s="1"/>
  <c r="AR136" i="65"/>
  <c r="F21" i="8"/>
  <c r="AR120" i="65"/>
  <c r="G10" i="8"/>
  <c r="G41" i="60"/>
  <c r="G56" i="60" s="1"/>
  <c r="H8" i="57"/>
  <c r="K9" i="6"/>
  <c r="AD132" i="65"/>
  <c r="G22" i="57"/>
  <c r="J34" i="6"/>
  <c r="H9" i="8"/>
  <c r="AB138" i="65"/>
  <c r="AP131" i="65"/>
  <c r="AP140" i="65" s="1"/>
  <c r="AR119" i="65"/>
  <c r="AR128" i="65" s="1"/>
  <c r="AR129" i="65" s="1"/>
  <c r="S125" i="65"/>
  <c r="Y123" i="65"/>
  <c r="D25" i="8"/>
  <c r="D24" i="8" s="1"/>
  <c r="F24" i="57"/>
  <c r="I43" i="6"/>
  <c r="O132" i="65"/>
  <c r="H20" i="57"/>
  <c r="H26" i="57" s="1"/>
  <c r="K31" i="6"/>
  <c r="K51" i="6" s="1"/>
  <c r="D131" i="65"/>
  <c r="D140" i="65" s="1"/>
  <c r="J9" i="7"/>
  <c r="Q8" i="57"/>
  <c r="I126" i="65"/>
  <c r="E121" i="65"/>
  <c r="AU119" i="65"/>
  <c r="AU128" i="65" s="1"/>
  <c r="AB125" i="65"/>
  <c r="D22" i="8"/>
  <c r="D9" i="57"/>
  <c r="F34" i="6"/>
  <c r="C22" i="57"/>
  <c r="Z132" i="65"/>
  <c r="AN126" i="65"/>
  <c r="R138" i="65"/>
  <c r="L135" i="65"/>
  <c r="D148" i="65" s="1"/>
  <c r="AU67" i="65"/>
  <c r="AU127" i="65"/>
  <c r="AE67" i="65"/>
  <c r="AE127" i="65"/>
  <c r="M124" i="65"/>
  <c r="AU123" i="65"/>
  <c r="S119" i="65"/>
  <c r="S128" i="65" s="1"/>
  <c r="O20" i="57"/>
  <c r="O26" i="57" s="1"/>
  <c r="H31" i="7"/>
  <c r="H51" i="7" s="1"/>
  <c r="B8" i="8"/>
  <c r="E24" i="9"/>
  <c r="E13" i="8"/>
  <c r="C7" i="57"/>
  <c r="J127" i="65"/>
  <c r="J67" i="65"/>
  <c r="E20" i="57"/>
  <c r="E26" i="57" s="1"/>
  <c r="H31" i="6"/>
  <c r="H51" i="6" s="1"/>
  <c r="B25" i="8"/>
  <c r="B24" i="8" s="1"/>
  <c r="N123" i="65"/>
  <c r="V136" i="65"/>
  <c r="B7" i="8"/>
  <c r="B6" i="8" s="1"/>
  <c r="B14" i="8" s="1"/>
  <c r="F9" i="7"/>
  <c r="M8" i="57"/>
  <c r="C7" i="8"/>
  <c r="C6" i="8" s="1"/>
  <c r="C14" i="8" s="1"/>
  <c r="AO121" i="65"/>
  <c r="E135" i="65"/>
  <c r="AA21" i="60"/>
  <c r="Q136" i="65"/>
  <c r="L25" i="57"/>
  <c r="L8" i="57"/>
  <c r="E9" i="7"/>
  <c r="AE126" i="65"/>
  <c r="AL138" i="65"/>
  <c r="AH67" i="65"/>
  <c r="AH127" i="65"/>
  <c r="U134" i="65"/>
  <c r="O120" i="65"/>
  <c r="D41" i="60"/>
  <c r="D56" i="60" s="1"/>
  <c r="AK67" i="65"/>
  <c r="AK127" i="65"/>
  <c r="AE122" i="65"/>
  <c r="L125" i="65"/>
  <c r="N121" i="65"/>
  <c r="AH139" i="65"/>
  <c r="AH116" i="65"/>
  <c r="B11" i="57"/>
  <c r="AQ124" i="65"/>
  <c r="S137" i="65"/>
  <c r="Z124" i="65"/>
  <c r="M138" i="65"/>
  <c r="T133" i="65"/>
  <c r="M7" i="57"/>
  <c r="H24" i="9"/>
  <c r="H13" i="8"/>
  <c r="M119" i="65"/>
  <c r="M128" i="65" s="1"/>
  <c r="AC137" i="65"/>
  <c r="AC131" i="65"/>
  <c r="AC140" i="65" s="1"/>
  <c r="D20" i="57"/>
  <c r="D26" i="57" s="1"/>
  <c r="G31" i="6"/>
  <c r="G51" i="6" s="1"/>
  <c r="E7" i="8"/>
  <c r="E6" i="8" s="1"/>
  <c r="E14" i="8" s="1"/>
  <c r="U122" i="65"/>
  <c r="AO125" i="65"/>
  <c r="AK138" i="65"/>
  <c r="AS138" i="65"/>
  <c r="P125" i="65"/>
  <c r="N134" i="65"/>
  <c r="AU134" i="65"/>
  <c r="AU137" i="65"/>
  <c r="AT7" i="60"/>
  <c r="X122" i="65"/>
  <c r="AJ120" i="65"/>
  <c r="AF122" i="65"/>
  <c r="AG136" i="65"/>
  <c r="I34" i="7"/>
  <c r="P22" i="57"/>
  <c r="Q25" i="57"/>
  <c r="L11" i="57"/>
  <c r="AL123" i="65"/>
  <c r="Z119" i="65"/>
  <c r="Z128" i="65" s="1"/>
  <c r="Z129" i="65" s="1"/>
  <c r="C35" i="60"/>
  <c r="AL121" i="65"/>
  <c r="O125" i="65"/>
  <c r="H20" i="8"/>
  <c r="H19" i="8" s="1"/>
  <c r="H27" i="8" s="1"/>
  <c r="T136" i="65"/>
  <c r="AJ119" i="65"/>
  <c r="AJ128" i="65" s="1"/>
  <c r="AJ129" i="65" s="1"/>
  <c r="D45" i="60"/>
  <c r="C25" i="57"/>
  <c r="H22" i="57"/>
  <c r="K34" i="6"/>
  <c r="AM136" i="65"/>
  <c r="X139" i="65"/>
  <c r="X116" i="65"/>
  <c r="F23" i="57"/>
  <c r="S135" i="65"/>
  <c r="AF125" i="65"/>
  <c r="O138" i="65"/>
  <c r="E139" i="65"/>
  <c r="E116" i="65"/>
  <c r="AM7" i="60"/>
  <c r="AQ119" i="65"/>
  <c r="AQ128" i="65" s="1"/>
  <c r="AG122" i="65"/>
  <c r="AI119" i="65"/>
  <c r="AI128" i="65" s="1"/>
  <c r="C26" i="8"/>
  <c r="C48" i="9"/>
  <c r="B10" i="57"/>
  <c r="E18" i="6"/>
  <c r="Z134" i="65"/>
  <c r="AS126" i="65"/>
  <c r="AF131" i="65"/>
  <c r="AF140" i="65" s="1"/>
  <c r="AO135" i="65"/>
  <c r="AO120" i="65"/>
  <c r="D23" i="8"/>
  <c r="F7" i="8"/>
  <c r="F6" i="8" s="1"/>
  <c r="D21" i="8"/>
  <c r="AP120" i="65"/>
  <c r="O124" i="65"/>
  <c r="AP123" i="65"/>
  <c r="P21" i="57"/>
  <c r="AS67" i="65"/>
  <c r="AS127" i="65"/>
  <c r="AQ67" i="65"/>
  <c r="AQ127" i="65"/>
  <c r="Q133" i="65"/>
  <c r="AU125" i="65"/>
  <c r="J116" i="65"/>
  <c r="J139" i="65"/>
  <c r="AB134" i="65"/>
  <c r="K18" i="7"/>
  <c r="R10" i="57"/>
  <c r="I18" i="7"/>
  <c r="P10" i="57"/>
  <c r="AU135" i="65"/>
  <c r="G9" i="57"/>
  <c r="M25" i="57"/>
  <c r="F13" i="8"/>
  <c r="F24" i="9"/>
  <c r="V126" i="65"/>
  <c r="AB131" i="65"/>
  <c r="AB140" i="65" s="1"/>
  <c r="Q23" i="57"/>
  <c r="AS124" i="65"/>
  <c r="AT132" i="65"/>
  <c r="AG131" i="65"/>
  <c r="AG140" i="65" s="1"/>
  <c r="F43" i="6"/>
  <c r="C24" i="57"/>
  <c r="I133" i="65"/>
  <c r="U120" i="65"/>
  <c r="E41" i="60"/>
  <c r="E56" i="60" s="1"/>
  <c r="C23" i="57"/>
  <c r="O14" i="60"/>
  <c r="H10" i="8"/>
  <c r="N7" i="60"/>
  <c r="AB127" i="65"/>
  <c r="AB67" i="65"/>
  <c r="AM120" i="65"/>
  <c r="AA135" i="65"/>
  <c r="AD136" i="65"/>
  <c r="P132" i="65"/>
  <c r="V139" i="65"/>
  <c r="V116" i="65"/>
  <c r="C20" i="8"/>
  <c r="C19" i="8" s="1"/>
  <c r="C27" i="8" s="1"/>
  <c r="U131" i="65"/>
  <c r="U140" i="65" s="1"/>
  <c r="U141" i="65" s="1"/>
  <c r="AP135" i="65"/>
  <c r="AN121" i="65"/>
  <c r="AP124" i="65"/>
  <c r="O25" i="57"/>
  <c r="AM127" i="65"/>
  <c r="AM67" i="65"/>
  <c r="K6" i="7"/>
  <c r="K26" i="7" s="1"/>
  <c r="R6" i="57"/>
  <c r="R12" i="57" s="1"/>
  <c r="F9" i="8"/>
  <c r="AD137" i="65"/>
  <c r="AU28" i="60"/>
  <c r="AH137" i="65"/>
  <c r="AM121" i="65"/>
  <c r="AP21" i="60"/>
  <c r="U119" i="65"/>
  <c r="U128" i="65" s="1"/>
  <c r="U129" i="65" s="1"/>
  <c r="W121" i="65"/>
  <c r="F22" i="8"/>
  <c r="Z133" i="65"/>
  <c r="L23" i="57"/>
  <c r="F6" i="57"/>
  <c r="F12" i="57" s="1"/>
  <c r="I6" i="6"/>
  <c r="I26" i="6" s="1"/>
  <c r="Q126" i="65"/>
  <c r="E10" i="8"/>
  <c r="H24" i="57"/>
  <c r="K43" i="6"/>
  <c r="E9" i="8"/>
  <c r="R122" i="65"/>
  <c r="H18" i="7"/>
  <c r="O10" i="57"/>
  <c r="Y121" i="65"/>
  <c r="B21" i="57"/>
  <c r="Q124" i="65"/>
  <c r="AN137" i="65"/>
  <c r="AL124" i="65"/>
  <c r="AD122" i="65"/>
  <c r="F41" i="60"/>
  <c r="F56" i="60" s="1"/>
  <c r="W67" i="65"/>
  <c r="W127" i="65"/>
  <c r="AN123" i="65"/>
  <c r="AF120" i="65"/>
  <c r="B24" i="9"/>
  <c r="B13" i="8"/>
  <c r="N25" i="57"/>
  <c r="W138" i="65"/>
  <c r="F12" i="8"/>
  <c r="F11" i="8" s="1"/>
  <c r="Y67" i="65"/>
  <c r="Y127" i="65"/>
  <c r="K139" i="65"/>
  <c r="K116" i="65"/>
  <c r="AG120" i="65"/>
  <c r="AI131" i="65"/>
  <c r="AI140" i="65" s="1"/>
  <c r="AI141" i="65" s="1"/>
  <c r="AN67" i="65"/>
  <c r="AN127" i="65"/>
  <c r="N119" i="65"/>
  <c r="N128" i="65" s="1"/>
  <c r="S120" i="65"/>
  <c r="AI137" i="65"/>
  <c r="AJ134" i="65"/>
  <c r="AU121" i="65"/>
  <c r="W126" i="65"/>
  <c r="B22" i="57"/>
  <c r="E34" i="6"/>
  <c r="AO123" i="65"/>
  <c r="X120" i="65"/>
  <c r="G6" i="57"/>
  <c r="G12" i="57" s="1"/>
  <c r="J6" i="6"/>
  <c r="J26" i="6" s="1"/>
  <c r="L21" i="57"/>
  <c r="N23" i="57"/>
  <c r="B20" i="8"/>
  <c r="B19" i="8" s="1"/>
  <c r="B27" i="8" s="1"/>
  <c r="AD134" i="65"/>
  <c r="C8" i="57"/>
  <c r="F9" i="6"/>
  <c r="Q7" i="57"/>
  <c r="M126" i="65"/>
  <c r="X132" i="65"/>
  <c r="C120" i="65"/>
  <c r="P131" i="65"/>
  <c r="P140" i="65" s="1"/>
  <c r="W123" i="65"/>
  <c r="W120" i="65"/>
  <c r="C25" i="8"/>
  <c r="C24" i="8" s="1"/>
  <c r="M134" i="65"/>
  <c r="AE125" i="65"/>
  <c r="AJ122" i="65"/>
  <c r="F25" i="8"/>
  <c r="F24" i="8" s="1"/>
  <c r="AO132" i="65"/>
  <c r="AE131" i="65"/>
  <c r="AE140" i="65" s="1"/>
  <c r="G122" i="65"/>
  <c r="AU126" i="65"/>
  <c r="V132" i="65"/>
  <c r="AK136" i="65"/>
  <c r="AG132" i="65"/>
  <c r="L132" i="65"/>
  <c r="D145" i="65" s="1"/>
  <c r="B25" i="57"/>
  <c r="Y125" i="65"/>
  <c r="AT131" i="65"/>
  <c r="AT140" i="65" s="1"/>
  <c r="AS125" i="65"/>
  <c r="X137" i="65"/>
  <c r="G25" i="8"/>
  <c r="G24" i="8" s="1"/>
  <c r="T132" i="65"/>
  <c r="U138" i="65"/>
  <c r="H132" i="65"/>
  <c r="AP127" i="65"/>
  <c r="AP67" i="65"/>
  <c r="O122" i="65"/>
  <c r="X134" i="65"/>
  <c r="B9" i="8"/>
  <c r="V127" i="65"/>
  <c r="V67" i="65"/>
  <c r="Q132" i="65"/>
  <c r="C8" i="8"/>
  <c r="AU131" i="65"/>
  <c r="AU140" i="65" s="1"/>
  <c r="M136" i="65"/>
  <c r="T7" i="60"/>
  <c r="AI134" i="65"/>
  <c r="R23" i="57"/>
  <c r="AD126" i="65"/>
  <c r="L127" i="65"/>
  <c r="L67" i="65"/>
  <c r="L123" i="65"/>
  <c r="P25" i="57"/>
  <c r="AC67" i="65"/>
  <c r="AC127" i="65"/>
  <c r="F10" i="8"/>
  <c r="R132" i="65"/>
  <c r="Q131" i="65"/>
  <c r="Q140" i="65" s="1"/>
  <c r="S132" i="65"/>
  <c r="AO138" i="65"/>
  <c r="AT134" i="65"/>
  <c r="B12" i="8"/>
  <c r="B11" i="8" s="1"/>
  <c r="AQ138" i="65"/>
  <c r="N11" i="57"/>
  <c r="AQ126" i="65"/>
  <c r="AF124" i="65"/>
  <c r="AN131" i="65"/>
  <c r="AN140" i="65" s="1"/>
  <c r="AN141" i="65" s="1"/>
  <c r="G21" i="57"/>
  <c r="S134" i="65"/>
  <c r="AA131" i="65"/>
  <c r="AA140" i="65" s="1"/>
  <c r="M11" i="57"/>
  <c r="P8" i="57"/>
  <c r="I9" i="7"/>
  <c r="X7" i="60"/>
  <c r="N24" i="57"/>
  <c r="G43" i="7"/>
  <c r="AV28" i="60"/>
  <c r="N125" i="65"/>
  <c r="R125" i="65"/>
  <c r="AD116" i="65"/>
  <c r="AD139" i="65"/>
  <c r="AI138" i="65"/>
  <c r="AG134" i="65"/>
  <c r="AF123" i="65"/>
  <c r="H119" i="65"/>
  <c r="H128" i="65" s="1"/>
  <c r="G126" i="65"/>
  <c r="AO134" i="65"/>
  <c r="AK122" i="65"/>
  <c r="F31" i="7"/>
  <c r="F51" i="7" s="1"/>
  <c r="M20" i="57"/>
  <c r="M26" i="57" s="1"/>
  <c r="AU124" i="65"/>
  <c r="M125" i="65"/>
  <c r="AS131" i="65"/>
  <c r="AS140" i="65" s="1"/>
  <c r="AS141" i="65" s="1"/>
  <c r="AH133" i="65"/>
  <c r="L133" i="65"/>
  <c r="D146" i="65" s="1"/>
  <c r="H18" i="6"/>
  <c r="E10" i="57"/>
  <c r="H9" i="6"/>
  <c r="E8" i="57"/>
  <c r="N120" i="65"/>
  <c r="S126" i="65"/>
  <c r="AW3" i="16"/>
  <c r="D23" i="57"/>
  <c r="L139" i="65"/>
  <c r="D152" i="65" s="1"/>
  <c r="L116" i="65"/>
  <c r="AJ116" i="65"/>
  <c r="AJ139" i="65"/>
  <c r="C21" i="57"/>
  <c r="V123" i="65"/>
  <c r="G139" i="65"/>
  <c r="G116" i="65"/>
  <c r="AL137" i="65"/>
  <c r="Z125" i="65"/>
  <c r="Y131" i="65"/>
  <c r="Y140" i="65" s="1"/>
  <c r="P11" i="57"/>
  <c r="C20" i="57"/>
  <c r="C26" i="57" s="1"/>
  <c r="F31" i="6"/>
  <c r="F51" i="6" s="1"/>
  <c r="AA126" i="65"/>
  <c r="Y28" i="60"/>
  <c r="G13" i="8"/>
  <c r="G24" i="9"/>
  <c r="N131" i="65"/>
  <c r="N140" i="65" s="1"/>
  <c r="N141" i="65" s="1"/>
  <c r="AM131" i="65"/>
  <c r="AM140" i="65" s="1"/>
  <c r="B23" i="8"/>
  <c r="R20" i="57"/>
  <c r="R26" i="57" s="1"/>
  <c r="K31" i="7"/>
  <c r="K51" i="7" s="1"/>
  <c r="S133" i="65"/>
  <c r="F21" i="57"/>
  <c r="AR123" i="65"/>
  <c r="R119" i="65"/>
  <c r="R128" i="65" s="1"/>
  <c r="R129" i="65" s="1"/>
  <c r="AQ136" i="65"/>
  <c r="P137" i="65"/>
  <c r="O8" i="57"/>
  <c r="H9" i="7"/>
  <c r="N21" i="57"/>
  <c r="E67" i="65"/>
  <c r="E127" i="65"/>
  <c r="AR131" i="65"/>
  <c r="AR140" i="65" s="1"/>
  <c r="AA124" i="65"/>
  <c r="AO122" i="65"/>
  <c r="D134" i="65"/>
  <c r="AP138" i="65"/>
  <c r="D10" i="57"/>
  <c r="G18" i="6"/>
  <c r="AT120" i="65"/>
  <c r="AP133" i="65"/>
  <c r="P138" i="65"/>
  <c r="Y119" i="65"/>
  <c r="Y128" i="65" s="1"/>
  <c r="Y129" i="65" s="1"/>
  <c r="AM124" i="65"/>
  <c r="AJ7" i="60"/>
  <c r="R25" i="57"/>
  <c r="K134" i="65"/>
  <c r="E133" i="65"/>
  <c r="AR132" i="65"/>
  <c r="AL131" i="65"/>
  <c r="AL140" i="65" s="1"/>
  <c r="F7" i="57"/>
  <c r="D24" i="9"/>
  <c r="D13" i="8"/>
  <c r="C22" i="8"/>
  <c r="E125" i="65"/>
  <c r="N124" i="65"/>
  <c r="H25" i="57"/>
  <c r="U124" i="65"/>
  <c r="X126" i="65"/>
  <c r="AH122" i="65"/>
  <c r="G119" i="65"/>
  <c r="G128" i="65" s="1"/>
  <c r="J18" i="7"/>
  <c r="Q10" i="57"/>
  <c r="U135" i="65"/>
  <c r="J132" i="65"/>
  <c r="P6" i="57"/>
  <c r="P12" i="57" s="1"/>
  <c r="I6" i="7"/>
  <c r="I26" i="7" s="1"/>
  <c r="V137" i="65"/>
  <c r="H122" i="65"/>
  <c r="H137" i="65"/>
  <c r="AF126" i="65"/>
  <c r="Q134" i="65"/>
  <c r="G134" i="65"/>
  <c r="I120" i="65"/>
  <c r="Z135" i="65"/>
  <c r="AJ14" i="60"/>
  <c r="E11" i="57"/>
  <c r="P139" i="65"/>
  <c r="P116" i="65"/>
  <c r="AF67" i="65"/>
  <c r="AF127" i="65"/>
  <c r="AQ120" i="65"/>
  <c r="S124" i="65"/>
  <c r="AE136" i="65"/>
  <c r="T122" i="65"/>
  <c r="R11" i="57"/>
  <c r="AR121" i="65"/>
  <c r="Y136" i="65"/>
  <c r="AB119" i="65"/>
  <c r="AB128" i="65" s="1"/>
  <c r="AT116" i="65"/>
  <c r="AT139" i="65"/>
  <c r="L124" i="65"/>
  <c r="AM125" i="65"/>
  <c r="X131" i="65"/>
  <c r="X140" i="65" s="1"/>
  <c r="X141" i="65" s="1"/>
  <c r="O9" i="57"/>
  <c r="H131" i="65"/>
  <c r="H140" i="65" s="1"/>
  <c r="C21" i="8"/>
  <c r="AR124" i="65"/>
  <c r="C114" i="71"/>
  <c r="AL132" i="65"/>
  <c r="AK120" i="65"/>
  <c r="E137" i="65"/>
  <c r="R137" i="65"/>
  <c r="AU14" i="60"/>
  <c r="AG135" i="65"/>
  <c r="AR135" i="65"/>
  <c r="L126" i="65"/>
  <c r="AD120" i="65"/>
  <c r="B21" i="8"/>
  <c r="X135" i="65"/>
  <c r="I43" i="7"/>
  <c r="P24" i="57"/>
  <c r="AK134" i="65"/>
  <c r="L138" i="65"/>
  <c r="D151" i="65" s="1"/>
  <c r="F134" i="65"/>
  <c r="O121" i="65"/>
  <c r="E126" i="65"/>
  <c r="J120" i="65"/>
  <c r="AM126" i="65"/>
  <c r="N132" i="65"/>
  <c r="J126" i="65"/>
  <c r="J14" i="60"/>
  <c r="AL125" i="65"/>
  <c r="AJ28" i="60"/>
  <c r="B22" i="8"/>
  <c r="AJ21" i="60"/>
  <c r="AS139" i="65"/>
  <c r="AS116" i="65"/>
  <c r="F67" i="65"/>
  <c r="F127" i="65"/>
  <c r="E9" i="57"/>
  <c r="AM135" i="65"/>
  <c r="T28" i="60"/>
  <c r="AJ121" i="65"/>
  <c r="AA137" i="65"/>
  <c r="P119" i="65"/>
  <c r="P128" i="65" s="1"/>
  <c r="AQ133" i="65"/>
  <c r="N133" i="65"/>
  <c r="V133" i="65"/>
  <c r="L7" i="57"/>
  <c r="Z123" i="65"/>
  <c r="E7" i="60"/>
  <c r="AC126" i="65"/>
  <c r="M133" i="65"/>
  <c r="AT125" i="65"/>
  <c r="F133" i="65"/>
  <c r="V138" i="65"/>
  <c r="U121" i="65"/>
  <c r="P124" i="65"/>
  <c r="AC14" i="60"/>
  <c r="R135" i="65"/>
  <c r="AH125" i="65"/>
  <c r="H127" i="65"/>
  <c r="H67" i="65"/>
  <c r="AQ123" i="65"/>
  <c r="P67" i="65"/>
  <c r="P127" i="65"/>
  <c r="AC120" i="65"/>
  <c r="AS119" i="65"/>
  <c r="AS128" i="65" s="1"/>
  <c r="AS129" i="65" s="1"/>
  <c r="E23" i="8"/>
  <c r="AG116" i="65"/>
  <c r="AG139" i="65"/>
  <c r="E20" i="8"/>
  <c r="E19" i="8" s="1"/>
  <c r="L24" i="57"/>
  <c r="E43" i="7"/>
  <c r="AR116" i="65"/>
  <c r="AR139" i="65"/>
  <c r="R134" i="65"/>
  <c r="AL139" i="65"/>
  <c r="AL116" i="65"/>
  <c r="AS136" i="65"/>
  <c r="E9" i="6"/>
  <c r="B8" i="57"/>
  <c r="I132" i="65"/>
  <c r="AB123" i="65"/>
  <c r="E138" i="65"/>
  <c r="D123" i="65"/>
  <c r="E134" i="65"/>
  <c r="O134" i="65"/>
  <c r="M28" i="60"/>
  <c r="I124" i="65"/>
  <c r="AU116" i="65"/>
  <c r="AU139" i="65"/>
  <c r="AJ136" i="65"/>
  <c r="I123" i="65"/>
  <c r="AD124" i="65"/>
  <c r="AI124" i="65"/>
  <c r="K138" i="65"/>
  <c r="E122" i="65"/>
  <c r="B7" i="57"/>
  <c r="AE119" i="65"/>
  <c r="AE128" i="65" s="1"/>
  <c r="AE129" i="65" s="1"/>
  <c r="AE124" i="65"/>
  <c r="S131" i="65"/>
  <c r="S140" i="65" s="1"/>
  <c r="F35" i="60"/>
  <c r="F55" i="60" s="1"/>
  <c r="K120" i="65"/>
  <c r="AU122" i="65"/>
  <c r="AH134" i="65"/>
  <c r="AL14" i="60"/>
  <c r="AA133" i="65"/>
  <c r="T14" i="60"/>
  <c r="AP119" i="65"/>
  <c r="AP128" i="65" s="1"/>
  <c r="AP129" i="65" s="1"/>
  <c r="V124" i="65"/>
  <c r="AR125" i="65"/>
  <c r="AE133" i="65"/>
  <c r="V7" i="60"/>
  <c r="D7" i="8"/>
  <c r="D6" i="8" s="1"/>
  <c r="M10" i="57"/>
  <c r="F18" i="7"/>
  <c r="E23" i="57"/>
  <c r="Z139" i="65"/>
  <c r="Z116" i="65"/>
  <c r="AI67" i="65"/>
  <c r="AI127" i="65"/>
  <c r="AA134" i="65"/>
  <c r="G124" i="65"/>
  <c r="AR122" i="65"/>
  <c r="AG137" i="65"/>
  <c r="R24" i="57"/>
  <c r="K43" i="7"/>
  <c r="N137" i="65"/>
  <c r="AI116" i="65"/>
  <c r="AI139" i="65"/>
  <c r="AK135" i="65"/>
  <c r="AK139" i="65"/>
  <c r="AK116" i="65"/>
  <c r="AS121" i="65"/>
  <c r="E7" i="57"/>
  <c r="G35" i="60"/>
  <c r="G55" i="60" s="1"/>
  <c r="M122" i="65"/>
  <c r="E124" i="65"/>
  <c r="S14" i="60"/>
  <c r="O11" i="57"/>
  <c r="AH121" i="65"/>
  <c r="AN21" i="60"/>
  <c r="D126" i="65"/>
  <c r="I18" i="6"/>
  <c r="F10" i="57"/>
  <c r="AE7" i="60"/>
  <c r="AK21" i="60"/>
  <c r="AA14" i="60"/>
  <c r="J131" i="65"/>
  <c r="J140" i="65" s="1"/>
  <c r="W139" i="65"/>
  <c r="W116" i="65"/>
  <c r="AA138" i="65"/>
  <c r="Q138" i="65"/>
  <c r="W14" i="60"/>
  <c r="J123" i="65"/>
  <c r="V121" i="65"/>
  <c r="AB14" i="60"/>
  <c r="H14" i="60"/>
  <c r="AB121" i="65"/>
  <c r="Z137" i="65"/>
  <c r="AJ132" i="65"/>
  <c r="J125" i="65"/>
  <c r="E131" i="65"/>
  <c r="E140" i="65" s="1"/>
  <c r="E141" i="65" s="1"/>
  <c r="R116" i="65"/>
  <c r="R139" i="65"/>
  <c r="Z122" i="65"/>
  <c r="W135" i="65"/>
  <c r="AQ132" i="65"/>
  <c r="Q21" i="57"/>
  <c r="AM137" i="65"/>
  <c r="AH14" i="60"/>
  <c r="C137" i="65"/>
  <c r="AH138" i="65"/>
  <c r="J134" i="65"/>
  <c r="AQ137" i="65"/>
  <c r="AI136" i="65"/>
  <c r="I134" i="65"/>
  <c r="E99" i="71"/>
  <c r="E123" i="65"/>
  <c r="AI133" i="65"/>
  <c r="I137" i="65"/>
  <c r="AD131" i="65"/>
  <c r="AD140" i="65" s="1"/>
  <c r="AD141" i="65" s="1"/>
  <c r="Q137" i="65"/>
  <c r="R7" i="57"/>
  <c r="AT126" i="65"/>
  <c r="AQ131" i="65"/>
  <c r="AQ140" i="65" s="1"/>
  <c r="K132" i="65"/>
  <c r="S121" i="65"/>
  <c r="D49" i="60"/>
  <c r="D60" i="60" s="1"/>
  <c r="AJ126" i="65"/>
  <c r="Y135" i="65"/>
  <c r="F49" i="60"/>
  <c r="AU138" i="65"/>
  <c r="C122" i="65"/>
  <c r="P21" i="60"/>
  <c r="AB120" i="65"/>
  <c r="W7" i="60"/>
  <c r="K123" i="65"/>
  <c r="S138" i="65"/>
  <c r="AQ21" i="60"/>
  <c r="AM28" i="60"/>
  <c r="F116" i="65"/>
  <c r="F139" i="65"/>
  <c r="C126" i="65"/>
  <c r="AG121" i="65"/>
  <c r="I7" i="60"/>
  <c r="AL136" i="65"/>
  <c r="AG28" i="60"/>
  <c r="AD123" i="65"/>
  <c r="AH119" i="65"/>
  <c r="AH128" i="65" s="1"/>
  <c r="AH129" i="65" s="1"/>
  <c r="O137" i="65"/>
  <c r="T116" i="65"/>
  <c r="T139" i="65"/>
  <c r="D120" i="65"/>
  <c r="Z121" i="65"/>
  <c r="AK123" i="65"/>
  <c r="AP132" i="65"/>
  <c r="AA139" i="65"/>
  <c r="AA116" i="65"/>
  <c r="H10" i="57"/>
  <c r="K18" i="6"/>
  <c r="K124" i="65"/>
  <c r="W133" i="65"/>
  <c r="AK132" i="65"/>
  <c r="Y21" i="60"/>
  <c r="AF116" i="65"/>
  <c r="AF139" i="65"/>
  <c r="N127" i="65"/>
  <c r="N67" i="65"/>
  <c r="E86" i="71"/>
  <c r="E129" i="71" s="1"/>
  <c r="AH136" i="65"/>
  <c r="T131" i="65"/>
  <c r="T140" i="65" s="1"/>
  <c r="T141" i="65" s="1"/>
  <c r="R121" i="65"/>
  <c r="AO137" i="65"/>
  <c r="AE123" i="65"/>
  <c r="D125" i="65"/>
  <c r="H136" i="65"/>
  <c r="G23" i="8"/>
  <c r="M22" i="57"/>
  <c r="F34" i="7"/>
  <c r="H21" i="57"/>
  <c r="AK119" i="65"/>
  <c r="AK128" i="65" s="1"/>
  <c r="AK129" i="65" s="1"/>
  <c r="F26" i="8"/>
  <c r="F48" i="9"/>
  <c r="G6" i="7"/>
  <c r="G26" i="7" s="1"/>
  <c r="N6" i="57"/>
  <c r="N12" i="57" s="1"/>
  <c r="M137" i="65"/>
  <c r="AF138" i="65"/>
  <c r="AE14" i="60"/>
  <c r="AK14" i="60"/>
  <c r="K121" i="65"/>
  <c r="AI14" i="60"/>
  <c r="T135" i="65"/>
  <c r="Q11" i="57"/>
  <c r="I14" i="60"/>
  <c r="AS133" i="65"/>
  <c r="K122" i="65"/>
  <c r="AL135" i="65"/>
  <c r="AM139" i="65"/>
  <c r="AM116" i="65"/>
  <c r="H120" i="65"/>
  <c r="AM14" i="60"/>
  <c r="I138" i="65"/>
  <c r="AN136" i="65"/>
  <c r="N136" i="65"/>
  <c r="AK133" i="65"/>
  <c r="Z131" i="65"/>
  <c r="Z140" i="65" s="1"/>
  <c r="Z141" i="65" s="1"/>
  <c r="O116" i="65"/>
  <c r="O139" i="65"/>
  <c r="M132" i="65"/>
  <c r="D139" i="65"/>
  <c r="D116" i="65"/>
  <c r="AD133" i="65"/>
  <c r="D119" i="65"/>
  <c r="D128" i="65" s="1"/>
  <c r="D129" i="65" s="1"/>
  <c r="AE116" i="65"/>
  <c r="AE139" i="65"/>
  <c r="F83" i="71"/>
  <c r="AH126" i="65"/>
  <c r="AS134" i="65"/>
  <c r="AN14" i="60"/>
  <c r="AG123" i="65"/>
  <c r="AQ134" i="65"/>
  <c r="H133" i="65"/>
  <c r="D122" i="65"/>
  <c r="AD125" i="65"/>
  <c r="F135" i="65"/>
  <c r="K131" i="65"/>
  <c r="K140" i="65" s="1"/>
  <c r="K141" i="65" s="1"/>
  <c r="X125" i="65"/>
  <c r="AE120" i="65"/>
  <c r="AO136" i="65"/>
  <c r="AR138" i="65"/>
  <c r="T119" i="65"/>
  <c r="T128" i="65" s="1"/>
  <c r="T129" i="65" s="1"/>
  <c r="AN138" i="65"/>
  <c r="R120" i="65"/>
  <c r="AM132" i="65"/>
  <c r="W136" i="65"/>
  <c r="AV14" i="60"/>
  <c r="AS7" i="60"/>
  <c r="AF119" i="65"/>
  <c r="AF128" i="65" s="1"/>
  <c r="AF129" i="65" s="1"/>
  <c r="AA67" i="65"/>
  <c r="AA127" i="65"/>
  <c r="S127" i="65"/>
  <c r="S67" i="65"/>
  <c r="D133" i="65"/>
  <c r="AM122" i="65"/>
  <c r="L134" i="65"/>
  <c r="D147" i="65" s="1"/>
  <c r="E90" i="71"/>
  <c r="E132" i="71" s="1"/>
  <c r="AE132" i="65"/>
  <c r="AO126" i="65"/>
  <c r="AI125" i="65"/>
  <c r="AR21" i="60"/>
  <c r="C127" i="65"/>
  <c r="C67" i="65"/>
  <c r="G133" i="65"/>
  <c r="X28" i="60"/>
  <c r="D127" i="65"/>
  <c r="D67" i="65"/>
  <c r="J122" i="65"/>
  <c r="D28" i="60"/>
  <c r="E119" i="65"/>
  <c r="E128" i="65" s="1"/>
  <c r="I139" i="65"/>
  <c r="I116" i="65"/>
  <c r="Y124" i="65"/>
  <c r="F137" i="65"/>
  <c r="O136" i="65"/>
  <c r="G14" i="60"/>
  <c r="C134" i="65"/>
  <c r="F85" i="71"/>
  <c r="F128" i="71" s="1"/>
  <c r="N135" i="65"/>
  <c r="V125" i="65"/>
  <c r="L21" i="60"/>
  <c r="AR137" i="65"/>
  <c r="K14" i="60"/>
  <c r="G135" i="65"/>
  <c r="P7" i="60"/>
  <c r="K126" i="65"/>
  <c r="D136" i="65"/>
  <c r="AE138" i="65"/>
  <c r="Q135" i="65"/>
  <c r="M14" i="60"/>
  <c r="L131" i="65"/>
  <c r="C131" i="65"/>
  <c r="C140" i="65" s="1"/>
  <c r="C102" i="71"/>
  <c r="C107" i="71" s="1"/>
  <c r="C136" i="71" s="1"/>
  <c r="AD135" i="65"/>
  <c r="V120" i="65"/>
  <c r="AD14" i="60"/>
  <c r="AC136" i="65"/>
  <c r="D132" i="65"/>
  <c r="AJ135" i="65"/>
  <c r="P136" i="65"/>
  <c r="V28" i="60"/>
  <c r="G120" i="65"/>
  <c r="AV7" i="60"/>
  <c r="AO7" i="60"/>
  <c r="AF21" i="60"/>
  <c r="AT119" i="65"/>
  <c r="AT128" i="65" s="1"/>
  <c r="AT129" i="65" s="1"/>
  <c r="AF7" i="60"/>
  <c r="AT135" i="65"/>
  <c r="M135" i="65"/>
  <c r="H121" i="65"/>
  <c r="H134" i="65"/>
  <c r="AO116" i="65"/>
  <c r="AO139" i="65"/>
  <c r="X133" i="65"/>
  <c r="AJ123" i="65"/>
  <c r="H124" i="65"/>
  <c r="AU136" i="65"/>
  <c r="F21" i="60"/>
  <c r="I119" i="65"/>
  <c r="I128" i="65" s="1"/>
  <c r="I129" i="65" s="1"/>
  <c r="V135" i="65"/>
  <c r="AH123" i="65"/>
  <c r="P122" i="65"/>
  <c r="G121" i="65"/>
  <c r="H6" i="7"/>
  <c r="H26" i="7" s="1"/>
  <c r="O6" i="57"/>
  <c r="O12" i="57" s="1"/>
  <c r="C123" i="65"/>
  <c r="AQ139" i="65"/>
  <c r="AQ116" i="65"/>
  <c r="F132" i="65"/>
  <c r="I135" i="65"/>
  <c r="Y116" i="65"/>
  <c r="Y139" i="65"/>
  <c r="F45" i="60"/>
  <c r="AS21" i="60"/>
  <c r="U7" i="60"/>
  <c r="AU7" i="60"/>
  <c r="AO133" i="65"/>
  <c r="AG133" i="65"/>
  <c r="K133" i="65"/>
  <c r="K7" i="60"/>
  <c r="AQ14" i="60"/>
  <c r="AO21" i="60"/>
  <c r="AC133" i="65"/>
  <c r="AN135" i="65"/>
  <c r="AF133" i="65"/>
  <c r="AF135" i="65"/>
  <c r="N28" i="60"/>
  <c r="P133" i="65"/>
  <c r="AS135" i="65"/>
  <c r="D87" i="71"/>
  <c r="D121" i="65"/>
  <c r="AN134" i="65"/>
  <c r="U132" i="65"/>
  <c r="AE135" i="65"/>
  <c r="D24" i="57"/>
  <c r="G43" i="6"/>
  <c r="AG7" i="60"/>
  <c r="D35" i="60"/>
  <c r="D55" i="60" s="1"/>
  <c r="G125" i="65"/>
  <c r="AB133" i="65"/>
  <c r="H135" i="65"/>
  <c r="R21" i="60"/>
  <c r="L14" i="60"/>
  <c r="F119" i="65"/>
  <c r="F128" i="65" s="1"/>
  <c r="F129" i="65" s="1"/>
  <c r="AI132" i="65"/>
  <c r="AL133" i="65"/>
  <c r="AH124" i="65"/>
  <c r="AU133" i="65"/>
  <c r="AP28" i="60"/>
  <c r="AG119" i="65"/>
  <c r="AG128" i="65" s="1"/>
  <c r="AG129" i="65" s="1"/>
  <c r="J124" i="65"/>
  <c r="D90" i="71"/>
  <c r="D132" i="71" s="1"/>
  <c r="AG67" i="65"/>
  <c r="AG127" i="65"/>
  <c r="D7" i="60"/>
  <c r="H126" i="65"/>
  <c r="H125" i="65"/>
  <c r="AE21" i="60"/>
  <c r="U136" i="65"/>
  <c r="O135" i="65"/>
  <c r="U133" i="65"/>
  <c r="AP126" i="65"/>
  <c r="AI28" i="60"/>
  <c r="O28" i="60"/>
  <c r="AM21" i="60"/>
  <c r="W21" i="60"/>
  <c r="AJ133" i="65"/>
  <c r="J21" i="60"/>
  <c r="AH28" i="60"/>
  <c r="AF121" i="65"/>
  <c r="AK121" i="65"/>
  <c r="AT136" i="65"/>
  <c r="Y126" i="65"/>
  <c r="J136" i="65"/>
  <c r="G45" i="60"/>
  <c r="G59" i="60" s="1"/>
  <c r="E35" i="60"/>
  <c r="E55" i="60" s="1"/>
  <c r="AA119" i="65"/>
  <c r="AA128" i="65" s="1"/>
  <c r="AA129" i="65" s="1"/>
  <c r="N138" i="65"/>
  <c r="AS120" i="65"/>
  <c r="D138" i="65"/>
  <c r="H28" i="60"/>
  <c r="K125" i="65"/>
  <c r="U14" i="60"/>
  <c r="X21" i="60"/>
  <c r="R136" i="65"/>
  <c r="T134" i="65"/>
  <c r="Q21" i="60"/>
  <c r="X138" i="65"/>
  <c r="M7" i="60"/>
  <c r="E120" i="65"/>
  <c r="D137" i="65"/>
  <c r="AF28" i="60"/>
  <c r="AK131" i="65"/>
  <c r="AK140" i="65" s="1"/>
  <c r="AK141" i="65" s="1"/>
  <c r="AE134" i="65"/>
  <c r="AH21" i="60"/>
  <c r="U137" i="65"/>
  <c r="I67" i="65"/>
  <c r="I127" i="65"/>
  <c r="G92" i="71"/>
  <c r="G95" i="71" s="1"/>
  <c r="D135" i="65"/>
  <c r="AN124" i="65"/>
  <c r="AT124" i="65"/>
  <c r="J7" i="60"/>
  <c r="F125" i="65"/>
  <c r="AP116" i="65"/>
  <c r="AP139" i="65"/>
  <c r="F28" i="60"/>
  <c r="J137" i="65"/>
  <c r="P14" i="60"/>
  <c r="R131" i="65"/>
  <c r="R140" i="65" s="1"/>
  <c r="R141" i="65" s="1"/>
  <c r="AL21" i="60"/>
  <c r="S21" i="60"/>
  <c r="C119" i="65"/>
  <c r="C128" i="65" s="1"/>
  <c r="C129" i="65" s="1"/>
  <c r="W134" i="65"/>
  <c r="D14" i="60"/>
  <c r="L28" i="60"/>
  <c r="AG21" i="60"/>
  <c r="I122" i="65"/>
  <c r="E45" i="60"/>
  <c r="I21" i="60"/>
  <c r="F97" i="71"/>
  <c r="F120" i="65"/>
  <c r="R133" i="65"/>
  <c r="I131" i="65"/>
  <c r="I140" i="65" s="1"/>
  <c r="I141" i="65" s="1"/>
  <c r="C88" i="71"/>
  <c r="C130" i="71" s="1"/>
  <c r="AI21" i="60"/>
  <c r="U21" i="60"/>
  <c r="AG14" i="60"/>
  <c r="J121" i="65"/>
  <c r="AO14" i="60"/>
  <c r="G119" i="71"/>
  <c r="F109" i="71"/>
  <c r="V21" i="60"/>
  <c r="F99" i="71"/>
  <c r="E97" i="71"/>
  <c r="D81" i="71"/>
  <c r="AD127" i="65"/>
  <c r="AD67" i="65"/>
  <c r="D93" i="71"/>
  <c r="AO28" i="60"/>
  <c r="E115" i="71"/>
  <c r="Z28" i="60"/>
  <c r="Q14" i="60"/>
  <c r="G111" i="71"/>
  <c r="G122" i="71" s="1"/>
  <c r="G138" i="71" s="1"/>
  <c r="AP14" i="60"/>
  <c r="U28" i="60"/>
  <c r="H123" i="65"/>
  <c r="F92" i="71"/>
  <c r="F95" i="71" s="1"/>
  <c r="R28" i="60"/>
  <c r="F138" i="65"/>
  <c r="AT21" i="60"/>
  <c r="C92" i="71"/>
  <c r="C95" i="71" s="1"/>
  <c r="C121" i="71"/>
  <c r="G118" i="71"/>
  <c r="G21" i="60"/>
  <c r="F98" i="71"/>
  <c r="C116" i="71"/>
  <c r="C118" i="71"/>
  <c r="F117" i="71"/>
  <c r="E92" i="71"/>
  <c r="E95" i="71" s="1"/>
  <c r="D102" i="71"/>
  <c r="D107" i="71" s="1"/>
  <c r="D136" i="71" s="1"/>
  <c r="G81" i="71"/>
  <c r="C99" i="71"/>
  <c r="C101" i="71"/>
  <c r="Q28" i="60"/>
  <c r="O131" i="65"/>
  <c r="O140" i="65" s="1"/>
  <c r="O141" i="65" s="1"/>
  <c r="T121" i="65"/>
  <c r="AC116" i="65"/>
  <c r="AC139" i="65"/>
  <c r="AK7" i="60"/>
  <c r="AL28" i="60"/>
  <c r="D106" i="71"/>
  <c r="C124" i="65"/>
  <c r="AL7" i="60"/>
  <c r="AR28" i="60"/>
  <c r="Q125" i="65"/>
  <c r="AI7" i="60"/>
  <c r="F89" i="71"/>
  <c r="AE28" i="60"/>
  <c r="D103" i="71"/>
  <c r="G90" i="71"/>
  <c r="G132" i="71" s="1"/>
  <c r="AB28" i="60"/>
  <c r="AN132" i="65"/>
  <c r="E84" i="71"/>
  <c r="E127" i="71" s="1"/>
  <c r="D116" i="71"/>
  <c r="C96" i="71"/>
  <c r="C100" i="71" s="1"/>
  <c r="C135" i="71" s="1"/>
  <c r="C112" i="71"/>
  <c r="J28" i="60"/>
  <c r="T123" i="65"/>
  <c r="F120" i="71"/>
  <c r="AC28" i="60"/>
  <c r="H138" i="65"/>
  <c r="D99" i="71"/>
  <c r="M21" i="60"/>
  <c r="AL120" i="65"/>
  <c r="Z7" i="60"/>
  <c r="R7" i="60"/>
  <c r="S123" i="65"/>
  <c r="E132" i="65"/>
  <c r="AA28" i="60"/>
  <c r="E89" i="71"/>
  <c r="AR7" i="60"/>
  <c r="D85" i="71"/>
  <c r="D128" i="71" s="1"/>
  <c r="K67" i="65"/>
  <c r="K127" i="65"/>
  <c r="M139" i="65"/>
  <c r="M116" i="65"/>
  <c r="D89" i="71"/>
  <c r="D131" i="71" s="1"/>
  <c r="AN7" i="60"/>
  <c r="F108" i="71"/>
  <c r="F110" i="71" s="1"/>
  <c r="F137" i="71" s="1"/>
  <c r="F122" i="65"/>
  <c r="P28" i="60"/>
  <c r="R14" i="60"/>
  <c r="G137" i="65"/>
  <c r="F7" i="60"/>
  <c r="G105" i="71"/>
  <c r="F84" i="71"/>
  <c r="F127" i="71" s="1"/>
  <c r="D109" i="71"/>
  <c r="AB21" i="60"/>
  <c r="G82" i="71"/>
  <c r="G126" i="71" s="1"/>
  <c r="E113" i="71"/>
  <c r="S28" i="60"/>
  <c r="AQ7" i="60"/>
  <c r="C116" i="65"/>
  <c r="C139" i="65"/>
  <c r="K21" i="60"/>
  <c r="C87" i="71"/>
  <c r="H21" i="60"/>
  <c r="G116" i="71"/>
  <c r="F105" i="71"/>
  <c r="G7" i="60"/>
  <c r="I125" i="65"/>
  <c r="I136" i="65"/>
  <c r="D98" i="71"/>
  <c r="G98" i="71"/>
  <c r="Z14" i="60"/>
  <c r="AP7" i="60"/>
  <c r="F82" i="71"/>
  <c r="F126" i="71" s="1"/>
  <c r="C83" i="71"/>
  <c r="G108" i="71"/>
  <c r="G110" i="71" s="1"/>
  <c r="G137" i="71" s="1"/>
  <c r="G88" i="71"/>
  <c r="G130" i="71" s="1"/>
  <c r="F115" i="71"/>
  <c r="AJ124" i="65"/>
  <c r="AQ135" i="65"/>
  <c r="AV21" i="60"/>
  <c r="F87" i="71"/>
  <c r="D83" i="71"/>
  <c r="C108" i="71"/>
  <c r="C110" i="71" s="1"/>
  <c r="C137" i="71" s="1"/>
  <c r="G96" i="71"/>
  <c r="G100" i="71" s="1"/>
  <c r="G135" i="71" s="1"/>
  <c r="N21" i="60"/>
  <c r="D113" i="71"/>
  <c r="G99" i="71"/>
  <c r="E93" i="71"/>
  <c r="N14" i="60"/>
  <c r="AD7" i="60"/>
  <c r="O7" i="60"/>
  <c r="D120" i="71"/>
  <c r="F101" i="71"/>
  <c r="F88" i="71"/>
  <c r="F130" i="71" s="1"/>
  <c r="W28" i="60"/>
  <c r="G106" i="71"/>
  <c r="AT28" i="60"/>
  <c r="AC21" i="60"/>
  <c r="D91" i="71"/>
  <c r="D133" i="71" s="1"/>
  <c r="C105" i="71"/>
  <c r="AD28" i="60"/>
  <c r="K136" i="65"/>
  <c r="F104" i="71"/>
  <c r="AH7" i="60"/>
  <c r="E91" i="71"/>
  <c r="E133" i="71" s="1"/>
  <c r="C85" i="71"/>
  <c r="C128" i="71" s="1"/>
  <c r="G104" i="71"/>
  <c r="AA7" i="60"/>
  <c r="C111" i="71"/>
  <c r="C122" i="71" s="1"/>
  <c r="C138" i="71" s="1"/>
  <c r="F91" i="71"/>
  <c r="F133" i="71" s="1"/>
  <c r="AS14" i="60"/>
  <c r="AB136" i="65"/>
  <c r="D97" i="71"/>
  <c r="G101" i="71"/>
  <c r="F14" i="60"/>
  <c r="C82" i="71"/>
  <c r="D108" i="71"/>
  <c r="D110" i="71" s="1"/>
  <c r="D137" i="71" s="1"/>
  <c r="E111" i="71"/>
  <c r="E122" i="71" s="1"/>
  <c r="E138" i="71" s="1"/>
  <c r="D104" i="71"/>
  <c r="G28" i="60"/>
  <c r="C86" i="71"/>
  <c r="F119" i="71"/>
  <c r="T21" i="60"/>
  <c r="AK28" i="60"/>
  <c r="S7" i="60"/>
  <c r="G136" i="65"/>
  <c r="G131" i="65"/>
  <c r="G140" i="65" s="1"/>
  <c r="G141" i="65" s="1"/>
  <c r="AC138" i="65"/>
  <c r="C133" i="65"/>
  <c r="C104" i="71"/>
  <c r="G138" i="65"/>
  <c r="J133" i="65"/>
  <c r="C125" i="65"/>
  <c r="G109" i="71"/>
  <c r="K137" i="65"/>
  <c r="D94" i="71"/>
  <c r="F112" i="71"/>
  <c r="C89" i="71"/>
  <c r="D92" i="71"/>
  <c r="D95" i="71" s="1"/>
  <c r="G121" i="71"/>
  <c r="AB7" i="60"/>
  <c r="C115" i="71"/>
  <c r="V14" i="60"/>
  <c r="G123" i="65"/>
  <c r="F136" i="65"/>
  <c r="G132" i="65"/>
  <c r="G67" i="65"/>
  <c r="G127" i="65"/>
  <c r="D121" i="71"/>
  <c r="F90" i="71"/>
  <c r="F132" i="71" s="1"/>
  <c r="Y134" i="65"/>
  <c r="G97" i="71"/>
  <c r="AF137" i="65"/>
  <c r="L7" i="60"/>
  <c r="X14" i="60"/>
  <c r="Q7" i="60"/>
  <c r="I28" i="60"/>
  <c r="F123" i="65"/>
  <c r="J119" i="65"/>
  <c r="J128" i="65" s="1"/>
  <c r="J129" i="65" s="1"/>
  <c r="G115" i="71"/>
  <c r="G120" i="71"/>
  <c r="G112" i="71"/>
  <c r="E118" i="71"/>
  <c r="E21" i="60"/>
  <c r="AC123" i="65"/>
  <c r="E83" i="71"/>
  <c r="D21" i="60"/>
  <c r="K28" i="60"/>
  <c r="C97" i="71"/>
  <c r="E96" i="71"/>
  <c r="E100" i="71" s="1"/>
  <c r="E135" i="71" s="1"/>
  <c r="G114" i="71"/>
  <c r="H139" i="65"/>
  <c r="H116" i="65"/>
  <c r="C135" i="65"/>
  <c r="F111" i="71"/>
  <c r="F122" i="71" s="1"/>
  <c r="F138" i="71" s="1"/>
  <c r="C90" i="71"/>
  <c r="C132" i="71" s="1"/>
  <c r="AC7" i="60"/>
  <c r="E85" i="71"/>
  <c r="E128" i="71" s="1"/>
  <c r="C91" i="71"/>
  <c r="C133" i="71" s="1"/>
  <c r="G86" i="71"/>
  <c r="G83" i="71"/>
  <c r="F113" i="71"/>
  <c r="E49" i="60"/>
  <c r="E60" i="60" s="1"/>
  <c r="Y7" i="60"/>
  <c r="G94" i="71"/>
  <c r="G102" i="71"/>
  <c r="G107" i="71" s="1"/>
  <c r="G136" i="71" s="1"/>
  <c r="E105" i="71"/>
  <c r="AB135" i="65"/>
  <c r="C94" i="71"/>
  <c r="P134" i="65"/>
  <c r="F121" i="71"/>
  <c r="F94" i="71"/>
  <c r="AU21" i="60"/>
  <c r="AT14" i="60"/>
  <c r="O21" i="60"/>
  <c r="C84" i="71"/>
  <c r="C127" i="71" s="1"/>
  <c r="E120" i="71"/>
  <c r="E108" i="71"/>
  <c r="E110" i="71" s="1"/>
  <c r="E137" i="71" s="1"/>
  <c r="D114" i="71"/>
  <c r="E117" i="71"/>
  <c r="Z21" i="60"/>
  <c r="C136" i="65"/>
  <c r="C98" i="71"/>
  <c r="D86" i="71"/>
  <c r="D129" i="71" s="1"/>
  <c r="E88" i="71"/>
  <c r="E130" i="71" s="1"/>
  <c r="E82" i="71"/>
  <c r="E126" i="71" s="1"/>
  <c r="G91" i="71"/>
  <c r="G133" i="71" s="1"/>
  <c r="Q139" i="65"/>
  <c r="Q116" i="65"/>
  <c r="AF14" i="60"/>
  <c r="E28" i="60"/>
  <c r="E114" i="71"/>
  <c r="E109" i="71"/>
  <c r="E112" i="71"/>
  <c r="G113" i="71"/>
  <c r="H7" i="60"/>
  <c r="F106" i="71"/>
  <c r="D82" i="71"/>
  <c r="D126" i="71" s="1"/>
  <c r="D139" i="71" s="1"/>
  <c r="C93" i="71"/>
  <c r="C103" i="71"/>
  <c r="D112" i="71"/>
  <c r="D117" i="71"/>
  <c r="F118" i="71"/>
  <c r="AN28" i="60"/>
  <c r="C119" i="71"/>
  <c r="E116" i="71"/>
  <c r="Y14" i="60"/>
  <c r="G103" i="71"/>
  <c r="F102" i="71"/>
  <c r="F107" i="71" s="1"/>
  <c r="F136" i="71" s="1"/>
  <c r="G93" i="71"/>
  <c r="D115" i="71"/>
  <c r="C120" i="71"/>
  <c r="E87" i="71"/>
  <c r="D105" i="71"/>
  <c r="C117" i="71"/>
  <c r="G89" i="71"/>
  <c r="G131" i="71" s="1"/>
  <c r="F81" i="71"/>
  <c r="G85" i="71"/>
  <c r="G128" i="71" s="1"/>
  <c r="AD21" i="60"/>
  <c r="D96" i="71"/>
  <c r="D100" i="71" s="1"/>
  <c r="D135" i="71" s="1"/>
  <c r="E102" i="71"/>
  <c r="E107" i="71" s="1"/>
  <c r="E136" i="71" s="1"/>
  <c r="D111" i="71"/>
  <c r="D122" i="71" s="1"/>
  <c r="D138" i="71" s="1"/>
  <c r="E98" i="71"/>
  <c r="E81" i="71"/>
  <c r="D101" i="71"/>
  <c r="G84" i="71"/>
  <c r="G127" i="71" s="1"/>
  <c r="F93" i="71"/>
  <c r="F86" i="71"/>
  <c r="F129" i="71" s="1"/>
  <c r="D84" i="71"/>
  <c r="D127" i="71" s="1"/>
  <c r="D88" i="71"/>
  <c r="D130" i="71" s="1"/>
  <c r="F96" i="71"/>
  <c r="F100" i="71" s="1"/>
  <c r="F135" i="71" s="1"/>
  <c r="G87" i="71"/>
  <c r="C106" i="71"/>
  <c r="AR14" i="60"/>
  <c r="C81" i="71"/>
  <c r="E101" i="71"/>
  <c r="F116" i="71"/>
  <c r="F131" i="65"/>
  <c r="F140" i="65" s="1"/>
  <c r="E103" i="71"/>
  <c r="C113" i="71"/>
  <c r="F114" i="71"/>
  <c r="E94" i="71"/>
  <c r="C109" i="71"/>
  <c r="E119" i="71"/>
  <c r="E104" i="71"/>
  <c r="F103" i="71"/>
  <c r="E106" i="71"/>
  <c r="D118" i="71"/>
  <c r="G117" i="71"/>
  <c r="D119" i="71"/>
  <c r="AS28" i="60"/>
  <c r="E121" i="71"/>
  <c r="F123" i="71" l="1"/>
  <c r="F124" i="71" s="1"/>
  <c r="F134" i="71"/>
  <c r="F139" i="71" s="1"/>
  <c r="F140" i="71" s="1"/>
  <c r="AF141" i="65"/>
  <c r="F147" i="65"/>
  <c r="C147" i="65"/>
  <c r="C131" i="71"/>
  <c r="G134" i="71"/>
  <c r="G139" i="71" s="1"/>
  <c r="G140" i="71" s="1"/>
  <c r="G123" i="71"/>
  <c r="G124" i="71" s="1"/>
  <c r="D144" i="65"/>
  <c r="L140" i="65"/>
  <c r="J141" i="65"/>
  <c r="S141" i="65"/>
  <c r="AL141" i="65"/>
  <c r="AM141" i="65"/>
  <c r="C148" i="65"/>
  <c r="F148" i="65"/>
  <c r="AU141" i="65"/>
  <c r="AT141" i="65"/>
  <c r="N129" i="65"/>
  <c r="D59" i="60"/>
  <c r="AQ129" i="65"/>
  <c r="AP141" i="65"/>
  <c r="AL129" i="65"/>
  <c r="W129" i="65"/>
  <c r="AH141" i="65"/>
  <c r="D134" i="71"/>
  <c r="D123" i="71"/>
  <c r="D124" i="71" s="1"/>
  <c r="E134" i="71"/>
  <c r="E139" i="71" s="1"/>
  <c r="E140" i="71" s="1"/>
  <c r="E123" i="71"/>
  <c r="E124" i="71" s="1"/>
  <c r="C134" i="71"/>
  <c r="C123" i="71"/>
  <c r="C124" i="71" s="1"/>
  <c r="H129" i="65"/>
  <c r="AC141" i="65"/>
  <c r="F146" i="65"/>
  <c r="C146" i="65"/>
  <c r="D14" i="8"/>
  <c r="C129" i="71"/>
  <c r="F131" i="71"/>
  <c r="E129" i="65"/>
  <c r="F60" i="60"/>
  <c r="P129" i="65"/>
  <c r="F59" i="60"/>
  <c r="AB129" i="65"/>
  <c r="G129" i="65"/>
  <c r="AR141" i="65"/>
  <c r="Y141" i="65"/>
  <c r="AE141" i="65"/>
  <c r="F14" i="8"/>
  <c r="M129" i="65"/>
  <c r="S129" i="65"/>
  <c r="AU129" i="65"/>
  <c r="G60" i="60"/>
  <c r="AO141" i="65"/>
  <c r="C145" i="65"/>
  <c r="F145" i="65"/>
  <c r="AM129" i="65"/>
  <c r="AN129" i="65"/>
  <c r="M141" i="65"/>
  <c r="V129" i="65"/>
  <c r="C141" i="65"/>
  <c r="AQ141" i="65"/>
  <c r="F144" i="65"/>
  <c r="L128" i="65"/>
  <c r="C144" i="65"/>
  <c r="F141" i="65"/>
  <c r="G129" i="71"/>
  <c r="C126" i="71"/>
  <c r="E131" i="71"/>
  <c r="F151" i="65"/>
  <c r="C151" i="65"/>
  <c r="H141" i="65"/>
  <c r="C149" i="65"/>
  <c r="F149" i="65"/>
  <c r="E59" i="60"/>
  <c r="AA141" i="65"/>
  <c r="Q141" i="65"/>
  <c r="C152" i="65"/>
  <c r="F152" i="65"/>
  <c r="P141" i="65"/>
  <c r="AG141" i="65"/>
  <c r="AB141" i="65"/>
  <c r="AI129" i="65"/>
  <c r="C150" i="65"/>
  <c r="F150" i="65"/>
  <c r="D141" i="65"/>
  <c r="K129" i="65"/>
  <c r="W141" i="65"/>
  <c r="AJ141" i="65"/>
  <c r="AD129" i="65"/>
  <c r="C153" i="65" l="1"/>
  <c r="L129" i="65"/>
  <c r="F153" i="65"/>
  <c r="C139" i="71"/>
  <c r="C140" i="71" s="1"/>
  <c r="L141" i="65"/>
  <c r="D153" i="65"/>
  <c r="D140" i="71"/>
</calcChain>
</file>

<file path=xl/sharedStrings.xml><?xml version="1.0" encoding="utf-8"?>
<sst xmlns="http://schemas.openxmlformats.org/spreadsheetml/2006/main" count="1108" uniqueCount="762">
  <si>
    <t>Generic template for presenting ThreeME results</t>
  </si>
  <si>
    <t>Instructions</t>
  </si>
  <si>
    <t xml:space="preserve">     Variable name = equation</t>
  </si>
  <si>
    <t xml:space="preserve">by _0 hold the baseline results. </t>
  </si>
  <si>
    <t>Once defined, all the variables specified in the output list described above will automatically</t>
  </si>
  <si>
    <r>
      <t xml:space="preserve">be exported to this template file, </t>
    </r>
    <r>
      <rPr>
        <b/>
        <i/>
        <sz val="11"/>
        <color theme="1"/>
        <rFont val="Calibri"/>
        <family val="2"/>
        <scheme val="minor"/>
      </rPr>
      <t>for each scenario</t>
    </r>
    <r>
      <rPr>
        <sz val="11"/>
        <color theme="1"/>
        <rFont val="Calibri"/>
        <family val="2"/>
        <scheme val="minor"/>
      </rPr>
      <t>.</t>
    </r>
  </si>
  <si>
    <t>The data can then be accessed through the special Output function inside the template.</t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</si>
  <si>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year </t>
    </r>
    <r>
      <rPr>
        <sz val="11"/>
        <color theme="1"/>
        <rFont val="Calibri"/>
        <family val="2"/>
        <scheme val="minor"/>
      </rPr>
      <t>is the year where we want this point of data</t>
    </r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</si>
  <si>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variableName </t>
    </r>
    <r>
      <rPr>
        <sz val="11"/>
        <color theme="1"/>
        <rFont val="Calibri"/>
        <family val="2"/>
        <scheme val="minor"/>
      </rPr>
      <t>is one of the variables defined in the output list</t>
    </r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</si>
  <si>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scenarioName </t>
    </r>
    <r>
      <rPr>
        <sz val="11"/>
        <color theme="1"/>
        <rFont val="Calibri"/>
        <family val="2"/>
        <scheme val="minor"/>
      </rPr>
      <t>corresponds to the name of the scenario as defined by the data shock file</t>
    </r>
  </si>
  <si>
    <r>
      <t xml:space="preserve"> = </t>
    </r>
    <r>
      <rPr>
        <b/>
        <sz val="11"/>
        <color theme="1"/>
        <rFont val="Calibri"/>
        <family val="2"/>
        <scheme val="minor"/>
      </rPr>
      <t>Output</t>
    </r>
    <r>
      <rPr>
        <sz val="11"/>
        <color theme="1"/>
        <rFont val="Calibri"/>
        <family val="2"/>
        <scheme val="minor"/>
      </rPr>
      <t xml:space="preserve">( </t>
    </r>
    <r>
      <rPr>
        <i/>
        <sz val="11"/>
        <color theme="1"/>
        <rFont val="Calibri"/>
        <family val="2"/>
        <scheme val="minor"/>
      </rPr>
      <t>scenarioName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variableName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)</t>
    </r>
  </si>
  <si>
    <t>Example:</t>
  </si>
  <si>
    <t>Given that the output list contains the following line :</t>
  </si>
  <si>
    <r>
      <t xml:space="preserve">eViews can output results from a list of variables defined in the text file </t>
    </r>
    <r>
      <rPr>
        <b/>
        <sz val="11"/>
        <color theme="1"/>
        <rFont val="Calibri"/>
        <family val="2"/>
        <scheme val="minor"/>
      </rPr>
      <t>output_list.txt</t>
    </r>
  </si>
  <si>
    <t>The text file is a simply a list of lines, each of which is structured as follows:</t>
  </si>
  <si>
    <r>
      <t xml:space="preserve">     </t>
    </r>
    <r>
      <rPr>
        <i/>
        <sz val="11"/>
        <color theme="1"/>
        <rFont val="Calibri"/>
        <family val="2"/>
        <scheme val="minor"/>
      </rPr>
      <t>Example :</t>
    </r>
    <r>
      <rPr>
        <sz val="11"/>
        <color theme="1"/>
        <rFont val="Calibri"/>
        <family val="2"/>
        <scheme val="minor"/>
      </rPr>
      <t xml:space="preserve"> Total_IR = 100 * (ir_val_2 / (PGDP_2*GDP_2) - ir_val_0 / (PGDP_0*GDP_0))</t>
    </r>
  </si>
  <si>
    <t>Debt = 100 * (Debt_g_val_2 / GDP_2 - Debt_g_val_0 / GDP_0)</t>
  </si>
  <si>
    <t>Then using the following formula inside this template :</t>
  </si>
  <si>
    <t xml:space="preserve"> = Output( "SCEN_AMS1", "Debt", 2025)</t>
  </si>
  <si>
    <t>would yield the value of the variable Debt, for the scenario SCEN_AMS1, in the year 2025.</t>
  </si>
  <si>
    <t>Exporting results from the model</t>
  </si>
  <si>
    <t>Using the exported results in this template</t>
  </si>
  <si>
    <t>Building a specific results template</t>
  </si>
  <si>
    <t>By default, this main template is blank, and do not contain any data - it is therefore almost impossible to</t>
  </si>
  <si>
    <t>build the tables and/or charts that will present the results without any data.</t>
  </si>
  <si>
    <t>It is therefore recommended to go through the following steps :</t>
  </si>
  <si>
    <t>later, but it is needed as a starting point.</t>
  </si>
  <si>
    <r>
      <t xml:space="preserve">2. Make a run of the model to export a results file. This file, named </t>
    </r>
    <r>
      <rPr>
        <i/>
        <sz val="11"/>
        <color theme="1"/>
        <rFont val="Calibri"/>
        <family val="2"/>
        <scheme val="minor"/>
      </rPr>
      <t>year-month-day time - Results.xlsm</t>
    </r>
    <r>
      <rPr>
        <sz val="11"/>
        <color theme="1"/>
        <rFont val="Calibri"/>
        <family val="2"/>
        <scheme val="minor"/>
      </rPr>
      <t>,</t>
    </r>
  </si>
  <si>
    <t>will still appear blank, but will contain all the data exported by eViews.</t>
  </si>
  <si>
    <t>3. Build the presentation template in this exported file. Once satisfied with the results,</t>
  </si>
  <si>
    <t>When then modifying the template, repeat steps 2 and 3 until satisfied with the result!</t>
  </si>
  <si>
    <t>1. Define a first version for output_list.txt - it need not be complete, and can always be modified</t>
  </si>
  <si>
    <r>
      <t xml:space="preserve">which is located inside the </t>
    </r>
    <r>
      <rPr>
        <b/>
        <sz val="11"/>
        <color theme="1"/>
        <rFont val="Calibri"/>
        <family val="2"/>
        <scheme val="minor"/>
      </rPr>
      <t>src/utils</t>
    </r>
    <r>
      <rPr>
        <sz val="11"/>
        <color theme="1"/>
        <rFont val="Calibri"/>
        <family val="2"/>
        <scheme val="minor"/>
      </rPr>
      <t xml:space="preserve"> folder.</t>
    </r>
  </si>
  <si>
    <t>In the equation definition, series indexed by _2 hold the scenario (shock) results, while those indexed</t>
  </si>
  <si>
    <r>
      <t xml:space="preserve">save that file as </t>
    </r>
    <r>
      <rPr>
        <b/>
        <sz val="11"/>
        <color theme="1"/>
        <rFont val="Calibri"/>
        <family val="2"/>
        <scheme val="minor"/>
      </rPr>
      <t>Template.xlsm</t>
    </r>
    <r>
      <rPr>
        <sz val="11"/>
        <color theme="1"/>
        <rFont val="Calibri"/>
        <family val="2"/>
        <scheme val="minor"/>
      </rPr>
      <t>, replacing the old blank template.</t>
    </r>
  </si>
  <si>
    <t>NB: if you're using Excel in French, you should use ';' to separate the parameters, thus becoming:</t>
  </si>
  <si>
    <r>
      <t xml:space="preserve"> = Output( </t>
    </r>
    <r>
      <rPr>
        <i/>
        <sz val="11"/>
        <color theme="1"/>
        <rFont val="Calibri"/>
        <family val="2"/>
        <scheme val="minor"/>
      </rPr>
      <t>scenarioName</t>
    </r>
    <r>
      <rPr>
        <sz val="11"/>
        <color theme="1"/>
        <rFont val="Calibri"/>
        <family val="2"/>
        <scheme val="minor"/>
      </rPr>
      <t xml:space="preserve">; </t>
    </r>
    <r>
      <rPr>
        <i/>
        <sz val="11"/>
        <color theme="1"/>
        <rFont val="Calibri"/>
        <family val="2"/>
        <scheme val="minor"/>
      </rPr>
      <t>variableName</t>
    </r>
    <r>
      <rPr>
        <sz val="11"/>
        <color theme="1"/>
        <rFont val="Calibri"/>
        <family val="2"/>
        <scheme val="minor"/>
      </rPr>
      <t xml:space="preserve">; </t>
    </r>
    <r>
      <rPr>
        <i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)</t>
    </r>
  </si>
  <si>
    <t>Hausse permanent de 10% des prix du pétrole, du gaz et du charbon</t>
  </si>
  <si>
    <t>1 an</t>
  </si>
  <si>
    <t>2 ans</t>
  </si>
  <si>
    <t>3 ans</t>
  </si>
  <si>
    <t>5 ans</t>
  </si>
  <si>
    <t>10 ans</t>
  </si>
  <si>
    <t>35 ans</t>
  </si>
  <si>
    <t>PIB en volume</t>
  </si>
  <si>
    <t>Consommation des ménages</t>
  </si>
  <si>
    <t>Investissement</t>
  </si>
  <si>
    <t>Exportations</t>
  </si>
  <si>
    <t>This template system makes it very easy to build the most common types of output we use.</t>
  </si>
  <si>
    <t>Let's suppose we want to build this table, corresponding to a scenario in the shock file "SCEN_FF10.xls":</t>
  </si>
  <si>
    <t>GDP_Rel = 100 * (GDP_2 / GDP_0 - 1)</t>
  </si>
  <si>
    <r>
      <rPr>
        <b/>
        <sz val="11"/>
        <color theme="1"/>
        <rFont val="Calibri"/>
        <family val="2"/>
        <scheme val="minor"/>
      </rPr>
      <t>Also, it cannot contain any space or non-alphanumeric characters, nor be longer than 31 characters</t>
    </r>
    <r>
      <rPr>
        <sz val="11"/>
        <color theme="1"/>
        <rFont val="Calibri"/>
        <family val="2"/>
        <scheme val="minor"/>
      </rPr>
      <t xml:space="preserve"> </t>
    </r>
  </si>
  <si>
    <t>(for it then becomes the name of a worksheet in Excel).</t>
  </si>
  <si>
    <t>(for example, we should use GDP_Out, or GDP_Rel instead of GDP, which is a series in the model).</t>
  </si>
  <si>
    <t>Important: the variable name CANNOT BE THE NAME OF A SERIES PRESENT IN THE MODEL</t>
  </si>
  <si>
    <t>Exports = 100*(X_2/X_0-1)</t>
  </si>
  <si>
    <t>Unemployment = 100 * (UNR_TOT_2 - UNR_TOT_0)</t>
  </si>
  <si>
    <t>Household_consumption = 100 * (CH_2 / CH_0-1)</t>
  </si>
  <si>
    <t>Investments = 100 * (I_2 / I_0-1)</t>
  </si>
  <si>
    <t>Note that the variables need not be in any particular order in the output_list.txt file, and that you can use any eViews</t>
  </si>
  <si>
    <r>
      <t xml:space="preserve">We would need the following variables in </t>
    </r>
    <r>
      <rPr>
        <b/>
        <sz val="12"/>
        <color theme="1"/>
        <rFont val="Calibri"/>
        <family val="2"/>
      </rPr>
      <t>output_list.txt</t>
    </r>
    <r>
      <rPr>
        <sz val="12"/>
        <color theme="1"/>
        <rFont val="Calibri"/>
        <family val="2"/>
      </rPr>
      <t>:</t>
    </r>
  </si>
  <si>
    <t>Taux de chômage (en points)</t>
  </si>
  <si>
    <t>Full example</t>
  </si>
  <si>
    <t>(obviously with a different date). All the data needed is in this file, but nothing is shown, since we've run the model</t>
  </si>
  <si>
    <t>with a blank template.</t>
  </si>
  <si>
    <r>
      <t xml:space="preserve">We would then run the model with this output_list.txt. This would yield a file named, e.g., </t>
    </r>
    <r>
      <rPr>
        <i/>
        <sz val="12"/>
        <color theme="1"/>
        <rFont val="Calibri"/>
        <family val="2"/>
      </rPr>
      <t>2015-07-24 14-15-30 - Results.xlsm</t>
    </r>
  </si>
  <si>
    <r>
      <t xml:space="preserve">To build the template, we open the </t>
    </r>
    <r>
      <rPr>
        <i/>
        <sz val="12"/>
        <color theme="1"/>
        <rFont val="Calibri"/>
        <family val="2"/>
      </rPr>
      <t>2015-07-24 14-15-30 - Results.xlsm</t>
    </r>
    <r>
      <rPr>
        <sz val="12"/>
        <color theme="1"/>
        <rFont val="Calibri"/>
        <family val="2"/>
      </rPr>
      <t xml:space="preserve"> file, and create a new worksheet named "Results".</t>
    </r>
  </si>
  <si>
    <t>In this worksheet we simply add the following table :</t>
  </si>
  <si>
    <t>GDP_Rel</t>
  </si>
  <si>
    <t>formula in the variable's definition. Also note that since GDP is a series in the model, we need to call our output</t>
  </si>
  <si>
    <r>
      <t>variable GDP</t>
    </r>
    <r>
      <rPr>
        <b/>
        <i/>
        <sz val="12"/>
        <color theme="1"/>
        <rFont val="Calibri"/>
        <family val="2"/>
      </rPr>
      <t>_Rel</t>
    </r>
    <r>
      <rPr>
        <sz val="12"/>
        <color theme="1"/>
        <rFont val="Calibri"/>
        <family val="2"/>
      </rPr>
      <t xml:space="preserve"> to avoid any naming conflict.</t>
    </r>
  </si>
  <si>
    <t>Household_consumption</t>
  </si>
  <si>
    <t>Investments</t>
  </si>
  <si>
    <t>Exports</t>
  </si>
  <si>
    <t>Unemployment</t>
  </si>
  <si>
    <t xml:space="preserve"> =Output("SCEN_FF10", $A2, B$1)</t>
  </si>
  <si>
    <t xml:space="preserve"> =Output("SCEN_FF10", $A2, C$1)</t>
  </si>
  <si>
    <t xml:space="preserve"> =Output("SCEN_FF10", $A2, D$1)</t>
  </si>
  <si>
    <t xml:space="preserve"> =Output("SCEN_FF10", $A2, E$1)</t>
  </si>
  <si>
    <t xml:space="preserve"> =Output("SCEN_FF10", $A2, F$1)</t>
  </si>
  <si>
    <t xml:space="preserve"> =Output("SCEN_FF10", $A2, G$1)</t>
  </si>
  <si>
    <t xml:space="preserve"> =Output("SCEN_FF10", $A3, B$1)</t>
  </si>
  <si>
    <t xml:space="preserve"> =Output("SCEN_FF10", $A3, C$1)</t>
  </si>
  <si>
    <t xml:space="preserve"> =Output("SCEN_FF10", $A3, D$1)</t>
  </si>
  <si>
    <t xml:space="preserve"> =Output("SCEN_FF10", $A3, E$1)</t>
  </si>
  <si>
    <t xml:space="preserve"> =Output("SCEN_FF10", $A3, F$1)</t>
  </si>
  <si>
    <t xml:space="preserve"> =Output("SCEN_FF10", $A3, G$1)</t>
  </si>
  <si>
    <t xml:space="preserve"> =Output("SCEN_FF10", $A4, B$1)</t>
  </si>
  <si>
    <t xml:space="preserve"> =Output("SCEN_FF10", $A4, C$1)</t>
  </si>
  <si>
    <t xml:space="preserve"> =Output("SCEN_FF10", $A4, D$1)</t>
  </si>
  <si>
    <t xml:space="preserve"> =Output("SCEN_FF10", $A4, E$1)</t>
  </si>
  <si>
    <t xml:space="preserve"> =Output("SCEN_FF10", $A4, F$1)</t>
  </si>
  <si>
    <t xml:space="preserve"> =Output("SCEN_FF10", $A4, G$1)</t>
  </si>
  <si>
    <t xml:space="preserve"> =Output("SCEN_FF10", $A5, B$1)</t>
  </si>
  <si>
    <t xml:space="preserve"> =Output("SCEN_FF10", $A5, C$1)</t>
  </si>
  <si>
    <t xml:space="preserve"> =Output("SCEN_FF10", $A5, D$1)</t>
  </si>
  <si>
    <t xml:space="preserve"> =Output("SCEN_FF10", $A5, E$1)</t>
  </si>
  <si>
    <t xml:space="preserve"> =Output("SCEN_FF10", $A5, F$1)</t>
  </si>
  <si>
    <t xml:space="preserve"> =Output("SCEN_FF10", $A5, G$1)</t>
  </si>
  <si>
    <t xml:space="preserve"> =Output("SCEN_FF10", $A6, B$1)</t>
  </si>
  <si>
    <t xml:space="preserve"> =Output("SCEN_FF10", $A6, C$1)</t>
  </si>
  <si>
    <t xml:space="preserve"> =Output("SCEN_FF10", $A6, D$1)</t>
  </si>
  <si>
    <t xml:space="preserve"> =Output("SCEN_FF10", $A6, E$1)</t>
  </si>
  <si>
    <t xml:space="preserve"> =Output("SCEN_FF10", $A6, F$1)</t>
  </si>
  <si>
    <t xml:space="preserve"> =Output("SCEN_FF10", $A6, G$1)</t>
  </si>
  <si>
    <t>(i.e. for a file named SCEN_AMS1.xls, one should use "SCEN_AMS1")</t>
  </si>
  <si>
    <r>
      <rPr>
        <b/>
        <i/>
        <sz val="11"/>
        <color theme="1"/>
        <rFont val="Calibri"/>
        <family val="2"/>
        <scheme val="minor"/>
      </rPr>
      <t xml:space="preserve">without </t>
    </r>
    <r>
      <rPr>
        <b/>
        <sz val="11"/>
        <color theme="1"/>
        <rFont val="Calibri"/>
        <family val="2"/>
        <scheme val="minor"/>
      </rPr>
      <t>quotes.</t>
    </r>
  </si>
  <si>
    <r>
      <t xml:space="preserve">Important: </t>
    </r>
    <r>
      <rPr>
        <b/>
        <i/>
        <sz val="11"/>
        <color theme="1"/>
        <rFont val="Calibri"/>
        <family val="2"/>
        <scheme val="minor"/>
      </rPr>
      <t>scenarioName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i/>
        <sz val="11"/>
        <color theme="1"/>
        <rFont val="Calibri"/>
        <family val="2"/>
        <scheme val="minor"/>
      </rPr>
      <t>variableName</t>
    </r>
    <r>
      <rPr>
        <b/>
        <sz val="11"/>
        <color theme="1"/>
        <rFont val="Calibri"/>
        <family val="2"/>
        <scheme val="minor"/>
      </rPr>
      <t xml:space="preserve"> are strings of characters and should entered between quotes</t>
    </r>
  </si>
  <si>
    <r>
      <t xml:space="preserve">(i.e. </t>
    </r>
    <r>
      <rPr>
        <b/>
        <sz val="11"/>
        <color theme="1"/>
        <rFont val="Calibri"/>
        <family val="2"/>
        <scheme val="minor"/>
      </rPr>
      <t>"SCEN_AMS1"</t>
    </r>
    <r>
      <rPr>
        <sz val="11"/>
        <color theme="1"/>
        <rFont val="Calibri"/>
        <family val="2"/>
        <scheme val="minor"/>
      </rPr>
      <t xml:space="preserve">, not SCEN_AMS1, and </t>
    </r>
    <r>
      <rPr>
        <b/>
        <sz val="11"/>
        <color theme="1"/>
        <rFont val="Calibri"/>
        <family val="2"/>
        <scheme val="minor"/>
      </rPr>
      <t>"Debt"</t>
    </r>
    <r>
      <rPr>
        <sz val="11"/>
        <color theme="1"/>
        <rFont val="Calibri"/>
        <family val="2"/>
        <scheme val="minor"/>
      </rPr>
      <t xml:space="preserve">, not Debt). </t>
    </r>
    <r>
      <rPr>
        <b/>
        <sz val="11"/>
        <color theme="1"/>
        <rFont val="Calibri"/>
        <family val="2"/>
        <scheme val="minor"/>
      </rPr>
      <t xml:space="preserve">However, </t>
    </r>
    <r>
      <rPr>
        <b/>
        <i/>
        <sz val="11"/>
        <color theme="1"/>
        <rFont val="Calibri"/>
        <family val="2"/>
        <scheme val="minor"/>
      </rPr>
      <t>year</t>
    </r>
    <r>
      <rPr>
        <b/>
        <sz val="11"/>
        <color theme="1"/>
        <rFont val="Calibri"/>
        <family val="2"/>
        <scheme val="minor"/>
      </rPr>
      <t xml:space="preserve"> is a number and should be </t>
    </r>
  </si>
  <si>
    <t>A</t>
  </si>
  <si>
    <t>B</t>
  </si>
  <si>
    <t>C</t>
  </si>
  <si>
    <t>D</t>
  </si>
  <si>
    <t>E</t>
  </si>
  <si>
    <t>F</t>
  </si>
  <si>
    <t>G</t>
  </si>
  <si>
    <t xml:space="preserve">If we want to get the original naming scheme, we simply need to add a row and a column with the names we want, </t>
  </si>
  <si>
    <t>H</t>
  </si>
  <si>
    <t>and hide the row holding the years (now row 2) and the column containing the variable names (now column B).</t>
  </si>
  <si>
    <r>
      <t xml:space="preserve">Once done, simply save </t>
    </r>
    <r>
      <rPr>
        <i/>
        <sz val="12"/>
        <color theme="1"/>
        <rFont val="Calibri"/>
        <family val="2"/>
      </rPr>
      <t xml:space="preserve">2015-07-24 14-15-30 - Results.xlsm </t>
    </r>
    <r>
      <rPr>
        <sz val="12"/>
        <color theme="1"/>
        <rFont val="Calibri"/>
        <family val="2"/>
      </rPr>
      <t xml:space="preserve">as </t>
    </r>
    <r>
      <rPr>
        <i/>
        <sz val="12"/>
        <color theme="1"/>
        <rFont val="Calibri"/>
        <family val="2"/>
      </rPr>
      <t>Template.xlsm</t>
    </r>
    <r>
      <rPr>
        <sz val="12"/>
        <color theme="1"/>
        <rFont val="Calibri"/>
        <family val="2"/>
      </rPr>
      <t>, overwriting the previous file.</t>
    </r>
  </si>
  <si>
    <t>It will automatically be used by ThreeME in the next run.</t>
  </si>
  <si>
    <t>(see the next worksheet for a full example)</t>
  </si>
  <si>
    <t>EMPLOYMENT</t>
  </si>
  <si>
    <t>scen_ademehaut</t>
  </si>
  <si>
    <t>GDP_rel</t>
  </si>
  <si>
    <t>Imports</t>
  </si>
  <si>
    <t>Employment</t>
  </si>
  <si>
    <t>Wage_real</t>
  </si>
  <si>
    <t>Price</t>
  </si>
  <si>
    <t>interest_rate</t>
  </si>
  <si>
    <t>Debt</t>
  </si>
  <si>
    <t>Public_deficit</t>
  </si>
  <si>
    <t>Unemployment rate</t>
  </si>
  <si>
    <t>Unemployment_rate</t>
  </si>
  <si>
    <t>GDP_index</t>
  </si>
  <si>
    <t>Emissions</t>
  </si>
  <si>
    <t>Emissions_index</t>
  </si>
  <si>
    <t>Carbon_tax</t>
  </si>
  <si>
    <t>CO2_tax_over_GDP</t>
  </si>
  <si>
    <t>CO2_tax_revenue</t>
  </si>
  <si>
    <t>Real GDP</t>
  </si>
  <si>
    <t>Household consumption</t>
  </si>
  <si>
    <t>Real wage</t>
  </si>
  <si>
    <t>Interest rate</t>
  </si>
  <si>
    <t>Public deficit</t>
  </si>
  <si>
    <t xml:space="preserve">GDP Index </t>
  </si>
  <si>
    <t>Emissions Index</t>
  </si>
  <si>
    <t>Carbon tax revenue</t>
  </si>
  <si>
    <t>Carbon tax revenue (% GDP)</t>
  </si>
  <si>
    <t>Primary_energy_21_0</t>
  </si>
  <si>
    <t>Primary_energy_2201_0</t>
  </si>
  <si>
    <t>Primary_energy_2202_0</t>
  </si>
  <si>
    <t>Primary_energy_2301_0</t>
  </si>
  <si>
    <t>Primary_energy_2302_0</t>
  </si>
  <si>
    <t>Primary_energy_2303_0</t>
  </si>
  <si>
    <t>Primary_energy_2304_0</t>
  </si>
  <si>
    <t>Primary_energy_2305_0</t>
  </si>
  <si>
    <t>Primary_energy_2306_0</t>
  </si>
  <si>
    <t>Primary_energy_2307_0</t>
  </si>
  <si>
    <t>Primary_energy_2308_0</t>
  </si>
  <si>
    <t>Primary_energy_2401_0</t>
  </si>
  <si>
    <t>Primary_energy_2402_0</t>
  </si>
  <si>
    <t>Primary_energy_2403_0</t>
  </si>
  <si>
    <t>Primary_energy_2404_0</t>
  </si>
  <si>
    <t>Primary_energy_2405_0</t>
  </si>
  <si>
    <t>Primary_energy_2406_0</t>
  </si>
  <si>
    <t>Total</t>
  </si>
  <si>
    <t>Electric power generation, transmission and distribution</t>
  </si>
  <si>
    <t>Manufacture and distribution of gas</t>
  </si>
  <si>
    <t>Nuclear</t>
  </si>
  <si>
    <t>Fuel</t>
  </si>
  <si>
    <t>Combined gas</t>
  </si>
  <si>
    <t>Coal</t>
  </si>
  <si>
    <t>Wind</t>
  </si>
  <si>
    <t>Solar</t>
  </si>
  <si>
    <t>Hydraulic</t>
  </si>
  <si>
    <t>Natural gas</t>
  </si>
  <si>
    <t>Wood</t>
  </si>
  <si>
    <t>Biogas</t>
  </si>
  <si>
    <t>Waste incineration</t>
  </si>
  <si>
    <t>Geothermal</t>
  </si>
  <si>
    <t>Refined petroleum products</t>
  </si>
  <si>
    <t>Oil</t>
  </si>
  <si>
    <t>Biofuels</t>
  </si>
  <si>
    <t>Cogeneration (CHP)</t>
  </si>
  <si>
    <t>Primary Energy</t>
  </si>
  <si>
    <t>Baseline</t>
  </si>
  <si>
    <t>Scenario ADEME haut</t>
  </si>
  <si>
    <t>Primary_energy_2201_2</t>
  </si>
  <si>
    <t>Primary_energy_2202_2</t>
  </si>
  <si>
    <t>Primary_energy_2301_2</t>
  </si>
  <si>
    <t>Primary_energy_2302_2</t>
  </si>
  <si>
    <t>Primary_energy_2303_2</t>
  </si>
  <si>
    <t>Primary_energy_2304_2</t>
  </si>
  <si>
    <t>Primary_energy_2305_2</t>
  </si>
  <si>
    <t>Primary_energy_2306_2</t>
  </si>
  <si>
    <t>Primary_energy_2307_2</t>
  </si>
  <si>
    <t>Primary_energy_2308_2</t>
  </si>
  <si>
    <t>Primary_energy_2401_2</t>
  </si>
  <si>
    <t>Primary_energy_2402_2</t>
  </si>
  <si>
    <t>Primary_energy_2403_2</t>
  </si>
  <si>
    <t>Primary_energy_2404_2</t>
  </si>
  <si>
    <t>Primary_energy_2405_2</t>
  </si>
  <si>
    <t>Primary_energy_2406_2</t>
  </si>
  <si>
    <t>Primary_energy_21_2</t>
  </si>
  <si>
    <t>Final_energy_2201_0</t>
  </si>
  <si>
    <t>Final_energy_2202_0</t>
  </si>
  <si>
    <t>Final_energy_2301_0</t>
  </si>
  <si>
    <t>Final_energy_2302_0</t>
  </si>
  <si>
    <t>Final_energy_2303_0</t>
  </si>
  <si>
    <t>Final_energy_2304_0</t>
  </si>
  <si>
    <t>Final_energy_2305_0</t>
  </si>
  <si>
    <t>Final_energy_2306_0</t>
  </si>
  <si>
    <t>Final_energy_2307_0</t>
  </si>
  <si>
    <t>Final_energy_2308_0</t>
  </si>
  <si>
    <t>Final_energy_2401_0</t>
  </si>
  <si>
    <t>Final_energy_2402_0</t>
  </si>
  <si>
    <t>Final_energy_2403_0</t>
  </si>
  <si>
    <t>Final_energy_2404_0</t>
  </si>
  <si>
    <t>Final_energy_2405_0</t>
  </si>
  <si>
    <t>Final_energy_2406_0</t>
  </si>
  <si>
    <t>Final_energy_21_0</t>
  </si>
  <si>
    <t>Final_energy_2201_2</t>
  </si>
  <si>
    <t>Final_energy_2202_2</t>
  </si>
  <si>
    <t>Final_energy_2301_2</t>
  </si>
  <si>
    <t>Final_energy_2302_2</t>
  </si>
  <si>
    <t>Final_energy_2303_2</t>
  </si>
  <si>
    <t>Final_energy_2304_2</t>
  </si>
  <si>
    <t>Final_energy_2305_2</t>
  </si>
  <si>
    <t>Final_energy_2306_2</t>
  </si>
  <si>
    <t>Final_energy_2307_2</t>
  </si>
  <si>
    <t>Final_energy_2308_2</t>
  </si>
  <si>
    <t>Final_energy_2401_2</t>
  </si>
  <si>
    <t>Final_energy_2402_2</t>
  </si>
  <si>
    <t>Final_energy_2403_2</t>
  </si>
  <si>
    <t>Final_energy_2404_2</t>
  </si>
  <si>
    <t>Final_energy_2405_2</t>
  </si>
  <si>
    <t>Final_energy_2406_2</t>
  </si>
  <si>
    <t>Final_energy_21_2</t>
  </si>
  <si>
    <t>Macroeconomic Impacts</t>
  </si>
  <si>
    <t>Agriculture</t>
  </si>
  <si>
    <t>Final energy by uses</t>
  </si>
  <si>
    <t>Cible ADEME baseline</t>
  </si>
  <si>
    <t>Cible ADEME haut</t>
  </si>
  <si>
    <t>ThreeME</t>
  </si>
  <si>
    <t>Total Final Mtep</t>
  </si>
  <si>
    <t>Residential</t>
  </si>
  <si>
    <t>Service</t>
  </si>
  <si>
    <t xml:space="preserve">Energy_SEC_02_0 </t>
  </si>
  <si>
    <t xml:space="preserve">Energy_SEC_03_0 </t>
  </si>
  <si>
    <t xml:space="preserve">Energy_SEC_04_0 </t>
  </si>
  <si>
    <t xml:space="preserve">Energy_SEC_05_0 </t>
  </si>
  <si>
    <t xml:space="preserve">Energy_SEC_06_0 </t>
  </si>
  <si>
    <t xml:space="preserve">Energy_SEC_07_0 </t>
  </si>
  <si>
    <t xml:space="preserve">Energy_SEC_08_0 </t>
  </si>
  <si>
    <t xml:space="preserve">Energy_SEC_09_0 </t>
  </si>
  <si>
    <t xml:space="preserve">Energy_SEC_10_0 </t>
  </si>
  <si>
    <t xml:space="preserve">Energy_SEC_11_0 </t>
  </si>
  <si>
    <t xml:space="preserve">Energy_SEC_12_0 </t>
  </si>
  <si>
    <t xml:space="preserve">Energy_SEC_14_0 </t>
  </si>
  <si>
    <t xml:space="preserve">Energy_SEC_15_0 </t>
  </si>
  <si>
    <t xml:space="preserve">Energy_SEC_16_0 </t>
  </si>
  <si>
    <t xml:space="preserve">Energy_SEC_17_0 </t>
  </si>
  <si>
    <t xml:space="preserve">Energy_SEC_18_0 </t>
  </si>
  <si>
    <t xml:space="preserve">Energy_SEC_19_0 </t>
  </si>
  <si>
    <t xml:space="preserve">Energy_SEC_20_0 </t>
  </si>
  <si>
    <t xml:space="preserve">Energy_BUIL_0 </t>
  </si>
  <si>
    <t xml:space="preserve">Energy_SEC_10_2 </t>
  </si>
  <si>
    <t xml:space="preserve">Energy_SEC_11_2 </t>
  </si>
  <si>
    <t xml:space="preserve">Energy_SEC_12_2 </t>
  </si>
  <si>
    <t xml:space="preserve">Energy_SEC_13_2 </t>
  </si>
  <si>
    <t xml:space="preserve">Energy_SEC_14_2 </t>
  </si>
  <si>
    <t xml:space="preserve">Energy_SEC_15_2 </t>
  </si>
  <si>
    <t xml:space="preserve">Energy_SEC_16_2 </t>
  </si>
  <si>
    <t xml:space="preserve">Energy_SEC_17_2 </t>
  </si>
  <si>
    <t xml:space="preserve">Energy_SEC_18_2 </t>
  </si>
  <si>
    <t xml:space="preserve">Energy_SEC_19_2 </t>
  </si>
  <si>
    <t xml:space="preserve">Energy_SEC_20_2 </t>
  </si>
  <si>
    <t xml:space="preserve">Energy_BUIL_2 </t>
  </si>
  <si>
    <t xml:space="preserve">Energy_SEC_01_2 </t>
  </si>
  <si>
    <t xml:space="preserve">Energy_SEC_02_2 </t>
  </si>
  <si>
    <t xml:space="preserve">Energy_SEC_03_2 </t>
  </si>
  <si>
    <t xml:space="preserve">Energy_SEC_04_2 </t>
  </si>
  <si>
    <t xml:space="preserve">Energy_SEC_05_2 </t>
  </si>
  <si>
    <t xml:space="preserve">Energy_SEC_06_2 </t>
  </si>
  <si>
    <t xml:space="preserve">Energy_SEC_07_2 </t>
  </si>
  <si>
    <t xml:space="preserve">Energy_SEC_08_2 </t>
  </si>
  <si>
    <t xml:space="preserve">Energy_SEC_09_2 </t>
  </si>
  <si>
    <t>Energy_SEC_13_0</t>
  </si>
  <si>
    <t>Energy_SEC_01_0</t>
  </si>
  <si>
    <t>Energy_AUTO_0</t>
  </si>
  <si>
    <t xml:space="preserve">Energy_AUTO_2 </t>
  </si>
  <si>
    <t>Cible</t>
  </si>
  <si>
    <t>Industry and agriculture</t>
  </si>
  <si>
    <t>Transport</t>
  </si>
  <si>
    <t xml:space="preserve">Industry </t>
  </si>
  <si>
    <t>Electricity</t>
  </si>
  <si>
    <t>Final Energy (excluding energy for industrial use and exported energy)</t>
  </si>
  <si>
    <t>Tertiary</t>
  </si>
  <si>
    <t>Personal vehicles</t>
  </si>
  <si>
    <t xml:space="preserve">Public and freight transport </t>
  </si>
  <si>
    <t>scen_ademehaut_test1</t>
  </si>
  <si>
    <t>scen_ademehaut_test2</t>
  </si>
  <si>
    <t>scen_ademehaut_test3</t>
  </si>
  <si>
    <t>scen_ademehaut_test4</t>
  </si>
  <si>
    <t>scen_ademehaut_test5</t>
  </si>
  <si>
    <t>scen_ademehaut_test6</t>
  </si>
  <si>
    <t>scen_ademehaut_test7</t>
  </si>
  <si>
    <t>scen_ademehaut_test8</t>
  </si>
  <si>
    <t>SCEN_ADEMEhaut</t>
  </si>
  <si>
    <t>Real GDP
Scenario ADEME haut</t>
  </si>
  <si>
    <t>CO2 Emissions
Scenario ADEME haut</t>
  </si>
  <si>
    <t>Sectorial Impacts</t>
  </si>
  <si>
    <t>VA_01_DIF</t>
  </si>
  <si>
    <t>VA_02_DIF</t>
  </si>
  <si>
    <t>VA_03_DIF</t>
  </si>
  <si>
    <t>VA_04_DIF</t>
  </si>
  <si>
    <t>VA_05_DIF</t>
  </si>
  <si>
    <t>VA_06_DIF</t>
  </si>
  <si>
    <t>VA_07_DIF</t>
  </si>
  <si>
    <t>VA_08_DIF</t>
  </si>
  <si>
    <t>VA_09_DIF</t>
  </si>
  <si>
    <t>VA_10_DIF</t>
  </si>
  <si>
    <t>VA_11_DIF</t>
  </si>
  <si>
    <t>VA_12_DIF</t>
  </si>
  <si>
    <t>VA_13_DIF</t>
  </si>
  <si>
    <t>VA_14_DIF</t>
  </si>
  <si>
    <t>VA_15_DIF</t>
  </si>
  <si>
    <t>VA_16_DIF</t>
  </si>
  <si>
    <t>VA_17_DIF</t>
  </si>
  <si>
    <t>VA_18_DIF</t>
  </si>
  <si>
    <t>VA_19_DIF</t>
  </si>
  <si>
    <t>VA_20_DIF</t>
  </si>
  <si>
    <t>VA_21_DIF</t>
  </si>
  <si>
    <t>VA_2201_DIF</t>
  </si>
  <si>
    <t>VA_2202_DIF</t>
  </si>
  <si>
    <t>VA_2301_DIF</t>
  </si>
  <si>
    <t>VA_2302_DIF</t>
  </si>
  <si>
    <t>VA_2303_DIF</t>
  </si>
  <si>
    <t>VA_2304_DIF</t>
  </si>
  <si>
    <t>VA_2305_DIF</t>
  </si>
  <si>
    <t>VA_2306_DIF</t>
  </si>
  <si>
    <t>VA_2307_DIF</t>
  </si>
  <si>
    <t>VA_2308_DIF</t>
  </si>
  <si>
    <t>VA_2401_DIF</t>
  </si>
  <si>
    <t>VA_2402_DIF</t>
  </si>
  <si>
    <t>VA_2403_DIF</t>
  </si>
  <si>
    <t>VA_2404_DIF</t>
  </si>
  <si>
    <t>VA_2405_DIF</t>
  </si>
  <si>
    <t>VA_2406_DIF</t>
  </si>
  <si>
    <t>Agriculture, forestry and fishing</t>
  </si>
  <si>
    <t>Manufacture of food products and beverages</t>
  </si>
  <si>
    <t>Manufacture of motor vehicles, trailers and semi-trailers</t>
  </si>
  <si>
    <t>Manufacture of glass and glass products</t>
  </si>
  <si>
    <t>Manufacture of ceramic products and building materials</t>
  </si>
  <si>
    <t>Manufacture of articles of paper and paperboard</t>
  </si>
  <si>
    <t>Manufacture of inorganic basic chemicals</t>
  </si>
  <si>
    <t>Manufacture of organic basic chemicals</t>
  </si>
  <si>
    <t>Manufacture of plastics products</t>
  </si>
  <si>
    <t>Manufacture of basic iron and steel and of ferro-alloys</t>
  </si>
  <si>
    <t>Manufacture of non-ferrous metals</t>
  </si>
  <si>
    <t>Other industries</t>
  </si>
  <si>
    <t>Construction of buildings and Civil engineering</t>
  </si>
  <si>
    <t xml:space="preserve">Rail transport (Passenger and Freight) </t>
  </si>
  <si>
    <t>Passenger transport by road</t>
  </si>
  <si>
    <t>Freight transport by road and transport via pipeline</t>
  </si>
  <si>
    <t>Water transport</t>
  </si>
  <si>
    <t>Air transport</t>
  </si>
  <si>
    <t>Business services</t>
  </si>
  <si>
    <t>Public services</t>
  </si>
  <si>
    <t>ADDED VALUE</t>
  </si>
  <si>
    <t>Industry and Agriculture</t>
  </si>
  <si>
    <t>Gaz</t>
  </si>
  <si>
    <t>IA_01_DIF</t>
  </si>
  <si>
    <t>IA_02_DIF</t>
  </si>
  <si>
    <t>IA_03_DIF</t>
  </si>
  <si>
    <t>IA_04_DIF</t>
  </si>
  <si>
    <t>IA_05_DIF</t>
  </si>
  <si>
    <t>IA_06_DIF</t>
  </si>
  <si>
    <t>IA_07_DIF</t>
  </si>
  <si>
    <t>IA_08_DIF</t>
  </si>
  <si>
    <t>IA_09_DIF</t>
  </si>
  <si>
    <t>IA_10_DIF</t>
  </si>
  <si>
    <t>IA_11_DIF</t>
  </si>
  <si>
    <t>IA_12_DIF</t>
  </si>
  <si>
    <t>IA_13_DIF</t>
  </si>
  <si>
    <t>IA_14_DIF</t>
  </si>
  <si>
    <t>IA_15_DIF</t>
  </si>
  <si>
    <t>IA_16_DIF</t>
  </si>
  <si>
    <t>IA_17_DIF</t>
  </si>
  <si>
    <t>IA_18_DIF</t>
  </si>
  <si>
    <t>IA_19_DIF</t>
  </si>
  <si>
    <t>IA_20_DIF</t>
  </si>
  <si>
    <t>IA_21_DIF</t>
  </si>
  <si>
    <t>IA_2201_DIF</t>
  </si>
  <si>
    <t>IA_2202_DIF</t>
  </si>
  <si>
    <t>IA_2301_DIF</t>
  </si>
  <si>
    <t>IA_2302_DIF</t>
  </si>
  <si>
    <t>IA_2303_DIF</t>
  </si>
  <si>
    <t>IA_2304_DIF</t>
  </si>
  <si>
    <t>IA_2305_DIF</t>
  </si>
  <si>
    <t>IA_2306_DIF</t>
  </si>
  <si>
    <t>IA_2307_DIF</t>
  </si>
  <si>
    <t>IA_2308_DIF</t>
  </si>
  <si>
    <t>IA_2401_DIF</t>
  </si>
  <si>
    <t>IA_2402_DIF</t>
  </si>
  <si>
    <t>IA_2403_DIF</t>
  </si>
  <si>
    <t>IA_2404_DIF</t>
  </si>
  <si>
    <t>IA_2405_DIF</t>
  </si>
  <si>
    <t>IA_2406_DIF</t>
  </si>
  <si>
    <t>INVESTMENT</t>
  </si>
  <si>
    <t>CONSUMPTION</t>
  </si>
  <si>
    <t>Energy</t>
  </si>
  <si>
    <t>CH_01_DIF</t>
  </si>
  <si>
    <t>CH_02_DIF</t>
  </si>
  <si>
    <t>CH_03_DIF</t>
  </si>
  <si>
    <t>CH_04_DIF</t>
  </si>
  <si>
    <t>CH_05_DIF</t>
  </si>
  <si>
    <t>CH_06_DIF</t>
  </si>
  <si>
    <t>CH_07_DIF</t>
  </si>
  <si>
    <t>CH_08_DIF</t>
  </si>
  <si>
    <t>CH_09_DIF</t>
  </si>
  <si>
    <t>CH_10_DIF</t>
  </si>
  <si>
    <t>CH_11_DIF</t>
  </si>
  <si>
    <t>CH_12_DIF</t>
  </si>
  <si>
    <t>CH_13_DIF</t>
  </si>
  <si>
    <t>CH_14_DIF</t>
  </si>
  <si>
    <t>CH_15_DIF</t>
  </si>
  <si>
    <t>CH_16_DIF</t>
  </si>
  <si>
    <t>CH_17_DIF</t>
  </si>
  <si>
    <t>CH_18_DIF</t>
  </si>
  <si>
    <t>CH_19_DIF</t>
  </si>
  <si>
    <t>CH_20_DIF</t>
  </si>
  <si>
    <t>CH_21_DIF</t>
  </si>
  <si>
    <t>CH_22_DIF</t>
  </si>
  <si>
    <t>CH_23_DIF</t>
  </si>
  <si>
    <t>CH_24_DIF</t>
  </si>
  <si>
    <t>Carbon tax Coal</t>
  </si>
  <si>
    <t>Carbon Tax Oil</t>
  </si>
  <si>
    <t>Carbon tax Gaz</t>
  </si>
  <si>
    <t>Carbon_tax_21</t>
  </si>
  <si>
    <t>Carbon_tax_22</t>
  </si>
  <si>
    <t>Carbon_tax_24</t>
  </si>
  <si>
    <t>Implicite Carbon tax (Current Price)</t>
  </si>
  <si>
    <t xml:space="preserve">Coal </t>
  </si>
  <si>
    <t>Implicite Carbon tax (Constant Price)</t>
  </si>
  <si>
    <t>electricity</t>
  </si>
  <si>
    <t xml:space="preserve">energy_price_signal_24 </t>
  </si>
  <si>
    <t>energy_price_signal</t>
  </si>
  <si>
    <t>energy_price_signal_21</t>
  </si>
  <si>
    <t>energy_price_signal_22</t>
  </si>
  <si>
    <t>energy_price_signal_23</t>
  </si>
  <si>
    <t>Ttco_signal_21</t>
  </si>
  <si>
    <t>Ttco_signal_22</t>
  </si>
  <si>
    <t>Ttco_signal_24</t>
  </si>
  <si>
    <t>Ttco_signal</t>
  </si>
  <si>
    <t>Ttco_vol_signal</t>
  </si>
  <si>
    <t>Ttco_vol_signal_22</t>
  </si>
  <si>
    <t>Ttco_vol_signal_21</t>
  </si>
  <si>
    <t>Ttco_vol_signal_24</t>
  </si>
  <si>
    <t>Energy price signal (Euro/TOE)</t>
  </si>
  <si>
    <t>Nuclear power</t>
  </si>
  <si>
    <t>Thermal power station</t>
  </si>
  <si>
    <t>Renewables</t>
  </si>
  <si>
    <t>BASELINE ENERGY MIX</t>
  </si>
  <si>
    <t>PRIMARY ENERGY</t>
  </si>
  <si>
    <t>FINAL ENERGY</t>
  </si>
  <si>
    <t>SCENARIO HAUT ADEME ENERGY MIX</t>
  </si>
  <si>
    <t xml:space="preserve">DISPINC_BAU </t>
  </si>
  <si>
    <t>DISPINC_ADEMEHAUT</t>
  </si>
  <si>
    <t>ENERGY_PRICE_SIGNAL</t>
  </si>
  <si>
    <t>Disposable income (excluded energy)</t>
  </si>
  <si>
    <t>Reference Sc.</t>
  </si>
  <si>
    <t>ADEME High Sc.</t>
  </si>
  <si>
    <t>CH_21_BAU</t>
  </si>
  <si>
    <t>CH_22_BAU</t>
  </si>
  <si>
    <t>CH_23_BAU</t>
  </si>
  <si>
    <t>CH_24_BAU</t>
  </si>
  <si>
    <t>CH_21_ADEMEHAUT</t>
  </si>
  <si>
    <t>CH_22_ADEMEHAUT</t>
  </si>
  <si>
    <t>CH_23_ADEMEHAUT</t>
  </si>
  <si>
    <t>CH_24_ADEMEHAUT</t>
  </si>
  <si>
    <t>IA_01_BAU</t>
  </si>
  <si>
    <t>IA_02_BAU</t>
  </si>
  <si>
    <t>IA_03_BAU</t>
  </si>
  <si>
    <t>IA_04_BAU</t>
  </si>
  <si>
    <t>IA_05_BAU</t>
  </si>
  <si>
    <t>IA_06_BAU</t>
  </si>
  <si>
    <t>IA_07_BAU</t>
  </si>
  <si>
    <t>IA_08_BAU</t>
  </si>
  <si>
    <t>IA_09_BAU</t>
  </si>
  <si>
    <t>IA_10_BAU</t>
  </si>
  <si>
    <t>IA_11_BAU</t>
  </si>
  <si>
    <t>IA_12_BAU</t>
  </si>
  <si>
    <t>IA_13_BAU</t>
  </si>
  <si>
    <t>IA_14_BAU</t>
  </si>
  <si>
    <t>IA_15_BAU</t>
  </si>
  <si>
    <t>IA_16_BAU</t>
  </si>
  <si>
    <t>IA_17_BAU</t>
  </si>
  <si>
    <t>IA_18_BAU</t>
  </si>
  <si>
    <t>IA_19_BAU</t>
  </si>
  <si>
    <t>IA_20_BAU</t>
  </si>
  <si>
    <t>IA_21_BAU</t>
  </si>
  <si>
    <t>IA_2201_BAU</t>
  </si>
  <si>
    <t>IA_2202_BAU</t>
  </si>
  <si>
    <t>IA_2301_BAU</t>
  </si>
  <si>
    <t>IA_2302_BAU</t>
  </si>
  <si>
    <t>IA_2303_BAU</t>
  </si>
  <si>
    <t>IA_2304_BAU</t>
  </si>
  <si>
    <t>IA_2305_BAU</t>
  </si>
  <si>
    <t>IA_2306_BAU</t>
  </si>
  <si>
    <t>IA_2307_BAU</t>
  </si>
  <si>
    <t>IA_2308_BAU</t>
  </si>
  <si>
    <t>IA_2401_BAU</t>
  </si>
  <si>
    <t>IA_2402_BAU</t>
  </si>
  <si>
    <t>IA_2403_BAU</t>
  </si>
  <si>
    <t>IA_2404_BAU</t>
  </si>
  <si>
    <t>IA_2405_BAU</t>
  </si>
  <si>
    <t>IA_2406_BAU</t>
  </si>
  <si>
    <t>IA_01_ADEMEHAUT</t>
  </si>
  <si>
    <t>IA_02_ADEMEHAUT</t>
  </si>
  <si>
    <t>IA_03_ADEMEHAUT</t>
  </si>
  <si>
    <t>IA_04_ADEMEHAUT</t>
  </si>
  <si>
    <t>IA_05_ADEMEHAUT</t>
  </si>
  <si>
    <t>IA_06_ADEMEHAUT</t>
  </si>
  <si>
    <t>IA_07_ADEMEHAUT</t>
  </si>
  <si>
    <t>IA_08_ADEMEHAUT</t>
  </si>
  <si>
    <t>IA_09_ADEMEHAUT</t>
  </si>
  <si>
    <t>IA_10_ADEMEHAUT</t>
  </si>
  <si>
    <t>IA_11_ADEMEHAUT</t>
  </si>
  <si>
    <t>IA_12_ADEMEHAUT</t>
  </si>
  <si>
    <t>IA_13_ADEMEHAUT</t>
  </si>
  <si>
    <t>IA_14_ADEMEHAUT</t>
  </si>
  <si>
    <t>IA_15_ADEMEHAUT</t>
  </si>
  <si>
    <t>IA_16_ADEMEHAUT</t>
  </si>
  <si>
    <t>IA_17_ADEMEHAUT</t>
  </si>
  <si>
    <t>IA_18_ADEMEHAUT</t>
  </si>
  <si>
    <t>IA_19_ADEMEHAUT</t>
  </si>
  <si>
    <t>IA_20_ADEMEHAUT</t>
  </si>
  <si>
    <t>IA_21_ADEMEHAUT</t>
  </si>
  <si>
    <t>IA_2201_ADEMEHAUT</t>
  </si>
  <si>
    <t>IA_2202_ADEMEHAUT</t>
  </si>
  <si>
    <t>IA_2301_ADEMEHAUT</t>
  </si>
  <si>
    <t>IA_2302_ADEMEHAUT</t>
  </si>
  <si>
    <t>IA_2303_ADEMEHAUT</t>
  </si>
  <si>
    <t>IA_2304_ADEMEHAUT</t>
  </si>
  <si>
    <t>IA_2305_ADEMEHAUT</t>
  </si>
  <si>
    <t>IA_2306_ADEMEHAUT</t>
  </si>
  <si>
    <t>IA_2307_ADEMEHAUT</t>
  </si>
  <si>
    <t>IA_2308_ADEMEHAUT</t>
  </si>
  <si>
    <t>IA_2401_ADEMEHAUT</t>
  </si>
  <si>
    <t>IA_2402_ADEMEHAUT</t>
  </si>
  <si>
    <t>IA_2403_ADEMEHAUT</t>
  </si>
  <si>
    <t>IA_2404_ADEMEHAUT</t>
  </si>
  <si>
    <t>IA_2405_ADEMEHAUT</t>
  </si>
  <si>
    <t>IA_2406_ADEMEHAUT</t>
  </si>
  <si>
    <t>EXP_REHAB_BAU</t>
  </si>
  <si>
    <t>EXP_NEWBUIL_BAU</t>
  </si>
  <si>
    <t>EXP_NEWAUTO_CA_BAU</t>
  </si>
  <si>
    <t>EXP_NEWAUTO_CB_BAU</t>
  </si>
  <si>
    <t>EXP_NEWAUTO_CC_BAU</t>
  </si>
  <si>
    <t>EXP_NEWAUTO_CD_BAU</t>
  </si>
  <si>
    <t>EXP_NEWAUTO_CE_BAU</t>
  </si>
  <si>
    <t>EXP_NEWAUTO_CF_BAU</t>
  </si>
  <si>
    <t>EXP_NEWAUTO_CG_BAU</t>
  </si>
  <si>
    <t>EXP_REHAB_ADEMEHAUT</t>
  </si>
  <si>
    <t>EXP_NEWBUIL_ADEMEHAUT</t>
  </si>
  <si>
    <t>EXP_NEWAUTO_CA_ADEMEHAUT</t>
  </si>
  <si>
    <t>EXP_NEWAUTO_CB_ADEMEHAUT</t>
  </si>
  <si>
    <t>EXP_NEWAUTO_CC_ADEMEHAUT</t>
  </si>
  <si>
    <t>EXP_NEWAUTO_CD_ADEMEHAUT</t>
  </si>
  <si>
    <t>EXP_NEWAUTO_CE_ADEMEHAUT</t>
  </si>
  <si>
    <t>EXP_NEWAUTO_CF_ADEMEHAUT</t>
  </si>
  <si>
    <t>EXP_NEWAUTO_CG_ADEMEHAUT</t>
  </si>
  <si>
    <t>IA_BAU</t>
  </si>
  <si>
    <t>IA_ADEMEHAUT</t>
  </si>
  <si>
    <t>Reference SC</t>
  </si>
  <si>
    <t>Low carbon vehicles (classes A, B , C)</t>
  </si>
  <si>
    <t>Other vehicles</t>
  </si>
  <si>
    <t>Public transport</t>
  </si>
  <si>
    <t>Fossil fuel</t>
  </si>
  <si>
    <t>Renewable energy</t>
  </si>
  <si>
    <t>Nuclear Power</t>
  </si>
  <si>
    <t>Thermal Power station</t>
  </si>
  <si>
    <t>Housing Renovation</t>
  </si>
  <si>
    <t>Other investments</t>
  </si>
  <si>
    <t>ADEME high Sc.</t>
  </si>
  <si>
    <t>Reference 2015</t>
  </si>
  <si>
    <t>TOTAL</t>
  </si>
  <si>
    <t>Disposable income (excluded energy and Debt burden)</t>
  </si>
  <si>
    <t>EXP_BUIL_BAU</t>
  </si>
  <si>
    <t>EXP_BUIL_21_BAU</t>
  </si>
  <si>
    <t>EXP_BUIL_22_BAU</t>
  </si>
  <si>
    <t>EXP_BUIL_23_BAU</t>
  </si>
  <si>
    <t>EXP_BUIL_24_BAU</t>
  </si>
  <si>
    <t>EXP_BUIL_ADEMEHAUT</t>
  </si>
  <si>
    <t>EXP_BUIL_21_ADEMEHAUT</t>
  </si>
  <si>
    <t>EXP_BUIL_22_ADEMEHAUT</t>
  </si>
  <si>
    <t>EXP_BUIL_23_ADEMEHAUT</t>
  </si>
  <si>
    <t>EXP_BUIL_24_ADEMEHAUT</t>
  </si>
  <si>
    <t>EXP_HOUSING_BAU</t>
  </si>
  <si>
    <t>EXP_MOBAUTO_BAU</t>
  </si>
  <si>
    <t>EXP_HOUSING_ADEMEHAUT</t>
  </si>
  <si>
    <t>EXP_MOBAUTO_ADEMEHAUT</t>
  </si>
  <si>
    <t>Energy_BUIL_BAU</t>
  </si>
  <si>
    <t>Energy_BUIL_21_BAU</t>
  </si>
  <si>
    <t>Energy_BUIL_22_BAU</t>
  </si>
  <si>
    <t>Energy_BUIL_23_BAU</t>
  </si>
  <si>
    <t>Energy_BUIL_24_BAU</t>
  </si>
  <si>
    <t>Energy_BUIL_ADEMEHAUT</t>
  </si>
  <si>
    <t>Energy_BUIL_21_ADEMEHAUT</t>
  </si>
  <si>
    <t>Energy_BUIL_22_ADEMEHAUT</t>
  </si>
  <si>
    <t>Energy_BUIL_23_ADEMEHAUT</t>
  </si>
  <si>
    <t>Energy_BUIL_24_ADEMEHAUT</t>
  </si>
  <si>
    <t>L_01_BAU</t>
  </si>
  <si>
    <t>L_02_BAU</t>
  </si>
  <si>
    <t>L_03_BAU</t>
  </si>
  <si>
    <t>L_04_BAU</t>
  </si>
  <si>
    <t>L_05_BAU</t>
  </si>
  <si>
    <t>L_06_BAU</t>
  </si>
  <si>
    <t>L_07_BAU</t>
  </si>
  <si>
    <t>L_08_BAU</t>
  </si>
  <si>
    <t>L_09_BAU</t>
  </si>
  <si>
    <t>L_10_BAU</t>
  </si>
  <si>
    <t>L_11_BAU</t>
  </si>
  <si>
    <t>L_12_BAU</t>
  </si>
  <si>
    <t>L_13_BAU</t>
  </si>
  <si>
    <t>L_14_BAU</t>
  </si>
  <si>
    <t>L_15_BAU</t>
  </si>
  <si>
    <t>L_16_BAU</t>
  </si>
  <si>
    <t>L_17_BAU</t>
  </si>
  <si>
    <t>L_18_BAU</t>
  </si>
  <si>
    <t>L_19_BAU</t>
  </si>
  <si>
    <t>L_20_BAU</t>
  </si>
  <si>
    <t>L_21_BAU</t>
  </si>
  <si>
    <t>L_2201_BAU</t>
  </si>
  <si>
    <t>L_2202_BAU</t>
  </si>
  <si>
    <t>L_2301_BAU</t>
  </si>
  <si>
    <t>L_2302_BAU</t>
  </si>
  <si>
    <t>L_2303_BAU</t>
  </si>
  <si>
    <t>L_2304_BAU</t>
  </si>
  <si>
    <t>L_2305_BAU</t>
  </si>
  <si>
    <t>L_2306_BAU</t>
  </si>
  <si>
    <t>L_2307_BAU</t>
  </si>
  <si>
    <t>L_2308_BAU</t>
  </si>
  <si>
    <t>L_2401_BAU</t>
  </si>
  <si>
    <t>L_2402_BAU</t>
  </si>
  <si>
    <t>L_2403_BAU</t>
  </si>
  <si>
    <t>L_2404_BAU</t>
  </si>
  <si>
    <t>L_2405_BAU</t>
  </si>
  <si>
    <t>L_2406_BAU</t>
  </si>
  <si>
    <t>L_BAU</t>
  </si>
  <si>
    <t>L_ADEMEHAUT</t>
  </si>
  <si>
    <t>L_01_ADEMEHAUT</t>
  </si>
  <si>
    <t>L_02_ADEMEHAUT</t>
  </si>
  <si>
    <t>L_03_ADEMEHAUT</t>
  </si>
  <si>
    <t>L_04_ADEMEHAUT</t>
  </si>
  <si>
    <t>L_05_ADEMEHAUT</t>
  </si>
  <si>
    <t>L_06_ADEMEHAUT</t>
  </si>
  <si>
    <t>L_07_ADEMEHAUT</t>
  </si>
  <si>
    <t>L_08_ADEMEHAUT</t>
  </si>
  <si>
    <t>L_09_ADEMEHAUT</t>
  </si>
  <si>
    <t>L_10_ADEMEHAUT</t>
  </si>
  <si>
    <t>L_11_ADEMEHAUT</t>
  </si>
  <si>
    <t>L_12_ADEMEHAUT</t>
  </si>
  <si>
    <t>L_13_ADEMEHAUT</t>
  </si>
  <si>
    <t>L_14_ADEMEHAUT</t>
  </si>
  <si>
    <t>L_15_ADEMEHAUT</t>
  </si>
  <si>
    <t>L_16_ADEMEHAUT</t>
  </si>
  <si>
    <t>L_17_ADEMEHAUT</t>
  </si>
  <si>
    <t>L_18_ADEMEHAUT</t>
  </si>
  <si>
    <t>L_19_ADEMEHAUT</t>
  </si>
  <si>
    <t>L_20_ADEMEHAUT</t>
  </si>
  <si>
    <t>L_21_ADEMEHAUT</t>
  </si>
  <si>
    <t>L_2201_ADEMEHAUT</t>
  </si>
  <si>
    <t>L_2202_ADEMEHAUT</t>
  </si>
  <si>
    <t>L_2301_ADEMEHAUT</t>
  </si>
  <si>
    <t>L_2302_ADEMEHAUT</t>
  </si>
  <si>
    <t>L_2303_ADEMEHAUT</t>
  </si>
  <si>
    <t>L_2304_ADEMEHAUT</t>
  </si>
  <si>
    <t>L_2305_ADEMEHAUT</t>
  </si>
  <si>
    <t>L_2306_ADEMEHAUT</t>
  </si>
  <si>
    <t>L_2307_ADEMEHAUT</t>
  </si>
  <si>
    <t>L_2308_ADEMEHAUT</t>
  </si>
  <si>
    <t>L_2401_ADEMEHAUT</t>
  </si>
  <si>
    <t>L_2402_ADEMEHAUT</t>
  </si>
  <si>
    <t>L_2403_ADEMEHAUT</t>
  </si>
  <si>
    <t>L_2404_ADEMEHAUT</t>
  </si>
  <si>
    <t>L_2405_ADEMEHAUT</t>
  </si>
  <si>
    <t>L_2406_ADEMEHAUT</t>
  </si>
  <si>
    <t>L_2-L_0</t>
  </si>
  <si>
    <t>Food Industry</t>
  </si>
  <si>
    <t>Automotive industry</t>
  </si>
  <si>
    <t>Construction</t>
  </si>
  <si>
    <t>Road transportation (goods)</t>
  </si>
  <si>
    <t>Road trnasportation (passengers)</t>
  </si>
  <si>
    <t>Fossil fuels</t>
  </si>
  <si>
    <t>Oil products</t>
  </si>
  <si>
    <t>Biofuel</t>
  </si>
  <si>
    <t>Renewable electricity</t>
  </si>
  <si>
    <t>Renewable heating</t>
  </si>
  <si>
    <t>Renewable energies</t>
  </si>
  <si>
    <t>ADEMEHAUT - BAU</t>
  </si>
  <si>
    <t>Railroad</t>
  </si>
  <si>
    <t>L_2302</t>
  </si>
  <si>
    <t>L_2303</t>
  </si>
  <si>
    <t>L_2304</t>
  </si>
  <si>
    <t>L_2305</t>
  </si>
  <si>
    <t>L_2306</t>
  </si>
  <si>
    <t>L_2307</t>
  </si>
  <si>
    <t>L_2308</t>
  </si>
  <si>
    <t>L_2402</t>
  </si>
  <si>
    <t>L_2403</t>
  </si>
  <si>
    <t>L_2404</t>
  </si>
  <si>
    <t>L_2405</t>
  </si>
  <si>
    <t>L_2406</t>
  </si>
  <si>
    <t>L_19</t>
  </si>
  <si>
    <t>L_20</t>
  </si>
  <si>
    <t>L_01</t>
  </si>
  <si>
    <t>L_02</t>
  </si>
  <si>
    <t>L_03</t>
  </si>
  <si>
    <t>L_13</t>
  </si>
  <si>
    <t>L_14</t>
  </si>
  <si>
    <t>L_15</t>
  </si>
  <si>
    <t>L_16</t>
  </si>
  <si>
    <t>L_2101</t>
  </si>
  <si>
    <t>L_2102</t>
  </si>
  <si>
    <t>L_2301</t>
  </si>
  <si>
    <t>L_2401</t>
  </si>
  <si>
    <t>Services</t>
  </si>
  <si>
    <t>L_09</t>
  </si>
  <si>
    <t>L_10</t>
  </si>
  <si>
    <t>L_11</t>
  </si>
  <si>
    <t>L_12</t>
  </si>
  <si>
    <t>L_04</t>
  </si>
  <si>
    <t>L_05</t>
  </si>
  <si>
    <t>L_06</t>
  </si>
  <si>
    <t>L_07</t>
  </si>
  <si>
    <t>L_08</t>
  </si>
  <si>
    <t>L_17</t>
  </si>
  <si>
    <t>L_18</t>
  </si>
  <si>
    <t>Verif</t>
  </si>
  <si>
    <t>Agriculture and food industry</t>
  </si>
  <si>
    <t>UNR_TOT_BAU</t>
  </si>
  <si>
    <t>UNR_TOT_ADEMEHAUT</t>
  </si>
  <si>
    <t xml:space="preserve">Trade_BAU </t>
  </si>
  <si>
    <t>Trade_ADEMEHAUT</t>
  </si>
  <si>
    <t>Debt_BAU</t>
  </si>
  <si>
    <t xml:space="preserve">Debt_ADEMEHAUT </t>
  </si>
  <si>
    <t xml:space="preserve">Pubbal_BAU </t>
  </si>
  <si>
    <t xml:space="preserve">Pubbal_ADEMEHAUT </t>
  </si>
  <si>
    <t xml:space="preserve">INVESTMENT </t>
  </si>
  <si>
    <t xml:space="preserve">OTHER VARIABLES </t>
  </si>
  <si>
    <t>(a)</t>
  </si>
  <si>
    <t>(b)</t>
  </si>
  <si>
    <t>Public Debt</t>
  </si>
  <si>
    <t>(c)</t>
  </si>
  <si>
    <t>(d)</t>
  </si>
  <si>
    <t>Carbon Tax</t>
  </si>
  <si>
    <t>(e)</t>
  </si>
  <si>
    <t xml:space="preserve">(a) in % difference from reference scenario, (b) in %, (c) in % of GDP, (d) in contant euros per ton of CO2, </t>
  </si>
  <si>
    <t>(e) in billion constant euro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</si>
</sst>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_-* #,##0.00_-;_-* #,##0.00\-;_-* &quot;-&quot;??_-;_-@_-"/>
    <numFmt numFmtId="166" formatCode="0.000"/>
    <numFmt numFmtId="167" formatCode="0.0000"/>
    <numFmt numFmtId="168" formatCode="#,##0.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i/>
      <sz val="12"/>
      <color theme="1"/>
      <name val="Calibri"/>
      <family val="2"/>
    </font>
    <font>
      <b/>
      <i/>
      <sz val="12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8"/>
      <color theme="1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92D05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6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2" fillId="0" borderId="0"/>
    <xf numFmtId="9" fontId="21" fillId="0" borderId="0" applyFont="0" applyFill="0" applyBorder="0" applyAlignment="0" applyProtection="0"/>
    <xf numFmtId="0" fontId="21" fillId="0" borderId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7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7" fillId="2" borderId="1" xfId="0" applyFont="1" applyFill="1" applyBorder="1" applyAlignment="1">
      <alignment wrapText="1"/>
    </xf>
    <xf numFmtId="0" fontId="7" fillId="2" borderId="1" xfId="0" applyFont="1" applyFill="1" applyBorder="1" applyAlignment="1">
      <alignment horizontal="center"/>
    </xf>
    <xf numFmtId="2" fontId="8" fillId="0" borderId="2" xfId="0" applyNumberFormat="1" applyFont="1" applyFill="1" applyBorder="1"/>
    <xf numFmtId="2" fontId="8" fillId="0" borderId="3" xfId="0" applyNumberFormat="1" applyFont="1" applyFill="1" applyBorder="1"/>
    <xf numFmtId="2" fontId="8" fillId="0" borderId="4" xfId="0" applyNumberFormat="1" applyFont="1" applyFill="1" applyBorder="1"/>
    <xf numFmtId="2" fontId="8" fillId="0" borderId="0" xfId="0" applyNumberFormat="1" applyFont="1" applyFill="1" applyBorder="1"/>
    <xf numFmtId="0" fontId="8" fillId="0" borderId="0" xfId="0" applyFont="1" applyFill="1" applyBorder="1"/>
    <xf numFmtId="2" fontId="8" fillId="0" borderId="5" xfId="0" applyNumberFormat="1" applyFont="1" applyFill="1" applyBorder="1"/>
    <xf numFmtId="0" fontId="7" fillId="3" borderId="6" xfId="0" applyFont="1" applyFill="1" applyBorder="1" applyAlignment="1">
      <alignment horizontal="center" wrapText="1"/>
    </xf>
    <xf numFmtId="0" fontId="7" fillId="3" borderId="10" xfId="0" applyFont="1" applyFill="1" applyBorder="1" applyAlignment="1">
      <alignment horizontal="center" wrapText="1"/>
    </xf>
    <xf numFmtId="0" fontId="0" fillId="4" borderId="0" xfId="0" applyFill="1"/>
    <xf numFmtId="0" fontId="7" fillId="5" borderId="1" xfId="0" applyFont="1" applyFill="1" applyBorder="1" applyAlignment="1">
      <alignment wrapText="1"/>
    </xf>
    <xf numFmtId="2" fontId="8" fillId="4" borderId="2" xfId="0" applyNumberFormat="1" applyFont="1" applyFill="1" applyBorder="1"/>
    <xf numFmtId="2" fontId="8" fillId="4" borderId="3" xfId="0" applyNumberFormat="1" applyFont="1" applyFill="1" applyBorder="1"/>
    <xf numFmtId="2" fontId="8" fillId="4" borderId="5" xfId="0" applyNumberFormat="1" applyFont="1" applyFill="1" applyBorder="1"/>
    <xf numFmtId="2" fontId="8" fillId="4" borderId="4" xfId="0" applyNumberFormat="1" applyFont="1" applyFill="1" applyBorder="1"/>
    <xf numFmtId="0" fontId="0" fillId="0" borderId="0" xfId="0" applyBorder="1"/>
    <xf numFmtId="0" fontId="0" fillId="0" borderId="6" xfId="0" applyBorder="1"/>
    <xf numFmtId="0" fontId="13" fillId="0" borderId="0" xfId="1" applyFont="1" applyFill="1" applyBorder="1" applyAlignment="1">
      <alignment vertical="top"/>
    </xf>
    <xf numFmtId="0" fontId="13" fillId="0" borderId="0" xfId="1" applyFont="1" applyFill="1" applyBorder="1" applyAlignment="1">
      <alignment horizontal="left" vertical="top" indent="2"/>
    </xf>
    <xf numFmtId="0" fontId="0" fillId="0" borderId="0" xfId="0" applyFill="1"/>
    <xf numFmtId="0" fontId="0" fillId="9" borderId="0" xfId="0" applyFill="1"/>
    <xf numFmtId="0" fontId="1" fillId="9" borderId="9" xfId="0" applyFont="1" applyFill="1" applyBorder="1" applyAlignment="1">
      <alignment horizontal="right"/>
    </xf>
    <xf numFmtId="0" fontId="1" fillId="9" borderId="9" xfId="0" applyFont="1" applyFill="1" applyBorder="1"/>
    <xf numFmtId="0" fontId="0" fillId="9" borderId="9" xfId="0" applyFill="1" applyBorder="1"/>
    <xf numFmtId="0" fontId="0" fillId="9" borderId="0" xfId="0" applyFill="1" applyBorder="1"/>
    <xf numFmtId="164" fontId="0" fillId="9" borderId="0" xfId="0" applyNumberFormat="1" applyFill="1" applyBorder="1" applyAlignment="1">
      <alignment horizontal="right"/>
    </xf>
    <xf numFmtId="0" fontId="0" fillId="9" borderId="6" xfId="0" applyFill="1" applyBorder="1"/>
    <xf numFmtId="164" fontId="0" fillId="9" borderId="6" xfId="0" applyNumberFormat="1" applyFill="1" applyBorder="1" applyAlignment="1">
      <alignment horizontal="right"/>
    </xf>
    <xf numFmtId="0" fontId="0" fillId="9" borderId="9" xfId="0" applyFill="1" applyBorder="1" applyAlignment="1">
      <alignment vertical="center" wrapText="1"/>
    </xf>
    <xf numFmtId="0" fontId="0" fillId="7" borderId="9" xfId="0" applyFill="1" applyBorder="1"/>
    <xf numFmtId="164" fontId="1" fillId="8" borderId="6" xfId="0" applyNumberFormat="1" applyFont="1" applyFill="1" applyBorder="1" applyAlignment="1">
      <alignment horizontal="right"/>
    </xf>
    <xf numFmtId="164" fontId="1" fillId="8" borderId="9" xfId="0" applyNumberFormat="1" applyFont="1" applyFill="1" applyBorder="1" applyAlignment="1">
      <alignment horizontal="right"/>
    </xf>
    <xf numFmtId="0" fontId="4" fillId="0" borderId="0" xfId="0" applyFont="1" applyFill="1"/>
    <xf numFmtId="164" fontId="1" fillId="7" borderId="9" xfId="0" applyNumberFormat="1" applyFont="1" applyFill="1" applyBorder="1"/>
    <xf numFmtId="0" fontId="0" fillId="8" borderId="0" xfId="0" applyFill="1" applyBorder="1"/>
    <xf numFmtId="2" fontId="0" fillId="9" borderId="0" xfId="0" applyNumberFormat="1" applyFill="1" applyBorder="1" applyAlignment="1">
      <alignment horizontal="center"/>
    </xf>
    <xf numFmtId="1" fontId="0" fillId="9" borderId="0" xfId="0" applyNumberFormat="1" applyFill="1" applyBorder="1" applyAlignment="1">
      <alignment horizontal="center"/>
    </xf>
    <xf numFmtId="0" fontId="0" fillId="8" borderId="20" xfId="0" applyFill="1" applyBorder="1"/>
    <xf numFmtId="0" fontId="0" fillId="0" borderId="20" xfId="0" applyBorder="1"/>
    <xf numFmtId="1" fontId="0" fillId="9" borderId="20" xfId="0" applyNumberFormat="1" applyFill="1" applyBorder="1" applyAlignment="1">
      <alignment horizontal="center"/>
    </xf>
    <xf numFmtId="0" fontId="0" fillId="8" borderId="6" xfId="0" applyFill="1" applyBorder="1"/>
    <xf numFmtId="2" fontId="0" fillId="9" borderId="20" xfId="0" applyNumberFormat="1" applyFill="1" applyBorder="1" applyAlignment="1">
      <alignment horizontal="center"/>
    </xf>
    <xf numFmtId="2" fontId="0" fillId="9" borderId="6" xfId="0" applyNumberForma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6" borderId="9" xfId="0" applyFill="1" applyBorder="1"/>
    <xf numFmtId="0" fontId="1" fillId="6" borderId="9" xfId="0" applyFont="1" applyFill="1" applyBorder="1"/>
    <xf numFmtId="0" fontId="14" fillId="0" borderId="0" xfId="0" applyFont="1" applyFill="1" applyBorder="1"/>
    <xf numFmtId="0" fontId="15" fillId="0" borderId="0" xfId="0" applyFont="1" applyFill="1" applyBorder="1"/>
    <xf numFmtId="0" fontId="16" fillId="0" borderId="0" xfId="0" applyFont="1" applyFill="1" applyBorder="1"/>
    <xf numFmtId="0" fontId="17" fillId="0" borderId="0" xfId="0" applyFont="1" applyFill="1" applyBorder="1" applyAlignment="1">
      <alignment horizontal="center"/>
    </xf>
    <xf numFmtId="0" fontId="18" fillId="0" borderId="9" xfId="0" applyFont="1" applyFill="1" applyBorder="1"/>
    <xf numFmtId="49" fontId="0" fillId="0" borderId="0" xfId="0" applyNumberFormat="1"/>
    <xf numFmtId="0" fontId="15" fillId="0" borderId="9" xfId="0" applyFont="1" applyFill="1" applyBorder="1"/>
    <xf numFmtId="1" fontId="0" fillId="0" borderId="0" xfId="0" applyNumberFormat="1"/>
    <xf numFmtId="0" fontId="1" fillId="0" borderId="9" xfId="0" applyFont="1" applyFill="1" applyBorder="1"/>
    <xf numFmtId="164" fontId="0" fillId="9" borderId="0" xfId="0" applyNumberFormat="1" applyFill="1"/>
    <xf numFmtId="0" fontId="1" fillId="9" borderId="0" xfId="0" applyFont="1" applyFill="1"/>
    <xf numFmtId="164" fontId="1" fillId="13" borderId="9" xfId="0" applyNumberFormat="1" applyFont="1" applyFill="1" applyBorder="1"/>
    <xf numFmtId="164" fontId="1" fillId="12" borderId="0" xfId="0" applyNumberFormat="1" applyFont="1" applyFill="1"/>
    <xf numFmtId="0" fontId="15" fillId="0" borderId="20" xfId="0" applyFont="1" applyFill="1" applyBorder="1"/>
    <xf numFmtId="0" fontId="20" fillId="0" borderId="20" xfId="0" applyFont="1" applyFill="1" applyBorder="1" applyAlignment="1">
      <alignment horizontal="left" indent="2"/>
    </xf>
    <xf numFmtId="0" fontId="20" fillId="0" borderId="0" xfId="0" applyFont="1" applyFill="1" applyBorder="1" applyAlignment="1">
      <alignment horizontal="left" indent="2"/>
    </xf>
    <xf numFmtId="1" fontId="15" fillId="0" borderId="0" xfId="0" applyNumberFormat="1" applyFont="1" applyFill="1" applyBorder="1"/>
    <xf numFmtId="1" fontId="15" fillId="10" borderId="9" xfId="0" applyNumberFormat="1" applyFont="1" applyFill="1" applyBorder="1"/>
    <xf numFmtId="1" fontId="15" fillId="10" borderId="6" xfId="0" applyNumberFormat="1" applyFont="1" applyFill="1" applyBorder="1"/>
    <xf numFmtId="1" fontId="15" fillId="9" borderId="0" xfId="0" applyNumberFormat="1" applyFont="1" applyFill="1" applyBorder="1"/>
    <xf numFmtId="1" fontId="15" fillId="15" borderId="0" xfId="0" applyNumberFormat="1" applyFont="1" applyFill="1" applyBorder="1"/>
    <xf numFmtId="1" fontId="17" fillId="10" borderId="9" xfId="0" applyNumberFormat="1" applyFont="1" applyFill="1" applyBorder="1"/>
    <xf numFmtId="1" fontId="17" fillId="10" borderId="6" xfId="0" applyNumberFormat="1" applyFont="1" applyFill="1" applyBorder="1"/>
    <xf numFmtId="0" fontId="0" fillId="0" borderId="0" xfId="0" applyFill="1" applyBorder="1"/>
    <xf numFmtId="1" fontId="1" fillId="14" borderId="9" xfId="0" applyNumberFormat="1" applyFont="1" applyFill="1" applyBorder="1"/>
    <xf numFmtId="1" fontId="15" fillId="0" borderId="20" xfId="0" applyNumberFormat="1" applyFont="1" applyFill="1" applyBorder="1"/>
    <xf numFmtId="1" fontId="17" fillId="14" borderId="9" xfId="0" applyNumberFormat="1" applyFont="1" applyFill="1" applyBorder="1"/>
    <xf numFmtId="1" fontId="0" fillId="0" borderId="0" xfId="0" applyNumberFormat="1" applyFill="1"/>
    <xf numFmtId="1" fontId="18" fillId="11" borderId="9" xfId="0" applyNumberFormat="1" applyFont="1" applyFill="1" applyBorder="1"/>
    <xf numFmtId="1" fontId="1" fillId="8" borderId="6" xfId="0" applyNumberFormat="1" applyFont="1" applyFill="1" applyBorder="1" applyAlignment="1">
      <alignment horizontal="right"/>
    </xf>
    <xf numFmtId="1" fontId="0" fillId="9" borderId="0" xfId="0" applyNumberFormat="1" applyFill="1" applyBorder="1" applyAlignment="1">
      <alignment horizontal="right"/>
    </xf>
    <xf numFmtId="1" fontId="0" fillId="9" borderId="6" xfId="0" applyNumberFormat="1" applyFill="1" applyBorder="1" applyAlignment="1">
      <alignment horizontal="right"/>
    </xf>
    <xf numFmtId="1" fontId="1" fillId="8" borderId="9" xfId="0" applyNumberFormat="1" applyFont="1" applyFill="1" applyBorder="1" applyAlignment="1">
      <alignment horizontal="right"/>
    </xf>
    <xf numFmtId="1" fontId="1" fillId="7" borderId="9" xfId="0" applyNumberFormat="1" applyFont="1" applyFill="1" applyBorder="1"/>
    <xf numFmtId="1" fontId="1" fillId="9" borderId="9" xfId="0" applyNumberFormat="1" applyFont="1" applyFill="1" applyBorder="1" applyAlignment="1">
      <alignment horizontal="right"/>
    </xf>
    <xf numFmtId="1" fontId="0" fillId="0" borderId="0" xfId="0" applyNumberFormat="1" applyFill="1" applyBorder="1" applyAlignment="1">
      <alignment horizontal="right"/>
    </xf>
    <xf numFmtId="1" fontId="1" fillId="0" borderId="0" xfId="0" applyNumberFormat="1" applyFont="1" applyFill="1" applyBorder="1" applyAlignment="1">
      <alignment horizontal="right"/>
    </xf>
    <xf numFmtId="1" fontId="1" fillId="0" borderId="0" xfId="0" applyNumberFormat="1" applyFont="1" applyFill="1" applyBorder="1"/>
    <xf numFmtId="1" fontId="1" fillId="12" borderId="6" xfId="0" applyNumberFormat="1" applyFont="1" applyFill="1" applyBorder="1" applyAlignment="1">
      <alignment horizontal="right"/>
    </xf>
    <xf numFmtId="1" fontId="1" fillId="12" borderId="9" xfId="0" applyNumberFormat="1" applyFont="1" applyFill="1" applyBorder="1" applyAlignment="1">
      <alignment horizontal="right"/>
    </xf>
    <xf numFmtId="1" fontId="1" fillId="16" borderId="9" xfId="0" applyNumberFormat="1" applyFont="1" applyFill="1" applyBorder="1"/>
    <xf numFmtId="1" fontId="18" fillId="16" borderId="9" xfId="0" applyNumberFormat="1" applyFont="1" applyFill="1" applyBorder="1"/>
    <xf numFmtId="0" fontId="22" fillId="0" borderId="0" xfId="0" applyFont="1" applyFill="1" applyBorder="1" applyAlignment="1">
      <alignment wrapText="1" shrinkToFit="1"/>
    </xf>
    <xf numFmtId="164" fontId="0" fillId="0" borderId="0" xfId="0" applyNumberFormat="1" applyFill="1" applyBorder="1"/>
    <xf numFmtId="164" fontId="21" fillId="0" borderId="0" xfId="4" applyNumberFormat="1" applyFont="1" applyFill="1" applyBorder="1"/>
    <xf numFmtId="2" fontId="21" fillId="0" borderId="0" xfId="3" applyNumberFormat="1" applyFont="1" applyFill="1" applyBorder="1"/>
    <xf numFmtId="164" fontId="21" fillId="0" borderId="0" xfId="5" applyNumberFormat="1" applyFont="1" applyFill="1" applyBorder="1"/>
    <xf numFmtId="166" fontId="24" fillId="0" borderId="0" xfId="4" applyNumberFormat="1" applyFont="1" applyFill="1" applyBorder="1"/>
    <xf numFmtId="2" fontId="24" fillId="0" borderId="0" xfId="5" applyNumberFormat="1" applyFont="1" applyFill="1" applyBorder="1"/>
    <xf numFmtId="2" fontId="24" fillId="0" borderId="0" xfId="4" applyNumberFormat="1" applyFont="1" applyFill="1" applyBorder="1"/>
    <xf numFmtId="167" fontId="21" fillId="0" borderId="0" xfId="3" applyNumberFormat="1" applyFont="1" applyFill="1" applyBorder="1"/>
    <xf numFmtId="166" fontId="21" fillId="0" borderId="0" xfId="5" applyNumberFormat="1" applyFont="1" applyFill="1" applyBorder="1"/>
    <xf numFmtId="0" fontId="23" fillId="0" borderId="0" xfId="0" applyFont="1" applyFill="1" applyBorder="1"/>
    <xf numFmtId="0" fontId="0" fillId="0" borderId="0" xfId="2" applyNumberFormat="1" applyFont="1" applyFill="1" applyBorder="1"/>
    <xf numFmtId="0" fontId="0" fillId="0" borderId="0" xfId="0" applyAlignment="1">
      <alignment wrapText="1"/>
    </xf>
    <xf numFmtId="0" fontId="1" fillId="6" borderId="9" xfId="0" applyFont="1" applyFill="1" applyBorder="1" applyAlignment="1">
      <alignment horizontal="center" vertical="center"/>
    </xf>
    <xf numFmtId="2" fontId="0" fillId="0" borderId="0" xfId="0" applyNumberFormat="1"/>
    <xf numFmtId="164" fontId="0" fillId="0" borderId="0" xfId="0" applyNumberFormat="1" applyBorder="1"/>
    <xf numFmtId="164" fontId="0" fillId="0" borderId="20" xfId="0" applyNumberFormat="1" applyBorder="1"/>
    <xf numFmtId="164" fontId="0" fillId="0" borderId="6" xfId="0" applyNumberFormat="1" applyBorder="1"/>
    <xf numFmtId="0" fontId="0" fillId="8" borderId="0" xfId="0" applyFill="1" applyBorder="1" applyAlignment="1">
      <alignment horizontal="left" indent="2"/>
    </xf>
    <xf numFmtId="0" fontId="0" fillId="8" borderId="0" xfId="0" applyFill="1" applyBorder="1" applyAlignment="1">
      <alignment horizontal="left"/>
    </xf>
    <xf numFmtId="0" fontId="0" fillId="8" borderId="0" xfId="0" applyFill="1" applyBorder="1" applyAlignment="1">
      <alignment horizontal="left" indent="3"/>
    </xf>
    <xf numFmtId="0" fontId="0" fillId="8" borderId="6" xfId="0" applyFill="1" applyBorder="1" applyAlignment="1">
      <alignment horizontal="left" indent="3"/>
    </xf>
    <xf numFmtId="3" fontId="0" fillId="9" borderId="6" xfId="0" applyNumberFormat="1" applyFill="1" applyBorder="1" applyAlignment="1">
      <alignment horizontal="center"/>
    </xf>
    <xf numFmtId="3" fontId="0" fillId="9" borderId="0" xfId="0" applyNumberFormat="1" applyFill="1" applyBorder="1" applyAlignment="1">
      <alignment horizontal="center"/>
    </xf>
    <xf numFmtId="0" fontId="0" fillId="8" borderId="0" xfId="0" applyFill="1" applyBorder="1" applyAlignment="1">
      <alignment horizontal="left" indent="4"/>
    </xf>
    <xf numFmtId="0" fontId="0" fillId="8" borderId="0" xfId="0" applyFill="1" applyBorder="1" applyAlignment="1">
      <alignment horizontal="left" indent="1"/>
    </xf>
    <xf numFmtId="0" fontId="0" fillId="8" borderId="6" xfId="0" applyFill="1" applyBorder="1" applyAlignment="1">
      <alignment horizontal="left" indent="4"/>
    </xf>
    <xf numFmtId="2" fontId="0" fillId="9" borderId="0" xfId="0" applyNumberFormat="1" applyFill="1" applyBorder="1" applyAlignment="1">
      <alignment horizontal="left"/>
    </xf>
    <xf numFmtId="2" fontId="0" fillId="9" borderId="6" xfId="0" applyNumberFormat="1" applyFill="1" applyBorder="1" applyAlignment="1">
      <alignment horizontal="left"/>
    </xf>
    <xf numFmtId="164" fontId="0" fillId="0" borderId="0" xfId="0" applyNumberFormat="1"/>
    <xf numFmtId="0" fontId="1" fillId="0" borderId="0" xfId="0" applyFont="1" applyFill="1" applyBorder="1" applyAlignment="1">
      <alignment horizontal="right"/>
    </xf>
    <xf numFmtId="164" fontId="0" fillId="0" borderId="0" xfId="0" applyNumberFormat="1" applyFill="1"/>
    <xf numFmtId="3" fontId="0" fillId="9" borderId="0" xfId="0" applyNumberFormat="1" applyFill="1" applyBorder="1" applyAlignment="1">
      <alignment horizontal="right"/>
    </xf>
    <xf numFmtId="3" fontId="0" fillId="0" borderId="0" xfId="0" applyNumberFormat="1"/>
    <xf numFmtId="4" fontId="0" fillId="9" borderId="0" xfId="0" applyNumberFormat="1" applyFill="1" applyBorder="1" applyAlignment="1">
      <alignment horizontal="right"/>
    </xf>
    <xf numFmtId="3" fontId="25" fillId="0" borderId="0" xfId="0" applyNumberFormat="1" applyFont="1"/>
    <xf numFmtId="0" fontId="25" fillId="0" borderId="0" xfId="0" applyFont="1"/>
    <xf numFmtId="3" fontId="1" fillId="0" borderId="0" xfId="0" applyNumberFormat="1" applyFont="1"/>
    <xf numFmtId="168" fontId="0" fillId="9" borderId="0" xfId="0" applyNumberFormat="1" applyFill="1" applyBorder="1" applyAlignment="1">
      <alignment horizontal="right"/>
    </xf>
    <xf numFmtId="49" fontId="26" fillId="9" borderId="0" xfId="0" applyNumberFormat="1" applyFont="1" applyFill="1" applyBorder="1" applyAlignment="1">
      <alignment horizontal="left"/>
    </xf>
    <xf numFmtId="49" fontId="26" fillId="9" borderId="0" xfId="0" applyNumberFormat="1" applyFont="1" applyFill="1"/>
    <xf numFmtId="49" fontId="26" fillId="9" borderId="0" xfId="0" applyNumberFormat="1" applyFont="1" applyFill="1" applyAlignment="1">
      <alignment horizontal="left"/>
    </xf>
    <xf numFmtId="10" fontId="1" fillId="0" borderId="0" xfId="6" applyNumberFormat="1" applyFont="1"/>
    <xf numFmtId="10" fontId="1" fillId="9" borderId="0" xfId="6" applyNumberFormat="1" applyFont="1" applyFill="1" applyBorder="1" applyAlignment="1">
      <alignment horizontal="right"/>
    </xf>
    <xf numFmtId="2" fontId="1" fillId="9" borderId="0" xfId="6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2" fontId="8" fillId="0" borderId="14" xfId="0" applyNumberFormat="1" applyFont="1" applyFill="1" applyBorder="1" applyAlignment="1">
      <alignment horizontal="left"/>
    </xf>
    <xf numFmtId="2" fontId="8" fillId="0" borderId="15" xfId="0" applyNumberFormat="1" applyFont="1" applyFill="1" applyBorder="1" applyAlignment="1">
      <alignment horizontal="left"/>
    </xf>
    <xf numFmtId="2" fontId="8" fillId="0" borderId="16" xfId="0" applyNumberFormat="1" applyFont="1" applyFill="1" applyBorder="1" applyAlignment="1">
      <alignment horizontal="left"/>
    </xf>
    <xf numFmtId="2" fontId="8" fillId="0" borderId="11" xfId="0" applyNumberFormat="1" applyFont="1" applyFill="1" applyBorder="1" applyAlignment="1">
      <alignment horizontal="left"/>
    </xf>
    <xf numFmtId="2" fontId="8" fillId="0" borderId="12" xfId="0" applyNumberFormat="1" applyFont="1" applyFill="1" applyBorder="1" applyAlignment="1">
      <alignment horizontal="left"/>
    </xf>
    <xf numFmtId="2" fontId="8" fillId="0" borderId="13" xfId="0" applyNumberFormat="1" applyFont="1" applyFill="1" applyBorder="1" applyAlignment="1">
      <alignment horizontal="left"/>
    </xf>
    <xf numFmtId="0" fontId="7" fillId="3" borderId="6" xfId="0" applyFont="1" applyFill="1" applyBorder="1" applyAlignment="1">
      <alignment horizontal="center"/>
    </xf>
    <xf numFmtId="2" fontId="8" fillId="0" borderId="17" xfId="0" applyNumberFormat="1" applyFont="1" applyFill="1" applyBorder="1" applyAlignment="1">
      <alignment horizontal="left"/>
    </xf>
    <xf numFmtId="2" fontId="8" fillId="0" borderId="18" xfId="0" applyNumberFormat="1" applyFont="1" applyFill="1" applyBorder="1" applyAlignment="1">
      <alignment horizontal="left"/>
    </xf>
    <xf numFmtId="2" fontId="8" fillId="0" borderId="19" xfId="0" applyNumberFormat="1" applyFont="1" applyFill="1" applyBorder="1" applyAlignment="1">
      <alignment horizontal="left"/>
    </xf>
    <xf numFmtId="0" fontId="7" fillId="5" borderId="7" xfId="0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0" fillId="9" borderId="20" xfId="0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 wrapText="1"/>
    </xf>
    <xf numFmtId="0" fontId="17" fillId="0" borderId="6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" fillId="6" borderId="2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20" xfId="0" applyFont="1" applyFill="1" applyBorder="1" applyAlignment="1">
      <alignment horizontal="center" vertical="center" wrapText="1"/>
    </xf>
    <xf numFmtId="0" fontId="1" fillId="6" borderId="0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</cellXfs>
  <cellStyles count="7">
    <cellStyle name="Milliers 2 2" xfId="5"/>
    <cellStyle name="Milliers 3" xfId="4"/>
    <cellStyle name="Normal" xfId="0" builtinId="0"/>
    <cellStyle name="Normal 2 2" xfId="3"/>
    <cellStyle name="Normal 3" xfId="1"/>
    <cellStyle name="Pourcentage" xfId="6" builtinId="5"/>
    <cellStyle name="Pourcentage 2" xfId="2"/>
  </cellStyles>
  <dxfs count="0"/>
  <tableStyles count="0" defaultTableStyle="TableStyleMedium2" defaultPivotStyle="PivotStyleLight16"/>
  <colors>
    <mruColors>
      <color rgb="FF9BBB52"/>
      <color rgb="FFDE862A"/>
      <color rgb="FFDB862A"/>
      <color rgb="FFE2862A"/>
      <color rgb="FFEB862A"/>
      <color rgb="FFDF862A"/>
      <color rgb="FFF6862A"/>
      <color rgb="FFF79957"/>
      <color rgb="FFFFA258"/>
      <color rgb="FFF57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chartsheet" Target="chartsheets/sheet7.xml"/><Relationship Id="rId18" Type="http://schemas.openxmlformats.org/officeDocument/2006/relationships/chartsheet" Target="chartsheets/sheet12.xml"/><Relationship Id="rId26" Type="http://schemas.openxmlformats.org/officeDocument/2006/relationships/worksheet" Target="worksheets/sheet11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5.xml"/><Relationship Id="rId34" Type="http://schemas.openxmlformats.org/officeDocument/2006/relationships/styles" Target="styles.xml"/><Relationship Id="rId7" Type="http://schemas.openxmlformats.org/officeDocument/2006/relationships/chartsheet" Target="chartsheets/sheet1.xml"/><Relationship Id="rId12" Type="http://schemas.openxmlformats.org/officeDocument/2006/relationships/chartsheet" Target="chartsheets/sheet6.xml"/><Relationship Id="rId17" Type="http://schemas.openxmlformats.org/officeDocument/2006/relationships/chartsheet" Target="chartsheets/sheet11.xml"/><Relationship Id="rId25" Type="http://schemas.openxmlformats.org/officeDocument/2006/relationships/worksheet" Target="worksheets/sheet10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0.xml"/><Relationship Id="rId20" Type="http://schemas.openxmlformats.org/officeDocument/2006/relationships/chartsheet" Target="chartsheets/sheet14.xml"/><Relationship Id="rId29" Type="http://schemas.openxmlformats.org/officeDocument/2006/relationships/worksheet" Target="work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5.xml"/><Relationship Id="rId24" Type="http://schemas.openxmlformats.org/officeDocument/2006/relationships/worksheet" Target="worksheets/sheet9.xml"/><Relationship Id="rId32" Type="http://schemas.openxmlformats.org/officeDocument/2006/relationships/worksheet" Target="worksheets/sheet17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9.xml"/><Relationship Id="rId23" Type="http://schemas.openxmlformats.org/officeDocument/2006/relationships/worksheet" Target="worksheets/sheet8.xml"/><Relationship Id="rId28" Type="http://schemas.openxmlformats.org/officeDocument/2006/relationships/worksheet" Target="worksheets/sheet13.xml"/><Relationship Id="rId36" Type="http://schemas.openxmlformats.org/officeDocument/2006/relationships/calcChain" Target="calcChain.xml"/><Relationship Id="rId10" Type="http://schemas.openxmlformats.org/officeDocument/2006/relationships/chartsheet" Target="chartsheets/sheet4.xml"/><Relationship Id="rId19" Type="http://schemas.openxmlformats.org/officeDocument/2006/relationships/chartsheet" Target="chartsheets/sheet13.xml"/><Relationship Id="rId31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chartsheet" Target="chartsheets/sheet8.xml"/><Relationship Id="rId22" Type="http://schemas.openxmlformats.org/officeDocument/2006/relationships/worksheet" Target="worksheets/sheet7.xml"/><Relationship Id="rId27" Type="http://schemas.openxmlformats.org/officeDocument/2006/relationships/worksheet" Target="worksheets/sheet12.xml"/><Relationship Id="rId30" Type="http://schemas.openxmlformats.org/officeDocument/2006/relationships/worksheet" Target="worksheets/sheet15.xml"/><Relationship Id="rId35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 algn="ctr">
              <a:defRPr sz="2400"/>
            </a:pPr>
            <a:r>
              <a:rPr lang="fr-FR" sz="2400"/>
              <a:t>Baseline Scenario - Primary</a:t>
            </a:r>
            <a:r>
              <a:rPr lang="fr-FR" sz="2400" baseline="0"/>
              <a:t> Energy</a:t>
            </a:r>
            <a:endParaRPr lang="fr-FR" sz="2400"/>
          </a:p>
          <a:p>
            <a:pPr algn="ctr">
              <a:defRPr sz="2400"/>
            </a:pPr>
            <a:r>
              <a:rPr lang="fr-FR" sz="2400"/>
              <a:t>FIGURE A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MIX'!$A$6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MIX'!$C$6:$H$6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5F-4E25-B254-6848622D85C4}"/>
            </c:ext>
          </c:extLst>
        </c:ser>
        <c:ser>
          <c:idx val="1"/>
          <c:order val="1"/>
          <c:tx>
            <c:strRef>
              <c:f>'Energy MIX'!$A$7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MIX'!$C$7:$H$7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5F-4E25-B254-6848622D85C4}"/>
            </c:ext>
          </c:extLst>
        </c:ser>
        <c:ser>
          <c:idx val="2"/>
          <c:order val="2"/>
          <c:tx>
            <c:strRef>
              <c:f>'Energy MIX'!$A$8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MIX'!$C$8:$H$8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F-4E25-B254-6848622D85C4}"/>
            </c:ext>
          </c:extLst>
        </c:ser>
        <c:ser>
          <c:idx val="3"/>
          <c:order val="3"/>
          <c:tx>
            <c:strRef>
              <c:f>'Energy MIX'!$A$9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MIX'!$C$9:$H$9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5F-4E25-B254-6848622D85C4}"/>
            </c:ext>
          </c:extLst>
        </c:ser>
        <c:ser>
          <c:idx val="4"/>
          <c:order val="4"/>
          <c:tx>
            <c:strRef>
              <c:f>'Energy MIX'!$A$10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MIX'!$C$10:$H$10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5F-4E25-B254-6848622D85C4}"/>
            </c:ext>
          </c:extLst>
        </c:ser>
        <c:ser>
          <c:idx val="5"/>
          <c:order val="5"/>
          <c:tx>
            <c:strRef>
              <c:f>'Energy MIX'!$A$11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MIX'!$C$11:$H$11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5F-4E25-B254-6848622D8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31712"/>
        <c:axId val="147333504"/>
      </c:areaChart>
      <c:catAx>
        <c:axId val="14733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47333504"/>
        <c:crosses val="autoZero"/>
        <c:auto val="1"/>
        <c:lblAlgn val="ctr"/>
        <c:lblOffset val="100"/>
        <c:noMultiLvlLbl val="0"/>
      </c:catAx>
      <c:valAx>
        <c:axId val="147333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600"/>
                  <a:t>Million tonne of oil equivalent </a:t>
                </a:r>
              </a:p>
            </c:rich>
          </c:tx>
          <c:layout>
            <c:manualLayout>
              <c:xMode val="edge"/>
              <c:yMode val="edge"/>
              <c:x val="1.6113334193881501E-2"/>
              <c:y val="0.3414044189292391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47331712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Baseline Scenario - Final Energy</a:t>
            </a:r>
          </a:p>
          <a:p>
            <a:pPr algn="ctr">
              <a:defRPr sz="2400"/>
            </a:pPr>
            <a:r>
              <a:rPr lang="fr-FR"/>
              <a:t>FIGURE B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MIX'!$K$6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MIX'!$M$6:$R$6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1-4164-B0E6-A2A03397F999}"/>
            </c:ext>
          </c:extLst>
        </c:ser>
        <c:ser>
          <c:idx val="1"/>
          <c:order val="1"/>
          <c:tx>
            <c:strRef>
              <c:f>'Energy MIX'!$K$7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MIX'!$M$7:$R$7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91-4164-B0E6-A2A03397F999}"/>
            </c:ext>
          </c:extLst>
        </c:ser>
        <c:ser>
          <c:idx val="2"/>
          <c:order val="2"/>
          <c:tx>
            <c:strRef>
              <c:f>'Energy MIX'!$K$8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MIX'!$M$8:$R$8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91-4164-B0E6-A2A03397F999}"/>
            </c:ext>
          </c:extLst>
        </c:ser>
        <c:ser>
          <c:idx val="3"/>
          <c:order val="3"/>
          <c:tx>
            <c:strRef>
              <c:f>'Energy MIX'!$K$9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MIX'!$M$9:$R$9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91-4164-B0E6-A2A03397F999}"/>
            </c:ext>
          </c:extLst>
        </c:ser>
        <c:ser>
          <c:idx val="4"/>
          <c:order val="4"/>
          <c:tx>
            <c:strRef>
              <c:f>'Energy MIX'!$K$10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MIX'!$M$10:$R$10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91-4164-B0E6-A2A03397F999}"/>
            </c:ext>
          </c:extLst>
        </c:ser>
        <c:ser>
          <c:idx val="5"/>
          <c:order val="5"/>
          <c:tx>
            <c:strRef>
              <c:f>'Energy MIX'!$K$11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MIX'!$M$11:$R$11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91-4164-B0E6-A2A03397F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51040"/>
        <c:axId val="147352576"/>
      </c:areaChart>
      <c:catAx>
        <c:axId val="147351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47352576"/>
        <c:crosses val="autoZero"/>
        <c:auto val="1"/>
        <c:lblAlgn val="ctr"/>
        <c:lblOffset val="100"/>
        <c:noMultiLvlLbl val="0"/>
      </c:catAx>
      <c:valAx>
        <c:axId val="147352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1.2014973538143797E-2"/>
              <c:y val="0.2891032187922116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47351040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Baseline Scenario - Primary Energy</a:t>
            </a:r>
          </a:p>
          <a:p>
            <a:pPr algn="ctr">
              <a:defRPr sz="2400"/>
            </a:pPr>
            <a:r>
              <a:rPr lang="fr-FR"/>
              <a:t>FIGURE A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MIX'!$A$20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MIX'!$C$20:$H$20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A4-4D92-9916-4F4455A233B8}"/>
            </c:ext>
          </c:extLst>
        </c:ser>
        <c:ser>
          <c:idx val="1"/>
          <c:order val="1"/>
          <c:tx>
            <c:strRef>
              <c:f>'Energy MIX'!$A$21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MIX'!$C$21:$H$21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A4-4D92-9916-4F4455A233B8}"/>
            </c:ext>
          </c:extLst>
        </c:ser>
        <c:ser>
          <c:idx val="2"/>
          <c:order val="2"/>
          <c:tx>
            <c:strRef>
              <c:f>'Energy MIX'!$A$22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MIX'!$C$22:$H$22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A4-4D92-9916-4F4455A233B8}"/>
            </c:ext>
          </c:extLst>
        </c:ser>
        <c:ser>
          <c:idx val="3"/>
          <c:order val="3"/>
          <c:tx>
            <c:strRef>
              <c:f>'Energy MIX'!$A$23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MIX'!$C$23:$H$23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A4-4D92-9916-4F4455A233B8}"/>
            </c:ext>
          </c:extLst>
        </c:ser>
        <c:ser>
          <c:idx val="4"/>
          <c:order val="4"/>
          <c:tx>
            <c:strRef>
              <c:f>'Energy MIX'!$A$24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MIX'!$C$24:$H$24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A4-4D92-9916-4F4455A233B8}"/>
            </c:ext>
          </c:extLst>
        </c:ser>
        <c:ser>
          <c:idx val="5"/>
          <c:order val="5"/>
          <c:tx>
            <c:strRef>
              <c:f>'Energy MIX'!$A$25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MIX'!$C$25:$H$25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A4-4D92-9916-4F4455A2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90368"/>
        <c:axId val="152491904"/>
      </c:areaChart>
      <c:catAx>
        <c:axId val="15249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52491904"/>
        <c:crosses val="autoZero"/>
        <c:auto val="1"/>
        <c:lblAlgn val="ctr"/>
        <c:lblOffset val="100"/>
        <c:noMultiLvlLbl val="0"/>
      </c:catAx>
      <c:valAx>
        <c:axId val="152491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1.7479454412460738E-2"/>
              <c:y val="0.2409860639804961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52490368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Baseline Scenario - Final Energy</a:t>
            </a:r>
          </a:p>
          <a:p>
            <a:pPr algn="ctr">
              <a:defRPr sz="2400"/>
            </a:pPr>
            <a:r>
              <a:rPr lang="fr-FR"/>
              <a:t>FIGURE B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MIX'!$K$20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MIX'!$M$20:$R$20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2F-4E67-B8F2-E4B6F247A77D}"/>
            </c:ext>
          </c:extLst>
        </c:ser>
        <c:ser>
          <c:idx val="1"/>
          <c:order val="1"/>
          <c:tx>
            <c:strRef>
              <c:f>'Energy MIX'!$K$21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MIX'!$M$21:$R$21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2F-4E67-B8F2-E4B6F247A77D}"/>
            </c:ext>
          </c:extLst>
        </c:ser>
        <c:ser>
          <c:idx val="2"/>
          <c:order val="2"/>
          <c:tx>
            <c:strRef>
              <c:f>'Energy MIX'!$K$22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MIX'!$M$22:$R$22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2F-4E67-B8F2-E4B6F247A77D}"/>
            </c:ext>
          </c:extLst>
        </c:ser>
        <c:ser>
          <c:idx val="3"/>
          <c:order val="3"/>
          <c:tx>
            <c:strRef>
              <c:f>'Energy MIX'!$K$23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MIX'!$M$23:$R$23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2F-4E67-B8F2-E4B6F247A77D}"/>
            </c:ext>
          </c:extLst>
        </c:ser>
        <c:ser>
          <c:idx val="4"/>
          <c:order val="4"/>
          <c:tx>
            <c:strRef>
              <c:f>'Energy MIX'!$K$24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MIX'!$M$24:$R$24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2F-4E67-B8F2-E4B6F247A77D}"/>
            </c:ext>
          </c:extLst>
        </c:ser>
        <c:ser>
          <c:idx val="5"/>
          <c:order val="5"/>
          <c:tx>
            <c:strRef>
              <c:f>'Energy MIX'!$K$25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MIX'!$M$25:$R$25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2F-4E67-B8F2-E4B6F247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15936"/>
        <c:axId val="152617728"/>
      </c:areaChart>
      <c:catAx>
        <c:axId val="152615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52617728"/>
        <c:crosses val="autoZero"/>
        <c:auto val="1"/>
        <c:lblAlgn val="ctr"/>
        <c:lblOffset val="100"/>
        <c:noMultiLvlLbl val="0"/>
      </c:catAx>
      <c:valAx>
        <c:axId val="152617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2.1577815068198444E-2"/>
              <c:y val="0.2493542648173162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52615936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800"/>
              <a:t>Households Energy</a:t>
            </a:r>
            <a:r>
              <a:rPr lang="en-US" sz="2800" baseline="0"/>
              <a:t> Bill</a:t>
            </a:r>
          </a:p>
          <a:p>
            <a:pPr>
              <a:defRPr/>
            </a:pPr>
            <a:r>
              <a:rPr lang="en-US" b="0" baseline="0"/>
              <a:t>In billions of constant euros</a:t>
            </a:r>
          </a:p>
          <a:p>
            <a:pPr>
              <a:defRPr/>
            </a:pPr>
            <a:r>
              <a:rPr lang="en-US" sz="2000" b="1" baseline="0"/>
              <a:t>FIGURE A</a:t>
            </a:r>
            <a:endParaRPr lang="en-US" sz="2000" b="1"/>
          </a:p>
        </c:rich>
      </c:tx>
      <c:layout>
        <c:manualLayout>
          <c:xMode val="edge"/>
          <c:yMode val="edge"/>
          <c:x val="0.33512134060165555"/>
          <c:y val="2.0930231791604768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698340399757724"/>
          <c:y val="0.23283844596819461"/>
          <c:w val="0.81011061309643995"/>
          <c:h val="0.5834307056059071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Households!$B$35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Households!$C$35:$G$35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7C-49A4-9702-5BC8E4433BBD}"/>
            </c:ext>
          </c:extLst>
        </c:ser>
        <c:ser>
          <c:idx val="1"/>
          <c:order val="1"/>
          <c:tx>
            <c:strRef>
              <c:f>Households!$B$41</c:f>
              <c:strCache>
                <c:ptCount val="1"/>
                <c:pt idx="0">
                  <c:v>ADEME High Sc.</c:v>
                </c:pt>
              </c:strCache>
            </c:strRef>
          </c:tx>
          <c:invertIfNegative val="0"/>
          <c:dLbls>
            <c:dLbl>
              <c:idx val="2"/>
              <c:layout>
                <c:manualLayout>
                  <c:x val="1.6394687690881392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7C-49A4-9702-5BC8E4433BBD}"/>
                </c:ext>
              </c:extLst>
            </c:dLbl>
            <c:dLbl>
              <c:idx val="3"/>
              <c:layout>
                <c:manualLayout>
                  <c:x val="1.776091166512150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7C-49A4-9702-5BC8E4433BBD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Households!$C$41:$G$41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7C-49A4-9702-5BC8E4433B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152707072"/>
        <c:axId val="152708608"/>
        <c:axId val="0"/>
      </c:bar3DChart>
      <c:catAx>
        <c:axId val="15270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152708608"/>
        <c:crosses val="autoZero"/>
        <c:auto val="1"/>
        <c:lblAlgn val="ctr"/>
        <c:lblOffset val="100"/>
        <c:noMultiLvlLbl val="0"/>
      </c:catAx>
      <c:valAx>
        <c:axId val="15270860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400"/>
            </a:pPr>
            <a:endParaRPr lang="fr-FR"/>
          </a:p>
        </c:txPr>
        <c:crossAx val="152707072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400"/>
              <a:t>Households gross disposable income</a:t>
            </a:r>
            <a:r>
              <a:rPr lang="en-US" sz="2400" baseline="0"/>
              <a:t>  excepting energy</a:t>
            </a:r>
          </a:p>
          <a:p>
            <a:pPr>
              <a:defRPr/>
            </a:pPr>
            <a:r>
              <a:rPr lang="en-US" b="0" baseline="0"/>
              <a:t>In billions of constant euros</a:t>
            </a:r>
          </a:p>
          <a:p>
            <a:pPr>
              <a:defRPr/>
            </a:pPr>
            <a:r>
              <a:rPr lang="en-US" sz="2000" b="1" baseline="0"/>
              <a:t>FIGURE B</a:t>
            </a:r>
            <a:endParaRPr lang="en-US" sz="2000" b="1"/>
          </a:p>
        </c:rich>
      </c:tx>
      <c:layout>
        <c:manualLayout>
          <c:xMode val="edge"/>
          <c:yMode val="edge"/>
          <c:x val="0.14239550054035771"/>
          <c:y val="2.302325497076524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922250667889885"/>
          <c:y val="0.23283844596819461"/>
          <c:w val="0.81011061309643995"/>
          <c:h val="0.5834307056059071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Households!$B$55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4.102564102564077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78-4CDB-A8BC-2C919800BD58}"/>
                </c:ext>
              </c:extLst>
            </c:dLbl>
            <c:dLbl>
              <c:idx val="1"/>
              <c:layout>
                <c:manualLayout>
                  <c:x val="-8.2051282051282051E-3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78-4CDB-A8BC-2C919800BD58}"/>
                </c:ext>
              </c:extLst>
            </c:dLbl>
            <c:dLbl>
              <c:idx val="2"/>
              <c:layout>
                <c:manualLayout>
                  <c:x val="-4.1025641025641026E-3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78-4CDB-A8BC-2C919800BD58}"/>
                </c:ext>
              </c:extLst>
            </c:dLbl>
            <c:dLbl>
              <c:idx val="3"/>
              <c:layout>
                <c:manualLayout>
                  <c:x val="-1.5042735042735043E-2"/>
                  <c:y val="6.2790695374814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78-4CDB-A8BC-2C919800BD58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Households!$D$55:$G$55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78-4CDB-A8BC-2C919800BD58}"/>
            </c:ext>
          </c:extLst>
        </c:ser>
        <c:ser>
          <c:idx val="1"/>
          <c:order val="1"/>
          <c:tx>
            <c:strRef>
              <c:f>Households!$B$56</c:f>
              <c:strCache>
                <c:ptCount val="1"/>
                <c:pt idx="0">
                  <c:v>ADEME High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3.282051282051282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78-4CDB-A8BC-2C919800BD58}"/>
                </c:ext>
              </c:extLst>
            </c:dLbl>
            <c:dLbl>
              <c:idx val="1"/>
              <c:layout>
                <c:manualLayout>
                  <c:x val="3.0085470085470085E-2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78-4CDB-A8BC-2C919800BD58}"/>
                </c:ext>
              </c:extLst>
            </c:dLbl>
            <c:dLbl>
              <c:idx val="2"/>
              <c:layout>
                <c:manualLayout>
                  <c:x val="2.73504273504273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78-4CDB-A8BC-2C919800BD58}"/>
                </c:ext>
              </c:extLst>
            </c:dLbl>
            <c:dLbl>
              <c:idx val="3"/>
              <c:layout>
                <c:manualLayout>
                  <c:x val="1.5042735042735043E-2"/>
                  <c:y val="-1.04651158958023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78-4CDB-A8BC-2C919800BD58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Households!$D$56:$G$56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78-4CDB-A8BC-2C919800BD5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152740608"/>
        <c:axId val="152742144"/>
        <c:axId val="0"/>
      </c:bar3DChart>
      <c:catAx>
        <c:axId val="15274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152742144"/>
        <c:crosses val="autoZero"/>
        <c:auto val="1"/>
        <c:lblAlgn val="ctr"/>
        <c:lblOffset val="100"/>
        <c:noMultiLvlLbl val="0"/>
      </c:catAx>
      <c:valAx>
        <c:axId val="152742144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000"/>
            </a:pPr>
            <a:endParaRPr lang="fr-FR"/>
          </a:p>
        </c:txPr>
        <c:crossAx val="152740608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400"/>
              <a:t>Annual</a:t>
            </a:r>
            <a:r>
              <a:rPr lang="en-US" sz="2400" baseline="0"/>
              <a:t> mean of investment over the periode 2015 - 2050</a:t>
            </a:r>
          </a:p>
          <a:p>
            <a:pPr>
              <a:defRPr/>
            </a:pPr>
            <a:r>
              <a:rPr lang="en-US" sz="2000" b="0" baseline="0"/>
              <a:t>In billions of constant euros</a:t>
            </a:r>
          </a:p>
          <a:p>
            <a:pPr>
              <a:defRPr/>
            </a:pPr>
            <a:r>
              <a:rPr lang="en-US" sz="2400" b="1" baseline="0"/>
              <a:t>FIGURE A</a:t>
            </a:r>
            <a:endParaRPr lang="en-US" sz="2400" b="1"/>
          </a:p>
        </c:rich>
      </c:tx>
      <c:layout>
        <c:manualLayout>
          <c:xMode val="edge"/>
          <c:yMode val="edge"/>
          <c:x val="0.14239550054035771"/>
          <c:y val="2.302325497076524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605362655009943"/>
          <c:y val="0.27454283924032818"/>
          <c:w val="0.85929463685013729"/>
          <c:h val="0.4348260598855132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'Investments and other variables'!$C$143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4.102564102564077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46-4200-9B20-361B935334CD}"/>
                </c:ext>
              </c:extLst>
            </c:dLbl>
            <c:dLbl>
              <c:idx val="1"/>
              <c:layout>
                <c:manualLayout>
                  <c:x val="9.5558222979370885E-3"/>
                  <c:y val="-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46-4200-9B20-361B935334CD}"/>
                </c:ext>
              </c:extLst>
            </c:dLbl>
            <c:dLbl>
              <c:idx val="2"/>
              <c:layout>
                <c:manualLayout>
                  <c:x val="-4.1025641025641026E-3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46-4200-9B20-361B935334CD}"/>
                </c:ext>
              </c:extLst>
            </c:dLbl>
            <c:dLbl>
              <c:idx val="3"/>
              <c:layout>
                <c:manualLayout>
                  <c:x val="2.7181402485925202E-3"/>
                  <c:y val="-6.27906953748135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46-4200-9B20-361B935334CD}"/>
                </c:ext>
              </c:extLst>
            </c:dLbl>
            <c:dLbl>
              <c:idx val="8"/>
              <c:layout>
                <c:manualLayout>
                  <c:x val="-2.8690811035733219E-2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46-4200-9B20-361B935334CD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'Investments and other variables'!$B$144:$B$153</c:f>
              <c:strCache>
                <c:ptCount val="10"/>
                <c:pt idx="0">
                  <c:v>Low carbon vehicles (classes A, B , C)</c:v>
                </c:pt>
                <c:pt idx="1">
                  <c:v>Other vehicles</c:v>
                </c:pt>
                <c:pt idx="2">
                  <c:v>Public transport</c:v>
                </c:pt>
                <c:pt idx="3">
                  <c:v>Fossil fuel</c:v>
                </c:pt>
                <c:pt idx="4">
                  <c:v>Renewable energy</c:v>
                </c:pt>
                <c:pt idx="5">
                  <c:v>Nuclear Power</c:v>
                </c:pt>
                <c:pt idx="6">
                  <c:v>Thermal Power station</c:v>
                </c:pt>
                <c:pt idx="7">
                  <c:v>Housing Renovation</c:v>
                </c:pt>
                <c:pt idx="8">
                  <c:v>Other investments</c:v>
                </c:pt>
                <c:pt idx="9">
                  <c:v>TOTAL</c:v>
                </c:pt>
              </c:strCache>
            </c:strRef>
          </c:cat>
          <c:val>
            <c:numRef>
              <c:f>'Investments and other variables'!$C$144:$C$153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46-4200-9B20-361B935334CD}"/>
            </c:ext>
          </c:extLst>
        </c:ser>
        <c:ser>
          <c:idx val="1"/>
          <c:order val="1"/>
          <c:tx>
            <c:strRef>
              <c:f>'Investments and other variables'!$D$143</c:f>
              <c:strCache>
                <c:ptCount val="1"/>
                <c:pt idx="0">
                  <c:v>ADEME high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1.5059553380307055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46-4200-9B20-361B935334CD}"/>
                </c:ext>
              </c:extLst>
            </c:dLbl>
            <c:dLbl>
              <c:idx val="1"/>
              <c:layout>
                <c:manualLayout>
                  <c:x val="1.2324523591245631E-2"/>
                  <c:y val="4.18588155334621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46-4200-9B20-361B935334CD}"/>
                </c:ext>
              </c:extLst>
            </c:dLbl>
            <c:dLbl>
              <c:idx val="2"/>
              <c:layout>
                <c:manualLayout>
                  <c:x val="8.2232698279439929E-3"/>
                  <c:y val="8.37209271664190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46-4200-9B20-361B935334CD}"/>
                </c:ext>
              </c:extLst>
            </c:dLbl>
            <c:dLbl>
              <c:idx val="3"/>
              <c:layout>
                <c:manualLayout>
                  <c:x val="4.112979622608059E-3"/>
                  <c:y val="-1.4651327059098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E46-4200-9B20-361B935334CD}"/>
                </c:ext>
              </c:extLst>
            </c:dLbl>
            <c:dLbl>
              <c:idx val="4"/>
              <c:layout>
                <c:manualLayout>
                  <c:x val="1.0929791793920927E-2"/>
                  <c:y val="7.6743296690772014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46-4200-9B20-361B935334CD}"/>
                </c:ext>
              </c:extLst>
            </c:dLbl>
            <c:dLbl>
              <c:idx val="7"/>
              <c:layout>
                <c:manualLayout>
                  <c:x val="1.502846371664137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46-4200-9B20-361B935334CD}"/>
                </c:ext>
              </c:extLst>
            </c:dLbl>
            <c:dLbl>
              <c:idx val="9"/>
              <c:layout>
                <c:manualLayout>
                  <c:x val="1.7760911665121507E-2"/>
                  <c:y val="-6.2790695374814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46-4200-9B20-361B935334CD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'Investments and other variables'!$B$144:$B$153</c:f>
              <c:strCache>
                <c:ptCount val="10"/>
                <c:pt idx="0">
                  <c:v>Low carbon vehicles (classes A, B , C)</c:v>
                </c:pt>
                <c:pt idx="1">
                  <c:v>Other vehicles</c:v>
                </c:pt>
                <c:pt idx="2">
                  <c:v>Public transport</c:v>
                </c:pt>
                <c:pt idx="3">
                  <c:v>Fossil fuel</c:v>
                </c:pt>
                <c:pt idx="4">
                  <c:v>Renewable energy</c:v>
                </c:pt>
                <c:pt idx="5">
                  <c:v>Nuclear Power</c:v>
                </c:pt>
                <c:pt idx="6">
                  <c:v>Thermal Power station</c:v>
                </c:pt>
                <c:pt idx="7">
                  <c:v>Housing Renovation</c:v>
                </c:pt>
                <c:pt idx="8">
                  <c:v>Other investments</c:v>
                </c:pt>
                <c:pt idx="9">
                  <c:v>TOTAL</c:v>
                </c:pt>
              </c:strCache>
            </c:strRef>
          </c:cat>
          <c:val>
            <c:numRef>
              <c:f>'Investments and other variables'!$D$144:$D$153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E46-4200-9B20-361B935334C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153044480"/>
        <c:axId val="153046016"/>
        <c:axId val="0"/>
      </c:bar3DChart>
      <c:catAx>
        <c:axId val="15304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153046016"/>
        <c:crosses val="autoZero"/>
        <c:auto val="1"/>
        <c:lblAlgn val="ctr"/>
        <c:lblOffset val="100"/>
        <c:noMultiLvlLbl val="0"/>
      </c:catAx>
      <c:valAx>
        <c:axId val="153046016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400"/>
            </a:pPr>
            <a:endParaRPr lang="fr-FR"/>
          </a:p>
        </c:txPr>
        <c:crossAx val="153044480"/>
        <c:crosses val="autoZero"/>
        <c:crossBetween val="between"/>
        <c:dispUnits>
          <c:builtInUnit val="thousands"/>
        </c:dispUnits>
      </c:valAx>
    </c:plotArea>
    <c:legend>
      <c:legendPos val="t"/>
      <c:layout>
        <c:manualLayout>
          <c:xMode val="edge"/>
          <c:yMode val="edge"/>
          <c:x val="3.1325256618817271E-3"/>
          <c:y val="0.19817798212129711"/>
          <c:w val="0.46090759872259135"/>
          <c:h val="6.3148157365018956E-2"/>
        </c:manualLayout>
      </c:layout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fr-FR" sz="2400"/>
              <a:t>Job</a:t>
            </a:r>
            <a:r>
              <a:rPr lang="fr-FR" sz="2400" baseline="0"/>
              <a:t> creation/destruction by sector</a:t>
            </a:r>
          </a:p>
          <a:p>
            <a:pPr algn="ctr">
              <a:defRPr/>
            </a:pPr>
            <a:r>
              <a:rPr lang="fr-FR" sz="2400" baseline="0"/>
              <a:t>ADEME high Sc</a:t>
            </a:r>
            <a:r>
              <a:rPr lang="fr-FR" baseline="0"/>
              <a:t>.</a:t>
            </a:r>
          </a:p>
          <a:p>
            <a:pPr algn="ctr">
              <a:defRPr/>
            </a:pPr>
            <a:r>
              <a:rPr lang="fr-FR" b="0" baseline="0"/>
              <a:t>In thousand</a:t>
            </a:r>
          </a:p>
          <a:p>
            <a:pPr algn="ctr">
              <a:defRPr/>
            </a:pPr>
            <a:r>
              <a:rPr lang="fr-FR" sz="2400" b="1" baseline="0"/>
              <a:t>FIGURE A</a:t>
            </a:r>
          </a:p>
        </c:rich>
      </c:tx>
      <c:layout>
        <c:manualLayout>
          <c:xMode val="edge"/>
          <c:yMode val="edge"/>
          <c:x val="0.244750656167979"/>
          <c:y val="1.88284518828451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047738909685471"/>
          <c:y val="0.24471172536487332"/>
          <c:w val="0.81986448616999807"/>
          <c:h val="0.67357292900300569"/>
        </c:manualLayout>
      </c:layout>
      <c:barChart>
        <c:barDir val="bar"/>
        <c:grouping val="clustered"/>
        <c:varyColors val="0"/>
        <c:ser>
          <c:idx val="1"/>
          <c:order val="0"/>
          <c:tx>
            <c:v>2050</c:v>
          </c:tx>
          <c:invertIfNegative val="0"/>
          <c:cat>
            <c:strRef>
              <c:f>Employment!$B$126:$B$138</c:f>
              <c:strCache>
                <c:ptCount val="13"/>
                <c:pt idx="0">
                  <c:v>Agriculture and food industry</c:v>
                </c:pt>
                <c:pt idx="1">
                  <c:v>Automotive industry</c:v>
                </c:pt>
                <c:pt idx="2">
                  <c:v>Construction</c:v>
                </c:pt>
                <c:pt idx="3">
                  <c:v>Public transport</c:v>
                </c:pt>
                <c:pt idx="4">
                  <c:v>Road transportation (goods)</c:v>
                </c:pt>
                <c:pt idx="5">
                  <c:v>Fossil fuels</c:v>
                </c:pt>
                <c:pt idx="6">
                  <c:v>Biofuels</c:v>
                </c:pt>
                <c:pt idx="7">
                  <c:v>Nuclear power</c:v>
                </c:pt>
                <c:pt idx="8">
                  <c:v>Thermal power station</c:v>
                </c:pt>
                <c:pt idx="9">
                  <c:v>Renewable electricity</c:v>
                </c:pt>
                <c:pt idx="10">
                  <c:v>Renewable heating</c:v>
                </c:pt>
                <c:pt idx="11">
                  <c:v>Services</c:v>
                </c:pt>
                <c:pt idx="12">
                  <c:v>Other industries</c:v>
                </c:pt>
              </c:strCache>
            </c:strRef>
          </c:cat>
          <c:val>
            <c:numRef>
              <c:f>Employment!$G$126:$G$138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F2-4900-891B-370B95B87D84}"/>
            </c:ext>
          </c:extLst>
        </c:ser>
        <c:ser>
          <c:idx val="0"/>
          <c:order val="1"/>
          <c:tx>
            <c:v>2030</c:v>
          </c:tx>
          <c:invertIfNegative val="0"/>
          <c:cat>
            <c:strRef>
              <c:f>Employment!$B$126:$B$138</c:f>
              <c:strCache>
                <c:ptCount val="13"/>
                <c:pt idx="0">
                  <c:v>Agriculture and food industry</c:v>
                </c:pt>
                <c:pt idx="1">
                  <c:v>Automotive industry</c:v>
                </c:pt>
                <c:pt idx="2">
                  <c:v>Construction</c:v>
                </c:pt>
                <c:pt idx="3">
                  <c:v>Public transport</c:v>
                </c:pt>
                <c:pt idx="4">
                  <c:v>Road transportation (goods)</c:v>
                </c:pt>
                <c:pt idx="5">
                  <c:v>Fossil fuels</c:v>
                </c:pt>
                <c:pt idx="6">
                  <c:v>Biofuels</c:v>
                </c:pt>
                <c:pt idx="7">
                  <c:v>Nuclear power</c:v>
                </c:pt>
                <c:pt idx="8">
                  <c:v>Thermal power station</c:v>
                </c:pt>
                <c:pt idx="9">
                  <c:v>Renewable electricity</c:v>
                </c:pt>
                <c:pt idx="10">
                  <c:v>Renewable heating</c:v>
                </c:pt>
                <c:pt idx="11">
                  <c:v>Services</c:v>
                </c:pt>
                <c:pt idx="12">
                  <c:v>Other industries</c:v>
                </c:pt>
              </c:strCache>
            </c:strRef>
          </c:cat>
          <c:val>
            <c:numRef>
              <c:f>Employment!$F$126:$F$138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F2-4900-891B-370B95B87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-16"/>
        <c:axId val="153148800"/>
        <c:axId val="153150592"/>
      </c:barChart>
      <c:catAx>
        <c:axId val="1531488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900" b="1"/>
            </a:pPr>
            <a:endParaRPr lang="fr-FR"/>
          </a:p>
        </c:txPr>
        <c:crossAx val="153150592"/>
        <c:crosses val="autoZero"/>
        <c:auto val="1"/>
        <c:lblAlgn val="ctr"/>
        <c:lblOffset val="100"/>
        <c:noMultiLvlLbl val="0"/>
      </c:catAx>
      <c:valAx>
        <c:axId val="153150592"/>
        <c:scaling>
          <c:orientation val="minMax"/>
          <c:max val="700"/>
        </c:scaling>
        <c:delete val="0"/>
        <c:axPos val="b"/>
        <c:majorGridlines/>
        <c:numFmt formatCode="#,##0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000" b="0"/>
            </a:pPr>
            <a:endParaRPr lang="fr-FR"/>
          </a:p>
        </c:txPr>
        <c:crossAx val="1531488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0850162191264565"/>
          <c:y val="0.13818682885234101"/>
          <c:w val="0.25171459721380979"/>
          <c:h val="7.2743432604159219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Unemployment Rate</a:t>
            </a:r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layout>
        <c:manualLayout>
          <c:xMode val="edge"/>
          <c:yMode val="edge"/>
          <c:x val="0.3451639344262295"/>
          <c:y val="3.97489539748953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026042338969924"/>
          <c:y val="0.2296924521464105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variables'!$L$3:$AU$3</c:f>
              <c:numCache>
                <c:formatCode>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4-4DF4-A6F0-9D8C999EC727}"/>
            </c:ext>
          </c:extLst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variables'!$L$4:$AU$4</c:f>
              <c:numCache>
                <c:formatCode>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44-4DF4-A6F0-9D8C999E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172224"/>
        <c:axId val="153178112"/>
      </c:lineChart>
      <c:catAx>
        <c:axId val="15317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15317811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153178112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1531722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1423045479970743"/>
          <c:y val="0.91836885975027183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Trade Balance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variables'!$L$5:$AU$5</c:f>
              <c:numCache>
                <c:formatCode>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E-4BD1-BE0A-A1F669BEEC15}"/>
            </c:ext>
          </c:extLst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variables'!$L$6:$AU$6</c:f>
              <c:numCache>
                <c:formatCode>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4E-4BD1-BE0A-A1F669BE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248896"/>
        <c:axId val="153250432"/>
      </c:lineChart>
      <c:catAx>
        <c:axId val="15324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15325043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1532504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153248896"/>
        <c:crosses val="autoZero"/>
        <c:crossBetween val="between"/>
        <c:majorUnit val="1.0000000000000002E-2"/>
        <c:minorUnit val="5.000000000000001E-3"/>
      </c:valAx>
    </c:plotArea>
    <c:legend>
      <c:legendPos val="b"/>
      <c:layout>
        <c:manualLayout>
          <c:xMode val="edge"/>
          <c:yMode val="edge"/>
          <c:x val="0.23472225807839595"/>
          <c:y val="0.88280400619378641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GDP</a:t>
            </a:r>
          </a:p>
          <a:p>
            <a:pPr>
              <a:defRPr/>
            </a:pPr>
            <a:r>
              <a:rPr lang="fr-FR" sz="2800" b="0"/>
              <a:t>% difference from reference Sc.</a:t>
            </a:r>
            <a:r>
              <a:rPr lang="fr-FR" sz="2800" b="0" baseline="0"/>
              <a:t> </a:t>
            </a:r>
            <a:endParaRPr lang="fr-FR" sz="2000" b="0"/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GDP!$L$2:$AU$2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GDP!$L$3:$AU$3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AE-4B94-BFBF-9CC45F272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957376"/>
        <c:axId val="377975552"/>
      </c:lineChart>
      <c:catAx>
        <c:axId val="37795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37797555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77975552"/>
        <c:scaling>
          <c:orientation val="minMax"/>
        </c:scaling>
        <c:delete val="0"/>
        <c:axPos val="l"/>
        <c:majorGridlines/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3779573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Carbon tax</a:t>
            </a:r>
          </a:p>
          <a:p>
            <a:pPr>
              <a:defRPr/>
            </a:pPr>
            <a:r>
              <a:rPr lang="fr-FR" sz="2800" b="0"/>
              <a:t>In constant euro</a:t>
            </a:r>
            <a:r>
              <a:rPr lang="fr-FR" sz="2800" b="0" baseline="0"/>
              <a:t> per ton of CO</a:t>
            </a:r>
            <a:r>
              <a:rPr lang="fr-FR" sz="2800" b="0" baseline="-25000"/>
              <a:t>2</a:t>
            </a:r>
            <a:r>
              <a:rPr lang="fr-FR" sz="2800" b="0" baseline="0"/>
              <a:t> </a:t>
            </a:r>
            <a:endParaRPr lang="fr-FR" sz="2000" b="0"/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variables'!$L$11:$AU$11</c:f>
              <c:numCache>
                <c:formatCode>#\,##0.000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53-43F2-8643-3F518ACFB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549632"/>
        <c:axId val="384551168"/>
      </c:lineChart>
      <c:catAx>
        <c:axId val="38454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38455116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8455116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3845496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Energy price signal</a:t>
            </a:r>
          </a:p>
          <a:p>
            <a:pPr>
              <a:defRPr/>
            </a:pPr>
            <a:r>
              <a:rPr lang="fr-FR" sz="2800" b="0"/>
              <a:t>In constant euro</a:t>
            </a:r>
            <a:r>
              <a:rPr lang="fr-FR" sz="2800" b="0" baseline="0"/>
              <a:t> per TOE</a:t>
            </a:r>
            <a:endParaRPr lang="fr-FR" sz="2000" b="0"/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variables'!$L$12:$AU$12</c:f>
              <c:numCache>
                <c:formatCode>#\,##0.000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73-4CE6-8B20-794FBAB7E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835200"/>
        <c:axId val="602841088"/>
      </c:lineChart>
      <c:catAx>
        <c:axId val="60283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60284108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0284108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60283520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Public debt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392245054538156"/>
          <c:y val="0.22340945894856404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variables'!$L$7:$AU$7</c:f>
              <c:numCache>
                <c:formatCode>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6F-495E-8114-FBB1573EF2D7}"/>
            </c:ext>
          </c:extLst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variables'!$L$8:$AU$8</c:f>
              <c:numCache>
                <c:formatCode>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6F-495E-8114-FBB1573EF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0847872"/>
        <c:axId val="620849408"/>
      </c:lineChart>
      <c:catAx>
        <c:axId val="62084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62084940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20849408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620847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3062355537951229"/>
          <c:y val="0.90582730614073226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Public Balance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392245054538156"/>
          <c:y val="0.22340945894856404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variables'!$L$9:$AU$9</c:f>
              <c:numCache>
                <c:formatCode>#\,##0.000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2-4007-BFC5-83D7AEDFB1F3}"/>
            </c:ext>
          </c:extLst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variables'!$L$10:$AU$10</c:f>
              <c:numCache>
                <c:formatCode>#\,##0.000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2-4007-BFC5-83D7AEDFB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1318528"/>
        <c:axId val="621320064"/>
      </c:lineChart>
      <c:catAx>
        <c:axId val="62131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62132006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2132006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6213185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3062355537951229"/>
          <c:y val="0.90582730614073226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94241739263793"/>
          <c:y val="7.603877498539845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3534413205175656E-2"/>
          <c:y val="0.24410123215745655"/>
          <c:w val="0.83647629672150681"/>
          <c:h val="0.59032262017831427"/>
        </c:manualLayout>
      </c:layout>
      <c:lineChart>
        <c:grouping val="standard"/>
        <c:varyColors val="0"/>
        <c:ser>
          <c:idx val="0"/>
          <c:order val="0"/>
          <c:tx>
            <c:strRef>
              <c:f>GDP!$A$3</c:f>
              <c:strCache>
                <c:ptCount val="1"/>
                <c:pt idx="0">
                  <c:v>Real GDP
Scenario ADEME haut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GDP!$C$3:$AU$3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4-4542-A663-399ACAF1C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1785088"/>
        <c:axId val="621786624"/>
      </c:lineChart>
      <c:catAx>
        <c:axId val="62178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1786624"/>
        <c:crosses val="autoZero"/>
        <c:auto val="1"/>
        <c:lblAlgn val="ctr"/>
        <c:lblOffset val="100"/>
        <c:noMultiLvlLbl val="0"/>
      </c:catAx>
      <c:valAx>
        <c:axId val="62178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1785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3534413205175656E-2"/>
          <c:y val="0.24410123215745655"/>
          <c:w val="0.83647629672150681"/>
          <c:h val="0.59032262017831427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Emissions!$A$3</c:f>
              <c:strCache>
                <c:ptCount val="1"/>
                <c:pt idx="0">
                  <c:v>CO2 Emissions
Scenario ADEME haut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Emissions!$C$3:$AU$3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D9-49C2-BDB9-C5374B10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723328"/>
        <c:axId val="634729216"/>
      </c:lineChart>
      <c:catAx>
        <c:axId val="63472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4729216"/>
        <c:crosses val="autoZero"/>
        <c:auto val="1"/>
        <c:lblAlgn val="ctr"/>
        <c:lblOffset val="100"/>
        <c:noMultiLvlLbl val="0"/>
      </c:catAx>
      <c:valAx>
        <c:axId val="63472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34723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22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3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24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ph25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aph26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aph27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aph28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407912</xdr:colOff>
      <xdr:row>5</xdr:row>
      <xdr:rowOff>162278</xdr:rowOff>
    </xdr:from>
    <xdr:to>
      <xdr:col>9</xdr:col>
      <xdr:colOff>635000</xdr:colOff>
      <xdr:row>24</xdr:row>
      <xdr:rowOff>17235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407912</xdr:colOff>
      <xdr:row>5</xdr:row>
      <xdr:rowOff>162278</xdr:rowOff>
    </xdr:from>
    <xdr:to>
      <xdr:col>9</xdr:col>
      <xdr:colOff>635000</xdr:colOff>
      <xdr:row>24</xdr:row>
      <xdr:rowOff>17235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>
      <selection activeCell="D19" sqref="D19"/>
    </sheetView>
  </sheetViews>
  <sheetFormatPr baseColWidth="10" defaultRowHeight="15" x14ac:dyDescent="0.25"/>
  <sheetData>
    <row r="1" spans="1:1" x14ac:dyDescent="0.35">
      <c r="A1" t="s">
        <v>123</v>
      </c>
    </row>
    <row r="2" spans="1:1" x14ac:dyDescent="0.35">
      <c r="A2" t="s">
        <v>301</v>
      </c>
    </row>
    <row r="3" spans="1:1" x14ac:dyDescent="0.35">
      <c r="A3" t="s">
        <v>302</v>
      </c>
    </row>
    <row r="4" spans="1:1" x14ac:dyDescent="0.35">
      <c r="A4" t="s">
        <v>303</v>
      </c>
    </row>
    <row r="5" spans="1:1" x14ac:dyDescent="0.35">
      <c r="A5" t="s">
        <v>304</v>
      </c>
    </row>
    <row r="6" spans="1:1" x14ac:dyDescent="0.35">
      <c r="A6" t="s">
        <v>305</v>
      </c>
    </row>
    <row r="7" spans="1:1" x14ac:dyDescent="0.35">
      <c r="A7" t="s">
        <v>306</v>
      </c>
    </row>
    <row r="8" spans="1:1" x14ac:dyDescent="0.35">
      <c r="A8" t="s">
        <v>307</v>
      </c>
    </row>
    <row r="9" spans="1:1" x14ac:dyDescent="0.35">
      <c r="A9" t="s">
        <v>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78"/>
  <sheetViews>
    <sheetView showGridLines="0" topLeftCell="A41" workbookViewId="0">
      <selection activeCell="A30" sqref="A30"/>
    </sheetView>
  </sheetViews>
  <sheetFormatPr baseColWidth="10" defaultRowHeight="15" x14ac:dyDescent="0.25"/>
  <cols>
    <col min="1" max="1" width="97.140625" bestFit="1" customWidth="1"/>
  </cols>
  <sheetData>
    <row r="1" spans="1:1" ht="23.45" x14ac:dyDescent="0.55000000000000004">
      <c r="A1" s="4" t="s">
        <v>0</v>
      </c>
    </row>
    <row r="3" spans="1:1" ht="18.600000000000001" x14ac:dyDescent="0.45">
      <c r="A3" s="3" t="s">
        <v>1</v>
      </c>
    </row>
    <row r="5" spans="1:1" ht="14.45" x14ac:dyDescent="0.35">
      <c r="A5" s="1" t="s">
        <v>121</v>
      </c>
    </row>
    <row r="7" spans="1:1" ht="15.6" x14ac:dyDescent="0.35">
      <c r="A7" s="2" t="s">
        <v>20</v>
      </c>
    </row>
    <row r="9" spans="1:1" ht="14.45" x14ac:dyDescent="0.35">
      <c r="A9" t="s">
        <v>13</v>
      </c>
    </row>
    <row r="10" spans="1:1" ht="14.45" x14ac:dyDescent="0.35">
      <c r="A10" t="s">
        <v>32</v>
      </c>
    </row>
    <row r="12" spans="1:1" ht="14.45" x14ac:dyDescent="0.35">
      <c r="A12" t="s">
        <v>14</v>
      </c>
    </row>
    <row r="14" spans="1:1" ht="14.45" x14ac:dyDescent="0.35">
      <c r="A14" s="1" t="s">
        <v>2</v>
      </c>
    </row>
    <row r="15" spans="1:1" ht="14.45" x14ac:dyDescent="0.35">
      <c r="A15" s="1"/>
    </row>
    <row r="16" spans="1:1" ht="14.45" x14ac:dyDescent="0.35">
      <c r="A16" t="s">
        <v>15</v>
      </c>
    </row>
    <row r="18" spans="1:1" ht="14.45" x14ac:dyDescent="0.35">
      <c r="A18" t="s">
        <v>33</v>
      </c>
    </row>
    <row r="19" spans="1:1" ht="14.45" x14ac:dyDescent="0.35">
      <c r="A19" t="s">
        <v>3</v>
      </c>
    </row>
    <row r="21" spans="1:1" ht="14.45" x14ac:dyDescent="0.35">
      <c r="A21" s="1" t="s">
        <v>54</v>
      </c>
    </row>
    <row r="22" spans="1:1" ht="14.45" x14ac:dyDescent="0.35">
      <c r="A22" s="1" t="s">
        <v>53</v>
      </c>
    </row>
    <row r="23" spans="1:1" ht="14.45" x14ac:dyDescent="0.35">
      <c r="A23" t="s">
        <v>51</v>
      </c>
    </row>
    <row r="24" spans="1:1" ht="14.45" x14ac:dyDescent="0.35">
      <c r="A24" t="s">
        <v>52</v>
      </c>
    </row>
    <row r="27" spans="1:1" ht="15.6" x14ac:dyDescent="0.35">
      <c r="A27" s="2" t="s">
        <v>21</v>
      </c>
    </row>
    <row r="29" spans="1:1" ht="14.45" x14ac:dyDescent="0.35">
      <c r="A29" t="s">
        <v>4</v>
      </c>
    </row>
    <row r="30" spans="1:1" ht="14.45" x14ac:dyDescent="0.35">
      <c r="A30" t="s">
        <v>5</v>
      </c>
    </row>
    <row r="32" spans="1:1" ht="14.45" x14ac:dyDescent="0.35">
      <c r="A32" t="s">
        <v>6</v>
      </c>
    </row>
    <row r="34" spans="1:1" ht="14.45" x14ac:dyDescent="0.35">
      <c r="A34" t="s">
        <v>10</v>
      </c>
    </row>
    <row r="36" spans="1:1" ht="14.45" x14ac:dyDescent="0.35">
      <c r="A36" t="s">
        <v>9</v>
      </c>
    </row>
    <row r="37" spans="1:1" ht="14.45" x14ac:dyDescent="0.35">
      <c r="A37" t="s">
        <v>105</v>
      </c>
    </row>
    <row r="38" spans="1:1" ht="14.45" x14ac:dyDescent="0.35">
      <c r="A38" t="s">
        <v>8</v>
      </c>
    </row>
    <row r="39" spans="1:1" ht="14.45" x14ac:dyDescent="0.35">
      <c r="A39" t="s">
        <v>7</v>
      </c>
    </row>
    <row r="41" spans="1:1" ht="14.45" x14ac:dyDescent="0.35">
      <c r="A41" s="1" t="s">
        <v>107</v>
      </c>
    </row>
    <row r="42" spans="1:1" ht="14.45" x14ac:dyDescent="0.35">
      <c r="A42" t="s">
        <v>108</v>
      </c>
    </row>
    <row r="43" spans="1:1" ht="14.45" x14ac:dyDescent="0.35">
      <c r="A43" s="1" t="s">
        <v>106</v>
      </c>
    </row>
    <row r="45" spans="1:1" ht="14.45" x14ac:dyDescent="0.35">
      <c r="A45" t="s">
        <v>35</v>
      </c>
    </row>
    <row r="46" spans="1:1" ht="14.45" x14ac:dyDescent="0.35">
      <c r="A46" t="s">
        <v>36</v>
      </c>
    </row>
    <row r="48" spans="1:1" ht="14.45" x14ac:dyDescent="0.35">
      <c r="A48" s="1" t="s">
        <v>11</v>
      </c>
    </row>
    <row r="50" spans="1:1" ht="14.45" x14ac:dyDescent="0.35">
      <c r="A50" t="s">
        <v>12</v>
      </c>
    </row>
    <row r="52" spans="1:1" ht="14.45" x14ac:dyDescent="0.35">
      <c r="A52" t="s">
        <v>16</v>
      </c>
    </row>
    <row r="54" spans="1:1" ht="14.45" x14ac:dyDescent="0.35">
      <c r="A54" t="s">
        <v>17</v>
      </c>
    </row>
    <row r="56" spans="1:1" ht="14.45" x14ac:dyDescent="0.35">
      <c r="A56" t="s">
        <v>18</v>
      </c>
    </row>
    <row r="58" spans="1:1" ht="14.45" x14ac:dyDescent="0.35">
      <c r="A58" t="s">
        <v>19</v>
      </c>
    </row>
    <row r="61" spans="1:1" ht="15.6" x14ac:dyDescent="0.35">
      <c r="A61" s="2" t="s">
        <v>22</v>
      </c>
    </row>
    <row r="63" spans="1:1" x14ac:dyDescent="0.25">
      <c r="A63" t="s">
        <v>23</v>
      </c>
    </row>
    <row r="64" spans="1:1" x14ac:dyDescent="0.25">
      <c r="A64" t="s">
        <v>24</v>
      </c>
    </row>
    <row r="66" spans="1:1" x14ac:dyDescent="0.25">
      <c r="A66" t="s">
        <v>25</v>
      </c>
    </row>
    <row r="68" spans="1:1" x14ac:dyDescent="0.25">
      <c r="A68" t="s">
        <v>31</v>
      </c>
    </row>
    <row r="69" spans="1:1" x14ac:dyDescent="0.25">
      <c r="A69" t="s">
        <v>26</v>
      </c>
    </row>
    <row r="70" spans="1:1" x14ac:dyDescent="0.25">
      <c r="A70" t="s">
        <v>27</v>
      </c>
    </row>
    <row r="71" spans="1:1" x14ac:dyDescent="0.25">
      <c r="A71" t="s">
        <v>28</v>
      </c>
    </row>
    <row r="72" spans="1:1" x14ac:dyDescent="0.25">
      <c r="A72" t="s">
        <v>29</v>
      </c>
    </row>
    <row r="73" spans="1:1" x14ac:dyDescent="0.25">
      <c r="A73" t="s">
        <v>34</v>
      </c>
    </row>
    <row r="75" spans="1:1" x14ac:dyDescent="0.25">
      <c r="A75" t="s">
        <v>30</v>
      </c>
    </row>
    <row r="78" spans="1:1" x14ac:dyDescent="0.25">
      <c r="A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U55"/>
  <sheetViews>
    <sheetView showGridLines="0" topLeftCell="A31" workbookViewId="0">
      <selection activeCell="H55" sqref="H55"/>
    </sheetView>
  </sheetViews>
  <sheetFormatPr baseColWidth="10" defaultRowHeight="15" x14ac:dyDescent="0.25"/>
  <cols>
    <col min="1" max="1" width="3.5703125" customWidth="1"/>
    <col min="2" max="2" width="38.140625" bestFit="1" customWidth="1"/>
  </cols>
  <sheetData>
    <row r="1" spans="2:8" ht="23.45" x14ac:dyDescent="0.55000000000000004">
      <c r="B1" s="4" t="s">
        <v>62</v>
      </c>
    </row>
    <row r="3" spans="2:8" ht="14.45" x14ac:dyDescent="0.35">
      <c r="B3" t="s">
        <v>48</v>
      </c>
    </row>
    <row r="5" spans="2:8" ht="14.45" x14ac:dyDescent="0.35">
      <c r="B5" t="s">
        <v>49</v>
      </c>
    </row>
    <row r="7" spans="2:8" ht="31.5" x14ac:dyDescent="0.25">
      <c r="B7" s="5" t="s">
        <v>37</v>
      </c>
      <c r="C7" s="6" t="s">
        <v>38</v>
      </c>
      <c r="D7" s="6" t="s">
        <v>39</v>
      </c>
      <c r="E7" s="6" t="s">
        <v>40</v>
      </c>
      <c r="F7" s="6" t="s">
        <v>41</v>
      </c>
      <c r="G7" s="6" t="s">
        <v>42</v>
      </c>
      <c r="H7" s="6" t="s">
        <v>43</v>
      </c>
    </row>
    <row r="8" spans="2:8" ht="15.6" x14ac:dyDescent="0.35">
      <c r="B8" s="7" t="s">
        <v>44</v>
      </c>
      <c r="C8" s="7">
        <v>-0.14681</v>
      </c>
      <c r="D8" s="7">
        <v>-0.20929200000000001</v>
      </c>
      <c r="E8" s="7">
        <v>-0.23314299999999999</v>
      </c>
      <c r="F8" s="7">
        <v>-0.25317499999999998</v>
      </c>
      <c r="G8" s="7">
        <v>-0.281387</v>
      </c>
      <c r="H8" s="7">
        <v>-0.273086</v>
      </c>
    </row>
    <row r="9" spans="2:8" ht="15.75" x14ac:dyDescent="0.25">
      <c r="B9" s="8" t="s">
        <v>45</v>
      </c>
      <c r="C9" s="8">
        <v>-0.29469699999999999</v>
      </c>
      <c r="D9" s="8">
        <v>-0.40978799999999999</v>
      </c>
      <c r="E9" s="8">
        <v>-0.43386000000000002</v>
      </c>
      <c r="F9" s="8">
        <v>-0.40556900000000001</v>
      </c>
      <c r="G9" s="8">
        <v>-0.28891800000000001</v>
      </c>
      <c r="H9" s="8">
        <v>-0.298898</v>
      </c>
    </row>
    <row r="10" spans="2:8" ht="15.6" x14ac:dyDescent="0.35">
      <c r="B10" s="8" t="s">
        <v>46</v>
      </c>
      <c r="C10" s="8">
        <v>-9.0800000000000006E-2</v>
      </c>
      <c r="D10" s="8">
        <v>-0.17734</v>
      </c>
      <c r="E10" s="8">
        <v>-0.224109</v>
      </c>
      <c r="F10" s="8">
        <v>-0.24085400000000001</v>
      </c>
      <c r="G10" s="8">
        <v>-0.18621099999999999</v>
      </c>
      <c r="H10" s="8">
        <v>-6.8503999999999995E-2</v>
      </c>
    </row>
    <row r="11" spans="2:8" ht="15.6" x14ac:dyDescent="0.35">
      <c r="B11" s="12" t="s">
        <v>47</v>
      </c>
      <c r="C11" s="12">
        <v>-4.8641999999999998E-2</v>
      </c>
      <c r="D11" s="12">
        <v>-0.104911</v>
      </c>
      <c r="E11" s="12">
        <v>-0.15964600000000001</v>
      </c>
      <c r="F11" s="12">
        <v>-0.26383099999999998</v>
      </c>
      <c r="G11" s="12">
        <v>-0.48123199999999999</v>
      </c>
      <c r="H11" s="12">
        <v>-0.45417600000000002</v>
      </c>
    </row>
    <row r="12" spans="2:8" s="11" customFormat="1" ht="15.75" x14ac:dyDescent="0.25">
      <c r="B12" s="9" t="s">
        <v>61</v>
      </c>
      <c r="C12" s="9">
        <v>3.5368999999999998E-2</v>
      </c>
      <c r="D12" s="9">
        <v>7.2875999999999996E-2</v>
      </c>
      <c r="E12" s="9">
        <v>9.6879000000000007E-2</v>
      </c>
      <c r="F12" s="9">
        <v>0.114802</v>
      </c>
      <c r="G12" s="9">
        <v>0.19314600000000001</v>
      </c>
      <c r="H12" s="9">
        <v>0.43462099999999998</v>
      </c>
    </row>
    <row r="13" spans="2:8" s="11" customFormat="1" ht="15.6" x14ac:dyDescent="0.35">
      <c r="B13" s="10"/>
      <c r="C13" s="10"/>
      <c r="D13" s="10"/>
      <c r="E13" s="10"/>
      <c r="F13" s="10"/>
      <c r="G13" s="10"/>
      <c r="H13" s="10"/>
    </row>
    <row r="14" spans="2:8" ht="15.6" x14ac:dyDescent="0.35">
      <c r="B14" s="10" t="s">
        <v>60</v>
      </c>
    </row>
    <row r="16" spans="2:8" ht="15.6" x14ac:dyDescent="0.35">
      <c r="B16" s="10" t="s">
        <v>55</v>
      </c>
    </row>
    <row r="17" spans="2:2" ht="15.6" x14ac:dyDescent="0.35">
      <c r="B17" s="10" t="s">
        <v>58</v>
      </c>
    </row>
    <row r="18" spans="2:2" ht="15.6" x14ac:dyDescent="0.35">
      <c r="B18" s="10" t="s">
        <v>50</v>
      </c>
    </row>
    <row r="19" spans="2:2" ht="15.6" x14ac:dyDescent="0.35">
      <c r="B19" s="10" t="s">
        <v>56</v>
      </c>
    </row>
    <row r="20" spans="2:2" ht="15.6" x14ac:dyDescent="0.35">
      <c r="B20" s="10" t="s">
        <v>57</v>
      </c>
    </row>
    <row r="22" spans="2:2" ht="15.6" x14ac:dyDescent="0.35">
      <c r="B22" s="10" t="s">
        <v>59</v>
      </c>
    </row>
    <row r="23" spans="2:2" ht="15.6" x14ac:dyDescent="0.35">
      <c r="B23" s="10" t="s">
        <v>69</v>
      </c>
    </row>
    <row r="24" spans="2:2" ht="15.6" x14ac:dyDescent="0.35">
      <c r="B24" s="10" t="s">
        <v>70</v>
      </c>
    </row>
    <row r="26" spans="2:2" ht="15.6" x14ac:dyDescent="0.35">
      <c r="B26" s="10" t="s">
        <v>65</v>
      </c>
    </row>
    <row r="27" spans="2:2" ht="15.6" x14ac:dyDescent="0.35">
      <c r="B27" s="10" t="s">
        <v>63</v>
      </c>
    </row>
    <row r="28" spans="2:2" ht="15.6" x14ac:dyDescent="0.35">
      <c r="B28" s="10" t="s">
        <v>64</v>
      </c>
    </row>
    <row r="30" spans="2:2" ht="15.6" x14ac:dyDescent="0.35">
      <c r="B30" s="10" t="s">
        <v>66</v>
      </c>
    </row>
    <row r="32" spans="2:2" ht="15.6" x14ac:dyDescent="0.35">
      <c r="B32" s="10" t="s">
        <v>67</v>
      </c>
    </row>
    <row r="34" spans="1:21" ht="15.6" x14ac:dyDescent="0.35">
      <c r="B34" s="13" t="s">
        <v>109</v>
      </c>
      <c r="C34" s="148" t="s">
        <v>110</v>
      </c>
      <c r="D34" s="148"/>
      <c r="E34" s="148"/>
      <c r="F34" s="148" t="s">
        <v>111</v>
      </c>
      <c r="G34" s="148"/>
      <c r="H34" s="148"/>
      <c r="I34" s="148" t="s">
        <v>112</v>
      </c>
      <c r="J34" s="148"/>
      <c r="K34" s="148"/>
      <c r="L34" s="148" t="s">
        <v>113</v>
      </c>
      <c r="M34" s="148"/>
      <c r="N34" s="148"/>
      <c r="O34" s="148" t="s">
        <v>114</v>
      </c>
      <c r="P34" s="148"/>
      <c r="Q34" s="148"/>
      <c r="R34" s="148" t="s">
        <v>115</v>
      </c>
      <c r="S34" s="148"/>
      <c r="T34" s="148"/>
    </row>
    <row r="35" spans="1:21" ht="15.6" x14ac:dyDescent="0.35">
      <c r="A35" s="14">
        <v>1</v>
      </c>
      <c r="B35" s="5"/>
      <c r="C35" s="139">
        <v>2007</v>
      </c>
      <c r="D35" s="140"/>
      <c r="E35" s="141"/>
      <c r="F35" s="139">
        <v>2008</v>
      </c>
      <c r="G35" s="140"/>
      <c r="H35" s="141"/>
      <c r="I35" s="139">
        <v>2009</v>
      </c>
      <c r="J35" s="140"/>
      <c r="K35" s="141"/>
      <c r="L35" s="139">
        <v>2011</v>
      </c>
      <c r="M35" s="140"/>
      <c r="N35" s="141"/>
      <c r="O35" s="139">
        <v>2016</v>
      </c>
      <c r="P35" s="140"/>
      <c r="Q35" s="141"/>
      <c r="R35" s="139">
        <v>2041</v>
      </c>
      <c r="S35" s="140"/>
      <c r="T35" s="141"/>
    </row>
    <row r="36" spans="1:21" ht="15.6" x14ac:dyDescent="0.35">
      <c r="A36" s="14">
        <v>2</v>
      </c>
      <c r="B36" s="7" t="s">
        <v>68</v>
      </c>
      <c r="C36" s="145" t="s">
        <v>75</v>
      </c>
      <c r="D36" s="146"/>
      <c r="E36" s="147"/>
      <c r="F36" s="145" t="s">
        <v>76</v>
      </c>
      <c r="G36" s="146"/>
      <c r="H36" s="147"/>
      <c r="I36" s="145" t="s">
        <v>77</v>
      </c>
      <c r="J36" s="146"/>
      <c r="K36" s="147"/>
      <c r="L36" s="145" t="s">
        <v>78</v>
      </c>
      <c r="M36" s="146"/>
      <c r="N36" s="147"/>
      <c r="O36" s="145" t="s">
        <v>79</v>
      </c>
      <c r="P36" s="146"/>
      <c r="Q36" s="147"/>
      <c r="R36" s="145" t="s">
        <v>80</v>
      </c>
      <c r="S36" s="146"/>
      <c r="T36" s="147"/>
    </row>
    <row r="37" spans="1:21" ht="15.6" x14ac:dyDescent="0.35">
      <c r="A37" s="14">
        <v>3</v>
      </c>
      <c r="B37" s="8" t="s">
        <v>71</v>
      </c>
      <c r="C37" s="142" t="s">
        <v>81</v>
      </c>
      <c r="D37" s="143"/>
      <c r="E37" s="144"/>
      <c r="F37" s="142" t="s">
        <v>82</v>
      </c>
      <c r="G37" s="143"/>
      <c r="H37" s="144"/>
      <c r="I37" s="142" t="s">
        <v>83</v>
      </c>
      <c r="J37" s="143"/>
      <c r="K37" s="144"/>
      <c r="L37" s="142" t="s">
        <v>84</v>
      </c>
      <c r="M37" s="143"/>
      <c r="N37" s="144"/>
      <c r="O37" s="142" t="s">
        <v>85</v>
      </c>
      <c r="P37" s="143"/>
      <c r="Q37" s="144"/>
      <c r="R37" s="142" t="s">
        <v>86</v>
      </c>
      <c r="S37" s="143"/>
      <c r="T37" s="144"/>
    </row>
    <row r="38" spans="1:21" ht="15.6" x14ac:dyDescent="0.35">
      <c r="A38" s="14">
        <v>4</v>
      </c>
      <c r="B38" s="8" t="s">
        <v>72</v>
      </c>
      <c r="C38" s="142" t="s">
        <v>87</v>
      </c>
      <c r="D38" s="143"/>
      <c r="E38" s="144"/>
      <c r="F38" s="142" t="s">
        <v>88</v>
      </c>
      <c r="G38" s="143"/>
      <c r="H38" s="144"/>
      <c r="I38" s="142" t="s">
        <v>89</v>
      </c>
      <c r="J38" s="143"/>
      <c r="K38" s="144"/>
      <c r="L38" s="142" t="s">
        <v>90</v>
      </c>
      <c r="M38" s="143"/>
      <c r="N38" s="144"/>
      <c r="O38" s="142" t="s">
        <v>91</v>
      </c>
      <c r="P38" s="143"/>
      <c r="Q38" s="144"/>
      <c r="R38" s="142" t="s">
        <v>92</v>
      </c>
      <c r="S38" s="143"/>
      <c r="T38" s="144"/>
    </row>
    <row r="39" spans="1:21" ht="15.6" x14ac:dyDescent="0.35">
      <c r="A39" s="14">
        <v>5</v>
      </c>
      <c r="B39" s="12" t="s">
        <v>73</v>
      </c>
      <c r="C39" s="142" t="s">
        <v>93</v>
      </c>
      <c r="D39" s="143"/>
      <c r="E39" s="144"/>
      <c r="F39" s="142" t="s">
        <v>94</v>
      </c>
      <c r="G39" s="143"/>
      <c r="H39" s="144"/>
      <c r="I39" s="142" t="s">
        <v>95</v>
      </c>
      <c r="J39" s="143"/>
      <c r="K39" s="144"/>
      <c r="L39" s="142" t="s">
        <v>96</v>
      </c>
      <c r="M39" s="143"/>
      <c r="N39" s="144"/>
      <c r="O39" s="142" t="s">
        <v>97</v>
      </c>
      <c r="P39" s="143"/>
      <c r="Q39" s="144"/>
      <c r="R39" s="142" t="s">
        <v>98</v>
      </c>
      <c r="S39" s="143"/>
      <c r="T39" s="144"/>
    </row>
    <row r="40" spans="1:21" ht="15.6" x14ac:dyDescent="0.35">
      <c r="A40" s="14">
        <v>6</v>
      </c>
      <c r="B40" s="9" t="s">
        <v>74</v>
      </c>
      <c r="C40" s="149" t="s">
        <v>99</v>
      </c>
      <c r="D40" s="150"/>
      <c r="E40" s="151"/>
      <c r="F40" s="149" t="s">
        <v>100</v>
      </c>
      <c r="G40" s="150"/>
      <c r="H40" s="151"/>
      <c r="I40" s="149" t="s">
        <v>101</v>
      </c>
      <c r="J40" s="150"/>
      <c r="K40" s="151"/>
      <c r="L40" s="149" t="s">
        <v>102</v>
      </c>
      <c r="M40" s="150"/>
      <c r="N40" s="151"/>
      <c r="O40" s="149" t="s">
        <v>103</v>
      </c>
      <c r="P40" s="150"/>
      <c r="Q40" s="151"/>
      <c r="R40" s="149" t="s">
        <v>104</v>
      </c>
      <c r="S40" s="150"/>
      <c r="T40" s="151"/>
    </row>
    <row r="42" spans="1:21" ht="15.6" x14ac:dyDescent="0.35">
      <c r="B42" s="10" t="s">
        <v>116</v>
      </c>
    </row>
    <row r="43" spans="1:21" ht="14.45" x14ac:dyDescent="0.35">
      <c r="B43" t="s">
        <v>118</v>
      </c>
    </row>
    <row r="45" spans="1:21" ht="15.6" x14ac:dyDescent="0.35">
      <c r="B45" s="13" t="s">
        <v>109</v>
      </c>
      <c r="C45" s="13" t="s">
        <v>110</v>
      </c>
      <c r="D45" s="148" t="s">
        <v>111</v>
      </c>
      <c r="E45" s="148"/>
      <c r="F45" s="148"/>
      <c r="G45" s="148" t="s">
        <v>112</v>
      </c>
      <c r="H45" s="148"/>
      <c r="I45" s="148"/>
      <c r="J45" s="148" t="s">
        <v>113</v>
      </c>
      <c r="K45" s="148"/>
      <c r="L45" s="148"/>
      <c r="M45" s="148" t="s">
        <v>114</v>
      </c>
      <c r="N45" s="148"/>
      <c r="O45" s="148"/>
      <c r="P45" s="148" t="s">
        <v>115</v>
      </c>
      <c r="Q45" s="148"/>
      <c r="R45" s="148"/>
      <c r="S45" s="148" t="s">
        <v>117</v>
      </c>
      <c r="T45" s="148"/>
      <c r="U45" s="148"/>
    </row>
    <row r="46" spans="1:21" ht="31.5" x14ac:dyDescent="0.25">
      <c r="A46" s="14">
        <v>1</v>
      </c>
      <c r="B46" s="5" t="s">
        <v>37</v>
      </c>
      <c r="C46" s="15"/>
      <c r="D46" s="155" t="s">
        <v>38</v>
      </c>
      <c r="E46" s="156"/>
      <c r="F46" s="157"/>
      <c r="G46" s="155" t="s">
        <v>39</v>
      </c>
      <c r="H46" s="156"/>
      <c r="I46" s="157"/>
      <c r="J46" s="155" t="s">
        <v>40</v>
      </c>
      <c r="K46" s="156"/>
      <c r="L46" s="157"/>
      <c r="M46" s="155" t="s">
        <v>41</v>
      </c>
      <c r="N46" s="156"/>
      <c r="O46" s="157"/>
      <c r="P46" s="155" t="s">
        <v>42</v>
      </c>
      <c r="Q46" s="156"/>
      <c r="R46" s="157"/>
      <c r="S46" s="155" t="s">
        <v>43</v>
      </c>
      <c r="T46" s="156"/>
      <c r="U46" s="157"/>
    </row>
    <row r="47" spans="1:21" ht="15.75" x14ac:dyDescent="0.25">
      <c r="A47" s="14">
        <v>2</v>
      </c>
      <c r="B47" s="15"/>
      <c r="C47" s="16"/>
      <c r="D47" s="152">
        <v>2007</v>
      </c>
      <c r="E47" s="153"/>
      <c r="F47" s="154"/>
      <c r="G47" s="152">
        <v>2008</v>
      </c>
      <c r="H47" s="153"/>
      <c r="I47" s="154"/>
      <c r="J47" s="152">
        <v>2009</v>
      </c>
      <c r="K47" s="153"/>
      <c r="L47" s="154"/>
      <c r="M47" s="152">
        <v>2011</v>
      </c>
      <c r="N47" s="153"/>
      <c r="O47" s="154"/>
      <c r="P47" s="152">
        <v>2016</v>
      </c>
      <c r="Q47" s="153"/>
      <c r="R47" s="154"/>
      <c r="S47" s="152">
        <v>2041</v>
      </c>
      <c r="T47" s="153"/>
      <c r="U47" s="154"/>
    </row>
    <row r="48" spans="1:21" ht="15.6" x14ac:dyDescent="0.35">
      <c r="A48" s="14">
        <v>3</v>
      </c>
      <c r="B48" s="7" t="s">
        <v>44</v>
      </c>
      <c r="C48" s="17" t="s">
        <v>68</v>
      </c>
      <c r="D48" s="145" t="s">
        <v>75</v>
      </c>
      <c r="E48" s="146"/>
      <c r="F48" s="147"/>
      <c r="G48" s="145" t="s">
        <v>76</v>
      </c>
      <c r="H48" s="146"/>
      <c r="I48" s="147"/>
      <c r="J48" s="145" t="s">
        <v>77</v>
      </c>
      <c r="K48" s="146"/>
      <c r="L48" s="147"/>
      <c r="M48" s="145" t="s">
        <v>78</v>
      </c>
      <c r="N48" s="146"/>
      <c r="O48" s="147"/>
      <c r="P48" s="145" t="s">
        <v>79</v>
      </c>
      <c r="Q48" s="146"/>
      <c r="R48" s="147"/>
      <c r="S48" s="145" t="s">
        <v>80</v>
      </c>
      <c r="T48" s="146"/>
      <c r="U48" s="147"/>
    </row>
    <row r="49" spans="1:21" ht="15.75" x14ac:dyDescent="0.25">
      <c r="A49" s="14">
        <v>4</v>
      </c>
      <c r="B49" s="8" t="s">
        <v>45</v>
      </c>
      <c r="C49" s="18" t="s">
        <v>71</v>
      </c>
      <c r="D49" s="142" t="s">
        <v>81</v>
      </c>
      <c r="E49" s="143"/>
      <c r="F49" s="144"/>
      <c r="G49" s="142" t="s">
        <v>82</v>
      </c>
      <c r="H49" s="143"/>
      <c r="I49" s="144"/>
      <c r="J49" s="142" t="s">
        <v>83</v>
      </c>
      <c r="K49" s="143"/>
      <c r="L49" s="144"/>
      <c r="M49" s="142" t="s">
        <v>84</v>
      </c>
      <c r="N49" s="143"/>
      <c r="O49" s="144"/>
      <c r="P49" s="142" t="s">
        <v>85</v>
      </c>
      <c r="Q49" s="143"/>
      <c r="R49" s="144"/>
      <c r="S49" s="142" t="s">
        <v>86</v>
      </c>
      <c r="T49" s="143"/>
      <c r="U49" s="144"/>
    </row>
    <row r="50" spans="1:21" ht="15.75" x14ac:dyDescent="0.25">
      <c r="A50" s="14">
        <v>5</v>
      </c>
      <c r="B50" s="8" t="s">
        <v>46</v>
      </c>
      <c r="C50" s="18" t="s">
        <v>72</v>
      </c>
      <c r="D50" s="142" t="s">
        <v>87</v>
      </c>
      <c r="E50" s="143"/>
      <c r="F50" s="144"/>
      <c r="G50" s="142" t="s">
        <v>88</v>
      </c>
      <c r="H50" s="143"/>
      <c r="I50" s="144"/>
      <c r="J50" s="142" t="s">
        <v>89</v>
      </c>
      <c r="K50" s="143"/>
      <c r="L50" s="144"/>
      <c r="M50" s="142" t="s">
        <v>90</v>
      </c>
      <c r="N50" s="143"/>
      <c r="O50" s="144"/>
      <c r="P50" s="142" t="s">
        <v>91</v>
      </c>
      <c r="Q50" s="143"/>
      <c r="R50" s="144"/>
      <c r="S50" s="142" t="s">
        <v>92</v>
      </c>
      <c r="T50" s="143"/>
      <c r="U50" s="144"/>
    </row>
    <row r="51" spans="1:21" ht="15.75" x14ac:dyDescent="0.25">
      <c r="A51" s="14">
        <v>6</v>
      </c>
      <c r="B51" s="12" t="s">
        <v>47</v>
      </c>
      <c r="C51" s="19" t="s">
        <v>73</v>
      </c>
      <c r="D51" s="142" t="s">
        <v>93</v>
      </c>
      <c r="E51" s="143"/>
      <c r="F51" s="144"/>
      <c r="G51" s="142" t="s">
        <v>94</v>
      </c>
      <c r="H51" s="143"/>
      <c r="I51" s="144"/>
      <c r="J51" s="142" t="s">
        <v>95</v>
      </c>
      <c r="K51" s="143"/>
      <c r="L51" s="144"/>
      <c r="M51" s="142" t="s">
        <v>96</v>
      </c>
      <c r="N51" s="143"/>
      <c r="O51" s="144"/>
      <c r="P51" s="142" t="s">
        <v>97</v>
      </c>
      <c r="Q51" s="143"/>
      <c r="R51" s="144"/>
      <c r="S51" s="142" t="s">
        <v>98</v>
      </c>
      <c r="T51" s="143"/>
      <c r="U51" s="144"/>
    </row>
    <row r="52" spans="1:21" ht="15.75" x14ac:dyDescent="0.25">
      <c r="A52" s="14">
        <v>7</v>
      </c>
      <c r="B52" s="9" t="s">
        <v>61</v>
      </c>
      <c r="C52" s="20" t="s">
        <v>74</v>
      </c>
      <c r="D52" s="149" t="s">
        <v>99</v>
      </c>
      <c r="E52" s="150"/>
      <c r="F52" s="151"/>
      <c r="G52" s="149" t="s">
        <v>100</v>
      </c>
      <c r="H52" s="150"/>
      <c r="I52" s="151"/>
      <c r="J52" s="149" t="s">
        <v>101</v>
      </c>
      <c r="K52" s="150"/>
      <c r="L52" s="151"/>
      <c r="M52" s="149" t="s">
        <v>102</v>
      </c>
      <c r="N52" s="150"/>
      <c r="O52" s="151"/>
      <c r="P52" s="149" t="s">
        <v>103</v>
      </c>
      <c r="Q52" s="150"/>
      <c r="R52" s="151"/>
      <c r="S52" s="149" t="s">
        <v>104</v>
      </c>
      <c r="T52" s="150"/>
      <c r="U52" s="151"/>
    </row>
    <row r="54" spans="1:21" ht="15.75" x14ac:dyDescent="0.25">
      <c r="B54" s="10" t="s">
        <v>119</v>
      </c>
    </row>
    <row r="55" spans="1:21" x14ac:dyDescent="0.25">
      <c r="B55" t="s">
        <v>120</v>
      </c>
    </row>
  </sheetData>
  <mergeCells count="90">
    <mergeCell ref="P46:R46"/>
    <mergeCell ref="S46:U46"/>
    <mergeCell ref="D46:F46"/>
    <mergeCell ref="G46:I46"/>
    <mergeCell ref="J46:L46"/>
    <mergeCell ref="M46:O46"/>
    <mergeCell ref="S52:U52"/>
    <mergeCell ref="D51:F51"/>
    <mergeCell ref="G51:I51"/>
    <mergeCell ref="J51:L51"/>
    <mergeCell ref="M51:O51"/>
    <mergeCell ref="P51:R51"/>
    <mergeCell ref="S51:U51"/>
    <mergeCell ref="D52:F52"/>
    <mergeCell ref="G52:I52"/>
    <mergeCell ref="J52:L52"/>
    <mergeCell ref="M52:O52"/>
    <mergeCell ref="P52:R52"/>
    <mergeCell ref="S50:U50"/>
    <mergeCell ref="D49:F49"/>
    <mergeCell ref="G49:I49"/>
    <mergeCell ref="J49:L49"/>
    <mergeCell ref="M49:O49"/>
    <mergeCell ref="P49:R49"/>
    <mergeCell ref="S49:U49"/>
    <mergeCell ref="D50:F50"/>
    <mergeCell ref="G50:I50"/>
    <mergeCell ref="J50:L50"/>
    <mergeCell ref="M50:O50"/>
    <mergeCell ref="P50:R50"/>
    <mergeCell ref="S48:U48"/>
    <mergeCell ref="D47:F47"/>
    <mergeCell ref="G47:I47"/>
    <mergeCell ref="J47:L47"/>
    <mergeCell ref="M47:O47"/>
    <mergeCell ref="P47:R47"/>
    <mergeCell ref="S47:U47"/>
    <mergeCell ref="D48:F48"/>
    <mergeCell ref="G48:I48"/>
    <mergeCell ref="J48:L48"/>
    <mergeCell ref="M48:O48"/>
    <mergeCell ref="P48:R48"/>
    <mergeCell ref="D45:F45"/>
    <mergeCell ref="G45:I45"/>
    <mergeCell ref="J45:L45"/>
    <mergeCell ref="M45:O45"/>
    <mergeCell ref="P45:R45"/>
    <mergeCell ref="S45:U45"/>
    <mergeCell ref="C34:E34"/>
    <mergeCell ref="F34:H34"/>
    <mergeCell ref="I34:K34"/>
    <mergeCell ref="L34:N34"/>
    <mergeCell ref="O34:Q34"/>
    <mergeCell ref="R34:T34"/>
    <mergeCell ref="C40:E40"/>
    <mergeCell ref="F40:H40"/>
    <mergeCell ref="I40:K40"/>
    <mergeCell ref="L40:N40"/>
    <mergeCell ref="O40:Q40"/>
    <mergeCell ref="R40:T40"/>
    <mergeCell ref="C39:E39"/>
    <mergeCell ref="F39:H39"/>
    <mergeCell ref="I39:K39"/>
    <mergeCell ref="L39:N39"/>
    <mergeCell ref="O39:Q39"/>
    <mergeCell ref="R39:T39"/>
    <mergeCell ref="C38:E38"/>
    <mergeCell ref="F38:H38"/>
    <mergeCell ref="I38:K38"/>
    <mergeCell ref="L38:N38"/>
    <mergeCell ref="O38:Q38"/>
    <mergeCell ref="R38:T38"/>
    <mergeCell ref="R37:T37"/>
    <mergeCell ref="C36:E36"/>
    <mergeCell ref="F36:H36"/>
    <mergeCell ref="I36:K36"/>
    <mergeCell ref="L36:N36"/>
    <mergeCell ref="O36:Q36"/>
    <mergeCell ref="R36:T36"/>
    <mergeCell ref="C37:E37"/>
    <mergeCell ref="F37:H37"/>
    <mergeCell ref="I37:K37"/>
    <mergeCell ref="L37:N37"/>
    <mergeCell ref="O37:Q37"/>
    <mergeCell ref="R35:T35"/>
    <mergeCell ref="C35:E35"/>
    <mergeCell ref="F35:H35"/>
    <mergeCell ref="I35:K35"/>
    <mergeCell ref="L35:N35"/>
    <mergeCell ref="O35:Q3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00000"/>
  </sheetPr>
  <dimension ref="A1:AB51"/>
  <sheetViews>
    <sheetView tabSelected="1" workbookViewId="0">
      <selection activeCell="C56" sqref="C56"/>
    </sheetView>
  </sheetViews>
  <sheetFormatPr baseColWidth="10" defaultRowHeight="15" x14ac:dyDescent="0.25"/>
  <cols>
    <col min="2" max="2" width="13.140625" customWidth="1"/>
    <col min="3" max="3" width="19.140625" customWidth="1"/>
    <col min="4" max="4" width="20.85546875" hidden="1" customWidth="1"/>
    <col min="13" max="13" width="14.85546875" customWidth="1"/>
    <col min="17" max="17" width="16.42578125" customWidth="1"/>
  </cols>
  <sheetData>
    <row r="1" spans="1:22" ht="23.45" x14ac:dyDescent="0.55000000000000004">
      <c r="A1" s="38" t="s">
        <v>185</v>
      </c>
      <c r="B1" s="25"/>
    </row>
    <row r="2" spans="1:22" ht="13.5" customHeight="1" x14ac:dyDescent="0.55000000000000004">
      <c r="A2" s="38"/>
      <c r="B2" s="25"/>
    </row>
    <row r="3" spans="1:22" ht="23.45" x14ac:dyDescent="0.55000000000000004">
      <c r="B3" s="38" t="s">
        <v>186</v>
      </c>
    </row>
    <row r="4" spans="1:22" ht="14.45" customHeight="1" x14ac:dyDescent="0.55000000000000004">
      <c r="A4" s="38"/>
      <c r="B4" s="25"/>
      <c r="M4" s="25"/>
      <c r="N4" s="75"/>
      <c r="O4" s="75"/>
      <c r="P4" s="75"/>
      <c r="Q4" s="75"/>
      <c r="R4" s="75"/>
      <c r="S4" s="75"/>
      <c r="T4" s="75"/>
      <c r="U4" s="75"/>
      <c r="V4" s="25"/>
    </row>
    <row r="5" spans="1:22" ht="15.6" customHeight="1" x14ac:dyDescent="0.35">
      <c r="B5" s="29"/>
      <c r="C5" s="29"/>
      <c r="D5" s="26"/>
      <c r="E5" s="27">
        <v>2006</v>
      </c>
      <c r="F5" s="27">
        <v>2010</v>
      </c>
      <c r="G5" s="27">
        <v>2015</v>
      </c>
      <c r="H5" s="27">
        <v>2020</v>
      </c>
      <c r="I5" s="27">
        <v>2030</v>
      </c>
      <c r="J5" s="27">
        <v>2040</v>
      </c>
      <c r="K5" s="27">
        <v>2050</v>
      </c>
      <c r="M5" s="25"/>
      <c r="N5" s="124"/>
      <c r="O5" s="124"/>
      <c r="P5" s="124"/>
      <c r="Q5" s="124"/>
      <c r="R5" s="124"/>
      <c r="S5" s="124"/>
      <c r="T5" s="124"/>
      <c r="U5" s="75"/>
      <c r="V5" s="25"/>
    </row>
    <row r="6" spans="1:22" ht="15.6" customHeight="1" x14ac:dyDescent="0.25">
      <c r="B6" s="159" t="s">
        <v>181</v>
      </c>
      <c r="C6" s="28" t="s">
        <v>166</v>
      </c>
      <c r="D6" s="29"/>
      <c r="E6" s="36" t="e">
        <f ca="1">SUM(E7:E8)</f>
        <v>#VALUE!</v>
      </c>
      <c r="F6" s="36" t="e">
        <f t="shared" ref="F6:K6" ca="1" si="0">SUM(F7:F8)</f>
        <v>#VALUE!</v>
      </c>
      <c r="G6" s="36" t="e">
        <f t="shared" ca="1" si="0"/>
        <v>#VALUE!</v>
      </c>
      <c r="H6" s="36" t="e">
        <f t="shared" ca="1" si="0"/>
        <v>#VALUE!</v>
      </c>
      <c r="I6" s="36" t="e">
        <f t="shared" ca="1" si="0"/>
        <v>#VALUE!</v>
      </c>
      <c r="J6" s="36" t="e">
        <f t="shared" ca="1" si="0"/>
        <v>#VALUE!</v>
      </c>
      <c r="K6" s="36" t="e">
        <f t="shared" ca="1" si="0"/>
        <v>#VALUE!</v>
      </c>
      <c r="M6" s="23"/>
      <c r="N6" s="95"/>
      <c r="O6" s="95"/>
      <c r="P6" s="95"/>
      <c r="Q6" s="95"/>
      <c r="R6" s="95"/>
      <c r="S6" s="95"/>
      <c r="T6" s="95"/>
      <c r="U6" s="75"/>
      <c r="V6" s="25"/>
    </row>
    <row r="7" spans="1:22" ht="15.6" customHeight="1" x14ac:dyDescent="0.25">
      <c r="B7" s="160"/>
      <c r="C7" s="30" t="s">
        <v>182</v>
      </c>
      <c r="D7" s="30" t="s">
        <v>150</v>
      </c>
      <c r="E7" s="31" t="e">
        <f t="shared" ref="E7:K24" ca="1" si="1">Output("SCEN_ADEMEhaut",$D7,E$5)</f>
        <v>#VALUE!</v>
      </c>
      <c r="F7" s="31" t="e">
        <f t="shared" ref="F7:K23" ca="1" si="2">Output("SCEN_ADEMEhaut",$D7,F$5)</f>
        <v>#VALUE!</v>
      </c>
      <c r="G7" s="31" t="e">
        <f t="shared" ca="1" si="2"/>
        <v>#VALUE!</v>
      </c>
      <c r="H7" s="31" t="e">
        <f t="shared" ca="1" si="2"/>
        <v>#VALUE!</v>
      </c>
      <c r="I7" s="31" t="e">
        <f t="shared" ca="1" si="2"/>
        <v>#VALUE!</v>
      </c>
      <c r="J7" s="31" t="e">
        <f t="shared" ca="1" si="2"/>
        <v>#VALUE!</v>
      </c>
      <c r="K7" s="31" t="e">
        <f t="shared" ca="1" si="2"/>
        <v>#VALUE!</v>
      </c>
      <c r="M7" s="23"/>
      <c r="N7" s="95"/>
      <c r="O7" s="95"/>
      <c r="P7" s="95"/>
      <c r="Q7" s="95"/>
      <c r="R7" s="95"/>
      <c r="S7" s="95"/>
      <c r="T7" s="95"/>
      <c r="U7" s="75"/>
      <c r="V7" s="25"/>
    </row>
    <row r="8" spans="1:22" ht="15.6" customHeight="1" x14ac:dyDescent="0.25">
      <c r="B8" s="161"/>
      <c r="C8" s="32" t="s">
        <v>183</v>
      </c>
      <c r="D8" s="32" t="s">
        <v>151</v>
      </c>
      <c r="E8" s="33" t="e">
        <f t="shared" ca="1" si="1"/>
        <v>#VALUE!</v>
      </c>
      <c r="F8" s="33" t="e">
        <f t="shared" ca="1" si="2"/>
        <v>#VALUE!</v>
      </c>
      <c r="G8" s="33" t="e">
        <f t="shared" ca="1" si="2"/>
        <v>#VALUE!</v>
      </c>
      <c r="H8" s="33" t="e">
        <f t="shared" ca="1" si="2"/>
        <v>#VALUE!</v>
      </c>
      <c r="I8" s="33" t="e">
        <f t="shared" ca="1" si="2"/>
        <v>#VALUE!</v>
      </c>
      <c r="J8" s="33" t="e">
        <f t="shared" ca="1" si="2"/>
        <v>#VALUE!</v>
      </c>
      <c r="K8" s="33" t="e">
        <f t="shared" ca="1" si="2"/>
        <v>#VALUE!</v>
      </c>
      <c r="M8" s="23"/>
      <c r="N8" s="95"/>
      <c r="O8" s="95"/>
      <c r="P8" s="95"/>
      <c r="Q8" s="95"/>
      <c r="R8" s="95"/>
      <c r="S8" s="95"/>
      <c r="T8" s="95"/>
      <c r="U8" s="75"/>
      <c r="V8" s="25"/>
    </row>
    <row r="9" spans="1:22" ht="15.6" customHeight="1" x14ac:dyDescent="0.25">
      <c r="B9" s="159" t="s">
        <v>167</v>
      </c>
      <c r="C9" s="28" t="s">
        <v>166</v>
      </c>
      <c r="D9" s="29"/>
      <c r="E9" s="37" t="e">
        <f ca="1">SUM(E10:E17)</f>
        <v>#VALUE!</v>
      </c>
      <c r="F9" s="37" t="e">
        <f t="shared" ref="F9:K9" ca="1" si="3">SUM(F10:F17)</f>
        <v>#VALUE!</v>
      </c>
      <c r="G9" s="37" t="e">
        <f t="shared" ca="1" si="3"/>
        <v>#VALUE!</v>
      </c>
      <c r="H9" s="37" t="e">
        <f t="shared" ca="1" si="3"/>
        <v>#VALUE!</v>
      </c>
      <c r="I9" s="37" t="e">
        <f t="shared" ca="1" si="3"/>
        <v>#VALUE!</v>
      </c>
      <c r="J9" s="37" t="e">
        <f t="shared" ca="1" si="3"/>
        <v>#VALUE!</v>
      </c>
      <c r="K9" s="37" t="e">
        <f t="shared" ca="1" si="3"/>
        <v>#VALUE!</v>
      </c>
      <c r="M9" s="23"/>
      <c r="N9" s="125"/>
      <c r="O9" s="125"/>
      <c r="P9" s="125"/>
      <c r="Q9" s="125"/>
      <c r="R9" s="125"/>
      <c r="S9" s="125"/>
      <c r="T9" s="125"/>
      <c r="U9" s="25"/>
      <c r="V9" s="25"/>
    </row>
    <row r="10" spans="1:22" ht="15.6" customHeight="1" x14ac:dyDescent="0.25">
      <c r="B10" s="160"/>
      <c r="C10" s="30" t="s">
        <v>169</v>
      </c>
      <c r="D10" s="30" t="s">
        <v>152</v>
      </c>
      <c r="E10" s="31" t="e">
        <f t="shared" ref="E10:K17" ca="1" si="4">Output("SCEN_ADEMEhaut",$D10,E$5)</f>
        <v>#VALUE!</v>
      </c>
      <c r="F10" s="31" t="e">
        <f t="shared" ca="1" si="4"/>
        <v>#VALUE!</v>
      </c>
      <c r="G10" s="31" t="e">
        <f t="shared" ca="1" si="4"/>
        <v>#VALUE!</v>
      </c>
      <c r="H10" s="31" t="e">
        <f t="shared" ca="1" si="4"/>
        <v>#VALUE!</v>
      </c>
      <c r="I10" s="31" t="e">
        <f t="shared" ca="1" si="4"/>
        <v>#VALUE!</v>
      </c>
      <c r="J10" s="31" t="e">
        <f t="shared" ca="1" si="4"/>
        <v>#VALUE!</v>
      </c>
      <c r="K10" s="31" t="e">
        <f t="shared" ca="1" si="4"/>
        <v>#VALUE!</v>
      </c>
      <c r="M10" s="23"/>
      <c r="N10" s="125"/>
      <c r="O10" s="125"/>
      <c r="P10" s="125"/>
      <c r="Q10" s="125"/>
      <c r="R10" s="125"/>
      <c r="S10" s="125"/>
      <c r="T10" s="125"/>
      <c r="U10" s="25"/>
      <c r="V10" s="25"/>
    </row>
    <row r="11" spans="1:22" ht="15.6" customHeight="1" x14ac:dyDescent="0.25">
      <c r="B11" s="160"/>
      <c r="C11" s="30" t="s">
        <v>170</v>
      </c>
      <c r="D11" s="30" t="s">
        <v>153</v>
      </c>
      <c r="E11" s="31" t="e">
        <f t="shared" ca="1" si="4"/>
        <v>#VALUE!</v>
      </c>
      <c r="F11" s="31" t="e">
        <f t="shared" ca="1" si="4"/>
        <v>#VALUE!</v>
      </c>
      <c r="G11" s="31" t="e">
        <f t="shared" ca="1" si="4"/>
        <v>#VALUE!</v>
      </c>
      <c r="H11" s="31" t="e">
        <f t="shared" ca="1" si="4"/>
        <v>#VALUE!</v>
      </c>
      <c r="I11" s="31" t="e">
        <f t="shared" ca="1" si="4"/>
        <v>#VALUE!</v>
      </c>
      <c r="J11" s="31" t="e">
        <f t="shared" ca="1" si="4"/>
        <v>#VALUE!</v>
      </c>
      <c r="K11" s="31" t="e">
        <f t="shared" ca="1" si="4"/>
        <v>#VALUE!</v>
      </c>
      <c r="M11" s="23"/>
      <c r="N11" s="125"/>
      <c r="O11" s="125"/>
      <c r="P11" s="125"/>
      <c r="Q11" s="125"/>
      <c r="R11" s="125"/>
      <c r="S11" s="125"/>
      <c r="T11" s="125"/>
      <c r="U11" s="25"/>
      <c r="V11" s="25"/>
    </row>
    <row r="12" spans="1:22" ht="15.6" customHeight="1" x14ac:dyDescent="0.25">
      <c r="B12" s="160"/>
      <c r="C12" s="30" t="s">
        <v>171</v>
      </c>
      <c r="D12" s="30" t="s">
        <v>154</v>
      </c>
      <c r="E12" s="31" t="e">
        <f t="shared" ca="1" si="4"/>
        <v>#VALUE!</v>
      </c>
      <c r="F12" s="31" t="e">
        <f t="shared" ca="1" si="4"/>
        <v>#VALUE!</v>
      </c>
      <c r="G12" s="31" t="e">
        <f t="shared" ca="1" si="4"/>
        <v>#VALUE!</v>
      </c>
      <c r="H12" s="31" t="e">
        <f t="shared" ca="1" si="4"/>
        <v>#VALUE!</v>
      </c>
      <c r="I12" s="31" t="e">
        <f t="shared" ca="1" si="4"/>
        <v>#VALUE!</v>
      </c>
      <c r="J12" s="31" t="e">
        <f t="shared" ca="1" si="4"/>
        <v>#VALUE!</v>
      </c>
      <c r="K12" s="31" t="e">
        <f t="shared" ca="1" si="4"/>
        <v>#VALUE!</v>
      </c>
      <c r="M12" s="24"/>
      <c r="N12" s="125"/>
      <c r="O12" s="125"/>
      <c r="P12" s="125"/>
      <c r="Q12" s="125"/>
      <c r="R12" s="125"/>
      <c r="S12" s="125"/>
      <c r="T12" s="125"/>
      <c r="U12" s="25"/>
      <c r="V12" s="25"/>
    </row>
    <row r="13" spans="1:22" ht="15.6" customHeight="1" x14ac:dyDescent="0.25">
      <c r="B13" s="160"/>
      <c r="C13" s="30" t="s">
        <v>172</v>
      </c>
      <c r="D13" s="30" t="s">
        <v>155</v>
      </c>
      <c r="E13" s="31" t="e">
        <f t="shared" ca="1" si="4"/>
        <v>#VALUE!</v>
      </c>
      <c r="F13" s="31" t="e">
        <f t="shared" ca="1" si="4"/>
        <v>#VALUE!</v>
      </c>
      <c r="G13" s="31" t="e">
        <f t="shared" ca="1" si="4"/>
        <v>#VALUE!</v>
      </c>
      <c r="H13" s="31" t="e">
        <f t="shared" ca="1" si="4"/>
        <v>#VALUE!</v>
      </c>
      <c r="I13" s="31" t="e">
        <f t="shared" ca="1" si="4"/>
        <v>#VALUE!</v>
      </c>
      <c r="J13" s="31" t="e">
        <f t="shared" ca="1" si="4"/>
        <v>#VALUE!</v>
      </c>
      <c r="K13" s="31" t="e">
        <f t="shared" ca="1" si="4"/>
        <v>#VALUE!</v>
      </c>
      <c r="M13" s="24"/>
    </row>
    <row r="14" spans="1:22" ht="15.6" customHeight="1" x14ac:dyDescent="0.25">
      <c r="B14" s="160"/>
      <c r="C14" s="30" t="s">
        <v>173</v>
      </c>
      <c r="D14" s="30" t="s">
        <v>156</v>
      </c>
      <c r="E14" s="31" t="e">
        <f t="shared" ca="1" si="4"/>
        <v>#VALUE!</v>
      </c>
      <c r="F14" s="31" t="e">
        <f t="shared" ca="1" si="4"/>
        <v>#VALUE!</v>
      </c>
      <c r="G14" s="31" t="e">
        <f t="shared" ca="1" si="4"/>
        <v>#VALUE!</v>
      </c>
      <c r="H14" s="31" t="e">
        <f t="shared" ca="1" si="4"/>
        <v>#VALUE!</v>
      </c>
      <c r="I14" s="31" t="e">
        <f t="shared" ca="1" si="4"/>
        <v>#VALUE!</v>
      </c>
      <c r="J14" s="31" t="e">
        <f t="shared" ca="1" si="4"/>
        <v>#VALUE!</v>
      </c>
      <c r="K14" s="31" t="e">
        <f t="shared" ca="1" si="4"/>
        <v>#VALUE!</v>
      </c>
      <c r="M14" s="24"/>
    </row>
    <row r="15" spans="1:22" ht="15.6" customHeight="1" x14ac:dyDescent="0.25">
      <c r="B15" s="160"/>
      <c r="C15" s="30" t="s">
        <v>174</v>
      </c>
      <c r="D15" s="30" t="s">
        <v>157</v>
      </c>
      <c r="E15" s="31" t="e">
        <f t="shared" ca="1" si="4"/>
        <v>#VALUE!</v>
      </c>
      <c r="F15" s="31" t="e">
        <f t="shared" ca="1" si="4"/>
        <v>#VALUE!</v>
      </c>
      <c r="G15" s="31" t="e">
        <f t="shared" ca="1" si="4"/>
        <v>#VALUE!</v>
      </c>
      <c r="H15" s="31" t="e">
        <f t="shared" ca="1" si="4"/>
        <v>#VALUE!</v>
      </c>
      <c r="I15" s="31" t="e">
        <f t="shared" ca="1" si="4"/>
        <v>#VALUE!</v>
      </c>
      <c r="J15" s="31" t="e">
        <f t="shared" ca="1" si="4"/>
        <v>#VALUE!</v>
      </c>
      <c r="K15" s="31" t="e">
        <f t="shared" ca="1" si="4"/>
        <v>#VALUE!</v>
      </c>
      <c r="M15" s="24"/>
    </row>
    <row r="16" spans="1:22" ht="15.6" customHeight="1" x14ac:dyDescent="0.25">
      <c r="B16" s="160"/>
      <c r="C16" s="30" t="s">
        <v>175</v>
      </c>
      <c r="D16" s="30" t="s">
        <v>158</v>
      </c>
      <c r="E16" s="31" t="e">
        <f t="shared" ca="1" si="4"/>
        <v>#VALUE!</v>
      </c>
      <c r="F16" s="31" t="e">
        <f t="shared" ca="1" si="4"/>
        <v>#VALUE!</v>
      </c>
      <c r="G16" s="31" t="e">
        <f t="shared" ca="1" si="4"/>
        <v>#VALUE!</v>
      </c>
      <c r="H16" s="31" t="e">
        <f t="shared" ca="1" si="4"/>
        <v>#VALUE!</v>
      </c>
      <c r="I16" s="31" t="e">
        <f t="shared" ca="1" si="4"/>
        <v>#VALUE!</v>
      </c>
      <c r="J16" s="31" t="e">
        <f t="shared" ca="1" si="4"/>
        <v>#VALUE!</v>
      </c>
      <c r="K16" s="31" t="e">
        <f t="shared" ca="1" si="4"/>
        <v>#VALUE!</v>
      </c>
      <c r="M16" s="24"/>
    </row>
    <row r="17" spans="1:28" ht="15.6" customHeight="1" x14ac:dyDescent="0.25">
      <c r="B17" s="161"/>
      <c r="C17" s="32" t="s">
        <v>184</v>
      </c>
      <c r="D17" s="32" t="s">
        <v>159</v>
      </c>
      <c r="E17" s="33" t="e">
        <f t="shared" ca="1" si="4"/>
        <v>#VALUE!</v>
      </c>
      <c r="F17" s="33" t="e">
        <f t="shared" ca="1" si="4"/>
        <v>#VALUE!</v>
      </c>
      <c r="G17" s="33" t="e">
        <f t="shared" ca="1" si="4"/>
        <v>#VALUE!</v>
      </c>
      <c r="H17" s="33" t="e">
        <f t="shared" ca="1" si="4"/>
        <v>#VALUE!</v>
      </c>
      <c r="I17" s="33" t="e">
        <f t="shared" ca="1" si="4"/>
        <v>#VALUE!</v>
      </c>
      <c r="J17" s="33" t="e">
        <f t="shared" ca="1" si="4"/>
        <v>#VALUE!</v>
      </c>
      <c r="K17" s="33" t="e">
        <f t="shared" ca="1" si="4"/>
        <v>#VALUE!</v>
      </c>
      <c r="M17" s="24"/>
    </row>
    <row r="18" spans="1:28" ht="15.6" customHeight="1" x14ac:dyDescent="0.25">
      <c r="B18" s="159" t="s">
        <v>168</v>
      </c>
      <c r="C18" s="28" t="s">
        <v>166</v>
      </c>
      <c r="D18" s="29"/>
      <c r="E18" s="37" t="e">
        <f ca="1">SUM(E19:E24)</f>
        <v>#VALUE!</v>
      </c>
      <c r="F18" s="37" t="e">
        <f t="shared" ref="F18:K18" ca="1" si="5">SUM(F19:F24)</f>
        <v>#VALUE!</v>
      </c>
      <c r="G18" s="37" t="e">
        <f t="shared" ca="1" si="5"/>
        <v>#VALUE!</v>
      </c>
      <c r="H18" s="37" t="e">
        <f t="shared" ca="1" si="5"/>
        <v>#VALUE!</v>
      </c>
      <c r="I18" s="37" t="e">
        <f t="shared" ca="1" si="5"/>
        <v>#VALUE!</v>
      </c>
      <c r="J18" s="37" t="e">
        <f t="shared" ca="1" si="5"/>
        <v>#VALUE!</v>
      </c>
      <c r="K18" s="37" t="e">
        <f t="shared" ca="1" si="5"/>
        <v>#VALUE!</v>
      </c>
      <c r="M18" s="24"/>
    </row>
    <row r="19" spans="1:28" ht="15.6" customHeight="1" x14ac:dyDescent="0.25">
      <c r="B19" s="160"/>
      <c r="C19" s="30" t="s">
        <v>176</v>
      </c>
      <c r="D19" s="30" t="s">
        <v>160</v>
      </c>
      <c r="E19" s="31" t="e">
        <f t="shared" ca="1" si="1"/>
        <v>#VALUE!</v>
      </c>
      <c r="F19" s="31" t="e">
        <f t="shared" ca="1" si="2"/>
        <v>#VALUE!</v>
      </c>
      <c r="G19" s="31" t="e">
        <f t="shared" ca="1" si="2"/>
        <v>#VALUE!</v>
      </c>
      <c r="H19" s="31" t="e">
        <f t="shared" ca="1" si="2"/>
        <v>#VALUE!</v>
      </c>
      <c r="I19" s="31" t="e">
        <f t="shared" ca="1" si="2"/>
        <v>#VALUE!</v>
      </c>
      <c r="J19" s="31" t="e">
        <f t="shared" ca="1" si="2"/>
        <v>#VALUE!</v>
      </c>
      <c r="K19" s="31" t="e">
        <f t="shared" ca="1" si="2"/>
        <v>#VALUE!</v>
      </c>
      <c r="M19" s="23"/>
    </row>
    <row r="20" spans="1:28" ht="15.6" customHeight="1" x14ac:dyDescent="0.25">
      <c r="B20" s="160"/>
      <c r="C20" s="30" t="s">
        <v>177</v>
      </c>
      <c r="D20" s="30" t="s">
        <v>161</v>
      </c>
      <c r="E20" s="31" t="e">
        <f t="shared" ca="1" si="1"/>
        <v>#VALUE!</v>
      </c>
      <c r="F20" s="31" t="e">
        <f t="shared" ca="1" si="2"/>
        <v>#VALUE!</v>
      </c>
      <c r="G20" s="31" t="e">
        <f t="shared" ca="1" si="2"/>
        <v>#VALUE!</v>
      </c>
      <c r="H20" s="31" t="e">
        <f t="shared" ca="1" si="2"/>
        <v>#VALUE!</v>
      </c>
      <c r="I20" s="31" t="e">
        <f t="shared" ca="1" si="2"/>
        <v>#VALUE!</v>
      </c>
      <c r="J20" s="31" t="e">
        <f t="shared" ca="1" si="2"/>
        <v>#VALUE!</v>
      </c>
      <c r="K20" s="31" t="e">
        <f t="shared" ca="1" si="2"/>
        <v>#VALUE!</v>
      </c>
      <c r="M20" s="24"/>
    </row>
    <row r="21" spans="1:28" ht="15.6" customHeight="1" x14ac:dyDescent="0.25">
      <c r="B21" s="160"/>
      <c r="C21" s="30" t="s">
        <v>178</v>
      </c>
      <c r="D21" s="30" t="s">
        <v>162</v>
      </c>
      <c r="E21" s="31" t="e">
        <f t="shared" ca="1" si="1"/>
        <v>#VALUE!</v>
      </c>
      <c r="F21" s="31" t="e">
        <f t="shared" ca="1" si="2"/>
        <v>#VALUE!</v>
      </c>
      <c r="G21" s="31" t="e">
        <f t="shared" ca="1" si="2"/>
        <v>#VALUE!</v>
      </c>
      <c r="H21" s="31" t="e">
        <f t="shared" ca="1" si="2"/>
        <v>#VALUE!</v>
      </c>
      <c r="I21" s="31" t="e">
        <f t="shared" ca="1" si="2"/>
        <v>#VALUE!</v>
      </c>
      <c r="J21" s="31" t="e">
        <f t="shared" ca="1" si="2"/>
        <v>#VALUE!</v>
      </c>
      <c r="K21" s="31" t="e">
        <f t="shared" ca="1" si="2"/>
        <v>#VALUE!</v>
      </c>
      <c r="M21" s="24"/>
    </row>
    <row r="22" spans="1:28" ht="15.6" customHeight="1" x14ac:dyDescent="0.25">
      <c r="B22" s="160"/>
      <c r="C22" s="30" t="s">
        <v>179</v>
      </c>
      <c r="D22" s="30" t="s">
        <v>163</v>
      </c>
      <c r="E22" s="31" t="e">
        <f t="shared" ca="1" si="1"/>
        <v>#VALUE!</v>
      </c>
      <c r="F22" s="31" t="e">
        <f t="shared" ca="1" si="2"/>
        <v>#VALUE!</v>
      </c>
      <c r="G22" s="31" t="e">
        <f t="shared" ca="1" si="2"/>
        <v>#VALUE!</v>
      </c>
      <c r="H22" s="31" t="e">
        <f t="shared" ca="1" si="2"/>
        <v>#VALUE!</v>
      </c>
      <c r="I22" s="31" t="e">
        <f t="shared" ca="1" si="2"/>
        <v>#VALUE!</v>
      </c>
      <c r="J22" s="31" t="e">
        <f t="shared" ca="1" si="2"/>
        <v>#VALUE!</v>
      </c>
      <c r="K22" s="31" t="e">
        <f t="shared" ca="1" si="2"/>
        <v>#VALUE!</v>
      </c>
      <c r="M22" s="24"/>
    </row>
    <row r="23" spans="1:28" ht="15.6" customHeight="1" x14ac:dyDescent="0.25">
      <c r="B23" s="160"/>
      <c r="C23" s="30" t="s">
        <v>180</v>
      </c>
      <c r="D23" s="30" t="s">
        <v>164</v>
      </c>
      <c r="E23" s="31" t="e">
        <f t="shared" ca="1" si="1"/>
        <v>#VALUE!</v>
      </c>
      <c r="F23" s="31" t="e">
        <f t="shared" ca="1" si="2"/>
        <v>#VALUE!</v>
      </c>
      <c r="G23" s="31" t="e">
        <f t="shared" ca="1" si="2"/>
        <v>#VALUE!</v>
      </c>
      <c r="H23" s="31" t="e">
        <f t="shared" ca="1" si="2"/>
        <v>#VALUE!</v>
      </c>
      <c r="I23" s="31" t="e">
        <f t="shared" ca="1" si="2"/>
        <v>#VALUE!</v>
      </c>
      <c r="J23" s="31" t="e">
        <f t="shared" ca="1" si="2"/>
        <v>#VALUE!</v>
      </c>
      <c r="K23" s="31" t="e">
        <f t="shared" ca="1" si="2"/>
        <v>#VALUE!</v>
      </c>
      <c r="M23" s="24"/>
    </row>
    <row r="24" spans="1:28" ht="15.6" customHeight="1" x14ac:dyDescent="0.25">
      <c r="B24" s="161"/>
      <c r="C24" s="32" t="s">
        <v>184</v>
      </c>
      <c r="D24" s="32" t="s">
        <v>165</v>
      </c>
      <c r="E24" s="33" t="e">
        <f t="shared" ca="1" si="1"/>
        <v>#VALUE!</v>
      </c>
      <c r="F24" s="33" t="e">
        <f t="shared" ca="1" si="1"/>
        <v>#VALUE!</v>
      </c>
      <c r="G24" s="33" t="e">
        <f t="shared" ca="1" si="1"/>
        <v>#VALUE!</v>
      </c>
      <c r="H24" s="33" t="e">
        <f t="shared" ca="1" si="1"/>
        <v>#VALUE!</v>
      </c>
      <c r="I24" s="33" t="e">
        <f t="shared" ca="1" si="1"/>
        <v>#VALUE!</v>
      </c>
      <c r="J24" s="33" t="e">
        <f t="shared" ca="1" si="1"/>
        <v>#VALUE!</v>
      </c>
      <c r="K24" s="33" t="e">
        <f t="shared" ca="1" si="1"/>
        <v>#VALUE!</v>
      </c>
      <c r="M24" s="24"/>
    </row>
    <row r="25" spans="1:28" ht="15.6" customHeight="1" x14ac:dyDescent="0.25">
      <c r="B25" s="34" t="s">
        <v>172</v>
      </c>
      <c r="C25" s="29"/>
      <c r="D25" s="35" t="s">
        <v>149</v>
      </c>
      <c r="E25" s="37" t="e">
        <f t="shared" ref="E25:K25" ca="1" si="6">Output("SCEN_ADEMEhaut",$D25,E$5)</f>
        <v>#VALUE!</v>
      </c>
      <c r="F25" s="37" t="e">
        <f t="shared" ca="1" si="6"/>
        <v>#VALUE!</v>
      </c>
      <c r="G25" s="37" t="e">
        <f t="shared" ca="1" si="6"/>
        <v>#VALUE!</v>
      </c>
      <c r="H25" s="37" t="e">
        <f t="shared" ca="1" si="6"/>
        <v>#VALUE!</v>
      </c>
      <c r="I25" s="37" t="e">
        <f t="shared" ca="1" si="6"/>
        <v>#VALUE!</v>
      </c>
      <c r="J25" s="37" t="e">
        <f t="shared" ca="1" si="6"/>
        <v>#VALUE!</v>
      </c>
      <c r="K25" s="37" t="e">
        <f t="shared" ca="1" si="6"/>
        <v>#VALUE!</v>
      </c>
      <c r="M25" s="24"/>
    </row>
    <row r="26" spans="1:28" ht="15.6" customHeight="1" x14ac:dyDescent="0.25">
      <c r="B26" s="28" t="s">
        <v>166</v>
      </c>
      <c r="C26" s="29"/>
      <c r="D26" s="29"/>
      <c r="E26" s="39" t="e">
        <f ca="1">SUM(E6,E9,E18,E25)</f>
        <v>#VALUE!</v>
      </c>
      <c r="F26" s="39" t="e">
        <f t="shared" ref="F26:K26" ca="1" si="7">SUM(F6,F9,F18,F25)</f>
        <v>#VALUE!</v>
      </c>
      <c r="G26" s="39" t="e">
        <f t="shared" ca="1" si="7"/>
        <v>#VALUE!</v>
      </c>
      <c r="H26" s="39" t="e">
        <f t="shared" ca="1" si="7"/>
        <v>#VALUE!</v>
      </c>
      <c r="I26" s="39" t="e">
        <f t="shared" ca="1" si="7"/>
        <v>#VALUE!</v>
      </c>
      <c r="J26" s="39" t="e">
        <f t="shared" ca="1" si="7"/>
        <v>#VALUE!</v>
      </c>
      <c r="K26" s="39" t="e">
        <f t="shared" ca="1" si="7"/>
        <v>#VALUE!</v>
      </c>
    </row>
    <row r="27" spans="1:28" ht="17.45" customHeight="1" x14ac:dyDescent="0.35">
      <c r="A27" s="38"/>
      <c r="B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</row>
    <row r="28" spans="1:28" ht="23.25" x14ac:dyDescent="0.35">
      <c r="B28" s="38" t="s">
        <v>187</v>
      </c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</row>
    <row r="29" spans="1:28" ht="15" customHeight="1" x14ac:dyDescent="0.35">
      <c r="A29" s="38"/>
      <c r="B29" s="25"/>
      <c r="N29" s="158" t="s">
        <v>292</v>
      </c>
      <c r="O29" s="158"/>
      <c r="Q29" s="75"/>
      <c r="R29" s="75"/>
      <c r="S29" s="75"/>
      <c r="T29" s="75"/>
      <c r="U29" s="75"/>
      <c r="V29" s="75"/>
      <c r="W29" s="75"/>
      <c r="X29" s="75"/>
      <c r="Y29" s="75"/>
      <c r="Z29" s="25"/>
      <c r="AA29" s="25"/>
      <c r="AB29" s="25"/>
    </row>
    <row r="30" spans="1:28" x14ac:dyDescent="0.25">
      <c r="B30" s="29"/>
      <c r="C30" s="29"/>
      <c r="D30" s="26"/>
      <c r="E30" s="27">
        <v>2006</v>
      </c>
      <c r="F30" s="27">
        <v>2010</v>
      </c>
      <c r="G30" s="27">
        <v>2015</v>
      </c>
      <c r="H30" s="27">
        <v>2020</v>
      </c>
      <c r="I30" s="27">
        <v>2030</v>
      </c>
      <c r="J30" s="27">
        <v>2040</v>
      </c>
      <c r="K30" s="27">
        <v>2050</v>
      </c>
      <c r="N30" s="62">
        <v>2030</v>
      </c>
      <c r="O30" s="62">
        <v>2050</v>
      </c>
      <c r="Q30" s="75"/>
      <c r="R30" s="124"/>
      <c r="S30" s="124"/>
      <c r="T30" s="124"/>
      <c r="U30" s="124"/>
      <c r="V30" s="124"/>
      <c r="W30" s="124"/>
      <c r="X30" s="124"/>
      <c r="Y30" s="75"/>
      <c r="Z30" s="25"/>
      <c r="AA30" s="25"/>
      <c r="AB30" s="25"/>
    </row>
    <row r="31" spans="1:28" ht="15.75" x14ac:dyDescent="0.25">
      <c r="B31" s="159" t="s">
        <v>181</v>
      </c>
      <c r="C31" s="28" t="s">
        <v>166</v>
      </c>
      <c r="D31" s="29"/>
      <c r="E31" s="36" t="e">
        <f ca="1">SUM(E32:E33)</f>
        <v>#VALUE!</v>
      </c>
      <c r="F31" s="36" t="e">
        <f t="shared" ref="F31" ca="1" si="8">SUM(F32:F33)</f>
        <v>#VALUE!</v>
      </c>
      <c r="G31" s="36" t="e">
        <f t="shared" ref="G31" ca="1" si="9">SUM(G32:G33)</f>
        <v>#VALUE!</v>
      </c>
      <c r="H31" s="36" t="e">
        <f t="shared" ref="H31" ca="1" si="10">SUM(H32:H33)</f>
        <v>#VALUE!</v>
      </c>
      <c r="I31" s="36" t="e">
        <f t="shared" ref="I31" ca="1" si="11">SUM(I32:I33)</f>
        <v>#VALUE!</v>
      </c>
      <c r="J31" s="36" t="e">
        <f t="shared" ref="J31" ca="1" si="12">SUM(J32:J33)</f>
        <v>#VALUE!</v>
      </c>
      <c r="K31" s="36" t="e">
        <f t="shared" ref="K31" ca="1" si="13">SUM(K32:K33)</f>
        <v>#VALUE!</v>
      </c>
      <c r="N31" s="63">
        <f>SUM(N32:N33)</f>
        <v>45.177657163185373</v>
      </c>
      <c r="O31" s="63">
        <f>SUM(O32:O33)</f>
        <v>14.959933713906784</v>
      </c>
      <c r="Q31" s="23"/>
      <c r="R31" s="95"/>
      <c r="S31" s="95"/>
      <c r="T31" s="95"/>
      <c r="U31" s="95"/>
      <c r="V31" s="95"/>
      <c r="W31" s="95"/>
      <c r="X31" s="95"/>
      <c r="Y31" s="75"/>
      <c r="Z31" s="25"/>
      <c r="AA31" s="25"/>
      <c r="AB31" s="25"/>
    </row>
    <row r="32" spans="1:28" ht="15.75" x14ac:dyDescent="0.25">
      <c r="B32" s="160"/>
      <c r="C32" s="30" t="s">
        <v>182</v>
      </c>
      <c r="D32" s="30" t="s">
        <v>188</v>
      </c>
      <c r="E32" s="31" t="e">
        <f t="shared" ref="E32:K49" ca="1" si="14">Output("SCEN_ADEMEhaut",$D32,E$5)</f>
        <v>#VALUE!</v>
      </c>
      <c r="F32" s="31" t="e">
        <f t="shared" ca="1" si="14"/>
        <v>#VALUE!</v>
      </c>
      <c r="G32" s="31" t="e">
        <f t="shared" ca="1" si="14"/>
        <v>#VALUE!</v>
      </c>
      <c r="H32" s="31" t="e">
        <f t="shared" ca="1" si="14"/>
        <v>#VALUE!</v>
      </c>
      <c r="I32" s="31" t="e">
        <f t="shared" ca="1" si="14"/>
        <v>#VALUE!</v>
      </c>
      <c r="J32" s="31" t="e">
        <f t="shared" ca="1" si="14"/>
        <v>#VALUE!</v>
      </c>
      <c r="K32" s="31" t="e">
        <f t="shared" ca="1" si="14"/>
        <v>#VALUE!</v>
      </c>
      <c r="N32" s="61">
        <v>42.177657163185373</v>
      </c>
      <c r="O32" s="61">
        <v>5.9074343177858619</v>
      </c>
      <c r="Q32" s="23"/>
      <c r="R32" s="125"/>
      <c r="S32" s="125"/>
      <c r="T32" s="125"/>
      <c r="U32" s="125"/>
      <c r="V32" s="125"/>
      <c r="W32" s="125"/>
      <c r="X32" s="125"/>
      <c r="Y32" s="25"/>
      <c r="Z32" s="25"/>
      <c r="AA32" s="25"/>
      <c r="AB32" s="25"/>
    </row>
    <row r="33" spans="2:28" ht="15.75" x14ac:dyDescent="0.25">
      <c r="B33" s="161"/>
      <c r="C33" s="32" t="s">
        <v>183</v>
      </c>
      <c r="D33" s="32" t="s">
        <v>189</v>
      </c>
      <c r="E33" s="33" t="e">
        <f t="shared" ca="1" si="14"/>
        <v>#VALUE!</v>
      </c>
      <c r="F33" s="33" t="e">
        <f t="shared" ca="1" si="14"/>
        <v>#VALUE!</v>
      </c>
      <c r="G33" s="33" t="e">
        <f t="shared" ca="1" si="14"/>
        <v>#VALUE!</v>
      </c>
      <c r="H33" s="33" t="e">
        <f t="shared" ca="1" si="14"/>
        <v>#VALUE!</v>
      </c>
      <c r="I33" s="33" t="e">
        <f t="shared" ca="1" si="14"/>
        <v>#VALUE!</v>
      </c>
      <c r="J33" s="33" t="e">
        <f t="shared" ca="1" si="14"/>
        <v>#VALUE!</v>
      </c>
      <c r="K33" s="33" t="e">
        <f t="shared" ca="1" si="14"/>
        <v>#VALUE!</v>
      </c>
      <c r="N33" s="61">
        <v>3</v>
      </c>
      <c r="O33" s="61">
        <v>9.0524993961209219</v>
      </c>
      <c r="Q33" s="23"/>
      <c r="R33" s="125"/>
      <c r="S33" s="125"/>
      <c r="T33" s="125"/>
      <c r="U33" s="125"/>
      <c r="V33" s="125"/>
      <c r="W33" s="125"/>
      <c r="X33" s="125"/>
      <c r="Y33" s="25"/>
      <c r="Z33" s="25"/>
      <c r="AA33" s="25"/>
      <c r="AB33" s="25"/>
    </row>
    <row r="34" spans="2:28" ht="15.75" x14ac:dyDescent="0.25">
      <c r="B34" s="159" t="s">
        <v>167</v>
      </c>
      <c r="C34" s="28" t="s">
        <v>166</v>
      </c>
      <c r="D34" s="29"/>
      <c r="E34" s="37" t="e">
        <f ca="1">SUM(E35:E42)</f>
        <v>#VALUE!</v>
      </c>
      <c r="F34" s="37" t="e">
        <f t="shared" ref="F34" ca="1" si="15">SUM(F35:F42)</f>
        <v>#VALUE!</v>
      </c>
      <c r="G34" s="37" t="e">
        <f t="shared" ref="G34" ca="1" si="16">SUM(G35:G42)</f>
        <v>#VALUE!</v>
      </c>
      <c r="H34" s="37" t="e">
        <f t="shared" ref="H34" ca="1" si="17">SUM(H35:H42)</f>
        <v>#VALUE!</v>
      </c>
      <c r="I34" s="37" t="e">
        <f t="shared" ref="I34" ca="1" si="18">SUM(I35:I42)</f>
        <v>#VALUE!</v>
      </c>
      <c r="J34" s="37" t="e">
        <f t="shared" ref="J34" ca="1" si="19">SUM(J35:J42)</f>
        <v>#VALUE!</v>
      </c>
      <c r="K34" s="37" t="e">
        <f t="shared" ref="K34" ca="1" si="20">SUM(K35:K42)</f>
        <v>#VALUE!</v>
      </c>
      <c r="N34" s="63">
        <v>81.501229134513537</v>
      </c>
      <c r="O34" s="63">
        <v>81.501229134513551</v>
      </c>
      <c r="Q34" s="23"/>
      <c r="R34" s="125"/>
      <c r="S34" s="125"/>
      <c r="T34" s="125"/>
      <c r="U34" s="125"/>
      <c r="V34" s="125"/>
      <c r="W34" s="125"/>
      <c r="X34" s="125"/>
      <c r="Y34" s="25"/>
      <c r="Z34" s="25"/>
      <c r="AA34" s="25"/>
      <c r="AB34" s="25"/>
    </row>
    <row r="35" spans="2:28" ht="15.75" x14ac:dyDescent="0.25">
      <c r="B35" s="160"/>
      <c r="C35" s="30" t="s">
        <v>169</v>
      </c>
      <c r="D35" s="30" t="s">
        <v>190</v>
      </c>
      <c r="E35" s="31" t="e">
        <f t="shared" ref="E35:K42" ca="1" si="21">Output("SCEN_ADEMEhaut",$D35,E$5)</f>
        <v>#VALUE!</v>
      </c>
      <c r="F35" s="31" t="e">
        <f t="shared" ca="1" si="21"/>
        <v>#VALUE!</v>
      </c>
      <c r="G35" s="31" t="e">
        <f t="shared" ca="1" si="21"/>
        <v>#VALUE!</v>
      </c>
      <c r="H35" s="31" t="e">
        <f t="shared" ca="1" si="21"/>
        <v>#VALUE!</v>
      </c>
      <c r="I35" s="31" t="e">
        <f t="shared" ca="1" si="21"/>
        <v>#VALUE!</v>
      </c>
      <c r="J35" s="31" t="e">
        <f t="shared" ca="1" si="21"/>
        <v>#VALUE!</v>
      </c>
      <c r="K35" s="31" t="e">
        <f t="shared" ca="1" si="21"/>
        <v>#VALUE!</v>
      </c>
      <c r="N35" s="61">
        <v>56.131084863562776</v>
      </c>
      <c r="O35" s="61">
        <v>56.131084863562776</v>
      </c>
      <c r="Q35" s="23"/>
      <c r="R35" s="125"/>
      <c r="S35" s="125"/>
      <c r="T35" s="125"/>
      <c r="U35" s="125"/>
      <c r="V35" s="125"/>
      <c r="W35" s="125"/>
      <c r="X35" s="125"/>
      <c r="Y35" s="25"/>
      <c r="Z35" s="25"/>
      <c r="AA35" s="25"/>
      <c r="AB35" s="25"/>
    </row>
    <row r="36" spans="2:28" ht="15.75" x14ac:dyDescent="0.25">
      <c r="B36" s="160"/>
      <c r="C36" s="30" t="s">
        <v>170</v>
      </c>
      <c r="D36" s="30" t="s">
        <v>191</v>
      </c>
      <c r="E36" s="31" t="e">
        <f t="shared" ca="1" si="21"/>
        <v>#VALUE!</v>
      </c>
      <c r="F36" s="31" t="e">
        <f t="shared" ca="1" si="21"/>
        <v>#VALUE!</v>
      </c>
      <c r="G36" s="31" t="e">
        <f t="shared" ca="1" si="21"/>
        <v>#VALUE!</v>
      </c>
      <c r="H36" s="31" t="e">
        <f t="shared" ca="1" si="21"/>
        <v>#VALUE!</v>
      </c>
      <c r="I36" s="31" t="e">
        <f t="shared" ca="1" si="21"/>
        <v>#VALUE!</v>
      </c>
      <c r="J36" s="31" t="e">
        <f t="shared" ca="1" si="21"/>
        <v>#VALUE!</v>
      </c>
      <c r="K36" s="31" t="e">
        <f t="shared" ca="1" si="21"/>
        <v>#VALUE!</v>
      </c>
      <c r="N36" s="61">
        <v>0.1</v>
      </c>
      <c r="O36" s="61">
        <v>0.1</v>
      </c>
      <c r="Q36" s="23"/>
      <c r="R36" s="125"/>
      <c r="S36" s="125"/>
      <c r="T36" s="125"/>
      <c r="U36" s="125"/>
      <c r="V36" s="125"/>
      <c r="W36" s="125"/>
      <c r="X36" s="125"/>
      <c r="Y36" s="25"/>
      <c r="Z36" s="25"/>
      <c r="AA36" s="25"/>
      <c r="AB36" s="25"/>
    </row>
    <row r="37" spans="2:28" ht="15.75" x14ac:dyDescent="0.25">
      <c r="B37" s="160"/>
      <c r="C37" s="30" t="s">
        <v>171</v>
      </c>
      <c r="D37" s="30" t="s">
        <v>192</v>
      </c>
      <c r="E37" s="31" t="e">
        <f t="shared" ca="1" si="21"/>
        <v>#VALUE!</v>
      </c>
      <c r="F37" s="31" t="e">
        <f t="shared" ca="1" si="21"/>
        <v>#VALUE!</v>
      </c>
      <c r="G37" s="31" t="e">
        <f t="shared" ca="1" si="21"/>
        <v>#VALUE!</v>
      </c>
      <c r="H37" s="31" t="e">
        <f t="shared" ca="1" si="21"/>
        <v>#VALUE!</v>
      </c>
      <c r="I37" s="31" t="e">
        <f t="shared" ca="1" si="21"/>
        <v>#VALUE!</v>
      </c>
      <c r="J37" s="31" t="e">
        <f t="shared" ca="1" si="21"/>
        <v>#VALUE!</v>
      </c>
      <c r="K37" s="31" t="e">
        <f t="shared" ca="1" si="21"/>
        <v>#VALUE!</v>
      </c>
      <c r="N37" s="61">
        <v>3.127205211270581</v>
      </c>
      <c r="O37" s="61">
        <v>3.636046941717455</v>
      </c>
      <c r="Q37" s="24"/>
      <c r="R37" s="123"/>
      <c r="S37" s="123"/>
      <c r="T37" s="123"/>
      <c r="U37" s="123"/>
      <c r="V37" s="123"/>
      <c r="W37" s="123"/>
      <c r="X37" s="123"/>
    </row>
    <row r="38" spans="2:28" x14ac:dyDescent="0.25">
      <c r="B38" s="160"/>
      <c r="C38" s="30" t="s">
        <v>172</v>
      </c>
      <c r="D38" s="30" t="s">
        <v>193</v>
      </c>
      <c r="E38" s="31" t="e">
        <f t="shared" ca="1" si="21"/>
        <v>#VALUE!</v>
      </c>
      <c r="F38" s="31" t="e">
        <f t="shared" ca="1" si="21"/>
        <v>#VALUE!</v>
      </c>
      <c r="G38" s="31" t="e">
        <f t="shared" ca="1" si="21"/>
        <v>#VALUE!</v>
      </c>
      <c r="H38" s="31" t="e">
        <f t="shared" ca="1" si="21"/>
        <v>#VALUE!</v>
      </c>
      <c r="I38" s="31" t="e">
        <f t="shared" ca="1" si="21"/>
        <v>#VALUE!</v>
      </c>
      <c r="J38" s="31" t="e">
        <f t="shared" ca="1" si="21"/>
        <v>#VALUE!</v>
      </c>
      <c r="K38" s="31" t="e">
        <f t="shared" ca="1" si="21"/>
        <v>#VALUE!</v>
      </c>
      <c r="N38" s="61">
        <v>0.1</v>
      </c>
      <c r="O38" s="61">
        <v>0.1</v>
      </c>
    </row>
    <row r="39" spans="2:28" x14ac:dyDescent="0.25">
      <c r="B39" s="160"/>
      <c r="C39" s="30" t="s">
        <v>173</v>
      </c>
      <c r="D39" s="30" t="s">
        <v>194</v>
      </c>
      <c r="E39" s="31" t="e">
        <f t="shared" ca="1" si="21"/>
        <v>#VALUE!</v>
      </c>
      <c r="F39" s="31" t="e">
        <f t="shared" ca="1" si="21"/>
        <v>#VALUE!</v>
      </c>
      <c r="G39" s="31" t="e">
        <f t="shared" ca="1" si="21"/>
        <v>#VALUE!</v>
      </c>
      <c r="H39" s="31" t="e">
        <f t="shared" ca="1" si="21"/>
        <v>#VALUE!</v>
      </c>
      <c r="I39" s="31" t="e">
        <f t="shared" ca="1" si="21"/>
        <v>#VALUE!</v>
      </c>
      <c r="J39" s="31" t="e">
        <f t="shared" ca="1" si="21"/>
        <v>#VALUE!</v>
      </c>
      <c r="K39" s="31" t="e">
        <f t="shared" ca="1" si="21"/>
        <v>#VALUE!</v>
      </c>
      <c r="N39" s="61">
        <v>9.0030751928350714</v>
      </c>
      <c r="O39" s="61">
        <v>8.5670068273012685</v>
      </c>
    </row>
    <row r="40" spans="2:28" x14ac:dyDescent="0.25">
      <c r="B40" s="160"/>
      <c r="C40" s="30" t="s">
        <v>174</v>
      </c>
      <c r="D40" s="30" t="s">
        <v>195</v>
      </c>
      <c r="E40" s="31" t="e">
        <f t="shared" ca="1" si="21"/>
        <v>#VALUE!</v>
      </c>
      <c r="F40" s="31" t="e">
        <f t="shared" ca="1" si="21"/>
        <v>#VALUE!</v>
      </c>
      <c r="G40" s="31" t="e">
        <f t="shared" ca="1" si="21"/>
        <v>#VALUE!</v>
      </c>
      <c r="H40" s="31" t="e">
        <f t="shared" ca="1" si="21"/>
        <v>#VALUE!</v>
      </c>
      <c r="I40" s="31" t="e">
        <f t="shared" ca="1" si="21"/>
        <v>#VALUE!</v>
      </c>
      <c r="J40" s="31" t="e">
        <f t="shared" ca="1" si="21"/>
        <v>#VALUE!</v>
      </c>
      <c r="K40" s="31" t="e">
        <f t="shared" ca="1" si="21"/>
        <v>#VALUE!</v>
      </c>
      <c r="N40" s="61">
        <v>3.395930634245548</v>
      </c>
      <c r="O40" s="61">
        <v>3.395930634245548</v>
      </c>
    </row>
    <row r="41" spans="2:28" x14ac:dyDescent="0.25">
      <c r="B41" s="160"/>
      <c r="C41" s="30" t="s">
        <v>175</v>
      </c>
      <c r="D41" s="30" t="s">
        <v>196</v>
      </c>
      <c r="E41" s="31" t="e">
        <f t="shared" ca="1" si="21"/>
        <v>#VALUE!</v>
      </c>
      <c r="F41" s="31" t="e">
        <f t="shared" ca="1" si="21"/>
        <v>#VALUE!</v>
      </c>
      <c r="G41" s="31" t="e">
        <f t="shared" ca="1" si="21"/>
        <v>#VALUE!</v>
      </c>
      <c r="H41" s="31" t="e">
        <f t="shared" ca="1" si="21"/>
        <v>#VALUE!</v>
      </c>
      <c r="I41" s="31" t="e">
        <f t="shared" ca="1" si="21"/>
        <v>#VALUE!</v>
      </c>
      <c r="J41" s="31" t="e">
        <f t="shared" ca="1" si="21"/>
        <v>#VALUE!</v>
      </c>
      <c r="K41" s="31" t="e">
        <f t="shared" ca="1" si="21"/>
        <v>#VALUE!</v>
      </c>
      <c r="N41" s="61">
        <v>4.0650833296752955</v>
      </c>
      <c r="O41" s="61">
        <v>4.5011516952090984</v>
      </c>
    </row>
    <row r="42" spans="2:28" x14ac:dyDescent="0.25">
      <c r="B42" s="161"/>
      <c r="C42" s="32" t="s">
        <v>184</v>
      </c>
      <c r="D42" s="32" t="s">
        <v>197</v>
      </c>
      <c r="E42" s="33" t="e">
        <f t="shared" ca="1" si="21"/>
        <v>#VALUE!</v>
      </c>
      <c r="F42" s="33" t="e">
        <f t="shared" ca="1" si="21"/>
        <v>#VALUE!</v>
      </c>
      <c r="G42" s="33" t="e">
        <f t="shared" ca="1" si="21"/>
        <v>#VALUE!</v>
      </c>
      <c r="H42" s="33" t="e">
        <f t="shared" ca="1" si="21"/>
        <v>#VALUE!</v>
      </c>
      <c r="I42" s="33" t="e">
        <f t="shared" ca="1" si="21"/>
        <v>#VALUE!</v>
      </c>
      <c r="J42" s="33" t="e">
        <f t="shared" ca="1" si="21"/>
        <v>#VALUE!</v>
      </c>
      <c r="K42" s="33" t="e">
        <f t="shared" ca="1" si="21"/>
        <v>#VALUE!</v>
      </c>
      <c r="N42" s="61">
        <v>5.5788499029242757</v>
      </c>
      <c r="O42" s="61">
        <v>5.0700081724774018</v>
      </c>
    </row>
    <row r="43" spans="2:28" x14ac:dyDescent="0.25">
      <c r="B43" s="159" t="s">
        <v>168</v>
      </c>
      <c r="C43" s="28" t="s">
        <v>166</v>
      </c>
      <c r="D43" s="29"/>
      <c r="E43" s="37" t="e">
        <f ca="1">SUM(E44:E49)</f>
        <v>#VALUE!</v>
      </c>
      <c r="F43" s="37" t="e">
        <f t="shared" ref="F43" ca="1" si="22">SUM(F44:F49)</f>
        <v>#VALUE!</v>
      </c>
      <c r="G43" s="37" t="e">
        <f t="shared" ref="G43" ca="1" si="23">SUM(G44:G49)</f>
        <v>#VALUE!</v>
      </c>
      <c r="H43" s="37" t="e">
        <f t="shared" ref="H43" ca="1" si="24">SUM(H44:H49)</f>
        <v>#VALUE!</v>
      </c>
      <c r="I43" s="37" t="e">
        <f t="shared" ref="I43" ca="1" si="25">SUM(I44:I49)</f>
        <v>#VALUE!</v>
      </c>
      <c r="J43" s="37" t="e">
        <f t="shared" ref="J43" ca="1" si="26">SUM(J44:J49)</f>
        <v>#VALUE!</v>
      </c>
      <c r="K43" s="37" t="e">
        <f t="shared" ref="K43" ca="1" si="27">SUM(K44:K49)</f>
        <v>#VALUE!</v>
      </c>
      <c r="N43" s="63">
        <f>SUM(N44:N49)</f>
        <v>46.019704433604261</v>
      </c>
      <c r="O43" s="63">
        <f>SUM(O44:O49)</f>
        <v>34.394545723098574</v>
      </c>
    </row>
    <row r="44" spans="2:28" x14ac:dyDescent="0.25">
      <c r="B44" s="160"/>
      <c r="C44" s="30" t="s">
        <v>176</v>
      </c>
      <c r="D44" s="30" t="s">
        <v>198</v>
      </c>
      <c r="E44" s="31" t="e">
        <f t="shared" ca="1" si="14"/>
        <v>#VALUE!</v>
      </c>
      <c r="F44" s="31" t="e">
        <f t="shared" ca="1" si="14"/>
        <v>#VALUE!</v>
      </c>
      <c r="G44" s="31" t="e">
        <f t="shared" ca="1" si="14"/>
        <v>#VALUE!</v>
      </c>
      <c r="H44" s="31" t="e">
        <f t="shared" ca="1" si="14"/>
        <v>#VALUE!</v>
      </c>
      <c r="I44" s="31" t="e">
        <f t="shared" ca="1" si="14"/>
        <v>#VALUE!</v>
      </c>
      <c r="J44" s="31" t="e">
        <f t="shared" ca="1" si="14"/>
        <v>#VALUE!</v>
      </c>
      <c r="K44" s="31" t="e">
        <f t="shared" ca="1" si="14"/>
        <v>#VALUE!</v>
      </c>
      <c r="N44" s="61">
        <v>20.547703475070914</v>
      </c>
      <c r="O44" s="61">
        <v>8.2946610514039616</v>
      </c>
    </row>
    <row r="45" spans="2:28" x14ac:dyDescent="0.25">
      <c r="B45" s="160"/>
      <c r="C45" s="30" t="s">
        <v>177</v>
      </c>
      <c r="D45" s="30" t="s">
        <v>199</v>
      </c>
      <c r="E45" s="31" t="e">
        <f t="shared" ca="1" si="14"/>
        <v>#VALUE!</v>
      </c>
      <c r="F45" s="31" t="e">
        <f t="shared" ca="1" si="14"/>
        <v>#VALUE!</v>
      </c>
      <c r="G45" s="31" t="e">
        <f t="shared" ca="1" si="14"/>
        <v>#VALUE!</v>
      </c>
      <c r="H45" s="31" t="e">
        <f t="shared" ca="1" si="14"/>
        <v>#VALUE!</v>
      </c>
      <c r="I45" s="31" t="e">
        <f t="shared" ca="1" si="14"/>
        <v>#VALUE!</v>
      </c>
      <c r="J45" s="31" t="e">
        <f t="shared" ca="1" si="14"/>
        <v>#VALUE!</v>
      </c>
      <c r="K45" s="31" t="e">
        <f t="shared" ca="1" si="14"/>
        <v>#VALUE!</v>
      </c>
      <c r="N45" s="61">
        <v>14.087161448209969</v>
      </c>
      <c r="O45" s="61">
        <v>8.4910849563097059</v>
      </c>
    </row>
    <row r="46" spans="2:28" x14ac:dyDescent="0.25">
      <c r="B46" s="160"/>
      <c r="C46" s="30" t="s">
        <v>178</v>
      </c>
      <c r="D46" s="30" t="s">
        <v>200</v>
      </c>
      <c r="E46" s="31" t="e">
        <f t="shared" ca="1" si="14"/>
        <v>#VALUE!</v>
      </c>
      <c r="F46" s="31" t="e">
        <f t="shared" ca="1" si="14"/>
        <v>#VALUE!</v>
      </c>
      <c r="G46" s="31" t="e">
        <f t="shared" ca="1" si="14"/>
        <v>#VALUE!</v>
      </c>
      <c r="H46" s="31" t="e">
        <f t="shared" ca="1" si="14"/>
        <v>#VALUE!</v>
      </c>
      <c r="I46" s="31" t="e">
        <f t="shared" ca="1" si="14"/>
        <v>#VALUE!</v>
      </c>
      <c r="J46" s="31" t="e">
        <f t="shared" ca="1" si="14"/>
        <v>#VALUE!</v>
      </c>
      <c r="K46" s="31" t="e">
        <f t="shared" ca="1" si="14"/>
        <v>#VALUE!</v>
      </c>
      <c r="N46" s="61">
        <v>4.0434099416572211</v>
      </c>
      <c r="O46" s="61">
        <v>7.3341785671288013</v>
      </c>
    </row>
    <row r="47" spans="2:28" x14ac:dyDescent="0.25">
      <c r="B47" s="160"/>
      <c r="C47" s="30" t="s">
        <v>179</v>
      </c>
      <c r="D47" s="30" t="s">
        <v>201</v>
      </c>
      <c r="E47" s="31" t="e">
        <f t="shared" ca="1" si="14"/>
        <v>#VALUE!</v>
      </c>
      <c r="F47" s="31" t="e">
        <f t="shared" ca="1" si="14"/>
        <v>#VALUE!</v>
      </c>
      <c r="G47" s="31" t="e">
        <f t="shared" ca="1" si="14"/>
        <v>#VALUE!</v>
      </c>
      <c r="H47" s="31" t="e">
        <f t="shared" ca="1" si="14"/>
        <v>#VALUE!</v>
      </c>
      <c r="I47" s="31" t="e">
        <f t="shared" ca="1" si="14"/>
        <v>#VALUE!</v>
      </c>
      <c r="J47" s="31" t="e">
        <f t="shared" ca="1" si="14"/>
        <v>#VALUE!</v>
      </c>
      <c r="K47" s="31" t="e">
        <f t="shared" ca="1" si="14"/>
        <v>#VALUE!</v>
      </c>
      <c r="N47" s="61">
        <v>1.6351470157879655</v>
      </c>
      <c r="O47" s="61">
        <v>1.5015530473575147</v>
      </c>
    </row>
    <row r="48" spans="2:28" x14ac:dyDescent="0.25">
      <c r="B48" s="160"/>
      <c r="C48" s="30" t="s">
        <v>180</v>
      </c>
      <c r="D48" s="30" t="s">
        <v>202</v>
      </c>
      <c r="E48" s="31" t="e">
        <f t="shared" ca="1" si="14"/>
        <v>#VALUE!</v>
      </c>
      <c r="F48" s="31" t="e">
        <f t="shared" ca="1" si="14"/>
        <v>#VALUE!</v>
      </c>
      <c r="G48" s="31" t="e">
        <f t="shared" ca="1" si="14"/>
        <v>#VALUE!</v>
      </c>
      <c r="H48" s="31" t="e">
        <f t="shared" ca="1" si="14"/>
        <v>#VALUE!</v>
      </c>
      <c r="I48" s="31" t="e">
        <f t="shared" ca="1" si="14"/>
        <v>#VALUE!</v>
      </c>
      <c r="J48" s="31" t="e">
        <f t="shared" ca="1" si="14"/>
        <v>#VALUE!</v>
      </c>
      <c r="K48" s="31" t="e">
        <f t="shared" ca="1" si="14"/>
        <v>#VALUE!</v>
      </c>
      <c r="N48" s="61">
        <v>2.5</v>
      </c>
      <c r="O48" s="61">
        <v>6.4611427691146641</v>
      </c>
    </row>
    <row r="49" spans="2:15" x14ac:dyDescent="0.25">
      <c r="B49" s="161"/>
      <c r="C49" s="32" t="s">
        <v>184</v>
      </c>
      <c r="D49" s="32" t="s">
        <v>203</v>
      </c>
      <c r="E49" s="33" t="e">
        <f t="shared" ca="1" si="14"/>
        <v>#VALUE!</v>
      </c>
      <c r="F49" s="33" t="e">
        <f t="shared" ca="1" si="14"/>
        <v>#VALUE!</v>
      </c>
      <c r="G49" s="33" t="e">
        <f t="shared" ca="1" si="14"/>
        <v>#VALUE!</v>
      </c>
      <c r="H49" s="33" t="e">
        <f t="shared" ca="1" si="14"/>
        <v>#VALUE!</v>
      </c>
      <c r="I49" s="33" t="e">
        <f t="shared" ca="1" si="14"/>
        <v>#VALUE!</v>
      </c>
      <c r="J49" s="33" t="e">
        <f t="shared" ca="1" si="14"/>
        <v>#VALUE!</v>
      </c>
      <c r="K49" s="33" t="e">
        <f t="shared" ca="1" si="14"/>
        <v>#VALUE!</v>
      </c>
      <c r="N49" s="61">
        <v>3.2062825528781849</v>
      </c>
      <c r="O49" s="61">
        <v>2.3119253317839279</v>
      </c>
    </row>
    <row r="50" spans="2:15" x14ac:dyDescent="0.25">
      <c r="B50" s="34" t="s">
        <v>172</v>
      </c>
      <c r="C50" s="29"/>
      <c r="D50" s="35" t="s">
        <v>204</v>
      </c>
      <c r="E50" s="37" t="e">
        <f t="shared" ref="E50:K50" ca="1" si="28">Output("SCEN_ADEMEhaut",$D50,E$5)</f>
        <v>#VALUE!</v>
      </c>
      <c r="F50" s="37" t="e">
        <f t="shared" ca="1" si="28"/>
        <v>#VALUE!</v>
      </c>
      <c r="G50" s="37" t="e">
        <f t="shared" ca="1" si="28"/>
        <v>#VALUE!</v>
      </c>
      <c r="H50" s="37" t="e">
        <f t="shared" ca="1" si="28"/>
        <v>#VALUE!</v>
      </c>
      <c r="I50" s="37" t="e">
        <f t="shared" ca="1" si="28"/>
        <v>#VALUE!</v>
      </c>
      <c r="J50" s="37" t="e">
        <f t="shared" ca="1" si="28"/>
        <v>#VALUE!</v>
      </c>
      <c r="K50" s="37" t="e">
        <f t="shared" ca="1" si="28"/>
        <v>#VALUE!</v>
      </c>
      <c r="N50" s="63">
        <v>5.0588131868202808</v>
      </c>
      <c r="O50" s="63">
        <v>4.0201856086575631</v>
      </c>
    </row>
    <row r="51" spans="2:15" x14ac:dyDescent="0.25">
      <c r="B51" s="28" t="s">
        <v>166</v>
      </c>
      <c r="C51" s="29"/>
      <c r="D51" s="29"/>
      <c r="E51" s="39" t="e">
        <f ca="1">SUM(E31,E34,E43,E50)</f>
        <v>#VALUE!</v>
      </c>
      <c r="F51" s="39" t="e">
        <f t="shared" ref="F51" ca="1" si="29">SUM(F31,F34,F43,F50)</f>
        <v>#VALUE!</v>
      </c>
      <c r="G51" s="39" t="e">
        <f t="shared" ref="G51" ca="1" si="30">SUM(G31,G34,G43,G50)</f>
        <v>#VALUE!</v>
      </c>
      <c r="H51" s="39" t="e">
        <f t="shared" ref="H51" ca="1" si="31">SUM(H31,H34,H43,H50)</f>
        <v>#VALUE!</v>
      </c>
      <c r="I51" s="39" t="e">
        <f t="shared" ref="I51" ca="1" si="32">SUM(I31,I34,I43,I50)</f>
        <v>#VALUE!</v>
      </c>
      <c r="J51" s="39" t="e">
        <f t="shared" ref="J51" ca="1" si="33">SUM(J31,J34,J43,J50)</f>
        <v>#VALUE!</v>
      </c>
      <c r="K51" s="39" t="e">
        <f t="shared" ref="K51" ca="1" si="34">SUM(K31,K34,K43,K50)</f>
        <v>#VALUE!</v>
      </c>
      <c r="N51" s="64">
        <v>177.75740391812343</v>
      </c>
      <c r="O51" s="64">
        <v>134.87589418017649</v>
      </c>
    </row>
  </sheetData>
  <mergeCells count="7">
    <mergeCell ref="N29:O29"/>
    <mergeCell ref="B31:B33"/>
    <mergeCell ref="B34:B42"/>
    <mergeCell ref="B43:B49"/>
    <mergeCell ref="B6:B8"/>
    <mergeCell ref="B9:B17"/>
    <mergeCell ref="B18:B24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00000"/>
  </sheetPr>
  <dimension ref="A1:AA51"/>
  <sheetViews>
    <sheetView topLeftCell="H16" workbookViewId="0">
      <selection activeCell="M55" sqref="M55"/>
    </sheetView>
  </sheetViews>
  <sheetFormatPr baseColWidth="10" defaultRowHeight="15" x14ac:dyDescent="0.25"/>
  <cols>
    <col min="3" max="3" width="16.85546875" customWidth="1"/>
    <col min="4" max="4" width="24.140625" hidden="1" customWidth="1"/>
    <col min="19" max="19" width="24.140625" customWidth="1"/>
  </cols>
  <sheetData>
    <row r="1" spans="1:27" ht="23.45" x14ac:dyDescent="0.55000000000000004">
      <c r="A1" s="38" t="s">
        <v>297</v>
      </c>
      <c r="B1" s="25"/>
    </row>
    <row r="2" spans="1:27" ht="15" customHeight="1" x14ac:dyDescent="0.55000000000000004">
      <c r="A2" s="38"/>
      <c r="B2" s="25"/>
    </row>
    <row r="3" spans="1:27" ht="23.45" x14ac:dyDescent="0.55000000000000004">
      <c r="B3" s="38" t="s">
        <v>186</v>
      </c>
    </row>
    <row r="4" spans="1:27" ht="13.5" customHeight="1" x14ac:dyDescent="0.55000000000000004">
      <c r="A4" s="38"/>
      <c r="B4" s="25"/>
    </row>
    <row r="5" spans="1:27" ht="14.45" x14ac:dyDescent="0.35">
      <c r="B5" s="29"/>
      <c r="C5" s="29"/>
      <c r="D5" s="26"/>
      <c r="E5" s="27">
        <v>2006</v>
      </c>
      <c r="F5" s="27">
        <v>2010</v>
      </c>
      <c r="G5" s="27">
        <v>2015</v>
      </c>
      <c r="H5" s="27">
        <v>2020</v>
      </c>
      <c r="I5" s="27">
        <v>2030</v>
      </c>
      <c r="J5" s="27">
        <v>2040</v>
      </c>
      <c r="K5" s="27">
        <v>2050</v>
      </c>
      <c r="M5" s="86">
        <v>2006</v>
      </c>
      <c r="N5" s="86">
        <v>2010</v>
      </c>
      <c r="O5" s="86">
        <v>2020</v>
      </c>
      <c r="P5" s="86">
        <v>2030</v>
      </c>
      <c r="Q5" s="86">
        <v>2050</v>
      </c>
      <c r="S5" s="75"/>
      <c r="T5" s="124"/>
      <c r="U5" s="124"/>
      <c r="V5" s="124"/>
      <c r="W5" s="124"/>
      <c r="X5" s="124"/>
      <c r="Y5" s="124"/>
      <c r="Z5" s="124"/>
      <c r="AA5" s="75"/>
    </row>
    <row r="6" spans="1:27" ht="15.75" x14ac:dyDescent="0.25">
      <c r="B6" s="159" t="s">
        <v>181</v>
      </c>
      <c r="C6" s="28" t="s">
        <v>166</v>
      </c>
      <c r="D6" s="29"/>
      <c r="E6" s="81" t="e">
        <f ca="1">SUM(E7:E8)</f>
        <v>#VALUE!</v>
      </c>
      <c r="F6" s="81" t="e">
        <f t="shared" ref="F6:K6" ca="1" si="0">SUM(F7:F8)</f>
        <v>#VALUE!</v>
      </c>
      <c r="G6" s="81" t="e">
        <f t="shared" ca="1" si="0"/>
        <v>#VALUE!</v>
      </c>
      <c r="H6" s="81" t="e">
        <f t="shared" ca="1" si="0"/>
        <v>#VALUE!</v>
      </c>
      <c r="I6" s="81" t="e">
        <f t="shared" ca="1" si="0"/>
        <v>#VALUE!</v>
      </c>
      <c r="J6" s="81" t="e">
        <f t="shared" ca="1" si="0"/>
        <v>#VALUE!</v>
      </c>
      <c r="K6" s="81" t="e">
        <f t="shared" ca="1" si="0"/>
        <v>#VALUE!</v>
      </c>
      <c r="M6" s="90">
        <f>SUM(M7:M8)</f>
        <v>72.689999999999984</v>
      </c>
      <c r="N6" s="90">
        <f t="shared" ref="N6" si="1">SUM(N7:N8)</f>
        <v>67.940000000000012</v>
      </c>
      <c r="O6" s="90">
        <f t="shared" ref="O6" si="2">SUM(O7:O8)</f>
        <v>0</v>
      </c>
      <c r="P6" s="90">
        <f t="shared" ref="P6" si="3">SUM(P7:P8)</f>
        <v>0</v>
      </c>
      <c r="Q6" s="90">
        <f t="shared" ref="Q6" si="4">SUM(Q7:Q8)</f>
        <v>0</v>
      </c>
      <c r="S6" s="23"/>
      <c r="T6" s="95"/>
      <c r="U6" s="95"/>
      <c r="V6" s="95"/>
      <c r="W6" s="95"/>
      <c r="X6" s="95"/>
      <c r="Y6" s="95"/>
      <c r="Z6" s="95"/>
      <c r="AA6" s="75"/>
    </row>
    <row r="7" spans="1:27" ht="15.75" x14ac:dyDescent="0.25">
      <c r="B7" s="160"/>
      <c r="C7" s="30" t="s">
        <v>182</v>
      </c>
      <c r="D7" s="30" t="s">
        <v>205</v>
      </c>
      <c r="E7" s="82" t="e">
        <f t="shared" ref="E7:K24" ca="1" si="5">Output("SCEN_ADEMEhaut",$D7,E$5)</f>
        <v>#VALUE!</v>
      </c>
      <c r="F7" s="82" t="e">
        <f t="shared" ca="1" si="5"/>
        <v>#VALUE!</v>
      </c>
      <c r="G7" s="82" t="e">
        <f t="shared" ca="1" si="5"/>
        <v>#VALUE!</v>
      </c>
      <c r="H7" s="82" t="e">
        <f t="shared" ca="1" si="5"/>
        <v>#VALUE!</v>
      </c>
      <c r="I7" s="82" t="e">
        <f t="shared" ca="1" si="5"/>
        <v>#VALUE!</v>
      </c>
      <c r="J7" s="82" t="e">
        <f t="shared" ca="1" si="5"/>
        <v>#VALUE!</v>
      </c>
      <c r="K7" s="82" t="e">
        <f t="shared" ca="1" si="5"/>
        <v>#VALUE!</v>
      </c>
      <c r="M7" s="82">
        <v>71.989999999999981</v>
      </c>
      <c r="N7" s="82">
        <v>65.540000000000006</v>
      </c>
      <c r="O7" s="82"/>
      <c r="P7" s="82"/>
      <c r="Q7" s="82"/>
      <c r="S7" s="23"/>
      <c r="T7" s="95"/>
      <c r="U7" s="95"/>
      <c r="V7" s="95"/>
      <c r="W7" s="95"/>
      <c r="X7" s="95"/>
      <c r="Y7" s="95"/>
      <c r="Z7" s="95"/>
      <c r="AA7" s="75"/>
    </row>
    <row r="8" spans="1:27" ht="15.75" x14ac:dyDescent="0.25">
      <c r="B8" s="161"/>
      <c r="C8" s="32" t="s">
        <v>183</v>
      </c>
      <c r="D8" s="32" t="s">
        <v>206</v>
      </c>
      <c r="E8" s="83" t="e">
        <f t="shared" ca="1" si="5"/>
        <v>#VALUE!</v>
      </c>
      <c r="F8" s="83" t="e">
        <f t="shared" ca="1" si="5"/>
        <v>#VALUE!</v>
      </c>
      <c r="G8" s="83" t="e">
        <f t="shared" ca="1" si="5"/>
        <v>#VALUE!</v>
      </c>
      <c r="H8" s="83" t="e">
        <f t="shared" ca="1" si="5"/>
        <v>#VALUE!</v>
      </c>
      <c r="I8" s="83" t="e">
        <f t="shared" ca="1" si="5"/>
        <v>#VALUE!</v>
      </c>
      <c r="J8" s="83" t="e">
        <f t="shared" ca="1" si="5"/>
        <v>#VALUE!</v>
      </c>
      <c r="K8" s="83" t="e">
        <f t="shared" ca="1" si="5"/>
        <v>#VALUE!</v>
      </c>
      <c r="M8" s="83">
        <v>0.7</v>
      </c>
      <c r="N8" s="83">
        <v>2.4</v>
      </c>
      <c r="O8" s="83"/>
      <c r="P8" s="83"/>
      <c r="Q8" s="83"/>
      <c r="S8" s="23"/>
      <c r="T8" s="95"/>
      <c r="U8" s="95"/>
      <c r="V8" s="95"/>
      <c r="W8" s="95"/>
      <c r="X8" s="95"/>
      <c r="Y8" s="95"/>
      <c r="Z8" s="95"/>
      <c r="AA8" s="75"/>
    </row>
    <row r="9" spans="1:27" ht="15.75" x14ac:dyDescent="0.25">
      <c r="B9" s="159" t="s">
        <v>167</v>
      </c>
      <c r="C9" s="28" t="s">
        <v>166</v>
      </c>
      <c r="D9" s="29"/>
      <c r="E9" s="84" t="e">
        <f ca="1">SUM(E10:E17)</f>
        <v>#VALUE!</v>
      </c>
      <c r="F9" s="84" t="e">
        <f t="shared" ref="F9:K9" ca="1" si="6">SUM(F10:F17)</f>
        <v>#VALUE!</v>
      </c>
      <c r="G9" s="84" t="e">
        <f t="shared" ca="1" si="6"/>
        <v>#VALUE!</v>
      </c>
      <c r="H9" s="84" t="e">
        <f t="shared" ca="1" si="6"/>
        <v>#VALUE!</v>
      </c>
      <c r="I9" s="84" t="e">
        <f t="shared" ca="1" si="6"/>
        <v>#VALUE!</v>
      </c>
      <c r="J9" s="84" t="e">
        <f t="shared" ca="1" si="6"/>
        <v>#VALUE!</v>
      </c>
      <c r="K9" s="84" t="e">
        <f t="shared" ca="1" si="6"/>
        <v>#VALUE!</v>
      </c>
      <c r="M9" s="91">
        <f>SUM(M10:M17)</f>
        <v>42.867565033981727</v>
      </c>
      <c r="N9" s="91">
        <f t="shared" ref="N9" si="7">SUM(N10:N17)</f>
        <v>45.543759081321767</v>
      </c>
      <c r="O9" s="91">
        <f t="shared" ref="O9" si="8">SUM(O10:O17)</f>
        <v>0</v>
      </c>
      <c r="P9" s="91">
        <f t="shared" ref="P9" si="9">SUM(P10:P17)</f>
        <v>0</v>
      </c>
      <c r="Q9" s="91">
        <f t="shared" ref="Q9" si="10">SUM(Q10:Q17)</f>
        <v>0</v>
      </c>
      <c r="S9" s="23"/>
      <c r="T9" s="95"/>
      <c r="U9" s="95"/>
      <c r="V9" s="95"/>
      <c r="W9" s="95"/>
      <c r="X9" s="95"/>
      <c r="Y9" s="95"/>
      <c r="Z9" s="95"/>
      <c r="AA9" s="75"/>
    </row>
    <row r="10" spans="1:27" ht="15.75" x14ac:dyDescent="0.25">
      <c r="B10" s="160"/>
      <c r="C10" s="30" t="s">
        <v>169</v>
      </c>
      <c r="D10" s="30" t="s">
        <v>207</v>
      </c>
      <c r="E10" s="82" t="e">
        <f t="shared" ref="E10:K17" ca="1" si="11">Output("SCEN_ADEMEhaut",$D10,E$5)</f>
        <v>#VALUE!</v>
      </c>
      <c r="F10" s="82" t="e">
        <f t="shared" ca="1" si="11"/>
        <v>#VALUE!</v>
      </c>
      <c r="G10" s="82" t="e">
        <f t="shared" ca="1" si="11"/>
        <v>#VALUE!</v>
      </c>
      <c r="H10" s="82" t="e">
        <f t="shared" ca="1" si="11"/>
        <v>#VALUE!</v>
      </c>
      <c r="I10" s="82" t="e">
        <f t="shared" ca="1" si="11"/>
        <v>#VALUE!</v>
      </c>
      <c r="J10" s="82" t="e">
        <f t="shared" ca="1" si="11"/>
        <v>#VALUE!</v>
      </c>
      <c r="K10" s="82" t="e">
        <f t="shared" ca="1" si="11"/>
        <v>#VALUE!</v>
      </c>
      <c r="M10" s="82">
        <v>32.6</v>
      </c>
      <c r="N10" s="82">
        <v>32.935929224279356</v>
      </c>
      <c r="O10" s="82"/>
      <c r="P10" s="82"/>
      <c r="Q10" s="82"/>
      <c r="R10" s="94"/>
      <c r="S10" s="23"/>
      <c r="T10" s="95"/>
      <c r="U10" s="95"/>
      <c r="V10" s="95"/>
      <c r="W10" s="95"/>
      <c r="X10" s="95"/>
      <c r="Y10" s="95"/>
      <c r="Z10" s="95"/>
      <c r="AA10" s="75"/>
    </row>
    <row r="11" spans="1:27" ht="15.75" x14ac:dyDescent="0.25">
      <c r="B11" s="160"/>
      <c r="C11" s="30" t="s">
        <v>170</v>
      </c>
      <c r="D11" s="30" t="s">
        <v>208</v>
      </c>
      <c r="E11" s="82" t="e">
        <f t="shared" ca="1" si="11"/>
        <v>#VALUE!</v>
      </c>
      <c r="F11" s="82" t="e">
        <f t="shared" ca="1" si="11"/>
        <v>#VALUE!</v>
      </c>
      <c r="G11" s="82" t="e">
        <f t="shared" ca="1" si="11"/>
        <v>#VALUE!</v>
      </c>
      <c r="H11" s="82" t="e">
        <f t="shared" ca="1" si="11"/>
        <v>#VALUE!</v>
      </c>
      <c r="I11" s="82" t="e">
        <f t="shared" ca="1" si="11"/>
        <v>#VALUE!</v>
      </c>
      <c r="J11" s="82" t="e">
        <f t="shared" ca="1" si="11"/>
        <v>#VALUE!</v>
      </c>
      <c r="K11" s="82" t="e">
        <f t="shared" ca="1" si="11"/>
        <v>#VALUE!</v>
      </c>
      <c r="M11" s="82">
        <v>0.62962491593350212</v>
      </c>
      <c r="N11" s="82">
        <v>0.52701615859337925</v>
      </c>
      <c r="O11" s="82"/>
      <c r="P11" s="82"/>
      <c r="Q11" s="82"/>
      <c r="R11" s="97"/>
      <c r="S11" s="23"/>
      <c r="T11" s="95"/>
      <c r="U11" s="95"/>
      <c r="V11" s="95"/>
      <c r="W11" s="95"/>
      <c r="X11" s="95"/>
      <c r="Y11" s="95"/>
      <c r="Z11" s="95"/>
      <c r="AA11" s="75"/>
    </row>
    <row r="12" spans="1:27" ht="15.75" x14ac:dyDescent="0.25">
      <c r="B12" s="160"/>
      <c r="C12" s="30" t="s">
        <v>171</v>
      </c>
      <c r="D12" s="30" t="s">
        <v>209</v>
      </c>
      <c r="E12" s="82" t="e">
        <f t="shared" ca="1" si="11"/>
        <v>#VALUE!</v>
      </c>
      <c r="F12" s="82" t="e">
        <f t="shared" ca="1" si="11"/>
        <v>#VALUE!</v>
      </c>
      <c r="G12" s="82" t="e">
        <f t="shared" ca="1" si="11"/>
        <v>#VALUE!</v>
      </c>
      <c r="H12" s="82" t="e">
        <f t="shared" ca="1" si="11"/>
        <v>#VALUE!</v>
      </c>
      <c r="I12" s="82" t="e">
        <f t="shared" ca="1" si="11"/>
        <v>#VALUE!</v>
      </c>
      <c r="J12" s="82" t="e">
        <f t="shared" ca="1" si="11"/>
        <v>#VALUE!</v>
      </c>
      <c r="K12" s="82" t="e">
        <f t="shared" ca="1" si="11"/>
        <v>#VALUE!</v>
      </c>
      <c r="M12" s="82">
        <v>1.6435062143852444</v>
      </c>
      <c r="N12" s="82">
        <v>1.9254352724847217</v>
      </c>
      <c r="O12" s="82"/>
      <c r="P12" s="82"/>
      <c r="Q12" s="82"/>
      <c r="R12" s="97"/>
      <c r="S12" s="24"/>
      <c r="T12" s="95"/>
      <c r="U12" s="95"/>
      <c r="V12" s="95"/>
      <c r="W12" s="95"/>
      <c r="X12" s="95"/>
      <c r="Y12" s="95"/>
      <c r="Z12" s="95"/>
      <c r="AA12" s="75"/>
    </row>
    <row r="13" spans="1:27" x14ac:dyDescent="0.25">
      <c r="B13" s="160"/>
      <c r="C13" s="30" t="s">
        <v>172</v>
      </c>
      <c r="D13" s="30" t="s">
        <v>210</v>
      </c>
      <c r="E13" s="82" t="e">
        <f t="shared" ca="1" si="11"/>
        <v>#VALUE!</v>
      </c>
      <c r="F13" s="82" t="e">
        <f t="shared" ca="1" si="11"/>
        <v>#VALUE!</v>
      </c>
      <c r="G13" s="82" t="e">
        <f t="shared" ca="1" si="11"/>
        <v>#VALUE!</v>
      </c>
      <c r="H13" s="82" t="e">
        <f t="shared" ca="1" si="11"/>
        <v>#VALUE!</v>
      </c>
      <c r="I13" s="82" t="e">
        <f t="shared" ca="1" si="11"/>
        <v>#VALUE!</v>
      </c>
      <c r="J13" s="82" t="e">
        <f t="shared" ca="1" si="11"/>
        <v>#VALUE!</v>
      </c>
      <c r="K13" s="82" t="e">
        <f t="shared" ca="1" si="11"/>
        <v>#VALUE!</v>
      </c>
      <c r="M13" s="82">
        <v>2.4166485743918238</v>
      </c>
      <c r="N13" s="82">
        <v>2.431579504005096</v>
      </c>
      <c r="O13" s="82"/>
      <c r="P13" s="82"/>
      <c r="Q13" s="82"/>
      <c r="R13" s="97"/>
      <c r="S13" s="98"/>
      <c r="T13" s="75"/>
      <c r="U13" s="75"/>
      <c r="V13" s="75"/>
      <c r="W13" s="75"/>
      <c r="X13" s="75"/>
      <c r="Y13" s="75"/>
      <c r="Z13" s="75"/>
      <c r="AA13" s="75"/>
    </row>
    <row r="14" spans="1:27" x14ac:dyDescent="0.25">
      <c r="B14" s="160"/>
      <c r="C14" s="30" t="s">
        <v>173</v>
      </c>
      <c r="D14" s="30" t="s">
        <v>211</v>
      </c>
      <c r="E14" s="82" t="e">
        <f t="shared" ca="1" si="11"/>
        <v>#VALUE!</v>
      </c>
      <c r="F14" s="82" t="e">
        <f t="shared" ca="1" si="11"/>
        <v>#VALUE!</v>
      </c>
      <c r="G14" s="82" t="e">
        <f t="shared" ca="1" si="11"/>
        <v>#VALUE!</v>
      </c>
      <c r="H14" s="82" t="e">
        <f t="shared" ca="1" si="11"/>
        <v>#VALUE!</v>
      </c>
      <c r="I14" s="82" t="e">
        <f t="shared" ca="1" si="11"/>
        <v>#VALUE!</v>
      </c>
      <c r="J14" s="82" t="e">
        <f t="shared" ca="1" si="11"/>
        <v>#VALUE!</v>
      </c>
      <c r="K14" s="82" t="e">
        <f t="shared" ca="1" si="11"/>
        <v>#VALUE!</v>
      </c>
      <c r="M14" s="82">
        <v>0.36075228497773609</v>
      </c>
      <c r="N14" s="82">
        <v>0.76775486290133577</v>
      </c>
      <c r="O14" s="82"/>
      <c r="P14" s="82"/>
      <c r="Q14" s="82"/>
      <c r="R14" s="99"/>
      <c r="S14" s="100"/>
      <c r="T14" s="75"/>
      <c r="U14" s="75"/>
      <c r="V14" s="75"/>
      <c r="W14" s="75"/>
      <c r="X14" s="75"/>
      <c r="Y14" s="75"/>
      <c r="Z14" s="75"/>
      <c r="AA14" s="75"/>
    </row>
    <row r="15" spans="1:27" x14ac:dyDescent="0.25">
      <c r="B15" s="160"/>
      <c r="C15" s="30" t="s">
        <v>174</v>
      </c>
      <c r="D15" s="30" t="s">
        <v>212</v>
      </c>
      <c r="E15" s="82" t="e">
        <f t="shared" ca="1" si="11"/>
        <v>#VALUE!</v>
      </c>
      <c r="F15" s="82" t="e">
        <f t="shared" ca="1" si="11"/>
        <v>#VALUE!</v>
      </c>
      <c r="G15" s="82" t="e">
        <f t="shared" ca="1" si="11"/>
        <v>#VALUE!</v>
      </c>
      <c r="H15" s="82" t="e">
        <f t="shared" ca="1" si="11"/>
        <v>#VALUE!</v>
      </c>
      <c r="I15" s="82" t="e">
        <f t="shared" ca="1" si="11"/>
        <v>#VALUE!</v>
      </c>
      <c r="J15" s="82" t="e">
        <f t="shared" ca="1" si="11"/>
        <v>#VALUE!</v>
      </c>
      <c r="K15" s="82" t="e">
        <f t="shared" ca="1" si="11"/>
        <v>#VALUE!</v>
      </c>
      <c r="M15" s="82">
        <v>9.2500585891727216E-2</v>
      </c>
      <c r="N15" s="82">
        <v>0.1017506444809</v>
      </c>
      <c r="O15" s="82"/>
      <c r="P15" s="82"/>
      <c r="Q15" s="82"/>
      <c r="R15" s="97"/>
      <c r="S15" s="98"/>
    </row>
    <row r="16" spans="1:27" x14ac:dyDescent="0.25">
      <c r="B16" s="160"/>
      <c r="C16" s="30" t="s">
        <v>175</v>
      </c>
      <c r="D16" s="30" t="s">
        <v>213</v>
      </c>
      <c r="E16" s="82" t="e">
        <f t="shared" ca="1" si="11"/>
        <v>#VALUE!</v>
      </c>
      <c r="F16" s="82" t="e">
        <f t="shared" ca="1" si="11"/>
        <v>#VALUE!</v>
      </c>
      <c r="G16" s="82" t="e">
        <f t="shared" ca="1" si="11"/>
        <v>#VALUE!</v>
      </c>
      <c r="H16" s="82" t="e">
        <f t="shared" ca="1" si="11"/>
        <v>#VALUE!</v>
      </c>
      <c r="I16" s="82" t="e">
        <f t="shared" ca="1" si="11"/>
        <v>#VALUE!</v>
      </c>
      <c r="J16" s="82" t="e">
        <f t="shared" ca="1" si="11"/>
        <v>#VALUE!</v>
      </c>
      <c r="K16" s="82" t="e">
        <f t="shared" ca="1" si="11"/>
        <v>#VALUE!</v>
      </c>
      <c r="M16" s="82">
        <v>4.6250292945863603</v>
      </c>
      <c r="N16" s="82">
        <v>5.1892828685258969</v>
      </c>
      <c r="O16" s="82"/>
      <c r="P16" s="82"/>
      <c r="Q16" s="82"/>
      <c r="R16" s="101"/>
      <c r="S16" s="100"/>
    </row>
    <row r="17" spans="1:19" x14ac:dyDescent="0.25">
      <c r="B17" s="161"/>
      <c r="C17" s="32" t="s">
        <v>184</v>
      </c>
      <c r="D17" s="32" t="s">
        <v>214</v>
      </c>
      <c r="E17" s="83" t="e">
        <f t="shared" ca="1" si="11"/>
        <v>#VALUE!</v>
      </c>
      <c r="F17" s="83" t="e">
        <f t="shared" ca="1" si="11"/>
        <v>#VALUE!</v>
      </c>
      <c r="G17" s="83" t="e">
        <f t="shared" ca="1" si="11"/>
        <v>#VALUE!</v>
      </c>
      <c r="H17" s="83" t="e">
        <f t="shared" ca="1" si="11"/>
        <v>#VALUE!</v>
      </c>
      <c r="I17" s="83" t="e">
        <f t="shared" ca="1" si="11"/>
        <v>#VALUE!</v>
      </c>
      <c r="J17" s="83" t="e">
        <f t="shared" ca="1" si="11"/>
        <v>#VALUE!</v>
      </c>
      <c r="K17" s="83" t="e">
        <f t="shared" ca="1" si="11"/>
        <v>#VALUE!</v>
      </c>
      <c r="M17" s="83">
        <v>0.49950316381532556</v>
      </c>
      <c r="N17" s="83">
        <v>1.6650105460510898</v>
      </c>
      <c r="O17" s="83"/>
      <c r="P17" s="83"/>
      <c r="Q17" s="83"/>
      <c r="R17" s="97"/>
      <c r="S17" s="98"/>
    </row>
    <row r="18" spans="1:19" x14ac:dyDescent="0.25">
      <c r="B18" s="159" t="s">
        <v>168</v>
      </c>
      <c r="C18" s="28" t="s">
        <v>166</v>
      </c>
      <c r="D18" s="29"/>
      <c r="E18" s="84" t="e">
        <f ca="1">SUM(E19:E24)</f>
        <v>#VALUE!</v>
      </c>
      <c r="F18" s="84" t="e">
        <f t="shared" ref="F18:K18" ca="1" si="12">SUM(F19:F24)</f>
        <v>#VALUE!</v>
      </c>
      <c r="G18" s="84" t="e">
        <f t="shared" ca="1" si="12"/>
        <v>#VALUE!</v>
      </c>
      <c r="H18" s="84" t="e">
        <f t="shared" ca="1" si="12"/>
        <v>#VALUE!</v>
      </c>
      <c r="I18" s="84" t="e">
        <f t="shared" ca="1" si="12"/>
        <v>#VALUE!</v>
      </c>
      <c r="J18" s="84" t="e">
        <f t="shared" ca="1" si="12"/>
        <v>#VALUE!</v>
      </c>
      <c r="K18" s="84" t="e">
        <f t="shared" ca="1" si="12"/>
        <v>#VALUE!</v>
      </c>
      <c r="M18" s="91">
        <f>SUM(M19:M24)</f>
        <v>45.718643292682927</v>
      </c>
      <c r="N18" s="91">
        <f t="shared" ref="N18" si="13">SUM(N19:N24)</f>
        <v>47.987825203252036</v>
      </c>
      <c r="O18" s="91">
        <f t="shared" ref="O18" si="14">SUM(O19:O24)</f>
        <v>0</v>
      </c>
      <c r="P18" s="91">
        <f t="shared" ref="P18" si="15">SUM(P19:P24)</f>
        <v>0</v>
      </c>
      <c r="Q18" s="91">
        <f t="shared" ref="Q18" si="16">SUM(Q19:Q24)</f>
        <v>0</v>
      </c>
      <c r="R18" s="102"/>
      <c r="S18" s="103"/>
    </row>
    <row r="19" spans="1:19" x14ac:dyDescent="0.25">
      <c r="B19" s="160"/>
      <c r="C19" s="30" t="s">
        <v>176</v>
      </c>
      <c r="D19" s="30" t="s">
        <v>215</v>
      </c>
      <c r="E19" s="82" t="e">
        <f t="shared" ca="1" si="5"/>
        <v>#VALUE!</v>
      </c>
      <c r="F19" s="82" t="e">
        <f t="shared" ca="1" si="5"/>
        <v>#VALUE!</v>
      </c>
      <c r="G19" s="82" t="e">
        <f t="shared" ca="1" si="5"/>
        <v>#VALUE!</v>
      </c>
      <c r="H19" s="82" t="e">
        <f t="shared" ca="1" si="5"/>
        <v>#VALUE!</v>
      </c>
      <c r="I19" s="82" t="e">
        <f t="shared" ca="1" si="5"/>
        <v>#VALUE!</v>
      </c>
      <c r="J19" s="82" t="e">
        <f t="shared" ca="1" si="5"/>
        <v>#VALUE!</v>
      </c>
      <c r="K19" s="82" t="e">
        <f t="shared" ca="1" si="5"/>
        <v>#VALUE!</v>
      </c>
      <c r="M19" s="82">
        <v>34.93</v>
      </c>
      <c r="N19" s="82">
        <v>34.47</v>
      </c>
      <c r="O19" s="82"/>
      <c r="P19" s="82"/>
      <c r="Q19" s="82"/>
      <c r="R19" s="97"/>
      <c r="S19" s="98"/>
    </row>
    <row r="20" spans="1:19" x14ac:dyDescent="0.25">
      <c r="B20" s="160"/>
      <c r="C20" s="30" t="s">
        <v>177</v>
      </c>
      <c r="D20" s="30" t="s">
        <v>216</v>
      </c>
      <c r="E20" s="82" t="e">
        <f t="shared" ca="1" si="5"/>
        <v>#VALUE!</v>
      </c>
      <c r="F20" s="82" t="e">
        <f t="shared" ca="1" si="5"/>
        <v>#VALUE!</v>
      </c>
      <c r="G20" s="82" t="e">
        <f t="shared" ca="1" si="5"/>
        <v>#VALUE!</v>
      </c>
      <c r="H20" s="82" t="e">
        <f t="shared" ca="1" si="5"/>
        <v>#VALUE!</v>
      </c>
      <c r="I20" s="82" t="e">
        <f t="shared" ca="1" si="5"/>
        <v>#VALUE!</v>
      </c>
      <c r="J20" s="82" t="e">
        <f t="shared" ca="1" si="5"/>
        <v>#VALUE!</v>
      </c>
      <c r="K20" s="82" t="e">
        <f t="shared" ca="1" si="5"/>
        <v>#VALUE!</v>
      </c>
      <c r="M20" s="82">
        <v>9.3600101626016254</v>
      </c>
      <c r="N20" s="82">
        <v>9.9511686991869919</v>
      </c>
      <c r="O20" s="82"/>
      <c r="P20" s="82"/>
      <c r="Q20" s="82"/>
      <c r="R20" s="97"/>
      <c r="S20" s="98"/>
    </row>
    <row r="21" spans="1:19" x14ac:dyDescent="0.25">
      <c r="B21" s="160"/>
      <c r="C21" s="30" t="s">
        <v>178</v>
      </c>
      <c r="D21" s="30" t="s">
        <v>217</v>
      </c>
      <c r="E21" s="82" t="e">
        <f t="shared" ca="1" si="5"/>
        <v>#VALUE!</v>
      </c>
      <c r="F21" s="82" t="e">
        <f t="shared" ca="1" si="5"/>
        <v>#VALUE!</v>
      </c>
      <c r="G21" s="82" t="e">
        <f t="shared" ca="1" si="5"/>
        <v>#VALUE!</v>
      </c>
      <c r="H21" s="82" t="e">
        <f t="shared" ca="1" si="5"/>
        <v>#VALUE!</v>
      </c>
      <c r="I21" s="82" t="e">
        <f t="shared" ca="1" si="5"/>
        <v>#VALUE!</v>
      </c>
      <c r="J21" s="82" t="e">
        <f t="shared" ca="1" si="5"/>
        <v>#VALUE!</v>
      </c>
      <c r="K21" s="82" t="e">
        <f t="shared" ca="1" si="5"/>
        <v>#VALUE!</v>
      </c>
      <c r="M21" s="82">
        <v>0.14778963414634144</v>
      </c>
      <c r="N21" s="82">
        <v>0.60101117886178856</v>
      </c>
      <c r="O21" s="82"/>
      <c r="P21" s="82"/>
      <c r="Q21" s="82"/>
      <c r="R21" s="97"/>
      <c r="S21" s="98"/>
    </row>
    <row r="22" spans="1:19" x14ac:dyDescent="0.25">
      <c r="B22" s="160"/>
      <c r="C22" s="30" t="s">
        <v>179</v>
      </c>
      <c r="D22" s="30" t="s">
        <v>218</v>
      </c>
      <c r="E22" s="82" t="e">
        <f t="shared" ca="1" si="5"/>
        <v>#VALUE!</v>
      </c>
      <c r="F22" s="82" t="e">
        <f t="shared" ca="1" si="5"/>
        <v>#VALUE!</v>
      </c>
      <c r="G22" s="82" t="e">
        <f t="shared" ca="1" si="5"/>
        <v>#VALUE!</v>
      </c>
      <c r="H22" s="82" t="e">
        <f t="shared" ca="1" si="5"/>
        <v>#VALUE!</v>
      </c>
      <c r="I22" s="82" t="e">
        <f t="shared" ca="1" si="5"/>
        <v>#VALUE!</v>
      </c>
      <c r="J22" s="82" t="e">
        <f t="shared" ca="1" si="5"/>
        <v>#VALUE!</v>
      </c>
      <c r="K22" s="82" t="e">
        <f t="shared" ca="1" si="5"/>
        <v>#VALUE!</v>
      </c>
      <c r="M22" s="82">
        <v>0.59115853658536466</v>
      </c>
      <c r="N22" s="82">
        <v>0.92614837398374061</v>
      </c>
      <c r="O22" s="82"/>
      <c r="P22" s="82"/>
      <c r="Q22" s="82"/>
      <c r="R22" s="97"/>
      <c r="S22" s="98"/>
    </row>
    <row r="23" spans="1:19" x14ac:dyDescent="0.25">
      <c r="B23" s="160"/>
      <c r="C23" s="30" t="s">
        <v>180</v>
      </c>
      <c r="D23" s="30" t="s">
        <v>219</v>
      </c>
      <c r="E23" s="82" t="e">
        <f t="shared" ca="1" si="5"/>
        <v>#VALUE!</v>
      </c>
      <c r="F23" s="82" t="e">
        <f t="shared" ca="1" si="5"/>
        <v>#VALUE!</v>
      </c>
      <c r="G23" s="82" t="e">
        <f t="shared" ca="1" si="5"/>
        <v>#VALUE!</v>
      </c>
      <c r="H23" s="82" t="e">
        <f t="shared" ca="1" si="5"/>
        <v>#VALUE!</v>
      </c>
      <c r="I23" s="82" t="e">
        <f t="shared" ca="1" si="5"/>
        <v>#VALUE!</v>
      </c>
      <c r="J23" s="82" t="e">
        <f t="shared" ca="1" si="5"/>
        <v>#VALUE!</v>
      </c>
      <c r="K23" s="82" t="e">
        <f t="shared" ca="1" si="5"/>
        <v>#VALUE!</v>
      </c>
      <c r="M23" s="82">
        <v>0.39410569105691057</v>
      </c>
      <c r="N23" s="82">
        <v>1.6650965447154473</v>
      </c>
      <c r="O23" s="82"/>
      <c r="P23" s="82"/>
      <c r="Q23" s="82"/>
      <c r="R23" s="97"/>
      <c r="S23" s="98"/>
    </row>
    <row r="24" spans="1:19" x14ac:dyDescent="0.25">
      <c r="B24" s="161"/>
      <c r="C24" s="32" t="s">
        <v>184</v>
      </c>
      <c r="D24" s="32" t="s">
        <v>220</v>
      </c>
      <c r="E24" s="83" t="e">
        <f t="shared" ca="1" si="5"/>
        <v>#VALUE!</v>
      </c>
      <c r="F24" s="83" t="e">
        <f t="shared" ca="1" si="5"/>
        <v>#VALUE!</v>
      </c>
      <c r="G24" s="83" t="e">
        <f t="shared" ca="1" si="5"/>
        <v>#VALUE!</v>
      </c>
      <c r="H24" s="83" t="e">
        <f t="shared" ca="1" si="5"/>
        <v>#VALUE!</v>
      </c>
      <c r="I24" s="83" t="e">
        <f t="shared" ca="1" si="5"/>
        <v>#VALUE!</v>
      </c>
      <c r="J24" s="83" t="e">
        <f t="shared" ca="1" si="5"/>
        <v>#VALUE!</v>
      </c>
      <c r="K24" s="83" t="e">
        <f t="shared" ca="1" si="5"/>
        <v>#VALUE!</v>
      </c>
      <c r="M24" s="83">
        <v>0.29557926829268288</v>
      </c>
      <c r="N24" s="83">
        <v>0.37440040650406503</v>
      </c>
      <c r="O24" s="83"/>
      <c r="P24" s="83"/>
      <c r="Q24" s="83"/>
      <c r="R24" s="97"/>
      <c r="S24" s="98"/>
    </row>
    <row r="25" spans="1:19" ht="14.45" x14ac:dyDescent="0.35">
      <c r="B25" s="34" t="s">
        <v>172</v>
      </c>
      <c r="C25" s="29"/>
      <c r="D25" s="35" t="s">
        <v>221</v>
      </c>
      <c r="E25" s="84" t="e">
        <f t="shared" ref="E25:K25" ca="1" si="17">Output("SCEN_ADEMEhaut",$D25,E$5)</f>
        <v>#VALUE!</v>
      </c>
      <c r="F25" s="84" t="e">
        <f t="shared" ca="1" si="17"/>
        <v>#VALUE!</v>
      </c>
      <c r="G25" s="84" t="e">
        <f t="shared" ca="1" si="17"/>
        <v>#VALUE!</v>
      </c>
      <c r="H25" s="84" t="e">
        <f t="shared" ca="1" si="17"/>
        <v>#VALUE!</v>
      </c>
      <c r="I25" s="84" t="e">
        <f t="shared" ca="1" si="17"/>
        <v>#VALUE!</v>
      </c>
      <c r="J25" s="84" t="e">
        <f t="shared" ca="1" si="17"/>
        <v>#VALUE!</v>
      </c>
      <c r="K25" s="84" t="e">
        <f t="shared" ca="1" si="17"/>
        <v>#VALUE!</v>
      </c>
      <c r="M25" s="91">
        <v>6.99</v>
      </c>
      <c r="N25" s="91">
        <v>5.31</v>
      </c>
      <c r="O25" s="91"/>
      <c r="P25" s="91"/>
      <c r="Q25" s="91"/>
      <c r="R25" s="97"/>
      <c r="S25" s="98"/>
    </row>
    <row r="26" spans="1:19" ht="14.45" x14ac:dyDescent="0.35">
      <c r="B26" s="28" t="s">
        <v>166</v>
      </c>
      <c r="C26" s="29"/>
      <c r="D26" s="29"/>
      <c r="E26" s="85" t="e">
        <f ca="1">SUM(E6,E9,E18,E25)</f>
        <v>#VALUE!</v>
      </c>
      <c r="F26" s="85" t="e">
        <f t="shared" ref="F26:K26" ca="1" si="18">SUM(F6,F9,F18,F25)</f>
        <v>#VALUE!</v>
      </c>
      <c r="G26" s="85" t="e">
        <f t="shared" ca="1" si="18"/>
        <v>#VALUE!</v>
      </c>
      <c r="H26" s="85" t="e">
        <f t="shared" ca="1" si="18"/>
        <v>#VALUE!</v>
      </c>
      <c r="I26" s="85" t="e">
        <f t="shared" ca="1" si="18"/>
        <v>#VALUE!</v>
      </c>
      <c r="J26" s="85" t="e">
        <f t="shared" ca="1" si="18"/>
        <v>#VALUE!</v>
      </c>
      <c r="K26" s="85" t="e">
        <f t="shared" ca="1" si="18"/>
        <v>#VALUE!</v>
      </c>
      <c r="M26" s="92">
        <f>SUM(M6,M9,M18,M25)</f>
        <v>168.26620832666464</v>
      </c>
      <c r="N26" s="92">
        <f t="shared" ref="N26" si="19">SUM(N6,N9,N18,N25)</f>
        <v>166.78158428457382</v>
      </c>
      <c r="O26" s="92">
        <f t="shared" ref="O26" si="20">SUM(O6,O9,O18,O25)</f>
        <v>0</v>
      </c>
      <c r="P26" s="92">
        <f t="shared" ref="P26" si="21">SUM(P6,P9,P18,P25)</f>
        <v>0</v>
      </c>
      <c r="Q26" s="92">
        <f t="shared" ref="Q26" si="22">SUM(Q6,Q9,Q18,Q25)</f>
        <v>0</v>
      </c>
      <c r="R26" s="97"/>
      <c r="S26" s="98"/>
    </row>
    <row r="27" spans="1:19" ht="15" customHeight="1" x14ac:dyDescent="0.55000000000000004">
      <c r="A27" s="38"/>
      <c r="B27" s="25"/>
      <c r="E27" s="59"/>
      <c r="F27" s="59"/>
      <c r="G27" s="59"/>
      <c r="H27" s="59"/>
      <c r="I27" s="59"/>
      <c r="J27" s="59"/>
      <c r="K27" s="59"/>
      <c r="M27" s="104"/>
      <c r="N27" s="105"/>
      <c r="O27" s="95"/>
      <c r="P27" s="95"/>
      <c r="Q27" s="96"/>
      <c r="R27" s="97"/>
      <c r="S27" s="98"/>
    </row>
    <row r="28" spans="1:19" ht="23.45" x14ac:dyDescent="0.55000000000000004">
      <c r="B28" s="38" t="s">
        <v>187</v>
      </c>
      <c r="E28" s="59"/>
      <c r="F28" s="59"/>
      <c r="G28" s="59"/>
      <c r="H28" s="59"/>
      <c r="I28" s="59"/>
      <c r="J28" s="59"/>
      <c r="K28" s="59"/>
    </row>
    <row r="29" spans="1:19" ht="17.100000000000001" customHeight="1" x14ac:dyDescent="0.55000000000000004">
      <c r="A29" s="38"/>
      <c r="B29" s="25"/>
      <c r="E29" s="59"/>
      <c r="F29" s="59"/>
      <c r="G29" s="59"/>
      <c r="H29" s="59"/>
      <c r="I29" s="59"/>
      <c r="J29" s="59"/>
      <c r="K29" s="59"/>
    </row>
    <row r="30" spans="1:19" ht="14.45" x14ac:dyDescent="0.35">
      <c r="B30" s="29"/>
      <c r="C30" s="29"/>
      <c r="D30" s="26"/>
      <c r="E30" s="86">
        <v>2006</v>
      </c>
      <c r="F30" s="86">
        <v>2010</v>
      </c>
      <c r="G30" s="86">
        <v>2015</v>
      </c>
      <c r="H30" s="86">
        <v>2020</v>
      </c>
      <c r="I30" s="86">
        <v>2030</v>
      </c>
      <c r="J30" s="86">
        <v>2040</v>
      </c>
      <c r="K30" s="86">
        <v>2050</v>
      </c>
      <c r="M30" s="86">
        <v>2006</v>
      </c>
      <c r="N30" s="86">
        <v>2010</v>
      </c>
      <c r="O30" s="86">
        <v>2020</v>
      </c>
      <c r="P30" s="86">
        <v>2030</v>
      </c>
      <c r="Q30" s="86">
        <v>2050</v>
      </c>
      <c r="R30" s="88"/>
      <c r="S30" s="88"/>
    </row>
    <row r="31" spans="1:19" x14ac:dyDescent="0.25">
      <c r="B31" s="159" t="s">
        <v>181</v>
      </c>
      <c r="C31" s="28" t="s">
        <v>166</v>
      </c>
      <c r="D31" s="29"/>
      <c r="E31" s="81" t="e">
        <f ca="1">SUM(E32:E33)</f>
        <v>#VALUE!</v>
      </c>
      <c r="F31" s="81" t="e">
        <f t="shared" ref="F31:K31" ca="1" si="23">SUM(F32:F33)</f>
        <v>#VALUE!</v>
      </c>
      <c r="G31" s="81" t="e">
        <f t="shared" ca="1" si="23"/>
        <v>#VALUE!</v>
      </c>
      <c r="H31" s="81" t="e">
        <f t="shared" ca="1" si="23"/>
        <v>#VALUE!</v>
      </c>
      <c r="I31" s="81" t="e">
        <f t="shared" ca="1" si="23"/>
        <v>#VALUE!</v>
      </c>
      <c r="J31" s="81" t="e">
        <f t="shared" ca="1" si="23"/>
        <v>#VALUE!</v>
      </c>
      <c r="K31" s="81" t="e">
        <f t="shared" ca="1" si="23"/>
        <v>#VALUE!</v>
      </c>
      <c r="M31" s="90">
        <f>SUM(M32:M33)</f>
        <v>72.689999999999984</v>
      </c>
      <c r="N31" s="90">
        <f t="shared" ref="N31:Q31" si="24">SUM(N32:N33)</f>
        <v>67.940000000000012</v>
      </c>
      <c r="O31" s="90">
        <f t="shared" si="24"/>
        <v>61.792534765918191</v>
      </c>
      <c r="P31" s="90">
        <f t="shared" si="24"/>
        <v>42.225221161762398</v>
      </c>
      <c r="Q31" s="90">
        <f t="shared" si="24"/>
        <v>16.825597509294472</v>
      </c>
      <c r="R31" s="88"/>
      <c r="S31" s="88"/>
    </row>
    <row r="32" spans="1:19" x14ac:dyDescent="0.25">
      <c r="B32" s="160"/>
      <c r="C32" s="30" t="s">
        <v>182</v>
      </c>
      <c r="D32" s="30" t="s">
        <v>222</v>
      </c>
      <c r="E32" s="82" t="e">
        <f t="shared" ref="E32:K49" ca="1" si="25">Output("SCEN_ADEMEhaut",$D32,E$5)</f>
        <v>#VALUE!</v>
      </c>
      <c r="F32" s="82" t="e">
        <f t="shared" ca="1" si="25"/>
        <v>#VALUE!</v>
      </c>
      <c r="G32" s="82" t="e">
        <f t="shared" ca="1" si="25"/>
        <v>#VALUE!</v>
      </c>
      <c r="H32" s="82" t="e">
        <f t="shared" ca="1" si="25"/>
        <v>#VALUE!</v>
      </c>
      <c r="I32" s="82" t="e">
        <f t="shared" ca="1" si="25"/>
        <v>#VALUE!</v>
      </c>
      <c r="J32" s="82" t="e">
        <f t="shared" ca="1" si="25"/>
        <v>#VALUE!</v>
      </c>
      <c r="K32" s="82" t="e">
        <f t="shared" ca="1" si="25"/>
        <v>#VALUE!</v>
      </c>
      <c r="M32" s="82">
        <v>71.989999999999981</v>
      </c>
      <c r="N32" s="82">
        <v>65.540000000000006</v>
      </c>
      <c r="O32" s="82">
        <v>59.292534765918191</v>
      </c>
      <c r="P32" s="82">
        <v>39.225221161762398</v>
      </c>
      <c r="Q32" s="82">
        <v>5.4939139155408521</v>
      </c>
      <c r="R32" s="87"/>
      <c r="S32" s="87"/>
    </row>
    <row r="33" spans="2:19" x14ac:dyDescent="0.25">
      <c r="B33" s="161"/>
      <c r="C33" s="32" t="s">
        <v>183</v>
      </c>
      <c r="D33" s="32" t="s">
        <v>223</v>
      </c>
      <c r="E33" s="83" t="e">
        <f t="shared" ca="1" si="25"/>
        <v>#VALUE!</v>
      </c>
      <c r="F33" s="83" t="e">
        <f t="shared" ca="1" si="25"/>
        <v>#VALUE!</v>
      </c>
      <c r="G33" s="83" t="e">
        <f t="shared" ca="1" si="25"/>
        <v>#VALUE!</v>
      </c>
      <c r="H33" s="83" t="e">
        <f t="shared" ca="1" si="25"/>
        <v>#VALUE!</v>
      </c>
      <c r="I33" s="83" t="e">
        <f t="shared" ca="1" si="25"/>
        <v>#VALUE!</v>
      </c>
      <c r="J33" s="83" t="e">
        <f t="shared" ca="1" si="25"/>
        <v>#VALUE!</v>
      </c>
      <c r="K33" s="83" t="e">
        <f t="shared" ca="1" si="25"/>
        <v>#VALUE!</v>
      </c>
      <c r="M33" s="83">
        <v>0.7</v>
      </c>
      <c r="N33" s="83">
        <v>2.4</v>
      </c>
      <c r="O33" s="83">
        <v>2.5</v>
      </c>
      <c r="P33" s="83">
        <v>3</v>
      </c>
      <c r="Q33" s="83">
        <v>11.33168359375362</v>
      </c>
      <c r="R33" s="87"/>
      <c r="S33" s="87"/>
    </row>
    <row r="34" spans="2:19" x14ac:dyDescent="0.25">
      <c r="B34" s="159" t="s">
        <v>167</v>
      </c>
      <c r="C34" s="28" t="s">
        <v>166</v>
      </c>
      <c r="D34" s="29"/>
      <c r="E34" s="84" t="e">
        <f ca="1">SUM(E35:E42)</f>
        <v>#VALUE!</v>
      </c>
      <c r="F34" s="84" t="e">
        <f t="shared" ref="F34:K34" ca="1" si="26">SUM(F35:F42)</f>
        <v>#VALUE!</v>
      </c>
      <c r="G34" s="84" t="e">
        <f t="shared" ca="1" si="26"/>
        <v>#VALUE!</v>
      </c>
      <c r="H34" s="84" t="e">
        <f t="shared" ca="1" si="26"/>
        <v>#VALUE!</v>
      </c>
      <c r="I34" s="84" t="e">
        <f t="shared" ca="1" si="26"/>
        <v>#VALUE!</v>
      </c>
      <c r="J34" s="84" t="e">
        <f t="shared" ca="1" si="26"/>
        <v>#VALUE!</v>
      </c>
      <c r="K34" s="84" t="e">
        <f t="shared" ca="1" si="26"/>
        <v>#VALUE!</v>
      </c>
      <c r="M34" s="91">
        <f>SUM(M35:M42)</f>
        <v>42.826585728935271</v>
      </c>
      <c r="N34" s="91">
        <f t="shared" ref="N34:Q34" si="27">SUM(N35:N42)</f>
        <v>45.543759081321767</v>
      </c>
      <c r="O34" s="91">
        <f t="shared" si="27"/>
        <v>31.473587339001575</v>
      </c>
      <c r="P34" s="91">
        <f t="shared" si="27"/>
        <v>36.036916318599445</v>
      </c>
      <c r="Q34" s="91">
        <f t="shared" si="27"/>
        <v>33.897428969526324</v>
      </c>
      <c r="R34" s="88"/>
      <c r="S34" s="88"/>
    </row>
    <row r="35" spans="2:19" x14ac:dyDescent="0.25">
      <c r="B35" s="160"/>
      <c r="C35" s="30" t="s">
        <v>169</v>
      </c>
      <c r="D35" s="30" t="s">
        <v>224</v>
      </c>
      <c r="E35" s="82" t="e">
        <f t="shared" ref="E35:K42" ca="1" si="28">Output("SCEN_ADEMEhaut",$D35,E$5)</f>
        <v>#VALUE!</v>
      </c>
      <c r="F35" s="82" t="e">
        <f t="shared" ca="1" si="28"/>
        <v>#VALUE!</v>
      </c>
      <c r="G35" s="82" t="e">
        <f t="shared" ca="1" si="28"/>
        <v>#VALUE!</v>
      </c>
      <c r="H35" s="82" t="e">
        <f t="shared" ca="1" si="28"/>
        <v>#VALUE!</v>
      </c>
      <c r="I35" s="82" t="e">
        <f t="shared" ca="1" si="28"/>
        <v>#VALUE!</v>
      </c>
      <c r="J35" s="82" t="e">
        <f t="shared" ca="1" si="28"/>
        <v>#VALUE!</v>
      </c>
      <c r="K35" s="82" t="e">
        <f t="shared" ca="1" si="28"/>
        <v>#VALUE!</v>
      </c>
      <c r="M35" s="82">
        <v>32.559020694953546</v>
      </c>
      <c r="N35" s="82">
        <v>32.935929224279356</v>
      </c>
      <c r="O35" s="82">
        <v>20.010750850803507</v>
      </c>
      <c r="P35" s="82">
        <v>17.226566233678096</v>
      </c>
      <c r="Q35" s="82">
        <v>17.226566233678096</v>
      </c>
      <c r="R35" s="87"/>
      <c r="S35" s="87"/>
    </row>
    <row r="36" spans="2:19" x14ac:dyDescent="0.25">
      <c r="B36" s="160"/>
      <c r="C36" s="30" t="s">
        <v>170</v>
      </c>
      <c r="D36" s="30" t="s">
        <v>225</v>
      </c>
      <c r="E36" s="82" t="e">
        <f t="shared" ca="1" si="28"/>
        <v>#VALUE!</v>
      </c>
      <c r="F36" s="82" t="e">
        <f t="shared" ca="1" si="28"/>
        <v>#VALUE!</v>
      </c>
      <c r="G36" s="82" t="e">
        <f t="shared" ca="1" si="28"/>
        <v>#VALUE!</v>
      </c>
      <c r="H36" s="82" t="e">
        <f t="shared" ca="1" si="28"/>
        <v>#VALUE!</v>
      </c>
      <c r="I36" s="82" t="e">
        <f t="shared" ca="1" si="28"/>
        <v>#VALUE!</v>
      </c>
      <c r="J36" s="82" t="e">
        <f t="shared" ca="1" si="28"/>
        <v>#VALUE!</v>
      </c>
      <c r="K36" s="82" t="e">
        <f t="shared" ca="1" si="28"/>
        <v>#VALUE!</v>
      </c>
      <c r="M36" s="82">
        <v>0.62962491593350212</v>
      </c>
      <c r="N36" s="82">
        <v>0.52701615859337925</v>
      </c>
      <c r="O36" s="82">
        <v>4.2242484862131321E-2</v>
      </c>
      <c r="P36" s="82">
        <v>0.05</v>
      </c>
      <c r="Q36" s="82">
        <v>0.01</v>
      </c>
      <c r="R36" s="87"/>
      <c r="S36" s="87"/>
    </row>
    <row r="37" spans="2:19" x14ac:dyDescent="0.25">
      <c r="B37" s="160"/>
      <c r="C37" s="30" t="s">
        <v>171</v>
      </c>
      <c r="D37" s="30" t="s">
        <v>226</v>
      </c>
      <c r="E37" s="82" t="e">
        <f t="shared" ca="1" si="28"/>
        <v>#VALUE!</v>
      </c>
      <c r="F37" s="82" t="e">
        <f t="shared" ca="1" si="28"/>
        <v>#VALUE!</v>
      </c>
      <c r="G37" s="82" t="e">
        <f t="shared" ca="1" si="28"/>
        <v>#VALUE!</v>
      </c>
      <c r="H37" s="82" t="e">
        <f t="shared" ca="1" si="28"/>
        <v>#VALUE!</v>
      </c>
      <c r="I37" s="82" t="e">
        <f t="shared" ca="1" si="28"/>
        <v>#VALUE!</v>
      </c>
      <c r="J37" s="82" t="e">
        <f t="shared" ca="1" si="28"/>
        <v>#VALUE!</v>
      </c>
      <c r="K37" s="82" t="e">
        <f t="shared" ca="1" si="28"/>
        <v>#VALUE!</v>
      </c>
      <c r="M37" s="82">
        <v>1.6435062143852444</v>
      </c>
      <c r="N37" s="82">
        <v>1.9254352724847217</v>
      </c>
      <c r="O37" s="82">
        <v>1.3888784910297838</v>
      </c>
      <c r="P37" s="82">
        <v>1.6359131758640484</v>
      </c>
      <c r="Q37" s="82">
        <v>1.9820515865046444</v>
      </c>
      <c r="R37" s="87"/>
      <c r="S37" s="87"/>
    </row>
    <row r="38" spans="2:19" x14ac:dyDescent="0.25">
      <c r="B38" s="160"/>
      <c r="C38" s="30" t="s">
        <v>172</v>
      </c>
      <c r="D38" s="30" t="s">
        <v>227</v>
      </c>
      <c r="E38" s="82" t="e">
        <f t="shared" ca="1" si="28"/>
        <v>#VALUE!</v>
      </c>
      <c r="F38" s="82" t="e">
        <f t="shared" ca="1" si="28"/>
        <v>#VALUE!</v>
      </c>
      <c r="G38" s="82" t="e">
        <f t="shared" ca="1" si="28"/>
        <v>#VALUE!</v>
      </c>
      <c r="H38" s="82" t="e">
        <f t="shared" ca="1" si="28"/>
        <v>#VALUE!</v>
      </c>
      <c r="I38" s="82" t="e">
        <f t="shared" ca="1" si="28"/>
        <v>#VALUE!</v>
      </c>
      <c r="J38" s="82" t="e">
        <f t="shared" ca="1" si="28"/>
        <v>#VALUE!</v>
      </c>
      <c r="K38" s="82" t="e">
        <f t="shared" ca="1" si="28"/>
        <v>#VALUE!</v>
      </c>
      <c r="M38" s="82">
        <v>2.4166485743918238</v>
      </c>
      <c r="N38" s="82">
        <v>2.431579504005096</v>
      </c>
      <c r="O38" s="82">
        <v>0.25</v>
      </c>
      <c r="P38" s="82">
        <v>0.1</v>
      </c>
      <c r="Q38" s="82">
        <v>0.01</v>
      </c>
      <c r="R38" s="87"/>
      <c r="S38" s="87"/>
    </row>
    <row r="39" spans="2:19" x14ac:dyDescent="0.25">
      <c r="B39" s="160"/>
      <c r="C39" s="30" t="s">
        <v>173</v>
      </c>
      <c r="D39" s="30" t="s">
        <v>228</v>
      </c>
      <c r="E39" s="82" t="e">
        <f t="shared" ca="1" si="28"/>
        <v>#VALUE!</v>
      </c>
      <c r="F39" s="82" t="e">
        <f t="shared" ca="1" si="28"/>
        <v>#VALUE!</v>
      </c>
      <c r="G39" s="82" t="e">
        <f t="shared" ca="1" si="28"/>
        <v>#VALUE!</v>
      </c>
      <c r="H39" s="82" t="e">
        <f t="shared" ca="1" si="28"/>
        <v>#VALUE!</v>
      </c>
      <c r="I39" s="82" t="e">
        <f t="shared" ca="1" si="28"/>
        <v>#VALUE!</v>
      </c>
      <c r="J39" s="82" t="e">
        <f t="shared" ca="1" si="28"/>
        <v>#VALUE!</v>
      </c>
      <c r="K39" s="82" t="e">
        <f t="shared" ca="1" si="28"/>
        <v>#VALUE!</v>
      </c>
      <c r="M39" s="82">
        <v>0.36075228497773609</v>
      </c>
      <c r="N39" s="82">
        <v>0.76775486290133577</v>
      </c>
      <c r="O39" s="82">
        <v>3.7000234356690882</v>
      </c>
      <c r="P39" s="82">
        <v>8.3728289631606234</v>
      </c>
      <c r="Q39" s="82">
        <v>5.9672868830761185</v>
      </c>
      <c r="R39" s="87"/>
      <c r="S39" s="87"/>
    </row>
    <row r="40" spans="2:19" x14ac:dyDescent="0.25">
      <c r="B40" s="160"/>
      <c r="C40" s="30" t="s">
        <v>174</v>
      </c>
      <c r="D40" s="30" t="s">
        <v>229</v>
      </c>
      <c r="E40" s="82" t="e">
        <f t="shared" ca="1" si="28"/>
        <v>#VALUE!</v>
      </c>
      <c r="F40" s="82" t="e">
        <f t="shared" ca="1" si="28"/>
        <v>#VALUE!</v>
      </c>
      <c r="G40" s="82" t="e">
        <f t="shared" ca="1" si="28"/>
        <v>#VALUE!</v>
      </c>
      <c r="H40" s="82" t="e">
        <f t="shared" ca="1" si="28"/>
        <v>#VALUE!</v>
      </c>
      <c r="I40" s="82" t="e">
        <f t="shared" ca="1" si="28"/>
        <v>#VALUE!</v>
      </c>
      <c r="J40" s="82" t="e">
        <f t="shared" ca="1" si="28"/>
        <v>#VALUE!</v>
      </c>
      <c r="K40" s="82" t="e">
        <f t="shared" ca="1" si="28"/>
        <v>#VALUE!</v>
      </c>
      <c r="M40" s="82">
        <v>9.2500585891727216E-2</v>
      </c>
      <c r="N40" s="82">
        <v>0.10175064448089993</v>
      </c>
      <c r="O40" s="82">
        <v>0.4</v>
      </c>
      <c r="P40" s="82">
        <v>3.158203809507651</v>
      </c>
      <c r="Q40" s="82">
        <v>3.158203809507651</v>
      </c>
      <c r="R40" s="87"/>
      <c r="S40" s="87"/>
    </row>
    <row r="41" spans="2:19" x14ac:dyDescent="0.25">
      <c r="B41" s="160"/>
      <c r="C41" s="30" t="s">
        <v>175</v>
      </c>
      <c r="D41" s="30" t="s">
        <v>230</v>
      </c>
      <c r="E41" s="82" t="e">
        <f t="shared" ca="1" si="28"/>
        <v>#VALUE!</v>
      </c>
      <c r="F41" s="82" t="e">
        <f t="shared" ca="1" si="28"/>
        <v>#VALUE!</v>
      </c>
      <c r="G41" s="82" t="e">
        <f t="shared" ca="1" si="28"/>
        <v>#VALUE!</v>
      </c>
      <c r="H41" s="82" t="e">
        <f t="shared" ca="1" si="28"/>
        <v>#VALUE!</v>
      </c>
      <c r="I41" s="82" t="e">
        <f t="shared" ca="1" si="28"/>
        <v>#VALUE!</v>
      </c>
      <c r="J41" s="82" t="e">
        <f t="shared" ca="1" si="28"/>
        <v>#VALUE!</v>
      </c>
      <c r="K41" s="82" t="e">
        <f t="shared" ca="1" si="28"/>
        <v>#VALUE!</v>
      </c>
      <c r="M41" s="82">
        <v>4.6250292945863603</v>
      </c>
      <c r="N41" s="82">
        <v>5.1892828685258969</v>
      </c>
      <c r="O41" s="82">
        <v>5.0875322240449963</v>
      </c>
      <c r="P41" s="82">
        <v>3.7805135146992721</v>
      </c>
      <c r="Q41" s="82">
        <v>4.1860555947837765</v>
      </c>
      <c r="R41" s="87"/>
      <c r="S41" s="87"/>
    </row>
    <row r="42" spans="2:19" x14ac:dyDescent="0.25">
      <c r="B42" s="161"/>
      <c r="C42" s="32" t="s">
        <v>184</v>
      </c>
      <c r="D42" s="32" t="s">
        <v>231</v>
      </c>
      <c r="E42" s="83" t="e">
        <f t="shared" ca="1" si="28"/>
        <v>#VALUE!</v>
      </c>
      <c r="F42" s="83" t="e">
        <f t="shared" ca="1" si="28"/>
        <v>#VALUE!</v>
      </c>
      <c r="G42" s="83" t="e">
        <f t="shared" ca="1" si="28"/>
        <v>#VALUE!</v>
      </c>
      <c r="H42" s="83" t="e">
        <f t="shared" ca="1" si="28"/>
        <v>#VALUE!</v>
      </c>
      <c r="I42" s="83" t="e">
        <f t="shared" ca="1" si="28"/>
        <v>#VALUE!</v>
      </c>
      <c r="J42" s="83" t="e">
        <f t="shared" ca="1" si="28"/>
        <v>#VALUE!</v>
      </c>
      <c r="K42" s="83" t="e">
        <f t="shared" ca="1" si="28"/>
        <v>#VALUE!</v>
      </c>
      <c r="M42" s="83">
        <v>0.49950316381532556</v>
      </c>
      <c r="N42" s="83">
        <v>1.6650105460510898</v>
      </c>
      <c r="O42" s="83">
        <v>0.59415985259207005</v>
      </c>
      <c r="P42" s="83">
        <v>1.7128906216897588</v>
      </c>
      <c r="Q42" s="83">
        <v>1.3572648619760321</v>
      </c>
      <c r="R42" s="87"/>
      <c r="S42" s="87"/>
    </row>
    <row r="43" spans="2:19" x14ac:dyDescent="0.25">
      <c r="B43" s="159" t="s">
        <v>168</v>
      </c>
      <c r="C43" s="28" t="s">
        <v>166</v>
      </c>
      <c r="D43" s="29"/>
      <c r="E43" s="84" t="e">
        <f ca="1">SUM(E44:E49)</f>
        <v>#VALUE!</v>
      </c>
      <c r="F43" s="84" t="e">
        <f t="shared" ref="F43:K43" ca="1" si="29">SUM(F44:F49)</f>
        <v>#VALUE!</v>
      </c>
      <c r="G43" s="84" t="e">
        <f t="shared" ca="1" si="29"/>
        <v>#VALUE!</v>
      </c>
      <c r="H43" s="84" t="e">
        <f t="shared" ca="1" si="29"/>
        <v>#VALUE!</v>
      </c>
      <c r="I43" s="84" t="e">
        <f t="shared" ca="1" si="29"/>
        <v>#VALUE!</v>
      </c>
      <c r="J43" s="84" t="e">
        <f t="shared" ca="1" si="29"/>
        <v>#VALUE!</v>
      </c>
      <c r="K43" s="84" t="e">
        <f t="shared" ca="1" si="29"/>
        <v>#VALUE!</v>
      </c>
      <c r="M43" s="91">
        <f>SUM(M44:M49)</f>
        <v>45.718643292682927</v>
      </c>
      <c r="N43" s="91">
        <f t="shared" ref="N43:Q43" si="30">SUM(N44:N49)</f>
        <v>47.987825203252036</v>
      </c>
      <c r="O43" s="91">
        <f t="shared" si="30"/>
        <v>43.62175658435573</v>
      </c>
      <c r="P43" s="91">
        <f t="shared" si="30"/>
        <v>43.285189059199524</v>
      </c>
      <c r="Q43" s="91">
        <f t="shared" si="30"/>
        <v>29.390039272581522</v>
      </c>
      <c r="R43" s="88"/>
      <c r="S43" s="88"/>
    </row>
    <row r="44" spans="2:19" x14ac:dyDescent="0.25">
      <c r="B44" s="160"/>
      <c r="C44" s="30" t="s">
        <v>176</v>
      </c>
      <c r="D44" s="30" t="s">
        <v>232</v>
      </c>
      <c r="E44" s="82" t="e">
        <f t="shared" ca="1" si="25"/>
        <v>#VALUE!</v>
      </c>
      <c r="F44" s="82" t="e">
        <f t="shared" ca="1" si="25"/>
        <v>#VALUE!</v>
      </c>
      <c r="G44" s="82" t="e">
        <f t="shared" ca="1" si="25"/>
        <v>#VALUE!</v>
      </c>
      <c r="H44" s="82" t="e">
        <f t="shared" ca="1" si="25"/>
        <v>#VALUE!</v>
      </c>
      <c r="I44" s="82" t="e">
        <f t="shared" ca="1" si="25"/>
        <v>#VALUE!</v>
      </c>
      <c r="J44" s="82" t="e">
        <f t="shared" ca="1" si="25"/>
        <v>#VALUE!</v>
      </c>
      <c r="K44" s="82" t="e">
        <f t="shared" ca="1" si="25"/>
        <v>#VALUE!</v>
      </c>
      <c r="M44" s="82">
        <v>34.93</v>
      </c>
      <c r="N44" s="82">
        <v>34.47</v>
      </c>
      <c r="O44" s="82">
        <v>29.795280068239975</v>
      </c>
      <c r="P44" s="82">
        <v>19.834021981287478</v>
      </c>
      <c r="Q44" s="82">
        <v>8.2050129393787508</v>
      </c>
      <c r="R44" s="87"/>
      <c r="S44" s="87"/>
    </row>
    <row r="45" spans="2:19" x14ac:dyDescent="0.25">
      <c r="B45" s="160"/>
      <c r="C45" s="30" t="s">
        <v>177</v>
      </c>
      <c r="D45" s="30" t="s">
        <v>233</v>
      </c>
      <c r="E45" s="82" t="e">
        <f t="shared" ca="1" si="25"/>
        <v>#VALUE!</v>
      </c>
      <c r="F45" s="82" t="e">
        <f t="shared" ca="1" si="25"/>
        <v>#VALUE!</v>
      </c>
      <c r="G45" s="82" t="e">
        <f t="shared" ca="1" si="25"/>
        <v>#VALUE!</v>
      </c>
      <c r="H45" s="82" t="e">
        <f t="shared" ca="1" si="25"/>
        <v>#VALUE!</v>
      </c>
      <c r="I45" s="82" t="e">
        <f t="shared" ca="1" si="25"/>
        <v>#VALUE!</v>
      </c>
      <c r="J45" s="82" t="e">
        <f t="shared" ca="1" si="25"/>
        <v>#VALUE!</v>
      </c>
      <c r="K45" s="82" t="e">
        <f t="shared" ca="1" si="25"/>
        <v>#VALUE!</v>
      </c>
      <c r="M45" s="82">
        <v>9.3600101626016254</v>
      </c>
      <c r="N45" s="82">
        <v>9.9511686991869919</v>
      </c>
      <c r="O45" s="82">
        <v>9.5902929329588407</v>
      </c>
      <c r="P45" s="82">
        <v>12.957916455986492</v>
      </c>
      <c r="Q45" s="82">
        <v>8.0340348144931628</v>
      </c>
      <c r="R45" s="87"/>
      <c r="S45" s="87"/>
    </row>
    <row r="46" spans="2:19" x14ac:dyDescent="0.25">
      <c r="B46" s="160"/>
      <c r="C46" s="30" t="s">
        <v>178</v>
      </c>
      <c r="D46" s="30" t="s">
        <v>234</v>
      </c>
      <c r="E46" s="82" t="e">
        <f t="shared" ca="1" si="25"/>
        <v>#VALUE!</v>
      </c>
      <c r="F46" s="82" t="e">
        <f t="shared" ca="1" si="25"/>
        <v>#VALUE!</v>
      </c>
      <c r="G46" s="82" t="e">
        <f t="shared" ca="1" si="25"/>
        <v>#VALUE!</v>
      </c>
      <c r="H46" s="82" t="e">
        <f t="shared" ca="1" si="25"/>
        <v>#VALUE!</v>
      </c>
      <c r="I46" s="82" t="e">
        <f t="shared" ca="1" si="25"/>
        <v>#VALUE!</v>
      </c>
      <c r="J46" s="82" t="e">
        <f t="shared" ca="1" si="25"/>
        <v>#VALUE!</v>
      </c>
      <c r="K46" s="82" t="e">
        <f t="shared" ca="1" si="25"/>
        <v>#VALUE!</v>
      </c>
      <c r="M46" s="82">
        <v>0.14778963414634144</v>
      </c>
      <c r="N46" s="82">
        <v>0.60101117886178856</v>
      </c>
      <c r="O46" s="82">
        <v>0.78821138211382102</v>
      </c>
      <c r="P46" s="82">
        <v>3.8132743238537117</v>
      </c>
      <c r="Q46" s="82">
        <v>3.3241630061450191</v>
      </c>
      <c r="R46" s="87"/>
      <c r="S46" s="87"/>
    </row>
    <row r="47" spans="2:19" x14ac:dyDescent="0.25">
      <c r="B47" s="160"/>
      <c r="C47" s="30" t="s">
        <v>179</v>
      </c>
      <c r="D47" s="30" t="s">
        <v>235</v>
      </c>
      <c r="E47" s="82" t="e">
        <f t="shared" ca="1" si="25"/>
        <v>#VALUE!</v>
      </c>
      <c r="F47" s="82" t="e">
        <f t="shared" ca="1" si="25"/>
        <v>#VALUE!</v>
      </c>
      <c r="G47" s="82" t="e">
        <f t="shared" ca="1" si="25"/>
        <v>#VALUE!</v>
      </c>
      <c r="H47" s="82" t="e">
        <f t="shared" ca="1" si="25"/>
        <v>#VALUE!</v>
      </c>
      <c r="I47" s="82" t="e">
        <f t="shared" ca="1" si="25"/>
        <v>#VALUE!</v>
      </c>
      <c r="J47" s="82" t="e">
        <f t="shared" ca="1" si="25"/>
        <v>#VALUE!</v>
      </c>
      <c r="K47" s="82" t="e">
        <f t="shared" ca="1" si="25"/>
        <v>#VALUE!</v>
      </c>
      <c r="M47" s="82">
        <v>0.59115853658536466</v>
      </c>
      <c r="N47" s="82">
        <v>0.92614837398374061</v>
      </c>
      <c r="O47" s="82">
        <v>0.9852642276422765</v>
      </c>
      <c r="P47" s="82">
        <v>1.4169047745271137</v>
      </c>
      <c r="Q47" s="82">
        <v>1.4168355216861455</v>
      </c>
      <c r="R47" s="87"/>
      <c r="S47" s="87"/>
    </row>
    <row r="48" spans="2:19" x14ac:dyDescent="0.25">
      <c r="B48" s="160"/>
      <c r="C48" s="30" t="s">
        <v>180</v>
      </c>
      <c r="D48" s="30" t="s">
        <v>236</v>
      </c>
      <c r="E48" s="82" t="e">
        <f t="shared" ca="1" si="25"/>
        <v>#VALUE!</v>
      </c>
      <c r="F48" s="82" t="e">
        <f t="shared" ca="1" si="25"/>
        <v>#VALUE!</v>
      </c>
      <c r="G48" s="82" t="e">
        <f t="shared" ca="1" si="25"/>
        <v>#VALUE!</v>
      </c>
      <c r="H48" s="82" t="e">
        <f t="shared" ca="1" si="25"/>
        <v>#VALUE!</v>
      </c>
      <c r="I48" s="82" t="e">
        <f t="shared" ca="1" si="25"/>
        <v>#VALUE!</v>
      </c>
      <c r="J48" s="82" t="e">
        <f t="shared" ca="1" si="25"/>
        <v>#VALUE!</v>
      </c>
      <c r="K48" s="82" t="e">
        <f t="shared" ca="1" si="25"/>
        <v>#VALUE!</v>
      </c>
      <c r="M48" s="82">
        <v>0.39410569105691057</v>
      </c>
      <c r="N48" s="82">
        <v>1.6650965447154473</v>
      </c>
      <c r="O48" s="82">
        <v>1.8806271331102642</v>
      </c>
      <c r="P48" s="82">
        <v>2.2149768300106416</v>
      </c>
      <c r="Q48" s="82">
        <v>6.1827851847658799</v>
      </c>
      <c r="R48" s="87"/>
      <c r="S48" s="87"/>
    </row>
    <row r="49" spans="2:19" x14ac:dyDescent="0.25">
      <c r="B49" s="161"/>
      <c r="C49" s="32" t="s">
        <v>184</v>
      </c>
      <c r="D49" s="32" t="s">
        <v>237</v>
      </c>
      <c r="E49" s="83" t="e">
        <f t="shared" ca="1" si="25"/>
        <v>#VALUE!</v>
      </c>
      <c r="F49" s="83" t="e">
        <f t="shared" ca="1" si="25"/>
        <v>#VALUE!</v>
      </c>
      <c r="G49" s="83" t="e">
        <f t="shared" ca="1" si="25"/>
        <v>#VALUE!</v>
      </c>
      <c r="H49" s="83" t="e">
        <f t="shared" ca="1" si="25"/>
        <v>#VALUE!</v>
      </c>
      <c r="I49" s="83" t="e">
        <f t="shared" ca="1" si="25"/>
        <v>#VALUE!</v>
      </c>
      <c r="J49" s="83" t="e">
        <f t="shared" ca="1" si="25"/>
        <v>#VALUE!</v>
      </c>
      <c r="K49" s="83" t="e">
        <f t="shared" ca="1" si="25"/>
        <v>#VALUE!</v>
      </c>
      <c r="M49" s="83">
        <v>0.29557926829268288</v>
      </c>
      <c r="N49" s="83">
        <v>0.37440040650406503</v>
      </c>
      <c r="O49" s="83">
        <v>0.58208084029054874</v>
      </c>
      <c r="P49" s="83">
        <v>3.0480946935340905</v>
      </c>
      <c r="Q49" s="83">
        <v>2.2272078061125589</v>
      </c>
      <c r="R49" s="87"/>
      <c r="S49" s="87"/>
    </row>
    <row r="50" spans="2:19" x14ac:dyDescent="0.25">
      <c r="B50" s="34" t="s">
        <v>172</v>
      </c>
      <c r="C50" s="29"/>
      <c r="D50" s="35" t="s">
        <v>238</v>
      </c>
      <c r="E50" s="84" t="e">
        <f t="shared" ref="E50:K50" ca="1" si="31">Output("SCEN_ADEMEhaut",$D50,E$5)</f>
        <v>#VALUE!</v>
      </c>
      <c r="F50" s="84" t="e">
        <f t="shared" ca="1" si="31"/>
        <v>#VALUE!</v>
      </c>
      <c r="G50" s="84" t="e">
        <f t="shared" ca="1" si="31"/>
        <v>#VALUE!</v>
      </c>
      <c r="H50" s="84" t="e">
        <f t="shared" ca="1" si="31"/>
        <v>#VALUE!</v>
      </c>
      <c r="I50" s="84" t="e">
        <f t="shared" ca="1" si="31"/>
        <v>#VALUE!</v>
      </c>
      <c r="J50" s="84" t="e">
        <f t="shared" ca="1" si="31"/>
        <v>#VALUE!</v>
      </c>
      <c r="K50" s="84" t="e">
        <f t="shared" ca="1" si="31"/>
        <v>#VALUE!</v>
      </c>
      <c r="M50" s="91">
        <v>6.99</v>
      </c>
      <c r="N50" s="91">
        <v>5.31</v>
      </c>
      <c r="O50" s="91">
        <v>5.9237288135593218</v>
      </c>
      <c r="P50" s="91">
        <v>5.0588131868202808</v>
      </c>
      <c r="Q50" s="91">
        <v>4.0201856086575631</v>
      </c>
      <c r="R50" s="88"/>
      <c r="S50" s="88"/>
    </row>
    <row r="51" spans="2:19" x14ac:dyDescent="0.25">
      <c r="B51" s="28" t="s">
        <v>166</v>
      </c>
      <c r="C51" s="29"/>
      <c r="D51" s="29"/>
      <c r="E51" s="85" t="e">
        <f ca="1">SUM(E31,E34,E43,E50)</f>
        <v>#VALUE!</v>
      </c>
      <c r="F51" s="85" t="e">
        <f t="shared" ref="F51:J51" ca="1" si="32">SUM(F31,F34,F43,F50)</f>
        <v>#VALUE!</v>
      </c>
      <c r="G51" s="85" t="e">
        <f t="shared" ca="1" si="32"/>
        <v>#VALUE!</v>
      </c>
      <c r="H51" s="85" t="e">
        <f t="shared" ca="1" si="32"/>
        <v>#VALUE!</v>
      </c>
      <c r="I51" s="85" t="e">
        <f t="shared" ca="1" si="32"/>
        <v>#VALUE!</v>
      </c>
      <c r="J51" s="85" t="e">
        <f t="shared" ca="1" si="32"/>
        <v>#VALUE!</v>
      </c>
      <c r="K51" s="85" t="e">
        <f ca="1">SUM(K31,K34,K43,K50)</f>
        <v>#VALUE!</v>
      </c>
      <c r="M51" s="92">
        <f>SUM(M31,M34,M43,M50)</f>
        <v>168.22522902161819</v>
      </c>
      <c r="N51" s="92">
        <f t="shared" ref="N51:P51" si="33">SUM(N31,N34,N43,N50)</f>
        <v>166.78158428457382</v>
      </c>
      <c r="O51" s="92">
        <f t="shared" si="33"/>
        <v>142.81160750283482</v>
      </c>
      <c r="P51" s="92">
        <f t="shared" si="33"/>
        <v>126.60613972638166</v>
      </c>
      <c r="Q51" s="92">
        <f>SUM(Q31,Q34,Q43,Q50)</f>
        <v>84.133251360059887</v>
      </c>
      <c r="R51" s="89"/>
      <c r="S51" s="89"/>
    </row>
  </sheetData>
  <mergeCells count="6">
    <mergeCell ref="B43:B49"/>
    <mergeCell ref="B6:B8"/>
    <mergeCell ref="B9:B17"/>
    <mergeCell ref="B18:B24"/>
    <mergeCell ref="B31:B33"/>
    <mergeCell ref="B34:B4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C00000"/>
  </sheetPr>
  <dimension ref="A1:L27"/>
  <sheetViews>
    <sheetView workbookViewId="0">
      <selection activeCell="F21" sqref="F21"/>
    </sheetView>
  </sheetViews>
  <sheetFormatPr baseColWidth="10" defaultRowHeight="15" x14ac:dyDescent="0.25"/>
  <cols>
    <col min="1" max="1" width="22.85546875" customWidth="1"/>
  </cols>
  <sheetData>
    <row r="1" spans="1:12" ht="23.45" x14ac:dyDescent="0.55000000000000004">
      <c r="A1" s="52" t="s">
        <v>241</v>
      </c>
      <c r="B1" s="53"/>
      <c r="C1" s="53"/>
      <c r="D1" s="53"/>
      <c r="E1" s="53"/>
      <c r="F1" s="53"/>
      <c r="G1" s="53"/>
      <c r="H1" s="53"/>
      <c r="I1" s="53"/>
      <c r="J1" s="53"/>
      <c r="K1" s="53"/>
    </row>
    <row r="2" spans="1:12" ht="18.600000000000001" x14ac:dyDescent="0.45">
      <c r="A2" s="54"/>
      <c r="B2" s="53"/>
      <c r="C2" s="53"/>
      <c r="D2" s="53"/>
      <c r="E2" s="53"/>
      <c r="F2" s="53"/>
      <c r="G2" s="53"/>
      <c r="H2" s="53"/>
      <c r="I2" s="53"/>
      <c r="J2" s="53"/>
      <c r="K2" s="53"/>
    </row>
    <row r="3" spans="1:12" ht="18.600000000000001" x14ac:dyDescent="0.45">
      <c r="A3" s="54" t="s">
        <v>186</v>
      </c>
      <c r="B3" s="53"/>
      <c r="C3" s="53"/>
      <c r="D3" s="53"/>
      <c r="E3" s="53"/>
      <c r="F3" s="53"/>
      <c r="G3" s="53"/>
      <c r="H3" s="53"/>
      <c r="I3" s="53"/>
      <c r="J3" s="53"/>
      <c r="K3" s="53"/>
    </row>
    <row r="4" spans="1:12" ht="14.45" x14ac:dyDescent="0.35">
      <c r="A4" s="53"/>
      <c r="B4" s="162" t="s">
        <v>244</v>
      </c>
      <c r="C4" s="162"/>
      <c r="D4" s="162"/>
      <c r="E4" s="162"/>
      <c r="F4" s="162"/>
      <c r="G4" s="162"/>
      <c r="H4" s="55"/>
      <c r="I4" s="55"/>
      <c r="J4" s="162" t="s">
        <v>242</v>
      </c>
      <c r="K4" s="163"/>
    </row>
    <row r="5" spans="1:12" ht="14.45" x14ac:dyDescent="0.35">
      <c r="A5" s="53"/>
      <c r="B5" s="53">
        <v>2006</v>
      </c>
      <c r="C5" s="53">
        <v>2010</v>
      </c>
      <c r="D5" s="53">
        <v>2015</v>
      </c>
      <c r="E5" s="53">
        <v>2020</v>
      </c>
      <c r="F5" s="53">
        <v>2030</v>
      </c>
      <c r="G5" s="53">
        <v>2040</v>
      </c>
      <c r="H5" s="65">
        <v>2050</v>
      </c>
      <c r="I5" s="53"/>
      <c r="J5" s="53">
        <v>2010</v>
      </c>
      <c r="K5" s="58">
        <v>2030</v>
      </c>
      <c r="L5" s="58">
        <v>2050</v>
      </c>
    </row>
    <row r="6" spans="1:12" ht="14.45" x14ac:dyDescent="0.35">
      <c r="A6" s="60" t="s">
        <v>294</v>
      </c>
      <c r="B6" s="76" t="e">
        <f ca="1">SUM(B7:B8)</f>
        <v>#VALUE!</v>
      </c>
      <c r="C6" s="76" t="e">
        <f t="shared" ref="C6:H6" ca="1" si="0">SUM(C7:C8)</f>
        <v>#VALUE!</v>
      </c>
      <c r="D6" s="76" t="e">
        <f t="shared" ca="1" si="0"/>
        <v>#VALUE!</v>
      </c>
      <c r="E6" s="76" t="e">
        <f t="shared" ca="1" si="0"/>
        <v>#VALUE!</v>
      </c>
      <c r="F6" s="76" t="e">
        <f t="shared" ca="1" si="0"/>
        <v>#VALUE!</v>
      </c>
      <c r="G6" s="76" t="e">
        <f t="shared" ca="1" si="0"/>
        <v>#VALUE!</v>
      </c>
      <c r="H6" s="76" t="e">
        <f t="shared" ca="1" si="0"/>
        <v>#VALUE!</v>
      </c>
      <c r="I6" s="53"/>
      <c r="J6" s="69"/>
      <c r="K6" s="69"/>
      <c r="L6" s="69"/>
    </row>
    <row r="7" spans="1:12" ht="14.45" x14ac:dyDescent="0.35">
      <c r="A7" s="66" t="s">
        <v>299</v>
      </c>
      <c r="B7" s="77" t="e">
        <f ca="1">'output Final energy by uses'!B22</f>
        <v>#VALUE!</v>
      </c>
      <c r="C7" s="77" t="e">
        <f ca="1">'output Final energy by uses'!C22</f>
        <v>#VALUE!</v>
      </c>
      <c r="D7" s="77" t="e">
        <f ca="1">'output Final energy by uses'!D22</f>
        <v>#VALUE!</v>
      </c>
      <c r="E7" s="77" t="e">
        <f ca="1">'output Final energy by uses'!E22</f>
        <v>#VALUE!</v>
      </c>
      <c r="F7" s="77" t="e">
        <f ca="1">'output Final energy by uses'!F22</f>
        <v>#VALUE!</v>
      </c>
      <c r="G7" s="77" t="e">
        <f ca="1">'output Final energy by uses'!G22</f>
        <v>#VALUE!</v>
      </c>
      <c r="H7" s="77" t="e">
        <f ca="1">'output Final energy by uses'!H22</f>
        <v>#VALUE!</v>
      </c>
      <c r="I7" s="53"/>
      <c r="J7" s="72"/>
      <c r="K7" s="72"/>
      <c r="L7" s="72"/>
    </row>
    <row r="8" spans="1:12" ht="14.45" x14ac:dyDescent="0.35">
      <c r="A8" s="67" t="s">
        <v>300</v>
      </c>
      <c r="B8" s="68" t="e">
        <f ca="1">SUM('output Final energy by uses'!B15:B19)</f>
        <v>#VALUE!</v>
      </c>
      <c r="C8" s="68" t="e">
        <f ca="1">SUM('output Final energy by uses'!C15:C19)</f>
        <v>#VALUE!</v>
      </c>
      <c r="D8" s="68" t="e">
        <f ca="1">SUM('output Final energy by uses'!D15:D19)</f>
        <v>#VALUE!</v>
      </c>
      <c r="E8" s="68" t="e">
        <f ca="1">SUM('output Final energy by uses'!E15:E19)</f>
        <v>#VALUE!</v>
      </c>
      <c r="F8" s="68" t="e">
        <f ca="1">SUM('output Final energy by uses'!F15:F19)</f>
        <v>#VALUE!</v>
      </c>
      <c r="G8" s="68" t="e">
        <f ca="1">SUM('output Final energy by uses'!G15:G19)</f>
        <v>#VALUE!</v>
      </c>
      <c r="H8" s="68" t="e">
        <f ca="1">SUM('output Final energy by uses'!H15:H19)</f>
        <v>#VALUE!</v>
      </c>
      <c r="J8" s="72"/>
      <c r="K8" s="72"/>
      <c r="L8" s="72"/>
    </row>
    <row r="9" spans="1:12" ht="14.45" x14ac:dyDescent="0.35">
      <c r="A9" s="56" t="s">
        <v>246</v>
      </c>
      <c r="B9" s="78" t="e">
        <f ca="1">'output Final energy by uses'!B23</f>
        <v>#VALUE!</v>
      </c>
      <c r="C9" s="78" t="e">
        <f ca="1">'output Final energy by uses'!C23</f>
        <v>#VALUE!</v>
      </c>
      <c r="D9" s="78" t="e">
        <f ca="1">'output Final energy by uses'!D23</f>
        <v>#VALUE!</v>
      </c>
      <c r="E9" s="78" t="e">
        <f ca="1">'output Final energy by uses'!E23</f>
        <v>#VALUE!</v>
      </c>
      <c r="F9" s="78" t="e">
        <f ca="1">'output Final energy by uses'!F23</f>
        <v>#VALUE!</v>
      </c>
      <c r="G9" s="78" t="e">
        <f ca="1">'output Final energy by uses'!G23</f>
        <v>#VALUE!</v>
      </c>
      <c r="H9" s="78" t="e">
        <f ca="1">'output Final energy by uses'!H23</f>
        <v>#VALUE!</v>
      </c>
      <c r="I9" s="53"/>
      <c r="J9" s="69"/>
      <c r="K9" s="69"/>
      <c r="L9" s="69"/>
    </row>
    <row r="10" spans="1:12" ht="14.45" x14ac:dyDescent="0.35">
      <c r="A10" s="56" t="s">
        <v>247</v>
      </c>
      <c r="B10" s="78" t="e">
        <f ca="1">SUM('output Final energy by uses'!B20:B21)</f>
        <v>#VALUE!</v>
      </c>
      <c r="C10" s="78" t="e">
        <f ca="1">SUM('output Final energy by uses'!C20:C21)</f>
        <v>#VALUE!</v>
      </c>
      <c r="D10" s="78" t="e">
        <f ca="1">SUM('output Final energy by uses'!D20:D21)</f>
        <v>#VALUE!</v>
      </c>
      <c r="E10" s="78" t="e">
        <f ca="1">SUM('output Final energy by uses'!E20:E21)</f>
        <v>#VALUE!</v>
      </c>
      <c r="F10" s="78" t="e">
        <f ca="1">SUM('output Final energy by uses'!F20:F21)</f>
        <v>#VALUE!</v>
      </c>
      <c r="G10" s="78" t="e">
        <f ca="1">SUM('output Final energy by uses'!G20:G21)</f>
        <v>#VALUE!</v>
      </c>
      <c r="H10" s="78" t="e">
        <f ca="1">SUM('output Final energy by uses'!H20:H21)</f>
        <v>#VALUE!</v>
      </c>
      <c r="I10" s="53"/>
      <c r="J10" s="69"/>
      <c r="K10" s="69"/>
      <c r="L10" s="69"/>
    </row>
    <row r="11" spans="1:12" ht="14.45" x14ac:dyDescent="0.35">
      <c r="A11" s="56" t="s">
        <v>293</v>
      </c>
      <c r="B11" s="78" t="e">
        <f ca="1">SUM(B12:B13)</f>
        <v>#VALUE!</v>
      </c>
      <c r="C11" s="78" t="e">
        <f t="shared" ref="C11:H11" ca="1" si="1">SUM(C12:C13)</f>
        <v>#VALUE!</v>
      </c>
      <c r="D11" s="78" t="e">
        <f t="shared" ca="1" si="1"/>
        <v>#VALUE!</v>
      </c>
      <c r="E11" s="78" t="e">
        <f t="shared" ca="1" si="1"/>
        <v>#VALUE!</v>
      </c>
      <c r="F11" s="78" t="e">
        <f t="shared" ca="1" si="1"/>
        <v>#VALUE!</v>
      </c>
      <c r="G11" s="78" t="e">
        <f t="shared" ca="1" si="1"/>
        <v>#VALUE!</v>
      </c>
      <c r="H11" s="78" t="e">
        <f t="shared" ca="1" si="1"/>
        <v>#VALUE!</v>
      </c>
      <c r="I11" s="53"/>
      <c r="J11" s="70"/>
      <c r="K11" s="70"/>
      <c r="L11" s="70"/>
    </row>
    <row r="12" spans="1:12" ht="14.45" x14ac:dyDescent="0.35">
      <c r="A12" s="67" t="s">
        <v>295</v>
      </c>
      <c r="B12" s="68" t="e">
        <f ca="1">SUM('output Final energy by uses'!B3:B14)</f>
        <v>#VALUE!</v>
      </c>
      <c r="C12" s="68" t="e">
        <f ca="1">SUM('output Final energy by uses'!C3:C14)</f>
        <v>#VALUE!</v>
      </c>
      <c r="D12" s="68" t="e">
        <f ca="1">SUM('output Final energy by uses'!D3:D14)</f>
        <v>#VALUE!</v>
      </c>
      <c r="E12" s="68" t="e">
        <f ca="1">SUM('output Final energy by uses'!E3:E14)</f>
        <v>#VALUE!</v>
      </c>
      <c r="F12" s="68" t="e">
        <f ca="1">SUM('output Final energy by uses'!F3:F14)</f>
        <v>#VALUE!</v>
      </c>
      <c r="G12" s="68" t="e">
        <f ca="1">SUM('output Final energy by uses'!G3:G14)</f>
        <v>#VALUE!</v>
      </c>
      <c r="H12" s="68" t="e">
        <f ca="1">SUM('output Final energy by uses'!H3:H14)</f>
        <v>#VALUE!</v>
      </c>
      <c r="I12" s="53"/>
      <c r="J12" s="72"/>
      <c r="K12" s="72"/>
      <c r="L12" s="72"/>
    </row>
    <row r="13" spans="1:12" ht="14.45" x14ac:dyDescent="0.35">
      <c r="A13" s="67" t="s">
        <v>240</v>
      </c>
      <c r="B13" s="79" t="e">
        <f ca="1">'output Final energy by uses'!B2</f>
        <v>#VALUE!</v>
      </c>
      <c r="C13" s="79" t="e">
        <f ca="1">'output Final energy by uses'!C2</f>
        <v>#VALUE!</v>
      </c>
      <c r="D13" s="79" t="e">
        <f ca="1">'output Final energy by uses'!D2</f>
        <v>#VALUE!</v>
      </c>
      <c r="E13" s="79" t="e">
        <f ca="1">'output Final energy by uses'!E2</f>
        <v>#VALUE!</v>
      </c>
      <c r="F13" s="79" t="e">
        <f ca="1">'output Final energy by uses'!F2</f>
        <v>#VALUE!</v>
      </c>
      <c r="G13" s="79" t="e">
        <f ca="1">'output Final energy by uses'!G2</f>
        <v>#VALUE!</v>
      </c>
      <c r="H13" s="79" t="e">
        <f ca="1">'output Final energy by uses'!H2</f>
        <v>#VALUE!</v>
      </c>
      <c r="I13" s="53"/>
      <c r="J13" s="72"/>
      <c r="K13" s="72"/>
      <c r="L13" s="72"/>
    </row>
    <row r="14" spans="1:12" ht="14.45" x14ac:dyDescent="0.35">
      <c r="A14" s="56" t="s">
        <v>245</v>
      </c>
      <c r="B14" s="80" t="e">
        <f ca="1">SUM(B6,B9:B11)</f>
        <v>#VALUE!</v>
      </c>
      <c r="C14" s="80" t="e">
        <f t="shared" ref="C14:H14" ca="1" si="2">SUM(C6,C9:C11)</f>
        <v>#VALUE!</v>
      </c>
      <c r="D14" s="80" t="e">
        <f t="shared" ca="1" si="2"/>
        <v>#VALUE!</v>
      </c>
      <c r="E14" s="80" t="e">
        <f t="shared" ca="1" si="2"/>
        <v>#VALUE!</v>
      </c>
      <c r="F14" s="80" t="e">
        <f t="shared" ca="1" si="2"/>
        <v>#VALUE!</v>
      </c>
      <c r="G14" s="80" t="e">
        <f t="shared" ca="1" si="2"/>
        <v>#VALUE!</v>
      </c>
      <c r="H14" s="80" t="e">
        <f t="shared" ca="1" si="2"/>
        <v>#VALUE!</v>
      </c>
      <c r="I14" s="53"/>
      <c r="J14" s="93">
        <f t="shared" ref="J14:L14" si="3">SUM(J6:J13)</f>
        <v>0</v>
      </c>
      <c r="K14" s="93">
        <f t="shared" si="3"/>
        <v>0</v>
      </c>
      <c r="L14" s="93">
        <f t="shared" si="3"/>
        <v>0</v>
      </c>
    </row>
    <row r="15" spans="1:12" ht="18.600000000000001" x14ac:dyDescent="0.45">
      <c r="A15" s="54"/>
      <c r="B15" s="53"/>
      <c r="C15" s="53"/>
      <c r="D15" s="53"/>
      <c r="E15" s="53"/>
      <c r="F15" s="53"/>
      <c r="G15" s="53"/>
      <c r="H15" s="53"/>
      <c r="I15" s="53"/>
      <c r="J15" s="53"/>
      <c r="K15" s="53"/>
    </row>
    <row r="16" spans="1:12" ht="18.600000000000001" x14ac:dyDescent="0.45">
      <c r="A16" s="54" t="s">
        <v>187</v>
      </c>
      <c r="B16" s="53"/>
      <c r="C16" s="53"/>
      <c r="D16" s="53"/>
      <c r="E16" s="53"/>
      <c r="F16" s="53"/>
      <c r="G16" s="53"/>
      <c r="H16" s="53"/>
      <c r="I16" s="53"/>
      <c r="J16" s="53"/>
      <c r="K16" s="53"/>
    </row>
    <row r="17" spans="1:12" ht="14.45" x14ac:dyDescent="0.35">
      <c r="A17" s="53"/>
      <c r="B17" s="162" t="s">
        <v>244</v>
      </c>
      <c r="C17" s="162"/>
      <c r="D17" s="162"/>
      <c r="E17" s="162"/>
      <c r="F17" s="162"/>
      <c r="G17" s="162"/>
      <c r="H17" s="55"/>
      <c r="I17" s="55"/>
      <c r="J17" s="162" t="s">
        <v>243</v>
      </c>
      <c r="K17" s="162"/>
    </row>
    <row r="18" spans="1:12" ht="14.45" x14ac:dyDescent="0.35">
      <c r="A18" s="53"/>
      <c r="B18" s="53">
        <v>2006</v>
      </c>
      <c r="C18" s="53">
        <v>2010</v>
      </c>
      <c r="D18" s="53">
        <v>2015</v>
      </c>
      <c r="E18" s="53">
        <v>2020</v>
      </c>
      <c r="F18" s="53">
        <v>2030</v>
      </c>
      <c r="G18" s="53">
        <v>2040</v>
      </c>
      <c r="H18" s="65">
        <v>2050</v>
      </c>
      <c r="I18" s="53"/>
      <c r="J18" s="53">
        <v>2010</v>
      </c>
      <c r="K18" s="58">
        <v>2030</v>
      </c>
      <c r="L18" s="58">
        <v>2050</v>
      </c>
    </row>
    <row r="19" spans="1:12" ht="14.45" x14ac:dyDescent="0.35">
      <c r="A19" s="60" t="s">
        <v>294</v>
      </c>
      <c r="B19" s="76" t="e">
        <f ca="1">SUM(B20:B21)</f>
        <v>#VALUE!</v>
      </c>
      <c r="C19" s="76" t="e">
        <f t="shared" ref="C19:H19" ca="1" si="4">SUM(C20:C21)</f>
        <v>#VALUE!</v>
      </c>
      <c r="D19" s="76" t="e">
        <f t="shared" ca="1" si="4"/>
        <v>#VALUE!</v>
      </c>
      <c r="E19" s="76" t="e">
        <f t="shared" ca="1" si="4"/>
        <v>#VALUE!</v>
      </c>
      <c r="F19" s="76" t="e">
        <f t="shared" ca="1" si="4"/>
        <v>#VALUE!</v>
      </c>
      <c r="G19" s="76" t="e">
        <f t="shared" ca="1" si="4"/>
        <v>#VALUE!</v>
      </c>
      <c r="H19" s="76" t="e">
        <f t="shared" ca="1" si="4"/>
        <v>#VALUE!</v>
      </c>
      <c r="I19" s="53"/>
      <c r="J19" s="73">
        <f>SUM(J20:J21)</f>
        <v>49</v>
      </c>
      <c r="K19" s="73">
        <f t="shared" ref="K19:L19" si="5">SUM(K20:K21)</f>
        <v>36</v>
      </c>
      <c r="L19" s="73">
        <f t="shared" si="5"/>
        <v>15</v>
      </c>
    </row>
    <row r="20" spans="1:12" ht="14.45" x14ac:dyDescent="0.35">
      <c r="A20" s="66" t="s">
        <v>299</v>
      </c>
      <c r="B20" s="77" t="e">
        <f ca="1">'output Final energy by uses'!B46</f>
        <v>#VALUE!</v>
      </c>
      <c r="C20" s="77" t="e">
        <f ca="1">'output Final energy by uses'!C46</f>
        <v>#VALUE!</v>
      </c>
      <c r="D20" s="77" t="e">
        <f ca="1">'output Final energy by uses'!D46</f>
        <v>#VALUE!</v>
      </c>
      <c r="E20" s="77" t="e">
        <f ca="1">'output Final energy by uses'!E46</f>
        <v>#VALUE!</v>
      </c>
      <c r="F20" s="77" t="e">
        <f ca="1">'output Final energy by uses'!F46</f>
        <v>#VALUE!</v>
      </c>
      <c r="G20" s="77" t="e">
        <f ca="1">'output Final energy by uses'!G46</f>
        <v>#VALUE!</v>
      </c>
      <c r="H20" s="77" t="e">
        <f ca="1">'output Final energy by uses'!H46</f>
        <v>#VALUE!</v>
      </c>
      <c r="I20" s="53"/>
      <c r="J20" s="71">
        <v>27</v>
      </c>
      <c r="K20" s="71">
        <v>19</v>
      </c>
      <c r="L20" s="71">
        <v>6</v>
      </c>
    </row>
    <row r="21" spans="1:12" x14ac:dyDescent="0.25">
      <c r="A21" s="67" t="s">
        <v>300</v>
      </c>
      <c r="B21" s="68" t="e">
        <f ca="1">SUM('output Final energy by uses'!B39:B43)</f>
        <v>#VALUE!</v>
      </c>
      <c r="C21" s="68" t="e">
        <f ca="1">SUM('output Final energy by uses'!C39:C43)</f>
        <v>#VALUE!</v>
      </c>
      <c r="D21" s="68" t="e">
        <f ca="1">SUM('output Final energy by uses'!D39:D43)</f>
        <v>#VALUE!</v>
      </c>
      <c r="E21" s="68" t="e">
        <f ca="1">SUM('output Final energy by uses'!E39:E43)</f>
        <v>#VALUE!</v>
      </c>
      <c r="F21" s="68" t="e">
        <f ca="1">SUM('output Final energy by uses'!F39:F43)</f>
        <v>#VALUE!</v>
      </c>
      <c r="G21" s="68" t="e">
        <f ca="1">SUM('output Final energy by uses'!G39:G43)</f>
        <v>#VALUE!</v>
      </c>
      <c r="H21" s="68" t="e">
        <f ca="1">SUM('output Final energy by uses'!H39:H43)</f>
        <v>#VALUE!</v>
      </c>
      <c r="J21" s="71">
        <v>22</v>
      </c>
      <c r="K21" s="71">
        <v>17</v>
      </c>
      <c r="L21" s="71">
        <v>9</v>
      </c>
    </row>
    <row r="22" spans="1:12" x14ac:dyDescent="0.25">
      <c r="A22" s="56" t="s">
        <v>246</v>
      </c>
      <c r="B22" s="78" t="e">
        <f ca="1">'output Final energy by uses'!B47</f>
        <v>#VALUE!</v>
      </c>
      <c r="C22" s="78" t="e">
        <f ca="1">'output Final energy by uses'!C47</f>
        <v>#VALUE!</v>
      </c>
      <c r="D22" s="78" t="e">
        <f ca="1">'output Final energy by uses'!D47</f>
        <v>#VALUE!</v>
      </c>
      <c r="E22" s="78" t="e">
        <f ca="1">'output Final energy by uses'!E47</f>
        <v>#VALUE!</v>
      </c>
      <c r="F22" s="78" t="e">
        <f ca="1">'output Final energy by uses'!F47</f>
        <v>#VALUE!</v>
      </c>
      <c r="G22" s="78" t="e">
        <f ca="1">'output Final energy by uses'!G47</f>
        <v>#VALUE!</v>
      </c>
      <c r="H22" s="78" t="e">
        <f ca="1">'output Final energy by uses'!H47</f>
        <v>#VALUE!</v>
      </c>
      <c r="I22" s="53"/>
      <c r="J22" s="73">
        <v>44</v>
      </c>
      <c r="K22" s="73">
        <v>33</v>
      </c>
      <c r="L22" s="73">
        <v>22</v>
      </c>
    </row>
    <row r="23" spans="1:12" x14ac:dyDescent="0.25">
      <c r="A23" s="56" t="s">
        <v>298</v>
      </c>
      <c r="B23" s="78" t="e">
        <f ca="1">SUM('output Final energy by uses'!B44:B45)</f>
        <v>#VALUE!</v>
      </c>
      <c r="C23" s="78" t="e">
        <f ca="1">SUM('output Final energy by uses'!C44:C45)</f>
        <v>#VALUE!</v>
      </c>
      <c r="D23" s="78" t="e">
        <f ca="1">SUM('output Final energy by uses'!D44:D45)</f>
        <v>#VALUE!</v>
      </c>
      <c r="E23" s="78" t="e">
        <f ca="1">SUM('output Final energy by uses'!E44:E45)</f>
        <v>#VALUE!</v>
      </c>
      <c r="F23" s="78" t="e">
        <f ca="1">SUM('output Final energy by uses'!F44:F45)</f>
        <v>#VALUE!</v>
      </c>
      <c r="G23" s="78" t="e">
        <f ca="1">SUM('output Final energy by uses'!G44:G45)</f>
        <v>#VALUE!</v>
      </c>
      <c r="H23" s="78" t="e">
        <f ca="1">SUM('output Final energy by uses'!H44:H45)</f>
        <v>#VALUE!</v>
      </c>
      <c r="I23" s="53"/>
      <c r="J23" s="73">
        <v>22.4</v>
      </c>
      <c r="K23" s="73">
        <v>19</v>
      </c>
      <c r="L23" s="73">
        <v>15</v>
      </c>
    </row>
    <row r="24" spans="1:12" x14ac:dyDescent="0.25">
      <c r="A24" s="56" t="s">
        <v>293</v>
      </c>
      <c r="B24" s="78" t="e">
        <f t="shared" ref="B24" ca="1" si="6">SUM(B25:B26)</f>
        <v>#VALUE!</v>
      </c>
      <c r="C24" s="78" t="e">
        <f t="shared" ref="C24" ca="1" si="7">SUM(C25:C26)</f>
        <v>#VALUE!</v>
      </c>
      <c r="D24" s="78" t="e">
        <f t="shared" ref="D24" ca="1" si="8">SUM(D25:D26)</f>
        <v>#VALUE!</v>
      </c>
      <c r="E24" s="78" t="e">
        <f t="shared" ref="E24" ca="1" si="9">SUM(E25:E26)</f>
        <v>#VALUE!</v>
      </c>
      <c r="F24" s="78" t="e">
        <f t="shared" ref="F24" ca="1" si="10">SUM(F25:F26)</f>
        <v>#VALUE!</v>
      </c>
      <c r="G24" s="78" t="e">
        <f t="shared" ref="G24" ca="1" si="11">SUM(G25:G26)</f>
        <v>#VALUE!</v>
      </c>
      <c r="H24" s="78" t="e">
        <f t="shared" ref="H24" ca="1" si="12">SUM(H25:H26)</f>
        <v>#VALUE!</v>
      </c>
      <c r="I24" s="53"/>
      <c r="J24" s="74">
        <f>SUM(J25:J26)</f>
        <v>40.5</v>
      </c>
      <c r="K24" s="74">
        <f>SUM(K25:K26)</f>
        <v>36.200000000000003</v>
      </c>
      <c r="L24" s="74">
        <f>SUM(L25:L26)</f>
        <v>29.7</v>
      </c>
    </row>
    <row r="25" spans="1:12" x14ac:dyDescent="0.25">
      <c r="A25" s="67" t="s">
        <v>295</v>
      </c>
      <c r="B25" s="68" t="e">
        <f ca="1">SUM('output Final energy by uses'!B27:B38)</f>
        <v>#VALUE!</v>
      </c>
      <c r="C25" s="68" t="e">
        <f ca="1">SUM('output Final energy by uses'!C27:C38)</f>
        <v>#VALUE!</v>
      </c>
      <c r="D25" s="68" t="e">
        <f ca="1">SUM('output Final energy by uses'!D27:D38)</f>
        <v>#VALUE!</v>
      </c>
      <c r="E25" s="68" t="e">
        <f ca="1">SUM('output Final energy by uses'!E27:E38)</f>
        <v>#VALUE!</v>
      </c>
      <c r="F25" s="68" t="e">
        <f ca="1">SUM('output Final energy by uses'!F27:F38)</f>
        <v>#VALUE!</v>
      </c>
      <c r="G25" s="68" t="e">
        <f ca="1">SUM('output Final energy by uses'!G27:G38)</f>
        <v>#VALUE!</v>
      </c>
      <c r="H25" s="68" t="e">
        <f ca="1">SUM('output Final energy by uses'!H27:H38)</f>
        <v>#VALUE!</v>
      </c>
      <c r="I25" s="53"/>
      <c r="J25" s="72">
        <v>36.5</v>
      </c>
      <c r="K25" s="72">
        <v>33.200000000000003</v>
      </c>
      <c r="L25" s="72">
        <v>26.7</v>
      </c>
    </row>
    <row r="26" spans="1:12" x14ac:dyDescent="0.25">
      <c r="A26" s="67" t="s">
        <v>240</v>
      </c>
      <c r="B26" s="79" t="e">
        <f ca="1">'output Final energy by uses'!B26</f>
        <v>#VALUE!</v>
      </c>
      <c r="C26" s="79" t="e">
        <f ca="1">'output Final energy by uses'!C26</f>
        <v>#VALUE!</v>
      </c>
      <c r="D26" s="79" t="e">
        <f ca="1">'output Final energy by uses'!D26</f>
        <v>#VALUE!</v>
      </c>
      <c r="E26" s="79" t="e">
        <f ca="1">'output Final energy by uses'!E26</f>
        <v>#VALUE!</v>
      </c>
      <c r="F26" s="79" t="e">
        <f ca="1">'output Final energy by uses'!F26</f>
        <v>#VALUE!</v>
      </c>
      <c r="G26" s="79" t="e">
        <f ca="1">'output Final energy by uses'!G26</f>
        <v>#VALUE!</v>
      </c>
      <c r="H26" s="79" t="e">
        <f ca="1">'output Final energy by uses'!H26</f>
        <v>#VALUE!</v>
      </c>
      <c r="I26" s="53"/>
      <c r="J26" s="72">
        <v>4</v>
      </c>
      <c r="K26" s="72">
        <v>3</v>
      </c>
      <c r="L26" s="72">
        <v>3</v>
      </c>
    </row>
    <row r="27" spans="1:12" x14ac:dyDescent="0.25">
      <c r="A27" s="56" t="s">
        <v>245</v>
      </c>
      <c r="B27" s="80" t="e">
        <f ca="1">SUM(B19,B22:B24)</f>
        <v>#VALUE!</v>
      </c>
      <c r="C27" s="80" t="e">
        <f t="shared" ref="C27:G27" ca="1" si="13">SUM(C19,C22:C24)</f>
        <v>#VALUE!</v>
      </c>
      <c r="D27" s="80" t="e">
        <f t="shared" ca="1" si="13"/>
        <v>#VALUE!</v>
      </c>
      <c r="E27" s="80" t="e">
        <f t="shared" ca="1" si="13"/>
        <v>#VALUE!</v>
      </c>
      <c r="F27" s="80" t="e">
        <f t="shared" ca="1" si="13"/>
        <v>#VALUE!</v>
      </c>
      <c r="G27" s="80" t="e">
        <f t="shared" ca="1" si="13"/>
        <v>#VALUE!</v>
      </c>
      <c r="H27" s="80" t="e">
        <f ca="1">SUM(H19,H22:H24)</f>
        <v>#VALUE!</v>
      </c>
      <c r="I27" s="53"/>
      <c r="J27" s="93">
        <f>SUM(J19,J22:J24)</f>
        <v>155.9</v>
      </c>
      <c r="K27" s="93">
        <f t="shared" ref="K27:L27" si="14">SUM(K19,K22:K24)</f>
        <v>124.2</v>
      </c>
      <c r="L27" s="93">
        <f t="shared" si="14"/>
        <v>81.7</v>
      </c>
    </row>
  </sheetData>
  <mergeCells count="4">
    <mergeCell ref="B4:G4"/>
    <mergeCell ref="J4:K4"/>
    <mergeCell ref="B17:G17"/>
    <mergeCell ref="J17:K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/>
  </sheetPr>
  <dimension ref="A1:K41"/>
  <sheetViews>
    <sheetView workbookViewId="0">
      <selection activeCell="K26" sqref="K26"/>
    </sheetView>
  </sheetViews>
  <sheetFormatPr baseColWidth="10" defaultRowHeight="15" x14ac:dyDescent="0.25"/>
  <cols>
    <col min="2" max="2" width="34.5703125" customWidth="1"/>
    <col min="3" max="3" width="25" hidden="1" customWidth="1"/>
    <col min="4" max="4" width="4.85546875" customWidth="1"/>
    <col min="5" max="6" width="10.85546875" hidden="1" customWidth="1"/>
    <col min="7" max="11" width="12" customWidth="1"/>
  </cols>
  <sheetData>
    <row r="1" spans="1:11" ht="23.45" x14ac:dyDescent="0.55000000000000004">
      <c r="A1" s="4" t="s">
        <v>239</v>
      </c>
      <c r="B1" s="1"/>
      <c r="C1" s="1"/>
      <c r="D1" s="1"/>
    </row>
    <row r="2" spans="1:11" ht="23.45" x14ac:dyDescent="0.55000000000000004">
      <c r="A2" s="4"/>
      <c r="B2" s="1"/>
      <c r="C2" s="1"/>
      <c r="D2" s="1"/>
    </row>
    <row r="3" spans="1:11" ht="23.45" x14ac:dyDescent="0.55000000000000004">
      <c r="A3" s="4"/>
      <c r="B3" s="3" t="s">
        <v>187</v>
      </c>
      <c r="C3" s="1"/>
      <c r="D3" s="1"/>
    </row>
    <row r="4" spans="1:11" ht="14.45" x14ac:dyDescent="0.35">
      <c r="B4" s="1"/>
      <c r="C4" s="1"/>
      <c r="D4" s="1"/>
    </row>
    <row r="5" spans="1:11" ht="15.95" customHeight="1" x14ac:dyDescent="0.35">
      <c r="B5" s="49"/>
      <c r="C5" s="50"/>
      <c r="D5" s="50"/>
      <c r="E5" s="51">
        <v>2006</v>
      </c>
      <c r="F5" s="51">
        <v>2010</v>
      </c>
      <c r="G5" s="49">
        <v>2015</v>
      </c>
      <c r="H5" s="49">
        <v>2020</v>
      </c>
      <c r="I5" s="49">
        <v>2030</v>
      </c>
      <c r="J5" s="49">
        <v>2040</v>
      </c>
      <c r="K5" s="49">
        <v>2050</v>
      </c>
    </row>
    <row r="6" spans="1:11" ht="15.95" customHeight="1" x14ac:dyDescent="0.35">
      <c r="B6" s="43" t="s">
        <v>140</v>
      </c>
      <c r="C6" s="44" t="s">
        <v>124</v>
      </c>
      <c r="D6" s="43" t="s">
        <v>753</v>
      </c>
      <c r="E6" s="47" t="e">
        <f t="shared" ref="E6:K15" ca="1" si="0">Output("SCEN_ADEMEhaut", $C6, E$5)</f>
        <v>#VALUE!</v>
      </c>
      <c r="F6" s="47" t="e">
        <f t="shared" ca="1" si="0"/>
        <v>#VALUE!</v>
      </c>
      <c r="G6" s="47" t="e">
        <f t="shared" ca="1" si="0"/>
        <v>#VALUE!</v>
      </c>
      <c r="H6" s="47" t="e">
        <f t="shared" ca="1" si="0"/>
        <v>#VALUE!</v>
      </c>
      <c r="I6" s="47" t="e">
        <f t="shared" ca="1" si="0"/>
        <v>#VALUE!</v>
      </c>
      <c r="J6" s="47" t="e">
        <f t="shared" ca="1" si="0"/>
        <v>#VALUE!</v>
      </c>
      <c r="K6" s="47" t="e">
        <f t="shared" ca="1" si="0"/>
        <v>#VALUE!</v>
      </c>
    </row>
    <row r="7" spans="1:11" ht="15.95" customHeight="1" x14ac:dyDescent="0.35">
      <c r="B7" s="40" t="s">
        <v>141</v>
      </c>
      <c r="C7" s="21" t="s">
        <v>71</v>
      </c>
      <c r="D7" s="40" t="s">
        <v>753</v>
      </c>
      <c r="E7" s="41" t="e">
        <f t="shared" ca="1" si="0"/>
        <v>#VALUE!</v>
      </c>
      <c r="F7" s="41" t="e">
        <f t="shared" ca="1" si="0"/>
        <v>#VALUE!</v>
      </c>
      <c r="G7" s="41" t="e">
        <f t="shared" ca="1" si="0"/>
        <v>#VALUE!</v>
      </c>
      <c r="H7" s="41" t="e">
        <f t="shared" ca="1" si="0"/>
        <v>#VALUE!</v>
      </c>
      <c r="I7" s="41" t="e">
        <f t="shared" ca="1" si="0"/>
        <v>#VALUE!</v>
      </c>
      <c r="J7" s="41" t="e">
        <f t="shared" ca="1" si="0"/>
        <v>#VALUE!</v>
      </c>
      <c r="K7" s="41" t="e">
        <f t="shared" ca="1" si="0"/>
        <v>#VALUE!</v>
      </c>
    </row>
    <row r="8" spans="1:11" ht="15.95" customHeight="1" x14ac:dyDescent="0.35">
      <c r="B8" s="40" t="s">
        <v>72</v>
      </c>
      <c r="C8" s="21" t="s">
        <v>72</v>
      </c>
      <c r="D8" s="40" t="s">
        <v>753</v>
      </c>
      <c r="E8" s="41" t="e">
        <f t="shared" ca="1" si="0"/>
        <v>#VALUE!</v>
      </c>
      <c r="F8" s="41" t="e">
        <f t="shared" ca="1" si="0"/>
        <v>#VALUE!</v>
      </c>
      <c r="G8" s="41" t="e">
        <f t="shared" ca="1" si="0"/>
        <v>#VALUE!</v>
      </c>
      <c r="H8" s="41" t="e">
        <f t="shared" ca="1" si="0"/>
        <v>#VALUE!</v>
      </c>
      <c r="I8" s="41" t="e">
        <f t="shared" ca="1" si="0"/>
        <v>#VALUE!</v>
      </c>
      <c r="J8" s="41" t="e">
        <f t="shared" ca="1" si="0"/>
        <v>#VALUE!</v>
      </c>
      <c r="K8" s="41" t="e">
        <f t="shared" ca="1" si="0"/>
        <v>#VALUE!</v>
      </c>
    </row>
    <row r="9" spans="1:11" ht="15.95" customHeight="1" x14ac:dyDescent="0.35">
      <c r="B9" s="40" t="s">
        <v>73</v>
      </c>
      <c r="C9" s="21" t="s">
        <v>73</v>
      </c>
      <c r="D9" s="40" t="s">
        <v>753</v>
      </c>
      <c r="E9" s="41" t="e">
        <f t="shared" ca="1" si="0"/>
        <v>#VALUE!</v>
      </c>
      <c r="F9" s="41" t="e">
        <f t="shared" ca="1" si="0"/>
        <v>#VALUE!</v>
      </c>
      <c r="G9" s="41" t="e">
        <f t="shared" ca="1" si="0"/>
        <v>#VALUE!</v>
      </c>
      <c r="H9" s="41" t="e">
        <f t="shared" ca="1" si="0"/>
        <v>#VALUE!</v>
      </c>
      <c r="I9" s="41" t="e">
        <f t="shared" ca="1" si="0"/>
        <v>#VALUE!</v>
      </c>
      <c r="J9" s="41" t="e">
        <f t="shared" ca="1" si="0"/>
        <v>#VALUE!</v>
      </c>
      <c r="K9" s="41" t="e">
        <f t="shared" ca="1" si="0"/>
        <v>#VALUE!</v>
      </c>
    </row>
    <row r="10" spans="1:11" ht="15.95" customHeight="1" x14ac:dyDescent="0.35">
      <c r="B10" s="40" t="s">
        <v>125</v>
      </c>
      <c r="C10" s="21" t="s">
        <v>125</v>
      </c>
      <c r="D10" s="40" t="s">
        <v>753</v>
      </c>
      <c r="E10" s="41" t="e">
        <f t="shared" ca="1" si="0"/>
        <v>#VALUE!</v>
      </c>
      <c r="F10" s="41" t="e">
        <f t="shared" ca="1" si="0"/>
        <v>#VALUE!</v>
      </c>
      <c r="G10" s="41" t="e">
        <f t="shared" ca="1" si="0"/>
        <v>#VALUE!</v>
      </c>
      <c r="H10" s="41" t="e">
        <f t="shared" ca="1" si="0"/>
        <v>#VALUE!</v>
      </c>
      <c r="I10" s="41" t="e">
        <f t="shared" ca="1" si="0"/>
        <v>#VALUE!</v>
      </c>
      <c r="J10" s="41" t="e">
        <f t="shared" ca="1" si="0"/>
        <v>#VALUE!</v>
      </c>
      <c r="K10" s="41" t="e">
        <f t="shared" ca="1" si="0"/>
        <v>#VALUE!</v>
      </c>
    </row>
    <row r="11" spans="1:11" ht="15.95" customHeight="1" x14ac:dyDescent="0.35">
      <c r="B11" s="40" t="s">
        <v>132</v>
      </c>
      <c r="C11" s="21" t="s">
        <v>133</v>
      </c>
      <c r="D11" s="40" t="s">
        <v>754</v>
      </c>
      <c r="E11" s="41" t="e">
        <f t="shared" ca="1" si="0"/>
        <v>#VALUE!</v>
      </c>
      <c r="F11" s="41" t="e">
        <f t="shared" ca="1" si="0"/>
        <v>#VALUE!</v>
      </c>
      <c r="G11" s="41" t="e">
        <f t="shared" ca="1" si="0"/>
        <v>#VALUE!</v>
      </c>
      <c r="H11" s="41" t="e">
        <f t="shared" ca="1" si="0"/>
        <v>#VALUE!</v>
      </c>
      <c r="I11" s="41" t="e">
        <f t="shared" ca="1" si="0"/>
        <v>#VALUE!</v>
      </c>
      <c r="J11" s="41" t="e">
        <f t="shared" ca="1" si="0"/>
        <v>#VALUE!</v>
      </c>
      <c r="K11" s="41" t="e">
        <f t="shared" ca="1" si="0"/>
        <v>#VALUE!</v>
      </c>
    </row>
    <row r="12" spans="1:11" ht="15.95" customHeight="1" x14ac:dyDescent="0.35">
      <c r="B12" s="40" t="s">
        <v>126</v>
      </c>
      <c r="C12" s="21" t="s">
        <v>126</v>
      </c>
      <c r="D12" s="40" t="s">
        <v>753</v>
      </c>
      <c r="E12" s="41" t="e">
        <f t="shared" ca="1" si="0"/>
        <v>#VALUE!</v>
      </c>
      <c r="F12" s="41" t="e">
        <f t="shared" ca="1" si="0"/>
        <v>#VALUE!</v>
      </c>
      <c r="G12" s="41" t="e">
        <f t="shared" ca="1" si="0"/>
        <v>#VALUE!</v>
      </c>
      <c r="H12" s="41" t="e">
        <f t="shared" ca="1" si="0"/>
        <v>#VALUE!</v>
      </c>
      <c r="I12" s="41" t="e">
        <f t="shared" ca="1" si="0"/>
        <v>#VALUE!</v>
      </c>
      <c r="J12" s="41" t="e">
        <f t="shared" ca="1" si="0"/>
        <v>#VALUE!</v>
      </c>
      <c r="K12" s="41" t="e">
        <f t="shared" ca="1" si="0"/>
        <v>#VALUE!</v>
      </c>
    </row>
    <row r="13" spans="1:11" ht="15.95" customHeight="1" x14ac:dyDescent="0.35">
      <c r="B13" s="40" t="s">
        <v>142</v>
      </c>
      <c r="C13" s="21" t="s">
        <v>127</v>
      </c>
      <c r="D13" s="40" t="s">
        <v>753</v>
      </c>
      <c r="E13" s="41" t="e">
        <f t="shared" ca="1" si="0"/>
        <v>#VALUE!</v>
      </c>
      <c r="F13" s="41" t="e">
        <f t="shared" ca="1" si="0"/>
        <v>#VALUE!</v>
      </c>
      <c r="G13" s="41" t="e">
        <f t="shared" ca="1" si="0"/>
        <v>#VALUE!</v>
      </c>
      <c r="H13" s="41" t="e">
        <f t="shared" ca="1" si="0"/>
        <v>#VALUE!</v>
      </c>
      <c r="I13" s="41" t="e">
        <f t="shared" ca="1" si="0"/>
        <v>#VALUE!</v>
      </c>
      <c r="J13" s="41" t="e">
        <f t="shared" ca="1" si="0"/>
        <v>#VALUE!</v>
      </c>
      <c r="K13" s="41" t="e">
        <f t="shared" ca="1" si="0"/>
        <v>#VALUE!</v>
      </c>
    </row>
    <row r="14" spans="1:11" ht="15.95" customHeight="1" x14ac:dyDescent="0.35">
      <c r="B14" s="40" t="s">
        <v>128</v>
      </c>
      <c r="C14" s="21" t="s">
        <v>128</v>
      </c>
      <c r="D14" s="40" t="s">
        <v>753</v>
      </c>
      <c r="E14" s="41" t="e">
        <f t="shared" ca="1" si="0"/>
        <v>#VALUE!</v>
      </c>
      <c r="F14" s="41" t="e">
        <f t="shared" ca="1" si="0"/>
        <v>#VALUE!</v>
      </c>
      <c r="G14" s="41" t="e">
        <f t="shared" ca="1" si="0"/>
        <v>#VALUE!</v>
      </c>
      <c r="H14" s="41" t="e">
        <f t="shared" ca="1" si="0"/>
        <v>#VALUE!</v>
      </c>
      <c r="I14" s="41" t="e">
        <f t="shared" ca="1" si="0"/>
        <v>#VALUE!</v>
      </c>
      <c r="J14" s="41" t="e">
        <f t="shared" ca="1" si="0"/>
        <v>#VALUE!</v>
      </c>
      <c r="K14" s="41" t="e">
        <f t="shared" ca="1" si="0"/>
        <v>#VALUE!</v>
      </c>
    </row>
    <row r="15" spans="1:11" ht="15.95" customHeight="1" x14ac:dyDescent="0.35">
      <c r="B15" s="40" t="s">
        <v>143</v>
      </c>
      <c r="C15" s="21" t="s">
        <v>129</v>
      </c>
      <c r="D15" s="40" t="s">
        <v>754</v>
      </c>
      <c r="E15" s="41" t="e">
        <f t="shared" ca="1" si="0"/>
        <v>#VALUE!</v>
      </c>
      <c r="F15" s="41" t="e">
        <f t="shared" ca="1" si="0"/>
        <v>#VALUE!</v>
      </c>
      <c r="G15" s="41" t="e">
        <f t="shared" ca="1" si="0"/>
        <v>#VALUE!</v>
      </c>
      <c r="H15" s="41" t="e">
        <f t="shared" ca="1" si="0"/>
        <v>#VALUE!</v>
      </c>
      <c r="I15" s="41" t="e">
        <f t="shared" ca="1" si="0"/>
        <v>#VALUE!</v>
      </c>
      <c r="J15" s="41" t="e">
        <f t="shared" ca="1" si="0"/>
        <v>#VALUE!</v>
      </c>
      <c r="K15" s="41" t="e">
        <f t="shared" ca="1" si="0"/>
        <v>#VALUE!</v>
      </c>
    </row>
    <row r="16" spans="1:11" ht="15.95" customHeight="1" x14ac:dyDescent="0.35">
      <c r="B16" s="40" t="s">
        <v>755</v>
      </c>
      <c r="C16" s="21" t="s">
        <v>130</v>
      </c>
      <c r="D16" s="40" t="s">
        <v>756</v>
      </c>
      <c r="E16" s="41" t="e">
        <f t="shared" ref="E16:K25" ca="1" si="1">Output("SCEN_ADEMEhaut", $C16, E$5)</f>
        <v>#VALUE!</v>
      </c>
      <c r="F16" s="41" t="e">
        <f t="shared" ca="1" si="1"/>
        <v>#VALUE!</v>
      </c>
      <c r="G16" s="41" t="e">
        <f t="shared" ca="1" si="1"/>
        <v>#VALUE!</v>
      </c>
      <c r="H16" s="41" t="e">
        <f t="shared" ca="1" si="1"/>
        <v>#VALUE!</v>
      </c>
      <c r="I16" s="41" t="e">
        <f t="shared" ca="1" si="1"/>
        <v>#VALUE!</v>
      </c>
      <c r="J16" s="41" t="e">
        <f t="shared" ca="1" si="1"/>
        <v>#VALUE!</v>
      </c>
      <c r="K16" s="41" t="e">
        <f t="shared" ca="1" si="1"/>
        <v>#VALUE!</v>
      </c>
    </row>
    <row r="17" spans="2:11" ht="15.95" customHeight="1" x14ac:dyDescent="0.35">
      <c r="B17" s="46" t="s">
        <v>144</v>
      </c>
      <c r="C17" s="22" t="s">
        <v>131</v>
      </c>
      <c r="D17" s="40" t="s">
        <v>756</v>
      </c>
      <c r="E17" s="48" t="e">
        <f t="shared" ca="1" si="1"/>
        <v>#VALUE!</v>
      </c>
      <c r="F17" s="48" t="e">
        <f t="shared" ca="1" si="1"/>
        <v>#VALUE!</v>
      </c>
      <c r="G17" s="48" t="e">
        <f t="shared" ca="1" si="1"/>
        <v>#VALUE!</v>
      </c>
      <c r="H17" s="48" t="e">
        <f t="shared" ca="1" si="1"/>
        <v>#VALUE!</v>
      </c>
      <c r="I17" s="48" t="e">
        <f t="shared" ca="1" si="1"/>
        <v>#VALUE!</v>
      </c>
      <c r="J17" s="48" t="e">
        <f t="shared" ca="1" si="1"/>
        <v>#VALUE!</v>
      </c>
      <c r="K17" s="48" t="e">
        <f t="shared" ca="1" si="1"/>
        <v>#VALUE!</v>
      </c>
    </row>
    <row r="18" spans="2:11" ht="15.95" customHeight="1" x14ac:dyDescent="0.35">
      <c r="B18" s="43" t="s">
        <v>145</v>
      </c>
      <c r="C18" s="44" t="s">
        <v>134</v>
      </c>
      <c r="D18" s="43"/>
      <c r="E18" s="45" t="e">
        <f t="shared" ca="1" si="1"/>
        <v>#VALUE!</v>
      </c>
      <c r="F18" s="45" t="e">
        <f t="shared" ca="1" si="1"/>
        <v>#VALUE!</v>
      </c>
      <c r="G18" s="45" t="e">
        <f t="shared" ca="1" si="1"/>
        <v>#VALUE!</v>
      </c>
      <c r="H18" s="45" t="e">
        <f t="shared" ca="1" si="1"/>
        <v>#VALUE!</v>
      </c>
      <c r="I18" s="45" t="e">
        <f t="shared" ca="1" si="1"/>
        <v>#VALUE!</v>
      </c>
      <c r="J18" s="45" t="e">
        <f t="shared" ca="1" si="1"/>
        <v>#VALUE!</v>
      </c>
      <c r="K18" s="45" t="e">
        <f t="shared" ca="1" si="1"/>
        <v>#VALUE!</v>
      </c>
    </row>
    <row r="19" spans="2:11" ht="15.95" customHeight="1" x14ac:dyDescent="0.25">
      <c r="B19" s="40" t="s">
        <v>135</v>
      </c>
      <c r="C19" s="21" t="s">
        <v>135</v>
      </c>
      <c r="D19" s="40" t="s">
        <v>753</v>
      </c>
      <c r="E19" s="42" t="e">
        <f t="shared" ca="1" si="1"/>
        <v>#VALUE!</v>
      </c>
      <c r="F19" s="42" t="e">
        <f t="shared" ca="1" si="1"/>
        <v>#VALUE!</v>
      </c>
      <c r="G19" s="42" t="e">
        <f t="shared" ca="1" si="1"/>
        <v>#VALUE!</v>
      </c>
      <c r="H19" s="42" t="e">
        <f t="shared" ca="1" si="1"/>
        <v>#VALUE!</v>
      </c>
      <c r="I19" s="42" t="e">
        <f t="shared" ca="1" si="1"/>
        <v>#VALUE!</v>
      </c>
      <c r="J19" s="42" t="e">
        <f t="shared" ca="1" si="1"/>
        <v>#VALUE!</v>
      </c>
      <c r="K19" s="42" t="e">
        <f t="shared" ca="1" si="1"/>
        <v>#VALUE!</v>
      </c>
    </row>
    <row r="20" spans="2:11" ht="15.95" customHeight="1" x14ac:dyDescent="0.25">
      <c r="B20" s="40" t="s">
        <v>146</v>
      </c>
      <c r="C20" s="21" t="s">
        <v>136</v>
      </c>
      <c r="D20" s="40"/>
      <c r="E20" s="42" t="e">
        <f t="shared" ca="1" si="1"/>
        <v>#VALUE!</v>
      </c>
      <c r="F20" s="42" t="e">
        <f t="shared" ca="1" si="1"/>
        <v>#VALUE!</v>
      </c>
      <c r="G20" s="42" t="e">
        <f t="shared" ca="1" si="1"/>
        <v>#VALUE!</v>
      </c>
      <c r="H20" s="42" t="e">
        <f t="shared" ca="1" si="1"/>
        <v>#VALUE!</v>
      </c>
      <c r="I20" s="42" t="e">
        <f t="shared" ca="1" si="1"/>
        <v>#VALUE!</v>
      </c>
      <c r="J20" s="42" t="e">
        <f t="shared" ca="1" si="1"/>
        <v>#VALUE!</v>
      </c>
      <c r="K20" s="42" t="e">
        <f t="shared" ca="1" si="1"/>
        <v>#VALUE!</v>
      </c>
    </row>
    <row r="21" spans="2:11" ht="15.95" customHeight="1" x14ac:dyDescent="0.25">
      <c r="B21" s="40" t="s">
        <v>758</v>
      </c>
      <c r="C21" s="21" t="s">
        <v>137</v>
      </c>
      <c r="D21" s="40" t="s">
        <v>757</v>
      </c>
      <c r="E21" s="42" t="e">
        <f t="shared" ca="1" si="1"/>
        <v>#VALUE!</v>
      </c>
      <c r="F21" s="42" t="e">
        <f t="shared" ca="1" si="1"/>
        <v>#VALUE!</v>
      </c>
      <c r="G21" s="42" t="e">
        <f t="shared" ca="1" si="1"/>
        <v>#VALUE!</v>
      </c>
      <c r="H21" s="42" t="e">
        <f t="shared" ca="1" si="1"/>
        <v>#VALUE!</v>
      </c>
      <c r="I21" s="42" t="e">
        <f t="shared" ca="1" si="1"/>
        <v>#VALUE!</v>
      </c>
      <c r="J21" s="42" t="e">
        <f t="shared" ca="1" si="1"/>
        <v>#VALUE!</v>
      </c>
      <c r="K21" s="42" t="e">
        <f t="shared" ca="1" si="1"/>
        <v>#VALUE!</v>
      </c>
    </row>
    <row r="22" spans="2:11" ht="15.95" customHeight="1" x14ac:dyDescent="0.25">
      <c r="B22" s="112" t="s">
        <v>437</v>
      </c>
      <c r="C22" s="21" t="s">
        <v>440</v>
      </c>
      <c r="D22" s="40"/>
      <c r="E22" s="42" t="e">
        <f t="shared" ca="1" si="1"/>
        <v>#VALUE!</v>
      </c>
      <c r="F22" s="42" t="e">
        <f t="shared" ca="1" si="1"/>
        <v>#VALUE!</v>
      </c>
      <c r="G22" s="42" t="e">
        <f t="shared" ca="1" si="1"/>
        <v>#VALUE!</v>
      </c>
      <c r="H22" s="42" t="e">
        <f t="shared" ca="1" si="1"/>
        <v>#VALUE!</v>
      </c>
      <c r="I22" s="42" t="e">
        <f t="shared" ca="1" si="1"/>
        <v>#VALUE!</v>
      </c>
      <c r="J22" s="42" t="e">
        <f t="shared" ca="1" si="1"/>
        <v>#VALUE!</v>
      </c>
      <c r="K22" s="42" t="e">
        <f t="shared" ca="1" si="1"/>
        <v>#VALUE!</v>
      </c>
    </row>
    <row r="23" spans="2:11" ht="15.95" customHeight="1" x14ac:dyDescent="0.25">
      <c r="B23" s="112" t="s">
        <v>438</v>
      </c>
      <c r="C23" s="21" t="s">
        <v>441</v>
      </c>
      <c r="D23" s="40"/>
      <c r="E23" s="42" t="e">
        <f t="shared" ca="1" si="1"/>
        <v>#VALUE!</v>
      </c>
      <c r="F23" s="42" t="e">
        <f t="shared" ca="1" si="1"/>
        <v>#VALUE!</v>
      </c>
      <c r="G23" s="42" t="e">
        <f t="shared" ca="1" si="1"/>
        <v>#VALUE!</v>
      </c>
      <c r="H23" s="42" t="e">
        <f t="shared" ca="1" si="1"/>
        <v>#VALUE!</v>
      </c>
      <c r="I23" s="42" t="e">
        <f t="shared" ca="1" si="1"/>
        <v>#VALUE!</v>
      </c>
      <c r="J23" s="42" t="e">
        <f t="shared" ca="1" si="1"/>
        <v>#VALUE!</v>
      </c>
      <c r="K23" s="42" t="e">
        <f t="shared" ca="1" si="1"/>
        <v>#VALUE!</v>
      </c>
    </row>
    <row r="24" spans="2:11" ht="15.95" customHeight="1" x14ac:dyDescent="0.25">
      <c r="B24" s="112" t="s">
        <v>439</v>
      </c>
      <c r="C24" s="21" t="s">
        <v>442</v>
      </c>
      <c r="D24" s="40"/>
      <c r="E24" s="42" t="e">
        <f t="shared" ca="1" si="1"/>
        <v>#VALUE!</v>
      </c>
      <c r="F24" s="42" t="e">
        <f t="shared" ca="1" si="1"/>
        <v>#VALUE!</v>
      </c>
      <c r="G24" s="42" t="e">
        <f t="shared" ca="1" si="1"/>
        <v>#VALUE!</v>
      </c>
      <c r="H24" s="42" t="e">
        <f t="shared" ca="1" si="1"/>
        <v>#VALUE!</v>
      </c>
      <c r="I24" s="42" t="e">
        <f t="shared" ca="1" si="1"/>
        <v>#VALUE!</v>
      </c>
      <c r="J24" s="42" t="e">
        <f t="shared" ca="1" si="1"/>
        <v>#VALUE!</v>
      </c>
      <c r="K24" s="42" t="e">
        <f t="shared" ca="1" si="1"/>
        <v>#VALUE!</v>
      </c>
    </row>
    <row r="25" spans="2:11" ht="15.95" customHeight="1" x14ac:dyDescent="0.25">
      <c r="B25" s="40" t="s">
        <v>148</v>
      </c>
      <c r="C25" s="21" t="s">
        <v>138</v>
      </c>
      <c r="D25" s="40" t="s">
        <v>756</v>
      </c>
      <c r="E25" s="41" t="e">
        <f t="shared" ca="1" si="1"/>
        <v>#VALUE!</v>
      </c>
      <c r="F25" s="41" t="e">
        <f t="shared" ca="1" si="1"/>
        <v>#VALUE!</v>
      </c>
      <c r="G25" s="41" t="e">
        <f t="shared" ca="1" si="1"/>
        <v>#VALUE!</v>
      </c>
      <c r="H25" s="41" t="e">
        <f t="shared" ca="1" si="1"/>
        <v>#VALUE!</v>
      </c>
      <c r="I25" s="41" t="e">
        <f t="shared" ca="1" si="1"/>
        <v>#VALUE!</v>
      </c>
      <c r="J25" s="41" t="e">
        <f t="shared" ca="1" si="1"/>
        <v>#VALUE!</v>
      </c>
      <c r="K25" s="41" t="e">
        <f t="shared" ca="1" si="1"/>
        <v>#VALUE!</v>
      </c>
    </row>
    <row r="26" spans="2:11" ht="15.95" customHeight="1" x14ac:dyDescent="0.25">
      <c r="B26" s="46" t="s">
        <v>147</v>
      </c>
      <c r="C26" s="22" t="s">
        <v>139</v>
      </c>
      <c r="D26" s="40" t="s">
        <v>759</v>
      </c>
      <c r="E26" s="116" t="e">
        <f ca="1">Output("SCEN_ADEMEhaut", $C26, E$5)/1000</f>
        <v>#VALUE!</v>
      </c>
      <c r="F26" s="116" t="e">
        <f t="shared" ref="F26:K26" ca="1" si="2">Output("SCEN_ADEMEhaut", $C26, F$5)/1000</f>
        <v>#VALUE!</v>
      </c>
      <c r="G26" s="116" t="e">
        <f t="shared" ca="1" si="2"/>
        <v>#VALUE!</v>
      </c>
      <c r="H26" s="116" t="e">
        <f t="shared" ca="1" si="2"/>
        <v>#VALUE!</v>
      </c>
      <c r="I26" s="116" t="e">
        <f ca="1">Output("SCEN_ADEMEhaut", $C26, I$5)/1000</f>
        <v>#VALUE!</v>
      </c>
      <c r="J26" s="116" t="e">
        <f t="shared" ca="1" si="2"/>
        <v>#VALUE!</v>
      </c>
      <c r="K26" s="116" t="e">
        <f t="shared" ca="1" si="2"/>
        <v>#VALUE!</v>
      </c>
    </row>
    <row r="27" spans="2:11" x14ac:dyDescent="0.25">
      <c r="B27" s="119" t="s">
        <v>460</v>
      </c>
      <c r="C27" s="121" t="s">
        <v>448</v>
      </c>
      <c r="D27" s="43"/>
      <c r="E27" s="117" t="e">
        <f t="shared" ref="E27:K36" ca="1" si="3">Output("SCEN_ADEMEhaut", $C27, E$5)</f>
        <v>#VALUE!</v>
      </c>
      <c r="F27" s="117" t="e">
        <f t="shared" ref="F27:J31" ca="1" si="4">Output("SCEN_ADEMEhaut", $C27, F$5)</f>
        <v>#VALUE!</v>
      </c>
      <c r="G27" s="117" t="e">
        <f t="shared" ca="1" si="4"/>
        <v>#VALUE!</v>
      </c>
      <c r="H27" s="117" t="e">
        <f t="shared" ca="1" si="4"/>
        <v>#VALUE!</v>
      </c>
      <c r="I27" s="117" t="e">
        <f t="shared" ca="1" si="4"/>
        <v>#VALUE!</v>
      </c>
      <c r="J27" s="117" t="e">
        <f t="shared" ca="1" si="4"/>
        <v>#VALUE!</v>
      </c>
      <c r="K27" s="117" t="e">
        <f t="shared" ref="K27:K31" ca="1" si="5">Output("SCEN_ADEMEhaut", $C27, K$5)</f>
        <v>#VALUE!</v>
      </c>
    </row>
    <row r="28" spans="2:11" x14ac:dyDescent="0.25">
      <c r="B28" s="118" t="s">
        <v>444</v>
      </c>
      <c r="C28" s="121" t="s">
        <v>449</v>
      </c>
      <c r="D28" s="40"/>
      <c r="E28" s="117" t="e">
        <f t="shared" ca="1" si="3"/>
        <v>#VALUE!</v>
      </c>
      <c r="F28" s="117" t="e">
        <f t="shared" ca="1" si="4"/>
        <v>#VALUE!</v>
      </c>
      <c r="G28" s="117" t="e">
        <f t="shared" ca="1" si="4"/>
        <v>#VALUE!</v>
      </c>
      <c r="H28" s="117" t="e">
        <f t="shared" ca="1" si="4"/>
        <v>#VALUE!</v>
      </c>
      <c r="I28" s="117" t="e">
        <f t="shared" ca="1" si="4"/>
        <v>#VALUE!</v>
      </c>
      <c r="J28" s="117" t="e">
        <f t="shared" ca="1" si="4"/>
        <v>#VALUE!</v>
      </c>
      <c r="K28" s="117" t="e">
        <f t="shared" ca="1" si="5"/>
        <v>#VALUE!</v>
      </c>
    </row>
    <row r="29" spans="2:11" x14ac:dyDescent="0.25">
      <c r="B29" s="118" t="s">
        <v>182</v>
      </c>
      <c r="C29" s="121" t="s">
        <v>450</v>
      </c>
      <c r="D29" s="40"/>
      <c r="E29" s="117" t="e">
        <f t="shared" ca="1" si="3"/>
        <v>#VALUE!</v>
      </c>
      <c r="F29" s="117" t="e">
        <f t="shared" ca="1" si="4"/>
        <v>#VALUE!</v>
      </c>
      <c r="G29" s="117" t="e">
        <f t="shared" ca="1" si="4"/>
        <v>#VALUE!</v>
      </c>
      <c r="H29" s="117" t="e">
        <f t="shared" ca="1" si="4"/>
        <v>#VALUE!</v>
      </c>
      <c r="I29" s="117" t="e">
        <f t="shared" ca="1" si="4"/>
        <v>#VALUE!</v>
      </c>
      <c r="J29" s="117" t="e">
        <f t="shared" ca="1" si="4"/>
        <v>#VALUE!</v>
      </c>
      <c r="K29" s="117" t="e">
        <f t="shared" ca="1" si="5"/>
        <v>#VALUE!</v>
      </c>
    </row>
    <row r="30" spans="2:11" x14ac:dyDescent="0.25">
      <c r="B30" s="118" t="s">
        <v>446</v>
      </c>
      <c r="C30" s="121" t="s">
        <v>451</v>
      </c>
      <c r="D30" s="40"/>
      <c r="E30" s="117" t="e">
        <f t="shared" ca="1" si="3"/>
        <v>#VALUE!</v>
      </c>
      <c r="F30" s="117" t="e">
        <f t="shared" ca="1" si="4"/>
        <v>#VALUE!</v>
      </c>
      <c r="G30" s="117" t="e">
        <f t="shared" ca="1" si="4"/>
        <v>#VALUE!</v>
      </c>
      <c r="H30" s="117" t="e">
        <f t="shared" ca="1" si="4"/>
        <v>#VALUE!</v>
      </c>
      <c r="I30" s="117" t="e">
        <f t="shared" ca="1" si="4"/>
        <v>#VALUE!</v>
      </c>
      <c r="J30" s="117" t="e">
        <f t="shared" ca="1" si="4"/>
        <v>#VALUE!</v>
      </c>
      <c r="K30" s="117" t="e">
        <f t="shared" ca="1" si="5"/>
        <v>#VALUE!</v>
      </c>
    </row>
    <row r="31" spans="2:11" x14ac:dyDescent="0.25">
      <c r="B31" s="120" t="s">
        <v>372</v>
      </c>
      <c r="C31" s="122" t="s">
        <v>447</v>
      </c>
      <c r="D31" s="40"/>
      <c r="E31" s="116" t="e">
        <f t="shared" ca="1" si="3"/>
        <v>#VALUE!</v>
      </c>
      <c r="F31" s="116" t="e">
        <f t="shared" ca="1" si="4"/>
        <v>#VALUE!</v>
      </c>
      <c r="G31" s="116" t="e">
        <f t="shared" ca="1" si="4"/>
        <v>#VALUE!</v>
      </c>
      <c r="H31" s="116" t="e">
        <f t="shared" ca="1" si="4"/>
        <v>#VALUE!</v>
      </c>
      <c r="I31" s="116" t="e">
        <f t="shared" ca="1" si="4"/>
        <v>#VALUE!</v>
      </c>
      <c r="J31" s="116" t="e">
        <f t="shared" ca="1" si="4"/>
        <v>#VALUE!</v>
      </c>
      <c r="K31" s="116" t="e">
        <f t="shared" ca="1" si="5"/>
        <v>#VALUE!</v>
      </c>
    </row>
    <row r="32" spans="2:11" x14ac:dyDescent="0.25">
      <c r="B32" s="113" t="s">
        <v>443</v>
      </c>
      <c r="C32" s="121" t="s">
        <v>455</v>
      </c>
      <c r="D32" s="43"/>
      <c r="E32" s="117" t="e">
        <f t="shared" ca="1" si="3"/>
        <v>#VALUE!</v>
      </c>
      <c r="F32" s="117" t="e">
        <f t="shared" ca="1" si="3"/>
        <v>#VALUE!</v>
      </c>
      <c r="G32" s="117" t="e">
        <f t="shared" ca="1" si="3"/>
        <v>#VALUE!</v>
      </c>
      <c r="H32" s="117" t="e">
        <f t="shared" ca="1" si="3"/>
        <v>#VALUE!</v>
      </c>
      <c r="I32" s="117" t="e">
        <f t="shared" ca="1" si="3"/>
        <v>#VALUE!</v>
      </c>
      <c r="J32" s="117" t="e">
        <f t="shared" ca="1" si="3"/>
        <v>#VALUE!</v>
      </c>
      <c r="K32" s="117" t="e">
        <f t="shared" ca="1" si="3"/>
        <v>#VALUE!</v>
      </c>
    </row>
    <row r="33" spans="2:11" x14ac:dyDescent="0.25">
      <c r="B33" s="114" t="s">
        <v>444</v>
      </c>
      <c r="C33" s="121" t="s">
        <v>452</v>
      </c>
      <c r="D33" s="40"/>
      <c r="E33" s="117" t="e">
        <f t="shared" ca="1" si="3"/>
        <v>#VALUE!</v>
      </c>
      <c r="F33" s="117" t="e">
        <f t="shared" ca="1" si="3"/>
        <v>#VALUE!</v>
      </c>
      <c r="G33" s="117" t="e">
        <f t="shared" ca="1" si="3"/>
        <v>#VALUE!</v>
      </c>
      <c r="H33" s="117" t="e">
        <f t="shared" ca="1" si="3"/>
        <v>#VALUE!</v>
      </c>
      <c r="I33" s="117" t="e">
        <f t="shared" ca="1" si="3"/>
        <v>#VALUE!</v>
      </c>
      <c r="J33" s="117" t="e">
        <f t="shared" ca="1" si="3"/>
        <v>#VALUE!</v>
      </c>
      <c r="K33" s="117" t="e">
        <f t="shared" ca="1" si="3"/>
        <v>#VALUE!</v>
      </c>
    </row>
    <row r="34" spans="2:11" x14ac:dyDescent="0.25">
      <c r="B34" s="114" t="s">
        <v>182</v>
      </c>
      <c r="C34" s="121" t="s">
        <v>453</v>
      </c>
      <c r="D34" s="40"/>
      <c r="E34" s="117" t="e">
        <f t="shared" ca="1" si="3"/>
        <v>#VALUE!</v>
      </c>
      <c r="F34" s="117" t="e">
        <f t="shared" ca="1" si="3"/>
        <v>#VALUE!</v>
      </c>
      <c r="G34" s="117" t="e">
        <f t="shared" ca="1" si="3"/>
        <v>#VALUE!</v>
      </c>
      <c r="H34" s="117" t="e">
        <f t="shared" ca="1" si="3"/>
        <v>#VALUE!</v>
      </c>
      <c r="I34" s="117" t="e">
        <f t="shared" ca="1" si="3"/>
        <v>#VALUE!</v>
      </c>
      <c r="J34" s="117" t="e">
        <f t="shared" ca="1" si="3"/>
        <v>#VALUE!</v>
      </c>
      <c r="K34" s="117" t="e">
        <f t="shared" ca="1" si="3"/>
        <v>#VALUE!</v>
      </c>
    </row>
    <row r="35" spans="2:11" x14ac:dyDescent="0.25">
      <c r="B35" s="114" t="s">
        <v>372</v>
      </c>
      <c r="C35" s="121" t="s">
        <v>454</v>
      </c>
      <c r="D35" s="40"/>
      <c r="E35" s="117" t="e">
        <f t="shared" ca="1" si="3"/>
        <v>#VALUE!</v>
      </c>
      <c r="F35" s="117" t="e">
        <f t="shared" ca="1" si="3"/>
        <v>#VALUE!</v>
      </c>
      <c r="G35" s="117" t="e">
        <f t="shared" ca="1" si="3"/>
        <v>#VALUE!</v>
      </c>
      <c r="H35" s="117" t="e">
        <f t="shared" ca="1" si="3"/>
        <v>#VALUE!</v>
      </c>
      <c r="I35" s="117" t="e">
        <f t="shared" ca="1" si="3"/>
        <v>#VALUE!</v>
      </c>
      <c r="J35" s="117" t="e">
        <f t="shared" ca="1" si="3"/>
        <v>#VALUE!</v>
      </c>
      <c r="K35" s="117" t="e">
        <f t="shared" ca="1" si="3"/>
        <v>#VALUE!</v>
      </c>
    </row>
    <row r="36" spans="2:11" x14ac:dyDescent="0.25">
      <c r="B36" s="113" t="s">
        <v>445</v>
      </c>
      <c r="C36" s="121" t="s">
        <v>456</v>
      </c>
      <c r="D36" s="40"/>
      <c r="E36" s="117" t="e">
        <f ca="1">Output("SCEN_ADEMEhaut", $C36, E$5)</f>
        <v>#VALUE!</v>
      </c>
      <c r="F36" s="117" t="e">
        <f t="shared" ca="1" si="3"/>
        <v>#VALUE!</v>
      </c>
      <c r="G36" s="117" t="e">
        <f t="shared" ca="1" si="3"/>
        <v>#VALUE!</v>
      </c>
      <c r="H36" s="117" t="e">
        <f t="shared" ca="1" si="3"/>
        <v>#VALUE!</v>
      </c>
      <c r="I36" s="117" t="e">
        <f t="shared" ca="1" si="3"/>
        <v>#VALUE!</v>
      </c>
      <c r="J36" s="117" t="e">
        <f t="shared" ca="1" si="3"/>
        <v>#VALUE!</v>
      </c>
      <c r="K36" s="117" t="e">
        <f t="shared" ca="1" si="3"/>
        <v>#VALUE!</v>
      </c>
    </row>
    <row r="37" spans="2:11" x14ac:dyDescent="0.25">
      <c r="B37" s="114" t="s">
        <v>444</v>
      </c>
      <c r="C37" s="121" t="s">
        <v>458</v>
      </c>
      <c r="D37" s="40"/>
      <c r="E37" s="117" t="e">
        <f t="shared" ref="E37:K39" ca="1" si="6">Output("SCEN_ADEMEhaut", $C37, E$5)</f>
        <v>#VALUE!</v>
      </c>
      <c r="F37" s="117" t="e">
        <f t="shared" ca="1" si="6"/>
        <v>#VALUE!</v>
      </c>
      <c r="G37" s="117" t="e">
        <f t="shared" ca="1" si="6"/>
        <v>#VALUE!</v>
      </c>
      <c r="H37" s="117" t="e">
        <f t="shared" ca="1" si="6"/>
        <v>#VALUE!</v>
      </c>
      <c r="I37" s="117" t="e">
        <f t="shared" ca="1" si="6"/>
        <v>#VALUE!</v>
      </c>
      <c r="J37" s="117" t="e">
        <f t="shared" ca="1" si="6"/>
        <v>#VALUE!</v>
      </c>
      <c r="K37" s="117" t="e">
        <f t="shared" ca="1" si="6"/>
        <v>#VALUE!</v>
      </c>
    </row>
    <row r="38" spans="2:11" x14ac:dyDescent="0.25">
      <c r="B38" s="114" t="s">
        <v>182</v>
      </c>
      <c r="C38" s="121" t="s">
        <v>457</v>
      </c>
      <c r="D38" s="40"/>
      <c r="E38" s="117" t="e">
        <f t="shared" ca="1" si="6"/>
        <v>#VALUE!</v>
      </c>
      <c r="F38" s="117" t="e">
        <f t="shared" ca="1" si="6"/>
        <v>#VALUE!</v>
      </c>
      <c r="G38" s="117" t="e">
        <f t="shared" ca="1" si="6"/>
        <v>#VALUE!</v>
      </c>
      <c r="H38" s="117" t="e">
        <f t="shared" ca="1" si="6"/>
        <v>#VALUE!</v>
      </c>
      <c r="I38" s="117" t="e">
        <f t="shared" ca="1" si="6"/>
        <v>#VALUE!</v>
      </c>
      <c r="J38" s="117" t="e">
        <f t="shared" ca="1" si="6"/>
        <v>#VALUE!</v>
      </c>
      <c r="K38" s="117" t="e">
        <f t="shared" ca="1" si="6"/>
        <v>#VALUE!</v>
      </c>
    </row>
    <row r="39" spans="2:11" x14ac:dyDescent="0.25">
      <c r="B39" s="115" t="s">
        <v>372</v>
      </c>
      <c r="C39" s="122" t="s">
        <v>459</v>
      </c>
      <c r="D39" s="46"/>
      <c r="E39" s="116" t="e">
        <f t="shared" ca="1" si="6"/>
        <v>#VALUE!</v>
      </c>
      <c r="F39" s="116" t="e">
        <f t="shared" ca="1" si="6"/>
        <v>#VALUE!</v>
      </c>
      <c r="G39" s="116" t="e">
        <f t="shared" ca="1" si="6"/>
        <v>#VALUE!</v>
      </c>
      <c r="H39" s="116" t="e">
        <f t="shared" ca="1" si="6"/>
        <v>#VALUE!</v>
      </c>
      <c r="I39" s="116" t="e">
        <f t="shared" ca="1" si="6"/>
        <v>#VALUE!</v>
      </c>
      <c r="J39" s="116" t="e">
        <f t="shared" ca="1" si="6"/>
        <v>#VALUE!</v>
      </c>
      <c r="K39" s="116" t="e">
        <f t="shared" ca="1" si="6"/>
        <v>#VALUE!</v>
      </c>
    </row>
    <row r="40" spans="2:11" x14ac:dyDescent="0.25">
      <c r="B40" s="133" t="s">
        <v>760</v>
      </c>
      <c r="C40" s="134"/>
      <c r="D40" s="134"/>
      <c r="E40" s="134"/>
      <c r="F40" s="134"/>
      <c r="G40" s="134"/>
      <c r="H40" s="134"/>
      <c r="I40" s="134"/>
      <c r="J40" s="134"/>
      <c r="K40" s="134"/>
    </row>
    <row r="41" spans="2:11" x14ac:dyDescent="0.25">
      <c r="B41" s="135" t="s">
        <v>761</v>
      </c>
      <c r="C41" s="134"/>
      <c r="D41" s="134"/>
      <c r="E41" s="134"/>
      <c r="F41" s="134"/>
      <c r="G41" s="134"/>
      <c r="H41" s="134"/>
      <c r="I41" s="134"/>
      <c r="J41" s="134"/>
      <c r="K41" s="134"/>
    </row>
  </sheetData>
  <pageMargins left="0.7" right="0.7" top="0.75" bottom="0.75" header="0.3" footer="0.3"/>
  <ignoredErrors>
    <ignoredError sqref="E26:H26 J26:K2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92D050"/>
  </sheetPr>
  <dimension ref="A1:M42"/>
  <sheetViews>
    <sheetView workbookViewId="0">
      <selection activeCell="H36" sqref="H36"/>
    </sheetView>
  </sheetViews>
  <sheetFormatPr baseColWidth="10" defaultRowHeight="15" x14ac:dyDescent="0.25"/>
  <cols>
    <col min="3" max="3" width="48.28515625" bestFit="1" customWidth="1"/>
    <col min="4" max="4" width="17.5703125" hidden="1" customWidth="1"/>
  </cols>
  <sheetData>
    <row r="1" spans="1:13" ht="23.45" x14ac:dyDescent="0.55000000000000004">
      <c r="A1" s="4" t="s">
        <v>312</v>
      </c>
      <c r="B1" s="4"/>
      <c r="C1" s="1"/>
      <c r="D1" s="1"/>
    </row>
    <row r="2" spans="1:13" ht="23.45" x14ac:dyDescent="0.55000000000000004">
      <c r="A2" s="4"/>
      <c r="B2" s="4"/>
      <c r="C2" s="1"/>
      <c r="D2" s="1"/>
    </row>
    <row r="3" spans="1:13" ht="23.45" x14ac:dyDescent="0.55000000000000004">
      <c r="A3" s="4"/>
      <c r="B3" s="4"/>
      <c r="C3" s="3" t="s">
        <v>187</v>
      </c>
      <c r="D3" s="1"/>
    </row>
    <row r="4" spans="1:13" ht="14.45" x14ac:dyDescent="0.35">
      <c r="C4" s="1"/>
      <c r="D4" s="1"/>
    </row>
    <row r="5" spans="1:13" ht="14.45" x14ac:dyDescent="0.35">
      <c r="B5" s="50"/>
      <c r="C5" s="49" t="s">
        <v>370</v>
      </c>
      <c r="D5" s="50"/>
      <c r="E5" s="51">
        <v>2006</v>
      </c>
      <c r="F5" s="51">
        <v>2010</v>
      </c>
      <c r="G5" s="49">
        <v>2015</v>
      </c>
      <c r="H5" s="49">
        <v>2020</v>
      </c>
      <c r="I5" s="49">
        <v>2030</v>
      </c>
      <c r="J5" s="49">
        <v>2040</v>
      </c>
      <c r="K5" s="49">
        <v>2050</v>
      </c>
    </row>
    <row r="6" spans="1:13" x14ac:dyDescent="0.25">
      <c r="B6" s="168" t="s">
        <v>371</v>
      </c>
      <c r="C6" s="40" t="s">
        <v>350</v>
      </c>
      <c r="D6" t="s">
        <v>313</v>
      </c>
      <c r="E6" s="109" t="e">
        <f t="shared" ref="E6:K42" ca="1" si="0">Output("SCEN_ADEMEhaut", $D6, E$5)</f>
        <v>#VALUE!</v>
      </c>
      <c r="F6" s="109" t="e">
        <f t="shared" ref="F6:K20" ca="1" si="1">Output("SCEN_ADEMEhaut", $D6, F$5)</f>
        <v>#VALUE!</v>
      </c>
      <c r="G6" s="109" t="e">
        <f t="shared" ca="1" si="1"/>
        <v>#VALUE!</v>
      </c>
      <c r="H6" s="109" t="e">
        <f t="shared" ca="1" si="1"/>
        <v>#VALUE!</v>
      </c>
      <c r="I6" s="109" t="e">
        <f t="shared" ca="1" si="1"/>
        <v>#VALUE!</v>
      </c>
      <c r="J6" s="109" t="e">
        <f t="shared" ca="1" si="1"/>
        <v>#VALUE!</v>
      </c>
      <c r="K6" s="109" t="e">
        <f t="shared" ca="1" si="1"/>
        <v>#VALUE!</v>
      </c>
      <c r="M6" s="108"/>
    </row>
    <row r="7" spans="1:13" x14ac:dyDescent="0.25">
      <c r="B7" s="169"/>
      <c r="C7" s="40" t="s">
        <v>351</v>
      </c>
      <c r="D7" t="s">
        <v>314</v>
      </c>
      <c r="E7" s="109" t="e">
        <f t="shared" ca="1" si="0"/>
        <v>#VALUE!</v>
      </c>
      <c r="F7" s="109" t="e">
        <f t="shared" ca="1" si="1"/>
        <v>#VALUE!</v>
      </c>
      <c r="G7" s="109" t="e">
        <f t="shared" ca="1" si="1"/>
        <v>#VALUE!</v>
      </c>
      <c r="H7" s="109" t="e">
        <f t="shared" ca="1" si="1"/>
        <v>#VALUE!</v>
      </c>
      <c r="I7" s="109" t="e">
        <f t="shared" ca="1" si="1"/>
        <v>#VALUE!</v>
      </c>
      <c r="J7" s="109" t="e">
        <f t="shared" ca="1" si="1"/>
        <v>#VALUE!</v>
      </c>
      <c r="K7" s="109" t="e">
        <f t="shared" ca="1" si="1"/>
        <v>#VALUE!</v>
      </c>
    </row>
    <row r="8" spans="1:13" x14ac:dyDescent="0.25">
      <c r="B8" s="169"/>
      <c r="C8" s="40" t="s">
        <v>352</v>
      </c>
      <c r="D8" t="s">
        <v>315</v>
      </c>
      <c r="E8" s="109" t="e">
        <f t="shared" ca="1" si="0"/>
        <v>#VALUE!</v>
      </c>
      <c r="F8" s="109" t="e">
        <f t="shared" ca="1" si="1"/>
        <v>#VALUE!</v>
      </c>
      <c r="G8" s="109" t="e">
        <f t="shared" ca="1" si="1"/>
        <v>#VALUE!</v>
      </c>
      <c r="H8" s="109" t="e">
        <f t="shared" ca="1" si="1"/>
        <v>#VALUE!</v>
      </c>
      <c r="I8" s="109" t="e">
        <f t="shared" ca="1" si="1"/>
        <v>#VALUE!</v>
      </c>
      <c r="J8" s="109" t="e">
        <f t="shared" ca="1" si="1"/>
        <v>#VALUE!</v>
      </c>
      <c r="K8" s="109" t="e">
        <f t="shared" ca="1" si="1"/>
        <v>#VALUE!</v>
      </c>
    </row>
    <row r="9" spans="1:13" x14ac:dyDescent="0.25">
      <c r="B9" s="169"/>
      <c r="C9" s="40" t="s">
        <v>353</v>
      </c>
      <c r="D9" t="s">
        <v>316</v>
      </c>
      <c r="E9" s="109" t="e">
        <f t="shared" ca="1" si="0"/>
        <v>#VALUE!</v>
      </c>
      <c r="F9" s="109" t="e">
        <f t="shared" ca="1" si="1"/>
        <v>#VALUE!</v>
      </c>
      <c r="G9" s="109" t="e">
        <f t="shared" ca="1" si="1"/>
        <v>#VALUE!</v>
      </c>
      <c r="H9" s="109" t="e">
        <f t="shared" ca="1" si="1"/>
        <v>#VALUE!</v>
      </c>
      <c r="I9" s="109" t="e">
        <f t="shared" ca="1" si="1"/>
        <v>#VALUE!</v>
      </c>
      <c r="J9" s="109" t="e">
        <f t="shared" ca="1" si="1"/>
        <v>#VALUE!</v>
      </c>
      <c r="K9" s="109" t="e">
        <f t="shared" ca="1" si="1"/>
        <v>#VALUE!</v>
      </c>
    </row>
    <row r="10" spans="1:13" x14ac:dyDescent="0.25">
      <c r="B10" s="169"/>
      <c r="C10" s="40" t="s">
        <v>354</v>
      </c>
      <c r="D10" t="s">
        <v>317</v>
      </c>
      <c r="E10" s="109" t="e">
        <f t="shared" ca="1" si="0"/>
        <v>#VALUE!</v>
      </c>
      <c r="F10" s="109" t="e">
        <f t="shared" ca="1" si="1"/>
        <v>#VALUE!</v>
      </c>
      <c r="G10" s="109" t="e">
        <f t="shared" ca="1" si="1"/>
        <v>#VALUE!</v>
      </c>
      <c r="H10" s="109" t="e">
        <f t="shared" ca="1" si="1"/>
        <v>#VALUE!</v>
      </c>
      <c r="I10" s="109" t="e">
        <f t="shared" ca="1" si="1"/>
        <v>#VALUE!</v>
      </c>
      <c r="J10" s="109" t="e">
        <f t="shared" ca="1" si="1"/>
        <v>#VALUE!</v>
      </c>
      <c r="K10" s="109" t="e">
        <f t="shared" ca="1" si="1"/>
        <v>#VALUE!</v>
      </c>
    </row>
    <row r="11" spans="1:13" x14ac:dyDescent="0.25">
      <c r="B11" s="169"/>
      <c r="C11" s="40" t="s">
        <v>355</v>
      </c>
      <c r="D11" t="s">
        <v>318</v>
      </c>
      <c r="E11" s="109" t="e">
        <f t="shared" ca="1" si="0"/>
        <v>#VALUE!</v>
      </c>
      <c r="F11" s="109" t="e">
        <f t="shared" ca="1" si="1"/>
        <v>#VALUE!</v>
      </c>
      <c r="G11" s="109" t="e">
        <f t="shared" ca="1" si="1"/>
        <v>#VALUE!</v>
      </c>
      <c r="H11" s="109" t="e">
        <f t="shared" ca="1" si="1"/>
        <v>#VALUE!</v>
      </c>
      <c r="I11" s="109" t="e">
        <f t="shared" ca="1" si="1"/>
        <v>#VALUE!</v>
      </c>
      <c r="J11" s="109" t="e">
        <f t="shared" ca="1" si="1"/>
        <v>#VALUE!</v>
      </c>
      <c r="K11" s="109" t="e">
        <f t="shared" ca="1" si="1"/>
        <v>#VALUE!</v>
      </c>
    </row>
    <row r="12" spans="1:13" x14ac:dyDescent="0.25">
      <c r="B12" s="169"/>
      <c r="C12" s="40" t="s">
        <v>356</v>
      </c>
      <c r="D12" t="s">
        <v>319</v>
      </c>
      <c r="E12" s="109" t="e">
        <f t="shared" ca="1" si="0"/>
        <v>#VALUE!</v>
      </c>
      <c r="F12" s="109" t="e">
        <f t="shared" ca="1" si="1"/>
        <v>#VALUE!</v>
      </c>
      <c r="G12" s="109" t="e">
        <f t="shared" ca="1" si="1"/>
        <v>#VALUE!</v>
      </c>
      <c r="H12" s="109" t="e">
        <f t="shared" ca="1" si="1"/>
        <v>#VALUE!</v>
      </c>
      <c r="I12" s="109" t="e">
        <f t="shared" ca="1" si="1"/>
        <v>#VALUE!</v>
      </c>
      <c r="J12" s="109" t="e">
        <f t="shared" ca="1" si="1"/>
        <v>#VALUE!</v>
      </c>
      <c r="K12" s="109" t="e">
        <f t="shared" ca="1" si="1"/>
        <v>#VALUE!</v>
      </c>
    </row>
    <row r="13" spans="1:13" x14ac:dyDescent="0.25">
      <c r="B13" s="169"/>
      <c r="C13" s="40" t="s">
        <v>357</v>
      </c>
      <c r="D13" t="s">
        <v>320</v>
      </c>
      <c r="E13" s="109" t="e">
        <f t="shared" ca="1" si="0"/>
        <v>#VALUE!</v>
      </c>
      <c r="F13" s="109" t="e">
        <f t="shared" ca="1" si="1"/>
        <v>#VALUE!</v>
      </c>
      <c r="G13" s="109" t="e">
        <f t="shared" ca="1" si="1"/>
        <v>#VALUE!</v>
      </c>
      <c r="H13" s="109" t="e">
        <f t="shared" ca="1" si="1"/>
        <v>#VALUE!</v>
      </c>
      <c r="I13" s="109" t="e">
        <f t="shared" ca="1" si="1"/>
        <v>#VALUE!</v>
      </c>
      <c r="J13" s="109" t="e">
        <f t="shared" ca="1" si="1"/>
        <v>#VALUE!</v>
      </c>
      <c r="K13" s="109" t="e">
        <f t="shared" ca="1" si="1"/>
        <v>#VALUE!</v>
      </c>
    </row>
    <row r="14" spans="1:13" x14ac:dyDescent="0.25">
      <c r="B14" s="169"/>
      <c r="C14" s="40" t="s">
        <v>358</v>
      </c>
      <c r="D14" t="s">
        <v>321</v>
      </c>
      <c r="E14" s="109" t="e">
        <f t="shared" ca="1" si="0"/>
        <v>#VALUE!</v>
      </c>
      <c r="F14" s="109" t="e">
        <f t="shared" ca="1" si="1"/>
        <v>#VALUE!</v>
      </c>
      <c r="G14" s="109" t="e">
        <f t="shared" ca="1" si="1"/>
        <v>#VALUE!</v>
      </c>
      <c r="H14" s="109" t="e">
        <f t="shared" ca="1" si="1"/>
        <v>#VALUE!</v>
      </c>
      <c r="I14" s="109" t="e">
        <f t="shared" ca="1" si="1"/>
        <v>#VALUE!</v>
      </c>
      <c r="J14" s="109" t="e">
        <f t="shared" ca="1" si="1"/>
        <v>#VALUE!</v>
      </c>
      <c r="K14" s="109" t="e">
        <f t="shared" ca="1" si="1"/>
        <v>#VALUE!</v>
      </c>
    </row>
    <row r="15" spans="1:13" x14ac:dyDescent="0.25">
      <c r="B15" s="169"/>
      <c r="C15" s="40" t="s">
        <v>359</v>
      </c>
      <c r="D15" t="s">
        <v>322</v>
      </c>
      <c r="E15" s="109" t="e">
        <f t="shared" ca="1" si="0"/>
        <v>#VALUE!</v>
      </c>
      <c r="F15" s="109" t="e">
        <f t="shared" ca="1" si="1"/>
        <v>#VALUE!</v>
      </c>
      <c r="G15" s="109" t="e">
        <f t="shared" ca="1" si="1"/>
        <v>#VALUE!</v>
      </c>
      <c r="H15" s="109" t="e">
        <f t="shared" ca="1" si="1"/>
        <v>#VALUE!</v>
      </c>
      <c r="I15" s="109" t="e">
        <f t="shared" ca="1" si="1"/>
        <v>#VALUE!</v>
      </c>
      <c r="J15" s="109" t="e">
        <f t="shared" ca="1" si="1"/>
        <v>#VALUE!</v>
      </c>
      <c r="K15" s="109" t="e">
        <f t="shared" ca="1" si="1"/>
        <v>#VALUE!</v>
      </c>
    </row>
    <row r="16" spans="1:13" x14ac:dyDescent="0.25">
      <c r="B16" s="169"/>
      <c r="C16" s="40" t="s">
        <v>360</v>
      </c>
      <c r="D16" t="s">
        <v>323</v>
      </c>
      <c r="E16" s="109" t="e">
        <f t="shared" ca="1" si="0"/>
        <v>#VALUE!</v>
      </c>
      <c r="F16" s="109" t="e">
        <f t="shared" ca="1" si="1"/>
        <v>#VALUE!</v>
      </c>
      <c r="G16" s="109" t="e">
        <f t="shared" ca="1" si="1"/>
        <v>#VALUE!</v>
      </c>
      <c r="H16" s="109" t="e">
        <f t="shared" ca="1" si="1"/>
        <v>#VALUE!</v>
      </c>
      <c r="I16" s="109" t="e">
        <f t="shared" ca="1" si="1"/>
        <v>#VALUE!</v>
      </c>
      <c r="J16" s="109" t="e">
        <f t="shared" ca="1" si="1"/>
        <v>#VALUE!</v>
      </c>
      <c r="K16" s="109" t="e">
        <f t="shared" ca="1" si="1"/>
        <v>#VALUE!</v>
      </c>
    </row>
    <row r="17" spans="2:11" x14ac:dyDescent="0.25">
      <c r="B17" s="169"/>
      <c r="C17" s="40" t="s">
        <v>361</v>
      </c>
      <c r="D17" t="s">
        <v>324</v>
      </c>
      <c r="E17" s="109" t="e">
        <f t="shared" ca="1" si="0"/>
        <v>#VALUE!</v>
      </c>
      <c r="F17" s="109" t="e">
        <f t="shared" ca="1" si="1"/>
        <v>#VALUE!</v>
      </c>
      <c r="G17" s="109" t="e">
        <f t="shared" ca="1" si="1"/>
        <v>#VALUE!</v>
      </c>
      <c r="H17" s="109" t="e">
        <f t="shared" ca="1" si="1"/>
        <v>#VALUE!</v>
      </c>
      <c r="I17" s="109" t="e">
        <f t="shared" ca="1" si="1"/>
        <v>#VALUE!</v>
      </c>
      <c r="J17" s="109" t="e">
        <f t="shared" ca="1" si="1"/>
        <v>#VALUE!</v>
      </c>
      <c r="K17" s="109" t="e">
        <f t="shared" ca="1" si="1"/>
        <v>#VALUE!</v>
      </c>
    </row>
    <row r="18" spans="2:11" x14ac:dyDescent="0.25">
      <c r="B18" s="170"/>
      <c r="C18" s="40" t="s">
        <v>362</v>
      </c>
      <c r="D18" t="s">
        <v>325</v>
      </c>
      <c r="E18" s="109" t="e">
        <f t="shared" ca="1" si="0"/>
        <v>#VALUE!</v>
      </c>
      <c r="F18" s="109" t="e">
        <f t="shared" ca="1" si="1"/>
        <v>#VALUE!</v>
      </c>
      <c r="G18" s="109" t="e">
        <f t="shared" ca="1" si="1"/>
        <v>#VALUE!</v>
      </c>
      <c r="H18" s="109" t="e">
        <f t="shared" ca="1" si="1"/>
        <v>#VALUE!</v>
      </c>
      <c r="I18" s="109" t="e">
        <f t="shared" ca="1" si="1"/>
        <v>#VALUE!</v>
      </c>
      <c r="J18" s="109" t="e">
        <f t="shared" ca="1" si="1"/>
        <v>#VALUE!</v>
      </c>
      <c r="K18" s="109" t="e">
        <f t="shared" ca="1" si="1"/>
        <v>#VALUE!</v>
      </c>
    </row>
    <row r="19" spans="2:11" x14ac:dyDescent="0.25">
      <c r="B19" s="167" t="s">
        <v>294</v>
      </c>
      <c r="C19" s="43" t="s">
        <v>363</v>
      </c>
      <c r="D19" s="44" t="s">
        <v>326</v>
      </c>
      <c r="E19" s="110" t="e">
        <f t="shared" ca="1" si="0"/>
        <v>#VALUE!</v>
      </c>
      <c r="F19" s="110" t="e">
        <f t="shared" ca="1" si="1"/>
        <v>#VALUE!</v>
      </c>
      <c r="G19" s="110" t="e">
        <f t="shared" ca="1" si="1"/>
        <v>#VALUE!</v>
      </c>
      <c r="H19" s="110" t="e">
        <f t="shared" ca="1" si="1"/>
        <v>#VALUE!</v>
      </c>
      <c r="I19" s="110" t="e">
        <f t="shared" ca="1" si="1"/>
        <v>#VALUE!</v>
      </c>
      <c r="J19" s="110" t="e">
        <f t="shared" ca="1" si="1"/>
        <v>#VALUE!</v>
      </c>
      <c r="K19" s="110" t="e">
        <f t="shared" ca="1" si="1"/>
        <v>#VALUE!</v>
      </c>
    </row>
    <row r="20" spans="2:11" x14ac:dyDescent="0.25">
      <c r="B20" s="167"/>
      <c r="C20" s="40" t="s">
        <v>364</v>
      </c>
      <c r="D20" s="21" t="s">
        <v>327</v>
      </c>
      <c r="E20" s="109" t="e">
        <f t="shared" ca="1" si="0"/>
        <v>#VALUE!</v>
      </c>
      <c r="F20" s="109" t="e">
        <f t="shared" ca="1" si="1"/>
        <v>#VALUE!</v>
      </c>
      <c r="G20" s="109" t="e">
        <f t="shared" ca="1" si="1"/>
        <v>#VALUE!</v>
      </c>
      <c r="H20" s="109" t="e">
        <f t="shared" ca="1" si="1"/>
        <v>#VALUE!</v>
      </c>
      <c r="I20" s="109" t="e">
        <f t="shared" ca="1" si="1"/>
        <v>#VALUE!</v>
      </c>
      <c r="J20" s="109" t="e">
        <f t="shared" ca="1" si="1"/>
        <v>#VALUE!</v>
      </c>
      <c r="K20" s="109" t="e">
        <f t="shared" ca="1" si="1"/>
        <v>#VALUE!</v>
      </c>
    </row>
    <row r="21" spans="2:11" x14ac:dyDescent="0.25">
      <c r="B21" s="167"/>
      <c r="C21" s="40" t="s">
        <v>365</v>
      </c>
      <c r="D21" s="21" t="s">
        <v>328</v>
      </c>
      <c r="E21" s="109" t="e">
        <f t="shared" ca="1" si="0"/>
        <v>#VALUE!</v>
      </c>
      <c r="F21" s="109" t="e">
        <f t="shared" ca="1" si="0"/>
        <v>#VALUE!</v>
      </c>
      <c r="G21" s="109" t="e">
        <f t="shared" ca="1" si="0"/>
        <v>#VALUE!</v>
      </c>
      <c r="H21" s="109" t="e">
        <f t="shared" ca="1" si="0"/>
        <v>#VALUE!</v>
      </c>
      <c r="I21" s="109" t="e">
        <f t="shared" ca="1" si="0"/>
        <v>#VALUE!</v>
      </c>
      <c r="J21" s="109" t="e">
        <f t="shared" ca="1" si="0"/>
        <v>#VALUE!</v>
      </c>
      <c r="K21" s="109" t="e">
        <f t="shared" ca="1" si="0"/>
        <v>#VALUE!</v>
      </c>
    </row>
    <row r="22" spans="2:11" x14ac:dyDescent="0.25">
      <c r="B22" s="167"/>
      <c r="C22" s="40" t="s">
        <v>366</v>
      </c>
      <c r="D22" s="21" t="s">
        <v>329</v>
      </c>
      <c r="E22" s="109" t="e">
        <f t="shared" ca="1" si="0"/>
        <v>#VALUE!</v>
      </c>
      <c r="F22" s="109" t="e">
        <f t="shared" ca="1" si="0"/>
        <v>#VALUE!</v>
      </c>
      <c r="G22" s="109" t="e">
        <f t="shared" ca="1" si="0"/>
        <v>#VALUE!</v>
      </c>
      <c r="H22" s="109" t="e">
        <f t="shared" ca="1" si="0"/>
        <v>#VALUE!</v>
      </c>
      <c r="I22" s="109" t="e">
        <f t="shared" ca="1" si="0"/>
        <v>#VALUE!</v>
      </c>
      <c r="J22" s="109" t="e">
        <f t="shared" ca="1" si="0"/>
        <v>#VALUE!</v>
      </c>
      <c r="K22" s="109" t="e">
        <f t="shared" ca="1" si="0"/>
        <v>#VALUE!</v>
      </c>
    </row>
    <row r="23" spans="2:11" x14ac:dyDescent="0.25">
      <c r="B23" s="167"/>
      <c r="C23" s="40" t="s">
        <v>367</v>
      </c>
      <c r="D23" s="21" t="s">
        <v>330</v>
      </c>
      <c r="E23" s="109" t="e">
        <f t="shared" ca="1" si="0"/>
        <v>#VALUE!</v>
      </c>
      <c r="F23" s="109" t="e">
        <f t="shared" ca="1" si="0"/>
        <v>#VALUE!</v>
      </c>
      <c r="G23" s="109" t="e">
        <f t="shared" ca="1" si="0"/>
        <v>#VALUE!</v>
      </c>
      <c r="H23" s="109" t="e">
        <f t="shared" ca="1" si="0"/>
        <v>#VALUE!</v>
      </c>
      <c r="I23" s="109" t="e">
        <f t="shared" ca="1" si="0"/>
        <v>#VALUE!</v>
      </c>
      <c r="J23" s="109" t="e">
        <f t="shared" ca="1" si="0"/>
        <v>#VALUE!</v>
      </c>
      <c r="K23" s="109" t="e">
        <f t="shared" ca="1" si="0"/>
        <v>#VALUE!</v>
      </c>
    </row>
    <row r="24" spans="2:11" x14ac:dyDescent="0.25">
      <c r="B24" s="164" t="s">
        <v>298</v>
      </c>
      <c r="C24" s="43" t="s">
        <v>368</v>
      </c>
      <c r="D24" s="44" t="s">
        <v>331</v>
      </c>
      <c r="E24" s="110" t="e">
        <f t="shared" ca="1" si="0"/>
        <v>#VALUE!</v>
      </c>
      <c r="F24" s="110" t="e">
        <f t="shared" ca="1" si="0"/>
        <v>#VALUE!</v>
      </c>
      <c r="G24" s="110" t="e">
        <f t="shared" ca="1" si="0"/>
        <v>#VALUE!</v>
      </c>
      <c r="H24" s="110" t="e">
        <f t="shared" ca="1" si="0"/>
        <v>#VALUE!</v>
      </c>
      <c r="I24" s="110" t="e">
        <f t="shared" ca="1" si="0"/>
        <v>#VALUE!</v>
      </c>
      <c r="J24" s="110" t="e">
        <f t="shared" ca="1" si="0"/>
        <v>#VALUE!</v>
      </c>
      <c r="K24" s="110" t="e">
        <f t="shared" ca="1" si="0"/>
        <v>#VALUE!</v>
      </c>
    </row>
    <row r="25" spans="2:11" x14ac:dyDescent="0.25">
      <c r="B25" s="166"/>
      <c r="C25" s="46" t="s">
        <v>369</v>
      </c>
      <c r="D25" s="22" t="s">
        <v>332</v>
      </c>
      <c r="E25" s="111" t="e">
        <f t="shared" ca="1" si="0"/>
        <v>#VALUE!</v>
      </c>
      <c r="F25" s="111" t="e">
        <f t="shared" ca="1" si="0"/>
        <v>#VALUE!</v>
      </c>
      <c r="G25" s="111" t="e">
        <f t="shared" ca="1" si="0"/>
        <v>#VALUE!</v>
      </c>
      <c r="H25" s="111" t="e">
        <f t="shared" ca="1" si="0"/>
        <v>#VALUE!</v>
      </c>
      <c r="I25" s="111" t="e">
        <f t="shared" ca="1" si="0"/>
        <v>#VALUE!</v>
      </c>
      <c r="J25" s="111" t="e">
        <f t="shared" ca="1" si="0"/>
        <v>#VALUE!</v>
      </c>
      <c r="K25" s="111" t="e">
        <f t="shared" ca="1" si="0"/>
        <v>#VALUE!</v>
      </c>
    </row>
    <row r="26" spans="2:11" x14ac:dyDescent="0.25">
      <c r="B26" s="107" t="s">
        <v>172</v>
      </c>
      <c r="C26" s="46" t="s">
        <v>172</v>
      </c>
      <c r="D26" s="22" t="s">
        <v>333</v>
      </c>
      <c r="E26" s="111" t="e">
        <f t="shared" ca="1" si="0"/>
        <v>#VALUE!</v>
      </c>
      <c r="F26" s="111" t="e">
        <f t="shared" ca="1" si="0"/>
        <v>#VALUE!</v>
      </c>
      <c r="G26" s="111" t="e">
        <f t="shared" ca="1" si="0"/>
        <v>#VALUE!</v>
      </c>
      <c r="H26" s="111" t="e">
        <f t="shared" ca="1" si="0"/>
        <v>#VALUE!</v>
      </c>
      <c r="I26" s="111" t="e">
        <f t="shared" ca="1" si="0"/>
        <v>#VALUE!</v>
      </c>
      <c r="J26" s="111" t="e">
        <f t="shared" ca="1" si="0"/>
        <v>#VALUE!</v>
      </c>
      <c r="K26" s="111" t="e">
        <f t="shared" ca="1" si="0"/>
        <v>#VALUE!</v>
      </c>
    </row>
    <row r="27" spans="2:11" x14ac:dyDescent="0.25">
      <c r="B27" s="164" t="s">
        <v>170</v>
      </c>
      <c r="C27" s="43" t="s">
        <v>182</v>
      </c>
      <c r="D27" s="44" t="s">
        <v>334</v>
      </c>
      <c r="E27" s="110" t="e">
        <f t="shared" ca="1" si="0"/>
        <v>#VALUE!</v>
      </c>
      <c r="F27" s="110" t="e">
        <f t="shared" ca="1" si="0"/>
        <v>#VALUE!</v>
      </c>
      <c r="G27" s="110" t="e">
        <f t="shared" ca="1" si="0"/>
        <v>#VALUE!</v>
      </c>
      <c r="H27" s="110" t="e">
        <f t="shared" ca="1" si="0"/>
        <v>#VALUE!</v>
      </c>
      <c r="I27" s="110" t="e">
        <f t="shared" ca="1" si="0"/>
        <v>#VALUE!</v>
      </c>
      <c r="J27" s="110" t="e">
        <f t="shared" ca="1" si="0"/>
        <v>#VALUE!</v>
      </c>
      <c r="K27" s="110" t="e">
        <f t="shared" ca="1" si="0"/>
        <v>#VALUE!</v>
      </c>
    </row>
    <row r="28" spans="2:11" x14ac:dyDescent="0.25">
      <c r="B28" s="166"/>
      <c r="C28" s="40" t="s">
        <v>183</v>
      </c>
      <c r="D28" t="s">
        <v>335</v>
      </c>
      <c r="E28" s="109" t="e">
        <f t="shared" ca="1" si="0"/>
        <v>#VALUE!</v>
      </c>
      <c r="F28" s="109" t="e">
        <f t="shared" ca="1" si="0"/>
        <v>#VALUE!</v>
      </c>
      <c r="G28" s="109" t="e">
        <f t="shared" ca="1" si="0"/>
        <v>#VALUE!</v>
      </c>
      <c r="H28" s="109" t="e">
        <f t="shared" ca="1" si="0"/>
        <v>#VALUE!</v>
      </c>
      <c r="I28" s="109" t="e">
        <f t="shared" ca="1" si="0"/>
        <v>#VALUE!</v>
      </c>
      <c r="J28" s="109" t="e">
        <f t="shared" ca="1" si="0"/>
        <v>#VALUE!</v>
      </c>
      <c r="K28" s="109" t="e">
        <f t="shared" ca="1" si="0"/>
        <v>#VALUE!</v>
      </c>
    </row>
    <row r="29" spans="2:11" x14ac:dyDescent="0.25">
      <c r="B29" s="164" t="s">
        <v>296</v>
      </c>
      <c r="C29" s="43" t="s">
        <v>169</v>
      </c>
      <c r="D29" s="44" t="s">
        <v>336</v>
      </c>
      <c r="E29" s="110" t="e">
        <f t="shared" ca="1" si="0"/>
        <v>#VALUE!</v>
      </c>
      <c r="F29" s="110" t="e">
        <f t="shared" ca="1" si="0"/>
        <v>#VALUE!</v>
      </c>
      <c r="G29" s="110" t="e">
        <f t="shared" ca="1" si="0"/>
        <v>#VALUE!</v>
      </c>
      <c r="H29" s="110" t="e">
        <f t="shared" ca="1" si="0"/>
        <v>#VALUE!</v>
      </c>
      <c r="I29" s="110" t="e">
        <f t="shared" ca="1" si="0"/>
        <v>#VALUE!</v>
      </c>
      <c r="J29" s="110" t="e">
        <f t="shared" ca="1" si="0"/>
        <v>#VALUE!</v>
      </c>
      <c r="K29" s="110" t="e">
        <f t="shared" ca="1" si="0"/>
        <v>#VALUE!</v>
      </c>
    </row>
    <row r="30" spans="2:11" x14ac:dyDescent="0.25">
      <c r="B30" s="165"/>
      <c r="C30" s="40" t="s">
        <v>170</v>
      </c>
      <c r="D30" t="s">
        <v>337</v>
      </c>
      <c r="E30" s="109" t="e">
        <f t="shared" ca="1" si="0"/>
        <v>#VALUE!</v>
      </c>
      <c r="F30" s="109" t="e">
        <f t="shared" ca="1" si="0"/>
        <v>#VALUE!</v>
      </c>
      <c r="G30" s="109" t="e">
        <f t="shared" ca="1" si="0"/>
        <v>#VALUE!</v>
      </c>
      <c r="H30" s="109" t="e">
        <f t="shared" ca="1" si="0"/>
        <v>#VALUE!</v>
      </c>
      <c r="I30" s="109" t="e">
        <f t="shared" ca="1" si="0"/>
        <v>#VALUE!</v>
      </c>
      <c r="J30" s="109" t="e">
        <f t="shared" ca="1" si="0"/>
        <v>#VALUE!</v>
      </c>
      <c r="K30" s="109" t="e">
        <f t="shared" ca="1" si="0"/>
        <v>#VALUE!</v>
      </c>
    </row>
    <row r="31" spans="2:11" x14ac:dyDescent="0.25">
      <c r="B31" s="165"/>
      <c r="C31" s="40" t="s">
        <v>171</v>
      </c>
      <c r="D31" t="s">
        <v>338</v>
      </c>
      <c r="E31" s="109" t="e">
        <f t="shared" ca="1" si="0"/>
        <v>#VALUE!</v>
      </c>
      <c r="F31" s="109" t="e">
        <f t="shared" ca="1" si="0"/>
        <v>#VALUE!</v>
      </c>
      <c r="G31" s="109" t="e">
        <f t="shared" ca="1" si="0"/>
        <v>#VALUE!</v>
      </c>
      <c r="H31" s="109" t="e">
        <f t="shared" ca="1" si="0"/>
        <v>#VALUE!</v>
      </c>
      <c r="I31" s="109" t="e">
        <f t="shared" ca="1" si="0"/>
        <v>#VALUE!</v>
      </c>
      <c r="J31" s="109" t="e">
        <f t="shared" ca="1" si="0"/>
        <v>#VALUE!</v>
      </c>
      <c r="K31" s="109" t="e">
        <f t="shared" ca="1" si="0"/>
        <v>#VALUE!</v>
      </c>
    </row>
    <row r="32" spans="2:11" x14ac:dyDescent="0.25">
      <c r="B32" s="165"/>
      <c r="C32" s="40" t="s">
        <v>172</v>
      </c>
      <c r="D32" t="s">
        <v>339</v>
      </c>
      <c r="E32" s="109" t="e">
        <f t="shared" ca="1" si="0"/>
        <v>#VALUE!</v>
      </c>
      <c r="F32" s="109" t="e">
        <f t="shared" ca="1" si="0"/>
        <v>#VALUE!</v>
      </c>
      <c r="G32" s="109" t="e">
        <f t="shared" ca="1" si="0"/>
        <v>#VALUE!</v>
      </c>
      <c r="H32" s="109" t="e">
        <f t="shared" ca="1" si="0"/>
        <v>#VALUE!</v>
      </c>
      <c r="I32" s="109" t="e">
        <f t="shared" ca="1" si="0"/>
        <v>#VALUE!</v>
      </c>
      <c r="J32" s="109" t="e">
        <f t="shared" ca="1" si="0"/>
        <v>#VALUE!</v>
      </c>
      <c r="K32" s="109" t="e">
        <f t="shared" ca="1" si="0"/>
        <v>#VALUE!</v>
      </c>
    </row>
    <row r="33" spans="2:11" x14ac:dyDescent="0.25">
      <c r="B33" s="165"/>
      <c r="C33" s="40" t="s">
        <v>173</v>
      </c>
      <c r="D33" t="s">
        <v>340</v>
      </c>
      <c r="E33" s="109" t="e">
        <f t="shared" ca="1" si="0"/>
        <v>#VALUE!</v>
      </c>
      <c r="F33" s="109" t="e">
        <f t="shared" ca="1" si="0"/>
        <v>#VALUE!</v>
      </c>
      <c r="G33" s="109" t="e">
        <f t="shared" ca="1" si="0"/>
        <v>#VALUE!</v>
      </c>
      <c r="H33" s="109" t="e">
        <f t="shared" ca="1" si="0"/>
        <v>#VALUE!</v>
      </c>
      <c r="I33" s="109" t="e">
        <f t="shared" ca="1" si="0"/>
        <v>#VALUE!</v>
      </c>
      <c r="J33" s="109" t="e">
        <f t="shared" ca="1" si="0"/>
        <v>#VALUE!</v>
      </c>
      <c r="K33" s="109" t="e">
        <f t="shared" ca="1" si="0"/>
        <v>#VALUE!</v>
      </c>
    </row>
    <row r="34" spans="2:11" x14ac:dyDescent="0.25">
      <c r="B34" s="165"/>
      <c r="C34" s="40" t="s">
        <v>174</v>
      </c>
      <c r="D34" t="s">
        <v>341</v>
      </c>
      <c r="E34" s="109" t="e">
        <f t="shared" ca="1" si="0"/>
        <v>#VALUE!</v>
      </c>
      <c r="F34" s="109" t="e">
        <f t="shared" ca="1" si="0"/>
        <v>#VALUE!</v>
      </c>
      <c r="G34" s="109" t="e">
        <f t="shared" ca="1" si="0"/>
        <v>#VALUE!</v>
      </c>
      <c r="H34" s="109" t="e">
        <f t="shared" ca="1" si="0"/>
        <v>#VALUE!</v>
      </c>
      <c r="I34" s="109" t="e">
        <f t="shared" ca="1" si="0"/>
        <v>#VALUE!</v>
      </c>
      <c r="J34" s="109" t="e">
        <f t="shared" ca="1" si="0"/>
        <v>#VALUE!</v>
      </c>
      <c r="K34" s="109" t="e">
        <f t="shared" ca="1" si="0"/>
        <v>#VALUE!</v>
      </c>
    </row>
    <row r="35" spans="2:11" x14ac:dyDescent="0.25">
      <c r="B35" s="165"/>
      <c r="C35" s="40" t="s">
        <v>175</v>
      </c>
      <c r="D35" t="s">
        <v>342</v>
      </c>
      <c r="E35" s="109" t="e">
        <f t="shared" ca="1" si="0"/>
        <v>#VALUE!</v>
      </c>
      <c r="F35" s="109" t="e">
        <f t="shared" ca="1" si="0"/>
        <v>#VALUE!</v>
      </c>
      <c r="G35" s="109" t="e">
        <f t="shared" ca="1" si="0"/>
        <v>#VALUE!</v>
      </c>
      <c r="H35" s="109" t="e">
        <f t="shared" ca="1" si="0"/>
        <v>#VALUE!</v>
      </c>
      <c r="I35" s="109" t="e">
        <f t="shared" ca="1" si="0"/>
        <v>#VALUE!</v>
      </c>
      <c r="J35" s="109" t="e">
        <f t="shared" ca="1" si="0"/>
        <v>#VALUE!</v>
      </c>
      <c r="K35" s="109" t="e">
        <f t="shared" ca="1" si="0"/>
        <v>#VALUE!</v>
      </c>
    </row>
    <row r="36" spans="2:11" x14ac:dyDescent="0.25">
      <c r="B36" s="166"/>
      <c r="C36" s="40" t="s">
        <v>184</v>
      </c>
      <c r="D36" t="s">
        <v>343</v>
      </c>
      <c r="E36" s="109" t="e">
        <f t="shared" ca="1" si="0"/>
        <v>#VALUE!</v>
      </c>
      <c r="F36" s="109" t="e">
        <f t="shared" ca="1" si="0"/>
        <v>#VALUE!</v>
      </c>
      <c r="G36" s="109" t="e">
        <f t="shared" ca="1" si="0"/>
        <v>#VALUE!</v>
      </c>
      <c r="H36" s="109" t="e">
        <f t="shared" ca="1" si="0"/>
        <v>#VALUE!</v>
      </c>
      <c r="I36" s="109" t="e">
        <f t="shared" ca="1" si="0"/>
        <v>#VALUE!</v>
      </c>
      <c r="J36" s="109" t="e">
        <f t="shared" ca="1" si="0"/>
        <v>#VALUE!</v>
      </c>
      <c r="K36" s="109" t="e">
        <f t="shared" ca="1" si="0"/>
        <v>#VALUE!</v>
      </c>
    </row>
    <row r="37" spans="2:11" x14ac:dyDescent="0.25">
      <c r="B37" s="164" t="s">
        <v>372</v>
      </c>
      <c r="C37" s="43" t="s">
        <v>176</v>
      </c>
      <c r="D37" s="44" t="s">
        <v>344</v>
      </c>
      <c r="E37" s="110" t="e">
        <f t="shared" ca="1" si="0"/>
        <v>#VALUE!</v>
      </c>
      <c r="F37" s="110" t="e">
        <f t="shared" ca="1" si="0"/>
        <v>#VALUE!</v>
      </c>
      <c r="G37" s="110" t="e">
        <f t="shared" ca="1" si="0"/>
        <v>#VALUE!</v>
      </c>
      <c r="H37" s="110" t="e">
        <f t="shared" ca="1" si="0"/>
        <v>#VALUE!</v>
      </c>
      <c r="I37" s="110" t="e">
        <f t="shared" ca="1" si="0"/>
        <v>#VALUE!</v>
      </c>
      <c r="J37" s="110" t="e">
        <f t="shared" ca="1" si="0"/>
        <v>#VALUE!</v>
      </c>
      <c r="K37" s="110" t="e">
        <f t="shared" ca="1" si="0"/>
        <v>#VALUE!</v>
      </c>
    </row>
    <row r="38" spans="2:11" x14ac:dyDescent="0.25">
      <c r="B38" s="165"/>
      <c r="C38" s="40" t="s">
        <v>177</v>
      </c>
      <c r="D38" t="s">
        <v>345</v>
      </c>
      <c r="E38" s="109" t="e">
        <f t="shared" ca="1" si="0"/>
        <v>#VALUE!</v>
      </c>
      <c r="F38" s="109" t="e">
        <f t="shared" ca="1" si="0"/>
        <v>#VALUE!</v>
      </c>
      <c r="G38" s="109" t="e">
        <f t="shared" ca="1" si="0"/>
        <v>#VALUE!</v>
      </c>
      <c r="H38" s="109" t="e">
        <f t="shared" ca="1" si="0"/>
        <v>#VALUE!</v>
      </c>
      <c r="I38" s="109" t="e">
        <f t="shared" ca="1" si="0"/>
        <v>#VALUE!</v>
      </c>
      <c r="J38" s="109" t="e">
        <f t="shared" ca="1" si="0"/>
        <v>#VALUE!</v>
      </c>
      <c r="K38" s="109" t="e">
        <f t="shared" ca="1" si="0"/>
        <v>#VALUE!</v>
      </c>
    </row>
    <row r="39" spans="2:11" x14ac:dyDescent="0.25">
      <c r="B39" s="165"/>
      <c r="C39" s="40" t="s">
        <v>178</v>
      </c>
      <c r="D39" t="s">
        <v>346</v>
      </c>
      <c r="E39" s="109" t="e">
        <f t="shared" ca="1" si="0"/>
        <v>#VALUE!</v>
      </c>
      <c r="F39" s="109" t="e">
        <f t="shared" ca="1" si="0"/>
        <v>#VALUE!</v>
      </c>
      <c r="G39" s="109" t="e">
        <f t="shared" ca="1" si="0"/>
        <v>#VALUE!</v>
      </c>
      <c r="H39" s="109" t="e">
        <f t="shared" ca="1" si="0"/>
        <v>#VALUE!</v>
      </c>
      <c r="I39" s="109" t="e">
        <f t="shared" ca="1" si="0"/>
        <v>#VALUE!</v>
      </c>
      <c r="J39" s="109" t="e">
        <f t="shared" ca="1" si="0"/>
        <v>#VALUE!</v>
      </c>
      <c r="K39" s="109" t="e">
        <f t="shared" ca="1" si="0"/>
        <v>#VALUE!</v>
      </c>
    </row>
    <row r="40" spans="2:11" x14ac:dyDescent="0.25">
      <c r="B40" s="165"/>
      <c r="C40" s="40" t="s">
        <v>179</v>
      </c>
      <c r="D40" t="s">
        <v>347</v>
      </c>
      <c r="E40" s="109" t="e">
        <f t="shared" ca="1" si="0"/>
        <v>#VALUE!</v>
      </c>
      <c r="F40" s="109" t="e">
        <f t="shared" ca="1" si="0"/>
        <v>#VALUE!</v>
      </c>
      <c r="G40" s="109" t="e">
        <f t="shared" ca="1" si="0"/>
        <v>#VALUE!</v>
      </c>
      <c r="H40" s="109" t="e">
        <f t="shared" ca="1" si="0"/>
        <v>#VALUE!</v>
      </c>
      <c r="I40" s="109" t="e">
        <f t="shared" ca="1" si="0"/>
        <v>#VALUE!</v>
      </c>
      <c r="J40" s="109" t="e">
        <f t="shared" ca="1" si="0"/>
        <v>#VALUE!</v>
      </c>
      <c r="K40" s="109" t="e">
        <f t="shared" ca="1" si="0"/>
        <v>#VALUE!</v>
      </c>
    </row>
    <row r="41" spans="2:11" x14ac:dyDescent="0.25">
      <c r="B41" s="165"/>
      <c r="C41" s="40" t="s">
        <v>180</v>
      </c>
      <c r="D41" t="s">
        <v>348</v>
      </c>
      <c r="E41" s="109" t="e">
        <f t="shared" ca="1" si="0"/>
        <v>#VALUE!</v>
      </c>
      <c r="F41" s="109" t="e">
        <f t="shared" ca="1" si="0"/>
        <v>#VALUE!</v>
      </c>
      <c r="G41" s="109" t="e">
        <f t="shared" ca="1" si="0"/>
        <v>#VALUE!</v>
      </c>
      <c r="H41" s="109" t="e">
        <f t="shared" ca="1" si="0"/>
        <v>#VALUE!</v>
      </c>
      <c r="I41" s="109" t="e">
        <f t="shared" ca="1" si="0"/>
        <v>#VALUE!</v>
      </c>
      <c r="J41" s="109" t="e">
        <f t="shared" ca="1" si="0"/>
        <v>#VALUE!</v>
      </c>
      <c r="K41" s="109" t="e">
        <f t="shared" ca="1" si="0"/>
        <v>#VALUE!</v>
      </c>
    </row>
    <row r="42" spans="2:11" x14ac:dyDescent="0.25">
      <c r="B42" s="166"/>
      <c r="C42" s="46" t="s">
        <v>184</v>
      </c>
      <c r="D42" s="22" t="s">
        <v>349</v>
      </c>
      <c r="E42" s="111" t="e">
        <f t="shared" ca="1" si="0"/>
        <v>#VALUE!</v>
      </c>
      <c r="F42" s="111" t="e">
        <f t="shared" ca="1" si="0"/>
        <v>#VALUE!</v>
      </c>
      <c r="G42" s="111" t="e">
        <f t="shared" ca="1" si="0"/>
        <v>#VALUE!</v>
      </c>
      <c r="H42" s="111" t="e">
        <f t="shared" ca="1" si="0"/>
        <v>#VALUE!</v>
      </c>
      <c r="I42" s="111" t="e">
        <f t="shared" ca="1" si="0"/>
        <v>#VALUE!</v>
      </c>
      <c r="J42" s="111" t="e">
        <f t="shared" ca="1" si="0"/>
        <v>#VALUE!</v>
      </c>
      <c r="K42" s="111" t="e">
        <f t="shared" ca="1" si="0"/>
        <v>#VALUE!</v>
      </c>
    </row>
  </sheetData>
  <mergeCells count="6">
    <mergeCell ref="B37:B42"/>
    <mergeCell ref="B19:B23"/>
    <mergeCell ref="B6:B18"/>
    <mergeCell ref="B24:B25"/>
    <mergeCell ref="B27:B28"/>
    <mergeCell ref="B29:B3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92D050"/>
  </sheetPr>
  <dimension ref="A1:K42"/>
  <sheetViews>
    <sheetView workbookViewId="0">
      <selection activeCell="H36" sqref="H36"/>
    </sheetView>
  </sheetViews>
  <sheetFormatPr baseColWidth="10" defaultRowHeight="15" x14ac:dyDescent="0.25"/>
  <cols>
    <col min="3" max="3" width="51.5703125" customWidth="1"/>
    <col min="4" max="4" width="0" hidden="1" customWidth="1"/>
  </cols>
  <sheetData>
    <row r="1" spans="1:11" ht="23.45" x14ac:dyDescent="0.55000000000000004">
      <c r="A1" s="4" t="s">
        <v>312</v>
      </c>
      <c r="B1" s="4"/>
      <c r="C1" s="1"/>
      <c r="D1" s="1"/>
    </row>
    <row r="2" spans="1:11" ht="23.45" x14ac:dyDescent="0.55000000000000004">
      <c r="A2" s="4"/>
      <c r="B2" s="4"/>
      <c r="C2" s="1"/>
      <c r="D2" s="1"/>
    </row>
    <row r="3" spans="1:11" ht="23.45" x14ac:dyDescent="0.55000000000000004">
      <c r="A3" s="4"/>
      <c r="B3" s="4"/>
      <c r="C3" s="3" t="s">
        <v>187</v>
      </c>
      <c r="D3" s="1"/>
    </row>
    <row r="4" spans="1:11" ht="14.45" x14ac:dyDescent="0.35">
      <c r="C4" s="1"/>
      <c r="D4" s="1"/>
    </row>
    <row r="5" spans="1:11" ht="14.45" x14ac:dyDescent="0.35">
      <c r="B5" s="50"/>
      <c r="C5" s="49" t="s">
        <v>410</v>
      </c>
      <c r="D5" s="50"/>
      <c r="E5" s="51">
        <v>2006</v>
      </c>
      <c r="F5" s="51">
        <v>2010</v>
      </c>
      <c r="G5" s="49">
        <v>2015</v>
      </c>
      <c r="H5" s="49">
        <v>2020</v>
      </c>
      <c r="I5" s="49">
        <v>2030</v>
      </c>
      <c r="J5" s="49">
        <v>2040</v>
      </c>
      <c r="K5" s="49">
        <v>2050</v>
      </c>
    </row>
    <row r="6" spans="1:11" x14ac:dyDescent="0.25">
      <c r="B6" s="168" t="s">
        <v>371</v>
      </c>
      <c r="C6" s="40" t="s">
        <v>350</v>
      </c>
      <c r="D6" t="s">
        <v>373</v>
      </c>
      <c r="E6" s="109" t="e">
        <f t="shared" ref="E6:K42" ca="1" si="0">Output("SCEN_ADEMEhaut", $D6, E$5)</f>
        <v>#VALUE!</v>
      </c>
      <c r="F6" s="109" t="e">
        <f t="shared" ca="1" si="0"/>
        <v>#VALUE!</v>
      </c>
      <c r="G6" s="109" t="e">
        <f t="shared" ca="1" si="0"/>
        <v>#VALUE!</v>
      </c>
      <c r="H6" s="109" t="e">
        <f t="shared" ca="1" si="0"/>
        <v>#VALUE!</v>
      </c>
      <c r="I6" s="109" t="e">
        <f t="shared" ca="1" si="0"/>
        <v>#VALUE!</v>
      </c>
      <c r="J6" s="109" t="e">
        <f t="shared" ca="1" si="0"/>
        <v>#VALUE!</v>
      </c>
      <c r="K6" s="109" t="e">
        <f t="shared" ca="1" si="0"/>
        <v>#VALUE!</v>
      </c>
    </row>
    <row r="7" spans="1:11" x14ac:dyDescent="0.25">
      <c r="B7" s="169"/>
      <c r="C7" s="40" t="s">
        <v>351</v>
      </c>
      <c r="D7" t="s">
        <v>374</v>
      </c>
      <c r="E7" s="109" t="e">
        <f t="shared" ca="1" si="0"/>
        <v>#VALUE!</v>
      </c>
      <c r="F7" s="109" t="e">
        <f t="shared" ca="1" si="0"/>
        <v>#VALUE!</v>
      </c>
      <c r="G7" s="109" t="e">
        <f t="shared" ca="1" si="0"/>
        <v>#VALUE!</v>
      </c>
      <c r="H7" s="109" t="e">
        <f t="shared" ca="1" si="0"/>
        <v>#VALUE!</v>
      </c>
      <c r="I7" s="109" t="e">
        <f t="shared" ca="1" si="0"/>
        <v>#VALUE!</v>
      </c>
      <c r="J7" s="109" t="e">
        <f t="shared" ca="1" si="0"/>
        <v>#VALUE!</v>
      </c>
      <c r="K7" s="109" t="e">
        <f t="shared" ca="1" si="0"/>
        <v>#VALUE!</v>
      </c>
    </row>
    <row r="8" spans="1:11" x14ac:dyDescent="0.25">
      <c r="B8" s="169"/>
      <c r="C8" s="40" t="s">
        <v>352</v>
      </c>
      <c r="D8" t="s">
        <v>375</v>
      </c>
      <c r="E8" s="109" t="e">
        <f t="shared" ca="1" si="0"/>
        <v>#VALUE!</v>
      </c>
      <c r="F8" s="109" t="e">
        <f t="shared" ca="1" si="0"/>
        <v>#VALUE!</v>
      </c>
      <c r="G8" s="109" t="e">
        <f t="shared" ca="1" si="0"/>
        <v>#VALUE!</v>
      </c>
      <c r="H8" s="109" t="e">
        <f t="shared" ca="1" si="0"/>
        <v>#VALUE!</v>
      </c>
      <c r="I8" s="109" t="e">
        <f t="shared" ca="1" si="0"/>
        <v>#VALUE!</v>
      </c>
      <c r="J8" s="109" t="e">
        <f t="shared" ca="1" si="0"/>
        <v>#VALUE!</v>
      </c>
      <c r="K8" s="109" t="e">
        <f t="shared" ca="1" si="0"/>
        <v>#VALUE!</v>
      </c>
    </row>
    <row r="9" spans="1:11" x14ac:dyDescent="0.25">
      <c r="B9" s="169"/>
      <c r="C9" s="40" t="s">
        <v>353</v>
      </c>
      <c r="D9" t="s">
        <v>376</v>
      </c>
      <c r="E9" s="109" t="e">
        <f t="shared" ca="1" si="0"/>
        <v>#VALUE!</v>
      </c>
      <c r="F9" s="109" t="e">
        <f t="shared" ca="1" si="0"/>
        <v>#VALUE!</v>
      </c>
      <c r="G9" s="109" t="e">
        <f t="shared" ca="1" si="0"/>
        <v>#VALUE!</v>
      </c>
      <c r="H9" s="109" t="e">
        <f t="shared" ca="1" si="0"/>
        <v>#VALUE!</v>
      </c>
      <c r="I9" s="109" t="e">
        <f t="shared" ca="1" si="0"/>
        <v>#VALUE!</v>
      </c>
      <c r="J9" s="109" t="e">
        <f t="shared" ca="1" si="0"/>
        <v>#VALUE!</v>
      </c>
      <c r="K9" s="109" t="e">
        <f t="shared" ca="1" si="0"/>
        <v>#VALUE!</v>
      </c>
    </row>
    <row r="10" spans="1:11" x14ac:dyDescent="0.25">
      <c r="B10" s="169"/>
      <c r="C10" s="40" t="s">
        <v>354</v>
      </c>
      <c r="D10" t="s">
        <v>377</v>
      </c>
      <c r="E10" s="109" t="e">
        <f t="shared" ca="1" si="0"/>
        <v>#VALUE!</v>
      </c>
      <c r="F10" s="109" t="e">
        <f t="shared" ca="1" si="0"/>
        <v>#VALUE!</v>
      </c>
      <c r="G10" s="109" t="e">
        <f t="shared" ca="1" si="0"/>
        <v>#VALUE!</v>
      </c>
      <c r="H10" s="109" t="e">
        <f t="shared" ca="1" si="0"/>
        <v>#VALUE!</v>
      </c>
      <c r="I10" s="109" t="e">
        <f t="shared" ca="1" si="0"/>
        <v>#VALUE!</v>
      </c>
      <c r="J10" s="109" t="e">
        <f t="shared" ca="1" si="0"/>
        <v>#VALUE!</v>
      </c>
      <c r="K10" s="109" t="e">
        <f t="shared" ca="1" si="0"/>
        <v>#VALUE!</v>
      </c>
    </row>
    <row r="11" spans="1:11" x14ac:dyDescent="0.25">
      <c r="B11" s="169"/>
      <c r="C11" s="40" t="s">
        <v>355</v>
      </c>
      <c r="D11" t="s">
        <v>378</v>
      </c>
      <c r="E11" s="109" t="e">
        <f t="shared" ca="1" si="0"/>
        <v>#VALUE!</v>
      </c>
      <c r="F11" s="109" t="e">
        <f t="shared" ca="1" si="0"/>
        <v>#VALUE!</v>
      </c>
      <c r="G11" s="109" t="e">
        <f t="shared" ca="1" si="0"/>
        <v>#VALUE!</v>
      </c>
      <c r="H11" s="109" t="e">
        <f t="shared" ca="1" si="0"/>
        <v>#VALUE!</v>
      </c>
      <c r="I11" s="109" t="e">
        <f t="shared" ca="1" si="0"/>
        <v>#VALUE!</v>
      </c>
      <c r="J11" s="109" t="e">
        <f t="shared" ca="1" si="0"/>
        <v>#VALUE!</v>
      </c>
      <c r="K11" s="109" t="e">
        <f t="shared" ca="1" si="0"/>
        <v>#VALUE!</v>
      </c>
    </row>
    <row r="12" spans="1:11" x14ac:dyDescent="0.25">
      <c r="B12" s="169"/>
      <c r="C12" s="40" t="s">
        <v>356</v>
      </c>
      <c r="D12" t="s">
        <v>379</v>
      </c>
      <c r="E12" s="109" t="e">
        <f t="shared" ca="1" si="0"/>
        <v>#VALUE!</v>
      </c>
      <c r="F12" s="109" t="e">
        <f t="shared" ca="1" si="0"/>
        <v>#VALUE!</v>
      </c>
      <c r="G12" s="109" t="e">
        <f t="shared" ca="1" si="0"/>
        <v>#VALUE!</v>
      </c>
      <c r="H12" s="109" t="e">
        <f t="shared" ca="1" si="0"/>
        <v>#VALUE!</v>
      </c>
      <c r="I12" s="109" t="e">
        <f t="shared" ca="1" si="0"/>
        <v>#VALUE!</v>
      </c>
      <c r="J12" s="109" t="e">
        <f t="shared" ca="1" si="0"/>
        <v>#VALUE!</v>
      </c>
      <c r="K12" s="109" t="e">
        <f t="shared" ca="1" si="0"/>
        <v>#VALUE!</v>
      </c>
    </row>
    <row r="13" spans="1:11" x14ac:dyDescent="0.25">
      <c r="B13" s="169"/>
      <c r="C13" s="40" t="s">
        <v>357</v>
      </c>
      <c r="D13" t="s">
        <v>380</v>
      </c>
      <c r="E13" s="109" t="e">
        <f t="shared" ca="1" si="0"/>
        <v>#VALUE!</v>
      </c>
      <c r="F13" s="109" t="e">
        <f t="shared" ca="1" si="0"/>
        <v>#VALUE!</v>
      </c>
      <c r="G13" s="109" t="e">
        <f t="shared" ca="1" si="0"/>
        <v>#VALUE!</v>
      </c>
      <c r="H13" s="109" t="e">
        <f t="shared" ca="1" si="0"/>
        <v>#VALUE!</v>
      </c>
      <c r="I13" s="109" t="e">
        <f t="shared" ca="1" si="0"/>
        <v>#VALUE!</v>
      </c>
      <c r="J13" s="109" t="e">
        <f t="shared" ca="1" si="0"/>
        <v>#VALUE!</v>
      </c>
      <c r="K13" s="109" t="e">
        <f t="shared" ca="1" si="0"/>
        <v>#VALUE!</v>
      </c>
    </row>
    <row r="14" spans="1:11" x14ac:dyDescent="0.25">
      <c r="B14" s="169"/>
      <c r="C14" s="40" t="s">
        <v>358</v>
      </c>
      <c r="D14" t="s">
        <v>381</v>
      </c>
      <c r="E14" s="109" t="e">
        <f t="shared" ca="1" si="0"/>
        <v>#VALUE!</v>
      </c>
      <c r="F14" s="109" t="e">
        <f t="shared" ca="1" si="0"/>
        <v>#VALUE!</v>
      </c>
      <c r="G14" s="109" t="e">
        <f t="shared" ca="1" si="0"/>
        <v>#VALUE!</v>
      </c>
      <c r="H14" s="109" t="e">
        <f t="shared" ca="1" si="0"/>
        <v>#VALUE!</v>
      </c>
      <c r="I14" s="109" t="e">
        <f t="shared" ca="1" si="0"/>
        <v>#VALUE!</v>
      </c>
      <c r="J14" s="109" t="e">
        <f t="shared" ca="1" si="0"/>
        <v>#VALUE!</v>
      </c>
      <c r="K14" s="109" t="e">
        <f t="shared" ca="1" si="0"/>
        <v>#VALUE!</v>
      </c>
    </row>
    <row r="15" spans="1:11" x14ac:dyDescent="0.25">
      <c r="B15" s="169"/>
      <c r="C15" s="40" t="s">
        <v>359</v>
      </c>
      <c r="D15" t="s">
        <v>382</v>
      </c>
      <c r="E15" s="109" t="e">
        <f t="shared" ca="1" si="0"/>
        <v>#VALUE!</v>
      </c>
      <c r="F15" s="109" t="e">
        <f t="shared" ca="1" si="0"/>
        <v>#VALUE!</v>
      </c>
      <c r="G15" s="109" t="e">
        <f t="shared" ca="1" si="0"/>
        <v>#VALUE!</v>
      </c>
      <c r="H15" s="109" t="e">
        <f t="shared" ca="1" si="0"/>
        <v>#VALUE!</v>
      </c>
      <c r="I15" s="109" t="e">
        <f t="shared" ca="1" si="0"/>
        <v>#VALUE!</v>
      </c>
      <c r="J15" s="109" t="e">
        <f t="shared" ca="1" si="0"/>
        <v>#VALUE!</v>
      </c>
      <c r="K15" s="109" t="e">
        <f t="shared" ca="1" si="0"/>
        <v>#VALUE!</v>
      </c>
    </row>
    <row r="16" spans="1:11" x14ac:dyDescent="0.25">
      <c r="B16" s="169"/>
      <c r="C16" s="40" t="s">
        <v>360</v>
      </c>
      <c r="D16" t="s">
        <v>383</v>
      </c>
      <c r="E16" s="109" t="e">
        <f t="shared" ca="1" si="0"/>
        <v>#VALUE!</v>
      </c>
      <c r="F16" s="109" t="e">
        <f t="shared" ca="1" si="0"/>
        <v>#VALUE!</v>
      </c>
      <c r="G16" s="109" t="e">
        <f t="shared" ca="1" si="0"/>
        <v>#VALUE!</v>
      </c>
      <c r="H16" s="109" t="e">
        <f t="shared" ca="1" si="0"/>
        <v>#VALUE!</v>
      </c>
      <c r="I16" s="109" t="e">
        <f t="shared" ca="1" si="0"/>
        <v>#VALUE!</v>
      </c>
      <c r="J16" s="109" t="e">
        <f t="shared" ca="1" si="0"/>
        <v>#VALUE!</v>
      </c>
      <c r="K16" s="109" t="e">
        <f t="shared" ca="1" si="0"/>
        <v>#VALUE!</v>
      </c>
    </row>
    <row r="17" spans="2:11" x14ac:dyDescent="0.25">
      <c r="B17" s="169"/>
      <c r="C17" s="40" t="s">
        <v>361</v>
      </c>
      <c r="D17" t="s">
        <v>384</v>
      </c>
      <c r="E17" s="109" t="e">
        <f t="shared" ca="1" si="0"/>
        <v>#VALUE!</v>
      </c>
      <c r="F17" s="109" t="e">
        <f t="shared" ca="1" si="0"/>
        <v>#VALUE!</v>
      </c>
      <c r="G17" s="109" t="e">
        <f t="shared" ca="1" si="0"/>
        <v>#VALUE!</v>
      </c>
      <c r="H17" s="109" t="e">
        <f t="shared" ca="1" si="0"/>
        <v>#VALUE!</v>
      </c>
      <c r="I17" s="109" t="e">
        <f t="shared" ca="1" si="0"/>
        <v>#VALUE!</v>
      </c>
      <c r="J17" s="109" t="e">
        <f t="shared" ca="1" si="0"/>
        <v>#VALUE!</v>
      </c>
      <c r="K17" s="109" t="e">
        <f t="shared" ca="1" si="0"/>
        <v>#VALUE!</v>
      </c>
    </row>
    <row r="18" spans="2:11" x14ac:dyDescent="0.25">
      <c r="B18" s="170"/>
      <c r="C18" s="40" t="s">
        <v>362</v>
      </c>
      <c r="D18" t="s">
        <v>385</v>
      </c>
      <c r="E18" s="109" t="e">
        <f t="shared" ca="1" si="0"/>
        <v>#VALUE!</v>
      </c>
      <c r="F18" s="109" t="e">
        <f t="shared" ca="1" si="0"/>
        <v>#VALUE!</v>
      </c>
      <c r="G18" s="109" t="e">
        <f t="shared" ca="1" si="0"/>
        <v>#VALUE!</v>
      </c>
      <c r="H18" s="109" t="e">
        <f t="shared" ca="1" si="0"/>
        <v>#VALUE!</v>
      </c>
      <c r="I18" s="109" t="e">
        <f t="shared" ca="1" si="0"/>
        <v>#VALUE!</v>
      </c>
      <c r="J18" s="109" t="e">
        <f t="shared" ca="1" si="0"/>
        <v>#VALUE!</v>
      </c>
      <c r="K18" s="109" t="e">
        <f t="shared" ca="1" si="0"/>
        <v>#VALUE!</v>
      </c>
    </row>
    <row r="19" spans="2:11" x14ac:dyDescent="0.25">
      <c r="B19" s="167" t="s">
        <v>294</v>
      </c>
      <c r="C19" s="43" t="s">
        <v>363</v>
      </c>
      <c r="D19" s="44" t="s">
        <v>386</v>
      </c>
      <c r="E19" s="110" t="e">
        <f t="shared" ca="1" si="0"/>
        <v>#VALUE!</v>
      </c>
      <c r="F19" s="110" t="e">
        <f t="shared" ca="1" si="0"/>
        <v>#VALUE!</v>
      </c>
      <c r="G19" s="110" t="e">
        <f t="shared" ca="1" si="0"/>
        <v>#VALUE!</v>
      </c>
      <c r="H19" s="110" t="e">
        <f t="shared" ca="1" si="0"/>
        <v>#VALUE!</v>
      </c>
      <c r="I19" s="110" t="e">
        <f t="shared" ca="1" si="0"/>
        <v>#VALUE!</v>
      </c>
      <c r="J19" s="110" t="e">
        <f t="shared" ca="1" si="0"/>
        <v>#VALUE!</v>
      </c>
      <c r="K19" s="110" t="e">
        <f t="shared" ca="1" si="0"/>
        <v>#VALUE!</v>
      </c>
    </row>
    <row r="20" spans="2:11" x14ac:dyDescent="0.25">
      <c r="B20" s="167"/>
      <c r="C20" s="40" t="s">
        <v>364</v>
      </c>
      <c r="D20" s="21" t="s">
        <v>387</v>
      </c>
      <c r="E20" s="109" t="e">
        <f t="shared" ca="1" si="0"/>
        <v>#VALUE!</v>
      </c>
      <c r="F20" s="109" t="e">
        <f t="shared" ca="1" si="0"/>
        <v>#VALUE!</v>
      </c>
      <c r="G20" s="109" t="e">
        <f t="shared" ca="1" si="0"/>
        <v>#VALUE!</v>
      </c>
      <c r="H20" s="109" t="e">
        <f t="shared" ca="1" si="0"/>
        <v>#VALUE!</v>
      </c>
      <c r="I20" s="109" t="e">
        <f t="shared" ca="1" si="0"/>
        <v>#VALUE!</v>
      </c>
      <c r="J20" s="109" t="e">
        <f t="shared" ca="1" si="0"/>
        <v>#VALUE!</v>
      </c>
      <c r="K20" s="109" t="e">
        <f t="shared" ca="1" si="0"/>
        <v>#VALUE!</v>
      </c>
    </row>
    <row r="21" spans="2:11" x14ac:dyDescent="0.25">
      <c r="B21" s="167"/>
      <c r="C21" s="40" t="s">
        <v>365</v>
      </c>
      <c r="D21" s="21" t="s">
        <v>388</v>
      </c>
      <c r="E21" s="109" t="e">
        <f t="shared" ca="1" si="0"/>
        <v>#VALUE!</v>
      </c>
      <c r="F21" s="109" t="e">
        <f t="shared" ca="1" si="0"/>
        <v>#VALUE!</v>
      </c>
      <c r="G21" s="109" t="e">
        <f t="shared" ca="1" si="0"/>
        <v>#VALUE!</v>
      </c>
      <c r="H21" s="109" t="e">
        <f t="shared" ca="1" si="0"/>
        <v>#VALUE!</v>
      </c>
      <c r="I21" s="109" t="e">
        <f t="shared" ca="1" si="0"/>
        <v>#VALUE!</v>
      </c>
      <c r="J21" s="109" t="e">
        <f t="shared" ca="1" si="0"/>
        <v>#VALUE!</v>
      </c>
      <c r="K21" s="109" t="e">
        <f t="shared" ca="1" si="0"/>
        <v>#VALUE!</v>
      </c>
    </row>
    <row r="22" spans="2:11" x14ac:dyDescent="0.25">
      <c r="B22" s="167"/>
      <c r="C22" s="40" t="s">
        <v>366</v>
      </c>
      <c r="D22" s="21" t="s">
        <v>389</v>
      </c>
      <c r="E22" s="109" t="e">
        <f t="shared" ca="1" si="0"/>
        <v>#VALUE!</v>
      </c>
      <c r="F22" s="109" t="e">
        <f t="shared" ca="1" si="0"/>
        <v>#VALUE!</v>
      </c>
      <c r="G22" s="109" t="e">
        <f t="shared" ca="1" si="0"/>
        <v>#VALUE!</v>
      </c>
      <c r="H22" s="109" t="e">
        <f t="shared" ca="1" si="0"/>
        <v>#VALUE!</v>
      </c>
      <c r="I22" s="109" t="e">
        <f t="shared" ca="1" si="0"/>
        <v>#VALUE!</v>
      </c>
      <c r="J22" s="109" t="e">
        <f t="shared" ca="1" si="0"/>
        <v>#VALUE!</v>
      </c>
      <c r="K22" s="109" t="e">
        <f t="shared" ca="1" si="0"/>
        <v>#VALUE!</v>
      </c>
    </row>
    <row r="23" spans="2:11" x14ac:dyDescent="0.25">
      <c r="B23" s="167"/>
      <c r="C23" s="40" t="s">
        <v>367</v>
      </c>
      <c r="D23" s="21" t="s">
        <v>390</v>
      </c>
      <c r="E23" s="109" t="e">
        <f t="shared" ca="1" si="0"/>
        <v>#VALUE!</v>
      </c>
      <c r="F23" s="109" t="e">
        <f t="shared" ca="1" si="0"/>
        <v>#VALUE!</v>
      </c>
      <c r="G23" s="109" t="e">
        <f t="shared" ca="1" si="0"/>
        <v>#VALUE!</v>
      </c>
      <c r="H23" s="109" t="e">
        <f t="shared" ca="1" si="0"/>
        <v>#VALUE!</v>
      </c>
      <c r="I23" s="109" t="e">
        <f t="shared" ca="1" si="0"/>
        <v>#VALUE!</v>
      </c>
      <c r="J23" s="109" t="e">
        <f t="shared" ca="1" si="0"/>
        <v>#VALUE!</v>
      </c>
      <c r="K23" s="109" t="e">
        <f t="shared" ca="1" si="0"/>
        <v>#VALUE!</v>
      </c>
    </row>
    <row r="24" spans="2:11" x14ac:dyDescent="0.25">
      <c r="B24" s="164" t="s">
        <v>298</v>
      </c>
      <c r="C24" s="43" t="s">
        <v>368</v>
      </c>
      <c r="D24" s="44" t="s">
        <v>391</v>
      </c>
      <c r="E24" s="110" t="e">
        <f t="shared" ca="1" si="0"/>
        <v>#VALUE!</v>
      </c>
      <c r="F24" s="110" t="e">
        <f t="shared" ca="1" si="0"/>
        <v>#VALUE!</v>
      </c>
      <c r="G24" s="110" t="e">
        <f t="shared" ca="1" si="0"/>
        <v>#VALUE!</v>
      </c>
      <c r="H24" s="110" t="e">
        <f t="shared" ca="1" si="0"/>
        <v>#VALUE!</v>
      </c>
      <c r="I24" s="110" t="e">
        <f t="shared" ca="1" si="0"/>
        <v>#VALUE!</v>
      </c>
      <c r="J24" s="110" t="e">
        <f t="shared" ca="1" si="0"/>
        <v>#VALUE!</v>
      </c>
      <c r="K24" s="110" t="e">
        <f t="shared" ca="1" si="0"/>
        <v>#VALUE!</v>
      </c>
    </row>
    <row r="25" spans="2:11" x14ac:dyDescent="0.25">
      <c r="B25" s="166"/>
      <c r="C25" s="46" t="s">
        <v>369</v>
      </c>
      <c r="D25" s="22" t="s">
        <v>392</v>
      </c>
      <c r="E25" s="111" t="e">
        <f t="shared" ca="1" si="0"/>
        <v>#VALUE!</v>
      </c>
      <c r="F25" s="111" t="e">
        <f t="shared" ca="1" si="0"/>
        <v>#VALUE!</v>
      </c>
      <c r="G25" s="111" t="e">
        <f t="shared" ca="1" si="0"/>
        <v>#VALUE!</v>
      </c>
      <c r="H25" s="111" t="e">
        <f t="shared" ca="1" si="0"/>
        <v>#VALUE!</v>
      </c>
      <c r="I25" s="111" t="e">
        <f t="shared" ca="1" si="0"/>
        <v>#VALUE!</v>
      </c>
      <c r="J25" s="111" t="e">
        <f t="shared" ca="1" si="0"/>
        <v>#VALUE!</v>
      </c>
      <c r="K25" s="111" t="e">
        <f t="shared" ca="1" si="0"/>
        <v>#VALUE!</v>
      </c>
    </row>
    <row r="26" spans="2:11" x14ac:dyDescent="0.25">
      <c r="B26" s="107" t="s">
        <v>172</v>
      </c>
      <c r="C26" s="46" t="s">
        <v>172</v>
      </c>
      <c r="D26" s="22" t="s">
        <v>393</v>
      </c>
      <c r="E26" s="111" t="e">
        <f t="shared" ca="1" si="0"/>
        <v>#VALUE!</v>
      </c>
      <c r="F26" s="111" t="e">
        <f t="shared" ca="1" si="0"/>
        <v>#VALUE!</v>
      </c>
      <c r="G26" s="111" t="e">
        <f t="shared" ca="1" si="0"/>
        <v>#VALUE!</v>
      </c>
      <c r="H26" s="111" t="e">
        <f t="shared" ca="1" si="0"/>
        <v>#VALUE!</v>
      </c>
      <c r="I26" s="111" t="e">
        <f t="shared" ca="1" si="0"/>
        <v>#VALUE!</v>
      </c>
      <c r="J26" s="111" t="e">
        <f t="shared" ca="1" si="0"/>
        <v>#VALUE!</v>
      </c>
      <c r="K26" s="111" t="e">
        <f t="shared" ca="1" si="0"/>
        <v>#VALUE!</v>
      </c>
    </row>
    <row r="27" spans="2:11" x14ac:dyDescent="0.25">
      <c r="B27" s="164" t="s">
        <v>170</v>
      </c>
      <c r="C27" s="43" t="s">
        <v>182</v>
      </c>
      <c r="D27" s="44" t="s">
        <v>394</v>
      </c>
      <c r="E27" s="110" t="e">
        <f t="shared" ca="1" si="0"/>
        <v>#VALUE!</v>
      </c>
      <c r="F27" s="110" t="e">
        <f t="shared" ca="1" si="0"/>
        <v>#VALUE!</v>
      </c>
      <c r="G27" s="110" t="e">
        <f t="shared" ca="1" si="0"/>
        <v>#VALUE!</v>
      </c>
      <c r="H27" s="110" t="e">
        <f t="shared" ca="1" si="0"/>
        <v>#VALUE!</v>
      </c>
      <c r="I27" s="110" t="e">
        <f t="shared" ca="1" si="0"/>
        <v>#VALUE!</v>
      </c>
      <c r="J27" s="110" t="e">
        <f t="shared" ca="1" si="0"/>
        <v>#VALUE!</v>
      </c>
      <c r="K27" s="110" t="e">
        <f t="shared" ca="1" si="0"/>
        <v>#VALUE!</v>
      </c>
    </row>
    <row r="28" spans="2:11" x14ac:dyDescent="0.25">
      <c r="B28" s="166"/>
      <c r="C28" s="40" t="s">
        <v>183</v>
      </c>
      <c r="D28" t="s">
        <v>395</v>
      </c>
      <c r="E28" s="109" t="e">
        <f t="shared" ca="1" si="0"/>
        <v>#VALUE!</v>
      </c>
      <c r="F28" s="109" t="e">
        <f t="shared" ca="1" si="0"/>
        <v>#VALUE!</v>
      </c>
      <c r="G28" s="109" t="e">
        <f t="shared" ca="1" si="0"/>
        <v>#VALUE!</v>
      </c>
      <c r="H28" s="109" t="e">
        <f t="shared" ca="1" si="0"/>
        <v>#VALUE!</v>
      </c>
      <c r="I28" s="109" t="e">
        <f t="shared" ca="1" si="0"/>
        <v>#VALUE!</v>
      </c>
      <c r="J28" s="109" t="e">
        <f t="shared" ca="1" si="0"/>
        <v>#VALUE!</v>
      </c>
      <c r="K28" s="109" t="e">
        <f t="shared" ca="1" si="0"/>
        <v>#VALUE!</v>
      </c>
    </row>
    <row r="29" spans="2:11" x14ac:dyDescent="0.25">
      <c r="B29" s="164" t="s">
        <v>296</v>
      </c>
      <c r="C29" s="43" t="s">
        <v>169</v>
      </c>
      <c r="D29" s="44" t="s">
        <v>396</v>
      </c>
      <c r="E29" s="110" t="e">
        <f t="shared" ca="1" si="0"/>
        <v>#VALUE!</v>
      </c>
      <c r="F29" s="110" t="e">
        <f t="shared" ca="1" si="0"/>
        <v>#VALUE!</v>
      </c>
      <c r="G29" s="110" t="e">
        <f t="shared" ca="1" si="0"/>
        <v>#VALUE!</v>
      </c>
      <c r="H29" s="110" t="e">
        <f t="shared" ca="1" si="0"/>
        <v>#VALUE!</v>
      </c>
      <c r="I29" s="110" t="e">
        <f t="shared" ca="1" si="0"/>
        <v>#VALUE!</v>
      </c>
      <c r="J29" s="110" t="e">
        <f t="shared" ca="1" si="0"/>
        <v>#VALUE!</v>
      </c>
      <c r="K29" s="110" t="e">
        <f t="shared" ca="1" si="0"/>
        <v>#VALUE!</v>
      </c>
    </row>
    <row r="30" spans="2:11" x14ac:dyDescent="0.25">
      <c r="B30" s="165"/>
      <c r="C30" s="40" t="s">
        <v>170</v>
      </c>
      <c r="D30" t="s">
        <v>397</v>
      </c>
      <c r="E30" s="109" t="e">
        <f t="shared" ca="1" si="0"/>
        <v>#VALUE!</v>
      </c>
      <c r="F30" s="109" t="e">
        <f t="shared" ca="1" si="0"/>
        <v>#VALUE!</v>
      </c>
      <c r="G30" s="109" t="e">
        <f t="shared" ca="1" si="0"/>
        <v>#VALUE!</v>
      </c>
      <c r="H30" s="109" t="e">
        <f t="shared" ca="1" si="0"/>
        <v>#VALUE!</v>
      </c>
      <c r="I30" s="109" t="e">
        <f t="shared" ca="1" si="0"/>
        <v>#VALUE!</v>
      </c>
      <c r="J30" s="109" t="e">
        <f t="shared" ca="1" si="0"/>
        <v>#VALUE!</v>
      </c>
      <c r="K30" s="109" t="e">
        <f t="shared" ca="1" si="0"/>
        <v>#VALUE!</v>
      </c>
    </row>
    <row r="31" spans="2:11" x14ac:dyDescent="0.25">
      <c r="B31" s="165"/>
      <c r="C31" s="40" t="s">
        <v>171</v>
      </c>
      <c r="D31" t="s">
        <v>398</v>
      </c>
      <c r="E31" s="109" t="e">
        <f t="shared" ca="1" si="0"/>
        <v>#VALUE!</v>
      </c>
      <c r="F31" s="109" t="e">
        <f t="shared" ca="1" si="0"/>
        <v>#VALUE!</v>
      </c>
      <c r="G31" s="109" t="e">
        <f t="shared" ca="1" si="0"/>
        <v>#VALUE!</v>
      </c>
      <c r="H31" s="109" t="e">
        <f t="shared" ca="1" si="0"/>
        <v>#VALUE!</v>
      </c>
      <c r="I31" s="109" t="e">
        <f t="shared" ca="1" si="0"/>
        <v>#VALUE!</v>
      </c>
      <c r="J31" s="109" t="e">
        <f t="shared" ca="1" si="0"/>
        <v>#VALUE!</v>
      </c>
      <c r="K31" s="109" t="e">
        <f t="shared" ca="1" si="0"/>
        <v>#VALUE!</v>
      </c>
    </row>
    <row r="32" spans="2:11" x14ac:dyDescent="0.25">
      <c r="B32" s="165"/>
      <c r="C32" s="40" t="s">
        <v>172</v>
      </c>
      <c r="D32" t="s">
        <v>399</v>
      </c>
      <c r="E32" s="109" t="e">
        <f t="shared" ca="1" si="0"/>
        <v>#VALUE!</v>
      </c>
      <c r="F32" s="109" t="e">
        <f t="shared" ca="1" si="0"/>
        <v>#VALUE!</v>
      </c>
      <c r="G32" s="109" t="e">
        <f t="shared" ca="1" si="0"/>
        <v>#VALUE!</v>
      </c>
      <c r="H32" s="109" t="e">
        <f t="shared" ca="1" si="0"/>
        <v>#VALUE!</v>
      </c>
      <c r="I32" s="109" t="e">
        <f t="shared" ca="1" si="0"/>
        <v>#VALUE!</v>
      </c>
      <c r="J32" s="109" t="e">
        <f t="shared" ca="1" si="0"/>
        <v>#VALUE!</v>
      </c>
      <c r="K32" s="109" t="e">
        <f t="shared" ca="1" si="0"/>
        <v>#VALUE!</v>
      </c>
    </row>
    <row r="33" spans="2:11" x14ac:dyDescent="0.25">
      <c r="B33" s="165"/>
      <c r="C33" s="40" t="s">
        <v>173</v>
      </c>
      <c r="D33" t="s">
        <v>400</v>
      </c>
      <c r="E33" s="109" t="e">
        <f t="shared" ca="1" si="0"/>
        <v>#VALUE!</v>
      </c>
      <c r="F33" s="109" t="e">
        <f t="shared" ca="1" si="0"/>
        <v>#VALUE!</v>
      </c>
      <c r="G33" s="109" t="e">
        <f t="shared" ca="1" si="0"/>
        <v>#VALUE!</v>
      </c>
      <c r="H33" s="109" t="e">
        <f t="shared" ca="1" si="0"/>
        <v>#VALUE!</v>
      </c>
      <c r="I33" s="109" t="e">
        <f t="shared" ca="1" si="0"/>
        <v>#VALUE!</v>
      </c>
      <c r="J33" s="109" t="e">
        <f t="shared" ca="1" si="0"/>
        <v>#VALUE!</v>
      </c>
      <c r="K33" s="109" t="e">
        <f t="shared" ca="1" si="0"/>
        <v>#VALUE!</v>
      </c>
    </row>
    <row r="34" spans="2:11" x14ac:dyDescent="0.25">
      <c r="B34" s="165"/>
      <c r="C34" s="40" t="s">
        <v>174</v>
      </c>
      <c r="D34" t="s">
        <v>401</v>
      </c>
      <c r="E34" s="109" t="e">
        <f t="shared" ca="1" si="0"/>
        <v>#VALUE!</v>
      </c>
      <c r="F34" s="109" t="e">
        <f t="shared" ca="1" si="0"/>
        <v>#VALUE!</v>
      </c>
      <c r="G34" s="109" t="e">
        <f t="shared" ca="1" si="0"/>
        <v>#VALUE!</v>
      </c>
      <c r="H34" s="109" t="e">
        <f t="shared" ca="1" si="0"/>
        <v>#VALUE!</v>
      </c>
      <c r="I34" s="109" t="e">
        <f t="shared" ca="1" si="0"/>
        <v>#VALUE!</v>
      </c>
      <c r="J34" s="109" t="e">
        <f t="shared" ca="1" si="0"/>
        <v>#VALUE!</v>
      </c>
      <c r="K34" s="109" t="e">
        <f t="shared" ca="1" si="0"/>
        <v>#VALUE!</v>
      </c>
    </row>
    <row r="35" spans="2:11" x14ac:dyDescent="0.25">
      <c r="B35" s="165"/>
      <c r="C35" s="40" t="s">
        <v>175</v>
      </c>
      <c r="D35" t="s">
        <v>402</v>
      </c>
      <c r="E35" s="109" t="e">
        <f t="shared" ca="1" si="0"/>
        <v>#VALUE!</v>
      </c>
      <c r="F35" s="109" t="e">
        <f t="shared" ca="1" si="0"/>
        <v>#VALUE!</v>
      </c>
      <c r="G35" s="109" t="e">
        <f t="shared" ca="1" si="0"/>
        <v>#VALUE!</v>
      </c>
      <c r="H35" s="109" t="e">
        <f t="shared" ca="1" si="0"/>
        <v>#VALUE!</v>
      </c>
      <c r="I35" s="109" t="e">
        <f t="shared" ca="1" si="0"/>
        <v>#VALUE!</v>
      </c>
      <c r="J35" s="109" t="e">
        <f t="shared" ca="1" si="0"/>
        <v>#VALUE!</v>
      </c>
      <c r="K35" s="109" t="e">
        <f t="shared" ca="1" si="0"/>
        <v>#VALUE!</v>
      </c>
    </row>
    <row r="36" spans="2:11" x14ac:dyDescent="0.25">
      <c r="B36" s="166"/>
      <c r="C36" s="40" t="s">
        <v>184</v>
      </c>
      <c r="D36" t="s">
        <v>403</v>
      </c>
      <c r="E36" s="109" t="e">
        <f t="shared" ca="1" si="0"/>
        <v>#VALUE!</v>
      </c>
      <c r="F36" s="109" t="e">
        <f t="shared" ca="1" si="0"/>
        <v>#VALUE!</v>
      </c>
      <c r="G36" s="109" t="e">
        <f t="shared" ca="1" si="0"/>
        <v>#VALUE!</v>
      </c>
      <c r="H36" s="109" t="e">
        <f t="shared" ca="1" si="0"/>
        <v>#VALUE!</v>
      </c>
      <c r="I36" s="109" t="e">
        <f t="shared" ca="1" si="0"/>
        <v>#VALUE!</v>
      </c>
      <c r="J36" s="109" t="e">
        <f t="shared" ca="1" si="0"/>
        <v>#VALUE!</v>
      </c>
      <c r="K36" s="109" t="e">
        <f t="shared" ca="1" si="0"/>
        <v>#VALUE!</v>
      </c>
    </row>
    <row r="37" spans="2:11" x14ac:dyDescent="0.25">
      <c r="B37" s="164" t="s">
        <v>372</v>
      </c>
      <c r="C37" s="43" t="s">
        <v>176</v>
      </c>
      <c r="D37" s="44" t="s">
        <v>404</v>
      </c>
      <c r="E37" s="110" t="e">
        <f t="shared" ca="1" si="0"/>
        <v>#VALUE!</v>
      </c>
      <c r="F37" s="110" t="e">
        <f t="shared" ca="1" si="0"/>
        <v>#VALUE!</v>
      </c>
      <c r="G37" s="110" t="e">
        <f t="shared" ca="1" si="0"/>
        <v>#VALUE!</v>
      </c>
      <c r="H37" s="110" t="e">
        <f t="shared" ca="1" si="0"/>
        <v>#VALUE!</v>
      </c>
      <c r="I37" s="110" t="e">
        <f t="shared" ca="1" si="0"/>
        <v>#VALUE!</v>
      </c>
      <c r="J37" s="110" t="e">
        <f t="shared" ca="1" si="0"/>
        <v>#VALUE!</v>
      </c>
      <c r="K37" s="110" t="e">
        <f t="shared" ca="1" si="0"/>
        <v>#VALUE!</v>
      </c>
    </row>
    <row r="38" spans="2:11" x14ac:dyDescent="0.25">
      <c r="B38" s="165"/>
      <c r="C38" s="40" t="s">
        <v>177</v>
      </c>
      <c r="D38" t="s">
        <v>405</v>
      </c>
      <c r="E38" s="109" t="e">
        <f t="shared" ca="1" si="0"/>
        <v>#VALUE!</v>
      </c>
      <c r="F38" s="109" t="e">
        <f t="shared" ca="1" si="0"/>
        <v>#VALUE!</v>
      </c>
      <c r="G38" s="109" t="e">
        <f t="shared" ca="1" si="0"/>
        <v>#VALUE!</v>
      </c>
      <c r="H38" s="109" t="e">
        <f t="shared" ca="1" si="0"/>
        <v>#VALUE!</v>
      </c>
      <c r="I38" s="109" t="e">
        <f t="shared" ca="1" si="0"/>
        <v>#VALUE!</v>
      </c>
      <c r="J38" s="109" t="e">
        <f t="shared" ca="1" si="0"/>
        <v>#VALUE!</v>
      </c>
      <c r="K38" s="109" t="e">
        <f t="shared" ca="1" si="0"/>
        <v>#VALUE!</v>
      </c>
    </row>
    <row r="39" spans="2:11" x14ac:dyDescent="0.25">
      <c r="B39" s="165"/>
      <c r="C39" s="40" t="s">
        <v>178</v>
      </c>
      <c r="D39" t="s">
        <v>406</v>
      </c>
      <c r="E39" s="109" t="e">
        <f t="shared" ca="1" si="0"/>
        <v>#VALUE!</v>
      </c>
      <c r="F39" s="109" t="e">
        <f t="shared" ca="1" si="0"/>
        <v>#VALUE!</v>
      </c>
      <c r="G39" s="109" t="e">
        <f t="shared" ca="1" si="0"/>
        <v>#VALUE!</v>
      </c>
      <c r="H39" s="109" t="e">
        <f t="shared" ca="1" si="0"/>
        <v>#VALUE!</v>
      </c>
      <c r="I39" s="109" t="e">
        <f t="shared" ca="1" si="0"/>
        <v>#VALUE!</v>
      </c>
      <c r="J39" s="109" t="e">
        <f t="shared" ca="1" si="0"/>
        <v>#VALUE!</v>
      </c>
      <c r="K39" s="109" t="e">
        <f t="shared" ca="1" si="0"/>
        <v>#VALUE!</v>
      </c>
    </row>
    <row r="40" spans="2:11" x14ac:dyDescent="0.25">
      <c r="B40" s="165"/>
      <c r="C40" s="40" t="s">
        <v>179</v>
      </c>
      <c r="D40" t="s">
        <v>407</v>
      </c>
      <c r="E40" s="109" t="e">
        <f t="shared" ca="1" si="0"/>
        <v>#VALUE!</v>
      </c>
      <c r="F40" s="109" t="e">
        <f t="shared" ca="1" si="0"/>
        <v>#VALUE!</v>
      </c>
      <c r="G40" s="109" t="e">
        <f t="shared" ca="1" si="0"/>
        <v>#VALUE!</v>
      </c>
      <c r="H40" s="109" t="e">
        <f t="shared" ca="1" si="0"/>
        <v>#VALUE!</v>
      </c>
      <c r="I40" s="109" t="e">
        <f t="shared" ca="1" si="0"/>
        <v>#VALUE!</v>
      </c>
      <c r="J40" s="109" t="e">
        <f t="shared" ca="1" si="0"/>
        <v>#VALUE!</v>
      </c>
      <c r="K40" s="109" t="e">
        <f t="shared" ca="1" si="0"/>
        <v>#VALUE!</v>
      </c>
    </row>
    <row r="41" spans="2:11" x14ac:dyDescent="0.25">
      <c r="B41" s="165"/>
      <c r="C41" s="40" t="s">
        <v>180</v>
      </c>
      <c r="D41" t="s">
        <v>408</v>
      </c>
      <c r="E41" s="109" t="e">
        <f t="shared" ca="1" si="0"/>
        <v>#VALUE!</v>
      </c>
      <c r="F41" s="109" t="e">
        <f t="shared" ca="1" si="0"/>
        <v>#VALUE!</v>
      </c>
      <c r="G41" s="109" t="e">
        <f t="shared" ca="1" si="0"/>
        <v>#VALUE!</v>
      </c>
      <c r="H41" s="109" t="e">
        <f t="shared" ca="1" si="0"/>
        <v>#VALUE!</v>
      </c>
      <c r="I41" s="109" t="e">
        <f t="shared" ca="1" si="0"/>
        <v>#VALUE!</v>
      </c>
      <c r="J41" s="109" t="e">
        <f t="shared" ca="1" si="0"/>
        <v>#VALUE!</v>
      </c>
      <c r="K41" s="109" t="e">
        <f t="shared" ca="1" si="0"/>
        <v>#VALUE!</v>
      </c>
    </row>
    <row r="42" spans="2:11" x14ac:dyDescent="0.25">
      <c r="B42" s="166"/>
      <c r="C42" s="46" t="s">
        <v>184</v>
      </c>
      <c r="D42" s="22" t="s">
        <v>409</v>
      </c>
      <c r="E42" s="111" t="e">
        <f t="shared" ca="1" si="0"/>
        <v>#VALUE!</v>
      </c>
      <c r="F42" s="111" t="e">
        <f t="shared" ca="1" si="0"/>
        <v>#VALUE!</v>
      </c>
      <c r="G42" s="111" t="e">
        <f t="shared" ca="1" si="0"/>
        <v>#VALUE!</v>
      </c>
      <c r="H42" s="111" t="e">
        <f t="shared" ref="H42:K42" ca="1" si="1">Output("SCEN_ADEMEhaut", $D42, H$5)</f>
        <v>#VALUE!</v>
      </c>
      <c r="I42" s="111" t="e">
        <f t="shared" ca="1" si="1"/>
        <v>#VALUE!</v>
      </c>
      <c r="J42" s="111" t="e">
        <f t="shared" ca="1" si="1"/>
        <v>#VALUE!</v>
      </c>
      <c r="K42" s="111" t="e">
        <f t="shared" ca="1" si="1"/>
        <v>#VALUE!</v>
      </c>
    </row>
  </sheetData>
  <mergeCells count="6">
    <mergeCell ref="B37:B42"/>
    <mergeCell ref="B6:B18"/>
    <mergeCell ref="B19:B23"/>
    <mergeCell ref="B24:B25"/>
    <mergeCell ref="B27:B28"/>
    <mergeCell ref="B29:B3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92D050"/>
  </sheetPr>
  <dimension ref="A1:K29"/>
  <sheetViews>
    <sheetView workbookViewId="0">
      <selection activeCell="H36" sqref="H36"/>
    </sheetView>
  </sheetViews>
  <sheetFormatPr baseColWidth="10" defaultRowHeight="15" x14ac:dyDescent="0.25"/>
  <cols>
    <col min="3" max="3" width="52.5703125" customWidth="1"/>
    <col min="4" max="4" width="10.85546875" hidden="1" customWidth="1"/>
  </cols>
  <sheetData>
    <row r="1" spans="1:11" ht="23.45" x14ac:dyDescent="0.55000000000000004">
      <c r="A1" s="4"/>
      <c r="B1" s="4"/>
      <c r="C1" s="1"/>
      <c r="D1" s="1"/>
    </row>
    <row r="2" spans="1:11" ht="23.45" x14ac:dyDescent="0.55000000000000004">
      <c r="A2" s="4"/>
      <c r="B2" s="4"/>
      <c r="C2" s="1"/>
      <c r="D2" s="1"/>
    </row>
    <row r="3" spans="1:11" ht="23.45" x14ac:dyDescent="0.55000000000000004">
      <c r="A3" s="4"/>
      <c r="B3" s="4"/>
      <c r="C3" s="3" t="s">
        <v>187</v>
      </c>
      <c r="D3" s="1"/>
    </row>
    <row r="4" spans="1:11" ht="14.45" x14ac:dyDescent="0.35">
      <c r="C4" s="1"/>
      <c r="D4" s="1"/>
    </row>
    <row r="5" spans="1:11" ht="14.45" x14ac:dyDescent="0.35">
      <c r="B5" s="50"/>
      <c r="C5" s="49" t="s">
        <v>411</v>
      </c>
      <c r="D5" s="50"/>
      <c r="E5" s="51">
        <v>2006</v>
      </c>
      <c r="F5" s="51">
        <v>2010</v>
      </c>
      <c r="G5" s="49">
        <v>2015</v>
      </c>
      <c r="H5" s="49">
        <v>2020</v>
      </c>
      <c r="I5" s="49">
        <v>2030</v>
      </c>
      <c r="J5" s="49">
        <v>2040</v>
      </c>
      <c r="K5" s="49">
        <v>2050</v>
      </c>
    </row>
    <row r="6" spans="1:11" x14ac:dyDescent="0.25">
      <c r="B6" s="168" t="s">
        <v>371</v>
      </c>
      <c r="C6" s="40" t="s">
        <v>350</v>
      </c>
      <c r="D6" t="s">
        <v>413</v>
      </c>
      <c r="E6" s="109" t="e">
        <f t="shared" ref="E6:K27" ca="1" si="0">Output("SCEN_ADEMEhaut", $D6, E$5)</f>
        <v>#VALUE!</v>
      </c>
      <c r="F6" s="109" t="e">
        <f t="shared" ca="1" si="0"/>
        <v>#VALUE!</v>
      </c>
      <c r="G6" s="109" t="e">
        <f t="shared" ca="1" si="0"/>
        <v>#VALUE!</v>
      </c>
      <c r="H6" s="109" t="e">
        <f t="shared" ca="1" si="0"/>
        <v>#VALUE!</v>
      </c>
      <c r="I6" s="109" t="e">
        <f t="shared" ca="1" si="0"/>
        <v>#VALUE!</v>
      </c>
      <c r="J6" s="109" t="e">
        <f t="shared" ca="1" si="0"/>
        <v>#VALUE!</v>
      </c>
      <c r="K6" s="109" t="e">
        <f t="shared" ca="1" si="0"/>
        <v>#VALUE!</v>
      </c>
    </row>
    <row r="7" spans="1:11" x14ac:dyDescent="0.25">
      <c r="B7" s="169"/>
      <c r="C7" s="40" t="s">
        <v>351</v>
      </c>
      <c r="D7" t="s">
        <v>414</v>
      </c>
      <c r="E7" s="109" t="e">
        <f t="shared" ca="1" si="0"/>
        <v>#VALUE!</v>
      </c>
      <c r="F7" s="109" t="e">
        <f t="shared" ca="1" si="0"/>
        <v>#VALUE!</v>
      </c>
      <c r="G7" s="109" t="e">
        <f t="shared" ca="1" si="0"/>
        <v>#VALUE!</v>
      </c>
      <c r="H7" s="109" t="e">
        <f t="shared" ca="1" si="0"/>
        <v>#VALUE!</v>
      </c>
      <c r="I7" s="109" t="e">
        <f t="shared" ca="1" si="0"/>
        <v>#VALUE!</v>
      </c>
      <c r="J7" s="109" t="e">
        <f t="shared" ca="1" si="0"/>
        <v>#VALUE!</v>
      </c>
      <c r="K7" s="109" t="e">
        <f t="shared" ca="1" si="0"/>
        <v>#VALUE!</v>
      </c>
    </row>
    <row r="8" spans="1:11" x14ac:dyDescent="0.25">
      <c r="B8" s="169"/>
      <c r="C8" s="40" t="s">
        <v>352</v>
      </c>
      <c r="D8" t="s">
        <v>415</v>
      </c>
      <c r="E8" s="109" t="e">
        <f t="shared" ca="1" si="0"/>
        <v>#VALUE!</v>
      </c>
      <c r="F8" s="109" t="e">
        <f t="shared" ca="1" si="0"/>
        <v>#VALUE!</v>
      </c>
      <c r="G8" s="109" t="e">
        <f t="shared" ca="1" si="0"/>
        <v>#VALUE!</v>
      </c>
      <c r="H8" s="109" t="e">
        <f t="shared" ca="1" si="0"/>
        <v>#VALUE!</v>
      </c>
      <c r="I8" s="109" t="e">
        <f t="shared" ca="1" si="0"/>
        <v>#VALUE!</v>
      </c>
      <c r="J8" s="109" t="e">
        <f t="shared" ca="1" si="0"/>
        <v>#VALUE!</v>
      </c>
      <c r="K8" s="109" t="e">
        <f t="shared" ca="1" si="0"/>
        <v>#VALUE!</v>
      </c>
    </row>
    <row r="9" spans="1:11" x14ac:dyDescent="0.25">
      <c r="B9" s="169"/>
      <c r="C9" s="40" t="s">
        <v>353</v>
      </c>
      <c r="D9" t="s">
        <v>416</v>
      </c>
      <c r="E9" s="109" t="e">
        <f t="shared" ca="1" si="0"/>
        <v>#VALUE!</v>
      </c>
      <c r="F9" s="109" t="e">
        <f t="shared" ca="1" si="0"/>
        <v>#VALUE!</v>
      </c>
      <c r="G9" s="109" t="e">
        <f t="shared" ca="1" si="0"/>
        <v>#VALUE!</v>
      </c>
      <c r="H9" s="109" t="e">
        <f t="shared" ca="1" si="0"/>
        <v>#VALUE!</v>
      </c>
      <c r="I9" s="109" t="e">
        <f t="shared" ca="1" si="0"/>
        <v>#VALUE!</v>
      </c>
      <c r="J9" s="109" t="e">
        <f t="shared" ca="1" si="0"/>
        <v>#VALUE!</v>
      </c>
      <c r="K9" s="109" t="e">
        <f t="shared" ca="1" si="0"/>
        <v>#VALUE!</v>
      </c>
    </row>
    <row r="10" spans="1:11" x14ac:dyDescent="0.25">
      <c r="B10" s="169"/>
      <c r="C10" s="40" t="s">
        <v>354</v>
      </c>
      <c r="D10" t="s">
        <v>417</v>
      </c>
      <c r="E10" s="109" t="e">
        <f t="shared" ca="1" si="0"/>
        <v>#VALUE!</v>
      </c>
      <c r="F10" s="109" t="e">
        <f t="shared" ca="1" si="0"/>
        <v>#VALUE!</v>
      </c>
      <c r="G10" s="109" t="e">
        <f t="shared" ca="1" si="0"/>
        <v>#VALUE!</v>
      </c>
      <c r="H10" s="109" t="e">
        <f t="shared" ca="1" si="0"/>
        <v>#VALUE!</v>
      </c>
      <c r="I10" s="109" t="e">
        <f t="shared" ca="1" si="0"/>
        <v>#VALUE!</v>
      </c>
      <c r="J10" s="109" t="e">
        <f t="shared" ca="1" si="0"/>
        <v>#VALUE!</v>
      </c>
      <c r="K10" s="109" t="e">
        <f t="shared" ca="1" si="0"/>
        <v>#VALUE!</v>
      </c>
    </row>
    <row r="11" spans="1:11" x14ac:dyDescent="0.25">
      <c r="B11" s="169"/>
      <c r="C11" s="40" t="s">
        <v>355</v>
      </c>
      <c r="D11" t="s">
        <v>418</v>
      </c>
      <c r="E11" s="109" t="e">
        <f t="shared" ca="1" si="0"/>
        <v>#VALUE!</v>
      </c>
      <c r="F11" s="109" t="e">
        <f t="shared" ca="1" si="0"/>
        <v>#VALUE!</v>
      </c>
      <c r="G11" s="109" t="e">
        <f t="shared" ca="1" si="0"/>
        <v>#VALUE!</v>
      </c>
      <c r="H11" s="109" t="e">
        <f t="shared" ca="1" si="0"/>
        <v>#VALUE!</v>
      </c>
      <c r="I11" s="109" t="e">
        <f t="shared" ca="1" si="0"/>
        <v>#VALUE!</v>
      </c>
      <c r="J11" s="109" t="e">
        <f t="shared" ca="1" si="0"/>
        <v>#VALUE!</v>
      </c>
      <c r="K11" s="109" t="e">
        <f t="shared" ca="1" si="0"/>
        <v>#VALUE!</v>
      </c>
    </row>
    <row r="12" spans="1:11" x14ac:dyDescent="0.25">
      <c r="B12" s="169"/>
      <c r="C12" s="40" t="s">
        <v>356</v>
      </c>
      <c r="D12" t="s">
        <v>419</v>
      </c>
      <c r="E12" s="109" t="e">
        <f t="shared" ca="1" si="0"/>
        <v>#VALUE!</v>
      </c>
      <c r="F12" s="109" t="e">
        <f t="shared" ca="1" si="0"/>
        <v>#VALUE!</v>
      </c>
      <c r="G12" s="109" t="e">
        <f t="shared" ca="1" si="0"/>
        <v>#VALUE!</v>
      </c>
      <c r="H12" s="109" t="e">
        <f t="shared" ca="1" si="0"/>
        <v>#VALUE!</v>
      </c>
      <c r="I12" s="109" t="e">
        <f t="shared" ca="1" si="0"/>
        <v>#VALUE!</v>
      </c>
      <c r="J12" s="109" t="e">
        <f t="shared" ca="1" si="0"/>
        <v>#VALUE!</v>
      </c>
      <c r="K12" s="109" t="e">
        <f t="shared" ca="1" si="0"/>
        <v>#VALUE!</v>
      </c>
    </row>
    <row r="13" spans="1:11" x14ac:dyDescent="0.25">
      <c r="B13" s="169"/>
      <c r="C13" s="40" t="s">
        <v>357</v>
      </c>
      <c r="D13" t="s">
        <v>420</v>
      </c>
      <c r="E13" s="109" t="e">
        <f t="shared" ca="1" si="0"/>
        <v>#VALUE!</v>
      </c>
      <c r="F13" s="109" t="e">
        <f t="shared" ca="1" si="0"/>
        <v>#VALUE!</v>
      </c>
      <c r="G13" s="109" t="e">
        <f t="shared" ca="1" si="0"/>
        <v>#VALUE!</v>
      </c>
      <c r="H13" s="109" t="e">
        <f t="shared" ca="1" si="0"/>
        <v>#VALUE!</v>
      </c>
      <c r="I13" s="109" t="e">
        <f t="shared" ca="1" si="0"/>
        <v>#VALUE!</v>
      </c>
      <c r="J13" s="109" t="e">
        <f t="shared" ca="1" si="0"/>
        <v>#VALUE!</v>
      </c>
      <c r="K13" s="109" t="e">
        <f t="shared" ca="1" si="0"/>
        <v>#VALUE!</v>
      </c>
    </row>
    <row r="14" spans="1:11" x14ac:dyDescent="0.25">
      <c r="B14" s="169"/>
      <c r="C14" s="40" t="s">
        <v>358</v>
      </c>
      <c r="D14" t="s">
        <v>421</v>
      </c>
      <c r="E14" s="109" t="e">
        <f t="shared" ca="1" si="0"/>
        <v>#VALUE!</v>
      </c>
      <c r="F14" s="109" t="e">
        <f t="shared" ca="1" si="0"/>
        <v>#VALUE!</v>
      </c>
      <c r="G14" s="109" t="e">
        <f t="shared" ca="1" si="0"/>
        <v>#VALUE!</v>
      </c>
      <c r="H14" s="109" t="e">
        <f t="shared" ca="1" si="0"/>
        <v>#VALUE!</v>
      </c>
      <c r="I14" s="109" t="e">
        <f t="shared" ca="1" si="0"/>
        <v>#VALUE!</v>
      </c>
      <c r="J14" s="109" t="e">
        <f t="shared" ca="1" si="0"/>
        <v>#VALUE!</v>
      </c>
      <c r="K14" s="109" t="e">
        <f t="shared" ca="1" si="0"/>
        <v>#VALUE!</v>
      </c>
    </row>
    <row r="15" spans="1:11" x14ac:dyDescent="0.25">
      <c r="B15" s="169"/>
      <c r="C15" s="40" t="s">
        <v>359</v>
      </c>
      <c r="D15" t="s">
        <v>422</v>
      </c>
      <c r="E15" s="109" t="e">
        <f t="shared" ca="1" si="0"/>
        <v>#VALUE!</v>
      </c>
      <c r="F15" s="109" t="e">
        <f t="shared" ca="1" si="0"/>
        <v>#VALUE!</v>
      </c>
      <c r="G15" s="109" t="e">
        <f t="shared" ca="1" si="0"/>
        <v>#VALUE!</v>
      </c>
      <c r="H15" s="109" t="e">
        <f t="shared" ca="1" si="0"/>
        <v>#VALUE!</v>
      </c>
      <c r="I15" s="109" t="e">
        <f t="shared" ca="1" si="0"/>
        <v>#VALUE!</v>
      </c>
      <c r="J15" s="109" t="e">
        <f t="shared" ca="1" si="0"/>
        <v>#VALUE!</v>
      </c>
      <c r="K15" s="109" t="e">
        <f t="shared" ca="1" si="0"/>
        <v>#VALUE!</v>
      </c>
    </row>
    <row r="16" spans="1:11" x14ac:dyDescent="0.25">
      <c r="B16" s="169"/>
      <c r="C16" s="40" t="s">
        <v>360</v>
      </c>
      <c r="D16" t="s">
        <v>423</v>
      </c>
      <c r="E16" s="109" t="e">
        <f t="shared" ca="1" si="0"/>
        <v>#VALUE!</v>
      </c>
      <c r="F16" s="109" t="e">
        <f t="shared" ca="1" si="0"/>
        <v>#VALUE!</v>
      </c>
      <c r="G16" s="109" t="e">
        <f t="shared" ca="1" si="0"/>
        <v>#VALUE!</v>
      </c>
      <c r="H16" s="109" t="e">
        <f t="shared" ca="1" si="0"/>
        <v>#VALUE!</v>
      </c>
      <c r="I16" s="109" t="e">
        <f t="shared" ca="1" si="0"/>
        <v>#VALUE!</v>
      </c>
      <c r="J16" s="109" t="e">
        <f t="shared" ca="1" si="0"/>
        <v>#VALUE!</v>
      </c>
      <c r="K16" s="109" t="e">
        <f t="shared" ca="1" si="0"/>
        <v>#VALUE!</v>
      </c>
    </row>
    <row r="17" spans="2:11" x14ac:dyDescent="0.25">
      <c r="B17" s="169"/>
      <c r="C17" s="40" t="s">
        <v>361</v>
      </c>
      <c r="D17" t="s">
        <v>424</v>
      </c>
      <c r="E17" s="109" t="e">
        <f t="shared" ca="1" si="0"/>
        <v>#VALUE!</v>
      </c>
      <c r="F17" s="109" t="e">
        <f t="shared" ca="1" si="0"/>
        <v>#VALUE!</v>
      </c>
      <c r="G17" s="109" t="e">
        <f t="shared" ca="1" si="0"/>
        <v>#VALUE!</v>
      </c>
      <c r="H17" s="109" t="e">
        <f t="shared" ca="1" si="0"/>
        <v>#VALUE!</v>
      </c>
      <c r="I17" s="109" t="e">
        <f t="shared" ca="1" si="0"/>
        <v>#VALUE!</v>
      </c>
      <c r="J17" s="109" t="e">
        <f t="shared" ca="1" si="0"/>
        <v>#VALUE!</v>
      </c>
      <c r="K17" s="109" t="e">
        <f t="shared" ca="1" si="0"/>
        <v>#VALUE!</v>
      </c>
    </row>
    <row r="18" spans="2:11" x14ac:dyDescent="0.25">
      <c r="B18" s="170"/>
      <c r="C18" s="40" t="s">
        <v>362</v>
      </c>
      <c r="D18" t="s">
        <v>425</v>
      </c>
      <c r="E18" s="109" t="e">
        <f t="shared" ca="1" si="0"/>
        <v>#VALUE!</v>
      </c>
      <c r="F18" s="109" t="e">
        <f t="shared" ca="1" si="0"/>
        <v>#VALUE!</v>
      </c>
      <c r="G18" s="109" t="e">
        <f t="shared" ca="1" si="0"/>
        <v>#VALUE!</v>
      </c>
      <c r="H18" s="109" t="e">
        <f t="shared" ca="1" si="0"/>
        <v>#VALUE!</v>
      </c>
      <c r="I18" s="109" t="e">
        <f t="shared" ca="1" si="0"/>
        <v>#VALUE!</v>
      </c>
      <c r="J18" s="109" t="e">
        <f t="shared" ca="1" si="0"/>
        <v>#VALUE!</v>
      </c>
      <c r="K18" s="109" t="e">
        <f t="shared" ca="1" si="0"/>
        <v>#VALUE!</v>
      </c>
    </row>
    <row r="19" spans="2:11" x14ac:dyDescent="0.25">
      <c r="B19" s="167" t="s">
        <v>294</v>
      </c>
      <c r="C19" s="43" t="s">
        <v>363</v>
      </c>
      <c r="D19" s="44" t="s">
        <v>426</v>
      </c>
      <c r="E19" s="110" t="e">
        <f t="shared" ca="1" si="0"/>
        <v>#VALUE!</v>
      </c>
      <c r="F19" s="110" t="e">
        <f t="shared" ca="1" si="0"/>
        <v>#VALUE!</v>
      </c>
      <c r="G19" s="110" t="e">
        <f t="shared" ca="1" si="0"/>
        <v>#VALUE!</v>
      </c>
      <c r="H19" s="110" t="e">
        <f t="shared" ca="1" si="0"/>
        <v>#VALUE!</v>
      </c>
      <c r="I19" s="110" t="e">
        <f t="shared" ca="1" si="0"/>
        <v>#VALUE!</v>
      </c>
      <c r="J19" s="110" t="e">
        <f t="shared" ca="1" si="0"/>
        <v>#VALUE!</v>
      </c>
      <c r="K19" s="110" t="e">
        <f t="shared" ca="1" si="0"/>
        <v>#VALUE!</v>
      </c>
    </row>
    <row r="20" spans="2:11" x14ac:dyDescent="0.25">
      <c r="B20" s="167"/>
      <c r="C20" s="40" t="s">
        <v>364</v>
      </c>
      <c r="D20" s="21" t="s">
        <v>427</v>
      </c>
      <c r="E20" s="109" t="e">
        <f t="shared" ca="1" si="0"/>
        <v>#VALUE!</v>
      </c>
      <c r="F20" s="109" t="e">
        <f t="shared" ca="1" si="0"/>
        <v>#VALUE!</v>
      </c>
      <c r="G20" s="109" t="e">
        <f t="shared" ca="1" si="0"/>
        <v>#VALUE!</v>
      </c>
      <c r="H20" s="109" t="e">
        <f t="shared" ca="1" si="0"/>
        <v>#VALUE!</v>
      </c>
      <c r="I20" s="109" t="e">
        <f t="shared" ca="1" si="0"/>
        <v>#VALUE!</v>
      </c>
      <c r="J20" s="109" t="e">
        <f t="shared" ca="1" si="0"/>
        <v>#VALUE!</v>
      </c>
      <c r="K20" s="109" t="e">
        <f t="shared" ca="1" si="0"/>
        <v>#VALUE!</v>
      </c>
    </row>
    <row r="21" spans="2:11" x14ac:dyDescent="0.25">
      <c r="B21" s="167"/>
      <c r="C21" s="40" t="s">
        <v>365</v>
      </c>
      <c r="D21" s="21" t="s">
        <v>428</v>
      </c>
      <c r="E21" s="109" t="e">
        <f t="shared" ca="1" si="0"/>
        <v>#VALUE!</v>
      </c>
      <c r="F21" s="109" t="e">
        <f t="shared" ca="1" si="0"/>
        <v>#VALUE!</v>
      </c>
      <c r="G21" s="109" t="e">
        <f t="shared" ca="1" si="0"/>
        <v>#VALUE!</v>
      </c>
      <c r="H21" s="109" t="e">
        <f t="shared" ca="1" si="0"/>
        <v>#VALUE!</v>
      </c>
      <c r="I21" s="109" t="e">
        <f t="shared" ca="1" si="0"/>
        <v>#VALUE!</v>
      </c>
      <c r="J21" s="109" t="e">
        <f t="shared" ca="1" si="0"/>
        <v>#VALUE!</v>
      </c>
      <c r="K21" s="109" t="e">
        <f t="shared" ca="1" si="0"/>
        <v>#VALUE!</v>
      </c>
    </row>
    <row r="22" spans="2:11" x14ac:dyDescent="0.25">
      <c r="B22" s="167"/>
      <c r="C22" s="40" t="s">
        <v>366</v>
      </c>
      <c r="D22" s="21" t="s">
        <v>429</v>
      </c>
      <c r="E22" s="109" t="e">
        <f ca="1">Output("SCEN_ADEMEhaut", $D22, E$5)</f>
        <v>#VALUE!</v>
      </c>
      <c r="F22" s="109" t="e">
        <f t="shared" ca="1" si="0"/>
        <v>#VALUE!</v>
      </c>
      <c r="G22" s="109" t="e">
        <f t="shared" ca="1" si="0"/>
        <v>#VALUE!</v>
      </c>
      <c r="H22" s="109" t="e">
        <f t="shared" ca="1" si="0"/>
        <v>#VALUE!</v>
      </c>
      <c r="I22" s="109" t="e">
        <f t="shared" ca="1" si="0"/>
        <v>#VALUE!</v>
      </c>
      <c r="J22" s="109" t="e">
        <f t="shared" ca="1" si="0"/>
        <v>#VALUE!</v>
      </c>
      <c r="K22" s="109" t="e">
        <f t="shared" ca="1" si="0"/>
        <v>#VALUE!</v>
      </c>
    </row>
    <row r="23" spans="2:11" x14ac:dyDescent="0.25">
      <c r="B23" s="167"/>
      <c r="C23" s="40" t="s">
        <v>367</v>
      </c>
      <c r="D23" s="21" t="s">
        <v>430</v>
      </c>
      <c r="E23" s="109" t="e">
        <f t="shared" ca="1" si="0"/>
        <v>#VALUE!</v>
      </c>
      <c r="F23" s="109" t="e">
        <f t="shared" ca="1" si="0"/>
        <v>#VALUE!</v>
      </c>
      <c r="G23" s="109" t="e">
        <f t="shared" ca="1" si="0"/>
        <v>#VALUE!</v>
      </c>
      <c r="H23" s="109" t="e">
        <f t="shared" ca="1" si="0"/>
        <v>#VALUE!</v>
      </c>
      <c r="I23" s="109" t="e">
        <f t="shared" ca="1" si="0"/>
        <v>#VALUE!</v>
      </c>
      <c r="J23" s="109" t="e">
        <f t="shared" ca="1" si="0"/>
        <v>#VALUE!</v>
      </c>
      <c r="K23" s="109" t="e">
        <f t="shared" ca="1" si="0"/>
        <v>#VALUE!</v>
      </c>
    </row>
    <row r="24" spans="2:11" x14ac:dyDescent="0.25">
      <c r="B24" s="164" t="s">
        <v>298</v>
      </c>
      <c r="C24" s="43" t="s">
        <v>368</v>
      </c>
      <c r="D24" s="44" t="s">
        <v>431</v>
      </c>
      <c r="E24" s="110" t="e">
        <f ca="1">Output("SCEN_ADEMEhaut", $D24, E$5)</f>
        <v>#VALUE!</v>
      </c>
      <c r="F24" s="110" t="e">
        <f t="shared" ca="1" si="0"/>
        <v>#VALUE!</v>
      </c>
      <c r="G24" s="110" t="e">
        <f t="shared" ca="1" si="0"/>
        <v>#VALUE!</v>
      </c>
      <c r="H24" s="110" t="e">
        <f t="shared" ca="1" si="0"/>
        <v>#VALUE!</v>
      </c>
      <c r="I24" s="110" t="e">
        <f t="shared" ca="1" si="0"/>
        <v>#VALUE!</v>
      </c>
      <c r="J24" s="110" t="e">
        <f t="shared" ca="1" si="0"/>
        <v>#VALUE!</v>
      </c>
      <c r="K24" s="110" t="e">
        <f t="shared" ca="1" si="0"/>
        <v>#VALUE!</v>
      </c>
    </row>
    <row r="25" spans="2:11" x14ac:dyDescent="0.25">
      <c r="B25" s="166"/>
      <c r="C25" s="46" t="s">
        <v>369</v>
      </c>
      <c r="D25" s="22" t="s">
        <v>432</v>
      </c>
      <c r="E25" s="111" t="e">
        <f ca="1">Output("SCEN_ADEMEhaut", $D25, E$5)</f>
        <v>#VALUE!</v>
      </c>
      <c r="F25" s="111" t="e">
        <f t="shared" ca="1" si="0"/>
        <v>#VALUE!</v>
      </c>
      <c r="G25" s="111" t="e">
        <f t="shared" ca="1" si="0"/>
        <v>#VALUE!</v>
      </c>
      <c r="H25" s="111" t="e">
        <f t="shared" ca="1" si="0"/>
        <v>#VALUE!</v>
      </c>
      <c r="I25" s="111" t="e">
        <f t="shared" ca="1" si="0"/>
        <v>#VALUE!</v>
      </c>
      <c r="J25" s="111" t="e">
        <f t="shared" ca="1" si="0"/>
        <v>#VALUE!</v>
      </c>
      <c r="K25" s="111" t="e">
        <f t="shared" ca="1" si="0"/>
        <v>#VALUE!</v>
      </c>
    </row>
    <row r="26" spans="2:11" x14ac:dyDescent="0.25">
      <c r="B26" s="164" t="s">
        <v>412</v>
      </c>
      <c r="C26" s="40" t="s">
        <v>172</v>
      </c>
      <c r="D26" s="21" t="s">
        <v>433</v>
      </c>
      <c r="E26" s="109" t="e">
        <f t="shared" ca="1" si="0"/>
        <v>#VALUE!</v>
      </c>
      <c r="F26" s="109" t="e">
        <f t="shared" ca="1" si="0"/>
        <v>#VALUE!</v>
      </c>
      <c r="G26" s="109" t="e">
        <f t="shared" ca="1" si="0"/>
        <v>#VALUE!</v>
      </c>
      <c r="H26" s="109" t="e">
        <f t="shared" ca="1" si="0"/>
        <v>#VALUE!</v>
      </c>
      <c r="I26" s="109" t="e">
        <f t="shared" ca="1" si="0"/>
        <v>#VALUE!</v>
      </c>
      <c r="J26" s="109" t="e">
        <f t="shared" ca="1" si="0"/>
        <v>#VALUE!</v>
      </c>
      <c r="K26" s="109" t="e">
        <f t="shared" ca="1" si="0"/>
        <v>#VALUE!</v>
      </c>
    </row>
    <row r="27" spans="2:11" x14ac:dyDescent="0.25">
      <c r="B27" s="165"/>
      <c r="C27" s="40" t="s">
        <v>182</v>
      </c>
      <c r="D27" s="21" t="s">
        <v>434</v>
      </c>
      <c r="E27" s="109" t="e">
        <f ca="1">Output("SCEN_ADEMEhaut", $D27, E$5)</f>
        <v>#VALUE!</v>
      </c>
      <c r="F27" s="109" t="e">
        <f t="shared" ca="1" si="0"/>
        <v>#VALUE!</v>
      </c>
      <c r="G27" s="109" t="e">
        <f t="shared" ca="1" si="0"/>
        <v>#VALUE!</v>
      </c>
      <c r="H27" s="109" t="e">
        <f t="shared" ca="1" si="0"/>
        <v>#VALUE!</v>
      </c>
      <c r="I27" s="109" t="e">
        <f t="shared" ca="1" si="0"/>
        <v>#VALUE!</v>
      </c>
      <c r="J27" s="109" t="e">
        <f t="shared" ca="1" si="0"/>
        <v>#VALUE!</v>
      </c>
      <c r="K27" s="109" t="e">
        <f t="shared" ca="1" si="0"/>
        <v>#VALUE!</v>
      </c>
    </row>
    <row r="28" spans="2:11" x14ac:dyDescent="0.25">
      <c r="B28" s="165"/>
      <c r="C28" s="40" t="s">
        <v>296</v>
      </c>
      <c r="D28" s="21" t="s">
        <v>435</v>
      </c>
      <c r="E28" s="109" t="e">
        <f ca="1">Output("SCEN_ADEMEhaut", $D28, E$5)</f>
        <v>#VALUE!</v>
      </c>
      <c r="F28" s="109" t="e">
        <f t="shared" ref="F28:K29" ca="1" si="1">Output("SCEN_ADEMEhaut", $D28, F$5)</f>
        <v>#VALUE!</v>
      </c>
      <c r="G28" s="109" t="e">
        <f t="shared" ca="1" si="1"/>
        <v>#VALUE!</v>
      </c>
      <c r="H28" s="109" t="e">
        <f t="shared" ca="1" si="1"/>
        <v>#VALUE!</v>
      </c>
      <c r="I28" s="109" t="e">
        <f t="shared" ca="1" si="1"/>
        <v>#VALUE!</v>
      </c>
      <c r="J28" s="109" t="e">
        <f t="shared" ca="1" si="1"/>
        <v>#VALUE!</v>
      </c>
      <c r="K28" s="109" t="e">
        <f t="shared" ca="1" si="1"/>
        <v>#VALUE!</v>
      </c>
    </row>
    <row r="29" spans="2:11" x14ac:dyDescent="0.25">
      <c r="B29" s="166"/>
      <c r="C29" s="46" t="s">
        <v>372</v>
      </c>
      <c r="D29" s="22" t="s">
        <v>436</v>
      </c>
      <c r="E29" s="111" t="e">
        <f ca="1">Output("SCEN_ADEMEhaut", $D29, E$5)</f>
        <v>#VALUE!</v>
      </c>
      <c r="F29" s="111" t="e">
        <f t="shared" ca="1" si="1"/>
        <v>#VALUE!</v>
      </c>
      <c r="G29" s="111" t="e">
        <f t="shared" ca="1" si="1"/>
        <v>#VALUE!</v>
      </c>
      <c r="H29" s="111" t="e">
        <f t="shared" ca="1" si="1"/>
        <v>#VALUE!</v>
      </c>
      <c r="I29" s="111" t="e">
        <f t="shared" ca="1" si="1"/>
        <v>#VALUE!</v>
      </c>
      <c r="J29" s="111" t="e">
        <f t="shared" ca="1" si="1"/>
        <v>#VALUE!</v>
      </c>
      <c r="K29" s="111" t="e">
        <f t="shared" ca="1" si="1"/>
        <v>#VALUE!</v>
      </c>
    </row>
  </sheetData>
  <mergeCells count="4">
    <mergeCell ref="B6:B18"/>
    <mergeCell ref="B19:B23"/>
    <mergeCell ref="B24:B25"/>
    <mergeCell ref="B26:B2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7" tint="0.79998168889431442"/>
  </sheetPr>
  <dimension ref="A2:AW5"/>
  <sheetViews>
    <sheetView topLeftCell="L1" zoomScale="90" zoomScaleNormal="90" workbookViewId="0">
      <selection activeCell="L41" sqref="L41"/>
    </sheetView>
  </sheetViews>
  <sheetFormatPr baseColWidth="10" defaultRowHeight="15" x14ac:dyDescent="0.25"/>
  <cols>
    <col min="1" max="1" width="29" customWidth="1"/>
    <col min="2" max="2" width="17.28515625" hidden="1" customWidth="1"/>
  </cols>
  <sheetData>
    <row r="2" spans="1:49" ht="14.45" x14ac:dyDescent="0.35"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  <c r="O2">
        <v>2018</v>
      </c>
      <c r="P2">
        <v>2019</v>
      </c>
      <c r="Q2">
        <v>2020</v>
      </c>
      <c r="R2">
        <v>2021</v>
      </c>
      <c r="S2">
        <v>2022</v>
      </c>
      <c r="T2">
        <v>2023</v>
      </c>
      <c r="U2">
        <v>2024</v>
      </c>
      <c r="V2">
        <v>2025</v>
      </c>
      <c r="W2">
        <v>2026</v>
      </c>
      <c r="X2">
        <v>2027</v>
      </c>
      <c r="Y2">
        <v>2028</v>
      </c>
      <c r="Z2">
        <v>2029</v>
      </c>
      <c r="AA2">
        <v>2030</v>
      </c>
      <c r="AB2">
        <v>2031</v>
      </c>
      <c r="AC2">
        <v>2032</v>
      </c>
      <c r="AD2">
        <v>2033</v>
      </c>
      <c r="AE2">
        <v>2034</v>
      </c>
      <c r="AF2">
        <v>2035</v>
      </c>
      <c r="AG2">
        <v>2036</v>
      </c>
      <c r="AH2">
        <v>2037</v>
      </c>
      <c r="AI2">
        <v>2038</v>
      </c>
      <c r="AJ2">
        <v>2039</v>
      </c>
      <c r="AK2">
        <v>2040</v>
      </c>
      <c r="AL2">
        <v>2041</v>
      </c>
      <c r="AM2">
        <v>2042</v>
      </c>
      <c r="AN2">
        <v>2043</v>
      </c>
      <c r="AO2">
        <v>2044</v>
      </c>
      <c r="AP2">
        <v>2045</v>
      </c>
      <c r="AQ2">
        <v>2046</v>
      </c>
      <c r="AR2">
        <v>2047</v>
      </c>
      <c r="AS2">
        <v>2048</v>
      </c>
      <c r="AT2">
        <v>2049</v>
      </c>
      <c r="AU2">
        <v>2050</v>
      </c>
    </row>
    <row r="3" spans="1:49" ht="29.1" x14ac:dyDescent="0.35">
      <c r="A3" s="106" t="s">
        <v>310</v>
      </c>
      <c r="B3" t="s">
        <v>309</v>
      </c>
      <c r="C3" t="e">
        <f ca="1">Output($B3,"GDP_rel",C$2)</f>
        <v>#VALUE!</v>
      </c>
      <c r="D3" t="e">
        <f t="shared" ref="D3:AU3" ca="1" si="0">Output($B3,"GDP_rel",D$2)</f>
        <v>#VALUE!</v>
      </c>
      <c r="E3" t="e">
        <f t="shared" ca="1" si="0"/>
        <v>#VALUE!</v>
      </c>
      <c r="F3" t="e">
        <f t="shared" ca="1" si="0"/>
        <v>#VALUE!</v>
      </c>
      <c r="G3" t="e">
        <f t="shared" ca="1" si="0"/>
        <v>#VALUE!</v>
      </c>
      <c r="H3" t="e">
        <f t="shared" ca="1" si="0"/>
        <v>#VALUE!</v>
      </c>
      <c r="I3" t="e">
        <f t="shared" ca="1" si="0"/>
        <v>#VALUE!</v>
      </c>
      <c r="J3" t="e">
        <f t="shared" ca="1" si="0"/>
        <v>#VALUE!</v>
      </c>
      <c r="K3" t="e">
        <f t="shared" ca="1" si="0"/>
        <v>#VALUE!</v>
      </c>
      <c r="L3" t="e">
        <f t="shared" ca="1" si="0"/>
        <v>#VALUE!</v>
      </c>
      <c r="M3" t="e">
        <f t="shared" ca="1" si="0"/>
        <v>#VALUE!</v>
      </c>
      <c r="N3" t="e">
        <f t="shared" ca="1" si="0"/>
        <v>#VALUE!</v>
      </c>
      <c r="O3" t="e">
        <f t="shared" ca="1" si="0"/>
        <v>#VALUE!</v>
      </c>
      <c r="P3" t="e">
        <f t="shared" ca="1" si="0"/>
        <v>#VALUE!</v>
      </c>
      <c r="Q3" t="e">
        <f t="shared" ca="1" si="0"/>
        <v>#VALUE!</v>
      </c>
      <c r="R3" t="e">
        <f t="shared" ca="1" si="0"/>
        <v>#VALUE!</v>
      </c>
      <c r="S3" t="e">
        <f t="shared" ca="1" si="0"/>
        <v>#VALUE!</v>
      </c>
      <c r="T3" t="e">
        <f t="shared" ca="1" si="0"/>
        <v>#VALUE!</v>
      </c>
      <c r="U3" t="e">
        <f t="shared" ca="1" si="0"/>
        <v>#VALUE!</v>
      </c>
      <c r="V3" t="e">
        <f t="shared" ca="1" si="0"/>
        <v>#VALUE!</v>
      </c>
      <c r="W3" t="e">
        <f t="shared" ca="1" si="0"/>
        <v>#VALUE!</v>
      </c>
      <c r="X3" t="e">
        <f t="shared" ca="1" si="0"/>
        <v>#VALUE!</v>
      </c>
      <c r="Y3" t="e">
        <f t="shared" ca="1" si="0"/>
        <v>#VALUE!</v>
      </c>
      <c r="Z3" t="e">
        <f t="shared" ca="1" si="0"/>
        <v>#VALUE!</v>
      </c>
      <c r="AA3" t="e">
        <f t="shared" ca="1" si="0"/>
        <v>#VALUE!</v>
      </c>
      <c r="AB3" t="e">
        <f t="shared" ca="1" si="0"/>
        <v>#VALUE!</v>
      </c>
      <c r="AC3" t="e">
        <f t="shared" ca="1" si="0"/>
        <v>#VALUE!</v>
      </c>
      <c r="AD3" t="e">
        <f t="shared" ca="1" si="0"/>
        <v>#VALUE!</v>
      </c>
      <c r="AE3" t="e">
        <f t="shared" ca="1" si="0"/>
        <v>#VALUE!</v>
      </c>
      <c r="AF3" t="e">
        <f t="shared" ca="1" si="0"/>
        <v>#VALUE!</v>
      </c>
      <c r="AG3" t="e">
        <f t="shared" ca="1" si="0"/>
        <v>#VALUE!</v>
      </c>
      <c r="AH3" t="e">
        <f t="shared" ca="1" si="0"/>
        <v>#VALUE!</v>
      </c>
      <c r="AI3" t="e">
        <f t="shared" ca="1" si="0"/>
        <v>#VALUE!</v>
      </c>
      <c r="AJ3" t="e">
        <f t="shared" ca="1" si="0"/>
        <v>#VALUE!</v>
      </c>
      <c r="AK3" t="e">
        <f t="shared" ca="1" si="0"/>
        <v>#VALUE!</v>
      </c>
      <c r="AL3" t="e">
        <f t="shared" ca="1" si="0"/>
        <v>#VALUE!</v>
      </c>
      <c r="AM3" t="e">
        <f t="shared" ca="1" si="0"/>
        <v>#VALUE!</v>
      </c>
      <c r="AN3" t="e">
        <f t="shared" ca="1" si="0"/>
        <v>#VALUE!</v>
      </c>
      <c r="AO3" t="e">
        <f t="shared" ca="1" si="0"/>
        <v>#VALUE!</v>
      </c>
      <c r="AP3" t="e">
        <f t="shared" ca="1" si="0"/>
        <v>#VALUE!</v>
      </c>
      <c r="AQ3" t="e">
        <f t="shared" ca="1" si="0"/>
        <v>#VALUE!</v>
      </c>
      <c r="AR3" t="e">
        <f t="shared" ca="1" si="0"/>
        <v>#VALUE!</v>
      </c>
      <c r="AS3" t="e">
        <f t="shared" ca="1" si="0"/>
        <v>#VALUE!</v>
      </c>
      <c r="AT3" t="e">
        <f t="shared" ca="1" si="0"/>
        <v>#VALUE!</v>
      </c>
      <c r="AU3" t="e">
        <f t="shared" ca="1" si="0"/>
        <v>#VALUE!</v>
      </c>
      <c r="AW3" s="1" t="e">
        <f ca="1">AVERAGE(L3:AU3)</f>
        <v>#VALUE!</v>
      </c>
    </row>
    <row r="5" spans="1:49" ht="14.45" x14ac:dyDescent="0.35">
      <c r="A5" s="106"/>
      <c r="AW5" s="136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140"/>
  <sheetViews>
    <sheetView workbookViewId="0">
      <pane xSplit="2" ySplit="1" topLeftCell="C2" activePane="bottomRight" state="frozen"/>
      <selection activeCell="L41" sqref="L41"/>
      <selection pane="topRight" activeCell="L41" sqref="L41"/>
      <selection pane="bottomLeft" activeCell="L41" sqref="L41"/>
      <selection pane="bottomRight" activeCell="L41" sqref="L41"/>
    </sheetView>
  </sheetViews>
  <sheetFormatPr baseColWidth="10" defaultRowHeight="15" x14ac:dyDescent="0.25"/>
  <cols>
    <col min="2" max="2" width="28.85546875" bestFit="1" customWidth="1"/>
  </cols>
  <sheetData>
    <row r="1" spans="2:7" ht="14.45" x14ac:dyDescent="0.35">
      <c r="C1">
        <v>2010</v>
      </c>
      <c r="D1">
        <v>2015</v>
      </c>
      <c r="E1">
        <v>2020</v>
      </c>
      <c r="F1">
        <v>2030</v>
      </c>
      <c r="G1">
        <v>2050</v>
      </c>
    </row>
    <row r="2" spans="2:7" ht="14.45" x14ac:dyDescent="0.35">
      <c r="B2" t="s">
        <v>651</v>
      </c>
      <c r="C2" s="126" t="e">
        <f ca="1">Output("SCEN_ADEMEhaut",$B2,C$1)</f>
        <v>#VALUE!</v>
      </c>
      <c r="D2" s="126" t="e">
        <f t="shared" ref="D2:G17" ca="1" si="0">Output("SCEN_ADEMEhaut",$B2,D$1)</f>
        <v>#VALUE!</v>
      </c>
      <c r="E2" s="126" t="e">
        <f t="shared" ca="1" si="0"/>
        <v>#VALUE!</v>
      </c>
      <c r="F2" s="126" t="e">
        <f t="shared" ca="1" si="0"/>
        <v>#VALUE!</v>
      </c>
      <c r="G2" s="126" t="e">
        <f t="shared" ca="1" si="0"/>
        <v>#VALUE!</v>
      </c>
    </row>
    <row r="3" spans="2:7" ht="14.45" x14ac:dyDescent="0.35">
      <c r="B3" t="s">
        <v>614</v>
      </c>
      <c r="C3" s="126" t="e">
        <f t="shared" ref="C3:G34" ca="1" si="1">Output("SCEN_ADEMEhaut",$B3,C$1)</f>
        <v>#VALUE!</v>
      </c>
      <c r="D3" s="126" t="e">
        <f t="shared" ca="1" si="0"/>
        <v>#VALUE!</v>
      </c>
      <c r="E3" s="126" t="e">
        <f t="shared" ca="1" si="0"/>
        <v>#VALUE!</v>
      </c>
      <c r="F3" s="126" t="e">
        <f t="shared" ca="1" si="0"/>
        <v>#VALUE!</v>
      </c>
      <c r="G3" s="126" t="e">
        <f t="shared" ca="1" si="0"/>
        <v>#VALUE!</v>
      </c>
    </row>
    <row r="4" spans="2:7" ht="14.45" x14ac:dyDescent="0.35">
      <c r="B4" t="s">
        <v>615</v>
      </c>
      <c r="C4" s="126" t="e">
        <f t="shared" ca="1" si="1"/>
        <v>#VALUE!</v>
      </c>
      <c r="D4" s="126" t="e">
        <f t="shared" ca="1" si="0"/>
        <v>#VALUE!</v>
      </c>
      <c r="E4" s="126" t="e">
        <f t="shared" ca="1" si="0"/>
        <v>#VALUE!</v>
      </c>
      <c r="F4" s="126" t="e">
        <f t="shared" ca="1" si="0"/>
        <v>#VALUE!</v>
      </c>
      <c r="G4" s="126" t="e">
        <f t="shared" ca="1" si="0"/>
        <v>#VALUE!</v>
      </c>
    </row>
    <row r="5" spans="2:7" ht="14.45" x14ac:dyDescent="0.35">
      <c r="B5" t="s">
        <v>616</v>
      </c>
      <c r="C5" s="126" t="e">
        <f t="shared" ca="1" si="1"/>
        <v>#VALUE!</v>
      </c>
      <c r="D5" s="126" t="e">
        <f t="shared" ca="1" si="0"/>
        <v>#VALUE!</v>
      </c>
      <c r="E5" s="126" t="e">
        <f t="shared" ca="1" si="0"/>
        <v>#VALUE!</v>
      </c>
      <c r="F5" s="126" t="e">
        <f t="shared" ca="1" si="0"/>
        <v>#VALUE!</v>
      </c>
      <c r="G5" s="126" t="e">
        <f t="shared" ca="1" si="0"/>
        <v>#VALUE!</v>
      </c>
    </row>
    <row r="6" spans="2:7" ht="14.45" x14ac:dyDescent="0.35">
      <c r="B6" t="s">
        <v>617</v>
      </c>
      <c r="C6" s="126" t="e">
        <f t="shared" ca="1" si="1"/>
        <v>#VALUE!</v>
      </c>
      <c r="D6" s="126" t="e">
        <f t="shared" ca="1" si="0"/>
        <v>#VALUE!</v>
      </c>
      <c r="E6" s="126" t="e">
        <f t="shared" ca="1" si="0"/>
        <v>#VALUE!</v>
      </c>
      <c r="F6" s="126" t="e">
        <f t="shared" ca="1" si="0"/>
        <v>#VALUE!</v>
      </c>
      <c r="G6" s="126" t="e">
        <f t="shared" ca="1" si="0"/>
        <v>#VALUE!</v>
      </c>
    </row>
    <row r="7" spans="2:7" ht="14.45" x14ac:dyDescent="0.35">
      <c r="B7" t="s">
        <v>618</v>
      </c>
      <c r="C7" s="126" t="e">
        <f t="shared" ca="1" si="1"/>
        <v>#VALUE!</v>
      </c>
      <c r="D7" s="126" t="e">
        <f t="shared" ca="1" si="0"/>
        <v>#VALUE!</v>
      </c>
      <c r="E7" s="126" t="e">
        <f t="shared" ca="1" si="0"/>
        <v>#VALUE!</v>
      </c>
      <c r="F7" s="126" t="e">
        <f t="shared" ca="1" si="0"/>
        <v>#VALUE!</v>
      </c>
      <c r="G7" s="126" t="e">
        <f t="shared" ca="1" si="0"/>
        <v>#VALUE!</v>
      </c>
    </row>
    <row r="8" spans="2:7" ht="14.45" x14ac:dyDescent="0.35">
      <c r="B8" t="s">
        <v>619</v>
      </c>
      <c r="C8" s="126" t="e">
        <f t="shared" ca="1" si="1"/>
        <v>#VALUE!</v>
      </c>
      <c r="D8" s="126" t="e">
        <f t="shared" ca="1" si="0"/>
        <v>#VALUE!</v>
      </c>
      <c r="E8" s="126" t="e">
        <f t="shared" ca="1" si="0"/>
        <v>#VALUE!</v>
      </c>
      <c r="F8" s="126" t="e">
        <f t="shared" ca="1" si="0"/>
        <v>#VALUE!</v>
      </c>
      <c r="G8" s="126" t="e">
        <f t="shared" ca="1" si="0"/>
        <v>#VALUE!</v>
      </c>
    </row>
    <row r="9" spans="2:7" ht="14.45" x14ac:dyDescent="0.35">
      <c r="B9" t="s">
        <v>620</v>
      </c>
      <c r="C9" s="126" t="e">
        <f t="shared" ca="1" si="1"/>
        <v>#VALUE!</v>
      </c>
      <c r="D9" s="126" t="e">
        <f t="shared" ca="1" si="0"/>
        <v>#VALUE!</v>
      </c>
      <c r="E9" s="126" t="e">
        <f t="shared" ca="1" si="0"/>
        <v>#VALUE!</v>
      </c>
      <c r="F9" s="126" t="e">
        <f t="shared" ca="1" si="0"/>
        <v>#VALUE!</v>
      </c>
      <c r="G9" s="126" t="e">
        <f t="shared" ca="1" si="0"/>
        <v>#VALUE!</v>
      </c>
    </row>
    <row r="10" spans="2:7" ht="14.45" x14ac:dyDescent="0.35">
      <c r="B10" t="s">
        <v>621</v>
      </c>
      <c r="C10" s="126" t="e">
        <f t="shared" ca="1" si="1"/>
        <v>#VALUE!</v>
      </c>
      <c r="D10" s="126" t="e">
        <f t="shared" ca="1" si="0"/>
        <v>#VALUE!</v>
      </c>
      <c r="E10" s="126" t="e">
        <f t="shared" ca="1" si="0"/>
        <v>#VALUE!</v>
      </c>
      <c r="F10" s="126" t="e">
        <f t="shared" ca="1" si="0"/>
        <v>#VALUE!</v>
      </c>
      <c r="G10" s="126" t="e">
        <f t="shared" ca="1" si="0"/>
        <v>#VALUE!</v>
      </c>
    </row>
    <row r="11" spans="2:7" ht="14.45" x14ac:dyDescent="0.35">
      <c r="B11" t="s">
        <v>622</v>
      </c>
      <c r="C11" s="126" t="e">
        <f t="shared" ca="1" si="1"/>
        <v>#VALUE!</v>
      </c>
      <c r="D11" s="126" t="e">
        <f t="shared" ca="1" si="0"/>
        <v>#VALUE!</v>
      </c>
      <c r="E11" s="126" t="e">
        <f t="shared" ca="1" si="0"/>
        <v>#VALUE!</v>
      </c>
      <c r="F11" s="126" t="e">
        <f t="shared" ca="1" si="0"/>
        <v>#VALUE!</v>
      </c>
      <c r="G11" s="126" t="e">
        <f t="shared" ca="1" si="0"/>
        <v>#VALUE!</v>
      </c>
    </row>
    <row r="12" spans="2:7" ht="14.45" x14ac:dyDescent="0.35">
      <c r="B12" t="s">
        <v>623</v>
      </c>
      <c r="C12" s="126" t="e">
        <f t="shared" ca="1" si="1"/>
        <v>#VALUE!</v>
      </c>
      <c r="D12" s="126" t="e">
        <f t="shared" ca="1" si="0"/>
        <v>#VALUE!</v>
      </c>
      <c r="E12" s="126" t="e">
        <f t="shared" ca="1" si="0"/>
        <v>#VALUE!</v>
      </c>
      <c r="F12" s="126" t="e">
        <f t="shared" ca="1" si="0"/>
        <v>#VALUE!</v>
      </c>
      <c r="G12" s="126" t="e">
        <f t="shared" ca="1" si="0"/>
        <v>#VALUE!</v>
      </c>
    </row>
    <row r="13" spans="2:7" ht="14.45" x14ac:dyDescent="0.35">
      <c r="B13" t="s">
        <v>624</v>
      </c>
      <c r="C13" s="126" t="e">
        <f t="shared" ca="1" si="1"/>
        <v>#VALUE!</v>
      </c>
      <c r="D13" s="126" t="e">
        <f t="shared" ca="1" si="0"/>
        <v>#VALUE!</v>
      </c>
      <c r="E13" s="126" t="e">
        <f t="shared" ca="1" si="0"/>
        <v>#VALUE!</v>
      </c>
      <c r="F13" s="126" t="e">
        <f t="shared" ca="1" si="0"/>
        <v>#VALUE!</v>
      </c>
      <c r="G13" s="126" t="e">
        <f t="shared" ca="1" si="0"/>
        <v>#VALUE!</v>
      </c>
    </row>
    <row r="14" spans="2:7" ht="14.45" x14ac:dyDescent="0.35">
      <c r="B14" t="s">
        <v>625</v>
      </c>
      <c r="C14" s="126" t="e">
        <f t="shared" ca="1" si="1"/>
        <v>#VALUE!</v>
      </c>
      <c r="D14" s="126" t="e">
        <f t="shared" ca="1" si="0"/>
        <v>#VALUE!</v>
      </c>
      <c r="E14" s="126" t="e">
        <f t="shared" ca="1" si="0"/>
        <v>#VALUE!</v>
      </c>
      <c r="F14" s="126" t="e">
        <f t="shared" ca="1" si="0"/>
        <v>#VALUE!</v>
      </c>
      <c r="G14" s="126" t="e">
        <f t="shared" ca="1" si="0"/>
        <v>#VALUE!</v>
      </c>
    </row>
    <row r="15" spans="2:7" ht="14.45" x14ac:dyDescent="0.35">
      <c r="B15" t="s">
        <v>626</v>
      </c>
      <c r="C15" s="126" t="e">
        <f t="shared" ca="1" si="1"/>
        <v>#VALUE!</v>
      </c>
      <c r="D15" s="126" t="e">
        <f t="shared" ca="1" si="0"/>
        <v>#VALUE!</v>
      </c>
      <c r="E15" s="126" t="e">
        <f t="shared" ca="1" si="0"/>
        <v>#VALUE!</v>
      </c>
      <c r="F15" s="126" t="e">
        <f t="shared" ca="1" si="0"/>
        <v>#VALUE!</v>
      </c>
      <c r="G15" s="126" t="e">
        <f t="shared" ca="1" si="0"/>
        <v>#VALUE!</v>
      </c>
    </row>
    <row r="16" spans="2:7" ht="14.45" x14ac:dyDescent="0.35">
      <c r="B16" t="s">
        <v>627</v>
      </c>
      <c r="C16" s="126" t="e">
        <f t="shared" ca="1" si="1"/>
        <v>#VALUE!</v>
      </c>
      <c r="D16" s="126" t="e">
        <f t="shared" ca="1" si="0"/>
        <v>#VALUE!</v>
      </c>
      <c r="E16" s="126" t="e">
        <f t="shared" ca="1" si="0"/>
        <v>#VALUE!</v>
      </c>
      <c r="F16" s="126" t="e">
        <f t="shared" ca="1" si="0"/>
        <v>#VALUE!</v>
      </c>
      <c r="G16" s="126" t="e">
        <f t="shared" ca="1" si="0"/>
        <v>#VALUE!</v>
      </c>
    </row>
    <row r="17" spans="2:7" ht="14.45" x14ac:dyDescent="0.35">
      <c r="B17" t="s">
        <v>628</v>
      </c>
      <c r="C17" s="126" t="e">
        <f t="shared" ca="1" si="1"/>
        <v>#VALUE!</v>
      </c>
      <c r="D17" s="126" t="e">
        <f t="shared" ca="1" si="0"/>
        <v>#VALUE!</v>
      </c>
      <c r="E17" s="126" t="e">
        <f t="shared" ca="1" si="0"/>
        <v>#VALUE!</v>
      </c>
      <c r="F17" s="126" t="e">
        <f t="shared" ca="1" si="0"/>
        <v>#VALUE!</v>
      </c>
      <c r="G17" s="126" t="e">
        <f t="shared" ca="1" si="0"/>
        <v>#VALUE!</v>
      </c>
    </row>
    <row r="18" spans="2:7" ht="14.45" x14ac:dyDescent="0.35">
      <c r="B18" t="s">
        <v>629</v>
      </c>
      <c r="C18" s="126" t="e">
        <f t="shared" ca="1" si="1"/>
        <v>#VALUE!</v>
      </c>
      <c r="D18" s="126" t="e">
        <f t="shared" ca="1" si="1"/>
        <v>#VALUE!</v>
      </c>
      <c r="E18" s="126" t="e">
        <f t="shared" ca="1" si="1"/>
        <v>#VALUE!</v>
      </c>
      <c r="F18" s="126" t="e">
        <f t="shared" ca="1" si="1"/>
        <v>#VALUE!</v>
      </c>
      <c r="G18" s="126" t="e">
        <f t="shared" ca="1" si="1"/>
        <v>#VALUE!</v>
      </c>
    </row>
    <row r="19" spans="2:7" ht="14.45" x14ac:dyDescent="0.35">
      <c r="B19" t="s">
        <v>630</v>
      </c>
      <c r="C19" s="126" t="e">
        <f t="shared" ca="1" si="1"/>
        <v>#VALUE!</v>
      </c>
      <c r="D19" s="126" t="e">
        <f t="shared" ca="1" si="1"/>
        <v>#VALUE!</v>
      </c>
      <c r="E19" s="126" t="e">
        <f t="shared" ca="1" si="1"/>
        <v>#VALUE!</v>
      </c>
      <c r="F19" s="126" t="e">
        <f t="shared" ca="1" si="1"/>
        <v>#VALUE!</v>
      </c>
      <c r="G19" s="126" t="e">
        <f t="shared" ca="1" si="1"/>
        <v>#VALUE!</v>
      </c>
    </row>
    <row r="20" spans="2:7" ht="14.45" x14ac:dyDescent="0.35">
      <c r="B20" t="s">
        <v>631</v>
      </c>
      <c r="C20" s="126" t="e">
        <f t="shared" ca="1" si="1"/>
        <v>#VALUE!</v>
      </c>
      <c r="D20" s="126" t="e">
        <f t="shared" ca="1" si="1"/>
        <v>#VALUE!</v>
      </c>
      <c r="E20" s="126" t="e">
        <f t="shared" ca="1" si="1"/>
        <v>#VALUE!</v>
      </c>
      <c r="F20" s="126" t="e">
        <f t="shared" ca="1" si="1"/>
        <v>#VALUE!</v>
      </c>
      <c r="G20" s="126" t="e">
        <f t="shared" ca="1" si="1"/>
        <v>#VALUE!</v>
      </c>
    </row>
    <row r="21" spans="2:7" ht="14.45" x14ac:dyDescent="0.35">
      <c r="B21" t="s">
        <v>632</v>
      </c>
      <c r="C21" s="126" t="e">
        <f t="shared" ca="1" si="1"/>
        <v>#VALUE!</v>
      </c>
      <c r="D21" s="126" t="e">
        <f t="shared" ca="1" si="1"/>
        <v>#VALUE!</v>
      </c>
      <c r="E21" s="126" t="e">
        <f t="shared" ca="1" si="1"/>
        <v>#VALUE!</v>
      </c>
      <c r="F21" s="126" t="e">
        <f t="shared" ca="1" si="1"/>
        <v>#VALUE!</v>
      </c>
      <c r="G21" s="126" t="e">
        <f t="shared" ca="1" si="1"/>
        <v>#VALUE!</v>
      </c>
    </row>
    <row r="22" spans="2:7" ht="14.45" x14ac:dyDescent="0.35">
      <c r="B22" t="s">
        <v>633</v>
      </c>
      <c r="C22" s="126" t="e">
        <f t="shared" ca="1" si="1"/>
        <v>#VALUE!</v>
      </c>
      <c r="D22" s="126" t="e">
        <f t="shared" ca="1" si="1"/>
        <v>#VALUE!</v>
      </c>
      <c r="E22" s="126" t="e">
        <f t="shared" ca="1" si="1"/>
        <v>#VALUE!</v>
      </c>
      <c r="F22" s="126" t="e">
        <f t="shared" ca="1" si="1"/>
        <v>#VALUE!</v>
      </c>
      <c r="G22" s="126" t="e">
        <f t="shared" ca="1" si="1"/>
        <v>#VALUE!</v>
      </c>
    </row>
    <row r="23" spans="2:7" ht="14.45" x14ac:dyDescent="0.35">
      <c r="B23" t="s">
        <v>634</v>
      </c>
      <c r="C23" s="126" t="e">
        <f t="shared" ca="1" si="1"/>
        <v>#VALUE!</v>
      </c>
      <c r="D23" s="126" t="e">
        <f t="shared" ca="1" si="1"/>
        <v>#VALUE!</v>
      </c>
      <c r="E23" s="126" t="e">
        <f t="shared" ca="1" si="1"/>
        <v>#VALUE!</v>
      </c>
      <c r="F23" s="126" t="e">
        <f t="shared" ca="1" si="1"/>
        <v>#VALUE!</v>
      </c>
      <c r="G23" s="126" t="e">
        <f t="shared" ca="1" si="1"/>
        <v>#VALUE!</v>
      </c>
    </row>
    <row r="24" spans="2:7" x14ac:dyDescent="0.25">
      <c r="B24" t="s">
        <v>635</v>
      </c>
      <c r="C24" s="126" t="e">
        <f t="shared" ca="1" si="1"/>
        <v>#VALUE!</v>
      </c>
      <c r="D24" s="126" t="e">
        <f t="shared" ca="1" si="1"/>
        <v>#VALUE!</v>
      </c>
      <c r="E24" s="126" t="e">
        <f t="shared" ca="1" si="1"/>
        <v>#VALUE!</v>
      </c>
      <c r="F24" s="126" t="e">
        <f t="shared" ca="1" si="1"/>
        <v>#VALUE!</v>
      </c>
      <c r="G24" s="126" t="e">
        <f t="shared" ca="1" si="1"/>
        <v>#VALUE!</v>
      </c>
    </row>
    <row r="25" spans="2:7" x14ac:dyDescent="0.25">
      <c r="B25" t="s">
        <v>636</v>
      </c>
      <c r="C25" s="126" t="e">
        <f t="shared" ca="1" si="1"/>
        <v>#VALUE!</v>
      </c>
      <c r="D25" s="126" t="e">
        <f t="shared" ca="1" si="1"/>
        <v>#VALUE!</v>
      </c>
      <c r="E25" s="126" t="e">
        <f t="shared" ca="1" si="1"/>
        <v>#VALUE!</v>
      </c>
      <c r="F25" s="126" t="e">
        <f t="shared" ca="1" si="1"/>
        <v>#VALUE!</v>
      </c>
      <c r="G25" s="126" t="e">
        <f t="shared" ca="1" si="1"/>
        <v>#VALUE!</v>
      </c>
    </row>
    <row r="26" spans="2:7" x14ac:dyDescent="0.25">
      <c r="B26" t="s">
        <v>637</v>
      </c>
      <c r="C26" s="126" t="e">
        <f t="shared" ca="1" si="1"/>
        <v>#VALUE!</v>
      </c>
      <c r="D26" s="126" t="e">
        <f t="shared" ca="1" si="1"/>
        <v>#VALUE!</v>
      </c>
      <c r="E26" s="126" t="e">
        <f t="shared" ca="1" si="1"/>
        <v>#VALUE!</v>
      </c>
      <c r="F26" s="126" t="e">
        <f t="shared" ca="1" si="1"/>
        <v>#VALUE!</v>
      </c>
      <c r="G26" s="126" t="e">
        <f t="shared" ca="1" si="1"/>
        <v>#VALUE!</v>
      </c>
    </row>
    <row r="27" spans="2:7" x14ac:dyDescent="0.25">
      <c r="B27" t="s">
        <v>638</v>
      </c>
      <c r="C27" s="126" t="e">
        <f t="shared" ca="1" si="1"/>
        <v>#VALUE!</v>
      </c>
      <c r="D27" s="126" t="e">
        <f t="shared" ca="1" si="1"/>
        <v>#VALUE!</v>
      </c>
      <c r="E27" s="126" t="e">
        <f t="shared" ca="1" si="1"/>
        <v>#VALUE!</v>
      </c>
      <c r="F27" s="126" t="e">
        <f t="shared" ca="1" si="1"/>
        <v>#VALUE!</v>
      </c>
      <c r="G27" s="126" t="e">
        <f t="shared" ca="1" si="1"/>
        <v>#VALUE!</v>
      </c>
    </row>
    <row r="28" spans="2:7" x14ac:dyDescent="0.25">
      <c r="B28" t="s">
        <v>639</v>
      </c>
      <c r="C28" s="126" t="e">
        <f t="shared" ca="1" si="1"/>
        <v>#VALUE!</v>
      </c>
      <c r="D28" s="126" t="e">
        <f t="shared" ca="1" si="1"/>
        <v>#VALUE!</v>
      </c>
      <c r="E28" s="126" t="e">
        <f t="shared" ca="1" si="1"/>
        <v>#VALUE!</v>
      </c>
      <c r="F28" s="126" t="e">
        <f t="shared" ca="1" si="1"/>
        <v>#VALUE!</v>
      </c>
      <c r="G28" s="126" t="e">
        <f t="shared" ca="1" si="1"/>
        <v>#VALUE!</v>
      </c>
    </row>
    <row r="29" spans="2:7" x14ac:dyDescent="0.25">
      <c r="B29" t="s">
        <v>640</v>
      </c>
      <c r="C29" s="126" t="e">
        <f t="shared" ca="1" si="1"/>
        <v>#VALUE!</v>
      </c>
      <c r="D29" s="126" t="e">
        <f t="shared" ca="1" si="1"/>
        <v>#VALUE!</v>
      </c>
      <c r="E29" s="126" t="e">
        <f t="shared" ca="1" si="1"/>
        <v>#VALUE!</v>
      </c>
      <c r="F29" s="126" t="e">
        <f t="shared" ca="1" si="1"/>
        <v>#VALUE!</v>
      </c>
      <c r="G29" s="126" t="e">
        <f t="shared" ca="1" si="1"/>
        <v>#VALUE!</v>
      </c>
    </row>
    <row r="30" spans="2:7" x14ac:dyDescent="0.25">
      <c r="B30" t="s">
        <v>641</v>
      </c>
      <c r="C30" s="126" t="e">
        <f t="shared" ca="1" si="1"/>
        <v>#VALUE!</v>
      </c>
      <c r="D30" s="126" t="e">
        <f t="shared" ca="1" si="1"/>
        <v>#VALUE!</v>
      </c>
      <c r="E30" s="126" t="e">
        <f t="shared" ca="1" si="1"/>
        <v>#VALUE!</v>
      </c>
      <c r="F30" s="126" t="e">
        <f t="shared" ca="1" si="1"/>
        <v>#VALUE!</v>
      </c>
      <c r="G30" s="126" t="e">
        <f t="shared" ca="1" si="1"/>
        <v>#VALUE!</v>
      </c>
    </row>
    <row r="31" spans="2:7" x14ac:dyDescent="0.25">
      <c r="B31" t="s">
        <v>642</v>
      </c>
      <c r="C31" s="126" t="e">
        <f t="shared" ca="1" si="1"/>
        <v>#VALUE!</v>
      </c>
      <c r="D31" s="126" t="e">
        <f t="shared" ca="1" si="1"/>
        <v>#VALUE!</v>
      </c>
      <c r="E31" s="126" t="e">
        <f t="shared" ca="1" si="1"/>
        <v>#VALUE!</v>
      </c>
      <c r="F31" s="126" t="e">
        <f t="shared" ca="1" si="1"/>
        <v>#VALUE!</v>
      </c>
      <c r="G31" s="126" t="e">
        <f t="shared" ca="1" si="1"/>
        <v>#VALUE!</v>
      </c>
    </row>
    <row r="32" spans="2:7" x14ac:dyDescent="0.25">
      <c r="B32" t="s">
        <v>643</v>
      </c>
      <c r="C32" s="126" t="e">
        <f t="shared" ca="1" si="1"/>
        <v>#VALUE!</v>
      </c>
      <c r="D32" s="126" t="e">
        <f t="shared" ca="1" si="1"/>
        <v>#VALUE!</v>
      </c>
      <c r="E32" s="126" t="e">
        <f t="shared" ca="1" si="1"/>
        <v>#VALUE!</v>
      </c>
      <c r="F32" s="126" t="e">
        <f t="shared" ca="1" si="1"/>
        <v>#VALUE!</v>
      </c>
      <c r="G32" s="126" t="e">
        <f t="shared" ca="1" si="1"/>
        <v>#VALUE!</v>
      </c>
    </row>
    <row r="33" spans="2:7" x14ac:dyDescent="0.25">
      <c r="B33" t="s">
        <v>644</v>
      </c>
      <c r="C33" s="126" t="e">
        <f t="shared" ca="1" si="1"/>
        <v>#VALUE!</v>
      </c>
      <c r="D33" s="126" t="e">
        <f t="shared" ca="1" si="1"/>
        <v>#VALUE!</v>
      </c>
      <c r="E33" s="126" t="e">
        <f t="shared" ca="1" si="1"/>
        <v>#VALUE!</v>
      </c>
      <c r="F33" s="126" t="e">
        <f t="shared" ca="1" si="1"/>
        <v>#VALUE!</v>
      </c>
      <c r="G33" s="126" t="e">
        <f t="shared" ca="1" si="1"/>
        <v>#VALUE!</v>
      </c>
    </row>
    <row r="34" spans="2:7" x14ac:dyDescent="0.25">
      <c r="B34" t="s">
        <v>645</v>
      </c>
      <c r="C34" s="126" t="e">
        <f t="shared" ca="1" si="1"/>
        <v>#VALUE!</v>
      </c>
      <c r="D34" s="126" t="e">
        <f t="shared" ca="1" si="1"/>
        <v>#VALUE!</v>
      </c>
      <c r="E34" s="126" t="e">
        <f t="shared" ca="1" si="1"/>
        <v>#VALUE!</v>
      </c>
      <c r="F34" s="126" t="e">
        <f t="shared" ca="1" si="1"/>
        <v>#VALUE!</v>
      </c>
      <c r="G34" s="126" t="e">
        <f t="shared" ca="1" si="1"/>
        <v>#VALUE!</v>
      </c>
    </row>
    <row r="35" spans="2:7" x14ac:dyDescent="0.25">
      <c r="B35" t="s">
        <v>646</v>
      </c>
      <c r="C35" s="126" t="e">
        <f t="shared" ref="C35:G39" ca="1" si="2">Output("SCEN_ADEMEhaut",$B35,C$1)</f>
        <v>#VALUE!</v>
      </c>
      <c r="D35" s="126" t="e">
        <f t="shared" ca="1" si="2"/>
        <v>#VALUE!</v>
      </c>
      <c r="E35" s="126" t="e">
        <f t="shared" ca="1" si="2"/>
        <v>#VALUE!</v>
      </c>
      <c r="F35" s="126" t="e">
        <f t="shared" ca="1" si="2"/>
        <v>#VALUE!</v>
      </c>
      <c r="G35" s="126" t="e">
        <f t="shared" ca="1" si="2"/>
        <v>#VALUE!</v>
      </c>
    </row>
    <row r="36" spans="2:7" x14ac:dyDescent="0.25">
      <c r="B36" t="s">
        <v>647</v>
      </c>
      <c r="C36" s="126" t="e">
        <f ca="1">Output("SCEN_ADEMEhaut",$B36,C$1)</f>
        <v>#VALUE!</v>
      </c>
      <c r="D36" s="126" t="e">
        <f t="shared" ca="1" si="2"/>
        <v>#VALUE!</v>
      </c>
      <c r="E36" s="126" t="e">
        <f t="shared" ca="1" si="2"/>
        <v>#VALUE!</v>
      </c>
      <c r="F36" s="126" t="e">
        <f t="shared" ca="1" si="2"/>
        <v>#VALUE!</v>
      </c>
      <c r="G36" s="126" t="e">
        <f t="shared" ca="1" si="2"/>
        <v>#VALUE!</v>
      </c>
    </row>
    <row r="37" spans="2:7" x14ac:dyDescent="0.25">
      <c r="B37" t="s">
        <v>648</v>
      </c>
      <c r="C37" s="126" t="e">
        <f t="shared" ca="1" si="2"/>
        <v>#VALUE!</v>
      </c>
      <c r="D37" s="126" t="e">
        <f t="shared" ca="1" si="2"/>
        <v>#VALUE!</v>
      </c>
      <c r="E37" s="126" t="e">
        <f t="shared" ca="1" si="2"/>
        <v>#VALUE!</v>
      </c>
      <c r="F37" s="126" t="e">
        <f t="shared" ca="1" si="2"/>
        <v>#VALUE!</v>
      </c>
      <c r="G37" s="126" t="e">
        <f t="shared" ca="1" si="2"/>
        <v>#VALUE!</v>
      </c>
    </row>
    <row r="38" spans="2:7" x14ac:dyDescent="0.25">
      <c r="B38" t="s">
        <v>649</v>
      </c>
      <c r="C38" s="126" t="e">
        <f t="shared" ca="1" si="2"/>
        <v>#VALUE!</v>
      </c>
      <c r="D38" s="126" t="e">
        <f t="shared" ca="1" si="2"/>
        <v>#VALUE!</v>
      </c>
      <c r="E38" s="126" t="e">
        <f t="shared" ca="1" si="2"/>
        <v>#VALUE!</v>
      </c>
      <c r="F38" s="126" t="e">
        <f t="shared" ca="1" si="2"/>
        <v>#VALUE!</v>
      </c>
      <c r="G38" s="126" t="e">
        <f t="shared" ca="1" si="2"/>
        <v>#VALUE!</v>
      </c>
    </row>
    <row r="39" spans="2:7" x14ac:dyDescent="0.25">
      <c r="B39" t="s">
        <v>650</v>
      </c>
      <c r="C39" s="126" t="e">
        <f t="shared" ca="1" si="2"/>
        <v>#VALUE!</v>
      </c>
      <c r="D39" s="126" t="e">
        <f t="shared" ca="1" si="2"/>
        <v>#VALUE!</v>
      </c>
      <c r="E39" s="126" t="e">
        <f t="shared" ca="1" si="2"/>
        <v>#VALUE!</v>
      </c>
      <c r="F39" s="126" t="e">
        <f t="shared" ca="1" si="2"/>
        <v>#VALUE!</v>
      </c>
      <c r="G39" s="126" t="e">
        <f t="shared" ca="1" si="2"/>
        <v>#VALUE!</v>
      </c>
    </row>
    <row r="40" spans="2:7" x14ac:dyDescent="0.25">
      <c r="C40" s="126"/>
      <c r="D40" s="126"/>
      <c r="E40" s="126"/>
      <c r="F40" s="126"/>
      <c r="G40" s="126"/>
    </row>
    <row r="41" spans="2:7" x14ac:dyDescent="0.25">
      <c r="B41" t="s">
        <v>652</v>
      </c>
      <c r="C41" s="126" t="e">
        <f t="shared" ref="C41:G50" ca="1" si="3">Output("SCEN_ADEMEhaut",$B41,C$1)</f>
        <v>#VALUE!</v>
      </c>
      <c r="D41" s="126" t="e">
        <f t="shared" ca="1" si="3"/>
        <v>#VALUE!</v>
      </c>
      <c r="E41" s="126" t="e">
        <f t="shared" ca="1" si="3"/>
        <v>#VALUE!</v>
      </c>
      <c r="F41" s="126" t="e">
        <f t="shared" ca="1" si="3"/>
        <v>#VALUE!</v>
      </c>
      <c r="G41" s="126" t="e">
        <f t="shared" ca="1" si="3"/>
        <v>#VALUE!</v>
      </c>
    </row>
    <row r="42" spans="2:7" x14ac:dyDescent="0.25">
      <c r="B42" t="s">
        <v>653</v>
      </c>
      <c r="C42" s="126" t="e">
        <f t="shared" ca="1" si="3"/>
        <v>#VALUE!</v>
      </c>
      <c r="D42" s="126" t="e">
        <f t="shared" ca="1" si="3"/>
        <v>#VALUE!</v>
      </c>
      <c r="E42" s="126" t="e">
        <f t="shared" ca="1" si="3"/>
        <v>#VALUE!</v>
      </c>
      <c r="F42" s="126" t="e">
        <f t="shared" ca="1" si="3"/>
        <v>#VALUE!</v>
      </c>
      <c r="G42" s="126" t="e">
        <f t="shared" ca="1" si="3"/>
        <v>#VALUE!</v>
      </c>
    </row>
    <row r="43" spans="2:7" x14ac:dyDescent="0.25">
      <c r="B43" t="s">
        <v>654</v>
      </c>
      <c r="C43" s="126" t="e">
        <f t="shared" ca="1" si="3"/>
        <v>#VALUE!</v>
      </c>
      <c r="D43" s="126" t="e">
        <f t="shared" ca="1" si="3"/>
        <v>#VALUE!</v>
      </c>
      <c r="E43" s="126" t="e">
        <f t="shared" ca="1" si="3"/>
        <v>#VALUE!</v>
      </c>
      <c r="F43" s="126" t="e">
        <f t="shared" ca="1" si="3"/>
        <v>#VALUE!</v>
      </c>
      <c r="G43" s="126" t="e">
        <f t="shared" ca="1" si="3"/>
        <v>#VALUE!</v>
      </c>
    </row>
    <row r="44" spans="2:7" x14ac:dyDescent="0.25">
      <c r="B44" t="s">
        <v>655</v>
      </c>
      <c r="C44" s="126" t="e">
        <f t="shared" ca="1" si="3"/>
        <v>#VALUE!</v>
      </c>
      <c r="D44" s="126" t="e">
        <f t="shared" ca="1" si="3"/>
        <v>#VALUE!</v>
      </c>
      <c r="E44" s="126" t="e">
        <f t="shared" ca="1" si="3"/>
        <v>#VALUE!</v>
      </c>
      <c r="F44" s="126" t="e">
        <f t="shared" ca="1" si="3"/>
        <v>#VALUE!</v>
      </c>
      <c r="G44" s="126" t="e">
        <f t="shared" ca="1" si="3"/>
        <v>#VALUE!</v>
      </c>
    </row>
    <row r="45" spans="2:7" x14ac:dyDescent="0.25">
      <c r="B45" t="s">
        <v>656</v>
      </c>
      <c r="C45" s="126" t="e">
        <f t="shared" ca="1" si="3"/>
        <v>#VALUE!</v>
      </c>
      <c r="D45" s="126" t="e">
        <f t="shared" ca="1" si="3"/>
        <v>#VALUE!</v>
      </c>
      <c r="E45" s="126" t="e">
        <f t="shared" ca="1" si="3"/>
        <v>#VALUE!</v>
      </c>
      <c r="F45" s="126" t="e">
        <f t="shared" ca="1" si="3"/>
        <v>#VALUE!</v>
      </c>
      <c r="G45" s="126" t="e">
        <f t="shared" ca="1" si="3"/>
        <v>#VALUE!</v>
      </c>
    </row>
    <row r="46" spans="2:7" x14ac:dyDescent="0.25">
      <c r="B46" t="s">
        <v>657</v>
      </c>
      <c r="C46" s="126" t="e">
        <f t="shared" ca="1" si="3"/>
        <v>#VALUE!</v>
      </c>
      <c r="D46" s="126" t="e">
        <f t="shared" ca="1" si="3"/>
        <v>#VALUE!</v>
      </c>
      <c r="E46" s="126" t="e">
        <f t="shared" ca="1" si="3"/>
        <v>#VALUE!</v>
      </c>
      <c r="F46" s="126" t="e">
        <f t="shared" ca="1" si="3"/>
        <v>#VALUE!</v>
      </c>
      <c r="G46" s="126" t="e">
        <f t="shared" ca="1" si="3"/>
        <v>#VALUE!</v>
      </c>
    </row>
    <row r="47" spans="2:7" x14ac:dyDescent="0.25">
      <c r="B47" t="s">
        <v>658</v>
      </c>
      <c r="C47" s="126" t="e">
        <f t="shared" ca="1" si="3"/>
        <v>#VALUE!</v>
      </c>
      <c r="D47" s="126" t="e">
        <f t="shared" ca="1" si="3"/>
        <v>#VALUE!</v>
      </c>
      <c r="E47" s="126" t="e">
        <f t="shared" ca="1" si="3"/>
        <v>#VALUE!</v>
      </c>
      <c r="F47" s="126" t="e">
        <f t="shared" ca="1" si="3"/>
        <v>#VALUE!</v>
      </c>
      <c r="G47" s="126" t="e">
        <f t="shared" ca="1" si="3"/>
        <v>#VALUE!</v>
      </c>
    </row>
    <row r="48" spans="2:7" x14ac:dyDescent="0.25">
      <c r="B48" t="s">
        <v>659</v>
      </c>
      <c r="C48" s="126" t="e">
        <f t="shared" ca="1" si="3"/>
        <v>#VALUE!</v>
      </c>
      <c r="D48" s="126" t="e">
        <f t="shared" ca="1" si="3"/>
        <v>#VALUE!</v>
      </c>
      <c r="E48" s="126" t="e">
        <f t="shared" ca="1" si="3"/>
        <v>#VALUE!</v>
      </c>
      <c r="F48" s="126" t="e">
        <f t="shared" ca="1" si="3"/>
        <v>#VALUE!</v>
      </c>
      <c r="G48" s="126" t="e">
        <f t="shared" ca="1" si="3"/>
        <v>#VALUE!</v>
      </c>
    </row>
    <row r="49" spans="2:7" x14ac:dyDescent="0.25">
      <c r="B49" t="s">
        <v>660</v>
      </c>
      <c r="C49" s="126" t="e">
        <f t="shared" ca="1" si="3"/>
        <v>#VALUE!</v>
      </c>
      <c r="D49" s="126" t="e">
        <f t="shared" ca="1" si="3"/>
        <v>#VALUE!</v>
      </c>
      <c r="E49" s="126" t="e">
        <f t="shared" ca="1" si="3"/>
        <v>#VALUE!</v>
      </c>
      <c r="F49" s="126" t="e">
        <f t="shared" ca="1" si="3"/>
        <v>#VALUE!</v>
      </c>
      <c r="G49" s="126" t="e">
        <f t="shared" ca="1" si="3"/>
        <v>#VALUE!</v>
      </c>
    </row>
    <row r="50" spans="2:7" x14ac:dyDescent="0.25">
      <c r="B50" t="s">
        <v>661</v>
      </c>
      <c r="C50" s="126" t="e">
        <f t="shared" ca="1" si="3"/>
        <v>#VALUE!</v>
      </c>
      <c r="D50" s="126" t="e">
        <f t="shared" ca="1" si="3"/>
        <v>#VALUE!</v>
      </c>
      <c r="E50" s="126" t="e">
        <f t="shared" ca="1" si="3"/>
        <v>#VALUE!</v>
      </c>
      <c r="F50" s="126" t="e">
        <f t="shared" ca="1" si="3"/>
        <v>#VALUE!</v>
      </c>
      <c r="G50" s="126" t="e">
        <f t="shared" ca="1" si="3"/>
        <v>#VALUE!</v>
      </c>
    </row>
    <row r="51" spans="2:7" x14ac:dyDescent="0.25">
      <c r="B51" t="s">
        <v>662</v>
      </c>
      <c r="C51" s="126" t="e">
        <f t="shared" ref="C51:G60" ca="1" si="4">Output("SCEN_ADEMEhaut",$B51,C$1)</f>
        <v>#VALUE!</v>
      </c>
      <c r="D51" s="126" t="e">
        <f t="shared" ca="1" si="4"/>
        <v>#VALUE!</v>
      </c>
      <c r="E51" s="126" t="e">
        <f t="shared" ca="1" si="4"/>
        <v>#VALUE!</v>
      </c>
      <c r="F51" s="126" t="e">
        <f t="shared" ca="1" si="4"/>
        <v>#VALUE!</v>
      </c>
      <c r="G51" s="126" t="e">
        <f t="shared" ca="1" si="4"/>
        <v>#VALUE!</v>
      </c>
    </row>
    <row r="52" spans="2:7" x14ac:dyDescent="0.25">
      <c r="B52" t="s">
        <v>663</v>
      </c>
      <c r="C52" s="126" t="e">
        <f t="shared" ca="1" si="4"/>
        <v>#VALUE!</v>
      </c>
      <c r="D52" s="126" t="e">
        <f t="shared" ca="1" si="4"/>
        <v>#VALUE!</v>
      </c>
      <c r="E52" s="126" t="e">
        <f t="shared" ca="1" si="4"/>
        <v>#VALUE!</v>
      </c>
      <c r="F52" s="126" t="e">
        <f t="shared" ca="1" si="4"/>
        <v>#VALUE!</v>
      </c>
      <c r="G52" s="126" t="e">
        <f t="shared" ca="1" si="4"/>
        <v>#VALUE!</v>
      </c>
    </row>
    <row r="53" spans="2:7" x14ac:dyDescent="0.25">
      <c r="B53" t="s">
        <v>664</v>
      </c>
      <c r="C53" s="126" t="e">
        <f t="shared" ca="1" si="4"/>
        <v>#VALUE!</v>
      </c>
      <c r="D53" s="126" t="e">
        <f t="shared" ca="1" si="4"/>
        <v>#VALUE!</v>
      </c>
      <c r="E53" s="126" t="e">
        <f t="shared" ca="1" si="4"/>
        <v>#VALUE!</v>
      </c>
      <c r="F53" s="126" t="e">
        <f t="shared" ca="1" si="4"/>
        <v>#VALUE!</v>
      </c>
      <c r="G53" s="126" t="e">
        <f t="shared" ca="1" si="4"/>
        <v>#VALUE!</v>
      </c>
    </row>
    <row r="54" spans="2:7" x14ac:dyDescent="0.25">
      <c r="B54" t="s">
        <v>665</v>
      </c>
      <c r="C54" s="126" t="e">
        <f t="shared" ca="1" si="4"/>
        <v>#VALUE!</v>
      </c>
      <c r="D54" s="126" t="e">
        <f t="shared" ca="1" si="4"/>
        <v>#VALUE!</v>
      </c>
      <c r="E54" s="126" t="e">
        <f t="shared" ca="1" si="4"/>
        <v>#VALUE!</v>
      </c>
      <c r="F54" s="126" t="e">
        <f t="shared" ca="1" si="4"/>
        <v>#VALUE!</v>
      </c>
      <c r="G54" s="126" t="e">
        <f t="shared" ca="1" si="4"/>
        <v>#VALUE!</v>
      </c>
    </row>
    <row r="55" spans="2:7" x14ac:dyDescent="0.25">
      <c r="B55" t="s">
        <v>666</v>
      </c>
      <c r="C55" s="126" t="e">
        <f t="shared" ca="1" si="4"/>
        <v>#VALUE!</v>
      </c>
      <c r="D55" s="126" t="e">
        <f t="shared" ca="1" si="4"/>
        <v>#VALUE!</v>
      </c>
      <c r="E55" s="126" t="e">
        <f t="shared" ca="1" si="4"/>
        <v>#VALUE!</v>
      </c>
      <c r="F55" s="126" t="e">
        <f t="shared" ca="1" si="4"/>
        <v>#VALUE!</v>
      </c>
      <c r="G55" s="126" t="e">
        <f t="shared" ca="1" si="4"/>
        <v>#VALUE!</v>
      </c>
    </row>
    <row r="56" spans="2:7" x14ac:dyDescent="0.25">
      <c r="B56" t="s">
        <v>667</v>
      </c>
      <c r="C56" s="126" t="e">
        <f t="shared" ca="1" si="4"/>
        <v>#VALUE!</v>
      </c>
      <c r="D56" s="126" t="e">
        <f t="shared" ca="1" si="4"/>
        <v>#VALUE!</v>
      </c>
      <c r="E56" s="126" t="e">
        <f t="shared" ca="1" si="4"/>
        <v>#VALUE!</v>
      </c>
      <c r="F56" s="126" t="e">
        <f t="shared" ca="1" si="4"/>
        <v>#VALUE!</v>
      </c>
      <c r="G56" s="126" t="e">
        <f t="shared" ca="1" si="4"/>
        <v>#VALUE!</v>
      </c>
    </row>
    <row r="57" spans="2:7" x14ac:dyDescent="0.25">
      <c r="B57" t="s">
        <v>668</v>
      </c>
      <c r="C57" s="126" t="e">
        <f t="shared" ca="1" si="4"/>
        <v>#VALUE!</v>
      </c>
      <c r="D57" s="126" t="e">
        <f t="shared" ca="1" si="4"/>
        <v>#VALUE!</v>
      </c>
      <c r="E57" s="126" t="e">
        <f t="shared" ca="1" si="4"/>
        <v>#VALUE!</v>
      </c>
      <c r="F57" s="126" t="e">
        <f t="shared" ca="1" si="4"/>
        <v>#VALUE!</v>
      </c>
      <c r="G57" s="126" t="e">
        <f t="shared" ca="1" si="4"/>
        <v>#VALUE!</v>
      </c>
    </row>
    <row r="58" spans="2:7" x14ac:dyDescent="0.25">
      <c r="B58" t="s">
        <v>669</v>
      </c>
      <c r="C58" s="126" t="e">
        <f t="shared" ca="1" si="4"/>
        <v>#VALUE!</v>
      </c>
      <c r="D58" s="126" t="e">
        <f t="shared" ca="1" si="4"/>
        <v>#VALUE!</v>
      </c>
      <c r="E58" s="126" t="e">
        <f t="shared" ca="1" si="4"/>
        <v>#VALUE!</v>
      </c>
      <c r="F58" s="126" t="e">
        <f t="shared" ca="1" si="4"/>
        <v>#VALUE!</v>
      </c>
      <c r="G58" s="126" t="e">
        <f t="shared" ca="1" si="4"/>
        <v>#VALUE!</v>
      </c>
    </row>
    <row r="59" spans="2:7" x14ac:dyDescent="0.25">
      <c r="B59" t="s">
        <v>670</v>
      </c>
      <c r="C59" s="126" t="e">
        <f t="shared" ca="1" si="4"/>
        <v>#VALUE!</v>
      </c>
      <c r="D59" s="126" t="e">
        <f t="shared" ca="1" si="4"/>
        <v>#VALUE!</v>
      </c>
      <c r="E59" s="126" t="e">
        <f t="shared" ca="1" si="4"/>
        <v>#VALUE!</v>
      </c>
      <c r="F59" s="126" t="e">
        <f t="shared" ca="1" si="4"/>
        <v>#VALUE!</v>
      </c>
      <c r="G59" s="126" t="e">
        <f t="shared" ca="1" si="4"/>
        <v>#VALUE!</v>
      </c>
    </row>
    <row r="60" spans="2:7" x14ac:dyDescent="0.25">
      <c r="B60" t="s">
        <v>671</v>
      </c>
      <c r="C60" s="126" t="e">
        <f t="shared" ca="1" si="4"/>
        <v>#VALUE!</v>
      </c>
      <c r="D60" s="126" t="e">
        <f t="shared" ca="1" si="4"/>
        <v>#VALUE!</v>
      </c>
      <c r="E60" s="126" t="e">
        <f t="shared" ca="1" si="4"/>
        <v>#VALUE!</v>
      </c>
      <c r="F60" s="126" t="e">
        <f t="shared" ca="1" si="4"/>
        <v>#VALUE!</v>
      </c>
      <c r="G60" s="126" t="e">
        <f t="shared" ca="1" si="4"/>
        <v>#VALUE!</v>
      </c>
    </row>
    <row r="61" spans="2:7" x14ac:dyDescent="0.25">
      <c r="B61" t="s">
        <v>672</v>
      </c>
      <c r="C61" s="126" t="e">
        <f t="shared" ref="C61:G70" ca="1" si="5">Output("SCEN_ADEMEhaut",$B61,C$1)</f>
        <v>#VALUE!</v>
      </c>
      <c r="D61" s="126" t="e">
        <f t="shared" ca="1" si="5"/>
        <v>#VALUE!</v>
      </c>
      <c r="E61" s="126" t="e">
        <f t="shared" ca="1" si="5"/>
        <v>#VALUE!</v>
      </c>
      <c r="F61" s="126" t="e">
        <f t="shared" ca="1" si="5"/>
        <v>#VALUE!</v>
      </c>
      <c r="G61" s="126" t="e">
        <f t="shared" ca="1" si="5"/>
        <v>#VALUE!</v>
      </c>
    </row>
    <row r="62" spans="2:7" x14ac:dyDescent="0.25">
      <c r="B62" t="s">
        <v>673</v>
      </c>
      <c r="C62" s="126" t="e">
        <f t="shared" ca="1" si="5"/>
        <v>#VALUE!</v>
      </c>
      <c r="D62" s="126" t="e">
        <f t="shared" ca="1" si="5"/>
        <v>#VALUE!</v>
      </c>
      <c r="E62" s="126" t="e">
        <f t="shared" ca="1" si="5"/>
        <v>#VALUE!</v>
      </c>
      <c r="F62" s="126" t="e">
        <f t="shared" ca="1" si="5"/>
        <v>#VALUE!</v>
      </c>
      <c r="G62" s="126" t="e">
        <f t="shared" ca="1" si="5"/>
        <v>#VALUE!</v>
      </c>
    </row>
    <row r="63" spans="2:7" x14ac:dyDescent="0.25">
      <c r="B63" t="s">
        <v>674</v>
      </c>
      <c r="C63" s="126" t="e">
        <f t="shared" ca="1" si="5"/>
        <v>#VALUE!</v>
      </c>
      <c r="D63" s="126" t="e">
        <f t="shared" ca="1" si="5"/>
        <v>#VALUE!</v>
      </c>
      <c r="E63" s="126" t="e">
        <f t="shared" ca="1" si="5"/>
        <v>#VALUE!</v>
      </c>
      <c r="F63" s="126" t="e">
        <f t="shared" ca="1" si="5"/>
        <v>#VALUE!</v>
      </c>
      <c r="G63" s="126" t="e">
        <f t="shared" ca="1" si="5"/>
        <v>#VALUE!</v>
      </c>
    </row>
    <row r="64" spans="2:7" x14ac:dyDescent="0.25">
      <c r="B64" t="s">
        <v>675</v>
      </c>
      <c r="C64" s="126" t="e">
        <f t="shared" ca="1" si="5"/>
        <v>#VALUE!</v>
      </c>
      <c r="D64" s="126" t="e">
        <f t="shared" ca="1" si="5"/>
        <v>#VALUE!</v>
      </c>
      <c r="E64" s="126" t="e">
        <f t="shared" ca="1" si="5"/>
        <v>#VALUE!</v>
      </c>
      <c r="F64" s="126" t="e">
        <f t="shared" ca="1" si="5"/>
        <v>#VALUE!</v>
      </c>
      <c r="G64" s="126" t="e">
        <f t="shared" ca="1" si="5"/>
        <v>#VALUE!</v>
      </c>
    </row>
    <row r="65" spans="2:7" x14ac:dyDescent="0.25">
      <c r="B65" t="s">
        <v>676</v>
      </c>
      <c r="C65" s="126" t="e">
        <f t="shared" ca="1" si="5"/>
        <v>#VALUE!</v>
      </c>
      <c r="D65" s="126" t="e">
        <f t="shared" ca="1" si="5"/>
        <v>#VALUE!</v>
      </c>
      <c r="E65" s="126" t="e">
        <f t="shared" ca="1" si="5"/>
        <v>#VALUE!</v>
      </c>
      <c r="F65" s="126" t="e">
        <f t="shared" ca="1" si="5"/>
        <v>#VALUE!</v>
      </c>
      <c r="G65" s="126" t="e">
        <f t="shared" ca="1" si="5"/>
        <v>#VALUE!</v>
      </c>
    </row>
    <row r="66" spans="2:7" x14ac:dyDescent="0.25">
      <c r="B66" t="s">
        <v>677</v>
      </c>
      <c r="C66" s="126" t="e">
        <f t="shared" ca="1" si="5"/>
        <v>#VALUE!</v>
      </c>
      <c r="D66" s="126" t="e">
        <f t="shared" ca="1" si="5"/>
        <v>#VALUE!</v>
      </c>
      <c r="E66" s="126" t="e">
        <f t="shared" ca="1" si="5"/>
        <v>#VALUE!</v>
      </c>
      <c r="F66" s="126" t="e">
        <f t="shared" ca="1" si="5"/>
        <v>#VALUE!</v>
      </c>
      <c r="G66" s="126" t="e">
        <f t="shared" ca="1" si="5"/>
        <v>#VALUE!</v>
      </c>
    </row>
    <row r="67" spans="2:7" x14ac:dyDescent="0.25">
      <c r="B67" t="s">
        <v>678</v>
      </c>
      <c r="C67" s="126" t="e">
        <f t="shared" ca="1" si="5"/>
        <v>#VALUE!</v>
      </c>
      <c r="D67" s="126" t="e">
        <f t="shared" ca="1" si="5"/>
        <v>#VALUE!</v>
      </c>
      <c r="E67" s="126" t="e">
        <f t="shared" ca="1" si="5"/>
        <v>#VALUE!</v>
      </c>
      <c r="F67" s="126" t="e">
        <f t="shared" ca="1" si="5"/>
        <v>#VALUE!</v>
      </c>
      <c r="G67" s="126" t="e">
        <f t="shared" ca="1" si="5"/>
        <v>#VALUE!</v>
      </c>
    </row>
    <row r="68" spans="2:7" x14ac:dyDescent="0.25">
      <c r="B68" t="s">
        <v>679</v>
      </c>
      <c r="C68" s="126" t="e">
        <f t="shared" ca="1" si="5"/>
        <v>#VALUE!</v>
      </c>
      <c r="D68" s="126" t="e">
        <f t="shared" ca="1" si="5"/>
        <v>#VALUE!</v>
      </c>
      <c r="E68" s="126" t="e">
        <f t="shared" ca="1" si="5"/>
        <v>#VALUE!</v>
      </c>
      <c r="F68" s="126" t="e">
        <f t="shared" ca="1" si="5"/>
        <v>#VALUE!</v>
      </c>
      <c r="G68" s="126" t="e">
        <f t="shared" ca="1" si="5"/>
        <v>#VALUE!</v>
      </c>
    </row>
    <row r="69" spans="2:7" x14ac:dyDescent="0.25">
      <c r="B69" t="s">
        <v>680</v>
      </c>
      <c r="C69" s="126" t="e">
        <f t="shared" ca="1" si="5"/>
        <v>#VALUE!</v>
      </c>
      <c r="D69" s="126" t="e">
        <f t="shared" ca="1" si="5"/>
        <v>#VALUE!</v>
      </c>
      <c r="E69" s="126" t="e">
        <f t="shared" ca="1" si="5"/>
        <v>#VALUE!</v>
      </c>
      <c r="F69" s="126" t="e">
        <f t="shared" ca="1" si="5"/>
        <v>#VALUE!</v>
      </c>
      <c r="G69" s="126" t="e">
        <f t="shared" ca="1" si="5"/>
        <v>#VALUE!</v>
      </c>
    </row>
    <row r="70" spans="2:7" x14ac:dyDescent="0.25">
      <c r="B70" t="s">
        <v>681</v>
      </c>
      <c r="C70" s="126" t="e">
        <f t="shared" ca="1" si="5"/>
        <v>#VALUE!</v>
      </c>
      <c r="D70" s="126" t="e">
        <f t="shared" ca="1" si="5"/>
        <v>#VALUE!</v>
      </c>
      <c r="E70" s="126" t="e">
        <f t="shared" ca="1" si="5"/>
        <v>#VALUE!</v>
      </c>
      <c r="F70" s="126" t="e">
        <f t="shared" ca="1" si="5"/>
        <v>#VALUE!</v>
      </c>
      <c r="G70" s="126" t="e">
        <f t="shared" ca="1" si="5"/>
        <v>#VALUE!</v>
      </c>
    </row>
    <row r="71" spans="2:7" x14ac:dyDescent="0.25">
      <c r="B71" t="s">
        <v>682</v>
      </c>
      <c r="C71" s="126" t="e">
        <f t="shared" ref="C71:G78" ca="1" si="6">Output("SCEN_ADEMEhaut",$B71,C$1)</f>
        <v>#VALUE!</v>
      </c>
      <c r="D71" s="126" t="e">
        <f t="shared" ca="1" si="6"/>
        <v>#VALUE!</v>
      </c>
      <c r="E71" s="126" t="e">
        <f t="shared" ca="1" si="6"/>
        <v>#VALUE!</v>
      </c>
      <c r="F71" s="126" t="e">
        <f t="shared" ca="1" si="6"/>
        <v>#VALUE!</v>
      </c>
      <c r="G71" s="126" t="e">
        <f t="shared" ca="1" si="6"/>
        <v>#VALUE!</v>
      </c>
    </row>
    <row r="72" spans="2:7" x14ac:dyDescent="0.25">
      <c r="B72" t="s">
        <v>683</v>
      </c>
      <c r="C72" s="126" t="e">
        <f t="shared" ca="1" si="6"/>
        <v>#VALUE!</v>
      </c>
      <c r="D72" s="126" t="e">
        <f t="shared" ca="1" si="6"/>
        <v>#VALUE!</v>
      </c>
      <c r="E72" s="126" t="e">
        <f t="shared" ca="1" si="6"/>
        <v>#VALUE!</v>
      </c>
      <c r="F72" s="126" t="e">
        <f t="shared" ca="1" si="6"/>
        <v>#VALUE!</v>
      </c>
      <c r="G72" s="126" t="e">
        <f t="shared" ca="1" si="6"/>
        <v>#VALUE!</v>
      </c>
    </row>
    <row r="73" spans="2:7" x14ac:dyDescent="0.25">
      <c r="B73" t="s">
        <v>684</v>
      </c>
      <c r="C73" s="126" t="e">
        <f t="shared" ca="1" si="6"/>
        <v>#VALUE!</v>
      </c>
      <c r="D73" s="126" t="e">
        <f t="shared" ca="1" si="6"/>
        <v>#VALUE!</v>
      </c>
      <c r="E73" s="126" t="e">
        <f t="shared" ca="1" si="6"/>
        <v>#VALUE!</v>
      </c>
      <c r="F73" s="126" t="e">
        <f t="shared" ca="1" si="6"/>
        <v>#VALUE!</v>
      </c>
      <c r="G73" s="126" t="e">
        <f t="shared" ca="1" si="6"/>
        <v>#VALUE!</v>
      </c>
    </row>
    <row r="74" spans="2:7" x14ac:dyDescent="0.25">
      <c r="B74" t="s">
        <v>685</v>
      </c>
      <c r="C74" s="126" t="e">
        <f t="shared" ca="1" si="6"/>
        <v>#VALUE!</v>
      </c>
      <c r="D74" s="126" t="e">
        <f t="shared" ca="1" si="6"/>
        <v>#VALUE!</v>
      </c>
      <c r="E74" s="126" t="e">
        <f t="shared" ca="1" si="6"/>
        <v>#VALUE!</v>
      </c>
      <c r="F74" s="126" t="e">
        <f t="shared" ca="1" si="6"/>
        <v>#VALUE!</v>
      </c>
      <c r="G74" s="126" t="e">
        <f t="shared" ca="1" si="6"/>
        <v>#VALUE!</v>
      </c>
    </row>
    <row r="75" spans="2:7" x14ac:dyDescent="0.25">
      <c r="B75" t="s">
        <v>686</v>
      </c>
      <c r="C75" s="126" t="e">
        <f t="shared" ca="1" si="6"/>
        <v>#VALUE!</v>
      </c>
      <c r="D75" s="126" t="e">
        <f t="shared" ca="1" si="6"/>
        <v>#VALUE!</v>
      </c>
      <c r="E75" s="126" t="e">
        <f t="shared" ca="1" si="6"/>
        <v>#VALUE!</v>
      </c>
      <c r="F75" s="126" t="e">
        <f t="shared" ca="1" si="6"/>
        <v>#VALUE!</v>
      </c>
      <c r="G75" s="126" t="e">
        <f t="shared" ca="1" si="6"/>
        <v>#VALUE!</v>
      </c>
    </row>
    <row r="76" spans="2:7" x14ac:dyDescent="0.25">
      <c r="B76" t="s">
        <v>687</v>
      </c>
      <c r="C76" s="126" t="e">
        <f t="shared" ca="1" si="6"/>
        <v>#VALUE!</v>
      </c>
      <c r="D76" s="126" t="e">
        <f t="shared" ca="1" si="6"/>
        <v>#VALUE!</v>
      </c>
      <c r="E76" s="126" t="e">
        <f t="shared" ca="1" si="6"/>
        <v>#VALUE!</v>
      </c>
      <c r="F76" s="126" t="e">
        <f t="shared" ca="1" si="6"/>
        <v>#VALUE!</v>
      </c>
      <c r="G76" s="126" t="e">
        <f t="shared" ca="1" si="6"/>
        <v>#VALUE!</v>
      </c>
    </row>
    <row r="77" spans="2:7" x14ac:dyDescent="0.25">
      <c r="B77" t="s">
        <v>688</v>
      </c>
      <c r="C77" s="126" t="e">
        <f t="shared" ca="1" si="6"/>
        <v>#VALUE!</v>
      </c>
      <c r="D77" s="126" t="e">
        <f t="shared" ca="1" si="6"/>
        <v>#VALUE!</v>
      </c>
      <c r="E77" s="126" t="e">
        <f t="shared" ca="1" si="6"/>
        <v>#VALUE!</v>
      </c>
      <c r="F77" s="126" t="e">
        <f t="shared" ca="1" si="6"/>
        <v>#VALUE!</v>
      </c>
      <c r="G77" s="126" t="e">
        <f t="shared" ca="1" si="6"/>
        <v>#VALUE!</v>
      </c>
    </row>
    <row r="78" spans="2:7" x14ac:dyDescent="0.25">
      <c r="B78" t="s">
        <v>689</v>
      </c>
      <c r="C78" s="126" t="e">
        <f t="shared" ca="1" si="6"/>
        <v>#VALUE!</v>
      </c>
      <c r="D78" s="126" t="e">
        <f t="shared" ca="1" si="6"/>
        <v>#VALUE!</v>
      </c>
      <c r="E78" s="126" t="e">
        <f t="shared" ca="1" si="6"/>
        <v>#VALUE!</v>
      </c>
      <c r="F78" s="126" t="e">
        <f t="shared" ca="1" si="6"/>
        <v>#VALUE!</v>
      </c>
      <c r="G78" s="126" t="e">
        <f t="shared" ca="1" si="6"/>
        <v>#VALUE!</v>
      </c>
    </row>
    <row r="80" spans="2:7" x14ac:dyDescent="0.25">
      <c r="B80" t="s">
        <v>702</v>
      </c>
      <c r="C80">
        <v>2010</v>
      </c>
      <c r="D80">
        <v>2015</v>
      </c>
      <c r="E80">
        <v>2020</v>
      </c>
      <c r="F80">
        <v>2030</v>
      </c>
      <c r="G80">
        <v>2050</v>
      </c>
    </row>
    <row r="81" spans="1:7" x14ac:dyDescent="0.25">
      <c r="B81" t="s">
        <v>690</v>
      </c>
      <c r="C81" s="127" t="e">
        <f ca="1">C41-C2</f>
        <v>#VALUE!</v>
      </c>
      <c r="D81" s="127" t="e">
        <f t="shared" ref="D81:G81" ca="1" si="7">D41-D2</f>
        <v>#VALUE!</v>
      </c>
      <c r="E81" s="127" t="e">
        <f t="shared" ca="1" si="7"/>
        <v>#VALUE!</v>
      </c>
      <c r="F81" s="127" t="e">
        <f t="shared" ca="1" si="7"/>
        <v>#VALUE!</v>
      </c>
      <c r="G81" s="127" t="e">
        <f t="shared" ca="1" si="7"/>
        <v>#VALUE!</v>
      </c>
    </row>
    <row r="82" spans="1:7" x14ac:dyDescent="0.25">
      <c r="A82" t="s">
        <v>718</v>
      </c>
      <c r="B82" t="s">
        <v>240</v>
      </c>
      <c r="C82" s="127" t="e">
        <f ca="1">C42-C3</f>
        <v>#VALUE!</v>
      </c>
      <c r="D82" s="127" t="e">
        <f t="shared" ref="D82:G82" ca="1" si="8">D42-D3</f>
        <v>#VALUE!</v>
      </c>
      <c r="E82" s="127" t="e">
        <f t="shared" ca="1" si="8"/>
        <v>#VALUE!</v>
      </c>
      <c r="F82" s="127" t="e">
        <f t="shared" ca="1" si="8"/>
        <v>#VALUE!</v>
      </c>
      <c r="G82" s="127" t="e">
        <f t="shared" ca="1" si="8"/>
        <v>#VALUE!</v>
      </c>
    </row>
    <row r="83" spans="1:7" x14ac:dyDescent="0.25">
      <c r="A83" t="s">
        <v>719</v>
      </c>
      <c r="B83" t="s">
        <v>691</v>
      </c>
      <c r="C83" s="127" t="e">
        <f ca="1">C43-C4</f>
        <v>#VALUE!</v>
      </c>
      <c r="D83" s="127" t="e">
        <f t="shared" ref="D83:G83" ca="1" si="9">D43-D4</f>
        <v>#VALUE!</v>
      </c>
      <c r="E83" s="127" t="e">
        <f t="shared" ca="1" si="9"/>
        <v>#VALUE!</v>
      </c>
      <c r="F83" s="127" t="e">
        <f t="shared" ca="1" si="9"/>
        <v>#VALUE!</v>
      </c>
      <c r="G83" s="127" t="e">
        <f t="shared" ca="1" si="9"/>
        <v>#VALUE!</v>
      </c>
    </row>
    <row r="84" spans="1:7" x14ac:dyDescent="0.25">
      <c r="A84" t="s">
        <v>720</v>
      </c>
      <c r="B84" t="s">
        <v>692</v>
      </c>
      <c r="C84" s="127" t="e">
        <f ca="1">C44-C5</f>
        <v>#VALUE!</v>
      </c>
      <c r="D84" s="127" t="e">
        <f t="shared" ref="D84:G84" ca="1" si="10">D44-D5</f>
        <v>#VALUE!</v>
      </c>
      <c r="E84" s="127" t="e">
        <f t="shared" ca="1" si="10"/>
        <v>#VALUE!</v>
      </c>
      <c r="F84" s="127" t="e">
        <f t="shared" ca="1" si="10"/>
        <v>#VALUE!</v>
      </c>
      <c r="G84" s="127" t="e">
        <f t="shared" ca="1" si="10"/>
        <v>#VALUE!</v>
      </c>
    </row>
    <row r="85" spans="1:7" x14ac:dyDescent="0.25">
      <c r="A85" t="s">
        <v>721</v>
      </c>
      <c r="B85" t="s">
        <v>693</v>
      </c>
      <c r="C85" s="127" t="e">
        <f ca="1">C54-C15</f>
        <v>#VALUE!</v>
      </c>
      <c r="D85" s="127" t="e">
        <f t="shared" ref="D85:G85" ca="1" si="11">D54-D15</f>
        <v>#VALUE!</v>
      </c>
      <c r="E85" s="127" t="e">
        <f t="shared" ca="1" si="11"/>
        <v>#VALUE!</v>
      </c>
      <c r="F85" s="127" t="e">
        <f t="shared" ca="1" si="11"/>
        <v>#VALUE!</v>
      </c>
      <c r="G85" s="127" t="e">
        <f t="shared" ca="1" si="11"/>
        <v>#VALUE!</v>
      </c>
    </row>
    <row r="86" spans="1:7" x14ac:dyDescent="0.25">
      <c r="A86" t="s">
        <v>722</v>
      </c>
      <c r="B86" t="s">
        <v>703</v>
      </c>
      <c r="C86" s="127" t="e">
        <f ca="1">C55-C16</f>
        <v>#VALUE!</v>
      </c>
      <c r="D86" s="127" t="e">
        <f t="shared" ref="D86:G86" ca="1" si="12">D55-D16</f>
        <v>#VALUE!</v>
      </c>
      <c r="E86" s="127" t="e">
        <f t="shared" ca="1" si="12"/>
        <v>#VALUE!</v>
      </c>
      <c r="F86" s="127" t="e">
        <f t="shared" ca="1" si="12"/>
        <v>#VALUE!</v>
      </c>
      <c r="G86" s="127" t="e">
        <f t="shared" ca="1" si="12"/>
        <v>#VALUE!</v>
      </c>
    </row>
    <row r="87" spans="1:7" x14ac:dyDescent="0.25">
      <c r="A87" t="s">
        <v>723</v>
      </c>
      <c r="B87" t="s">
        <v>695</v>
      </c>
      <c r="C87" s="127" t="e">
        <f ca="1">C56-C17</f>
        <v>#VALUE!</v>
      </c>
      <c r="D87" s="127" t="e">
        <f t="shared" ref="D87:G87" ca="1" si="13">D56-D17</f>
        <v>#VALUE!</v>
      </c>
      <c r="E87" s="127" t="e">
        <f t="shared" ca="1" si="13"/>
        <v>#VALUE!</v>
      </c>
      <c r="F87" s="127" t="e">
        <f t="shared" ca="1" si="13"/>
        <v>#VALUE!</v>
      </c>
      <c r="G87" s="127" t="e">
        <f t="shared" ca="1" si="13"/>
        <v>#VALUE!</v>
      </c>
    </row>
    <row r="88" spans="1:7" x14ac:dyDescent="0.25">
      <c r="A88" t="s">
        <v>724</v>
      </c>
      <c r="B88" t="s">
        <v>694</v>
      </c>
      <c r="C88" s="127" t="e">
        <f ca="1">C57-C18</f>
        <v>#VALUE!</v>
      </c>
      <c r="D88" s="127" t="e">
        <f t="shared" ref="D88:G88" ca="1" si="14">D57-D18</f>
        <v>#VALUE!</v>
      </c>
      <c r="E88" s="127" t="e">
        <f t="shared" ca="1" si="14"/>
        <v>#VALUE!</v>
      </c>
      <c r="F88" s="127" t="e">
        <f t="shared" ca="1" si="14"/>
        <v>#VALUE!</v>
      </c>
      <c r="G88" s="127" t="e">
        <f t="shared" ca="1" si="14"/>
        <v>#VALUE!</v>
      </c>
    </row>
    <row r="89" spans="1:7" x14ac:dyDescent="0.25">
      <c r="A89" t="s">
        <v>725</v>
      </c>
      <c r="B89" t="s">
        <v>697</v>
      </c>
      <c r="C89" s="127" t="e">
        <f t="shared" ref="C89:C94" ca="1" si="15">C63-C24</f>
        <v>#VALUE!</v>
      </c>
      <c r="D89" s="127" t="e">
        <f t="shared" ref="D89:G89" ca="1" si="16">D63-D24</f>
        <v>#VALUE!</v>
      </c>
      <c r="E89" s="127" t="e">
        <f t="shared" ca="1" si="16"/>
        <v>#VALUE!</v>
      </c>
      <c r="F89" s="127" t="e">
        <f t="shared" ca="1" si="16"/>
        <v>#VALUE!</v>
      </c>
      <c r="G89" s="127" t="e">
        <f t="shared" ca="1" si="16"/>
        <v>#VALUE!</v>
      </c>
    </row>
    <row r="90" spans="1:7" x14ac:dyDescent="0.25">
      <c r="A90" t="s">
        <v>726</v>
      </c>
      <c r="B90" t="s">
        <v>698</v>
      </c>
      <c r="C90" s="127" t="e">
        <f t="shared" ca="1" si="15"/>
        <v>#VALUE!</v>
      </c>
      <c r="D90" s="127" t="e">
        <f t="shared" ref="D90:G90" ca="1" si="17">D64-D25</f>
        <v>#VALUE!</v>
      </c>
      <c r="E90" s="127" t="e">
        <f t="shared" ca="1" si="17"/>
        <v>#VALUE!</v>
      </c>
      <c r="F90" s="127" t="e">
        <f t="shared" ca="1" si="17"/>
        <v>#VALUE!</v>
      </c>
      <c r="G90" s="127" t="e">
        <f t="shared" ca="1" si="17"/>
        <v>#VALUE!</v>
      </c>
    </row>
    <row r="91" spans="1:7" x14ac:dyDescent="0.25">
      <c r="A91" t="s">
        <v>727</v>
      </c>
      <c r="B91" t="s">
        <v>582</v>
      </c>
      <c r="C91" s="127" t="e">
        <f t="shared" ca="1" si="15"/>
        <v>#VALUE!</v>
      </c>
      <c r="D91" s="127" t="e">
        <f t="shared" ref="D91:G91" ca="1" si="18">D65-D26</f>
        <v>#VALUE!</v>
      </c>
      <c r="E91" s="127" t="e">
        <f t="shared" ca="1" si="18"/>
        <v>#VALUE!</v>
      </c>
      <c r="F91" s="127" t="e">
        <f t="shared" ca="1" si="18"/>
        <v>#VALUE!</v>
      </c>
      <c r="G91" s="127" t="e">
        <f t="shared" ca="1" si="18"/>
        <v>#VALUE!</v>
      </c>
    </row>
    <row r="92" spans="1:7" x14ac:dyDescent="0.25">
      <c r="B92" t="s">
        <v>704</v>
      </c>
      <c r="C92" s="127" t="e">
        <f t="shared" ca="1" si="15"/>
        <v>#VALUE!</v>
      </c>
      <c r="D92" s="127" t="e">
        <f t="shared" ref="D92:G92" ca="1" si="19">D66-D27</f>
        <v>#VALUE!</v>
      </c>
      <c r="E92" s="127" t="e">
        <f t="shared" ca="1" si="19"/>
        <v>#VALUE!</v>
      </c>
      <c r="F92" s="127" t="e">
        <f t="shared" ca="1" si="19"/>
        <v>#VALUE!</v>
      </c>
      <c r="G92" s="127" t="e">
        <f t="shared" ca="1" si="19"/>
        <v>#VALUE!</v>
      </c>
    </row>
    <row r="93" spans="1:7" x14ac:dyDescent="0.25">
      <c r="B93" t="s">
        <v>705</v>
      </c>
      <c r="C93" s="127" t="e">
        <f t="shared" ca="1" si="15"/>
        <v>#VALUE!</v>
      </c>
      <c r="D93" s="127" t="e">
        <f t="shared" ref="D93:G93" ca="1" si="20">D67-D28</f>
        <v>#VALUE!</v>
      </c>
      <c r="E93" s="127" t="e">
        <f t="shared" ca="1" si="20"/>
        <v>#VALUE!</v>
      </c>
      <c r="F93" s="127" t="e">
        <f t="shared" ca="1" si="20"/>
        <v>#VALUE!</v>
      </c>
      <c r="G93" s="127" t="e">
        <f t="shared" ca="1" si="20"/>
        <v>#VALUE!</v>
      </c>
    </row>
    <row r="94" spans="1:7" x14ac:dyDescent="0.25">
      <c r="B94" t="s">
        <v>706</v>
      </c>
      <c r="C94" s="127" t="e">
        <f t="shared" ca="1" si="15"/>
        <v>#VALUE!</v>
      </c>
      <c r="D94" s="127" t="e">
        <f t="shared" ref="D94:G94" ca="1" si="21">D68-D29</f>
        <v>#VALUE!</v>
      </c>
      <c r="E94" s="127" t="e">
        <f t="shared" ca="1" si="21"/>
        <v>#VALUE!</v>
      </c>
      <c r="F94" s="127" t="e">
        <f t="shared" ca="1" si="21"/>
        <v>#VALUE!</v>
      </c>
      <c r="G94" s="127" t="e">
        <f t="shared" ca="1" si="21"/>
        <v>#VALUE!</v>
      </c>
    </row>
    <row r="95" spans="1:7" x14ac:dyDescent="0.25">
      <c r="B95" t="s">
        <v>462</v>
      </c>
      <c r="C95" s="127" t="e">
        <f ca="1">SUM(C92:C94)</f>
        <v>#VALUE!</v>
      </c>
      <c r="D95" s="127" t="e">
        <f t="shared" ref="D95:G95" ca="1" si="22">SUM(D92:D94)</f>
        <v>#VALUE!</v>
      </c>
      <c r="E95" s="127" t="e">
        <f t="shared" ca="1" si="22"/>
        <v>#VALUE!</v>
      </c>
      <c r="F95" s="127" t="e">
        <f t="shared" ca="1" si="22"/>
        <v>#VALUE!</v>
      </c>
      <c r="G95" s="127" t="e">
        <f t="shared" ca="1" si="22"/>
        <v>#VALUE!</v>
      </c>
    </row>
    <row r="96" spans="1:7" x14ac:dyDescent="0.25">
      <c r="B96" t="s">
        <v>707</v>
      </c>
      <c r="C96" s="127" t="e">
        <f ca="1">C69-C30</f>
        <v>#VALUE!</v>
      </c>
      <c r="D96" s="127" t="e">
        <f t="shared" ref="D96:G96" ca="1" si="23">D69-D30</f>
        <v>#VALUE!</v>
      </c>
      <c r="E96" s="127" t="e">
        <f t="shared" ca="1" si="23"/>
        <v>#VALUE!</v>
      </c>
      <c r="F96" s="127" t="e">
        <f t="shared" ca="1" si="23"/>
        <v>#VALUE!</v>
      </c>
      <c r="G96" s="127" t="e">
        <f t="shared" ca="1" si="23"/>
        <v>#VALUE!</v>
      </c>
    </row>
    <row r="97" spans="1:7" x14ac:dyDescent="0.25">
      <c r="B97" t="s">
        <v>708</v>
      </c>
      <c r="C97" s="127" t="e">
        <f t="shared" ref="C97:G99" ca="1" si="24">C70-C31</f>
        <v>#VALUE!</v>
      </c>
      <c r="D97" s="127" t="e">
        <f t="shared" ca="1" si="24"/>
        <v>#VALUE!</v>
      </c>
      <c r="E97" s="127" t="e">
        <f t="shared" ca="1" si="24"/>
        <v>#VALUE!</v>
      </c>
      <c r="F97" s="127" t="e">
        <f t="shared" ca="1" si="24"/>
        <v>#VALUE!</v>
      </c>
      <c r="G97" s="127" t="e">
        <f t="shared" ca="1" si="24"/>
        <v>#VALUE!</v>
      </c>
    </row>
    <row r="98" spans="1:7" x14ac:dyDescent="0.25">
      <c r="B98" t="s">
        <v>709</v>
      </c>
      <c r="C98" s="127" t="e">
        <f t="shared" ca="1" si="24"/>
        <v>#VALUE!</v>
      </c>
      <c r="D98" s="127" t="e">
        <f t="shared" ca="1" si="24"/>
        <v>#VALUE!</v>
      </c>
      <c r="E98" s="127" t="e">
        <f t="shared" ca="1" si="24"/>
        <v>#VALUE!</v>
      </c>
      <c r="F98" s="127" t="e">
        <f t="shared" ca="1" si="24"/>
        <v>#VALUE!</v>
      </c>
      <c r="G98" s="127" t="e">
        <f t="shared" ca="1" si="24"/>
        <v>#VALUE!</v>
      </c>
    </row>
    <row r="99" spans="1:7" x14ac:dyDescent="0.25">
      <c r="B99" t="s">
        <v>710</v>
      </c>
      <c r="C99" s="127" t="e">
        <f t="shared" ca="1" si="24"/>
        <v>#VALUE!</v>
      </c>
      <c r="D99" s="127" t="e">
        <f t="shared" ca="1" si="24"/>
        <v>#VALUE!</v>
      </c>
      <c r="E99" s="127" t="e">
        <f t="shared" ca="1" si="24"/>
        <v>#VALUE!</v>
      </c>
      <c r="F99" s="127" t="e">
        <f t="shared" ca="1" si="24"/>
        <v>#VALUE!</v>
      </c>
      <c r="G99" s="127" t="e">
        <f t="shared" ca="1" si="24"/>
        <v>#VALUE!</v>
      </c>
    </row>
    <row r="100" spans="1:7" x14ac:dyDescent="0.25">
      <c r="B100" t="s">
        <v>701</v>
      </c>
      <c r="C100" s="127" t="e">
        <f ca="1">SUM(C96:C99)</f>
        <v>#VALUE!</v>
      </c>
      <c r="D100" s="127" t="e">
        <f t="shared" ref="D100:G100" ca="1" si="25">SUM(D96:D99)</f>
        <v>#VALUE!</v>
      </c>
      <c r="E100" s="127" t="e">
        <f t="shared" ca="1" si="25"/>
        <v>#VALUE!</v>
      </c>
      <c r="F100" s="127" t="e">
        <f t="shared" ca="1" si="25"/>
        <v>#VALUE!</v>
      </c>
      <c r="G100" s="127" t="e">
        <f t="shared" ca="1" si="25"/>
        <v>#VALUE!</v>
      </c>
    </row>
    <row r="101" spans="1:7" x14ac:dyDescent="0.25">
      <c r="A101" t="s">
        <v>728</v>
      </c>
      <c r="B101" t="s">
        <v>176</v>
      </c>
      <c r="C101" s="127" t="e">
        <f ca="1">C73-C34</f>
        <v>#VALUE!</v>
      </c>
      <c r="D101" s="127" t="e">
        <f t="shared" ref="D101:G101" ca="1" si="26">D73-D34</f>
        <v>#VALUE!</v>
      </c>
      <c r="E101" s="127" t="e">
        <f t="shared" ca="1" si="26"/>
        <v>#VALUE!</v>
      </c>
      <c r="F101" s="127" t="e">
        <f t="shared" ca="1" si="26"/>
        <v>#VALUE!</v>
      </c>
      <c r="G101" s="127" t="e">
        <f t="shared" ca="1" si="26"/>
        <v>#VALUE!</v>
      </c>
    </row>
    <row r="102" spans="1:7" x14ac:dyDescent="0.25">
      <c r="B102" t="s">
        <v>711</v>
      </c>
      <c r="C102" s="127" t="e">
        <f t="shared" ref="C102:G106" ca="1" si="27">C74-C35</f>
        <v>#VALUE!</v>
      </c>
      <c r="D102" s="127" t="e">
        <f t="shared" ca="1" si="27"/>
        <v>#VALUE!</v>
      </c>
      <c r="E102" s="127" t="e">
        <f t="shared" ca="1" si="27"/>
        <v>#VALUE!</v>
      </c>
      <c r="F102" s="127" t="e">
        <f t="shared" ca="1" si="27"/>
        <v>#VALUE!</v>
      </c>
      <c r="G102" s="127" t="e">
        <f t="shared" ca="1" si="27"/>
        <v>#VALUE!</v>
      </c>
    </row>
    <row r="103" spans="1:7" x14ac:dyDescent="0.25">
      <c r="B103" t="s">
        <v>712</v>
      </c>
      <c r="C103" s="127" t="e">
        <f t="shared" ca="1" si="27"/>
        <v>#VALUE!</v>
      </c>
      <c r="D103" s="127" t="e">
        <f t="shared" ca="1" si="27"/>
        <v>#VALUE!</v>
      </c>
      <c r="E103" s="127" t="e">
        <f t="shared" ca="1" si="27"/>
        <v>#VALUE!</v>
      </c>
      <c r="F103" s="127" t="e">
        <f t="shared" ca="1" si="27"/>
        <v>#VALUE!</v>
      </c>
      <c r="G103" s="127" t="e">
        <f t="shared" ca="1" si="27"/>
        <v>#VALUE!</v>
      </c>
    </row>
    <row r="104" spans="1:7" x14ac:dyDescent="0.25">
      <c r="B104" t="s">
        <v>713</v>
      </c>
      <c r="C104" s="127" t="e">
        <f t="shared" ca="1" si="27"/>
        <v>#VALUE!</v>
      </c>
      <c r="D104" s="127" t="e">
        <f t="shared" ca="1" si="27"/>
        <v>#VALUE!</v>
      </c>
      <c r="E104" s="127" t="e">
        <f t="shared" ca="1" si="27"/>
        <v>#VALUE!</v>
      </c>
      <c r="F104" s="127" t="e">
        <f t="shared" ca="1" si="27"/>
        <v>#VALUE!</v>
      </c>
      <c r="G104" s="127" t="e">
        <f t="shared" ca="1" si="27"/>
        <v>#VALUE!</v>
      </c>
    </row>
    <row r="105" spans="1:7" x14ac:dyDescent="0.25">
      <c r="B105" t="s">
        <v>714</v>
      </c>
      <c r="C105" s="127" t="e">
        <f t="shared" ca="1" si="27"/>
        <v>#VALUE!</v>
      </c>
      <c r="D105" s="127" t="e">
        <f t="shared" ca="1" si="27"/>
        <v>#VALUE!</v>
      </c>
      <c r="E105" s="127" t="e">
        <f t="shared" ca="1" si="27"/>
        <v>#VALUE!</v>
      </c>
      <c r="F105" s="127" t="e">
        <f t="shared" ca="1" si="27"/>
        <v>#VALUE!</v>
      </c>
      <c r="G105" s="127" t="e">
        <f t="shared" ca="1" si="27"/>
        <v>#VALUE!</v>
      </c>
    </row>
    <row r="106" spans="1:7" x14ac:dyDescent="0.25">
      <c r="B106" t="s">
        <v>715</v>
      </c>
      <c r="C106" s="127" t="e">
        <f t="shared" ca="1" si="27"/>
        <v>#VALUE!</v>
      </c>
      <c r="D106" s="127" t="e">
        <f t="shared" ca="1" si="27"/>
        <v>#VALUE!</v>
      </c>
      <c r="E106" s="127" t="e">
        <f t="shared" ca="1" si="27"/>
        <v>#VALUE!</v>
      </c>
      <c r="F106" s="127" t="e">
        <f t="shared" ca="1" si="27"/>
        <v>#VALUE!</v>
      </c>
      <c r="G106" s="127" t="e">
        <f t="shared" ca="1" si="27"/>
        <v>#VALUE!</v>
      </c>
    </row>
    <row r="107" spans="1:7" x14ac:dyDescent="0.25">
      <c r="B107" t="s">
        <v>700</v>
      </c>
      <c r="C107" s="127" t="e">
        <f ca="1">SUM(C102:C106)</f>
        <v>#VALUE!</v>
      </c>
      <c r="D107" s="127" t="e">
        <f t="shared" ref="D107:G107" ca="1" si="28">SUM(D102:D106)</f>
        <v>#VALUE!</v>
      </c>
      <c r="E107" s="127" t="e">
        <f t="shared" ca="1" si="28"/>
        <v>#VALUE!</v>
      </c>
      <c r="F107" s="127" t="e">
        <f t="shared" ca="1" si="28"/>
        <v>#VALUE!</v>
      </c>
      <c r="G107" s="127" t="e">
        <f t="shared" ca="1" si="28"/>
        <v>#VALUE!</v>
      </c>
    </row>
    <row r="108" spans="1:7" x14ac:dyDescent="0.25">
      <c r="B108" t="s">
        <v>716</v>
      </c>
      <c r="C108" s="127" t="e">
        <f ca="1">C60-C21</f>
        <v>#VALUE!</v>
      </c>
      <c r="D108" s="127" t="e">
        <f t="shared" ref="D108:G108" ca="1" si="29">D60-D21</f>
        <v>#VALUE!</v>
      </c>
      <c r="E108" s="127" t="e">
        <f t="shared" ca="1" si="29"/>
        <v>#VALUE!</v>
      </c>
      <c r="F108" s="127" t="e">
        <f t="shared" ca="1" si="29"/>
        <v>#VALUE!</v>
      </c>
      <c r="G108" s="127" t="e">
        <f t="shared" ca="1" si="29"/>
        <v>#VALUE!</v>
      </c>
    </row>
    <row r="109" spans="1:7" x14ac:dyDescent="0.25">
      <c r="B109" t="s">
        <v>717</v>
      </c>
      <c r="C109" s="127" t="e">
        <f ca="1">C61-C22</f>
        <v>#VALUE!</v>
      </c>
      <c r="D109" s="127" t="e">
        <f t="shared" ref="D109:G109" ca="1" si="30">D61-D22</f>
        <v>#VALUE!</v>
      </c>
      <c r="E109" s="127" t="e">
        <f t="shared" ca="1" si="30"/>
        <v>#VALUE!</v>
      </c>
      <c r="F109" s="127" t="e">
        <f t="shared" ca="1" si="30"/>
        <v>#VALUE!</v>
      </c>
      <c r="G109" s="127" t="e">
        <f t="shared" ca="1" si="30"/>
        <v>#VALUE!</v>
      </c>
    </row>
    <row r="110" spans="1:7" x14ac:dyDescent="0.25">
      <c r="B110" t="s">
        <v>729</v>
      </c>
      <c r="C110" s="127" t="e">
        <f ca="1">SUM(C108:C109)</f>
        <v>#VALUE!</v>
      </c>
      <c r="D110" s="127" t="e">
        <f t="shared" ref="D110:G110" ca="1" si="31">SUM(D108:D109)</f>
        <v>#VALUE!</v>
      </c>
      <c r="E110" s="127" t="e">
        <f t="shared" ca="1" si="31"/>
        <v>#VALUE!</v>
      </c>
      <c r="F110" s="127" t="e">
        <f t="shared" ca="1" si="31"/>
        <v>#VALUE!</v>
      </c>
      <c r="G110" s="127" t="e">
        <f t="shared" ca="1" si="31"/>
        <v>#VALUE!</v>
      </c>
    </row>
    <row r="111" spans="1:7" x14ac:dyDescent="0.25">
      <c r="B111" t="s">
        <v>734</v>
      </c>
      <c r="C111" s="127" t="e">
        <f ca="1">C45-C6</f>
        <v>#VALUE!</v>
      </c>
      <c r="D111" s="127" t="e">
        <f t="shared" ref="D111:G111" ca="1" si="32">D45-D6</f>
        <v>#VALUE!</v>
      </c>
      <c r="E111" s="127" t="e">
        <f t="shared" ca="1" si="32"/>
        <v>#VALUE!</v>
      </c>
      <c r="F111" s="127" t="e">
        <f t="shared" ca="1" si="32"/>
        <v>#VALUE!</v>
      </c>
      <c r="G111" s="127" t="e">
        <f t="shared" ca="1" si="32"/>
        <v>#VALUE!</v>
      </c>
    </row>
    <row r="112" spans="1:7" x14ac:dyDescent="0.25">
      <c r="B112" t="s">
        <v>735</v>
      </c>
      <c r="C112" s="127" t="e">
        <f t="shared" ref="C112:G119" ca="1" si="33">C46-C7</f>
        <v>#VALUE!</v>
      </c>
      <c r="D112" s="127" t="e">
        <f t="shared" ca="1" si="33"/>
        <v>#VALUE!</v>
      </c>
      <c r="E112" s="127" t="e">
        <f t="shared" ca="1" si="33"/>
        <v>#VALUE!</v>
      </c>
      <c r="F112" s="127" t="e">
        <f t="shared" ca="1" si="33"/>
        <v>#VALUE!</v>
      </c>
      <c r="G112" s="127" t="e">
        <f t="shared" ca="1" si="33"/>
        <v>#VALUE!</v>
      </c>
    </row>
    <row r="113" spans="2:7" x14ac:dyDescent="0.25">
      <c r="B113" t="s">
        <v>736</v>
      </c>
      <c r="C113" s="127" t="e">
        <f t="shared" ca="1" si="33"/>
        <v>#VALUE!</v>
      </c>
      <c r="D113" s="127" t="e">
        <f t="shared" ca="1" si="33"/>
        <v>#VALUE!</v>
      </c>
      <c r="E113" s="127" t="e">
        <f t="shared" ca="1" si="33"/>
        <v>#VALUE!</v>
      </c>
      <c r="F113" s="127" t="e">
        <f t="shared" ca="1" si="33"/>
        <v>#VALUE!</v>
      </c>
      <c r="G113" s="127" t="e">
        <f t="shared" ca="1" si="33"/>
        <v>#VALUE!</v>
      </c>
    </row>
    <row r="114" spans="2:7" x14ac:dyDescent="0.25">
      <c r="B114" t="s">
        <v>737</v>
      </c>
      <c r="C114" s="127" t="e">
        <f t="shared" ca="1" si="33"/>
        <v>#VALUE!</v>
      </c>
      <c r="D114" s="127" t="e">
        <f t="shared" ca="1" si="33"/>
        <v>#VALUE!</v>
      </c>
      <c r="E114" s="127" t="e">
        <f t="shared" ca="1" si="33"/>
        <v>#VALUE!</v>
      </c>
      <c r="F114" s="127" t="e">
        <f t="shared" ca="1" si="33"/>
        <v>#VALUE!</v>
      </c>
      <c r="G114" s="127" t="e">
        <f t="shared" ca="1" si="33"/>
        <v>#VALUE!</v>
      </c>
    </row>
    <row r="115" spans="2:7" x14ac:dyDescent="0.25">
      <c r="B115" t="s">
        <v>738</v>
      </c>
      <c r="C115" s="127" t="e">
        <f t="shared" ca="1" si="33"/>
        <v>#VALUE!</v>
      </c>
      <c r="D115" s="127" t="e">
        <f t="shared" ca="1" si="33"/>
        <v>#VALUE!</v>
      </c>
      <c r="E115" s="127" t="e">
        <f t="shared" ca="1" si="33"/>
        <v>#VALUE!</v>
      </c>
      <c r="F115" s="127" t="e">
        <f t="shared" ca="1" si="33"/>
        <v>#VALUE!</v>
      </c>
      <c r="G115" s="127" t="e">
        <f t="shared" ca="1" si="33"/>
        <v>#VALUE!</v>
      </c>
    </row>
    <row r="116" spans="2:7" x14ac:dyDescent="0.25">
      <c r="B116" t="s">
        <v>730</v>
      </c>
      <c r="C116" s="127" t="e">
        <f t="shared" ca="1" si="33"/>
        <v>#VALUE!</v>
      </c>
      <c r="D116" s="127" t="e">
        <f t="shared" ca="1" si="33"/>
        <v>#VALUE!</v>
      </c>
      <c r="E116" s="127" t="e">
        <f t="shared" ca="1" si="33"/>
        <v>#VALUE!</v>
      </c>
      <c r="F116" s="127" t="e">
        <f t="shared" ca="1" si="33"/>
        <v>#VALUE!</v>
      </c>
      <c r="G116" s="127" t="e">
        <f t="shared" ca="1" si="33"/>
        <v>#VALUE!</v>
      </c>
    </row>
    <row r="117" spans="2:7" x14ac:dyDescent="0.25">
      <c r="B117" t="s">
        <v>731</v>
      </c>
      <c r="C117" s="127" t="e">
        <f t="shared" ca="1" si="33"/>
        <v>#VALUE!</v>
      </c>
      <c r="D117" s="127" t="e">
        <f t="shared" ca="1" si="33"/>
        <v>#VALUE!</v>
      </c>
      <c r="E117" s="127" t="e">
        <f t="shared" ca="1" si="33"/>
        <v>#VALUE!</v>
      </c>
      <c r="F117" s="127" t="e">
        <f t="shared" ca="1" si="33"/>
        <v>#VALUE!</v>
      </c>
      <c r="G117" s="127" t="e">
        <f t="shared" ca="1" si="33"/>
        <v>#VALUE!</v>
      </c>
    </row>
    <row r="118" spans="2:7" x14ac:dyDescent="0.25">
      <c r="B118" t="s">
        <v>732</v>
      </c>
      <c r="C118" s="127" t="e">
        <f t="shared" ca="1" si="33"/>
        <v>#VALUE!</v>
      </c>
      <c r="D118" s="127" t="e">
        <f t="shared" ca="1" si="33"/>
        <v>#VALUE!</v>
      </c>
      <c r="E118" s="127" t="e">
        <f t="shared" ca="1" si="33"/>
        <v>#VALUE!</v>
      </c>
      <c r="F118" s="127" t="e">
        <f t="shared" ca="1" si="33"/>
        <v>#VALUE!</v>
      </c>
      <c r="G118" s="127" t="e">
        <f t="shared" ca="1" si="33"/>
        <v>#VALUE!</v>
      </c>
    </row>
    <row r="119" spans="2:7" x14ac:dyDescent="0.25">
      <c r="B119" t="s">
        <v>733</v>
      </c>
      <c r="C119" s="127" t="e">
        <f t="shared" ca="1" si="33"/>
        <v>#VALUE!</v>
      </c>
      <c r="D119" s="127" t="e">
        <f t="shared" ca="1" si="33"/>
        <v>#VALUE!</v>
      </c>
      <c r="E119" s="127" t="e">
        <f t="shared" ca="1" si="33"/>
        <v>#VALUE!</v>
      </c>
      <c r="F119" s="127" t="e">
        <f t="shared" ca="1" si="33"/>
        <v>#VALUE!</v>
      </c>
      <c r="G119" s="127" t="e">
        <f t="shared" ca="1" si="33"/>
        <v>#VALUE!</v>
      </c>
    </row>
    <row r="120" spans="2:7" x14ac:dyDescent="0.25">
      <c r="B120" t="s">
        <v>739</v>
      </c>
      <c r="C120" s="127" t="e">
        <f ca="1">C58-C19</f>
        <v>#VALUE!</v>
      </c>
      <c r="D120" s="127" t="e">
        <f t="shared" ref="D120:G120" ca="1" si="34">D58-D19</f>
        <v>#VALUE!</v>
      </c>
      <c r="E120" s="127" t="e">
        <f t="shared" ca="1" si="34"/>
        <v>#VALUE!</v>
      </c>
      <c r="F120" s="127" t="e">
        <f t="shared" ca="1" si="34"/>
        <v>#VALUE!</v>
      </c>
      <c r="G120" s="127" t="e">
        <f t="shared" ca="1" si="34"/>
        <v>#VALUE!</v>
      </c>
    </row>
    <row r="121" spans="2:7" x14ac:dyDescent="0.25">
      <c r="B121" t="s">
        <v>740</v>
      </c>
      <c r="C121" s="127" t="e">
        <f ca="1">C59-C20</f>
        <v>#VALUE!</v>
      </c>
      <c r="D121" s="127" t="e">
        <f t="shared" ref="D121:G121" ca="1" si="35">D59-D20</f>
        <v>#VALUE!</v>
      </c>
      <c r="E121" s="127" t="e">
        <f t="shared" ca="1" si="35"/>
        <v>#VALUE!</v>
      </c>
      <c r="F121" s="127" t="e">
        <f t="shared" ca="1" si="35"/>
        <v>#VALUE!</v>
      </c>
      <c r="G121" s="127" t="e">
        <f t="shared" ca="1" si="35"/>
        <v>#VALUE!</v>
      </c>
    </row>
    <row r="122" spans="2:7" x14ac:dyDescent="0.25">
      <c r="B122" t="s">
        <v>361</v>
      </c>
      <c r="C122" s="127" t="e">
        <f ca="1">SUM(C111:C121)</f>
        <v>#VALUE!</v>
      </c>
      <c r="D122" s="127" t="e">
        <f t="shared" ref="D122:G122" ca="1" si="36">SUM(D111:D121)</f>
        <v>#VALUE!</v>
      </c>
      <c r="E122" s="127" t="e">
        <f t="shared" ca="1" si="36"/>
        <v>#VALUE!</v>
      </c>
      <c r="F122" s="127" t="e">
        <f t="shared" ca="1" si="36"/>
        <v>#VALUE!</v>
      </c>
      <c r="G122" s="127" t="e">
        <f t="shared" ca="1" si="36"/>
        <v>#VALUE!</v>
      </c>
    </row>
    <row r="123" spans="2:7" x14ac:dyDescent="0.25">
      <c r="B123" s="1" t="s">
        <v>166</v>
      </c>
      <c r="C123" s="131" t="e">
        <f ca="1">SUM(C82:C91)+C95+C100+C101+C107+C110+C122</f>
        <v>#VALUE!</v>
      </c>
      <c r="D123" s="131" t="e">
        <f t="shared" ref="D123:G123" ca="1" si="37">SUM(D82:D91)+D95+D100+D101+D107+D110+D122</f>
        <v>#VALUE!</v>
      </c>
      <c r="E123" s="131" t="e">
        <f t="shared" ca="1" si="37"/>
        <v>#VALUE!</v>
      </c>
      <c r="F123" s="131" t="e">
        <f t="shared" ca="1" si="37"/>
        <v>#VALUE!</v>
      </c>
      <c r="G123" s="131" t="e">
        <f t="shared" ca="1" si="37"/>
        <v>#VALUE!</v>
      </c>
    </row>
    <row r="124" spans="2:7" x14ac:dyDescent="0.25">
      <c r="B124" s="130" t="s">
        <v>741</v>
      </c>
      <c r="C124" s="129" t="e">
        <f ca="1">C123-C81</f>
        <v>#VALUE!</v>
      </c>
      <c r="D124" s="129" t="e">
        <f t="shared" ref="D124:G124" ca="1" si="38">D123-D81</f>
        <v>#VALUE!</v>
      </c>
      <c r="E124" s="129" t="e">
        <f t="shared" ca="1" si="38"/>
        <v>#VALUE!</v>
      </c>
      <c r="F124" s="129" t="e">
        <f t="shared" ca="1" si="38"/>
        <v>#VALUE!</v>
      </c>
      <c r="G124" s="129" t="e">
        <f t="shared" ca="1" si="38"/>
        <v>#VALUE!</v>
      </c>
    </row>
    <row r="126" spans="2:7" x14ac:dyDescent="0.25">
      <c r="B126" t="s">
        <v>742</v>
      </c>
      <c r="C126" s="127" t="e">
        <f ca="1">C82+C83</f>
        <v>#VALUE!</v>
      </c>
      <c r="D126" s="127" t="e">
        <f ca="1">D82+D83</f>
        <v>#VALUE!</v>
      </c>
      <c r="E126" s="127" t="e">
        <f ca="1">E82+E83</f>
        <v>#VALUE!</v>
      </c>
      <c r="F126" s="127" t="e">
        <f ca="1">F82+F83</f>
        <v>#VALUE!</v>
      </c>
      <c r="G126" s="127" t="e">
        <f ca="1">G82+G83</f>
        <v>#VALUE!</v>
      </c>
    </row>
    <row r="127" spans="2:7" x14ac:dyDescent="0.25">
      <c r="B127" t="s">
        <v>692</v>
      </c>
      <c r="C127" s="127" t="e">
        <f t="shared" ref="C127:G128" ca="1" si="39">C84</f>
        <v>#VALUE!</v>
      </c>
      <c r="D127" s="127" t="e">
        <f t="shared" ca="1" si="39"/>
        <v>#VALUE!</v>
      </c>
      <c r="E127" s="127" t="e">
        <f t="shared" ca="1" si="39"/>
        <v>#VALUE!</v>
      </c>
      <c r="F127" s="127" t="e">
        <f t="shared" ca="1" si="39"/>
        <v>#VALUE!</v>
      </c>
      <c r="G127" s="127" t="e">
        <f t="shared" ca="1" si="39"/>
        <v>#VALUE!</v>
      </c>
    </row>
    <row r="128" spans="2:7" x14ac:dyDescent="0.25">
      <c r="B128" t="s">
        <v>693</v>
      </c>
      <c r="C128" s="127" t="e">
        <f t="shared" ca="1" si="39"/>
        <v>#VALUE!</v>
      </c>
      <c r="D128" s="127" t="e">
        <f t="shared" ca="1" si="39"/>
        <v>#VALUE!</v>
      </c>
      <c r="E128" s="127" t="e">
        <f t="shared" ca="1" si="39"/>
        <v>#VALUE!</v>
      </c>
      <c r="F128" s="127" t="e">
        <f t="shared" ca="1" si="39"/>
        <v>#VALUE!</v>
      </c>
      <c r="G128" s="127" t="e">
        <f t="shared" ca="1" si="39"/>
        <v>#VALUE!</v>
      </c>
    </row>
    <row r="129" spans="2:8" x14ac:dyDescent="0.25">
      <c r="B129" t="s">
        <v>579</v>
      </c>
      <c r="C129" s="127" t="e">
        <f ca="1">C86+C87</f>
        <v>#VALUE!</v>
      </c>
      <c r="D129" s="127" t="e">
        <f ca="1">D86+D87</f>
        <v>#VALUE!</v>
      </c>
      <c r="E129" s="127" t="e">
        <f ca="1">E86+E87</f>
        <v>#VALUE!</v>
      </c>
      <c r="F129" s="127" t="e">
        <f ca="1">F86+F87</f>
        <v>#VALUE!</v>
      </c>
      <c r="G129" s="127" t="e">
        <f ca="1">G86+G87</f>
        <v>#VALUE!</v>
      </c>
    </row>
    <row r="130" spans="2:8" x14ac:dyDescent="0.25">
      <c r="B130" t="s">
        <v>694</v>
      </c>
      <c r="C130" s="127" t="e">
        <f ca="1">C88</f>
        <v>#VALUE!</v>
      </c>
      <c r="D130" s="127" t="e">
        <f ca="1">D88</f>
        <v>#VALUE!</v>
      </c>
      <c r="E130" s="127" t="e">
        <f ca="1">E88</f>
        <v>#VALUE!</v>
      </c>
      <c r="F130" s="127" t="e">
        <f ca="1">F88</f>
        <v>#VALUE!</v>
      </c>
      <c r="G130" s="127" t="e">
        <f ca="1">G88</f>
        <v>#VALUE!</v>
      </c>
    </row>
    <row r="131" spans="2:8" x14ac:dyDescent="0.25">
      <c r="B131" t="s">
        <v>696</v>
      </c>
      <c r="C131" s="127" t="e">
        <f ca="1">C89+C101</f>
        <v>#VALUE!</v>
      </c>
      <c r="D131" s="127" t="e">
        <f ca="1">D89+D101</f>
        <v>#VALUE!</v>
      </c>
      <c r="E131" s="127" t="e">
        <f ca="1">E89+E101</f>
        <v>#VALUE!</v>
      </c>
      <c r="F131" s="127" t="e">
        <f ca="1">F89+F101</f>
        <v>#VALUE!</v>
      </c>
      <c r="G131" s="127" t="e">
        <f ca="1">G89+G101</f>
        <v>#VALUE!</v>
      </c>
    </row>
    <row r="132" spans="2:8" x14ac:dyDescent="0.25">
      <c r="B132" t="s">
        <v>183</v>
      </c>
      <c r="C132" s="127" t="e">
        <f t="shared" ref="C132:G133" ca="1" si="40">C90</f>
        <v>#VALUE!</v>
      </c>
      <c r="D132" s="127" t="e">
        <f t="shared" ca="1" si="40"/>
        <v>#VALUE!</v>
      </c>
      <c r="E132" s="127" t="e">
        <f t="shared" ca="1" si="40"/>
        <v>#VALUE!</v>
      </c>
      <c r="F132" s="127" t="e">
        <f t="shared" ca="1" si="40"/>
        <v>#VALUE!</v>
      </c>
      <c r="G132" s="127" t="e">
        <f t="shared" ca="1" si="40"/>
        <v>#VALUE!</v>
      </c>
    </row>
    <row r="133" spans="2:8" x14ac:dyDescent="0.25">
      <c r="B133" t="s">
        <v>461</v>
      </c>
      <c r="C133" s="127" t="e">
        <f t="shared" ca="1" si="40"/>
        <v>#VALUE!</v>
      </c>
      <c r="D133" s="127" t="e">
        <f t="shared" ca="1" si="40"/>
        <v>#VALUE!</v>
      </c>
      <c r="E133" s="127" t="e">
        <f t="shared" ca="1" si="40"/>
        <v>#VALUE!</v>
      </c>
      <c r="F133" s="127" t="e">
        <f t="shared" ca="1" si="40"/>
        <v>#VALUE!</v>
      </c>
      <c r="G133" s="127" t="e">
        <f t="shared" ca="1" si="40"/>
        <v>#VALUE!</v>
      </c>
    </row>
    <row r="134" spans="2:8" x14ac:dyDescent="0.25">
      <c r="B134" t="s">
        <v>462</v>
      </c>
      <c r="C134" s="127" t="e">
        <f ca="1">C95</f>
        <v>#VALUE!</v>
      </c>
      <c r="D134" s="127" t="e">
        <f ca="1">D95</f>
        <v>#VALUE!</v>
      </c>
      <c r="E134" s="127" t="e">
        <f ca="1">E95</f>
        <v>#VALUE!</v>
      </c>
      <c r="F134" s="127" t="e">
        <f ca="1">F95</f>
        <v>#VALUE!</v>
      </c>
      <c r="G134" s="127" t="e">
        <f ca="1">G95</f>
        <v>#VALUE!</v>
      </c>
    </row>
    <row r="135" spans="2:8" x14ac:dyDescent="0.25">
      <c r="B135" t="s">
        <v>699</v>
      </c>
      <c r="C135" s="127" t="e">
        <f ca="1">C100</f>
        <v>#VALUE!</v>
      </c>
      <c r="D135" s="127" t="e">
        <f ca="1">D100</f>
        <v>#VALUE!</v>
      </c>
      <c r="E135" s="127" t="e">
        <f ca="1">E100</f>
        <v>#VALUE!</v>
      </c>
      <c r="F135" s="127" t="e">
        <f ca="1">F100</f>
        <v>#VALUE!</v>
      </c>
      <c r="G135" s="127" t="e">
        <f ca="1">G100</f>
        <v>#VALUE!</v>
      </c>
    </row>
    <row r="136" spans="2:8" x14ac:dyDescent="0.25">
      <c r="B136" t="s">
        <v>700</v>
      </c>
      <c r="C136" s="127" t="e">
        <f ca="1">C107</f>
        <v>#VALUE!</v>
      </c>
      <c r="D136" s="127" t="e">
        <f ca="1">D107</f>
        <v>#VALUE!</v>
      </c>
      <c r="E136" s="127" t="e">
        <f ca="1">E107</f>
        <v>#VALUE!</v>
      </c>
      <c r="F136" s="127" t="e">
        <f ca="1">F107</f>
        <v>#VALUE!</v>
      </c>
      <c r="G136" s="127" t="e">
        <f ca="1">G107</f>
        <v>#VALUE!</v>
      </c>
    </row>
    <row r="137" spans="2:8" x14ac:dyDescent="0.25">
      <c r="B137" t="s">
        <v>729</v>
      </c>
      <c r="C137" s="127" t="e">
        <f ca="1">C110</f>
        <v>#VALUE!</v>
      </c>
      <c r="D137" s="127" t="e">
        <f ca="1">D110</f>
        <v>#VALUE!</v>
      </c>
      <c r="E137" s="127" t="e">
        <f ca="1">E110</f>
        <v>#VALUE!</v>
      </c>
      <c r="F137" s="127" t="e">
        <f ca="1">F110</f>
        <v>#VALUE!</v>
      </c>
      <c r="G137" s="127" t="e">
        <f ca="1">G110</f>
        <v>#VALUE!</v>
      </c>
    </row>
    <row r="138" spans="2:8" x14ac:dyDescent="0.25">
      <c r="B138" t="s">
        <v>361</v>
      </c>
      <c r="C138" s="127" t="e">
        <f t="shared" ref="C138:D138" ca="1" si="41">C122</f>
        <v>#VALUE!</v>
      </c>
      <c r="D138" s="127" t="e">
        <f t="shared" ca="1" si="41"/>
        <v>#VALUE!</v>
      </c>
      <c r="E138" s="127" t="e">
        <f ca="1">E122</f>
        <v>#VALUE!</v>
      </c>
      <c r="F138" s="127" t="e">
        <f t="shared" ref="F138:G138" ca="1" si="42">F122</f>
        <v>#VALUE!</v>
      </c>
      <c r="G138" s="127" t="e">
        <f t="shared" ca="1" si="42"/>
        <v>#VALUE!</v>
      </c>
    </row>
    <row r="139" spans="2:8" x14ac:dyDescent="0.25">
      <c r="B139" s="1" t="s">
        <v>166</v>
      </c>
      <c r="C139" s="131" t="e">
        <f t="shared" ref="C139:D139" ca="1" si="43">SUM(C126:C138)</f>
        <v>#VALUE!</v>
      </c>
      <c r="D139" s="131" t="e">
        <f t="shared" ca="1" si="43"/>
        <v>#VALUE!</v>
      </c>
      <c r="E139" s="131" t="e">
        <f ca="1">SUM(E126:E138)</f>
        <v>#VALUE!</v>
      </c>
      <c r="F139" s="131" t="e">
        <f t="shared" ref="F139" ca="1" si="44">SUM(F126:F138)</f>
        <v>#VALUE!</v>
      </c>
      <c r="G139" s="131" t="e">
        <f t="shared" ref="G139" ca="1" si="45">SUM(G126:G138)</f>
        <v>#VALUE!</v>
      </c>
      <c r="H139" s="1"/>
    </row>
    <row r="140" spans="2:8" x14ac:dyDescent="0.25">
      <c r="B140" s="130" t="s">
        <v>741</v>
      </c>
      <c r="C140" s="129" t="e">
        <f ca="1">C139-C123</f>
        <v>#VALUE!</v>
      </c>
      <c r="D140" s="129" t="e">
        <f t="shared" ref="D140:G140" ca="1" si="46">D139-D123</f>
        <v>#VALUE!</v>
      </c>
      <c r="E140" s="129" t="e">
        <f t="shared" ca="1" si="46"/>
        <v>#VALUE!</v>
      </c>
      <c r="F140" s="129" t="e">
        <f t="shared" ca="1" si="46"/>
        <v>#VALUE!</v>
      </c>
      <c r="G140" s="129" t="e">
        <f t="shared" ca="1" si="46"/>
        <v>#VALUE!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7" tint="0.79998168889431442"/>
  </sheetPr>
  <dimension ref="A2:AU3"/>
  <sheetViews>
    <sheetView zoomScale="90" zoomScaleNormal="90" workbookViewId="0">
      <selection activeCell="L41" sqref="L41"/>
    </sheetView>
  </sheetViews>
  <sheetFormatPr baseColWidth="10" defaultRowHeight="15" x14ac:dyDescent="0.25"/>
  <cols>
    <col min="1" max="1" width="29" customWidth="1"/>
    <col min="2" max="2" width="17.28515625" hidden="1" customWidth="1"/>
    <col min="3" max="3" width="12" bestFit="1" customWidth="1"/>
  </cols>
  <sheetData>
    <row r="2" spans="1:47" ht="14.45" x14ac:dyDescent="0.35"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  <c r="O2">
        <v>2018</v>
      </c>
      <c r="P2">
        <v>2019</v>
      </c>
      <c r="Q2">
        <v>2020</v>
      </c>
      <c r="R2">
        <v>2021</v>
      </c>
      <c r="S2">
        <v>2022</v>
      </c>
      <c r="T2">
        <v>2023</v>
      </c>
      <c r="U2">
        <v>2024</v>
      </c>
      <c r="V2">
        <v>2025</v>
      </c>
      <c r="W2">
        <v>2026</v>
      </c>
      <c r="X2">
        <v>2027</v>
      </c>
      <c r="Y2">
        <v>2028</v>
      </c>
      <c r="Z2">
        <v>2029</v>
      </c>
      <c r="AA2">
        <v>2030</v>
      </c>
      <c r="AB2">
        <v>2031</v>
      </c>
      <c r="AC2">
        <v>2032</v>
      </c>
      <c r="AD2">
        <v>2033</v>
      </c>
      <c r="AE2">
        <v>2034</v>
      </c>
      <c r="AF2">
        <v>2035</v>
      </c>
      <c r="AG2">
        <v>2036</v>
      </c>
      <c r="AH2">
        <v>2037</v>
      </c>
      <c r="AI2">
        <v>2038</v>
      </c>
      <c r="AJ2">
        <v>2039</v>
      </c>
      <c r="AK2">
        <v>2040</v>
      </c>
      <c r="AL2">
        <v>2041</v>
      </c>
      <c r="AM2">
        <v>2042</v>
      </c>
      <c r="AN2">
        <v>2043</v>
      </c>
      <c r="AO2">
        <v>2044</v>
      </c>
      <c r="AP2">
        <v>2045</v>
      </c>
      <c r="AQ2">
        <v>2046</v>
      </c>
      <c r="AR2">
        <v>2047</v>
      </c>
      <c r="AS2">
        <v>2048</v>
      </c>
      <c r="AT2">
        <v>2049</v>
      </c>
      <c r="AU2">
        <v>2050</v>
      </c>
    </row>
    <row r="3" spans="1:47" ht="29.1" x14ac:dyDescent="0.35">
      <c r="A3" s="106" t="s">
        <v>311</v>
      </c>
      <c r="B3" t="s">
        <v>309</v>
      </c>
      <c r="C3" t="e">
        <f ca="1">Output($B3,"emissions",C$2)</f>
        <v>#VALUE!</v>
      </c>
      <c r="D3" t="e">
        <f t="shared" ref="D3:AU3" ca="1" si="0">Output($B3,"emissions",D$2)</f>
        <v>#VALUE!</v>
      </c>
      <c r="E3" t="e">
        <f t="shared" ca="1" si="0"/>
        <v>#VALUE!</v>
      </c>
      <c r="F3" t="e">
        <f t="shared" ca="1" si="0"/>
        <v>#VALUE!</v>
      </c>
      <c r="G3" t="e">
        <f t="shared" ca="1" si="0"/>
        <v>#VALUE!</v>
      </c>
      <c r="H3" t="e">
        <f t="shared" ca="1" si="0"/>
        <v>#VALUE!</v>
      </c>
      <c r="I3" t="e">
        <f t="shared" ca="1" si="0"/>
        <v>#VALUE!</v>
      </c>
      <c r="J3" t="e">
        <f t="shared" ca="1" si="0"/>
        <v>#VALUE!</v>
      </c>
      <c r="K3" t="e">
        <f t="shared" ca="1" si="0"/>
        <v>#VALUE!</v>
      </c>
      <c r="L3" t="e">
        <f t="shared" ca="1" si="0"/>
        <v>#VALUE!</v>
      </c>
      <c r="M3" t="e">
        <f t="shared" ca="1" si="0"/>
        <v>#VALUE!</v>
      </c>
      <c r="N3" t="e">
        <f t="shared" ca="1" si="0"/>
        <v>#VALUE!</v>
      </c>
      <c r="O3" t="e">
        <f t="shared" ca="1" si="0"/>
        <v>#VALUE!</v>
      </c>
      <c r="P3" t="e">
        <f t="shared" ca="1" si="0"/>
        <v>#VALUE!</v>
      </c>
      <c r="Q3" t="e">
        <f t="shared" ca="1" si="0"/>
        <v>#VALUE!</v>
      </c>
      <c r="R3" t="e">
        <f t="shared" ca="1" si="0"/>
        <v>#VALUE!</v>
      </c>
      <c r="S3" t="e">
        <f t="shared" ca="1" si="0"/>
        <v>#VALUE!</v>
      </c>
      <c r="T3" t="e">
        <f t="shared" ca="1" si="0"/>
        <v>#VALUE!</v>
      </c>
      <c r="U3" t="e">
        <f t="shared" ca="1" si="0"/>
        <v>#VALUE!</v>
      </c>
      <c r="V3" t="e">
        <f t="shared" ca="1" si="0"/>
        <v>#VALUE!</v>
      </c>
      <c r="W3" t="e">
        <f t="shared" ca="1" si="0"/>
        <v>#VALUE!</v>
      </c>
      <c r="X3" t="e">
        <f t="shared" ca="1" si="0"/>
        <v>#VALUE!</v>
      </c>
      <c r="Y3" t="e">
        <f t="shared" ca="1" si="0"/>
        <v>#VALUE!</v>
      </c>
      <c r="Z3" t="e">
        <f t="shared" ca="1" si="0"/>
        <v>#VALUE!</v>
      </c>
      <c r="AA3" t="e">
        <f t="shared" ca="1" si="0"/>
        <v>#VALUE!</v>
      </c>
      <c r="AB3" t="e">
        <f t="shared" ca="1" si="0"/>
        <v>#VALUE!</v>
      </c>
      <c r="AC3" t="e">
        <f t="shared" ca="1" si="0"/>
        <v>#VALUE!</v>
      </c>
      <c r="AD3" t="e">
        <f t="shared" ca="1" si="0"/>
        <v>#VALUE!</v>
      </c>
      <c r="AE3" t="e">
        <f t="shared" ca="1" si="0"/>
        <v>#VALUE!</v>
      </c>
      <c r="AF3" t="e">
        <f t="shared" ca="1" si="0"/>
        <v>#VALUE!</v>
      </c>
      <c r="AG3" t="e">
        <f t="shared" ca="1" si="0"/>
        <v>#VALUE!</v>
      </c>
      <c r="AH3" t="e">
        <f t="shared" ca="1" si="0"/>
        <v>#VALUE!</v>
      </c>
      <c r="AI3" t="e">
        <f t="shared" ca="1" si="0"/>
        <v>#VALUE!</v>
      </c>
      <c r="AJ3" t="e">
        <f t="shared" ca="1" si="0"/>
        <v>#VALUE!</v>
      </c>
      <c r="AK3" t="e">
        <f t="shared" ca="1" si="0"/>
        <v>#VALUE!</v>
      </c>
      <c r="AL3" t="e">
        <f t="shared" ca="1" si="0"/>
        <v>#VALUE!</v>
      </c>
      <c r="AM3" t="e">
        <f t="shared" ca="1" si="0"/>
        <v>#VALUE!</v>
      </c>
      <c r="AN3" t="e">
        <f t="shared" ca="1" si="0"/>
        <v>#VALUE!</v>
      </c>
      <c r="AO3" t="e">
        <f t="shared" ca="1" si="0"/>
        <v>#VALUE!</v>
      </c>
      <c r="AP3" t="e">
        <f t="shared" ca="1" si="0"/>
        <v>#VALUE!</v>
      </c>
      <c r="AQ3" t="e">
        <f t="shared" ca="1" si="0"/>
        <v>#VALUE!</v>
      </c>
      <c r="AR3" t="e">
        <f t="shared" ca="1" si="0"/>
        <v>#VALUE!</v>
      </c>
      <c r="AS3" t="e">
        <f t="shared" ca="1" si="0"/>
        <v>#VALUE!</v>
      </c>
      <c r="AT3" t="e">
        <f t="shared" ca="1" si="0"/>
        <v>#VALUE!</v>
      </c>
      <c r="AU3" t="e">
        <f t="shared" ca="1" si="0"/>
        <v>#VALUE!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0.79998168889431442"/>
  </sheetPr>
  <dimension ref="A1:AV60"/>
  <sheetViews>
    <sheetView workbookViewId="0">
      <pane xSplit="3" ySplit="1" topLeftCell="D35" activePane="bottomRight" state="frozen"/>
      <selection activeCell="L41" sqref="L41"/>
      <selection pane="topRight" activeCell="L41" sqref="L41"/>
      <selection pane="bottomLeft" activeCell="L41" sqref="L41"/>
      <selection pane="bottomRight" activeCell="L41" sqref="L41"/>
    </sheetView>
  </sheetViews>
  <sheetFormatPr baseColWidth="10" defaultRowHeight="15" x14ac:dyDescent="0.25"/>
  <cols>
    <col min="1" max="1" width="16.5703125" bestFit="1" customWidth="1"/>
    <col min="2" max="2" width="30.85546875" customWidth="1"/>
    <col min="3" max="3" width="0" hidden="1" customWidth="1"/>
  </cols>
  <sheetData>
    <row r="1" spans="2:48" ht="14.45" x14ac:dyDescent="0.35">
      <c r="D1">
        <v>2006</v>
      </c>
      <c r="E1">
        <v>2007</v>
      </c>
      <c r="F1">
        <v>2008</v>
      </c>
      <c r="G1">
        <v>2009</v>
      </c>
      <c r="H1">
        <v>2010</v>
      </c>
      <c r="I1">
        <v>2011</v>
      </c>
      <c r="J1">
        <v>2012</v>
      </c>
      <c r="K1">
        <v>2013</v>
      </c>
      <c r="L1">
        <v>2014</v>
      </c>
      <c r="M1">
        <v>2015</v>
      </c>
      <c r="N1">
        <v>2016</v>
      </c>
      <c r="O1">
        <v>2017</v>
      </c>
      <c r="P1">
        <v>2018</v>
      </c>
      <c r="Q1">
        <v>2019</v>
      </c>
      <c r="R1">
        <v>2020</v>
      </c>
      <c r="S1">
        <v>2021</v>
      </c>
      <c r="T1">
        <v>2022</v>
      </c>
      <c r="U1">
        <v>2023</v>
      </c>
      <c r="V1">
        <v>2024</v>
      </c>
      <c r="W1">
        <v>2025</v>
      </c>
      <c r="X1">
        <v>2026</v>
      </c>
      <c r="Y1">
        <v>2027</v>
      </c>
      <c r="Z1">
        <v>2028</v>
      </c>
      <c r="AA1">
        <v>2029</v>
      </c>
      <c r="AB1">
        <v>2030</v>
      </c>
      <c r="AC1">
        <v>2031</v>
      </c>
      <c r="AD1">
        <v>2032</v>
      </c>
      <c r="AE1">
        <v>2033</v>
      </c>
      <c r="AF1">
        <v>2034</v>
      </c>
      <c r="AG1">
        <v>2035</v>
      </c>
      <c r="AH1">
        <v>2036</v>
      </c>
      <c r="AI1">
        <v>2037</v>
      </c>
      <c r="AJ1">
        <v>2038</v>
      </c>
      <c r="AK1">
        <v>2039</v>
      </c>
      <c r="AL1">
        <v>2040</v>
      </c>
      <c r="AM1">
        <v>2041</v>
      </c>
      <c r="AN1">
        <v>2042</v>
      </c>
      <c r="AO1">
        <v>2043</v>
      </c>
      <c r="AP1">
        <v>2044</v>
      </c>
      <c r="AQ1">
        <v>2045</v>
      </c>
      <c r="AR1">
        <v>2046</v>
      </c>
      <c r="AS1">
        <v>2047</v>
      </c>
      <c r="AT1">
        <v>2048</v>
      </c>
      <c r="AU1">
        <v>2049</v>
      </c>
      <c r="AV1">
        <v>2050</v>
      </c>
    </row>
    <row r="2" spans="2:48" ht="14.45" x14ac:dyDescent="0.35">
      <c r="B2" t="s">
        <v>590</v>
      </c>
      <c r="C2">
        <v>38578.743395415098</v>
      </c>
      <c r="D2" s="31" t="e">
        <f ca="1">Output("SCEN_ADEMEhaut",$B2,D$1)</f>
        <v>#VALUE!</v>
      </c>
      <c r="E2" s="31" t="e">
        <f t="shared" ref="E2:AV10" ca="1" si="0">Output("SCEN_ADEMEhaut",$B2,E$1)</f>
        <v>#VALUE!</v>
      </c>
      <c r="F2" s="31" t="e">
        <f ca="1">Output("SCEN_ADEMEhaut",$B2,F$1)</f>
        <v>#VALUE!</v>
      </c>
      <c r="G2" s="31" t="e">
        <f t="shared" ca="1" si="0"/>
        <v>#VALUE!</v>
      </c>
      <c r="H2" s="31" t="e">
        <f t="shared" ca="1" si="0"/>
        <v>#VALUE!</v>
      </c>
      <c r="I2" s="31" t="e">
        <f t="shared" ca="1" si="0"/>
        <v>#VALUE!</v>
      </c>
      <c r="J2" s="31" t="e">
        <f t="shared" ca="1" si="0"/>
        <v>#VALUE!</v>
      </c>
      <c r="K2" s="31" t="e">
        <f t="shared" ca="1" si="0"/>
        <v>#VALUE!</v>
      </c>
      <c r="L2" s="31" t="e">
        <f t="shared" ca="1" si="0"/>
        <v>#VALUE!</v>
      </c>
      <c r="M2" s="31" t="e">
        <f t="shared" ca="1" si="0"/>
        <v>#VALUE!</v>
      </c>
      <c r="N2" s="31" t="e">
        <f t="shared" ca="1" si="0"/>
        <v>#VALUE!</v>
      </c>
      <c r="O2" s="31" t="e">
        <f t="shared" ca="1" si="0"/>
        <v>#VALUE!</v>
      </c>
      <c r="P2" s="31" t="e">
        <f t="shared" ca="1" si="0"/>
        <v>#VALUE!</v>
      </c>
      <c r="Q2" s="31" t="e">
        <f t="shared" ca="1" si="0"/>
        <v>#VALUE!</v>
      </c>
      <c r="R2" s="31" t="e">
        <f t="shared" ca="1" si="0"/>
        <v>#VALUE!</v>
      </c>
      <c r="S2" s="31" t="e">
        <f t="shared" ca="1" si="0"/>
        <v>#VALUE!</v>
      </c>
      <c r="T2" s="31" t="e">
        <f t="shared" ca="1" si="0"/>
        <v>#VALUE!</v>
      </c>
      <c r="U2" s="31" t="e">
        <f t="shared" ca="1" si="0"/>
        <v>#VALUE!</v>
      </c>
      <c r="V2" s="31" t="e">
        <f t="shared" ca="1" si="0"/>
        <v>#VALUE!</v>
      </c>
      <c r="W2" s="31" t="e">
        <f t="shared" ca="1" si="0"/>
        <v>#VALUE!</v>
      </c>
      <c r="X2" s="31" t="e">
        <f t="shared" ca="1" si="0"/>
        <v>#VALUE!</v>
      </c>
      <c r="Y2" s="31" t="e">
        <f t="shared" ca="1" si="0"/>
        <v>#VALUE!</v>
      </c>
      <c r="Z2" s="31" t="e">
        <f t="shared" ca="1" si="0"/>
        <v>#VALUE!</v>
      </c>
      <c r="AA2" s="31" t="e">
        <f t="shared" ca="1" si="0"/>
        <v>#VALUE!</v>
      </c>
      <c r="AB2" s="31" t="e">
        <f t="shared" ca="1" si="0"/>
        <v>#VALUE!</v>
      </c>
      <c r="AC2" s="31" t="e">
        <f t="shared" ca="1" si="0"/>
        <v>#VALUE!</v>
      </c>
      <c r="AD2" s="31" t="e">
        <f t="shared" ca="1" si="0"/>
        <v>#VALUE!</v>
      </c>
      <c r="AE2" s="31" t="e">
        <f t="shared" ca="1" si="0"/>
        <v>#VALUE!</v>
      </c>
      <c r="AF2" s="31" t="e">
        <f t="shared" ca="1" si="0"/>
        <v>#VALUE!</v>
      </c>
      <c r="AG2" s="31" t="e">
        <f t="shared" ca="1" si="0"/>
        <v>#VALUE!</v>
      </c>
      <c r="AH2" s="31" t="e">
        <f t="shared" ca="1" si="0"/>
        <v>#VALUE!</v>
      </c>
      <c r="AI2" s="31" t="e">
        <f t="shared" ca="1" si="0"/>
        <v>#VALUE!</v>
      </c>
      <c r="AJ2" s="31" t="e">
        <f t="shared" ca="1" si="0"/>
        <v>#VALUE!</v>
      </c>
      <c r="AK2" s="31" t="e">
        <f t="shared" ca="1" si="0"/>
        <v>#VALUE!</v>
      </c>
      <c r="AL2" s="31" t="e">
        <f t="shared" ca="1" si="0"/>
        <v>#VALUE!</v>
      </c>
      <c r="AM2" s="31" t="e">
        <f t="shared" ca="1" si="0"/>
        <v>#VALUE!</v>
      </c>
      <c r="AN2" s="31" t="e">
        <f t="shared" ca="1" si="0"/>
        <v>#VALUE!</v>
      </c>
      <c r="AO2" s="31" t="e">
        <f t="shared" ca="1" si="0"/>
        <v>#VALUE!</v>
      </c>
      <c r="AP2" s="31" t="e">
        <f t="shared" ca="1" si="0"/>
        <v>#VALUE!</v>
      </c>
      <c r="AQ2" s="31" t="e">
        <f t="shared" ca="1" si="0"/>
        <v>#VALUE!</v>
      </c>
      <c r="AR2" s="31" t="e">
        <f t="shared" ca="1" si="0"/>
        <v>#VALUE!</v>
      </c>
      <c r="AS2" s="31" t="e">
        <f t="shared" ca="1" si="0"/>
        <v>#VALUE!</v>
      </c>
      <c r="AT2" s="31" t="e">
        <f t="shared" ca="1" si="0"/>
        <v>#VALUE!</v>
      </c>
      <c r="AU2" s="31" t="e">
        <f t="shared" ca="1" si="0"/>
        <v>#VALUE!</v>
      </c>
      <c r="AV2" s="31" t="e">
        <f t="shared" ca="1" si="0"/>
        <v>#VALUE!</v>
      </c>
    </row>
    <row r="3" spans="2:48" ht="14.45" x14ac:dyDescent="0.35">
      <c r="B3" t="s">
        <v>591</v>
      </c>
      <c r="C3">
        <v>65</v>
      </c>
      <c r="D3" s="31" t="e">
        <f t="shared" ref="D3:S13" ca="1" si="1">Output("SCEN_ADEMEhaut",$B3,D$1)</f>
        <v>#VALUE!</v>
      </c>
      <c r="E3" s="31" t="e">
        <f t="shared" ca="1" si="1"/>
        <v>#VALUE!</v>
      </c>
      <c r="F3" s="31" t="e">
        <f t="shared" ca="1" si="1"/>
        <v>#VALUE!</v>
      </c>
      <c r="G3" s="31" t="e">
        <f t="shared" ca="1" si="1"/>
        <v>#VALUE!</v>
      </c>
      <c r="H3" s="31" t="e">
        <f t="shared" ca="1" si="1"/>
        <v>#VALUE!</v>
      </c>
      <c r="I3" s="31" t="e">
        <f t="shared" ca="1" si="1"/>
        <v>#VALUE!</v>
      </c>
      <c r="J3" s="31" t="e">
        <f t="shared" ca="1" si="1"/>
        <v>#VALUE!</v>
      </c>
      <c r="K3" s="31" t="e">
        <f t="shared" ca="1" si="1"/>
        <v>#VALUE!</v>
      </c>
      <c r="L3" s="31" t="e">
        <f t="shared" ca="1" si="1"/>
        <v>#VALUE!</v>
      </c>
      <c r="M3" s="31" t="e">
        <f t="shared" ca="1" si="1"/>
        <v>#VALUE!</v>
      </c>
      <c r="N3" s="31" t="e">
        <f t="shared" ca="1" si="1"/>
        <v>#VALUE!</v>
      </c>
      <c r="O3" s="31" t="e">
        <f t="shared" ca="1" si="1"/>
        <v>#VALUE!</v>
      </c>
      <c r="P3" s="31" t="e">
        <f t="shared" ca="1" si="1"/>
        <v>#VALUE!</v>
      </c>
      <c r="Q3" s="31" t="e">
        <f t="shared" ca="1" si="1"/>
        <v>#VALUE!</v>
      </c>
      <c r="R3" s="31" t="e">
        <f t="shared" ca="1" si="1"/>
        <v>#VALUE!</v>
      </c>
      <c r="S3" s="31" t="e">
        <f t="shared" ca="1" si="1"/>
        <v>#VALUE!</v>
      </c>
      <c r="T3" s="31" t="e">
        <f t="shared" ca="1" si="0"/>
        <v>#VALUE!</v>
      </c>
      <c r="U3" s="31" t="e">
        <f t="shared" ca="1" si="0"/>
        <v>#VALUE!</v>
      </c>
      <c r="V3" s="31" t="e">
        <f t="shared" ca="1" si="0"/>
        <v>#VALUE!</v>
      </c>
      <c r="W3" s="31" t="e">
        <f t="shared" ca="1" si="0"/>
        <v>#VALUE!</v>
      </c>
      <c r="X3" s="31" t="e">
        <f t="shared" ca="1" si="0"/>
        <v>#VALUE!</v>
      </c>
      <c r="Y3" s="31" t="e">
        <f t="shared" ca="1" si="0"/>
        <v>#VALUE!</v>
      </c>
      <c r="Z3" s="31" t="e">
        <f t="shared" ca="1" si="0"/>
        <v>#VALUE!</v>
      </c>
      <c r="AA3" s="31" t="e">
        <f t="shared" ca="1" si="0"/>
        <v>#VALUE!</v>
      </c>
      <c r="AB3" s="31" t="e">
        <f t="shared" ca="1" si="0"/>
        <v>#VALUE!</v>
      </c>
      <c r="AC3" s="31" t="e">
        <f t="shared" ca="1" si="0"/>
        <v>#VALUE!</v>
      </c>
      <c r="AD3" s="31" t="e">
        <f t="shared" ca="1" si="0"/>
        <v>#VALUE!</v>
      </c>
      <c r="AE3" s="31" t="e">
        <f t="shared" ca="1" si="0"/>
        <v>#VALUE!</v>
      </c>
      <c r="AF3" s="31" t="e">
        <f t="shared" ca="1" si="0"/>
        <v>#VALUE!</v>
      </c>
      <c r="AG3" s="31" t="e">
        <f t="shared" ca="1" si="0"/>
        <v>#VALUE!</v>
      </c>
      <c r="AH3" s="31" t="e">
        <f t="shared" ca="1" si="0"/>
        <v>#VALUE!</v>
      </c>
      <c r="AI3" s="31" t="e">
        <f t="shared" ca="1" si="0"/>
        <v>#VALUE!</v>
      </c>
      <c r="AJ3" s="31" t="e">
        <f t="shared" ca="1" si="0"/>
        <v>#VALUE!</v>
      </c>
      <c r="AK3" s="31" t="e">
        <f t="shared" ca="1" si="0"/>
        <v>#VALUE!</v>
      </c>
      <c r="AL3" s="31" t="e">
        <f t="shared" ca="1" si="0"/>
        <v>#VALUE!</v>
      </c>
      <c r="AM3" s="31" t="e">
        <f t="shared" ca="1" si="0"/>
        <v>#VALUE!</v>
      </c>
      <c r="AN3" s="31" t="e">
        <f t="shared" ca="1" si="0"/>
        <v>#VALUE!</v>
      </c>
      <c r="AO3" s="31" t="e">
        <f t="shared" ca="1" si="0"/>
        <v>#VALUE!</v>
      </c>
      <c r="AP3" s="31" t="e">
        <f t="shared" ca="1" si="0"/>
        <v>#VALUE!</v>
      </c>
      <c r="AQ3" s="31" t="e">
        <f t="shared" ca="1" si="0"/>
        <v>#VALUE!</v>
      </c>
      <c r="AR3" s="31" t="e">
        <f t="shared" ca="1" si="0"/>
        <v>#VALUE!</v>
      </c>
      <c r="AS3" s="31" t="e">
        <f t="shared" ca="1" si="0"/>
        <v>#VALUE!</v>
      </c>
      <c r="AT3" s="31" t="e">
        <f t="shared" ca="1" si="0"/>
        <v>#VALUE!</v>
      </c>
      <c r="AU3" s="31" t="e">
        <f t="shared" ca="1" si="0"/>
        <v>#VALUE!</v>
      </c>
      <c r="AV3" s="31" t="e">
        <f t="shared" ca="1" si="0"/>
        <v>#VALUE!</v>
      </c>
    </row>
    <row r="4" spans="2:48" ht="14.45" x14ac:dyDescent="0.35">
      <c r="B4" t="s">
        <v>592</v>
      </c>
      <c r="C4">
        <v>10202.774712957</v>
      </c>
      <c r="D4" s="31" t="e">
        <f t="shared" ca="1" si="1"/>
        <v>#VALUE!</v>
      </c>
      <c r="E4" s="31" t="e">
        <f t="shared" ca="1" si="0"/>
        <v>#VALUE!</v>
      </c>
      <c r="F4" s="31" t="e">
        <f t="shared" ca="1" si="0"/>
        <v>#VALUE!</v>
      </c>
      <c r="G4" s="31" t="e">
        <f t="shared" ca="1" si="0"/>
        <v>#VALUE!</v>
      </c>
      <c r="H4" s="31" t="e">
        <f t="shared" ca="1" si="0"/>
        <v>#VALUE!</v>
      </c>
      <c r="I4" s="31" t="e">
        <f t="shared" ca="1" si="0"/>
        <v>#VALUE!</v>
      </c>
      <c r="J4" s="31" t="e">
        <f t="shared" ca="1" si="0"/>
        <v>#VALUE!</v>
      </c>
      <c r="K4" s="31" t="e">
        <f t="shared" ca="1" si="0"/>
        <v>#VALUE!</v>
      </c>
      <c r="L4" s="31" t="e">
        <f t="shared" ca="1" si="0"/>
        <v>#VALUE!</v>
      </c>
      <c r="M4" s="31" t="e">
        <f t="shared" ca="1" si="0"/>
        <v>#VALUE!</v>
      </c>
      <c r="N4" s="31" t="e">
        <f t="shared" ca="1" si="0"/>
        <v>#VALUE!</v>
      </c>
      <c r="O4" s="31" t="e">
        <f t="shared" ca="1" si="0"/>
        <v>#VALUE!</v>
      </c>
      <c r="P4" s="31" t="e">
        <f t="shared" ca="1" si="0"/>
        <v>#VALUE!</v>
      </c>
      <c r="Q4" s="31" t="e">
        <f t="shared" ca="1" si="0"/>
        <v>#VALUE!</v>
      </c>
      <c r="R4" s="31" t="e">
        <f t="shared" ca="1" si="0"/>
        <v>#VALUE!</v>
      </c>
      <c r="S4" s="31" t="e">
        <f t="shared" ca="1" si="0"/>
        <v>#VALUE!</v>
      </c>
      <c r="T4" s="31" t="e">
        <f t="shared" ca="1" si="0"/>
        <v>#VALUE!</v>
      </c>
      <c r="U4" s="31" t="e">
        <f t="shared" ca="1" si="0"/>
        <v>#VALUE!</v>
      </c>
      <c r="V4" s="31" t="e">
        <f t="shared" ca="1" si="0"/>
        <v>#VALUE!</v>
      </c>
      <c r="W4" s="31" t="e">
        <f t="shared" ca="1" si="0"/>
        <v>#VALUE!</v>
      </c>
      <c r="X4" s="31" t="e">
        <f t="shared" ca="1" si="0"/>
        <v>#VALUE!</v>
      </c>
      <c r="Y4" s="31" t="e">
        <f t="shared" ca="1" si="0"/>
        <v>#VALUE!</v>
      </c>
      <c r="Z4" s="31" t="e">
        <f t="shared" ca="1" si="0"/>
        <v>#VALUE!</v>
      </c>
      <c r="AA4" s="31" t="e">
        <f t="shared" ca="1" si="0"/>
        <v>#VALUE!</v>
      </c>
      <c r="AB4" s="31" t="e">
        <f t="shared" ca="1" si="0"/>
        <v>#VALUE!</v>
      </c>
      <c r="AC4" s="31" t="e">
        <f t="shared" ca="1" si="0"/>
        <v>#VALUE!</v>
      </c>
      <c r="AD4" s="31" t="e">
        <f t="shared" ca="1" si="0"/>
        <v>#VALUE!</v>
      </c>
      <c r="AE4" s="31" t="e">
        <f t="shared" ca="1" si="0"/>
        <v>#VALUE!</v>
      </c>
      <c r="AF4" s="31" t="e">
        <f t="shared" ca="1" si="0"/>
        <v>#VALUE!</v>
      </c>
      <c r="AG4" s="31" t="e">
        <f t="shared" ca="1" si="0"/>
        <v>#VALUE!</v>
      </c>
      <c r="AH4" s="31" t="e">
        <f t="shared" ca="1" si="0"/>
        <v>#VALUE!</v>
      </c>
      <c r="AI4" s="31" t="e">
        <f t="shared" ca="1" si="0"/>
        <v>#VALUE!</v>
      </c>
      <c r="AJ4" s="31" t="e">
        <f t="shared" ca="1" si="0"/>
        <v>#VALUE!</v>
      </c>
      <c r="AK4" s="31" t="e">
        <f t="shared" ca="1" si="0"/>
        <v>#VALUE!</v>
      </c>
      <c r="AL4" s="31" t="e">
        <f t="shared" ca="1" si="0"/>
        <v>#VALUE!</v>
      </c>
      <c r="AM4" s="31" t="e">
        <f t="shared" ca="1" si="0"/>
        <v>#VALUE!</v>
      </c>
      <c r="AN4" s="31" t="e">
        <f t="shared" ca="1" si="0"/>
        <v>#VALUE!</v>
      </c>
      <c r="AO4" s="31" t="e">
        <f t="shared" ca="1" si="0"/>
        <v>#VALUE!</v>
      </c>
      <c r="AP4" s="31" t="e">
        <f t="shared" ca="1" si="0"/>
        <v>#VALUE!</v>
      </c>
      <c r="AQ4" s="31" t="e">
        <f t="shared" ca="1" si="0"/>
        <v>#VALUE!</v>
      </c>
      <c r="AR4" s="31" t="e">
        <f t="shared" ca="1" si="0"/>
        <v>#VALUE!</v>
      </c>
      <c r="AS4" s="31" t="e">
        <f t="shared" ca="1" si="0"/>
        <v>#VALUE!</v>
      </c>
      <c r="AT4" s="31" t="e">
        <f t="shared" ca="1" si="0"/>
        <v>#VALUE!</v>
      </c>
      <c r="AU4" s="31" t="e">
        <f t="shared" ca="1" si="0"/>
        <v>#VALUE!</v>
      </c>
      <c r="AV4" s="31" t="e">
        <f t="shared" ca="1" si="0"/>
        <v>#VALUE!</v>
      </c>
    </row>
    <row r="5" spans="2:48" ht="14.45" x14ac:dyDescent="0.35">
      <c r="B5" t="s">
        <v>593</v>
      </c>
      <c r="C5">
        <v>17843.968682457999</v>
      </c>
      <c r="D5" s="31" t="e">
        <f t="shared" ca="1" si="1"/>
        <v>#VALUE!</v>
      </c>
      <c r="E5" s="31" t="e">
        <f t="shared" ca="1" si="0"/>
        <v>#VALUE!</v>
      </c>
      <c r="F5" s="31" t="e">
        <f t="shared" ca="1" si="0"/>
        <v>#VALUE!</v>
      </c>
      <c r="G5" s="31" t="e">
        <f t="shared" ca="1" si="0"/>
        <v>#VALUE!</v>
      </c>
      <c r="H5" s="31" t="e">
        <f t="shared" ca="1" si="0"/>
        <v>#VALUE!</v>
      </c>
      <c r="I5" s="31" t="e">
        <f t="shared" ca="1" si="0"/>
        <v>#VALUE!</v>
      </c>
      <c r="J5" s="31" t="e">
        <f t="shared" ca="1" si="0"/>
        <v>#VALUE!</v>
      </c>
      <c r="K5" s="31" t="e">
        <f t="shared" ca="1" si="0"/>
        <v>#VALUE!</v>
      </c>
      <c r="L5" s="31" t="e">
        <f t="shared" ca="1" si="0"/>
        <v>#VALUE!</v>
      </c>
      <c r="M5" s="31" t="e">
        <f t="shared" ca="1" si="0"/>
        <v>#VALUE!</v>
      </c>
      <c r="N5" s="31" t="e">
        <f t="shared" ca="1" si="0"/>
        <v>#VALUE!</v>
      </c>
      <c r="O5" s="31" t="e">
        <f t="shared" ca="1" si="0"/>
        <v>#VALUE!</v>
      </c>
      <c r="P5" s="31" t="e">
        <f t="shared" ca="1" si="0"/>
        <v>#VALUE!</v>
      </c>
      <c r="Q5" s="31" t="e">
        <f t="shared" ca="1" si="0"/>
        <v>#VALUE!</v>
      </c>
      <c r="R5" s="31" t="e">
        <f t="shared" ca="1" si="0"/>
        <v>#VALUE!</v>
      </c>
      <c r="S5" s="31" t="e">
        <f t="shared" ca="1" si="0"/>
        <v>#VALUE!</v>
      </c>
      <c r="T5" s="31" t="e">
        <f t="shared" ca="1" si="0"/>
        <v>#VALUE!</v>
      </c>
      <c r="U5" s="31" t="e">
        <f t="shared" ca="1" si="0"/>
        <v>#VALUE!</v>
      </c>
      <c r="V5" s="31" t="e">
        <f t="shared" ca="1" si="0"/>
        <v>#VALUE!</v>
      </c>
      <c r="W5" s="31" t="e">
        <f t="shared" ca="1" si="0"/>
        <v>#VALUE!</v>
      </c>
      <c r="X5" s="31" t="e">
        <f t="shared" ca="1" si="0"/>
        <v>#VALUE!</v>
      </c>
      <c r="Y5" s="31" t="e">
        <f t="shared" ca="1" si="0"/>
        <v>#VALUE!</v>
      </c>
      <c r="Z5" s="31" t="e">
        <f t="shared" ca="1" si="0"/>
        <v>#VALUE!</v>
      </c>
      <c r="AA5" s="31" t="e">
        <f t="shared" ca="1" si="0"/>
        <v>#VALUE!</v>
      </c>
      <c r="AB5" s="31" t="e">
        <f t="shared" ca="1" si="0"/>
        <v>#VALUE!</v>
      </c>
      <c r="AC5" s="31" t="e">
        <f t="shared" ca="1" si="0"/>
        <v>#VALUE!</v>
      </c>
      <c r="AD5" s="31" t="e">
        <f t="shared" ca="1" si="0"/>
        <v>#VALUE!</v>
      </c>
      <c r="AE5" s="31" t="e">
        <f t="shared" ca="1" si="0"/>
        <v>#VALUE!</v>
      </c>
      <c r="AF5" s="31" t="e">
        <f t="shared" ca="1" si="0"/>
        <v>#VALUE!</v>
      </c>
      <c r="AG5" s="31" t="e">
        <f t="shared" ca="1" si="0"/>
        <v>#VALUE!</v>
      </c>
      <c r="AH5" s="31" t="e">
        <f t="shared" ca="1" si="0"/>
        <v>#VALUE!</v>
      </c>
      <c r="AI5" s="31" t="e">
        <f t="shared" ca="1" si="0"/>
        <v>#VALUE!</v>
      </c>
      <c r="AJ5" s="31" t="e">
        <f t="shared" ca="1" si="0"/>
        <v>#VALUE!</v>
      </c>
      <c r="AK5" s="31" t="e">
        <f t="shared" ca="1" si="0"/>
        <v>#VALUE!</v>
      </c>
      <c r="AL5" s="31" t="e">
        <f t="shared" ca="1" si="0"/>
        <v>#VALUE!</v>
      </c>
      <c r="AM5" s="31" t="e">
        <f t="shared" ca="1" si="0"/>
        <v>#VALUE!</v>
      </c>
      <c r="AN5" s="31" t="e">
        <f t="shared" ca="1" si="0"/>
        <v>#VALUE!</v>
      </c>
      <c r="AO5" s="31" t="e">
        <f t="shared" ca="1" si="0"/>
        <v>#VALUE!</v>
      </c>
      <c r="AP5" s="31" t="e">
        <f t="shared" ca="1" si="0"/>
        <v>#VALUE!</v>
      </c>
      <c r="AQ5" s="31" t="e">
        <f t="shared" ca="1" si="0"/>
        <v>#VALUE!</v>
      </c>
      <c r="AR5" s="31" t="e">
        <f t="shared" ca="1" si="0"/>
        <v>#VALUE!</v>
      </c>
      <c r="AS5" s="31" t="e">
        <f t="shared" ca="1" si="0"/>
        <v>#VALUE!</v>
      </c>
      <c r="AT5" s="31" t="e">
        <f t="shared" ca="1" si="0"/>
        <v>#VALUE!</v>
      </c>
      <c r="AU5" s="31" t="e">
        <f t="shared" ca="1" si="0"/>
        <v>#VALUE!</v>
      </c>
      <c r="AV5" s="31" t="e">
        <f t="shared" ca="1" si="0"/>
        <v>#VALUE!</v>
      </c>
    </row>
    <row r="6" spans="2:48" ht="14.45" x14ac:dyDescent="0.35">
      <c r="B6" t="s">
        <v>594</v>
      </c>
      <c r="C6">
        <v>10467</v>
      </c>
      <c r="D6" s="31" t="e">
        <f t="shared" ca="1" si="1"/>
        <v>#VALUE!</v>
      </c>
      <c r="E6" s="31" t="e">
        <f t="shared" ca="1" si="0"/>
        <v>#VALUE!</v>
      </c>
      <c r="F6" s="31" t="e">
        <f t="shared" ca="1" si="0"/>
        <v>#VALUE!</v>
      </c>
      <c r="G6" s="31" t="e">
        <f t="shared" ca="1" si="0"/>
        <v>#VALUE!</v>
      </c>
      <c r="H6" s="31" t="e">
        <f t="shared" ca="1" si="0"/>
        <v>#VALUE!</v>
      </c>
      <c r="I6" s="31" t="e">
        <f t="shared" ca="1" si="0"/>
        <v>#VALUE!</v>
      </c>
      <c r="J6" s="31" t="e">
        <f t="shared" ca="1" si="0"/>
        <v>#VALUE!</v>
      </c>
      <c r="K6" s="31" t="e">
        <f t="shared" ca="1" si="0"/>
        <v>#VALUE!</v>
      </c>
      <c r="L6" s="31" t="e">
        <f t="shared" ca="1" si="0"/>
        <v>#VALUE!</v>
      </c>
      <c r="M6" s="31" t="e">
        <f t="shared" ca="1" si="0"/>
        <v>#VALUE!</v>
      </c>
      <c r="N6" s="31" t="e">
        <f t="shared" ca="1" si="0"/>
        <v>#VALUE!</v>
      </c>
      <c r="O6" s="31" t="e">
        <f t="shared" ca="1" si="0"/>
        <v>#VALUE!</v>
      </c>
      <c r="P6" s="31" t="e">
        <f t="shared" ca="1" si="0"/>
        <v>#VALUE!</v>
      </c>
      <c r="Q6" s="31" t="e">
        <f t="shared" ca="1" si="0"/>
        <v>#VALUE!</v>
      </c>
      <c r="R6" s="31" t="e">
        <f t="shared" ca="1" si="0"/>
        <v>#VALUE!</v>
      </c>
      <c r="S6" s="31" t="e">
        <f t="shared" ca="1" si="0"/>
        <v>#VALUE!</v>
      </c>
      <c r="T6" s="31" t="e">
        <f t="shared" ca="1" si="0"/>
        <v>#VALUE!</v>
      </c>
      <c r="U6" s="31" t="e">
        <f t="shared" ca="1" si="0"/>
        <v>#VALUE!</v>
      </c>
      <c r="V6" s="31" t="e">
        <f t="shared" ca="1" si="0"/>
        <v>#VALUE!</v>
      </c>
      <c r="W6" s="31" t="e">
        <f t="shared" ca="1" si="0"/>
        <v>#VALUE!</v>
      </c>
      <c r="X6" s="31" t="e">
        <f t="shared" ca="1" si="0"/>
        <v>#VALUE!</v>
      </c>
      <c r="Y6" s="31" t="e">
        <f t="shared" ca="1" si="0"/>
        <v>#VALUE!</v>
      </c>
      <c r="Z6" s="31" t="e">
        <f t="shared" ca="1" si="0"/>
        <v>#VALUE!</v>
      </c>
      <c r="AA6" s="31" t="e">
        <f t="shared" ca="1" si="0"/>
        <v>#VALUE!</v>
      </c>
      <c r="AB6" s="31" t="e">
        <f t="shared" ca="1" si="0"/>
        <v>#VALUE!</v>
      </c>
      <c r="AC6" s="31" t="e">
        <f t="shared" ca="1" si="0"/>
        <v>#VALUE!</v>
      </c>
      <c r="AD6" s="31" t="e">
        <f t="shared" ca="1" si="0"/>
        <v>#VALUE!</v>
      </c>
      <c r="AE6" s="31" t="e">
        <f t="shared" ca="1" si="0"/>
        <v>#VALUE!</v>
      </c>
      <c r="AF6" s="31" t="e">
        <f t="shared" ca="1" si="0"/>
        <v>#VALUE!</v>
      </c>
      <c r="AG6" s="31" t="e">
        <f t="shared" ca="1" si="0"/>
        <v>#VALUE!</v>
      </c>
      <c r="AH6" s="31" t="e">
        <f t="shared" ca="1" si="0"/>
        <v>#VALUE!</v>
      </c>
      <c r="AI6" s="31" t="e">
        <f t="shared" ca="1" si="0"/>
        <v>#VALUE!</v>
      </c>
      <c r="AJ6" s="31" t="e">
        <f t="shared" ca="1" si="0"/>
        <v>#VALUE!</v>
      </c>
      <c r="AK6" s="31" t="e">
        <f t="shared" ca="1" si="0"/>
        <v>#VALUE!</v>
      </c>
      <c r="AL6" s="31" t="e">
        <f t="shared" ca="1" si="0"/>
        <v>#VALUE!</v>
      </c>
      <c r="AM6" s="31" t="e">
        <f t="shared" ca="1" si="0"/>
        <v>#VALUE!</v>
      </c>
      <c r="AN6" s="31" t="e">
        <f t="shared" ca="1" si="0"/>
        <v>#VALUE!</v>
      </c>
      <c r="AO6" s="31" t="e">
        <f t="shared" ca="1" si="0"/>
        <v>#VALUE!</v>
      </c>
      <c r="AP6" s="31" t="e">
        <f t="shared" ca="1" si="0"/>
        <v>#VALUE!</v>
      </c>
      <c r="AQ6" s="31" t="e">
        <f t="shared" ca="1" si="0"/>
        <v>#VALUE!</v>
      </c>
      <c r="AR6" s="31" t="e">
        <f t="shared" ca="1" si="0"/>
        <v>#VALUE!</v>
      </c>
      <c r="AS6" s="31" t="e">
        <f t="shared" ca="1" si="0"/>
        <v>#VALUE!</v>
      </c>
      <c r="AT6" s="31" t="e">
        <f t="shared" ca="1" si="0"/>
        <v>#VALUE!</v>
      </c>
      <c r="AU6" s="31" t="e">
        <f t="shared" ca="1" si="0"/>
        <v>#VALUE!</v>
      </c>
      <c r="AV6" s="31" t="e">
        <f t="shared" ca="1" si="0"/>
        <v>#VALUE!</v>
      </c>
    </row>
    <row r="7" spans="2:48" ht="14.45" x14ac:dyDescent="0.35">
      <c r="B7" t="s">
        <v>472</v>
      </c>
      <c r="D7" s="31" t="e">
        <f ca="1">SUM(D3:D6)</f>
        <v>#VALUE!</v>
      </c>
      <c r="E7" s="31" t="e">
        <f t="shared" ref="E7:AV7" ca="1" si="2">SUM(E3:E6)</f>
        <v>#VALUE!</v>
      </c>
      <c r="F7" s="31" t="e">
        <f t="shared" ca="1" si="2"/>
        <v>#VALUE!</v>
      </c>
      <c r="G7" s="31" t="e">
        <f t="shared" ca="1" si="2"/>
        <v>#VALUE!</v>
      </c>
      <c r="H7" s="31" t="e">
        <f t="shared" ca="1" si="2"/>
        <v>#VALUE!</v>
      </c>
      <c r="I7" s="31" t="e">
        <f t="shared" ca="1" si="2"/>
        <v>#VALUE!</v>
      </c>
      <c r="J7" s="31" t="e">
        <f t="shared" ca="1" si="2"/>
        <v>#VALUE!</v>
      </c>
      <c r="K7" s="31" t="e">
        <f t="shared" ca="1" si="2"/>
        <v>#VALUE!</v>
      </c>
      <c r="L7" s="31" t="e">
        <f t="shared" ca="1" si="2"/>
        <v>#VALUE!</v>
      </c>
      <c r="M7" s="31" t="e">
        <f t="shared" ca="1" si="2"/>
        <v>#VALUE!</v>
      </c>
      <c r="N7" s="31" t="e">
        <f t="shared" ca="1" si="2"/>
        <v>#VALUE!</v>
      </c>
      <c r="O7" s="31" t="e">
        <f t="shared" ca="1" si="2"/>
        <v>#VALUE!</v>
      </c>
      <c r="P7" s="31" t="e">
        <f t="shared" ca="1" si="2"/>
        <v>#VALUE!</v>
      </c>
      <c r="Q7" s="31" t="e">
        <f t="shared" ca="1" si="2"/>
        <v>#VALUE!</v>
      </c>
      <c r="R7" s="31" t="e">
        <f t="shared" ca="1" si="2"/>
        <v>#VALUE!</v>
      </c>
      <c r="S7" s="31" t="e">
        <f t="shared" ca="1" si="2"/>
        <v>#VALUE!</v>
      </c>
      <c r="T7" s="31" t="e">
        <f t="shared" ca="1" si="2"/>
        <v>#VALUE!</v>
      </c>
      <c r="U7" s="31" t="e">
        <f t="shared" ca="1" si="2"/>
        <v>#VALUE!</v>
      </c>
      <c r="V7" s="31" t="e">
        <f t="shared" ca="1" si="2"/>
        <v>#VALUE!</v>
      </c>
      <c r="W7" s="31" t="e">
        <f t="shared" ca="1" si="2"/>
        <v>#VALUE!</v>
      </c>
      <c r="X7" s="31" t="e">
        <f t="shared" ca="1" si="2"/>
        <v>#VALUE!</v>
      </c>
      <c r="Y7" s="31" t="e">
        <f t="shared" ca="1" si="2"/>
        <v>#VALUE!</v>
      </c>
      <c r="Z7" s="31" t="e">
        <f t="shared" ca="1" si="2"/>
        <v>#VALUE!</v>
      </c>
      <c r="AA7" s="31" t="e">
        <f t="shared" ca="1" si="2"/>
        <v>#VALUE!</v>
      </c>
      <c r="AB7" s="31" t="e">
        <f t="shared" ca="1" si="2"/>
        <v>#VALUE!</v>
      </c>
      <c r="AC7" s="31" t="e">
        <f t="shared" ca="1" si="2"/>
        <v>#VALUE!</v>
      </c>
      <c r="AD7" s="31" t="e">
        <f t="shared" ca="1" si="2"/>
        <v>#VALUE!</v>
      </c>
      <c r="AE7" s="31" t="e">
        <f t="shared" ca="1" si="2"/>
        <v>#VALUE!</v>
      </c>
      <c r="AF7" s="31" t="e">
        <f t="shared" ca="1" si="2"/>
        <v>#VALUE!</v>
      </c>
      <c r="AG7" s="31" t="e">
        <f t="shared" ca="1" si="2"/>
        <v>#VALUE!</v>
      </c>
      <c r="AH7" s="31" t="e">
        <f t="shared" ca="1" si="2"/>
        <v>#VALUE!</v>
      </c>
      <c r="AI7" s="31" t="e">
        <f t="shared" ca="1" si="2"/>
        <v>#VALUE!</v>
      </c>
      <c r="AJ7" s="31" t="e">
        <f t="shared" ca="1" si="2"/>
        <v>#VALUE!</v>
      </c>
      <c r="AK7" s="31" t="e">
        <f t="shared" ca="1" si="2"/>
        <v>#VALUE!</v>
      </c>
      <c r="AL7" s="31" t="e">
        <f t="shared" ca="1" si="2"/>
        <v>#VALUE!</v>
      </c>
      <c r="AM7" s="31" t="e">
        <f t="shared" ca="1" si="2"/>
        <v>#VALUE!</v>
      </c>
      <c r="AN7" s="31" t="e">
        <f t="shared" ca="1" si="2"/>
        <v>#VALUE!</v>
      </c>
      <c r="AO7" s="31" t="e">
        <f t="shared" ca="1" si="2"/>
        <v>#VALUE!</v>
      </c>
      <c r="AP7" s="31" t="e">
        <f t="shared" ca="1" si="2"/>
        <v>#VALUE!</v>
      </c>
      <c r="AQ7" s="31" t="e">
        <f t="shared" ca="1" si="2"/>
        <v>#VALUE!</v>
      </c>
      <c r="AR7" s="31" t="e">
        <f t="shared" ca="1" si="2"/>
        <v>#VALUE!</v>
      </c>
      <c r="AS7" s="31" t="e">
        <f t="shared" ca="1" si="2"/>
        <v>#VALUE!</v>
      </c>
      <c r="AT7" s="31" t="e">
        <f t="shared" ca="1" si="2"/>
        <v>#VALUE!</v>
      </c>
      <c r="AU7" s="31" t="e">
        <f t="shared" ca="1" si="2"/>
        <v>#VALUE!</v>
      </c>
      <c r="AV7" s="31" t="e">
        <f t="shared" ca="1" si="2"/>
        <v>#VALUE!</v>
      </c>
    </row>
    <row r="8" spans="2:48" ht="14.45" x14ac:dyDescent="0.35"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</row>
    <row r="9" spans="2:48" ht="14.45" x14ac:dyDescent="0.35">
      <c r="B9" t="s">
        <v>595</v>
      </c>
      <c r="D9" s="31" t="e">
        <f t="shared" ca="1" si="1"/>
        <v>#VALUE!</v>
      </c>
      <c r="E9" s="31" t="e">
        <f t="shared" ca="1" si="0"/>
        <v>#VALUE!</v>
      </c>
      <c r="F9" s="31" t="e">
        <f t="shared" ca="1" si="0"/>
        <v>#VALUE!</v>
      </c>
      <c r="G9" s="31" t="e">
        <f t="shared" ca="1" si="0"/>
        <v>#VALUE!</v>
      </c>
      <c r="H9" s="31" t="e">
        <f t="shared" ca="1" si="0"/>
        <v>#VALUE!</v>
      </c>
      <c r="I9" s="31" t="e">
        <f t="shared" ca="1" si="0"/>
        <v>#VALUE!</v>
      </c>
      <c r="J9" s="31" t="e">
        <f t="shared" ca="1" si="0"/>
        <v>#VALUE!</v>
      </c>
      <c r="K9" s="31" t="e">
        <f t="shared" ca="1" si="0"/>
        <v>#VALUE!</v>
      </c>
      <c r="L9" s="31" t="e">
        <f t="shared" ca="1" si="0"/>
        <v>#VALUE!</v>
      </c>
      <c r="M9" s="31" t="e">
        <f t="shared" ca="1" si="0"/>
        <v>#VALUE!</v>
      </c>
      <c r="N9" s="31" t="e">
        <f t="shared" ca="1" si="0"/>
        <v>#VALUE!</v>
      </c>
      <c r="O9" s="31" t="e">
        <f t="shared" ca="1" si="0"/>
        <v>#VALUE!</v>
      </c>
      <c r="P9" s="31" t="e">
        <f t="shared" ca="1" si="0"/>
        <v>#VALUE!</v>
      </c>
      <c r="Q9" s="31" t="e">
        <f t="shared" ca="1" si="0"/>
        <v>#VALUE!</v>
      </c>
      <c r="R9" s="31" t="e">
        <f t="shared" ca="1" si="0"/>
        <v>#VALUE!</v>
      </c>
      <c r="S9" s="31" t="e">
        <f t="shared" ca="1" si="0"/>
        <v>#VALUE!</v>
      </c>
      <c r="T9" s="31" t="e">
        <f t="shared" ca="1" si="0"/>
        <v>#VALUE!</v>
      </c>
      <c r="U9" s="31" t="e">
        <f t="shared" ca="1" si="0"/>
        <v>#VALUE!</v>
      </c>
      <c r="V9" s="31" t="e">
        <f t="shared" ca="1" si="0"/>
        <v>#VALUE!</v>
      </c>
      <c r="W9" s="31" t="e">
        <f t="shared" ca="1" si="0"/>
        <v>#VALUE!</v>
      </c>
      <c r="X9" s="31" t="e">
        <f t="shared" ca="1" si="0"/>
        <v>#VALUE!</v>
      </c>
      <c r="Y9" s="31" t="e">
        <f t="shared" ca="1" si="0"/>
        <v>#VALUE!</v>
      </c>
      <c r="Z9" s="31" t="e">
        <f t="shared" ca="1" si="0"/>
        <v>#VALUE!</v>
      </c>
      <c r="AA9" s="31" t="e">
        <f t="shared" ca="1" si="0"/>
        <v>#VALUE!</v>
      </c>
      <c r="AB9" s="31" t="e">
        <f t="shared" ca="1" si="0"/>
        <v>#VALUE!</v>
      </c>
      <c r="AC9" s="31" t="e">
        <f t="shared" ca="1" si="0"/>
        <v>#VALUE!</v>
      </c>
      <c r="AD9" s="31" t="e">
        <f t="shared" ca="1" si="0"/>
        <v>#VALUE!</v>
      </c>
      <c r="AE9" s="31" t="e">
        <f t="shared" ca="1" si="0"/>
        <v>#VALUE!</v>
      </c>
      <c r="AF9" s="31" t="e">
        <f t="shared" ca="1" si="0"/>
        <v>#VALUE!</v>
      </c>
      <c r="AG9" s="31" t="e">
        <f t="shared" ca="1" si="0"/>
        <v>#VALUE!</v>
      </c>
      <c r="AH9" s="31" t="e">
        <f t="shared" ca="1" si="0"/>
        <v>#VALUE!</v>
      </c>
      <c r="AI9" s="31" t="e">
        <f t="shared" ca="1" si="0"/>
        <v>#VALUE!</v>
      </c>
      <c r="AJ9" s="31" t="e">
        <f t="shared" ca="1" si="0"/>
        <v>#VALUE!</v>
      </c>
      <c r="AK9" s="31" t="e">
        <f t="shared" ca="1" si="0"/>
        <v>#VALUE!</v>
      </c>
      <c r="AL9" s="31" t="e">
        <f t="shared" ca="1" si="0"/>
        <v>#VALUE!</v>
      </c>
      <c r="AM9" s="31" t="e">
        <f t="shared" ca="1" si="0"/>
        <v>#VALUE!</v>
      </c>
      <c r="AN9" s="31" t="e">
        <f t="shared" ca="1" si="0"/>
        <v>#VALUE!</v>
      </c>
      <c r="AO9" s="31" t="e">
        <f t="shared" ca="1" si="0"/>
        <v>#VALUE!</v>
      </c>
      <c r="AP9" s="31" t="e">
        <f t="shared" ca="1" si="0"/>
        <v>#VALUE!</v>
      </c>
      <c r="AQ9" s="31" t="e">
        <f t="shared" ca="1" si="0"/>
        <v>#VALUE!</v>
      </c>
      <c r="AR9" s="31" t="e">
        <f t="shared" ca="1" si="0"/>
        <v>#VALUE!</v>
      </c>
      <c r="AS9" s="31" t="e">
        <f t="shared" ca="1" si="0"/>
        <v>#VALUE!</v>
      </c>
      <c r="AT9" s="31" t="e">
        <f t="shared" ca="1" si="0"/>
        <v>#VALUE!</v>
      </c>
      <c r="AU9" s="31" t="e">
        <f t="shared" ca="1" si="0"/>
        <v>#VALUE!</v>
      </c>
      <c r="AV9" s="31" t="e">
        <f t="shared" ca="1" si="0"/>
        <v>#VALUE!</v>
      </c>
    </row>
    <row r="10" spans="2:48" ht="14.45" x14ac:dyDescent="0.35">
      <c r="B10" t="s">
        <v>596</v>
      </c>
      <c r="D10" s="31" t="e">
        <f t="shared" ca="1" si="1"/>
        <v>#VALUE!</v>
      </c>
      <c r="E10" s="31" t="e">
        <f t="shared" ca="1" si="0"/>
        <v>#VALUE!</v>
      </c>
      <c r="F10" s="31" t="e">
        <f t="shared" ca="1" si="0"/>
        <v>#VALUE!</v>
      </c>
      <c r="G10" s="31" t="e">
        <f t="shared" ca="1" si="0"/>
        <v>#VALUE!</v>
      </c>
      <c r="H10" s="31" t="e">
        <f t="shared" ca="1" si="0"/>
        <v>#VALUE!</v>
      </c>
      <c r="I10" s="31" t="e">
        <f t="shared" ca="1" si="0"/>
        <v>#VALUE!</v>
      </c>
      <c r="J10" s="31" t="e">
        <f t="shared" ca="1" si="0"/>
        <v>#VALUE!</v>
      </c>
      <c r="K10" s="31" t="e">
        <f t="shared" ref="E10:AV13" ca="1" si="3">Output("SCEN_ADEMEhaut",$B10,K$1)</f>
        <v>#VALUE!</v>
      </c>
      <c r="L10" s="31" t="e">
        <f t="shared" ca="1" si="3"/>
        <v>#VALUE!</v>
      </c>
      <c r="M10" s="31" t="e">
        <f t="shared" ca="1" si="3"/>
        <v>#VALUE!</v>
      </c>
      <c r="N10" s="31" t="e">
        <f t="shared" ca="1" si="3"/>
        <v>#VALUE!</v>
      </c>
      <c r="O10" s="31" t="e">
        <f t="shared" ca="1" si="3"/>
        <v>#VALUE!</v>
      </c>
      <c r="P10" s="31" t="e">
        <f t="shared" ca="1" si="3"/>
        <v>#VALUE!</v>
      </c>
      <c r="Q10" s="31" t="e">
        <f t="shared" ca="1" si="3"/>
        <v>#VALUE!</v>
      </c>
      <c r="R10" s="31" t="e">
        <f t="shared" ca="1" si="3"/>
        <v>#VALUE!</v>
      </c>
      <c r="S10" s="31" t="e">
        <f t="shared" ca="1" si="3"/>
        <v>#VALUE!</v>
      </c>
      <c r="T10" s="31" t="e">
        <f t="shared" ca="1" si="3"/>
        <v>#VALUE!</v>
      </c>
      <c r="U10" s="31" t="e">
        <f t="shared" ca="1" si="3"/>
        <v>#VALUE!</v>
      </c>
      <c r="V10" s="31" t="e">
        <f t="shared" ca="1" si="3"/>
        <v>#VALUE!</v>
      </c>
      <c r="W10" s="31" t="e">
        <f t="shared" ca="1" si="3"/>
        <v>#VALUE!</v>
      </c>
      <c r="X10" s="31" t="e">
        <f t="shared" ca="1" si="3"/>
        <v>#VALUE!</v>
      </c>
      <c r="Y10" s="31" t="e">
        <f t="shared" ca="1" si="3"/>
        <v>#VALUE!</v>
      </c>
      <c r="Z10" s="31" t="e">
        <f t="shared" ca="1" si="3"/>
        <v>#VALUE!</v>
      </c>
      <c r="AA10" s="31" t="e">
        <f t="shared" ca="1" si="3"/>
        <v>#VALUE!</v>
      </c>
      <c r="AB10" s="31" t="e">
        <f t="shared" ca="1" si="3"/>
        <v>#VALUE!</v>
      </c>
      <c r="AC10" s="31" t="e">
        <f t="shared" ca="1" si="3"/>
        <v>#VALUE!</v>
      </c>
      <c r="AD10" s="31" t="e">
        <f t="shared" ca="1" si="3"/>
        <v>#VALUE!</v>
      </c>
      <c r="AE10" s="31" t="e">
        <f t="shared" ca="1" si="3"/>
        <v>#VALUE!</v>
      </c>
      <c r="AF10" s="31" t="e">
        <f t="shared" ca="1" si="3"/>
        <v>#VALUE!</v>
      </c>
      <c r="AG10" s="31" t="e">
        <f t="shared" ca="1" si="3"/>
        <v>#VALUE!</v>
      </c>
      <c r="AH10" s="31" t="e">
        <f t="shared" ca="1" si="3"/>
        <v>#VALUE!</v>
      </c>
      <c r="AI10" s="31" t="e">
        <f t="shared" ca="1" si="3"/>
        <v>#VALUE!</v>
      </c>
      <c r="AJ10" s="31" t="e">
        <f t="shared" ca="1" si="3"/>
        <v>#VALUE!</v>
      </c>
      <c r="AK10" s="31" t="e">
        <f t="shared" ca="1" si="3"/>
        <v>#VALUE!</v>
      </c>
      <c r="AL10" s="31" t="e">
        <f t="shared" ca="1" si="3"/>
        <v>#VALUE!</v>
      </c>
      <c r="AM10" s="31" t="e">
        <f t="shared" ca="1" si="3"/>
        <v>#VALUE!</v>
      </c>
      <c r="AN10" s="31" t="e">
        <f t="shared" ca="1" si="3"/>
        <v>#VALUE!</v>
      </c>
      <c r="AO10" s="31" t="e">
        <f t="shared" ca="1" si="3"/>
        <v>#VALUE!</v>
      </c>
      <c r="AP10" s="31" t="e">
        <f t="shared" ca="1" si="3"/>
        <v>#VALUE!</v>
      </c>
      <c r="AQ10" s="31" t="e">
        <f t="shared" ca="1" si="3"/>
        <v>#VALUE!</v>
      </c>
      <c r="AR10" s="31" t="e">
        <f t="shared" ca="1" si="3"/>
        <v>#VALUE!</v>
      </c>
      <c r="AS10" s="31" t="e">
        <f t="shared" ca="1" si="3"/>
        <v>#VALUE!</v>
      </c>
      <c r="AT10" s="31" t="e">
        <f t="shared" ca="1" si="3"/>
        <v>#VALUE!</v>
      </c>
      <c r="AU10" s="31" t="e">
        <f t="shared" ca="1" si="3"/>
        <v>#VALUE!</v>
      </c>
      <c r="AV10" s="31" t="e">
        <f t="shared" ca="1" si="3"/>
        <v>#VALUE!</v>
      </c>
    </row>
    <row r="11" spans="2:48" ht="14.45" x14ac:dyDescent="0.35">
      <c r="B11" t="s">
        <v>597</v>
      </c>
      <c r="D11" s="31" t="e">
        <f t="shared" ca="1" si="1"/>
        <v>#VALUE!</v>
      </c>
      <c r="E11" s="31" t="e">
        <f t="shared" ca="1" si="3"/>
        <v>#VALUE!</v>
      </c>
      <c r="F11" s="31" t="e">
        <f t="shared" ca="1" si="3"/>
        <v>#VALUE!</v>
      </c>
      <c r="G11" s="31" t="e">
        <f t="shared" ca="1" si="3"/>
        <v>#VALUE!</v>
      </c>
      <c r="H11" s="31" t="e">
        <f t="shared" ca="1" si="3"/>
        <v>#VALUE!</v>
      </c>
      <c r="I11" s="31" t="e">
        <f t="shared" ca="1" si="3"/>
        <v>#VALUE!</v>
      </c>
      <c r="J11" s="31" t="e">
        <f t="shared" ca="1" si="3"/>
        <v>#VALUE!</v>
      </c>
      <c r="K11" s="31" t="e">
        <f t="shared" ca="1" si="3"/>
        <v>#VALUE!</v>
      </c>
      <c r="L11" s="31" t="e">
        <f t="shared" ca="1" si="3"/>
        <v>#VALUE!</v>
      </c>
      <c r="M11" s="31" t="e">
        <f t="shared" ca="1" si="3"/>
        <v>#VALUE!</v>
      </c>
      <c r="N11" s="31" t="e">
        <f t="shared" ca="1" si="3"/>
        <v>#VALUE!</v>
      </c>
      <c r="O11" s="31" t="e">
        <f t="shared" ca="1" si="3"/>
        <v>#VALUE!</v>
      </c>
      <c r="P11" s="31" t="e">
        <f t="shared" ca="1" si="3"/>
        <v>#VALUE!</v>
      </c>
      <c r="Q11" s="31" t="e">
        <f t="shared" ca="1" si="3"/>
        <v>#VALUE!</v>
      </c>
      <c r="R11" s="31" t="e">
        <f t="shared" ca="1" si="3"/>
        <v>#VALUE!</v>
      </c>
      <c r="S11" s="31" t="e">
        <f t="shared" ca="1" si="3"/>
        <v>#VALUE!</v>
      </c>
      <c r="T11" s="31" t="e">
        <f t="shared" ca="1" si="3"/>
        <v>#VALUE!</v>
      </c>
      <c r="U11" s="31" t="e">
        <f t="shared" ca="1" si="3"/>
        <v>#VALUE!</v>
      </c>
      <c r="V11" s="31" t="e">
        <f t="shared" ca="1" si="3"/>
        <v>#VALUE!</v>
      </c>
      <c r="W11" s="31" t="e">
        <f t="shared" ca="1" si="3"/>
        <v>#VALUE!</v>
      </c>
      <c r="X11" s="31" t="e">
        <f t="shared" ca="1" si="3"/>
        <v>#VALUE!</v>
      </c>
      <c r="Y11" s="31" t="e">
        <f t="shared" ca="1" si="3"/>
        <v>#VALUE!</v>
      </c>
      <c r="Z11" s="31" t="e">
        <f t="shared" ca="1" si="3"/>
        <v>#VALUE!</v>
      </c>
      <c r="AA11" s="31" t="e">
        <f t="shared" ca="1" si="3"/>
        <v>#VALUE!</v>
      </c>
      <c r="AB11" s="31" t="e">
        <f t="shared" ca="1" si="3"/>
        <v>#VALUE!</v>
      </c>
      <c r="AC11" s="31" t="e">
        <f t="shared" ca="1" si="3"/>
        <v>#VALUE!</v>
      </c>
      <c r="AD11" s="31" t="e">
        <f t="shared" ca="1" si="3"/>
        <v>#VALUE!</v>
      </c>
      <c r="AE11" s="31" t="e">
        <f t="shared" ca="1" si="3"/>
        <v>#VALUE!</v>
      </c>
      <c r="AF11" s="31" t="e">
        <f t="shared" ca="1" si="3"/>
        <v>#VALUE!</v>
      </c>
      <c r="AG11" s="31" t="e">
        <f t="shared" ca="1" si="3"/>
        <v>#VALUE!</v>
      </c>
      <c r="AH11" s="31" t="e">
        <f t="shared" ca="1" si="3"/>
        <v>#VALUE!</v>
      </c>
      <c r="AI11" s="31" t="e">
        <f t="shared" ca="1" si="3"/>
        <v>#VALUE!</v>
      </c>
      <c r="AJ11" s="31" t="e">
        <f t="shared" ca="1" si="3"/>
        <v>#VALUE!</v>
      </c>
      <c r="AK11" s="31" t="e">
        <f t="shared" ca="1" si="3"/>
        <v>#VALUE!</v>
      </c>
      <c r="AL11" s="31" t="e">
        <f t="shared" ca="1" si="3"/>
        <v>#VALUE!</v>
      </c>
      <c r="AM11" s="31" t="e">
        <f t="shared" ca="1" si="3"/>
        <v>#VALUE!</v>
      </c>
      <c r="AN11" s="31" t="e">
        <f t="shared" ca="1" si="3"/>
        <v>#VALUE!</v>
      </c>
      <c r="AO11" s="31" t="e">
        <f t="shared" ca="1" si="3"/>
        <v>#VALUE!</v>
      </c>
      <c r="AP11" s="31" t="e">
        <f t="shared" ca="1" si="3"/>
        <v>#VALUE!</v>
      </c>
      <c r="AQ11" s="31" t="e">
        <f t="shared" ca="1" si="3"/>
        <v>#VALUE!</v>
      </c>
      <c r="AR11" s="31" t="e">
        <f t="shared" ca="1" si="3"/>
        <v>#VALUE!</v>
      </c>
      <c r="AS11" s="31" t="e">
        <f t="shared" ca="1" si="3"/>
        <v>#VALUE!</v>
      </c>
      <c r="AT11" s="31" t="e">
        <f t="shared" ca="1" si="3"/>
        <v>#VALUE!</v>
      </c>
      <c r="AU11" s="31" t="e">
        <f t="shared" ca="1" si="3"/>
        <v>#VALUE!</v>
      </c>
      <c r="AV11" s="31" t="e">
        <f t="shared" ca="1" si="3"/>
        <v>#VALUE!</v>
      </c>
    </row>
    <row r="12" spans="2:48" ht="14.45" x14ac:dyDescent="0.35">
      <c r="B12" t="s">
        <v>598</v>
      </c>
      <c r="D12" s="31" t="e">
        <f t="shared" ca="1" si="1"/>
        <v>#VALUE!</v>
      </c>
      <c r="E12" s="31" t="e">
        <f t="shared" ca="1" si="3"/>
        <v>#VALUE!</v>
      </c>
      <c r="F12" s="31" t="e">
        <f t="shared" ca="1" si="3"/>
        <v>#VALUE!</v>
      </c>
      <c r="G12" s="31" t="e">
        <f t="shared" ca="1" si="3"/>
        <v>#VALUE!</v>
      </c>
      <c r="H12" s="31" t="e">
        <f t="shared" ca="1" si="3"/>
        <v>#VALUE!</v>
      </c>
      <c r="I12" s="31" t="e">
        <f t="shared" ca="1" si="3"/>
        <v>#VALUE!</v>
      </c>
      <c r="J12" s="31" t="e">
        <f t="shared" ca="1" si="3"/>
        <v>#VALUE!</v>
      </c>
      <c r="K12" s="31" t="e">
        <f t="shared" ca="1" si="3"/>
        <v>#VALUE!</v>
      </c>
      <c r="L12" s="31" t="e">
        <f t="shared" ca="1" si="3"/>
        <v>#VALUE!</v>
      </c>
      <c r="M12" s="31" t="e">
        <f t="shared" ca="1" si="3"/>
        <v>#VALUE!</v>
      </c>
      <c r="N12" s="31" t="e">
        <f t="shared" ca="1" si="3"/>
        <v>#VALUE!</v>
      </c>
      <c r="O12" s="31" t="e">
        <f t="shared" ca="1" si="3"/>
        <v>#VALUE!</v>
      </c>
      <c r="P12" s="31" t="e">
        <f t="shared" ca="1" si="3"/>
        <v>#VALUE!</v>
      </c>
      <c r="Q12" s="31" t="e">
        <f t="shared" ca="1" si="3"/>
        <v>#VALUE!</v>
      </c>
      <c r="R12" s="31" t="e">
        <f t="shared" ca="1" si="3"/>
        <v>#VALUE!</v>
      </c>
      <c r="S12" s="31" t="e">
        <f t="shared" ca="1" si="3"/>
        <v>#VALUE!</v>
      </c>
      <c r="T12" s="31" t="e">
        <f t="shared" ca="1" si="3"/>
        <v>#VALUE!</v>
      </c>
      <c r="U12" s="31" t="e">
        <f t="shared" ca="1" si="3"/>
        <v>#VALUE!</v>
      </c>
      <c r="V12" s="31" t="e">
        <f t="shared" ca="1" si="3"/>
        <v>#VALUE!</v>
      </c>
      <c r="W12" s="31" t="e">
        <f t="shared" ca="1" si="3"/>
        <v>#VALUE!</v>
      </c>
      <c r="X12" s="31" t="e">
        <f t="shared" ca="1" si="3"/>
        <v>#VALUE!</v>
      </c>
      <c r="Y12" s="31" t="e">
        <f t="shared" ca="1" si="3"/>
        <v>#VALUE!</v>
      </c>
      <c r="Z12" s="31" t="e">
        <f t="shared" ca="1" si="3"/>
        <v>#VALUE!</v>
      </c>
      <c r="AA12" s="31" t="e">
        <f t="shared" ca="1" si="3"/>
        <v>#VALUE!</v>
      </c>
      <c r="AB12" s="31" t="e">
        <f t="shared" ca="1" si="3"/>
        <v>#VALUE!</v>
      </c>
      <c r="AC12" s="31" t="e">
        <f t="shared" ca="1" si="3"/>
        <v>#VALUE!</v>
      </c>
      <c r="AD12" s="31" t="e">
        <f t="shared" ca="1" si="3"/>
        <v>#VALUE!</v>
      </c>
      <c r="AE12" s="31" t="e">
        <f t="shared" ca="1" si="3"/>
        <v>#VALUE!</v>
      </c>
      <c r="AF12" s="31" t="e">
        <f t="shared" ca="1" si="3"/>
        <v>#VALUE!</v>
      </c>
      <c r="AG12" s="31" t="e">
        <f t="shared" ca="1" si="3"/>
        <v>#VALUE!</v>
      </c>
      <c r="AH12" s="31" t="e">
        <f t="shared" ca="1" si="3"/>
        <v>#VALUE!</v>
      </c>
      <c r="AI12" s="31" t="e">
        <f t="shared" ca="1" si="3"/>
        <v>#VALUE!</v>
      </c>
      <c r="AJ12" s="31" t="e">
        <f t="shared" ca="1" si="3"/>
        <v>#VALUE!</v>
      </c>
      <c r="AK12" s="31" t="e">
        <f t="shared" ca="1" si="3"/>
        <v>#VALUE!</v>
      </c>
      <c r="AL12" s="31" t="e">
        <f t="shared" ca="1" si="3"/>
        <v>#VALUE!</v>
      </c>
      <c r="AM12" s="31" t="e">
        <f t="shared" ca="1" si="3"/>
        <v>#VALUE!</v>
      </c>
      <c r="AN12" s="31" t="e">
        <f t="shared" ca="1" si="3"/>
        <v>#VALUE!</v>
      </c>
      <c r="AO12" s="31" t="e">
        <f t="shared" ca="1" si="3"/>
        <v>#VALUE!</v>
      </c>
      <c r="AP12" s="31" t="e">
        <f t="shared" ca="1" si="3"/>
        <v>#VALUE!</v>
      </c>
      <c r="AQ12" s="31" t="e">
        <f t="shared" ca="1" si="3"/>
        <v>#VALUE!</v>
      </c>
      <c r="AR12" s="31" t="e">
        <f t="shared" ca="1" si="3"/>
        <v>#VALUE!</v>
      </c>
      <c r="AS12" s="31" t="e">
        <f t="shared" ca="1" si="3"/>
        <v>#VALUE!</v>
      </c>
      <c r="AT12" s="31" t="e">
        <f t="shared" ca="1" si="3"/>
        <v>#VALUE!</v>
      </c>
      <c r="AU12" s="31" t="e">
        <f t="shared" ca="1" si="3"/>
        <v>#VALUE!</v>
      </c>
      <c r="AV12" s="31" t="e">
        <f t="shared" ca="1" si="3"/>
        <v>#VALUE!</v>
      </c>
    </row>
    <row r="13" spans="2:48" ht="14.45" x14ac:dyDescent="0.35">
      <c r="B13" t="s">
        <v>599</v>
      </c>
      <c r="D13" s="31" t="e">
        <f t="shared" ca="1" si="1"/>
        <v>#VALUE!</v>
      </c>
      <c r="E13" s="31" t="e">
        <f t="shared" ca="1" si="3"/>
        <v>#VALUE!</v>
      </c>
      <c r="F13" s="31" t="e">
        <f t="shared" ca="1" si="3"/>
        <v>#VALUE!</v>
      </c>
      <c r="G13" s="31" t="e">
        <f t="shared" ca="1" si="3"/>
        <v>#VALUE!</v>
      </c>
      <c r="H13" s="31" t="e">
        <f t="shared" ca="1" si="3"/>
        <v>#VALUE!</v>
      </c>
      <c r="I13" s="31" t="e">
        <f t="shared" ca="1" si="3"/>
        <v>#VALUE!</v>
      </c>
      <c r="J13" s="31" t="e">
        <f t="shared" ca="1" si="3"/>
        <v>#VALUE!</v>
      </c>
      <c r="K13" s="31" t="e">
        <f t="shared" ca="1" si="3"/>
        <v>#VALUE!</v>
      </c>
      <c r="L13" s="31" t="e">
        <f t="shared" ca="1" si="3"/>
        <v>#VALUE!</v>
      </c>
      <c r="M13" s="31" t="e">
        <f t="shared" ca="1" si="3"/>
        <v>#VALUE!</v>
      </c>
      <c r="N13" s="31" t="e">
        <f t="shared" ca="1" si="3"/>
        <v>#VALUE!</v>
      </c>
      <c r="O13" s="31" t="e">
        <f t="shared" ca="1" si="3"/>
        <v>#VALUE!</v>
      </c>
      <c r="P13" s="31" t="e">
        <f t="shared" ca="1" si="3"/>
        <v>#VALUE!</v>
      </c>
      <c r="Q13" s="31" t="e">
        <f t="shared" ca="1" si="3"/>
        <v>#VALUE!</v>
      </c>
      <c r="R13" s="31" t="e">
        <f t="shared" ca="1" si="3"/>
        <v>#VALUE!</v>
      </c>
      <c r="S13" s="31" t="e">
        <f t="shared" ca="1" si="3"/>
        <v>#VALUE!</v>
      </c>
      <c r="T13" s="31" t="e">
        <f t="shared" ca="1" si="3"/>
        <v>#VALUE!</v>
      </c>
      <c r="U13" s="31" t="e">
        <f t="shared" ca="1" si="3"/>
        <v>#VALUE!</v>
      </c>
      <c r="V13" s="31" t="e">
        <f t="shared" ca="1" si="3"/>
        <v>#VALUE!</v>
      </c>
      <c r="W13" s="31" t="e">
        <f t="shared" ca="1" si="3"/>
        <v>#VALUE!</v>
      </c>
      <c r="X13" s="31" t="e">
        <f t="shared" ca="1" si="3"/>
        <v>#VALUE!</v>
      </c>
      <c r="Y13" s="31" t="e">
        <f t="shared" ca="1" si="3"/>
        <v>#VALUE!</v>
      </c>
      <c r="Z13" s="31" t="e">
        <f t="shared" ca="1" si="3"/>
        <v>#VALUE!</v>
      </c>
      <c r="AA13" s="31" t="e">
        <f t="shared" ca="1" si="3"/>
        <v>#VALUE!</v>
      </c>
      <c r="AB13" s="31" t="e">
        <f t="shared" ca="1" si="3"/>
        <v>#VALUE!</v>
      </c>
      <c r="AC13" s="31" t="e">
        <f t="shared" ca="1" si="3"/>
        <v>#VALUE!</v>
      </c>
      <c r="AD13" s="31" t="e">
        <f t="shared" ca="1" si="3"/>
        <v>#VALUE!</v>
      </c>
      <c r="AE13" s="31" t="e">
        <f t="shared" ca="1" si="3"/>
        <v>#VALUE!</v>
      </c>
      <c r="AF13" s="31" t="e">
        <f t="shared" ca="1" si="3"/>
        <v>#VALUE!</v>
      </c>
      <c r="AG13" s="31" t="e">
        <f t="shared" ca="1" si="3"/>
        <v>#VALUE!</v>
      </c>
      <c r="AH13" s="31" t="e">
        <f t="shared" ca="1" si="3"/>
        <v>#VALUE!</v>
      </c>
      <c r="AI13" s="31" t="e">
        <f t="shared" ca="1" si="3"/>
        <v>#VALUE!</v>
      </c>
      <c r="AJ13" s="31" t="e">
        <f t="shared" ca="1" si="3"/>
        <v>#VALUE!</v>
      </c>
      <c r="AK13" s="31" t="e">
        <f t="shared" ca="1" si="3"/>
        <v>#VALUE!</v>
      </c>
      <c r="AL13" s="31" t="e">
        <f t="shared" ca="1" si="3"/>
        <v>#VALUE!</v>
      </c>
      <c r="AM13" s="31" t="e">
        <f t="shared" ca="1" si="3"/>
        <v>#VALUE!</v>
      </c>
      <c r="AN13" s="31" t="e">
        <f t="shared" ca="1" si="3"/>
        <v>#VALUE!</v>
      </c>
      <c r="AO13" s="31" t="e">
        <f t="shared" ca="1" si="3"/>
        <v>#VALUE!</v>
      </c>
      <c r="AP13" s="31" t="e">
        <f t="shared" ca="1" si="3"/>
        <v>#VALUE!</v>
      </c>
      <c r="AQ13" s="31" t="e">
        <f t="shared" ca="1" si="3"/>
        <v>#VALUE!</v>
      </c>
      <c r="AR13" s="31" t="e">
        <f t="shared" ca="1" si="3"/>
        <v>#VALUE!</v>
      </c>
      <c r="AS13" s="31" t="e">
        <f t="shared" ca="1" si="3"/>
        <v>#VALUE!</v>
      </c>
      <c r="AT13" s="31" t="e">
        <f t="shared" ca="1" si="3"/>
        <v>#VALUE!</v>
      </c>
      <c r="AU13" s="31" t="e">
        <f t="shared" ca="1" si="3"/>
        <v>#VALUE!</v>
      </c>
      <c r="AV13" s="31" t="e">
        <f t="shared" ca="1" si="3"/>
        <v>#VALUE!</v>
      </c>
    </row>
    <row r="14" spans="2:48" ht="14.45" x14ac:dyDescent="0.35">
      <c r="B14" t="s">
        <v>473</v>
      </c>
      <c r="D14" s="31" t="e">
        <f ca="1">SUM(D10:D13)</f>
        <v>#VALUE!</v>
      </c>
      <c r="E14" s="31" t="e">
        <f t="shared" ref="E14:AV14" ca="1" si="4">SUM(E10:E13)</f>
        <v>#VALUE!</v>
      </c>
      <c r="F14" s="31" t="e">
        <f t="shared" ca="1" si="4"/>
        <v>#VALUE!</v>
      </c>
      <c r="G14" s="31" t="e">
        <f t="shared" ca="1" si="4"/>
        <v>#VALUE!</v>
      </c>
      <c r="H14" s="31" t="e">
        <f t="shared" ca="1" si="4"/>
        <v>#VALUE!</v>
      </c>
      <c r="I14" s="31" t="e">
        <f t="shared" ca="1" si="4"/>
        <v>#VALUE!</v>
      </c>
      <c r="J14" s="31" t="e">
        <f t="shared" ca="1" si="4"/>
        <v>#VALUE!</v>
      </c>
      <c r="K14" s="31" t="e">
        <f t="shared" ca="1" si="4"/>
        <v>#VALUE!</v>
      </c>
      <c r="L14" s="31" t="e">
        <f t="shared" ca="1" si="4"/>
        <v>#VALUE!</v>
      </c>
      <c r="M14" s="31" t="e">
        <f t="shared" ca="1" si="4"/>
        <v>#VALUE!</v>
      </c>
      <c r="N14" s="31" t="e">
        <f t="shared" ca="1" si="4"/>
        <v>#VALUE!</v>
      </c>
      <c r="O14" s="31" t="e">
        <f t="shared" ca="1" si="4"/>
        <v>#VALUE!</v>
      </c>
      <c r="P14" s="31" t="e">
        <f t="shared" ca="1" si="4"/>
        <v>#VALUE!</v>
      </c>
      <c r="Q14" s="31" t="e">
        <f t="shared" ca="1" si="4"/>
        <v>#VALUE!</v>
      </c>
      <c r="R14" s="31" t="e">
        <f t="shared" ca="1" si="4"/>
        <v>#VALUE!</v>
      </c>
      <c r="S14" s="31" t="e">
        <f t="shared" ca="1" si="4"/>
        <v>#VALUE!</v>
      </c>
      <c r="T14" s="31" t="e">
        <f t="shared" ca="1" si="4"/>
        <v>#VALUE!</v>
      </c>
      <c r="U14" s="31" t="e">
        <f t="shared" ca="1" si="4"/>
        <v>#VALUE!</v>
      </c>
      <c r="V14" s="31" t="e">
        <f t="shared" ca="1" si="4"/>
        <v>#VALUE!</v>
      </c>
      <c r="W14" s="31" t="e">
        <f t="shared" ca="1" si="4"/>
        <v>#VALUE!</v>
      </c>
      <c r="X14" s="31" t="e">
        <f t="shared" ca="1" si="4"/>
        <v>#VALUE!</v>
      </c>
      <c r="Y14" s="31" t="e">
        <f t="shared" ca="1" si="4"/>
        <v>#VALUE!</v>
      </c>
      <c r="Z14" s="31" t="e">
        <f t="shared" ca="1" si="4"/>
        <v>#VALUE!</v>
      </c>
      <c r="AA14" s="31" t="e">
        <f t="shared" ca="1" si="4"/>
        <v>#VALUE!</v>
      </c>
      <c r="AB14" s="31" t="e">
        <f t="shared" ca="1" si="4"/>
        <v>#VALUE!</v>
      </c>
      <c r="AC14" s="31" t="e">
        <f t="shared" ca="1" si="4"/>
        <v>#VALUE!</v>
      </c>
      <c r="AD14" s="31" t="e">
        <f t="shared" ca="1" si="4"/>
        <v>#VALUE!</v>
      </c>
      <c r="AE14" s="31" t="e">
        <f t="shared" ca="1" si="4"/>
        <v>#VALUE!</v>
      </c>
      <c r="AF14" s="31" t="e">
        <f t="shared" ca="1" si="4"/>
        <v>#VALUE!</v>
      </c>
      <c r="AG14" s="31" t="e">
        <f t="shared" ca="1" si="4"/>
        <v>#VALUE!</v>
      </c>
      <c r="AH14" s="31" t="e">
        <f t="shared" ca="1" si="4"/>
        <v>#VALUE!</v>
      </c>
      <c r="AI14" s="31" t="e">
        <f t="shared" ca="1" si="4"/>
        <v>#VALUE!</v>
      </c>
      <c r="AJ14" s="31" t="e">
        <f t="shared" ca="1" si="4"/>
        <v>#VALUE!</v>
      </c>
      <c r="AK14" s="31" t="e">
        <f t="shared" ca="1" si="4"/>
        <v>#VALUE!</v>
      </c>
      <c r="AL14" s="31" t="e">
        <f t="shared" ca="1" si="4"/>
        <v>#VALUE!</v>
      </c>
      <c r="AM14" s="31" t="e">
        <f t="shared" ca="1" si="4"/>
        <v>#VALUE!</v>
      </c>
      <c r="AN14" s="31" t="e">
        <f t="shared" ca="1" si="4"/>
        <v>#VALUE!</v>
      </c>
      <c r="AO14" s="31" t="e">
        <f t="shared" ca="1" si="4"/>
        <v>#VALUE!</v>
      </c>
      <c r="AP14" s="31" t="e">
        <f t="shared" ca="1" si="4"/>
        <v>#VALUE!</v>
      </c>
      <c r="AQ14" s="31" t="e">
        <f t="shared" ca="1" si="4"/>
        <v>#VALUE!</v>
      </c>
      <c r="AR14" s="31" t="e">
        <f t="shared" ca="1" si="4"/>
        <v>#VALUE!</v>
      </c>
      <c r="AS14" s="31" t="e">
        <f t="shared" ca="1" si="4"/>
        <v>#VALUE!</v>
      </c>
      <c r="AT14" s="31" t="e">
        <f t="shared" ca="1" si="4"/>
        <v>#VALUE!</v>
      </c>
      <c r="AU14" s="31" t="e">
        <f t="shared" ca="1" si="4"/>
        <v>#VALUE!</v>
      </c>
      <c r="AV14" s="31" t="e">
        <f t="shared" ca="1" si="4"/>
        <v>#VALUE!</v>
      </c>
    </row>
    <row r="16" spans="2:48" ht="14.45" x14ac:dyDescent="0.35">
      <c r="B16" t="s">
        <v>604</v>
      </c>
      <c r="D16" s="31" t="e">
        <f ca="1">Output("SCEN_ADEMEhaut",$B16,D$1)</f>
        <v>#VALUE!</v>
      </c>
      <c r="E16" s="31" t="e">
        <f t="shared" ref="E16:AV24" ca="1" si="5">Output("SCEN_ADEMEhaut",$B16,E$1)</f>
        <v>#VALUE!</v>
      </c>
      <c r="F16" s="31" t="e">
        <f t="shared" ca="1" si="5"/>
        <v>#VALUE!</v>
      </c>
      <c r="G16" s="31" t="e">
        <f t="shared" ca="1" si="5"/>
        <v>#VALUE!</v>
      </c>
      <c r="H16" s="31" t="e">
        <f t="shared" ca="1" si="5"/>
        <v>#VALUE!</v>
      </c>
      <c r="I16" s="31" t="e">
        <f t="shared" ca="1" si="5"/>
        <v>#VALUE!</v>
      </c>
      <c r="J16" s="31" t="e">
        <f t="shared" ca="1" si="5"/>
        <v>#VALUE!</v>
      </c>
      <c r="K16" s="31" t="e">
        <f t="shared" ca="1" si="5"/>
        <v>#VALUE!</v>
      </c>
      <c r="L16" s="31" t="e">
        <f t="shared" ca="1" si="5"/>
        <v>#VALUE!</v>
      </c>
      <c r="M16" s="31" t="e">
        <f t="shared" ca="1" si="5"/>
        <v>#VALUE!</v>
      </c>
      <c r="N16" s="31" t="e">
        <f t="shared" ca="1" si="5"/>
        <v>#VALUE!</v>
      </c>
      <c r="O16" s="31" t="e">
        <f t="shared" ca="1" si="5"/>
        <v>#VALUE!</v>
      </c>
      <c r="P16" s="31" t="e">
        <f t="shared" ca="1" si="5"/>
        <v>#VALUE!</v>
      </c>
      <c r="Q16" s="31" t="e">
        <f t="shared" ca="1" si="5"/>
        <v>#VALUE!</v>
      </c>
      <c r="R16" s="31" t="e">
        <f t="shared" ca="1" si="5"/>
        <v>#VALUE!</v>
      </c>
      <c r="S16" s="31" t="e">
        <f t="shared" ca="1" si="5"/>
        <v>#VALUE!</v>
      </c>
      <c r="T16" s="31" t="e">
        <f t="shared" ca="1" si="5"/>
        <v>#VALUE!</v>
      </c>
      <c r="U16" s="31" t="e">
        <f t="shared" ca="1" si="5"/>
        <v>#VALUE!</v>
      </c>
      <c r="V16" s="31" t="e">
        <f t="shared" ca="1" si="5"/>
        <v>#VALUE!</v>
      </c>
      <c r="W16" s="31" t="e">
        <f t="shared" ca="1" si="5"/>
        <v>#VALUE!</v>
      </c>
      <c r="X16" s="31" t="e">
        <f t="shared" ca="1" si="5"/>
        <v>#VALUE!</v>
      </c>
      <c r="Y16" s="31" t="e">
        <f t="shared" ca="1" si="5"/>
        <v>#VALUE!</v>
      </c>
      <c r="Z16" s="31" t="e">
        <f t="shared" ca="1" si="5"/>
        <v>#VALUE!</v>
      </c>
      <c r="AA16" s="31" t="e">
        <f t="shared" ca="1" si="5"/>
        <v>#VALUE!</v>
      </c>
      <c r="AB16" s="31" t="e">
        <f t="shared" ca="1" si="5"/>
        <v>#VALUE!</v>
      </c>
      <c r="AC16" s="31" t="e">
        <f t="shared" ca="1" si="5"/>
        <v>#VALUE!</v>
      </c>
      <c r="AD16" s="31" t="e">
        <f t="shared" ca="1" si="5"/>
        <v>#VALUE!</v>
      </c>
      <c r="AE16" s="31" t="e">
        <f t="shared" ca="1" si="5"/>
        <v>#VALUE!</v>
      </c>
      <c r="AF16" s="31" t="e">
        <f t="shared" ca="1" si="5"/>
        <v>#VALUE!</v>
      </c>
      <c r="AG16" s="31" t="e">
        <f t="shared" ca="1" si="5"/>
        <v>#VALUE!</v>
      </c>
      <c r="AH16" s="31" t="e">
        <f t="shared" ca="1" si="5"/>
        <v>#VALUE!</v>
      </c>
      <c r="AI16" s="31" t="e">
        <f t="shared" ca="1" si="5"/>
        <v>#VALUE!</v>
      </c>
      <c r="AJ16" s="31" t="e">
        <f t="shared" ca="1" si="5"/>
        <v>#VALUE!</v>
      </c>
      <c r="AK16" s="31" t="e">
        <f t="shared" ca="1" si="5"/>
        <v>#VALUE!</v>
      </c>
      <c r="AL16" s="31" t="e">
        <f t="shared" ca="1" si="5"/>
        <v>#VALUE!</v>
      </c>
      <c r="AM16" s="31" t="e">
        <f t="shared" ca="1" si="5"/>
        <v>#VALUE!</v>
      </c>
      <c r="AN16" s="31" t="e">
        <f t="shared" ca="1" si="5"/>
        <v>#VALUE!</v>
      </c>
      <c r="AO16" s="31" t="e">
        <f t="shared" ca="1" si="5"/>
        <v>#VALUE!</v>
      </c>
      <c r="AP16" s="31" t="e">
        <f t="shared" ca="1" si="5"/>
        <v>#VALUE!</v>
      </c>
      <c r="AQ16" s="31" t="e">
        <f t="shared" ca="1" si="5"/>
        <v>#VALUE!</v>
      </c>
      <c r="AR16" s="31" t="e">
        <f t="shared" ca="1" si="5"/>
        <v>#VALUE!</v>
      </c>
      <c r="AS16" s="31" t="e">
        <f t="shared" ca="1" si="5"/>
        <v>#VALUE!</v>
      </c>
      <c r="AT16" s="31" t="e">
        <f t="shared" ca="1" si="5"/>
        <v>#VALUE!</v>
      </c>
      <c r="AU16" s="31" t="e">
        <f t="shared" ca="1" si="5"/>
        <v>#VALUE!</v>
      </c>
      <c r="AV16" s="31" t="e">
        <f t="shared" ca="1" si="5"/>
        <v>#VALUE!</v>
      </c>
    </row>
    <row r="17" spans="2:48" ht="14.45" x14ac:dyDescent="0.35">
      <c r="B17" t="s">
        <v>605</v>
      </c>
      <c r="D17" s="31" t="e">
        <f t="shared" ref="D17:S27" ca="1" si="6">Output("SCEN_ADEMEhaut",$B17,D$1)</f>
        <v>#VALUE!</v>
      </c>
      <c r="E17" s="31" t="e">
        <f ca="1">Output("SCEN_ADEMEhaut",$B17,E$1)</f>
        <v>#VALUE!</v>
      </c>
      <c r="F17" s="31" t="e">
        <f t="shared" ca="1" si="6"/>
        <v>#VALUE!</v>
      </c>
      <c r="G17" s="31" t="e">
        <f t="shared" ca="1" si="6"/>
        <v>#VALUE!</v>
      </c>
      <c r="H17" s="31" t="e">
        <f t="shared" ca="1" si="6"/>
        <v>#VALUE!</v>
      </c>
      <c r="I17" s="31" t="e">
        <f t="shared" ca="1" si="6"/>
        <v>#VALUE!</v>
      </c>
      <c r="J17" s="31" t="e">
        <f t="shared" ca="1" si="6"/>
        <v>#VALUE!</v>
      </c>
      <c r="K17" s="31" t="e">
        <f t="shared" ca="1" si="6"/>
        <v>#VALUE!</v>
      </c>
      <c r="L17" s="31" t="e">
        <f t="shared" ca="1" si="6"/>
        <v>#VALUE!</v>
      </c>
      <c r="M17" s="31" t="e">
        <f t="shared" ca="1" si="6"/>
        <v>#VALUE!</v>
      </c>
      <c r="N17" s="31" t="e">
        <f t="shared" ca="1" si="6"/>
        <v>#VALUE!</v>
      </c>
      <c r="O17" s="31" t="e">
        <f t="shared" ca="1" si="6"/>
        <v>#VALUE!</v>
      </c>
      <c r="P17" s="31" t="e">
        <f t="shared" ca="1" si="6"/>
        <v>#VALUE!</v>
      </c>
      <c r="Q17" s="31" t="e">
        <f t="shared" ca="1" si="6"/>
        <v>#VALUE!</v>
      </c>
      <c r="R17" s="31" t="e">
        <f t="shared" ca="1" si="6"/>
        <v>#VALUE!</v>
      </c>
      <c r="S17" s="31" t="e">
        <f t="shared" ca="1" si="6"/>
        <v>#VALUE!</v>
      </c>
      <c r="T17" s="31" t="e">
        <f t="shared" ca="1" si="5"/>
        <v>#VALUE!</v>
      </c>
      <c r="U17" s="31" t="e">
        <f t="shared" ca="1" si="5"/>
        <v>#VALUE!</v>
      </c>
      <c r="V17" s="31" t="e">
        <f t="shared" ca="1" si="5"/>
        <v>#VALUE!</v>
      </c>
      <c r="W17" s="31" t="e">
        <f t="shared" ca="1" si="5"/>
        <v>#VALUE!</v>
      </c>
      <c r="X17" s="31" t="e">
        <f t="shared" ca="1" si="5"/>
        <v>#VALUE!</v>
      </c>
      <c r="Y17" s="31" t="e">
        <f t="shared" ca="1" si="5"/>
        <v>#VALUE!</v>
      </c>
      <c r="Z17" s="31" t="e">
        <f t="shared" ca="1" si="5"/>
        <v>#VALUE!</v>
      </c>
      <c r="AA17" s="31" t="e">
        <f t="shared" ca="1" si="5"/>
        <v>#VALUE!</v>
      </c>
      <c r="AB17" s="31" t="e">
        <f t="shared" ca="1" si="5"/>
        <v>#VALUE!</v>
      </c>
      <c r="AC17" s="31" t="e">
        <f t="shared" ca="1" si="5"/>
        <v>#VALUE!</v>
      </c>
      <c r="AD17" s="31" t="e">
        <f t="shared" ca="1" si="5"/>
        <v>#VALUE!</v>
      </c>
      <c r="AE17" s="31" t="e">
        <f t="shared" ca="1" si="5"/>
        <v>#VALUE!</v>
      </c>
      <c r="AF17" s="31" t="e">
        <f t="shared" ca="1" si="5"/>
        <v>#VALUE!</v>
      </c>
      <c r="AG17" s="31" t="e">
        <f t="shared" ca="1" si="5"/>
        <v>#VALUE!</v>
      </c>
      <c r="AH17" s="31" t="e">
        <f t="shared" ca="1" si="5"/>
        <v>#VALUE!</v>
      </c>
      <c r="AI17" s="31" t="e">
        <f t="shared" ca="1" si="5"/>
        <v>#VALUE!</v>
      </c>
      <c r="AJ17" s="31" t="e">
        <f t="shared" ca="1" si="5"/>
        <v>#VALUE!</v>
      </c>
      <c r="AK17" s="31" t="e">
        <f t="shared" ca="1" si="5"/>
        <v>#VALUE!</v>
      </c>
      <c r="AL17" s="31" t="e">
        <f t="shared" ca="1" si="5"/>
        <v>#VALUE!</v>
      </c>
      <c r="AM17" s="31" t="e">
        <f t="shared" ca="1" si="5"/>
        <v>#VALUE!</v>
      </c>
      <c r="AN17" s="31" t="e">
        <f t="shared" ca="1" si="5"/>
        <v>#VALUE!</v>
      </c>
      <c r="AO17" s="31" t="e">
        <f t="shared" ca="1" si="5"/>
        <v>#VALUE!</v>
      </c>
      <c r="AP17" s="31" t="e">
        <f t="shared" ca="1" si="5"/>
        <v>#VALUE!</v>
      </c>
      <c r="AQ17" s="31" t="e">
        <f t="shared" ca="1" si="5"/>
        <v>#VALUE!</v>
      </c>
      <c r="AR17" s="31" t="e">
        <f t="shared" ca="1" si="5"/>
        <v>#VALUE!</v>
      </c>
      <c r="AS17" s="31" t="e">
        <f t="shared" ca="1" si="5"/>
        <v>#VALUE!</v>
      </c>
      <c r="AT17" s="31" t="e">
        <f t="shared" ca="1" si="5"/>
        <v>#VALUE!</v>
      </c>
      <c r="AU17" s="31" t="e">
        <f t="shared" ca="1" si="5"/>
        <v>#VALUE!</v>
      </c>
      <c r="AV17" s="31" t="e">
        <f t="shared" ca="1" si="5"/>
        <v>#VALUE!</v>
      </c>
    </row>
    <row r="18" spans="2:48" ht="14.45" x14ac:dyDescent="0.35">
      <c r="B18" t="s">
        <v>606</v>
      </c>
      <c r="D18" s="31" t="e">
        <f t="shared" ca="1" si="6"/>
        <v>#VALUE!</v>
      </c>
      <c r="E18" s="31" t="e">
        <f t="shared" ca="1" si="5"/>
        <v>#VALUE!</v>
      </c>
      <c r="F18" s="31" t="e">
        <f t="shared" ca="1" si="5"/>
        <v>#VALUE!</v>
      </c>
      <c r="G18" s="31" t="e">
        <f t="shared" ca="1" si="5"/>
        <v>#VALUE!</v>
      </c>
      <c r="H18" s="31" t="e">
        <f t="shared" ca="1" si="5"/>
        <v>#VALUE!</v>
      </c>
      <c r="I18" s="31" t="e">
        <f t="shared" ca="1" si="5"/>
        <v>#VALUE!</v>
      </c>
      <c r="J18" s="31" t="e">
        <f t="shared" ca="1" si="5"/>
        <v>#VALUE!</v>
      </c>
      <c r="K18" s="31" t="e">
        <f t="shared" ca="1" si="5"/>
        <v>#VALUE!</v>
      </c>
      <c r="L18" s="31" t="e">
        <f t="shared" ca="1" si="5"/>
        <v>#VALUE!</v>
      </c>
      <c r="M18" s="31" t="e">
        <f t="shared" ca="1" si="5"/>
        <v>#VALUE!</v>
      </c>
      <c r="N18" s="31" t="e">
        <f t="shared" ca="1" si="5"/>
        <v>#VALUE!</v>
      </c>
      <c r="O18" s="31" t="e">
        <f t="shared" ca="1" si="5"/>
        <v>#VALUE!</v>
      </c>
      <c r="P18" s="31" t="e">
        <f t="shared" ca="1" si="5"/>
        <v>#VALUE!</v>
      </c>
      <c r="Q18" s="31" t="e">
        <f t="shared" ca="1" si="5"/>
        <v>#VALUE!</v>
      </c>
      <c r="R18" s="31" t="e">
        <f t="shared" ca="1" si="5"/>
        <v>#VALUE!</v>
      </c>
      <c r="S18" s="31" t="e">
        <f t="shared" ca="1" si="5"/>
        <v>#VALUE!</v>
      </c>
      <c r="T18" s="31" t="e">
        <f t="shared" ca="1" si="5"/>
        <v>#VALUE!</v>
      </c>
      <c r="U18" s="31" t="e">
        <f t="shared" ca="1" si="5"/>
        <v>#VALUE!</v>
      </c>
      <c r="V18" s="31" t="e">
        <f t="shared" ca="1" si="5"/>
        <v>#VALUE!</v>
      </c>
      <c r="W18" s="31" t="e">
        <f t="shared" ca="1" si="5"/>
        <v>#VALUE!</v>
      </c>
      <c r="X18" s="31" t="e">
        <f t="shared" ca="1" si="5"/>
        <v>#VALUE!</v>
      </c>
      <c r="Y18" s="31" t="e">
        <f t="shared" ca="1" si="5"/>
        <v>#VALUE!</v>
      </c>
      <c r="Z18" s="31" t="e">
        <f t="shared" ca="1" si="5"/>
        <v>#VALUE!</v>
      </c>
      <c r="AA18" s="31" t="e">
        <f t="shared" ca="1" si="5"/>
        <v>#VALUE!</v>
      </c>
      <c r="AB18" s="31" t="e">
        <f t="shared" ca="1" si="5"/>
        <v>#VALUE!</v>
      </c>
      <c r="AC18" s="31" t="e">
        <f t="shared" ca="1" si="5"/>
        <v>#VALUE!</v>
      </c>
      <c r="AD18" s="31" t="e">
        <f t="shared" ca="1" si="5"/>
        <v>#VALUE!</v>
      </c>
      <c r="AE18" s="31" t="e">
        <f t="shared" ca="1" si="5"/>
        <v>#VALUE!</v>
      </c>
      <c r="AF18" s="31" t="e">
        <f t="shared" ca="1" si="5"/>
        <v>#VALUE!</v>
      </c>
      <c r="AG18" s="31" t="e">
        <f t="shared" ca="1" si="5"/>
        <v>#VALUE!</v>
      </c>
      <c r="AH18" s="31" t="e">
        <f t="shared" ca="1" si="5"/>
        <v>#VALUE!</v>
      </c>
      <c r="AI18" s="31" t="e">
        <f t="shared" ca="1" si="5"/>
        <v>#VALUE!</v>
      </c>
      <c r="AJ18" s="31" t="e">
        <f t="shared" ca="1" si="5"/>
        <v>#VALUE!</v>
      </c>
      <c r="AK18" s="31" t="e">
        <f t="shared" ca="1" si="5"/>
        <v>#VALUE!</v>
      </c>
      <c r="AL18" s="31" t="e">
        <f t="shared" ca="1" si="5"/>
        <v>#VALUE!</v>
      </c>
      <c r="AM18" s="31" t="e">
        <f t="shared" ca="1" si="5"/>
        <v>#VALUE!</v>
      </c>
      <c r="AN18" s="31" t="e">
        <f t="shared" ca="1" si="5"/>
        <v>#VALUE!</v>
      </c>
      <c r="AO18" s="31" t="e">
        <f t="shared" ca="1" si="5"/>
        <v>#VALUE!</v>
      </c>
      <c r="AP18" s="31" t="e">
        <f t="shared" ca="1" si="5"/>
        <v>#VALUE!</v>
      </c>
      <c r="AQ18" s="31" t="e">
        <f t="shared" ca="1" si="5"/>
        <v>#VALUE!</v>
      </c>
      <c r="AR18" s="31" t="e">
        <f t="shared" ca="1" si="5"/>
        <v>#VALUE!</v>
      </c>
      <c r="AS18" s="31" t="e">
        <f t="shared" ca="1" si="5"/>
        <v>#VALUE!</v>
      </c>
      <c r="AT18" s="31" t="e">
        <f t="shared" ca="1" si="5"/>
        <v>#VALUE!</v>
      </c>
      <c r="AU18" s="31" t="e">
        <f t="shared" ca="1" si="5"/>
        <v>#VALUE!</v>
      </c>
      <c r="AV18" s="31" t="e">
        <f t="shared" ca="1" si="5"/>
        <v>#VALUE!</v>
      </c>
    </row>
    <row r="19" spans="2:48" ht="14.45" x14ac:dyDescent="0.35">
      <c r="B19" t="s">
        <v>607</v>
      </c>
      <c r="D19" s="31" t="e">
        <f t="shared" ca="1" si="6"/>
        <v>#VALUE!</v>
      </c>
      <c r="E19" s="31" t="e">
        <f t="shared" ca="1" si="5"/>
        <v>#VALUE!</v>
      </c>
      <c r="F19" s="31" t="e">
        <f t="shared" ca="1" si="5"/>
        <v>#VALUE!</v>
      </c>
      <c r="G19" s="31" t="e">
        <f t="shared" ca="1" si="5"/>
        <v>#VALUE!</v>
      </c>
      <c r="H19" s="31" t="e">
        <f t="shared" ca="1" si="5"/>
        <v>#VALUE!</v>
      </c>
      <c r="I19" s="31" t="e">
        <f t="shared" ca="1" si="5"/>
        <v>#VALUE!</v>
      </c>
      <c r="J19" s="31" t="e">
        <f t="shared" ca="1" si="5"/>
        <v>#VALUE!</v>
      </c>
      <c r="K19" s="31" t="e">
        <f t="shared" ca="1" si="5"/>
        <v>#VALUE!</v>
      </c>
      <c r="L19" s="31" t="e">
        <f t="shared" ca="1" si="5"/>
        <v>#VALUE!</v>
      </c>
      <c r="M19" s="31" t="e">
        <f t="shared" ca="1" si="5"/>
        <v>#VALUE!</v>
      </c>
      <c r="N19" s="31" t="e">
        <f t="shared" ca="1" si="5"/>
        <v>#VALUE!</v>
      </c>
      <c r="O19" s="31" t="e">
        <f t="shared" ca="1" si="5"/>
        <v>#VALUE!</v>
      </c>
      <c r="P19" s="31" t="e">
        <f t="shared" ca="1" si="5"/>
        <v>#VALUE!</v>
      </c>
      <c r="Q19" s="31" t="e">
        <f t="shared" ca="1" si="5"/>
        <v>#VALUE!</v>
      </c>
      <c r="R19" s="31" t="e">
        <f t="shared" ca="1" si="5"/>
        <v>#VALUE!</v>
      </c>
      <c r="S19" s="31" t="e">
        <f t="shared" ca="1" si="5"/>
        <v>#VALUE!</v>
      </c>
      <c r="T19" s="31" t="e">
        <f t="shared" ca="1" si="5"/>
        <v>#VALUE!</v>
      </c>
      <c r="U19" s="31" t="e">
        <f t="shared" ca="1" si="5"/>
        <v>#VALUE!</v>
      </c>
      <c r="V19" s="31" t="e">
        <f t="shared" ca="1" si="5"/>
        <v>#VALUE!</v>
      </c>
      <c r="W19" s="31" t="e">
        <f t="shared" ca="1" si="5"/>
        <v>#VALUE!</v>
      </c>
      <c r="X19" s="31" t="e">
        <f t="shared" ca="1" si="5"/>
        <v>#VALUE!</v>
      </c>
      <c r="Y19" s="31" t="e">
        <f t="shared" ca="1" si="5"/>
        <v>#VALUE!</v>
      </c>
      <c r="Z19" s="31" t="e">
        <f t="shared" ca="1" si="5"/>
        <v>#VALUE!</v>
      </c>
      <c r="AA19" s="31" t="e">
        <f t="shared" ca="1" si="5"/>
        <v>#VALUE!</v>
      </c>
      <c r="AB19" s="31" t="e">
        <f t="shared" ca="1" si="5"/>
        <v>#VALUE!</v>
      </c>
      <c r="AC19" s="31" t="e">
        <f t="shared" ca="1" si="5"/>
        <v>#VALUE!</v>
      </c>
      <c r="AD19" s="31" t="e">
        <f t="shared" ca="1" si="5"/>
        <v>#VALUE!</v>
      </c>
      <c r="AE19" s="31" t="e">
        <f t="shared" ca="1" si="5"/>
        <v>#VALUE!</v>
      </c>
      <c r="AF19" s="31" t="e">
        <f t="shared" ca="1" si="5"/>
        <v>#VALUE!</v>
      </c>
      <c r="AG19" s="31" t="e">
        <f t="shared" ca="1" si="5"/>
        <v>#VALUE!</v>
      </c>
      <c r="AH19" s="31" t="e">
        <f t="shared" ca="1" si="5"/>
        <v>#VALUE!</v>
      </c>
      <c r="AI19" s="31" t="e">
        <f t="shared" ca="1" si="5"/>
        <v>#VALUE!</v>
      </c>
      <c r="AJ19" s="31" t="e">
        <f t="shared" ca="1" si="5"/>
        <v>#VALUE!</v>
      </c>
      <c r="AK19" s="31" t="e">
        <f t="shared" ca="1" si="5"/>
        <v>#VALUE!</v>
      </c>
      <c r="AL19" s="31" t="e">
        <f t="shared" ca="1" si="5"/>
        <v>#VALUE!</v>
      </c>
      <c r="AM19" s="31" t="e">
        <f t="shared" ca="1" si="5"/>
        <v>#VALUE!</v>
      </c>
      <c r="AN19" s="31" t="e">
        <f t="shared" ca="1" si="5"/>
        <v>#VALUE!</v>
      </c>
      <c r="AO19" s="31" t="e">
        <f t="shared" ca="1" si="5"/>
        <v>#VALUE!</v>
      </c>
      <c r="AP19" s="31" t="e">
        <f t="shared" ca="1" si="5"/>
        <v>#VALUE!</v>
      </c>
      <c r="AQ19" s="31" t="e">
        <f t="shared" ca="1" si="5"/>
        <v>#VALUE!</v>
      </c>
      <c r="AR19" s="31" t="e">
        <f t="shared" ca="1" si="5"/>
        <v>#VALUE!</v>
      </c>
      <c r="AS19" s="31" t="e">
        <f t="shared" ca="1" si="5"/>
        <v>#VALUE!</v>
      </c>
      <c r="AT19" s="31" t="e">
        <f t="shared" ca="1" si="5"/>
        <v>#VALUE!</v>
      </c>
      <c r="AU19" s="31" t="e">
        <f t="shared" ca="1" si="5"/>
        <v>#VALUE!</v>
      </c>
      <c r="AV19" s="31" t="e">
        <f t="shared" ca="1" si="5"/>
        <v>#VALUE!</v>
      </c>
    </row>
    <row r="20" spans="2:48" ht="14.45" x14ac:dyDescent="0.35">
      <c r="B20" t="s">
        <v>608</v>
      </c>
      <c r="D20" s="31" t="e">
        <f t="shared" ca="1" si="6"/>
        <v>#VALUE!</v>
      </c>
      <c r="E20" s="31" t="e">
        <f t="shared" ca="1" si="5"/>
        <v>#VALUE!</v>
      </c>
      <c r="F20" s="31" t="e">
        <f t="shared" ca="1" si="5"/>
        <v>#VALUE!</v>
      </c>
      <c r="G20" s="31" t="e">
        <f t="shared" ca="1" si="5"/>
        <v>#VALUE!</v>
      </c>
      <c r="H20" s="31" t="e">
        <f t="shared" ca="1" si="5"/>
        <v>#VALUE!</v>
      </c>
      <c r="I20" s="31" t="e">
        <f t="shared" ca="1" si="5"/>
        <v>#VALUE!</v>
      </c>
      <c r="J20" s="31" t="e">
        <f t="shared" ca="1" si="5"/>
        <v>#VALUE!</v>
      </c>
      <c r="K20" s="31" t="e">
        <f t="shared" ca="1" si="5"/>
        <v>#VALUE!</v>
      </c>
      <c r="L20" s="31" t="e">
        <f t="shared" ca="1" si="5"/>
        <v>#VALUE!</v>
      </c>
      <c r="M20" s="31" t="e">
        <f t="shared" ca="1" si="5"/>
        <v>#VALUE!</v>
      </c>
      <c r="N20" s="31" t="e">
        <f t="shared" ca="1" si="5"/>
        <v>#VALUE!</v>
      </c>
      <c r="O20" s="31" t="e">
        <f t="shared" ca="1" si="5"/>
        <v>#VALUE!</v>
      </c>
      <c r="P20" s="31" t="e">
        <f t="shared" ca="1" si="5"/>
        <v>#VALUE!</v>
      </c>
      <c r="Q20" s="31" t="e">
        <f t="shared" ca="1" si="5"/>
        <v>#VALUE!</v>
      </c>
      <c r="R20" s="31" t="e">
        <f t="shared" ca="1" si="5"/>
        <v>#VALUE!</v>
      </c>
      <c r="S20" s="31" t="e">
        <f t="shared" ca="1" si="5"/>
        <v>#VALUE!</v>
      </c>
      <c r="T20" s="31" t="e">
        <f t="shared" ca="1" si="5"/>
        <v>#VALUE!</v>
      </c>
      <c r="U20" s="31" t="e">
        <f t="shared" ca="1" si="5"/>
        <v>#VALUE!</v>
      </c>
      <c r="V20" s="31" t="e">
        <f t="shared" ca="1" si="5"/>
        <v>#VALUE!</v>
      </c>
      <c r="W20" s="31" t="e">
        <f t="shared" ca="1" si="5"/>
        <v>#VALUE!</v>
      </c>
      <c r="X20" s="31" t="e">
        <f t="shared" ca="1" si="5"/>
        <v>#VALUE!</v>
      </c>
      <c r="Y20" s="31" t="e">
        <f t="shared" ca="1" si="5"/>
        <v>#VALUE!</v>
      </c>
      <c r="Z20" s="31" t="e">
        <f t="shared" ca="1" si="5"/>
        <v>#VALUE!</v>
      </c>
      <c r="AA20" s="31" t="e">
        <f t="shared" ca="1" si="5"/>
        <v>#VALUE!</v>
      </c>
      <c r="AB20" s="31" t="e">
        <f t="shared" ca="1" si="5"/>
        <v>#VALUE!</v>
      </c>
      <c r="AC20" s="31" t="e">
        <f t="shared" ca="1" si="5"/>
        <v>#VALUE!</v>
      </c>
      <c r="AD20" s="31" t="e">
        <f t="shared" ca="1" si="5"/>
        <v>#VALUE!</v>
      </c>
      <c r="AE20" s="31" t="e">
        <f t="shared" ca="1" si="5"/>
        <v>#VALUE!</v>
      </c>
      <c r="AF20" s="31" t="e">
        <f t="shared" ca="1" si="5"/>
        <v>#VALUE!</v>
      </c>
      <c r="AG20" s="31" t="e">
        <f t="shared" ca="1" si="5"/>
        <v>#VALUE!</v>
      </c>
      <c r="AH20" s="31" t="e">
        <f t="shared" ca="1" si="5"/>
        <v>#VALUE!</v>
      </c>
      <c r="AI20" s="31" t="e">
        <f t="shared" ca="1" si="5"/>
        <v>#VALUE!</v>
      </c>
      <c r="AJ20" s="31" t="e">
        <f t="shared" ca="1" si="5"/>
        <v>#VALUE!</v>
      </c>
      <c r="AK20" s="31" t="e">
        <f t="shared" ca="1" si="5"/>
        <v>#VALUE!</v>
      </c>
      <c r="AL20" s="31" t="e">
        <f t="shared" ca="1" si="5"/>
        <v>#VALUE!</v>
      </c>
      <c r="AM20" s="31" t="e">
        <f t="shared" ca="1" si="5"/>
        <v>#VALUE!</v>
      </c>
      <c r="AN20" s="31" t="e">
        <f t="shared" ca="1" si="5"/>
        <v>#VALUE!</v>
      </c>
      <c r="AO20" s="31" t="e">
        <f t="shared" ca="1" si="5"/>
        <v>#VALUE!</v>
      </c>
      <c r="AP20" s="31" t="e">
        <f t="shared" ca="1" si="5"/>
        <v>#VALUE!</v>
      </c>
      <c r="AQ20" s="31" t="e">
        <f t="shared" ca="1" si="5"/>
        <v>#VALUE!</v>
      </c>
      <c r="AR20" s="31" t="e">
        <f t="shared" ca="1" si="5"/>
        <v>#VALUE!</v>
      </c>
      <c r="AS20" s="31" t="e">
        <f t="shared" ca="1" si="5"/>
        <v>#VALUE!</v>
      </c>
      <c r="AT20" s="31" t="e">
        <f t="shared" ca="1" si="5"/>
        <v>#VALUE!</v>
      </c>
      <c r="AU20" s="31" t="e">
        <f t="shared" ca="1" si="5"/>
        <v>#VALUE!</v>
      </c>
      <c r="AV20" s="31" t="e">
        <f t="shared" ca="1" si="5"/>
        <v>#VALUE!</v>
      </c>
    </row>
    <row r="21" spans="2:48" ht="14.45" x14ac:dyDescent="0.35">
      <c r="B21" t="s">
        <v>472</v>
      </c>
      <c r="D21" s="31" t="e">
        <f ca="1">SUM(D17:D20)</f>
        <v>#VALUE!</v>
      </c>
      <c r="E21" s="31" t="e">
        <f ca="1">SUM(E17:E20)</f>
        <v>#VALUE!</v>
      </c>
      <c r="F21" s="31" t="e">
        <f t="shared" ref="F21:AV21" ca="1" si="7">SUM(F17:F20)</f>
        <v>#VALUE!</v>
      </c>
      <c r="G21" s="31" t="e">
        <f t="shared" ca="1" si="7"/>
        <v>#VALUE!</v>
      </c>
      <c r="H21" s="31" t="e">
        <f t="shared" ca="1" si="7"/>
        <v>#VALUE!</v>
      </c>
      <c r="I21" s="31" t="e">
        <f t="shared" ca="1" si="7"/>
        <v>#VALUE!</v>
      </c>
      <c r="J21" s="31" t="e">
        <f t="shared" ca="1" si="7"/>
        <v>#VALUE!</v>
      </c>
      <c r="K21" s="31" t="e">
        <f t="shared" ca="1" si="7"/>
        <v>#VALUE!</v>
      </c>
      <c r="L21" s="31" t="e">
        <f t="shared" ca="1" si="7"/>
        <v>#VALUE!</v>
      </c>
      <c r="M21" s="31" t="e">
        <f t="shared" ca="1" si="7"/>
        <v>#VALUE!</v>
      </c>
      <c r="N21" s="31" t="e">
        <f t="shared" ca="1" si="7"/>
        <v>#VALUE!</v>
      </c>
      <c r="O21" s="31" t="e">
        <f t="shared" ca="1" si="7"/>
        <v>#VALUE!</v>
      </c>
      <c r="P21" s="31" t="e">
        <f t="shared" ca="1" si="7"/>
        <v>#VALUE!</v>
      </c>
      <c r="Q21" s="31" t="e">
        <f t="shared" ca="1" si="7"/>
        <v>#VALUE!</v>
      </c>
      <c r="R21" s="31" t="e">
        <f t="shared" ca="1" si="7"/>
        <v>#VALUE!</v>
      </c>
      <c r="S21" s="31" t="e">
        <f t="shared" ca="1" si="7"/>
        <v>#VALUE!</v>
      </c>
      <c r="T21" s="31" t="e">
        <f t="shared" ca="1" si="7"/>
        <v>#VALUE!</v>
      </c>
      <c r="U21" s="31" t="e">
        <f t="shared" ca="1" si="7"/>
        <v>#VALUE!</v>
      </c>
      <c r="V21" s="31" t="e">
        <f t="shared" ca="1" si="7"/>
        <v>#VALUE!</v>
      </c>
      <c r="W21" s="31" t="e">
        <f t="shared" ca="1" si="7"/>
        <v>#VALUE!</v>
      </c>
      <c r="X21" s="31" t="e">
        <f t="shared" ca="1" si="7"/>
        <v>#VALUE!</v>
      </c>
      <c r="Y21" s="31" t="e">
        <f t="shared" ca="1" si="7"/>
        <v>#VALUE!</v>
      </c>
      <c r="Z21" s="31" t="e">
        <f t="shared" ca="1" si="7"/>
        <v>#VALUE!</v>
      </c>
      <c r="AA21" s="31" t="e">
        <f t="shared" ca="1" si="7"/>
        <v>#VALUE!</v>
      </c>
      <c r="AB21" s="31" t="e">
        <f t="shared" ca="1" si="7"/>
        <v>#VALUE!</v>
      </c>
      <c r="AC21" s="31" t="e">
        <f t="shared" ca="1" si="7"/>
        <v>#VALUE!</v>
      </c>
      <c r="AD21" s="31" t="e">
        <f t="shared" ca="1" si="7"/>
        <v>#VALUE!</v>
      </c>
      <c r="AE21" s="31" t="e">
        <f t="shared" ca="1" si="7"/>
        <v>#VALUE!</v>
      </c>
      <c r="AF21" s="31" t="e">
        <f t="shared" ca="1" si="7"/>
        <v>#VALUE!</v>
      </c>
      <c r="AG21" s="31" t="e">
        <f t="shared" ca="1" si="7"/>
        <v>#VALUE!</v>
      </c>
      <c r="AH21" s="31" t="e">
        <f t="shared" ca="1" si="7"/>
        <v>#VALUE!</v>
      </c>
      <c r="AI21" s="31" t="e">
        <f t="shared" ca="1" si="7"/>
        <v>#VALUE!</v>
      </c>
      <c r="AJ21" s="31" t="e">
        <f t="shared" ca="1" si="7"/>
        <v>#VALUE!</v>
      </c>
      <c r="AK21" s="31" t="e">
        <f t="shared" ca="1" si="7"/>
        <v>#VALUE!</v>
      </c>
      <c r="AL21" s="31" t="e">
        <f t="shared" ca="1" si="7"/>
        <v>#VALUE!</v>
      </c>
      <c r="AM21" s="31" t="e">
        <f t="shared" ca="1" si="7"/>
        <v>#VALUE!</v>
      </c>
      <c r="AN21" s="31" t="e">
        <f t="shared" ca="1" si="7"/>
        <v>#VALUE!</v>
      </c>
      <c r="AO21" s="31" t="e">
        <f t="shared" ca="1" si="7"/>
        <v>#VALUE!</v>
      </c>
      <c r="AP21" s="31" t="e">
        <f t="shared" ca="1" si="7"/>
        <v>#VALUE!</v>
      </c>
      <c r="AQ21" s="31" t="e">
        <f t="shared" ca="1" si="7"/>
        <v>#VALUE!</v>
      </c>
      <c r="AR21" s="31" t="e">
        <f t="shared" ca="1" si="7"/>
        <v>#VALUE!</v>
      </c>
      <c r="AS21" s="31" t="e">
        <f t="shared" ca="1" si="7"/>
        <v>#VALUE!</v>
      </c>
      <c r="AT21" s="31" t="e">
        <f t="shared" ca="1" si="7"/>
        <v>#VALUE!</v>
      </c>
      <c r="AU21" s="31" t="e">
        <f t="shared" ca="1" si="7"/>
        <v>#VALUE!</v>
      </c>
      <c r="AV21" s="31" t="e">
        <f t="shared" ca="1" si="7"/>
        <v>#VALUE!</v>
      </c>
    </row>
    <row r="22" spans="2:48" ht="14.45" x14ac:dyDescent="0.35"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</row>
    <row r="23" spans="2:48" ht="14.45" x14ac:dyDescent="0.35">
      <c r="B23" t="s">
        <v>609</v>
      </c>
      <c r="D23" s="31" t="e">
        <f t="shared" ca="1" si="6"/>
        <v>#VALUE!</v>
      </c>
      <c r="E23" s="31" t="e">
        <f t="shared" ca="1" si="5"/>
        <v>#VALUE!</v>
      </c>
      <c r="F23" s="31" t="e">
        <f t="shared" ca="1" si="5"/>
        <v>#VALUE!</v>
      </c>
      <c r="G23" s="31" t="e">
        <f t="shared" ca="1" si="5"/>
        <v>#VALUE!</v>
      </c>
      <c r="H23" s="31" t="e">
        <f t="shared" ca="1" si="5"/>
        <v>#VALUE!</v>
      </c>
      <c r="I23" s="31" t="e">
        <f t="shared" ca="1" si="5"/>
        <v>#VALUE!</v>
      </c>
      <c r="J23" s="31" t="e">
        <f t="shared" ca="1" si="5"/>
        <v>#VALUE!</v>
      </c>
      <c r="K23" s="31" t="e">
        <f t="shared" ca="1" si="5"/>
        <v>#VALUE!</v>
      </c>
      <c r="L23" s="31" t="e">
        <f t="shared" ca="1" si="5"/>
        <v>#VALUE!</v>
      </c>
      <c r="M23" s="31" t="e">
        <f t="shared" ca="1" si="5"/>
        <v>#VALUE!</v>
      </c>
      <c r="N23" s="31" t="e">
        <f t="shared" ca="1" si="5"/>
        <v>#VALUE!</v>
      </c>
      <c r="O23" s="31" t="e">
        <f t="shared" ca="1" si="5"/>
        <v>#VALUE!</v>
      </c>
      <c r="P23" s="31" t="e">
        <f t="shared" ca="1" si="5"/>
        <v>#VALUE!</v>
      </c>
      <c r="Q23" s="31" t="e">
        <f t="shared" ca="1" si="5"/>
        <v>#VALUE!</v>
      </c>
      <c r="R23" s="31" t="e">
        <f t="shared" ca="1" si="5"/>
        <v>#VALUE!</v>
      </c>
      <c r="S23" s="31" t="e">
        <f t="shared" ca="1" si="5"/>
        <v>#VALUE!</v>
      </c>
      <c r="T23" s="31" t="e">
        <f t="shared" ca="1" si="5"/>
        <v>#VALUE!</v>
      </c>
      <c r="U23" s="31" t="e">
        <f t="shared" ca="1" si="5"/>
        <v>#VALUE!</v>
      </c>
      <c r="V23" s="31" t="e">
        <f t="shared" ca="1" si="5"/>
        <v>#VALUE!</v>
      </c>
      <c r="W23" s="31" t="e">
        <f t="shared" ca="1" si="5"/>
        <v>#VALUE!</v>
      </c>
      <c r="X23" s="31" t="e">
        <f t="shared" ca="1" si="5"/>
        <v>#VALUE!</v>
      </c>
      <c r="Y23" s="31" t="e">
        <f t="shared" ca="1" si="5"/>
        <v>#VALUE!</v>
      </c>
      <c r="Z23" s="31" t="e">
        <f t="shared" ca="1" si="5"/>
        <v>#VALUE!</v>
      </c>
      <c r="AA23" s="31" t="e">
        <f t="shared" ca="1" si="5"/>
        <v>#VALUE!</v>
      </c>
      <c r="AB23" s="31" t="e">
        <f t="shared" ca="1" si="5"/>
        <v>#VALUE!</v>
      </c>
      <c r="AC23" s="31" t="e">
        <f t="shared" ca="1" si="5"/>
        <v>#VALUE!</v>
      </c>
      <c r="AD23" s="31" t="e">
        <f t="shared" ca="1" si="5"/>
        <v>#VALUE!</v>
      </c>
      <c r="AE23" s="31" t="e">
        <f t="shared" ca="1" si="5"/>
        <v>#VALUE!</v>
      </c>
      <c r="AF23" s="31" t="e">
        <f t="shared" ca="1" si="5"/>
        <v>#VALUE!</v>
      </c>
      <c r="AG23" s="31" t="e">
        <f t="shared" ca="1" si="5"/>
        <v>#VALUE!</v>
      </c>
      <c r="AH23" s="31" t="e">
        <f t="shared" ca="1" si="5"/>
        <v>#VALUE!</v>
      </c>
      <c r="AI23" s="31" t="e">
        <f t="shared" ca="1" si="5"/>
        <v>#VALUE!</v>
      </c>
      <c r="AJ23" s="31" t="e">
        <f t="shared" ca="1" si="5"/>
        <v>#VALUE!</v>
      </c>
      <c r="AK23" s="31" t="e">
        <f t="shared" ca="1" si="5"/>
        <v>#VALUE!</v>
      </c>
      <c r="AL23" s="31" t="e">
        <f t="shared" ca="1" si="5"/>
        <v>#VALUE!</v>
      </c>
      <c r="AM23" s="31" t="e">
        <f t="shared" ca="1" si="5"/>
        <v>#VALUE!</v>
      </c>
      <c r="AN23" s="31" t="e">
        <f t="shared" ca="1" si="5"/>
        <v>#VALUE!</v>
      </c>
      <c r="AO23" s="31" t="e">
        <f t="shared" ca="1" si="5"/>
        <v>#VALUE!</v>
      </c>
      <c r="AP23" s="31" t="e">
        <f t="shared" ca="1" si="5"/>
        <v>#VALUE!</v>
      </c>
      <c r="AQ23" s="31" t="e">
        <f t="shared" ca="1" si="5"/>
        <v>#VALUE!</v>
      </c>
      <c r="AR23" s="31" t="e">
        <f t="shared" ca="1" si="5"/>
        <v>#VALUE!</v>
      </c>
      <c r="AS23" s="31" t="e">
        <f t="shared" ca="1" si="5"/>
        <v>#VALUE!</v>
      </c>
      <c r="AT23" s="31" t="e">
        <f t="shared" ca="1" si="5"/>
        <v>#VALUE!</v>
      </c>
      <c r="AU23" s="31" t="e">
        <f t="shared" ca="1" si="5"/>
        <v>#VALUE!</v>
      </c>
      <c r="AV23" s="31" t="e">
        <f t="shared" ca="1" si="5"/>
        <v>#VALUE!</v>
      </c>
    </row>
    <row r="24" spans="2:48" x14ac:dyDescent="0.25">
      <c r="B24" t="s">
        <v>610</v>
      </c>
      <c r="D24" s="31" t="e">
        <f t="shared" ca="1" si="6"/>
        <v>#VALUE!</v>
      </c>
      <c r="E24" s="31" t="e">
        <f t="shared" ca="1" si="5"/>
        <v>#VALUE!</v>
      </c>
      <c r="F24" s="31" t="e">
        <f t="shared" ca="1" si="5"/>
        <v>#VALUE!</v>
      </c>
      <c r="G24" s="31" t="e">
        <f t="shared" ca="1" si="5"/>
        <v>#VALUE!</v>
      </c>
      <c r="H24" s="31" t="e">
        <f t="shared" ca="1" si="5"/>
        <v>#VALUE!</v>
      </c>
      <c r="I24" s="31" t="e">
        <f t="shared" ca="1" si="5"/>
        <v>#VALUE!</v>
      </c>
      <c r="J24" s="31" t="e">
        <f t="shared" ca="1" si="5"/>
        <v>#VALUE!</v>
      </c>
      <c r="K24" s="31" t="e">
        <f t="shared" ref="E24:AV27" ca="1" si="8">Output("SCEN_ADEMEhaut",$B24,K$1)</f>
        <v>#VALUE!</v>
      </c>
      <c r="L24" s="31" t="e">
        <f t="shared" ca="1" si="8"/>
        <v>#VALUE!</v>
      </c>
      <c r="M24" s="31" t="e">
        <f t="shared" ca="1" si="8"/>
        <v>#VALUE!</v>
      </c>
      <c r="N24" s="31" t="e">
        <f t="shared" ca="1" si="8"/>
        <v>#VALUE!</v>
      </c>
      <c r="O24" s="31" t="e">
        <f t="shared" ca="1" si="8"/>
        <v>#VALUE!</v>
      </c>
      <c r="P24" s="31" t="e">
        <f t="shared" ca="1" si="8"/>
        <v>#VALUE!</v>
      </c>
      <c r="Q24" s="31" t="e">
        <f t="shared" ca="1" si="8"/>
        <v>#VALUE!</v>
      </c>
      <c r="R24" s="31" t="e">
        <f t="shared" ca="1" si="8"/>
        <v>#VALUE!</v>
      </c>
      <c r="S24" s="31" t="e">
        <f t="shared" ca="1" si="8"/>
        <v>#VALUE!</v>
      </c>
      <c r="T24" s="31" t="e">
        <f t="shared" ca="1" si="8"/>
        <v>#VALUE!</v>
      </c>
      <c r="U24" s="31" t="e">
        <f t="shared" ca="1" si="8"/>
        <v>#VALUE!</v>
      </c>
      <c r="V24" s="31" t="e">
        <f t="shared" ca="1" si="8"/>
        <v>#VALUE!</v>
      </c>
      <c r="W24" s="31" t="e">
        <f t="shared" ca="1" si="8"/>
        <v>#VALUE!</v>
      </c>
      <c r="X24" s="31" t="e">
        <f t="shared" ca="1" si="8"/>
        <v>#VALUE!</v>
      </c>
      <c r="Y24" s="31" t="e">
        <f t="shared" ca="1" si="8"/>
        <v>#VALUE!</v>
      </c>
      <c r="Z24" s="31" t="e">
        <f t="shared" ca="1" si="8"/>
        <v>#VALUE!</v>
      </c>
      <c r="AA24" s="31" t="e">
        <f t="shared" ca="1" si="8"/>
        <v>#VALUE!</v>
      </c>
      <c r="AB24" s="31" t="e">
        <f t="shared" ca="1" si="8"/>
        <v>#VALUE!</v>
      </c>
      <c r="AC24" s="31" t="e">
        <f t="shared" ca="1" si="8"/>
        <v>#VALUE!</v>
      </c>
      <c r="AD24" s="31" t="e">
        <f t="shared" ca="1" si="8"/>
        <v>#VALUE!</v>
      </c>
      <c r="AE24" s="31" t="e">
        <f t="shared" ca="1" si="8"/>
        <v>#VALUE!</v>
      </c>
      <c r="AF24" s="31" t="e">
        <f t="shared" ca="1" si="8"/>
        <v>#VALUE!</v>
      </c>
      <c r="AG24" s="31" t="e">
        <f t="shared" ca="1" si="8"/>
        <v>#VALUE!</v>
      </c>
      <c r="AH24" s="31" t="e">
        <f t="shared" ca="1" si="8"/>
        <v>#VALUE!</v>
      </c>
      <c r="AI24" s="31" t="e">
        <f t="shared" ca="1" si="8"/>
        <v>#VALUE!</v>
      </c>
      <c r="AJ24" s="31" t="e">
        <f t="shared" ca="1" si="8"/>
        <v>#VALUE!</v>
      </c>
      <c r="AK24" s="31" t="e">
        <f t="shared" ca="1" si="8"/>
        <v>#VALUE!</v>
      </c>
      <c r="AL24" s="31" t="e">
        <f t="shared" ca="1" si="8"/>
        <v>#VALUE!</v>
      </c>
      <c r="AM24" s="31" t="e">
        <f t="shared" ca="1" si="8"/>
        <v>#VALUE!</v>
      </c>
      <c r="AN24" s="31" t="e">
        <f t="shared" ca="1" si="8"/>
        <v>#VALUE!</v>
      </c>
      <c r="AO24" s="31" t="e">
        <f t="shared" ca="1" si="8"/>
        <v>#VALUE!</v>
      </c>
      <c r="AP24" s="31" t="e">
        <f t="shared" ca="1" si="8"/>
        <v>#VALUE!</v>
      </c>
      <c r="AQ24" s="31" t="e">
        <f t="shared" ca="1" si="8"/>
        <v>#VALUE!</v>
      </c>
      <c r="AR24" s="31" t="e">
        <f t="shared" ca="1" si="8"/>
        <v>#VALUE!</v>
      </c>
      <c r="AS24" s="31" t="e">
        <f t="shared" ca="1" si="8"/>
        <v>#VALUE!</v>
      </c>
      <c r="AT24" s="31" t="e">
        <f t="shared" ca="1" si="8"/>
        <v>#VALUE!</v>
      </c>
      <c r="AU24" s="31" t="e">
        <f t="shared" ca="1" si="8"/>
        <v>#VALUE!</v>
      </c>
      <c r="AV24" s="31" t="e">
        <f t="shared" ca="1" si="8"/>
        <v>#VALUE!</v>
      </c>
    </row>
    <row r="25" spans="2:48" x14ac:dyDescent="0.25">
      <c r="B25" t="s">
        <v>611</v>
      </c>
      <c r="D25" s="31" t="e">
        <f t="shared" ca="1" si="6"/>
        <v>#VALUE!</v>
      </c>
      <c r="E25" s="31" t="e">
        <f t="shared" ca="1" si="8"/>
        <v>#VALUE!</v>
      </c>
      <c r="F25" s="31" t="e">
        <f t="shared" ca="1" si="8"/>
        <v>#VALUE!</v>
      </c>
      <c r="G25" s="31" t="e">
        <f t="shared" ca="1" si="8"/>
        <v>#VALUE!</v>
      </c>
      <c r="H25" s="31" t="e">
        <f t="shared" ca="1" si="8"/>
        <v>#VALUE!</v>
      </c>
      <c r="I25" s="31" t="e">
        <f t="shared" ca="1" si="8"/>
        <v>#VALUE!</v>
      </c>
      <c r="J25" s="31" t="e">
        <f t="shared" ca="1" si="8"/>
        <v>#VALUE!</v>
      </c>
      <c r="K25" s="31" t="e">
        <f t="shared" ca="1" si="8"/>
        <v>#VALUE!</v>
      </c>
      <c r="L25" s="31" t="e">
        <f t="shared" ca="1" si="8"/>
        <v>#VALUE!</v>
      </c>
      <c r="M25" s="31" t="e">
        <f t="shared" ca="1" si="8"/>
        <v>#VALUE!</v>
      </c>
      <c r="N25" s="31" t="e">
        <f t="shared" ca="1" si="8"/>
        <v>#VALUE!</v>
      </c>
      <c r="O25" s="31" t="e">
        <f t="shared" ca="1" si="8"/>
        <v>#VALUE!</v>
      </c>
      <c r="P25" s="31" t="e">
        <f t="shared" ca="1" si="8"/>
        <v>#VALUE!</v>
      </c>
      <c r="Q25" s="31" t="e">
        <f t="shared" ca="1" si="8"/>
        <v>#VALUE!</v>
      </c>
      <c r="R25" s="31" t="e">
        <f t="shared" ca="1" si="8"/>
        <v>#VALUE!</v>
      </c>
      <c r="S25" s="31" t="e">
        <f t="shared" ca="1" si="8"/>
        <v>#VALUE!</v>
      </c>
      <c r="T25" s="31" t="e">
        <f t="shared" ca="1" si="8"/>
        <v>#VALUE!</v>
      </c>
      <c r="U25" s="31" t="e">
        <f t="shared" ca="1" si="8"/>
        <v>#VALUE!</v>
      </c>
      <c r="V25" s="31" t="e">
        <f t="shared" ca="1" si="8"/>
        <v>#VALUE!</v>
      </c>
      <c r="W25" s="31" t="e">
        <f t="shared" ca="1" si="8"/>
        <v>#VALUE!</v>
      </c>
      <c r="X25" s="31" t="e">
        <f t="shared" ca="1" si="8"/>
        <v>#VALUE!</v>
      </c>
      <c r="Y25" s="31" t="e">
        <f t="shared" ca="1" si="8"/>
        <v>#VALUE!</v>
      </c>
      <c r="Z25" s="31" t="e">
        <f t="shared" ca="1" si="8"/>
        <v>#VALUE!</v>
      </c>
      <c r="AA25" s="31" t="e">
        <f t="shared" ca="1" si="8"/>
        <v>#VALUE!</v>
      </c>
      <c r="AB25" s="31" t="e">
        <f t="shared" ca="1" si="8"/>
        <v>#VALUE!</v>
      </c>
      <c r="AC25" s="31" t="e">
        <f t="shared" ca="1" si="8"/>
        <v>#VALUE!</v>
      </c>
      <c r="AD25" s="31" t="e">
        <f t="shared" ca="1" si="8"/>
        <v>#VALUE!</v>
      </c>
      <c r="AE25" s="31" t="e">
        <f t="shared" ca="1" si="8"/>
        <v>#VALUE!</v>
      </c>
      <c r="AF25" s="31" t="e">
        <f t="shared" ca="1" si="8"/>
        <v>#VALUE!</v>
      </c>
      <c r="AG25" s="31" t="e">
        <f t="shared" ca="1" si="8"/>
        <v>#VALUE!</v>
      </c>
      <c r="AH25" s="31" t="e">
        <f t="shared" ca="1" si="8"/>
        <v>#VALUE!</v>
      </c>
      <c r="AI25" s="31" t="e">
        <f t="shared" ca="1" si="8"/>
        <v>#VALUE!</v>
      </c>
      <c r="AJ25" s="31" t="e">
        <f t="shared" ca="1" si="8"/>
        <v>#VALUE!</v>
      </c>
      <c r="AK25" s="31" t="e">
        <f t="shared" ca="1" si="8"/>
        <v>#VALUE!</v>
      </c>
      <c r="AL25" s="31" t="e">
        <f t="shared" ca="1" si="8"/>
        <v>#VALUE!</v>
      </c>
      <c r="AM25" s="31" t="e">
        <f t="shared" ca="1" si="8"/>
        <v>#VALUE!</v>
      </c>
      <c r="AN25" s="31" t="e">
        <f t="shared" ca="1" si="8"/>
        <v>#VALUE!</v>
      </c>
      <c r="AO25" s="31" t="e">
        <f t="shared" ca="1" si="8"/>
        <v>#VALUE!</v>
      </c>
      <c r="AP25" s="31" t="e">
        <f t="shared" ca="1" si="8"/>
        <v>#VALUE!</v>
      </c>
      <c r="AQ25" s="31" t="e">
        <f t="shared" ca="1" si="8"/>
        <v>#VALUE!</v>
      </c>
      <c r="AR25" s="31" t="e">
        <f t="shared" ca="1" si="8"/>
        <v>#VALUE!</v>
      </c>
      <c r="AS25" s="31" t="e">
        <f t="shared" ca="1" si="8"/>
        <v>#VALUE!</v>
      </c>
      <c r="AT25" s="31" t="e">
        <f t="shared" ca="1" si="8"/>
        <v>#VALUE!</v>
      </c>
      <c r="AU25" s="31" t="e">
        <f t="shared" ca="1" si="8"/>
        <v>#VALUE!</v>
      </c>
      <c r="AV25" s="31" t="e">
        <f t="shared" ca="1" si="8"/>
        <v>#VALUE!</v>
      </c>
    </row>
    <row r="26" spans="2:48" x14ac:dyDescent="0.25">
      <c r="B26" t="s">
        <v>612</v>
      </c>
      <c r="D26" s="31" t="e">
        <f t="shared" ca="1" si="6"/>
        <v>#VALUE!</v>
      </c>
      <c r="E26" s="31" t="e">
        <f t="shared" ca="1" si="8"/>
        <v>#VALUE!</v>
      </c>
      <c r="F26" s="31" t="e">
        <f t="shared" ca="1" si="8"/>
        <v>#VALUE!</v>
      </c>
      <c r="G26" s="31" t="e">
        <f t="shared" ca="1" si="8"/>
        <v>#VALUE!</v>
      </c>
      <c r="H26" s="31" t="e">
        <f t="shared" ca="1" si="8"/>
        <v>#VALUE!</v>
      </c>
      <c r="I26" s="31" t="e">
        <f t="shared" ca="1" si="8"/>
        <v>#VALUE!</v>
      </c>
      <c r="J26" s="31" t="e">
        <f t="shared" ca="1" si="8"/>
        <v>#VALUE!</v>
      </c>
      <c r="K26" s="31" t="e">
        <f t="shared" ca="1" si="8"/>
        <v>#VALUE!</v>
      </c>
      <c r="L26" s="31" t="e">
        <f t="shared" ca="1" si="8"/>
        <v>#VALUE!</v>
      </c>
      <c r="M26" s="31" t="e">
        <f t="shared" ca="1" si="8"/>
        <v>#VALUE!</v>
      </c>
      <c r="N26" s="31" t="e">
        <f t="shared" ca="1" si="8"/>
        <v>#VALUE!</v>
      </c>
      <c r="O26" s="31" t="e">
        <f t="shared" ca="1" si="8"/>
        <v>#VALUE!</v>
      </c>
      <c r="P26" s="31" t="e">
        <f t="shared" ca="1" si="8"/>
        <v>#VALUE!</v>
      </c>
      <c r="Q26" s="31" t="e">
        <f t="shared" ca="1" si="8"/>
        <v>#VALUE!</v>
      </c>
      <c r="R26" s="31" t="e">
        <f t="shared" ca="1" si="8"/>
        <v>#VALUE!</v>
      </c>
      <c r="S26" s="31" t="e">
        <f t="shared" ca="1" si="8"/>
        <v>#VALUE!</v>
      </c>
      <c r="T26" s="31" t="e">
        <f t="shared" ca="1" si="8"/>
        <v>#VALUE!</v>
      </c>
      <c r="U26" s="31" t="e">
        <f t="shared" ca="1" si="8"/>
        <v>#VALUE!</v>
      </c>
      <c r="V26" s="31" t="e">
        <f t="shared" ca="1" si="8"/>
        <v>#VALUE!</v>
      </c>
      <c r="W26" s="31" t="e">
        <f t="shared" ca="1" si="8"/>
        <v>#VALUE!</v>
      </c>
      <c r="X26" s="31" t="e">
        <f t="shared" ca="1" si="8"/>
        <v>#VALUE!</v>
      </c>
      <c r="Y26" s="31" t="e">
        <f t="shared" ca="1" si="8"/>
        <v>#VALUE!</v>
      </c>
      <c r="Z26" s="31" t="e">
        <f t="shared" ca="1" si="8"/>
        <v>#VALUE!</v>
      </c>
      <c r="AA26" s="31" t="e">
        <f t="shared" ca="1" si="8"/>
        <v>#VALUE!</v>
      </c>
      <c r="AB26" s="31" t="e">
        <f t="shared" ca="1" si="8"/>
        <v>#VALUE!</v>
      </c>
      <c r="AC26" s="31" t="e">
        <f t="shared" ca="1" si="8"/>
        <v>#VALUE!</v>
      </c>
      <c r="AD26" s="31" t="e">
        <f t="shared" ca="1" si="8"/>
        <v>#VALUE!</v>
      </c>
      <c r="AE26" s="31" t="e">
        <f t="shared" ca="1" si="8"/>
        <v>#VALUE!</v>
      </c>
      <c r="AF26" s="31" t="e">
        <f t="shared" ca="1" si="8"/>
        <v>#VALUE!</v>
      </c>
      <c r="AG26" s="31" t="e">
        <f t="shared" ca="1" si="8"/>
        <v>#VALUE!</v>
      </c>
      <c r="AH26" s="31" t="e">
        <f t="shared" ca="1" si="8"/>
        <v>#VALUE!</v>
      </c>
      <c r="AI26" s="31" t="e">
        <f t="shared" ca="1" si="8"/>
        <v>#VALUE!</v>
      </c>
      <c r="AJ26" s="31" t="e">
        <f t="shared" ca="1" si="8"/>
        <v>#VALUE!</v>
      </c>
      <c r="AK26" s="31" t="e">
        <f t="shared" ca="1" si="8"/>
        <v>#VALUE!</v>
      </c>
      <c r="AL26" s="31" t="e">
        <f t="shared" ca="1" si="8"/>
        <v>#VALUE!</v>
      </c>
      <c r="AM26" s="31" t="e">
        <f t="shared" ca="1" si="8"/>
        <v>#VALUE!</v>
      </c>
      <c r="AN26" s="31" t="e">
        <f t="shared" ca="1" si="8"/>
        <v>#VALUE!</v>
      </c>
      <c r="AO26" s="31" t="e">
        <f t="shared" ca="1" si="8"/>
        <v>#VALUE!</v>
      </c>
      <c r="AP26" s="31" t="e">
        <f t="shared" ca="1" si="8"/>
        <v>#VALUE!</v>
      </c>
      <c r="AQ26" s="31" t="e">
        <f t="shared" ca="1" si="8"/>
        <v>#VALUE!</v>
      </c>
      <c r="AR26" s="31" t="e">
        <f t="shared" ca="1" si="8"/>
        <v>#VALUE!</v>
      </c>
      <c r="AS26" s="31" t="e">
        <f t="shared" ca="1" si="8"/>
        <v>#VALUE!</v>
      </c>
      <c r="AT26" s="31" t="e">
        <f t="shared" ca="1" si="8"/>
        <v>#VALUE!</v>
      </c>
      <c r="AU26" s="31" t="e">
        <f t="shared" ca="1" si="8"/>
        <v>#VALUE!</v>
      </c>
      <c r="AV26" s="31" t="e">
        <f t="shared" ca="1" si="8"/>
        <v>#VALUE!</v>
      </c>
    </row>
    <row r="27" spans="2:48" x14ac:dyDescent="0.25">
      <c r="B27" t="s">
        <v>613</v>
      </c>
      <c r="D27" s="31" t="e">
        <f t="shared" ca="1" si="6"/>
        <v>#VALUE!</v>
      </c>
      <c r="E27" s="31" t="e">
        <f t="shared" ca="1" si="8"/>
        <v>#VALUE!</v>
      </c>
      <c r="F27" s="31" t="e">
        <f t="shared" ca="1" si="8"/>
        <v>#VALUE!</v>
      </c>
      <c r="G27" s="31" t="e">
        <f t="shared" ca="1" si="8"/>
        <v>#VALUE!</v>
      </c>
      <c r="H27" s="31" t="e">
        <f t="shared" ca="1" si="8"/>
        <v>#VALUE!</v>
      </c>
      <c r="I27" s="31" t="e">
        <f t="shared" ca="1" si="8"/>
        <v>#VALUE!</v>
      </c>
      <c r="J27" s="31" t="e">
        <f t="shared" ca="1" si="8"/>
        <v>#VALUE!</v>
      </c>
      <c r="K27" s="31" t="e">
        <f t="shared" ca="1" si="8"/>
        <v>#VALUE!</v>
      </c>
      <c r="L27" s="31" t="e">
        <f t="shared" ca="1" si="8"/>
        <v>#VALUE!</v>
      </c>
      <c r="M27" s="31" t="e">
        <f t="shared" ca="1" si="8"/>
        <v>#VALUE!</v>
      </c>
      <c r="N27" s="31" t="e">
        <f t="shared" ca="1" si="8"/>
        <v>#VALUE!</v>
      </c>
      <c r="O27" s="31" t="e">
        <f t="shared" ca="1" si="8"/>
        <v>#VALUE!</v>
      </c>
      <c r="P27" s="31" t="e">
        <f t="shared" ca="1" si="8"/>
        <v>#VALUE!</v>
      </c>
      <c r="Q27" s="31" t="e">
        <f t="shared" ca="1" si="8"/>
        <v>#VALUE!</v>
      </c>
      <c r="R27" s="31" t="e">
        <f t="shared" ca="1" si="8"/>
        <v>#VALUE!</v>
      </c>
      <c r="S27" s="31" t="e">
        <f t="shared" ca="1" si="8"/>
        <v>#VALUE!</v>
      </c>
      <c r="T27" s="31" t="e">
        <f t="shared" ca="1" si="8"/>
        <v>#VALUE!</v>
      </c>
      <c r="U27" s="31" t="e">
        <f t="shared" ca="1" si="8"/>
        <v>#VALUE!</v>
      </c>
      <c r="V27" s="31" t="e">
        <f t="shared" ca="1" si="8"/>
        <v>#VALUE!</v>
      </c>
      <c r="W27" s="31" t="e">
        <f t="shared" ca="1" si="8"/>
        <v>#VALUE!</v>
      </c>
      <c r="X27" s="31" t="e">
        <f t="shared" ca="1" si="8"/>
        <v>#VALUE!</v>
      </c>
      <c r="Y27" s="31" t="e">
        <f t="shared" ca="1" si="8"/>
        <v>#VALUE!</v>
      </c>
      <c r="Z27" s="31" t="e">
        <f t="shared" ca="1" si="8"/>
        <v>#VALUE!</v>
      </c>
      <c r="AA27" s="31" t="e">
        <f t="shared" ca="1" si="8"/>
        <v>#VALUE!</v>
      </c>
      <c r="AB27" s="31" t="e">
        <f t="shared" ca="1" si="8"/>
        <v>#VALUE!</v>
      </c>
      <c r="AC27" s="31" t="e">
        <f t="shared" ca="1" si="8"/>
        <v>#VALUE!</v>
      </c>
      <c r="AD27" s="31" t="e">
        <f t="shared" ca="1" si="8"/>
        <v>#VALUE!</v>
      </c>
      <c r="AE27" s="31" t="e">
        <f t="shared" ca="1" si="8"/>
        <v>#VALUE!</v>
      </c>
      <c r="AF27" s="31" t="e">
        <f t="shared" ca="1" si="8"/>
        <v>#VALUE!</v>
      </c>
      <c r="AG27" s="31" t="e">
        <f t="shared" ca="1" si="8"/>
        <v>#VALUE!</v>
      </c>
      <c r="AH27" s="31" t="e">
        <f t="shared" ca="1" si="8"/>
        <v>#VALUE!</v>
      </c>
      <c r="AI27" s="31" t="e">
        <f t="shared" ca="1" si="8"/>
        <v>#VALUE!</v>
      </c>
      <c r="AJ27" s="31" t="e">
        <f t="shared" ca="1" si="8"/>
        <v>#VALUE!</v>
      </c>
      <c r="AK27" s="31" t="e">
        <f t="shared" ca="1" si="8"/>
        <v>#VALUE!</v>
      </c>
      <c r="AL27" s="31" t="e">
        <f t="shared" ca="1" si="8"/>
        <v>#VALUE!</v>
      </c>
      <c r="AM27" s="31" t="e">
        <f t="shared" ca="1" si="8"/>
        <v>#VALUE!</v>
      </c>
      <c r="AN27" s="31" t="e">
        <f t="shared" ca="1" si="8"/>
        <v>#VALUE!</v>
      </c>
      <c r="AO27" s="31" t="e">
        <f t="shared" ca="1" si="8"/>
        <v>#VALUE!</v>
      </c>
      <c r="AP27" s="31" t="e">
        <f t="shared" ca="1" si="8"/>
        <v>#VALUE!</v>
      </c>
      <c r="AQ27" s="31" t="e">
        <f t="shared" ca="1" si="8"/>
        <v>#VALUE!</v>
      </c>
      <c r="AR27" s="31" t="e">
        <f t="shared" ca="1" si="8"/>
        <v>#VALUE!</v>
      </c>
      <c r="AS27" s="31" t="e">
        <f t="shared" ca="1" si="8"/>
        <v>#VALUE!</v>
      </c>
      <c r="AT27" s="31" t="e">
        <f t="shared" ca="1" si="8"/>
        <v>#VALUE!</v>
      </c>
      <c r="AU27" s="31" t="e">
        <f t="shared" ca="1" si="8"/>
        <v>#VALUE!</v>
      </c>
      <c r="AV27" s="31" t="e">
        <f t="shared" ca="1" si="8"/>
        <v>#VALUE!</v>
      </c>
    </row>
    <row r="28" spans="2:48" x14ac:dyDescent="0.25">
      <c r="B28" t="s">
        <v>473</v>
      </c>
      <c r="D28" s="31" t="e">
        <f ca="1">SUM(D24:D27)</f>
        <v>#VALUE!</v>
      </c>
      <c r="E28" s="31" t="e">
        <f t="shared" ref="E28:AV28" ca="1" si="9">SUM(E24:E27)</f>
        <v>#VALUE!</v>
      </c>
      <c r="F28" s="31" t="e">
        <f t="shared" ca="1" si="9"/>
        <v>#VALUE!</v>
      </c>
      <c r="G28" s="31" t="e">
        <f t="shared" ca="1" si="9"/>
        <v>#VALUE!</v>
      </c>
      <c r="H28" s="31" t="e">
        <f t="shared" ca="1" si="9"/>
        <v>#VALUE!</v>
      </c>
      <c r="I28" s="31" t="e">
        <f t="shared" ca="1" si="9"/>
        <v>#VALUE!</v>
      </c>
      <c r="J28" s="31" t="e">
        <f t="shared" ca="1" si="9"/>
        <v>#VALUE!</v>
      </c>
      <c r="K28" s="31" t="e">
        <f t="shared" ca="1" si="9"/>
        <v>#VALUE!</v>
      </c>
      <c r="L28" s="31" t="e">
        <f t="shared" ca="1" si="9"/>
        <v>#VALUE!</v>
      </c>
      <c r="M28" s="31" t="e">
        <f t="shared" ca="1" si="9"/>
        <v>#VALUE!</v>
      </c>
      <c r="N28" s="31" t="e">
        <f t="shared" ca="1" si="9"/>
        <v>#VALUE!</v>
      </c>
      <c r="O28" s="31" t="e">
        <f t="shared" ca="1" si="9"/>
        <v>#VALUE!</v>
      </c>
      <c r="P28" s="31" t="e">
        <f t="shared" ca="1" si="9"/>
        <v>#VALUE!</v>
      </c>
      <c r="Q28" s="31" t="e">
        <f t="shared" ca="1" si="9"/>
        <v>#VALUE!</v>
      </c>
      <c r="R28" s="31" t="e">
        <f t="shared" ca="1" si="9"/>
        <v>#VALUE!</v>
      </c>
      <c r="S28" s="31" t="e">
        <f t="shared" ca="1" si="9"/>
        <v>#VALUE!</v>
      </c>
      <c r="T28" s="31" t="e">
        <f t="shared" ca="1" si="9"/>
        <v>#VALUE!</v>
      </c>
      <c r="U28" s="31" t="e">
        <f t="shared" ca="1" si="9"/>
        <v>#VALUE!</v>
      </c>
      <c r="V28" s="31" t="e">
        <f t="shared" ca="1" si="9"/>
        <v>#VALUE!</v>
      </c>
      <c r="W28" s="31" t="e">
        <f t="shared" ca="1" si="9"/>
        <v>#VALUE!</v>
      </c>
      <c r="X28" s="31" t="e">
        <f t="shared" ca="1" si="9"/>
        <v>#VALUE!</v>
      </c>
      <c r="Y28" s="31" t="e">
        <f t="shared" ca="1" si="9"/>
        <v>#VALUE!</v>
      </c>
      <c r="Z28" s="31" t="e">
        <f t="shared" ca="1" si="9"/>
        <v>#VALUE!</v>
      </c>
      <c r="AA28" s="31" t="e">
        <f t="shared" ca="1" si="9"/>
        <v>#VALUE!</v>
      </c>
      <c r="AB28" s="31" t="e">
        <f t="shared" ca="1" si="9"/>
        <v>#VALUE!</v>
      </c>
      <c r="AC28" s="31" t="e">
        <f t="shared" ca="1" si="9"/>
        <v>#VALUE!</v>
      </c>
      <c r="AD28" s="31" t="e">
        <f t="shared" ca="1" si="9"/>
        <v>#VALUE!</v>
      </c>
      <c r="AE28" s="31" t="e">
        <f t="shared" ca="1" si="9"/>
        <v>#VALUE!</v>
      </c>
      <c r="AF28" s="31" t="e">
        <f t="shared" ca="1" si="9"/>
        <v>#VALUE!</v>
      </c>
      <c r="AG28" s="31" t="e">
        <f t="shared" ca="1" si="9"/>
        <v>#VALUE!</v>
      </c>
      <c r="AH28" s="31" t="e">
        <f t="shared" ca="1" si="9"/>
        <v>#VALUE!</v>
      </c>
      <c r="AI28" s="31" t="e">
        <f t="shared" ca="1" si="9"/>
        <v>#VALUE!</v>
      </c>
      <c r="AJ28" s="31" t="e">
        <f t="shared" ca="1" si="9"/>
        <v>#VALUE!</v>
      </c>
      <c r="AK28" s="31" t="e">
        <f t="shared" ca="1" si="9"/>
        <v>#VALUE!</v>
      </c>
      <c r="AL28" s="31" t="e">
        <f t="shared" ca="1" si="9"/>
        <v>#VALUE!</v>
      </c>
      <c r="AM28" s="31" t="e">
        <f t="shared" ca="1" si="9"/>
        <v>#VALUE!</v>
      </c>
      <c r="AN28" s="31" t="e">
        <f t="shared" ca="1" si="9"/>
        <v>#VALUE!</v>
      </c>
      <c r="AO28" s="31" t="e">
        <f t="shared" ca="1" si="9"/>
        <v>#VALUE!</v>
      </c>
      <c r="AP28" s="31" t="e">
        <f t="shared" ca="1" si="9"/>
        <v>#VALUE!</v>
      </c>
      <c r="AQ28" s="31" t="e">
        <f t="shared" ca="1" si="9"/>
        <v>#VALUE!</v>
      </c>
      <c r="AR28" s="31" t="e">
        <f t="shared" ca="1" si="9"/>
        <v>#VALUE!</v>
      </c>
      <c r="AS28" s="31" t="e">
        <f t="shared" ca="1" si="9"/>
        <v>#VALUE!</v>
      </c>
      <c r="AT28" s="31" t="e">
        <f t="shared" ca="1" si="9"/>
        <v>#VALUE!</v>
      </c>
      <c r="AU28" s="31" t="e">
        <f t="shared" ca="1" si="9"/>
        <v>#VALUE!</v>
      </c>
      <c r="AV28" s="31" t="e">
        <f t="shared" ca="1" si="9"/>
        <v>#VALUE!</v>
      </c>
    </row>
    <row r="30" spans="2:48" x14ac:dyDescent="0.25">
      <c r="C30" s="27">
        <v>2006</v>
      </c>
      <c r="D30" s="27">
        <v>2010</v>
      </c>
      <c r="E30" s="27">
        <v>2020</v>
      </c>
      <c r="F30" s="27">
        <v>2030</v>
      </c>
      <c r="G30" s="27">
        <v>2050</v>
      </c>
    </row>
    <row r="31" spans="2:48" x14ac:dyDescent="0.25">
      <c r="B31" t="s">
        <v>474</v>
      </c>
      <c r="C31" s="31" t="e">
        <f ca="1">Output("SCEN_ADEMEhaut",$B31,C$30)</f>
        <v>#VALUE!</v>
      </c>
      <c r="D31" s="126" t="e">
        <f t="shared" ref="D31:G40" ca="1" si="10">Output("SCEN_ADEMEhaut",$B31,D$30)</f>
        <v>#VALUE!</v>
      </c>
      <c r="E31" s="126" t="e">
        <f t="shared" ca="1" si="10"/>
        <v>#VALUE!</v>
      </c>
      <c r="F31" s="126" t="e">
        <f t="shared" ca="1" si="10"/>
        <v>#VALUE!</v>
      </c>
      <c r="G31" s="126" t="e">
        <f ca="1">Output("SCEN_ADEMEhaut",$B31,G$30)</f>
        <v>#VALUE!</v>
      </c>
    </row>
    <row r="32" spans="2:48" x14ac:dyDescent="0.25">
      <c r="B32" t="s">
        <v>475</v>
      </c>
      <c r="C32" s="31" t="e">
        <f t="shared" ref="C32:C40" ca="1" si="11">Output("SCEN_ADEMEhaut",$B32,C$30)</f>
        <v>#VALUE!</v>
      </c>
      <c r="D32" s="126" t="e">
        <f ca="1">Output("SCEN_ADEMEhaut",$B32,D$30)</f>
        <v>#VALUE!</v>
      </c>
      <c r="E32" s="126" t="e">
        <f t="shared" ca="1" si="10"/>
        <v>#VALUE!</v>
      </c>
      <c r="F32" s="126" t="e">
        <f t="shared" ca="1" si="10"/>
        <v>#VALUE!</v>
      </c>
      <c r="G32" s="126" t="e">
        <f t="shared" ca="1" si="10"/>
        <v>#VALUE!</v>
      </c>
    </row>
    <row r="33" spans="2:7" x14ac:dyDescent="0.25">
      <c r="B33" t="s">
        <v>476</v>
      </c>
      <c r="C33" s="31" t="e">
        <f t="shared" ca="1" si="11"/>
        <v>#VALUE!</v>
      </c>
      <c r="D33" s="126" t="e">
        <f t="shared" ca="1" si="10"/>
        <v>#VALUE!</v>
      </c>
      <c r="E33" s="126" t="e">
        <f t="shared" ca="1" si="10"/>
        <v>#VALUE!</v>
      </c>
      <c r="F33" s="126" t="e">
        <f t="shared" ca="1" si="10"/>
        <v>#VALUE!</v>
      </c>
      <c r="G33" s="126" t="e">
        <f t="shared" ca="1" si="10"/>
        <v>#VALUE!</v>
      </c>
    </row>
    <row r="34" spans="2:7" x14ac:dyDescent="0.25">
      <c r="B34" t="s">
        <v>477</v>
      </c>
      <c r="C34" s="31" t="e">
        <f t="shared" ca="1" si="11"/>
        <v>#VALUE!</v>
      </c>
      <c r="D34" s="126" t="e">
        <f t="shared" ca="1" si="10"/>
        <v>#VALUE!</v>
      </c>
      <c r="E34" s="126" t="e">
        <f t="shared" ca="1" si="10"/>
        <v>#VALUE!</v>
      </c>
      <c r="F34" s="126" t="e">
        <f t="shared" ca="1" si="10"/>
        <v>#VALUE!</v>
      </c>
      <c r="G34" s="126" t="e">
        <f t="shared" ca="1" si="10"/>
        <v>#VALUE!</v>
      </c>
    </row>
    <row r="35" spans="2:7" x14ac:dyDescent="0.25">
      <c r="B35" t="s">
        <v>472</v>
      </c>
      <c r="C35" s="31" t="e">
        <f ca="1">SUM(C31:C34)</f>
        <v>#VALUE!</v>
      </c>
      <c r="D35" s="126" t="e">
        <f t="shared" ref="D35:G35" ca="1" si="12">SUM(D31:D34)</f>
        <v>#VALUE!</v>
      </c>
      <c r="E35" s="126" t="e">
        <f t="shared" ca="1" si="12"/>
        <v>#VALUE!</v>
      </c>
      <c r="F35" s="126" t="e">
        <f t="shared" ca="1" si="12"/>
        <v>#VALUE!</v>
      </c>
      <c r="G35" s="126" t="e">
        <f t="shared" ca="1" si="12"/>
        <v>#VALUE!</v>
      </c>
    </row>
    <row r="36" spans="2:7" x14ac:dyDescent="0.25">
      <c r="C36" s="31"/>
      <c r="D36" s="126"/>
      <c r="E36" s="126"/>
      <c r="F36" s="126"/>
      <c r="G36" s="126"/>
    </row>
    <row r="37" spans="2:7" x14ac:dyDescent="0.25">
      <c r="B37" t="s">
        <v>478</v>
      </c>
      <c r="C37" s="31" t="e">
        <f t="shared" ca="1" si="11"/>
        <v>#VALUE!</v>
      </c>
      <c r="D37" s="126" t="e">
        <f t="shared" ca="1" si="10"/>
        <v>#VALUE!</v>
      </c>
      <c r="E37" s="126" t="e">
        <f t="shared" ca="1" si="10"/>
        <v>#VALUE!</v>
      </c>
      <c r="F37" s="126" t="e">
        <f t="shared" ca="1" si="10"/>
        <v>#VALUE!</v>
      </c>
      <c r="G37" s="126" t="e">
        <f t="shared" ca="1" si="10"/>
        <v>#VALUE!</v>
      </c>
    </row>
    <row r="38" spans="2:7" x14ac:dyDescent="0.25">
      <c r="B38" t="s">
        <v>479</v>
      </c>
      <c r="C38" s="31" t="e">
        <f t="shared" ca="1" si="11"/>
        <v>#VALUE!</v>
      </c>
      <c r="D38" s="126" t="e">
        <f t="shared" ca="1" si="10"/>
        <v>#VALUE!</v>
      </c>
      <c r="E38" s="126" t="e">
        <f t="shared" ca="1" si="10"/>
        <v>#VALUE!</v>
      </c>
      <c r="F38" s="126" t="e">
        <f t="shared" ca="1" si="10"/>
        <v>#VALUE!</v>
      </c>
      <c r="G38" s="126" t="e">
        <f t="shared" ca="1" si="10"/>
        <v>#VALUE!</v>
      </c>
    </row>
    <row r="39" spans="2:7" x14ac:dyDescent="0.25">
      <c r="B39" t="s">
        <v>480</v>
      </c>
      <c r="C39" s="31" t="e">
        <f t="shared" ca="1" si="11"/>
        <v>#VALUE!</v>
      </c>
      <c r="D39" s="126" t="e">
        <f t="shared" ca="1" si="10"/>
        <v>#VALUE!</v>
      </c>
      <c r="E39" s="126" t="e">
        <f t="shared" ca="1" si="10"/>
        <v>#VALUE!</v>
      </c>
      <c r="F39" s="126" t="e">
        <f t="shared" ca="1" si="10"/>
        <v>#VALUE!</v>
      </c>
      <c r="G39" s="126" t="e">
        <f t="shared" ca="1" si="10"/>
        <v>#VALUE!</v>
      </c>
    </row>
    <row r="40" spans="2:7" x14ac:dyDescent="0.25">
      <c r="B40" t="s">
        <v>481</v>
      </c>
      <c r="C40" s="31" t="e">
        <f t="shared" ca="1" si="11"/>
        <v>#VALUE!</v>
      </c>
      <c r="D40" s="126" t="e">
        <f t="shared" ca="1" si="10"/>
        <v>#VALUE!</v>
      </c>
      <c r="E40" s="126" t="e">
        <f t="shared" ca="1" si="10"/>
        <v>#VALUE!</v>
      </c>
      <c r="F40" s="126" t="e">
        <f t="shared" ca="1" si="10"/>
        <v>#VALUE!</v>
      </c>
      <c r="G40" s="126" t="e">
        <f t="shared" ca="1" si="10"/>
        <v>#VALUE!</v>
      </c>
    </row>
    <row r="41" spans="2:7" x14ac:dyDescent="0.25">
      <c r="B41" t="s">
        <v>473</v>
      </c>
      <c r="C41" s="31" t="e">
        <f ca="1">SUM(C37:C40)</f>
        <v>#VALUE!</v>
      </c>
      <c r="D41" s="126" t="e">
        <f t="shared" ref="D41:G41" ca="1" si="13">SUM(D37:D40)</f>
        <v>#VALUE!</v>
      </c>
      <c r="E41" s="126" t="e">
        <f t="shared" ca="1" si="13"/>
        <v>#VALUE!</v>
      </c>
      <c r="F41" s="126" t="e">
        <f t="shared" ca="1" si="13"/>
        <v>#VALUE!</v>
      </c>
      <c r="G41" s="126" t="e">
        <f t="shared" ca="1" si="13"/>
        <v>#VALUE!</v>
      </c>
    </row>
    <row r="42" spans="2:7" x14ac:dyDescent="0.25">
      <c r="D42" s="127"/>
      <c r="E42" s="127"/>
      <c r="F42" s="127"/>
      <c r="G42" s="127"/>
    </row>
    <row r="43" spans="2:7" x14ac:dyDescent="0.25">
      <c r="B43" t="s">
        <v>600</v>
      </c>
      <c r="C43" s="31">
        <v>76983.483112875299</v>
      </c>
      <c r="D43" s="126" t="e">
        <f t="shared" ref="D43:G44" ca="1" si="14">Output("SCEN_ADEMEhaut",$B43,D$30)</f>
        <v>#VALUE!</v>
      </c>
      <c r="E43" s="126" t="e">
        <f t="shared" ca="1" si="14"/>
        <v>#VALUE!</v>
      </c>
      <c r="F43" s="126" t="e">
        <f t="shared" ca="1" si="14"/>
        <v>#VALUE!</v>
      </c>
      <c r="G43" s="126" t="e">
        <f t="shared" ca="1" si="14"/>
        <v>#VALUE!</v>
      </c>
    </row>
    <row r="44" spans="2:7" x14ac:dyDescent="0.25">
      <c r="B44" t="s">
        <v>601</v>
      </c>
      <c r="C44">
        <v>83963.308846731597</v>
      </c>
      <c r="D44" s="126" t="e">
        <f t="shared" ca="1" si="14"/>
        <v>#VALUE!</v>
      </c>
      <c r="E44" s="126" t="e">
        <f t="shared" ca="1" si="14"/>
        <v>#VALUE!</v>
      </c>
      <c r="F44" s="126" t="e">
        <f t="shared" ca="1" si="14"/>
        <v>#VALUE!</v>
      </c>
      <c r="G44" s="126" t="e">
        <f t="shared" ca="1" si="14"/>
        <v>#VALUE!</v>
      </c>
    </row>
    <row r="45" spans="2:7" x14ac:dyDescent="0.25">
      <c r="B45" t="s">
        <v>472</v>
      </c>
      <c r="D45" s="126" t="e">
        <f ca="1">SUM(D43:D44)</f>
        <v>#VALUE!</v>
      </c>
      <c r="E45" s="126" t="e">
        <f t="shared" ref="E45:G45" ca="1" si="15">SUM(E43:E44)</f>
        <v>#VALUE!</v>
      </c>
      <c r="F45" s="126" t="e">
        <f t="shared" ca="1" si="15"/>
        <v>#VALUE!</v>
      </c>
      <c r="G45" s="126" t="e">
        <f t="shared" ca="1" si="15"/>
        <v>#VALUE!</v>
      </c>
    </row>
    <row r="46" spans="2:7" x14ac:dyDescent="0.25">
      <c r="D46" s="126"/>
      <c r="E46" s="126"/>
      <c r="F46" s="127"/>
      <c r="G46" s="127"/>
    </row>
    <row r="47" spans="2:7" x14ac:dyDescent="0.25">
      <c r="B47" t="s">
        <v>602</v>
      </c>
      <c r="D47" s="126" t="e">
        <f t="shared" ref="D47:G48" ca="1" si="16">Output("SCEN_ADEMEhaut",$B47,D$30)</f>
        <v>#VALUE!</v>
      </c>
      <c r="E47" s="126" t="e">
        <f t="shared" ca="1" si="16"/>
        <v>#VALUE!</v>
      </c>
      <c r="F47" s="126" t="e">
        <f t="shared" ca="1" si="16"/>
        <v>#VALUE!</v>
      </c>
      <c r="G47" s="126" t="e">
        <f t="shared" ca="1" si="16"/>
        <v>#VALUE!</v>
      </c>
    </row>
    <row r="48" spans="2:7" x14ac:dyDescent="0.25">
      <c r="B48" t="s">
        <v>603</v>
      </c>
      <c r="D48" s="126" t="e">
        <f t="shared" ca="1" si="16"/>
        <v>#VALUE!</v>
      </c>
      <c r="E48" s="126" t="e">
        <f t="shared" ca="1" si="16"/>
        <v>#VALUE!</v>
      </c>
      <c r="F48" s="126" t="e">
        <f t="shared" ca="1" si="16"/>
        <v>#VALUE!</v>
      </c>
      <c r="G48" s="126" t="e">
        <f t="shared" ca="1" si="16"/>
        <v>#VALUE!</v>
      </c>
    </row>
    <row r="49" spans="1:7" x14ac:dyDescent="0.25">
      <c r="B49" t="s">
        <v>586</v>
      </c>
      <c r="D49" s="126" t="e">
        <f ca="1">SUM(D47:D48)</f>
        <v>#VALUE!</v>
      </c>
      <c r="E49" s="126" t="e">
        <f t="shared" ref="E49:G49" ca="1" si="17">SUM(E47:E48)</f>
        <v>#VALUE!</v>
      </c>
      <c r="F49" s="126" t="e">
        <f t="shared" ca="1" si="17"/>
        <v>#VALUE!</v>
      </c>
      <c r="G49" s="126" t="e">
        <f t="shared" ca="1" si="17"/>
        <v>#VALUE!</v>
      </c>
    </row>
    <row r="50" spans="1:7" x14ac:dyDescent="0.25">
      <c r="D50" s="126"/>
      <c r="E50" s="126"/>
      <c r="F50" s="126"/>
      <c r="G50" s="126"/>
    </row>
    <row r="51" spans="1:7" x14ac:dyDescent="0.25">
      <c r="B51" t="s">
        <v>468</v>
      </c>
      <c r="C51" s="31" t="e">
        <f t="shared" ref="C51:G52" ca="1" si="18">Output("SCEN_ADEMEhaut",$B51,C$30)</f>
        <v>#VALUE!</v>
      </c>
      <c r="D51" s="126" t="e">
        <f t="shared" ca="1" si="18"/>
        <v>#VALUE!</v>
      </c>
      <c r="E51" s="126" t="e">
        <f t="shared" ca="1" si="18"/>
        <v>#VALUE!</v>
      </c>
      <c r="F51" s="126" t="e">
        <f t="shared" ca="1" si="18"/>
        <v>#VALUE!</v>
      </c>
      <c r="G51" s="126" t="e">
        <f t="shared" ca="1" si="18"/>
        <v>#VALUE!</v>
      </c>
    </row>
    <row r="52" spans="1:7" x14ac:dyDescent="0.25">
      <c r="B52" t="s">
        <v>469</v>
      </c>
      <c r="C52" s="31" t="e">
        <f ca="1">Output("SCEN_ADEMEhaut",$B52,C$30)</f>
        <v>#VALUE!</v>
      </c>
      <c r="D52" s="126" t="e">
        <f ca="1">Output("SCEN_ADEMEhaut",$B52,D$30)</f>
        <v>#VALUE!</v>
      </c>
      <c r="E52" s="126" t="e">
        <f t="shared" ca="1" si="18"/>
        <v>#VALUE!</v>
      </c>
      <c r="F52" s="126" t="e">
        <f t="shared" ca="1" si="18"/>
        <v>#VALUE!</v>
      </c>
      <c r="G52" s="126" t="e">
        <f t="shared" ca="1" si="18"/>
        <v>#VALUE!</v>
      </c>
    </row>
    <row r="53" spans="1:7" x14ac:dyDescent="0.25">
      <c r="C53" s="31"/>
      <c r="D53" s="126"/>
      <c r="E53" s="126"/>
      <c r="F53" s="126"/>
      <c r="G53" s="126"/>
    </row>
    <row r="54" spans="1:7" ht="60" x14ac:dyDescent="0.25">
      <c r="A54" s="106" t="s">
        <v>471</v>
      </c>
      <c r="D54" s="127"/>
      <c r="E54" s="127"/>
      <c r="F54" s="127"/>
      <c r="G54" s="127"/>
    </row>
    <row r="55" spans="1:7" x14ac:dyDescent="0.25">
      <c r="B55" t="s">
        <v>472</v>
      </c>
      <c r="D55" s="127" t="e">
        <f ca="1">D51-D35</f>
        <v>#VALUE!</v>
      </c>
      <c r="E55" s="127" t="e">
        <f t="shared" ref="E55:G55" ca="1" si="19">E51-E35</f>
        <v>#VALUE!</v>
      </c>
      <c r="F55" s="127" t="e">
        <f t="shared" ca="1" si="19"/>
        <v>#VALUE!</v>
      </c>
      <c r="G55" s="127" t="e">
        <f t="shared" ca="1" si="19"/>
        <v>#VALUE!</v>
      </c>
    </row>
    <row r="56" spans="1:7" x14ac:dyDescent="0.25">
      <c r="B56" t="s">
        <v>473</v>
      </c>
      <c r="D56" s="127" t="e">
        <f ca="1">D52-D41</f>
        <v>#VALUE!</v>
      </c>
      <c r="E56" s="127" t="e">
        <f t="shared" ref="E56:G56" ca="1" si="20">E52-E41</f>
        <v>#VALUE!</v>
      </c>
      <c r="F56" s="127" t="e">
        <f t="shared" ca="1" si="20"/>
        <v>#VALUE!</v>
      </c>
      <c r="G56" s="127" t="e">
        <f t="shared" ca="1" si="20"/>
        <v>#VALUE!</v>
      </c>
    </row>
    <row r="57" spans="1:7" x14ac:dyDescent="0.25">
      <c r="D57" s="127"/>
      <c r="E57" s="127"/>
      <c r="F57" s="127"/>
      <c r="G57" s="127"/>
    </row>
    <row r="58" spans="1:7" ht="75" x14ac:dyDescent="0.25">
      <c r="A58" s="106" t="s">
        <v>589</v>
      </c>
      <c r="D58" s="127"/>
      <c r="E58" s="127"/>
      <c r="F58" s="127"/>
      <c r="G58" s="127"/>
    </row>
    <row r="59" spans="1:7" x14ac:dyDescent="0.25">
      <c r="B59" t="s">
        <v>472</v>
      </c>
      <c r="D59" s="127" t="e">
        <f ca="1">D51-D35-D45</f>
        <v>#VALUE!</v>
      </c>
      <c r="E59" s="127" t="e">
        <f t="shared" ref="E59:G59" ca="1" si="21">E51-E35-E45</f>
        <v>#VALUE!</v>
      </c>
      <c r="F59" s="127" t="e">
        <f t="shared" ca="1" si="21"/>
        <v>#VALUE!</v>
      </c>
      <c r="G59" s="127" t="e">
        <f t="shared" ca="1" si="21"/>
        <v>#VALUE!</v>
      </c>
    </row>
    <row r="60" spans="1:7" x14ac:dyDescent="0.25">
      <c r="B60" t="s">
        <v>473</v>
      </c>
      <c r="D60" s="127" t="e">
        <f ca="1">D52-D41-D49</f>
        <v>#VALUE!</v>
      </c>
      <c r="E60" s="127" t="e">
        <f t="shared" ref="E60:F60" ca="1" si="22">E52-E41-E49</f>
        <v>#VALUE!</v>
      </c>
      <c r="F60" s="127" t="e">
        <f t="shared" ca="1" si="22"/>
        <v>#VALUE!</v>
      </c>
      <c r="G60" s="127" t="e">
        <f ca="1">G52-G41-G49</f>
        <v>#VALUE!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0.79998168889431442"/>
  </sheetPr>
  <dimension ref="A1:R26"/>
  <sheetViews>
    <sheetView workbookViewId="0">
      <selection activeCell="L41" sqref="L41"/>
    </sheetView>
  </sheetViews>
  <sheetFormatPr baseColWidth="10" defaultRowHeight="15" x14ac:dyDescent="0.25"/>
  <sheetData>
    <row r="1" spans="1:18" ht="14.45" x14ac:dyDescent="0.35">
      <c r="A1" s="1" t="s">
        <v>464</v>
      </c>
      <c r="B1" s="1"/>
    </row>
    <row r="3" spans="1:18" ht="14.45" x14ac:dyDescent="0.35">
      <c r="A3" s="1" t="s">
        <v>465</v>
      </c>
      <c r="K3" s="1" t="s">
        <v>466</v>
      </c>
    </row>
    <row r="4" spans="1:18" ht="14.45" x14ac:dyDescent="0.35">
      <c r="A4" s="1"/>
    </row>
    <row r="5" spans="1:18" ht="14.45" x14ac:dyDescent="0.35">
      <c r="B5" s="27">
        <v>2006</v>
      </c>
      <c r="C5" s="27">
        <v>2010</v>
      </c>
      <c r="D5" s="27">
        <v>2015</v>
      </c>
      <c r="E5" s="27">
        <v>2020</v>
      </c>
      <c r="F5" s="27">
        <v>2030</v>
      </c>
      <c r="G5" s="27">
        <v>2040</v>
      </c>
      <c r="H5" s="27">
        <v>2050</v>
      </c>
      <c r="L5" s="27">
        <v>2006</v>
      </c>
      <c r="M5" s="27">
        <v>2010</v>
      </c>
      <c r="N5" s="27">
        <v>2015</v>
      </c>
      <c r="O5" s="27">
        <v>2020</v>
      </c>
      <c r="P5" s="27">
        <v>2030</v>
      </c>
      <c r="Q5" s="27">
        <v>2040</v>
      </c>
      <c r="R5" s="27">
        <v>2050</v>
      </c>
    </row>
    <row r="6" spans="1:18" x14ac:dyDescent="0.35">
      <c r="A6" s="23" t="s">
        <v>182</v>
      </c>
      <c r="B6" s="123" t="e">
        <f ca="1">'Primary energy'!E7</f>
        <v>#VALUE!</v>
      </c>
      <c r="C6" s="123" t="e">
        <f ca="1">'Primary energy'!F7</f>
        <v>#VALUE!</v>
      </c>
      <c r="D6" s="123" t="e">
        <f ca="1">'Primary energy'!G7</f>
        <v>#VALUE!</v>
      </c>
      <c r="E6" s="123" t="e">
        <f ca="1">'Primary energy'!H7</f>
        <v>#VALUE!</v>
      </c>
      <c r="F6" s="123" t="e">
        <f ca="1">'Primary energy'!I7</f>
        <v>#VALUE!</v>
      </c>
      <c r="G6" s="123" t="e">
        <f ca="1">'Primary energy'!J7</f>
        <v>#VALUE!</v>
      </c>
      <c r="H6" s="123" t="e">
        <f ca="1">'Primary energy'!K7</f>
        <v>#VALUE!</v>
      </c>
      <c r="K6" s="23" t="s">
        <v>182</v>
      </c>
      <c r="L6" s="123" t="e">
        <f ca="1">'Final energy'!E7</f>
        <v>#VALUE!</v>
      </c>
      <c r="M6" s="123" t="e">
        <f ca="1">'Final energy'!F7</f>
        <v>#VALUE!</v>
      </c>
      <c r="N6" s="123" t="e">
        <f ca="1">'Final energy'!G7</f>
        <v>#VALUE!</v>
      </c>
      <c r="O6" s="123" t="e">
        <f ca="1">'Final energy'!H7</f>
        <v>#VALUE!</v>
      </c>
      <c r="P6" s="123" t="e">
        <f ca="1">'Final energy'!I7</f>
        <v>#VALUE!</v>
      </c>
      <c r="Q6" s="123" t="e">
        <f ca="1">'Final energy'!J7</f>
        <v>#VALUE!</v>
      </c>
      <c r="R6" s="123" t="e">
        <f ca="1">'Final energy'!K7</f>
        <v>#VALUE!</v>
      </c>
    </row>
    <row r="7" spans="1:18" x14ac:dyDescent="0.35">
      <c r="A7" s="23" t="s">
        <v>172</v>
      </c>
      <c r="B7" s="123" t="e">
        <f ca="1">'Primary energy'!E25</f>
        <v>#VALUE!</v>
      </c>
      <c r="C7" s="123" t="e">
        <f ca="1">'Primary energy'!F25</f>
        <v>#VALUE!</v>
      </c>
      <c r="D7" s="123" t="e">
        <f ca="1">'Primary energy'!G25</f>
        <v>#VALUE!</v>
      </c>
      <c r="E7" s="123" t="e">
        <f ca="1">'Primary energy'!H25</f>
        <v>#VALUE!</v>
      </c>
      <c r="F7" s="123" t="e">
        <f ca="1">'Primary energy'!I25</f>
        <v>#VALUE!</v>
      </c>
      <c r="G7" s="123" t="e">
        <f ca="1">'Primary energy'!J25</f>
        <v>#VALUE!</v>
      </c>
      <c r="H7" s="123" t="e">
        <f ca="1">'Primary energy'!K25</f>
        <v>#VALUE!</v>
      </c>
      <c r="K7" s="23" t="s">
        <v>172</v>
      </c>
      <c r="L7" s="123" t="e">
        <f ca="1">'Final energy'!E25</f>
        <v>#VALUE!</v>
      </c>
      <c r="M7" s="123" t="e">
        <f ca="1">'Final energy'!F25</f>
        <v>#VALUE!</v>
      </c>
      <c r="N7" s="123" t="e">
        <f ca="1">'Final energy'!G25</f>
        <v>#VALUE!</v>
      </c>
      <c r="O7" s="123" t="e">
        <f ca="1">'Final energy'!H25</f>
        <v>#VALUE!</v>
      </c>
      <c r="P7" s="123" t="e">
        <f ca="1">'Final energy'!I25</f>
        <v>#VALUE!</v>
      </c>
      <c r="Q7" s="123" t="e">
        <f ca="1">'Final energy'!J25</f>
        <v>#VALUE!</v>
      </c>
      <c r="R7" s="123" t="e">
        <f ca="1">'Final energy'!K25</f>
        <v>#VALUE!</v>
      </c>
    </row>
    <row r="8" spans="1:18" x14ac:dyDescent="0.35">
      <c r="A8" s="23" t="s">
        <v>461</v>
      </c>
      <c r="B8" s="123" t="e">
        <f ca="1">'Primary energy'!E10</f>
        <v>#VALUE!</v>
      </c>
      <c r="C8" s="123" t="e">
        <f ca="1">'Primary energy'!F10</f>
        <v>#VALUE!</v>
      </c>
      <c r="D8" s="123" t="e">
        <f ca="1">'Primary energy'!G10</f>
        <v>#VALUE!</v>
      </c>
      <c r="E8" s="123" t="e">
        <f ca="1">'Primary energy'!H10</f>
        <v>#VALUE!</v>
      </c>
      <c r="F8" s="123" t="e">
        <f ca="1">'Primary energy'!I10</f>
        <v>#VALUE!</v>
      </c>
      <c r="G8" s="123" t="e">
        <f ca="1">'Primary energy'!J10</f>
        <v>#VALUE!</v>
      </c>
      <c r="H8" s="123" t="e">
        <f ca="1">'Primary energy'!K10</f>
        <v>#VALUE!</v>
      </c>
      <c r="K8" s="23" t="s">
        <v>461</v>
      </c>
      <c r="L8" s="123" t="e">
        <f ca="1">'Final energy'!E10</f>
        <v>#VALUE!</v>
      </c>
      <c r="M8" s="123" t="e">
        <f ca="1">'Final energy'!F10</f>
        <v>#VALUE!</v>
      </c>
      <c r="N8" s="123" t="e">
        <f ca="1">'Final energy'!G10</f>
        <v>#VALUE!</v>
      </c>
      <c r="O8" s="123" t="e">
        <f ca="1">'Final energy'!H10</f>
        <v>#VALUE!</v>
      </c>
      <c r="P8" s="123" t="e">
        <f ca="1">'Final energy'!I10</f>
        <v>#VALUE!</v>
      </c>
      <c r="Q8" s="123" t="e">
        <f ca="1">'Final energy'!J10</f>
        <v>#VALUE!</v>
      </c>
      <c r="R8" s="123" t="e">
        <f ca="1">'Final energy'!K10</f>
        <v>#VALUE!</v>
      </c>
    </row>
    <row r="9" spans="1:18" x14ac:dyDescent="0.35">
      <c r="A9" s="23" t="s">
        <v>462</v>
      </c>
      <c r="B9" s="123" t="e">
        <f ca="1">SUM('Primary energy'!E11:'Primary energy'!E13)</f>
        <v>#VALUE!</v>
      </c>
      <c r="C9" s="123" t="e">
        <f ca="1">SUM('Primary energy'!F11:'Primary energy'!F13)</f>
        <v>#VALUE!</v>
      </c>
      <c r="D9" s="123" t="e">
        <f ca="1">SUM('Primary energy'!G11:'Primary energy'!G13)</f>
        <v>#VALUE!</v>
      </c>
      <c r="E9" s="123" t="e">
        <f ca="1">SUM('Primary energy'!H11:'Primary energy'!H13)</f>
        <v>#VALUE!</v>
      </c>
      <c r="F9" s="123" t="e">
        <f ca="1">SUM('Primary energy'!I11:'Primary energy'!I13)</f>
        <v>#VALUE!</v>
      </c>
      <c r="G9" s="123" t="e">
        <f ca="1">SUM('Primary energy'!J11:'Primary energy'!J13)</f>
        <v>#VALUE!</v>
      </c>
      <c r="H9" s="123" t="e">
        <f ca="1">SUM('Primary energy'!K11:'Primary energy'!K13)</f>
        <v>#VALUE!</v>
      </c>
      <c r="K9" s="23" t="s">
        <v>462</v>
      </c>
      <c r="L9" s="123" t="e">
        <f ca="1">SUM('Final energy'!E11:'Final energy'!E13)</f>
        <v>#VALUE!</v>
      </c>
      <c r="M9" s="123" t="e">
        <f ca="1">SUM('Final energy'!F11:'Final energy'!F13)</f>
        <v>#VALUE!</v>
      </c>
      <c r="N9" s="123" t="e">
        <f ca="1">SUM('Final energy'!G11:'Final energy'!G13)</f>
        <v>#VALUE!</v>
      </c>
      <c r="O9" s="123" t="e">
        <f ca="1">SUM('Final energy'!H11:'Final energy'!H13)</f>
        <v>#VALUE!</v>
      </c>
      <c r="P9" s="123" t="e">
        <f ca="1">SUM('Final energy'!I11:'Final energy'!I13)</f>
        <v>#VALUE!</v>
      </c>
      <c r="Q9" s="123" t="e">
        <f ca="1">SUM('Final energy'!J11:'Final energy'!J13)</f>
        <v>#VALUE!</v>
      </c>
      <c r="R9" s="123" t="e">
        <f ca="1">SUM('Final energy'!K11:'Final energy'!K13)</f>
        <v>#VALUE!</v>
      </c>
    </row>
    <row r="10" spans="1:18" x14ac:dyDescent="0.35">
      <c r="A10" s="23" t="s">
        <v>176</v>
      </c>
      <c r="B10" s="123" t="e">
        <f ca="1">'Primary energy'!E19</f>
        <v>#VALUE!</v>
      </c>
      <c r="C10" s="123" t="e">
        <f ca="1">'Primary energy'!F19</f>
        <v>#VALUE!</v>
      </c>
      <c r="D10" s="123" t="e">
        <f ca="1">'Primary energy'!G19</f>
        <v>#VALUE!</v>
      </c>
      <c r="E10" s="123" t="e">
        <f ca="1">'Primary energy'!H19</f>
        <v>#VALUE!</v>
      </c>
      <c r="F10" s="123" t="e">
        <f ca="1">'Primary energy'!I19</f>
        <v>#VALUE!</v>
      </c>
      <c r="G10" s="123" t="e">
        <f ca="1">'Primary energy'!J19</f>
        <v>#VALUE!</v>
      </c>
      <c r="H10" s="123" t="e">
        <f ca="1">'Primary energy'!K19</f>
        <v>#VALUE!</v>
      </c>
      <c r="K10" s="23" t="s">
        <v>176</v>
      </c>
      <c r="L10" s="123" t="e">
        <f ca="1">'Final energy'!E19</f>
        <v>#VALUE!</v>
      </c>
      <c r="M10" s="123" t="e">
        <f ca="1">'Final energy'!F19</f>
        <v>#VALUE!</v>
      </c>
      <c r="N10" s="123" t="e">
        <f ca="1">'Final energy'!G19</f>
        <v>#VALUE!</v>
      </c>
      <c r="O10" s="123" t="e">
        <f ca="1">'Final energy'!H19</f>
        <v>#VALUE!</v>
      </c>
      <c r="P10" s="123" t="e">
        <f ca="1">'Final energy'!I19</f>
        <v>#VALUE!</v>
      </c>
      <c r="Q10" s="123" t="e">
        <f ca="1">'Final energy'!J19</f>
        <v>#VALUE!</v>
      </c>
      <c r="R10" s="123" t="e">
        <f ca="1">'Final energy'!K19</f>
        <v>#VALUE!</v>
      </c>
    </row>
    <row r="11" spans="1:18" x14ac:dyDescent="0.35">
      <c r="A11" s="23" t="s">
        <v>463</v>
      </c>
      <c r="B11" s="123" t="e">
        <f ca="1">SUM('Primary energy'!E8,'Primary energy'!E14:'Primary energy'!E17,'Primary energy'!E20:'Primary energy'!E24)</f>
        <v>#VALUE!</v>
      </c>
      <c r="C11" s="123" t="e">
        <f ca="1">SUM('Primary energy'!F8,'Primary energy'!F14:'Primary energy'!F17,'Primary energy'!F20:'Primary energy'!F24)</f>
        <v>#VALUE!</v>
      </c>
      <c r="D11" s="123" t="e">
        <f ca="1">SUM('Primary energy'!G8,'Primary energy'!G14:'Primary energy'!G17,'Primary energy'!G20:'Primary energy'!G24)</f>
        <v>#VALUE!</v>
      </c>
      <c r="E11" s="123" t="e">
        <f ca="1">SUM('Primary energy'!H8,'Primary energy'!H14:'Primary energy'!H17,'Primary energy'!H20:'Primary energy'!H24)</f>
        <v>#VALUE!</v>
      </c>
      <c r="F11" s="123" t="e">
        <f ca="1">SUM('Primary energy'!I8,'Primary energy'!I14:'Primary energy'!I17,'Primary energy'!I20:'Primary energy'!I24)</f>
        <v>#VALUE!</v>
      </c>
      <c r="G11" s="123" t="e">
        <f ca="1">SUM('Primary energy'!J8,'Primary energy'!J14:'Primary energy'!J17,'Primary energy'!J20:'Primary energy'!J24)</f>
        <v>#VALUE!</v>
      </c>
      <c r="H11" s="123" t="e">
        <f ca="1">SUM('Primary energy'!K8,'Primary energy'!K14:'Primary energy'!K17,'Primary energy'!K20:'Primary energy'!K24)</f>
        <v>#VALUE!</v>
      </c>
      <c r="K11" s="23" t="s">
        <v>463</v>
      </c>
      <c r="L11" s="123" t="e">
        <f ca="1">SUM('Final energy'!E8,'Final energy'!E14:'Final energy'!E17,'Final energy'!E20:'Final energy'!E24)</f>
        <v>#VALUE!</v>
      </c>
      <c r="M11" s="123" t="e">
        <f ca="1">SUM('Final energy'!F8,'Final energy'!F14:'Final energy'!F17,'Final energy'!F20:'Final energy'!F24)</f>
        <v>#VALUE!</v>
      </c>
      <c r="N11" s="123" t="e">
        <f ca="1">SUM('Final energy'!G8,'Final energy'!G14:'Final energy'!G17,'Final energy'!G20:'Final energy'!G24)</f>
        <v>#VALUE!</v>
      </c>
      <c r="O11" s="123" t="e">
        <f ca="1">SUM('Final energy'!H8,'Final energy'!H14:'Final energy'!H17,'Final energy'!H20:'Final energy'!H24)</f>
        <v>#VALUE!</v>
      </c>
      <c r="P11" s="123" t="e">
        <f ca="1">SUM('Final energy'!I8,'Final energy'!I14:'Final energy'!I17,'Final energy'!I20:'Final energy'!I24)</f>
        <v>#VALUE!</v>
      </c>
      <c r="Q11" s="123" t="e">
        <f ca="1">SUM('Final energy'!J8,'Final energy'!J14:'Final energy'!J17,'Final energy'!J20:'Final energy'!J24)</f>
        <v>#VALUE!</v>
      </c>
      <c r="R11" s="123" t="e">
        <f ca="1">SUM('Final energy'!K8,'Final energy'!K14:'Final energy'!K17,'Final energy'!K20:'Final energy'!K24)</f>
        <v>#VALUE!</v>
      </c>
    </row>
    <row r="12" spans="1:18" x14ac:dyDescent="0.35">
      <c r="A12" s="24"/>
      <c r="B12" s="123" t="e">
        <f ca="1">SUM(B6:B11)</f>
        <v>#VALUE!</v>
      </c>
      <c r="C12" s="123" t="e">
        <f t="shared" ref="C12:H12" ca="1" si="0">SUM(C6:C11)</f>
        <v>#VALUE!</v>
      </c>
      <c r="D12" s="123" t="e">
        <f t="shared" ca="1" si="0"/>
        <v>#VALUE!</v>
      </c>
      <c r="E12" s="123" t="e">
        <f t="shared" ca="1" si="0"/>
        <v>#VALUE!</v>
      </c>
      <c r="F12" s="123" t="e">
        <f t="shared" ca="1" si="0"/>
        <v>#VALUE!</v>
      </c>
      <c r="G12" s="123" t="e">
        <f t="shared" ca="1" si="0"/>
        <v>#VALUE!</v>
      </c>
      <c r="H12" s="123" t="e">
        <f t="shared" ca="1" si="0"/>
        <v>#VALUE!</v>
      </c>
      <c r="K12" s="24"/>
      <c r="L12" s="123" t="e">
        <f ca="1">SUM(L6:L11)</f>
        <v>#VALUE!</v>
      </c>
      <c r="M12" s="123" t="e">
        <f t="shared" ref="M12:R12" ca="1" si="1">SUM(M6:M11)</f>
        <v>#VALUE!</v>
      </c>
      <c r="N12" s="123" t="e">
        <f t="shared" ca="1" si="1"/>
        <v>#VALUE!</v>
      </c>
      <c r="O12" s="123" t="e">
        <f t="shared" ca="1" si="1"/>
        <v>#VALUE!</v>
      </c>
      <c r="P12" s="123" t="e">
        <f t="shared" ca="1" si="1"/>
        <v>#VALUE!</v>
      </c>
      <c r="Q12" s="123" t="e">
        <f t="shared" ca="1" si="1"/>
        <v>#VALUE!</v>
      </c>
      <c r="R12" s="123" t="e">
        <f t="shared" ca="1" si="1"/>
        <v>#VALUE!</v>
      </c>
    </row>
    <row r="15" spans="1:18" ht="14.45" x14ac:dyDescent="0.35">
      <c r="A15" s="1" t="s">
        <v>467</v>
      </c>
      <c r="B15" s="1"/>
    </row>
    <row r="17" spans="1:18" ht="14.45" x14ac:dyDescent="0.35">
      <c r="A17" s="1" t="s">
        <v>465</v>
      </c>
      <c r="K17" s="1" t="s">
        <v>466</v>
      </c>
    </row>
    <row r="18" spans="1:18" ht="14.45" x14ac:dyDescent="0.35">
      <c r="A18" s="1"/>
    </row>
    <row r="19" spans="1:18" ht="14.45" x14ac:dyDescent="0.35">
      <c r="B19" s="27">
        <v>2006</v>
      </c>
      <c r="C19" s="27">
        <v>2010</v>
      </c>
      <c r="D19" s="27">
        <v>2015</v>
      </c>
      <c r="E19" s="27">
        <v>2020</v>
      </c>
      <c r="F19" s="27">
        <v>2030</v>
      </c>
      <c r="G19" s="27">
        <v>2040</v>
      </c>
      <c r="H19" s="27">
        <v>2050</v>
      </c>
      <c r="L19" s="27">
        <v>2006</v>
      </c>
      <c r="M19" s="27">
        <v>2010</v>
      </c>
      <c r="N19" s="27">
        <v>2015</v>
      </c>
      <c r="O19" s="27">
        <v>2020</v>
      </c>
      <c r="P19" s="27">
        <v>2030</v>
      </c>
      <c r="Q19" s="27">
        <v>2040</v>
      </c>
      <c r="R19" s="27">
        <v>2050</v>
      </c>
    </row>
    <row r="20" spans="1:18" x14ac:dyDescent="0.35">
      <c r="A20" s="23" t="s">
        <v>182</v>
      </c>
      <c r="B20" s="123" t="e">
        <f ca="1">'Primary energy'!E32</f>
        <v>#VALUE!</v>
      </c>
      <c r="C20" s="123" t="e">
        <f ca="1">'Primary energy'!F32</f>
        <v>#VALUE!</v>
      </c>
      <c r="D20" s="123" t="e">
        <f ca="1">'Primary energy'!G32</f>
        <v>#VALUE!</v>
      </c>
      <c r="E20" s="123" t="e">
        <f ca="1">'Primary energy'!H32</f>
        <v>#VALUE!</v>
      </c>
      <c r="F20" s="123" t="e">
        <f ca="1">'Primary energy'!I32</f>
        <v>#VALUE!</v>
      </c>
      <c r="G20" s="123" t="e">
        <f ca="1">'Primary energy'!J32</f>
        <v>#VALUE!</v>
      </c>
      <c r="H20" s="123" t="e">
        <f ca="1">'Primary energy'!K32</f>
        <v>#VALUE!</v>
      </c>
      <c r="K20" s="23" t="s">
        <v>182</v>
      </c>
      <c r="L20" s="123" t="e">
        <f ca="1">'Final energy'!E32</f>
        <v>#VALUE!</v>
      </c>
      <c r="M20" s="123" t="e">
        <f ca="1">'Final energy'!F32</f>
        <v>#VALUE!</v>
      </c>
      <c r="N20" s="123" t="e">
        <f ca="1">'Final energy'!G32</f>
        <v>#VALUE!</v>
      </c>
      <c r="O20" s="123" t="e">
        <f ca="1">'Final energy'!H32</f>
        <v>#VALUE!</v>
      </c>
      <c r="P20" s="123" t="e">
        <f ca="1">'Final energy'!I32</f>
        <v>#VALUE!</v>
      </c>
      <c r="Q20" s="123" t="e">
        <f ca="1">'Final energy'!J32</f>
        <v>#VALUE!</v>
      </c>
      <c r="R20" s="123" t="e">
        <f ca="1">'Final energy'!K32</f>
        <v>#VALUE!</v>
      </c>
    </row>
    <row r="21" spans="1:18" x14ac:dyDescent="0.35">
      <c r="A21" s="23" t="s">
        <v>172</v>
      </c>
      <c r="B21" s="123" t="e">
        <f ca="1">'Primary energy'!E50</f>
        <v>#VALUE!</v>
      </c>
      <c r="C21" s="123" t="e">
        <f ca="1">'Primary energy'!F50</f>
        <v>#VALUE!</v>
      </c>
      <c r="D21" s="123" t="e">
        <f ca="1">'Primary energy'!G50</f>
        <v>#VALUE!</v>
      </c>
      <c r="E21" s="123" t="e">
        <f ca="1">'Primary energy'!H50</f>
        <v>#VALUE!</v>
      </c>
      <c r="F21" s="123" t="e">
        <f ca="1">'Primary energy'!I50</f>
        <v>#VALUE!</v>
      </c>
      <c r="G21" s="123" t="e">
        <f ca="1">'Primary energy'!J50</f>
        <v>#VALUE!</v>
      </c>
      <c r="H21" s="123" t="e">
        <f ca="1">'Primary energy'!K50</f>
        <v>#VALUE!</v>
      </c>
      <c r="K21" s="23" t="s">
        <v>172</v>
      </c>
      <c r="L21" s="123" t="e">
        <f ca="1">'Final energy'!E50</f>
        <v>#VALUE!</v>
      </c>
      <c r="M21" s="123" t="e">
        <f ca="1">'Final energy'!F50</f>
        <v>#VALUE!</v>
      </c>
      <c r="N21" s="123" t="e">
        <f ca="1">'Final energy'!G50</f>
        <v>#VALUE!</v>
      </c>
      <c r="O21" s="123" t="e">
        <f ca="1">'Final energy'!H50</f>
        <v>#VALUE!</v>
      </c>
      <c r="P21" s="123" t="e">
        <f ca="1">'Final energy'!I50</f>
        <v>#VALUE!</v>
      </c>
      <c r="Q21" s="123" t="e">
        <f ca="1">'Final energy'!J50</f>
        <v>#VALUE!</v>
      </c>
      <c r="R21" s="123" t="e">
        <f ca="1">'Final energy'!K50</f>
        <v>#VALUE!</v>
      </c>
    </row>
    <row r="22" spans="1:18" ht="15.75" x14ac:dyDescent="0.25">
      <c r="A22" s="23" t="s">
        <v>461</v>
      </c>
      <c r="B22" s="123" t="e">
        <f ca="1">'Primary energy'!E35</f>
        <v>#VALUE!</v>
      </c>
      <c r="C22" s="123" t="e">
        <f ca="1">'Primary energy'!F35</f>
        <v>#VALUE!</v>
      </c>
      <c r="D22" s="123" t="e">
        <f ca="1">'Primary energy'!G35</f>
        <v>#VALUE!</v>
      </c>
      <c r="E22" s="123" t="e">
        <f ca="1">'Primary energy'!H35</f>
        <v>#VALUE!</v>
      </c>
      <c r="F22" s="123" t="e">
        <f ca="1">'Primary energy'!I35</f>
        <v>#VALUE!</v>
      </c>
      <c r="G22" s="123" t="e">
        <f ca="1">'Primary energy'!J35</f>
        <v>#VALUE!</v>
      </c>
      <c r="H22" s="123" t="e">
        <f ca="1">'Primary energy'!K35</f>
        <v>#VALUE!</v>
      </c>
      <c r="K22" s="23" t="s">
        <v>461</v>
      </c>
      <c r="L22" s="123" t="e">
        <f ca="1">'Final energy'!E35</f>
        <v>#VALUE!</v>
      </c>
      <c r="M22" s="123" t="e">
        <f ca="1">'Final energy'!F35</f>
        <v>#VALUE!</v>
      </c>
      <c r="N22" s="123" t="e">
        <f ca="1">'Final energy'!G35</f>
        <v>#VALUE!</v>
      </c>
      <c r="O22" s="123" t="e">
        <f ca="1">'Final energy'!H35</f>
        <v>#VALUE!</v>
      </c>
      <c r="P22" s="123" t="e">
        <f ca="1">'Final energy'!I35</f>
        <v>#VALUE!</v>
      </c>
      <c r="Q22" s="123" t="e">
        <f ca="1">'Final energy'!J35</f>
        <v>#VALUE!</v>
      </c>
      <c r="R22" s="123" t="e">
        <f ca="1">'Final energy'!K35</f>
        <v>#VALUE!</v>
      </c>
    </row>
    <row r="23" spans="1:18" ht="15.75" x14ac:dyDescent="0.25">
      <c r="A23" s="23" t="s">
        <v>462</v>
      </c>
      <c r="B23" s="123" t="e">
        <f ca="1">SUM('Primary energy'!E36:'Primary energy'!E38)</f>
        <v>#VALUE!</v>
      </c>
      <c r="C23" s="123" t="e">
        <f ca="1">SUM('Primary energy'!F36:'Primary energy'!F38)</f>
        <v>#VALUE!</v>
      </c>
      <c r="D23" s="123" t="e">
        <f ca="1">SUM('Primary energy'!G36:'Primary energy'!G38)</f>
        <v>#VALUE!</v>
      </c>
      <c r="E23" s="123" t="e">
        <f ca="1">SUM('Primary energy'!H36:'Primary energy'!H38)</f>
        <v>#VALUE!</v>
      </c>
      <c r="F23" s="123" t="e">
        <f ca="1">SUM('Primary energy'!I36:'Primary energy'!I38)</f>
        <v>#VALUE!</v>
      </c>
      <c r="G23" s="123" t="e">
        <f ca="1">SUM('Primary energy'!J36:'Primary energy'!J38)</f>
        <v>#VALUE!</v>
      </c>
      <c r="H23" s="123" t="e">
        <f ca="1">SUM('Primary energy'!K36:'Primary energy'!K38)</f>
        <v>#VALUE!</v>
      </c>
      <c r="K23" s="23" t="s">
        <v>462</v>
      </c>
      <c r="L23" s="123" t="e">
        <f ca="1">SUM('Final energy'!E36:'Final energy'!E38)</f>
        <v>#VALUE!</v>
      </c>
      <c r="M23" s="123" t="e">
        <f ca="1">SUM('Final energy'!F36:'Final energy'!F38)</f>
        <v>#VALUE!</v>
      </c>
      <c r="N23" s="123" t="e">
        <f ca="1">SUM('Final energy'!G36:'Final energy'!G38)</f>
        <v>#VALUE!</v>
      </c>
      <c r="O23" s="123" t="e">
        <f ca="1">SUM('Final energy'!H36:'Final energy'!H38)</f>
        <v>#VALUE!</v>
      </c>
      <c r="P23" s="123" t="e">
        <f ca="1">SUM('Final energy'!I36:'Final energy'!I38)</f>
        <v>#VALUE!</v>
      </c>
      <c r="Q23" s="123" t="e">
        <f ca="1">SUM('Final energy'!J36:'Final energy'!J38)</f>
        <v>#VALUE!</v>
      </c>
      <c r="R23" s="123" t="e">
        <f ca="1">SUM('Final energy'!K36:'Final energy'!K38)</f>
        <v>#VALUE!</v>
      </c>
    </row>
    <row r="24" spans="1:18" ht="15.75" x14ac:dyDescent="0.25">
      <c r="A24" s="23" t="s">
        <v>176</v>
      </c>
      <c r="B24" s="123" t="e">
        <f ca="1">'Primary energy'!E44</f>
        <v>#VALUE!</v>
      </c>
      <c r="C24" s="123" t="e">
        <f ca="1">'Primary energy'!F44</f>
        <v>#VALUE!</v>
      </c>
      <c r="D24" s="123" t="e">
        <f ca="1">'Primary energy'!G44</f>
        <v>#VALUE!</v>
      </c>
      <c r="E24" s="123" t="e">
        <f ca="1">'Primary energy'!H44</f>
        <v>#VALUE!</v>
      </c>
      <c r="F24" s="123" t="e">
        <f ca="1">'Primary energy'!I44</f>
        <v>#VALUE!</v>
      </c>
      <c r="G24" s="123" t="e">
        <f ca="1">'Primary energy'!J44</f>
        <v>#VALUE!</v>
      </c>
      <c r="H24" s="123" t="e">
        <f ca="1">'Primary energy'!K44</f>
        <v>#VALUE!</v>
      </c>
      <c r="K24" s="23" t="s">
        <v>176</v>
      </c>
      <c r="L24" s="123" t="e">
        <f ca="1">'Final energy'!E44</f>
        <v>#VALUE!</v>
      </c>
      <c r="M24" s="123" t="e">
        <f ca="1">'Final energy'!F44</f>
        <v>#VALUE!</v>
      </c>
      <c r="N24" s="123" t="e">
        <f ca="1">'Final energy'!G44</f>
        <v>#VALUE!</v>
      </c>
      <c r="O24" s="123" t="e">
        <f ca="1">'Final energy'!H44</f>
        <v>#VALUE!</v>
      </c>
      <c r="P24" s="123" t="e">
        <f ca="1">'Final energy'!I44</f>
        <v>#VALUE!</v>
      </c>
      <c r="Q24" s="123" t="e">
        <f ca="1">'Final energy'!J44</f>
        <v>#VALUE!</v>
      </c>
      <c r="R24" s="123" t="e">
        <f ca="1">'Final energy'!K44</f>
        <v>#VALUE!</v>
      </c>
    </row>
    <row r="25" spans="1:18" ht="15.75" x14ac:dyDescent="0.25">
      <c r="A25" s="23" t="s">
        <v>463</v>
      </c>
      <c r="B25" s="123" t="e">
        <f ca="1">SUM('Primary energy'!E33,'Primary energy'!E39:'Primary energy'!E42,'Primary energy'!E45:'Primary energy'!E49)</f>
        <v>#VALUE!</v>
      </c>
      <c r="C25" s="123" t="e">
        <f ca="1">SUM('Primary energy'!F33,'Primary energy'!F39:'Primary energy'!F42,'Primary energy'!F45:'Primary energy'!F49)</f>
        <v>#VALUE!</v>
      </c>
      <c r="D25" s="123" t="e">
        <f ca="1">SUM('Primary energy'!G33,'Primary energy'!G39:'Primary energy'!G42,'Primary energy'!G45:'Primary energy'!G49)</f>
        <v>#VALUE!</v>
      </c>
      <c r="E25" s="123" t="e">
        <f ca="1">SUM('Primary energy'!H33,'Primary energy'!H39:'Primary energy'!H42,'Primary energy'!H45:'Primary energy'!H49)</f>
        <v>#VALUE!</v>
      </c>
      <c r="F25" s="123" t="e">
        <f ca="1">SUM('Primary energy'!I33,'Primary energy'!I39:'Primary energy'!I42,'Primary energy'!I45:'Primary energy'!I49)</f>
        <v>#VALUE!</v>
      </c>
      <c r="G25" s="123" t="e">
        <f ca="1">SUM('Primary energy'!J33,'Primary energy'!J39:'Primary energy'!J42,'Primary energy'!J45:'Primary energy'!J49)</f>
        <v>#VALUE!</v>
      </c>
      <c r="H25" s="123" t="e">
        <f ca="1">SUM('Primary energy'!K33,'Primary energy'!K39:'Primary energy'!K42,'Primary energy'!K45:'Primary energy'!K49)</f>
        <v>#VALUE!</v>
      </c>
      <c r="K25" s="23" t="s">
        <v>463</v>
      </c>
      <c r="L25" s="123" t="e">
        <f ca="1">SUM('Final energy'!E33,'Final energy'!E39:'Final energy'!E42,'Final energy'!E45:'Final energy'!E49)</f>
        <v>#VALUE!</v>
      </c>
      <c r="M25" s="123" t="e">
        <f ca="1">SUM('Final energy'!F33,'Final energy'!F39:'Final energy'!F42,'Final energy'!F45:'Final energy'!F49)</f>
        <v>#VALUE!</v>
      </c>
      <c r="N25" s="123" t="e">
        <f ca="1">SUM('Final energy'!G33,'Final energy'!G39:'Final energy'!G42,'Final energy'!G45:'Final energy'!G49)</f>
        <v>#VALUE!</v>
      </c>
      <c r="O25" s="123" t="e">
        <f ca="1">SUM('Final energy'!H33,'Final energy'!H39:'Final energy'!H42,'Final energy'!H45:'Final energy'!H49)</f>
        <v>#VALUE!</v>
      </c>
      <c r="P25" s="123" t="e">
        <f ca="1">SUM('Final energy'!I33,'Final energy'!I39:'Final energy'!I42,'Final energy'!I45:'Final energy'!I49)</f>
        <v>#VALUE!</v>
      </c>
      <c r="Q25" s="123" t="e">
        <f ca="1">SUM('Final energy'!J33,'Final energy'!J39:'Final energy'!J42,'Final energy'!J45:'Final energy'!J49)</f>
        <v>#VALUE!</v>
      </c>
      <c r="R25" s="123" t="e">
        <f ca="1">SUM('Final energy'!K33,'Final energy'!K39:'Final energy'!K42,'Final energy'!K45:'Final energy'!K49)</f>
        <v>#VALUE!</v>
      </c>
    </row>
    <row r="26" spans="1:18" ht="15.75" x14ac:dyDescent="0.25">
      <c r="A26" s="24"/>
      <c r="B26" s="123" t="e">
        <f ca="1">SUM(B20:B25)</f>
        <v>#VALUE!</v>
      </c>
      <c r="C26" s="123" t="e">
        <f t="shared" ref="C26:H26" ca="1" si="2">SUM(C20:C25)</f>
        <v>#VALUE!</v>
      </c>
      <c r="D26" s="123" t="e">
        <f t="shared" ca="1" si="2"/>
        <v>#VALUE!</v>
      </c>
      <c r="E26" s="123" t="e">
        <f t="shared" ca="1" si="2"/>
        <v>#VALUE!</v>
      </c>
      <c r="F26" s="123" t="e">
        <f t="shared" ca="1" si="2"/>
        <v>#VALUE!</v>
      </c>
      <c r="G26" s="123" t="e">
        <f t="shared" ca="1" si="2"/>
        <v>#VALUE!</v>
      </c>
      <c r="H26" s="123" t="e">
        <f t="shared" ca="1" si="2"/>
        <v>#VALUE!</v>
      </c>
      <c r="K26" s="24"/>
      <c r="L26" s="123" t="e">
        <f ca="1">SUM(L20:L25)</f>
        <v>#VALUE!</v>
      </c>
      <c r="M26" s="123" t="e">
        <f t="shared" ref="M26:R26" ca="1" si="3">SUM(M20:M25)</f>
        <v>#VALUE!</v>
      </c>
      <c r="N26" s="123" t="e">
        <f t="shared" ca="1" si="3"/>
        <v>#VALUE!</v>
      </c>
      <c r="O26" s="123" t="e">
        <f t="shared" ca="1" si="3"/>
        <v>#VALUE!</v>
      </c>
      <c r="P26" s="123" t="e">
        <f t="shared" ca="1" si="3"/>
        <v>#VALUE!</v>
      </c>
      <c r="Q26" s="123" t="e">
        <f t="shared" ca="1" si="3"/>
        <v>#VALUE!</v>
      </c>
      <c r="R26" s="123" t="e">
        <f t="shared" ca="1" si="3"/>
        <v>#VALUE!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7" tint="0.79998168889431442"/>
  </sheetPr>
  <dimension ref="A1:N48"/>
  <sheetViews>
    <sheetView workbookViewId="0">
      <selection activeCell="L41" sqref="L41"/>
    </sheetView>
  </sheetViews>
  <sheetFormatPr baseColWidth="10" defaultRowHeight="15" x14ac:dyDescent="0.25"/>
  <cols>
    <col min="1" max="1" width="20.28515625" customWidth="1"/>
    <col min="9" max="9" width="14.7109375" customWidth="1"/>
    <col min="10" max="10" width="10.85546875" customWidth="1"/>
    <col min="13" max="13" width="40.85546875" customWidth="1"/>
    <col min="18" max="18" width="8.42578125" customWidth="1"/>
  </cols>
  <sheetData>
    <row r="1" spans="1:8" ht="14.45" x14ac:dyDescent="0.35">
      <c r="A1" s="1" t="s">
        <v>186</v>
      </c>
      <c r="B1" s="59">
        <v>2006</v>
      </c>
      <c r="C1" s="59">
        <v>2010</v>
      </c>
      <c r="D1" s="59">
        <v>2015</v>
      </c>
      <c r="E1" s="59">
        <v>2020</v>
      </c>
      <c r="F1" s="59">
        <v>2030</v>
      </c>
      <c r="G1" s="59">
        <v>2040</v>
      </c>
      <c r="H1" s="59">
        <v>2050</v>
      </c>
    </row>
    <row r="2" spans="1:8" ht="14.45" x14ac:dyDescent="0.35">
      <c r="A2" t="s">
        <v>289</v>
      </c>
      <c r="B2" t="e">
        <f ca="1">Output("SCEN_ADEMEhaut",$A2,B$1)</f>
        <v>#VALUE!</v>
      </c>
      <c r="C2" t="e">
        <f t="shared" ref="C2:H17" ca="1" si="0">Output("SCEN_ADEMEhaut",$A2,C$1)</f>
        <v>#VALUE!</v>
      </c>
      <c r="D2" t="e">
        <f t="shared" ca="1" si="0"/>
        <v>#VALUE!</v>
      </c>
      <c r="E2" t="e">
        <f t="shared" ca="1" si="0"/>
        <v>#VALUE!</v>
      </c>
      <c r="F2" t="e">
        <f t="shared" ca="1" si="0"/>
        <v>#VALUE!</v>
      </c>
      <c r="G2" t="e">
        <f t="shared" ca="1" si="0"/>
        <v>#VALUE!</v>
      </c>
      <c r="H2" t="e">
        <f t="shared" ca="1" si="0"/>
        <v>#VALUE!</v>
      </c>
    </row>
    <row r="3" spans="1:8" ht="14.45" x14ac:dyDescent="0.35">
      <c r="A3" t="s">
        <v>248</v>
      </c>
      <c r="B3" t="e">
        <f t="shared" ref="B3:H23" ca="1" si="1">Output("SCEN_ADEMEhaut",$A3,B$1)</f>
        <v>#VALUE!</v>
      </c>
      <c r="C3" t="e">
        <f t="shared" ca="1" si="0"/>
        <v>#VALUE!</v>
      </c>
      <c r="D3" t="e">
        <f t="shared" ca="1" si="0"/>
        <v>#VALUE!</v>
      </c>
      <c r="E3" t="e">
        <f t="shared" ca="1" si="0"/>
        <v>#VALUE!</v>
      </c>
      <c r="F3" t="e">
        <f t="shared" ca="1" si="0"/>
        <v>#VALUE!</v>
      </c>
      <c r="G3" t="e">
        <f t="shared" ca="1" si="0"/>
        <v>#VALUE!</v>
      </c>
      <c r="H3" t="e">
        <f t="shared" ca="1" si="0"/>
        <v>#VALUE!</v>
      </c>
    </row>
    <row r="4" spans="1:8" ht="14.45" x14ac:dyDescent="0.35">
      <c r="A4" t="s">
        <v>249</v>
      </c>
      <c r="B4" t="e">
        <f t="shared" ca="1" si="1"/>
        <v>#VALUE!</v>
      </c>
      <c r="C4" t="e">
        <f t="shared" ca="1" si="0"/>
        <v>#VALUE!</v>
      </c>
      <c r="D4" t="e">
        <f t="shared" ca="1" si="0"/>
        <v>#VALUE!</v>
      </c>
      <c r="E4" t="e">
        <f t="shared" ca="1" si="0"/>
        <v>#VALUE!</v>
      </c>
      <c r="F4" t="e">
        <f t="shared" ca="1" si="0"/>
        <v>#VALUE!</v>
      </c>
      <c r="G4" t="e">
        <f t="shared" ca="1" si="0"/>
        <v>#VALUE!</v>
      </c>
      <c r="H4" t="e">
        <f t="shared" ca="1" si="0"/>
        <v>#VALUE!</v>
      </c>
    </row>
    <row r="5" spans="1:8" ht="14.45" x14ac:dyDescent="0.35">
      <c r="A5" t="s">
        <v>250</v>
      </c>
      <c r="B5" t="e">
        <f t="shared" ca="1" si="1"/>
        <v>#VALUE!</v>
      </c>
      <c r="C5" t="e">
        <f t="shared" ca="1" si="0"/>
        <v>#VALUE!</v>
      </c>
      <c r="D5" t="e">
        <f t="shared" ca="1" si="0"/>
        <v>#VALUE!</v>
      </c>
      <c r="E5" t="e">
        <f t="shared" ca="1" si="0"/>
        <v>#VALUE!</v>
      </c>
      <c r="F5" t="e">
        <f t="shared" ca="1" si="0"/>
        <v>#VALUE!</v>
      </c>
      <c r="G5" t="e">
        <f t="shared" ca="1" si="0"/>
        <v>#VALUE!</v>
      </c>
      <c r="H5" t="e">
        <f t="shared" ca="1" si="0"/>
        <v>#VALUE!</v>
      </c>
    </row>
    <row r="6" spans="1:8" ht="14.45" x14ac:dyDescent="0.35">
      <c r="A6" t="s">
        <v>251</v>
      </c>
      <c r="B6" t="e">
        <f t="shared" ca="1" si="1"/>
        <v>#VALUE!</v>
      </c>
      <c r="C6" t="e">
        <f t="shared" ca="1" si="0"/>
        <v>#VALUE!</v>
      </c>
      <c r="D6" t="e">
        <f t="shared" ca="1" si="0"/>
        <v>#VALUE!</v>
      </c>
      <c r="E6" t="e">
        <f t="shared" ca="1" si="0"/>
        <v>#VALUE!</v>
      </c>
      <c r="F6" t="e">
        <f t="shared" ca="1" si="0"/>
        <v>#VALUE!</v>
      </c>
      <c r="G6" t="e">
        <f t="shared" ca="1" si="0"/>
        <v>#VALUE!</v>
      </c>
      <c r="H6" t="e">
        <f t="shared" ca="1" si="0"/>
        <v>#VALUE!</v>
      </c>
    </row>
    <row r="7" spans="1:8" ht="14.45" x14ac:dyDescent="0.35">
      <c r="A7" t="s">
        <v>252</v>
      </c>
      <c r="B7" t="e">
        <f t="shared" ca="1" si="1"/>
        <v>#VALUE!</v>
      </c>
      <c r="C7" t="e">
        <f t="shared" ca="1" si="0"/>
        <v>#VALUE!</v>
      </c>
      <c r="D7" t="e">
        <f t="shared" ca="1" si="0"/>
        <v>#VALUE!</v>
      </c>
      <c r="E7" t="e">
        <f t="shared" ca="1" si="0"/>
        <v>#VALUE!</v>
      </c>
      <c r="F7" t="e">
        <f t="shared" ca="1" si="0"/>
        <v>#VALUE!</v>
      </c>
      <c r="G7" t="e">
        <f t="shared" ca="1" si="0"/>
        <v>#VALUE!</v>
      </c>
      <c r="H7" t="e">
        <f t="shared" ca="1" si="0"/>
        <v>#VALUE!</v>
      </c>
    </row>
    <row r="8" spans="1:8" ht="14.45" x14ac:dyDescent="0.35">
      <c r="A8" t="s">
        <v>253</v>
      </c>
      <c r="B8" t="e">
        <f t="shared" ca="1" si="1"/>
        <v>#VALUE!</v>
      </c>
      <c r="C8" t="e">
        <f t="shared" ca="1" si="0"/>
        <v>#VALUE!</v>
      </c>
      <c r="D8" t="e">
        <f t="shared" ca="1" si="0"/>
        <v>#VALUE!</v>
      </c>
      <c r="E8" t="e">
        <f t="shared" ca="1" si="0"/>
        <v>#VALUE!</v>
      </c>
      <c r="F8" t="e">
        <f t="shared" ca="1" si="0"/>
        <v>#VALUE!</v>
      </c>
      <c r="G8" t="e">
        <f t="shared" ca="1" si="0"/>
        <v>#VALUE!</v>
      </c>
      <c r="H8" t="e">
        <f t="shared" ca="1" si="0"/>
        <v>#VALUE!</v>
      </c>
    </row>
    <row r="9" spans="1:8" ht="14.45" x14ac:dyDescent="0.35">
      <c r="A9" t="s">
        <v>254</v>
      </c>
      <c r="B9" t="e">
        <f t="shared" ca="1" si="1"/>
        <v>#VALUE!</v>
      </c>
      <c r="C9" t="e">
        <f t="shared" ca="1" si="0"/>
        <v>#VALUE!</v>
      </c>
      <c r="D9" t="e">
        <f t="shared" ca="1" si="0"/>
        <v>#VALUE!</v>
      </c>
      <c r="E9" t="e">
        <f t="shared" ca="1" si="0"/>
        <v>#VALUE!</v>
      </c>
      <c r="F9" t="e">
        <f t="shared" ca="1" si="0"/>
        <v>#VALUE!</v>
      </c>
      <c r="G9" t="e">
        <f t="shared" ca="1" si="0"/>
        <v>#VALUE!</v>
      </c>
      <c r="H9" t="e">
        <f t="shared" ca="1" si="0"/>
        <v>#VALUE!</v>
      </c>
    </row>
    <row r="10" spans="1:8" ht="14.45" x14ac:dyDescent="0.35">
      <c r="A10" t="s">
        <v>255</v>
      </c>
      <c r="B10" t="e">
        <f t="shared" ca="1" si="1"/>
        <v>#VALUE!</v>
      </c>
      <c r="C10" t="e">
        <f t="shared" ca="1" si="0"/>
        <v>#VALUE!</v>
      </c>
      <c r="D10" t="e">
        <f t="shared" ca="1" si="0"/>
        <v>#VALUE!</v>
      </c>
      <c r="E10" t="e">
        <f t="shared" ca="1" si="0"/>
        <v>#VALUE!</v>
      </c>
      <c r="F10" t="e">
        <f t="shared" ca="1" si="0"/>
        <v>#VALUE!</v>
      </c>
      <c r="G10" t="e">
        <f t="shared" ca="1" si="0"/>
        <v>#VALUE!</v>
      </c>
      <c r="H10" t="e">
        <f t="shared" ca="1" si="0"/>
        <v>#VALUE!</v>
      </c>
    </row>
    <row r="11" spans="1:8" ht="14.45" x14ac:dyDescent="0.35">
      <c r="A11" t="s">
        <v>256</v>
      </c>
      <c r="B11" t="e">
        <f t="shared" ca="1" si="1"/>
        <v>#VALUE!</v>
      </c>
      <c r="C11" t="e">
        <f t="shared" ca="1" si="0"/>
        <v>#VALUE!</v>
      </c>
      <c r="D11" t="e">
        <f t="shared" ca="1" si="0"/>
        <v>#VALUE!</v>
      </c>
      <c r="E11" t="e">
        <f t="shared" ca="1" si="0"/>
        <v>#VALUE!</v>
      </c>
      <c r="F11" t="e">
        <f t="shared" ca="1" si="0"/>
        <v>#VALUE!</v>
      </c>
      <c r="G11" t="e">
        <f t="shared" ca="1" si="0"/>
        <v>#VALUE!</v>
      </c>
      <c r="H11" t="e">
        <f t="shared" ca="1" si="0"/>
        <v>#VALUE!</v>
      </c>
    </row>
    <row r="12" spans="1:8" ht="14.45" x14ac:dyDescent="0.35">
      <c r="A12" t="s">
        <v>257</v>
      </c>
      <c r="B12" t="e">
        <f t="shared" ca="1" si="1"/>
        <v>#VALUE!</v>
      </c>
      <c r="C12" t="e">
        <f t="shared" ca="1" si="0"/>
        <v>#VALUE!</v>
      </c>
      <c r="D12" t="e">
        <f t="shared" ca="1" si="0"/>
        <v>#VALUE!</v>
      </c>
      <c r="E12" t="e">
        <f t="shared" ca="1" si="0"/>
        <v>#VALUE!</v>
      </c>
      <c r="F12" t="e">
        <f t="shared" ca="1" si="0"/>
        <v>#VALUE!</v>
      </c>
      <c r="G12" t="e">
        <f t="shared" ca="1" si="0"/>
        <v>#VALUE!</v>
      </c>
      <c r="H12" t="e">
        <f t="shared" ca="1" si="0"/>
        <v>#VALUE!</v>
      </c>
    </row>
    <row r="13" spans="1:8" ht="14.45" x14ac:dyDescent="0.35">
      <c r="A13" t="s">
        <v>258</v>
      </c>
      <c r="B13" t="e">
        <f t="shared" ca="1" si="1"/>
        <v>#VALUE!</v>
      </c>
      <c r="C13" t="e">
        <f t="shared" ca="1" si="0"/>
        <v>#VALUE!</v>
      </c>
      <c r="D13" t="e">
        <f t="shared" ca="1" si="0"/>
        <v>#VALUE!</v>
      </c>
      <c r="E13" t="e">
        <f t="shared" ca="1" si="0"/>
        <v>#VALUE!</v>
      </c>
      <c r="F13" t="e">
        <f t="shared" ca="1" si="0"/>
        <v>#VALUE!</v>
      </c>
      <c r="G13" t="e">
        <f t="shared" ca="1" si="0"/>
        <v>#VALUE!</v>
      </c>
      <c r="H13" t="e">
        <f t="shared" ca="1" si="0"/>
        <v>#VALUE!</v>
      </c>
    </row>
    <row r="14" spans="1:8" ht="14.45" x14ac:dyDescent="0.35">
      <c r="A14" t="s">
        <v>288</v>
      </c>
      <c r="B14" t="e">
        <f t="shared" ca="1" si="1"/>
        <v>#VALUE!</v>
      </c>
      <c r="C14" t="e">
        <f t="shared" ca="1" si="0"/>
        <v>#VALUE!</v>
      </c>
      <c r="D14" t="e">
        <f t="shared" ca="1" si="0"/>
        <v>#VALUE!</v>
      </c>
      <c r="E14" t="e">
        <f t="shared" ca="1" si="0"/>
        <v>#VALUE!</v>
      </c>
      <c r="F14" t="e">
        <f t="shared" ca="1" si="0"/>
        <v>#VALUE!</v>
      </c>
      <c r="G14" t="e">
        <f t="shared" ca="1" si="0"/>
        <v>#VALUE!</v>
      </c>
      <c r="H14" t="e">
        <f t="shared" ca="1" si="0"/>
        <v>#VALUE!</v>
      </c>
    </row>
    <row r="15" spans="1:8" ht="14.45" x14ac:dyDescent="0.35">
      <c r="A15" t="s">
        <v>259</v>
      </c>
      <c r="B15" t="e">
        <f t="shared" ca="1" si="1"/>
        <v>#VALUE!</v>
      </c>
      <c r="C15" t="e">
        <f t="shared" ca="1" si="0"/>
        <v>#VALUE!</v>
      </c>
      <c r="D15" t="e">
        <f t="shared" ca="1" si="0"/>
        <v>#VALUE!</v>
      </c>
      <c r="E15" t="e">
        <f t="shared" ca="1" si="0"/>
        <v>#VALUE!</v>
      </c>
      <c r="F15" t="e">
        <f t="shared" ca="1" si="0"/>
        <v>#VALUE!</v>
      </c>
      <c r="G15" t="e">
        <f t="shared" ca="1" si="0"/>
        <v>#VALUE!</v>
      </c>
      <c r="H15" t="e">
        <f t="shared" ca="1" si="0"/>
        <v>#VALUE!</v>
      </c>
    </row>
    <row r="16" spans="1:8" ht="14.45" x14ac:dyDescent="0.35">
      <c r="A16" t="s">
        <v>260</v>
      </c>
      <c r="B16" t="e">
        <f t="shared" ca="1" si="1"/>
        <v>#VALUE!</v>
      </c>
      <c r="C16" t="e">
        <f t="shared" ca="1" si="0"/>
        <v>#VALUE!</v>
      </c>
      <c r="D16" t="e">
        <f t="shared" ca="1" si="0"/>
        <v>#VALUE!</v>
      </c>
      <c r="E16" t="e">
        <f t="shared" ca="1" si="0"/>
        <v>#VALUE!</v>
      </c>
      <c r="F16" t="e">
        <f t="shared" ca="1" si="0"/>
        <v>#VALUE!</v>
      </c>
      <c r="G16" t="e">
        <f t="shared" ca="1" si="0"/>
        <v>#VALUE!</v>
      </c>
      <c r="H16" t="e">
        <f t="shared" ca="1" si="0"/>
        <v>#VALUE!</v>
      </c>
    </row>
    <row r="17" spans="1:14" ht="14.45" x14ac:dyDescent="0.35">
      <c r="A17" t="s">
        <v>261</v>
      </c>
      <c r="B17" t="e">
        <f t="shared" ca="1" si="1"/>
        <v>#VALUE!</v>
      </c>
      <c r="C17" t="e">
        <f t="shared" ca="1" si="0"/>
        <v>#VALUE!</v>
      </c>
      <c r="D17" t="e">
        <f t="shared" ca="1" si="0"/>
        <v>#VALUE!</v>
      </c>
      <c r="E17" t="e">
        <f t="shared" ca="1" si="0"/>
        <v>#VALUE!</v>
      </c>
      <c r="F17" t="e">
        <f t="shared" ca="1" si="0"/>
        <v>#VALUE!</v>
      </c>
      <c r="G17" t="e">
        <f t="shared" ca="1" si="0"/>
        <v>#VALUE!</v>
      </c>
      <c r="H17" t="e">
        <f t="shared" ca="1" si="0"/>
        <v>#VALUE!</v>
      </c>
    </row>
    <row r="18" spans="1:14" ht="14.45" x14ac:dyDescent="0.35">
      <c r="A18" t="s">
        <v>262</v>
      </c>
      <c r="B18" t="e">
        <f t="shared" ca="1" si="1"/>
        <v>#VALUE!</v>
      </c>
      <c r="C18" t="e">
        <f t="shared" ca="1" si="1"/>
        <v>#VALUE!</v>
      </c>
      <c r="D18" t="e">
        <f t="shared" ca="1" si="1"/>
        <v>#VALUE!</v>
      </c>
      <c r="E18" t="e">
        <f t="shared" ca="1" si="1"/>
        <v>#VALUE!</v>
      </c>
      <c r="F18" t="e">
        <f t="shared" ca="1" si="1"/>
        <v>#VALUE!</v>
      </c>
      <c r="G18" t="e">
        <f t="shared" ca="1" si="1"/>
        <v>#VALUE!</v>
      </c>
      <c r="H18" t="e">
        <f t="shared" ca="1" si="1"/>
        <v>#VALUE!</v>
      </c>
    </row>
    <row r="19" spans="1:14" ht="14.45" x14ac:dyDescent="0.35">
      <c r="A19" t="s">
        <v>263</v>
      </c>
      <c r="B19" t="e">
        <f t="shared" ca="1" si="1"/>
        <v>#VALUE!</v>
      </c>
      <c r="C19" t="e">
        <f t="shared" ca="1" si="1"/>
        <v>#VALUE!</v>
      </c>
      <c r="D19" t="e">
        <f t="shared" ca="1" si="1"/>
        <v>#VALUE!</v>
      </c>
      <c r="E19" t="e">
        <f t="shared" ca="1" si="1"/>
        <v>#VALUE!</v>
      </c>
      <c r="F19" t="e">
        <f t="shared" ca="1" si="1"/>
        <v>#VALUE!</v>
      </c>
      <c r="G19" t="e">
        <f t="shared" ca="1" si="1"/>
        <v>#VALUE!</v>
      </c>
      <c r="H19" t="e">
        <f t="shared" ca="1" si="1"/>
        <v>#VALUE!</v>
      </c>
    </row>
    <row r="20" spans="1:14" ht="14.45" x14ac:dyDescent="0.35">
      <c r="A20" t="s">
        <v>264</v>
      </c>
      <c r="B20" t="e">
        <f t="shared" ca="1" si="1"/>
        <v>#VALUE!</v>
      </c>
      <c r="C20" t="e">
        <f t="shared" ca="1" si="1"/>
        <v>#VALUE!</v>
      </c>
      <c r="D20" t="e">
        <f t="shared" ca="1" si="1"/>
        <v>#VALUE!</v>
      </c>
      <c r="E20" t="e">
        <f t="shared" ca="1" si="1"/>
        <v>#VALUE!</v>
      </c>
      <c r="F20" t="e">
        <f t="shared" ca="1" si="1"/>
        <v>#VALUE!</v>
      </c>
      <c r="G20" t="e">
        <f t="shared" ca="1" si="1"/>
        <v>#VALUE!</v>
      </c>
      <c r="H20" t="e">
        <f t="shared" ca="1" si="1"/>
        <v>#VALUE!</v>
      </c>
    </row>
    <row r="21" spans="1:14" ht="14.45" x14ac:dyDescent="0.35">
      <c r="A21" t="s">
        <v>265</v>
      </c>
      <c r="B21" t="e">
        <f t="shared" ca="1" si="1"/>
        <v>#VALUE!</v>
      </c>
      <c r="C21" t="e">
        <f t="shared" ca="1" si="1"/>
        <v>#VALUE!</v>
      </c>
      <c r="D21" t="e">
        <f t="shared" ca="1" si="1"/>
        <v>#VALUE!</v>
      </c>
      <c r="E21" t="e">
        <f t="shared" ca="1" si="1"/>
        <v>#VALUE!</v>
      </c>
      <c r="F21" t="e">
        <f t="shared" ca="1" si="1"/>
        <v>#VALUE!</v>
      </c>
      <c r="G21" t="e">
        <f t="shared" ca="1" si="1"/>
        <v>#VALUE!</v>
      </c>
      <c r="H21" t="e">
        <f t="shared" ca="1" si="1"/>
        <v>#VALUE!</v>
      </c>
      <c r="J21" s="57"/>
      <c r="N21" t="str">
        <f>$I$21&amp;$I$22&amp;J21&amp;"_2 = "&amp;$I$23&amp;$I$22&amp;J21&amp;"_2"</f>
        <v>_2 = _2</v>
      </c>
    </row>
    <row r="22" spans="1:14" ht="14.45" x14ac:dyDescent="0.35">
      <c r="A22" t="s">
        <v>290</v>
      </c>
      <c r="B22" t="e">
        <f t="shared" ca="1" si="1"/>
        <v>#VALUE!</v>
      </c>
      <c r="C22" t="e">
        <f t="shared" ca="1" si="1"/>
        <v>#VALUE!</v>
      </c>
      <c r="D22" t="e">
        <f t="shared" ca="1" si="1"/>
        <v>#VALUE!</v>
      </c>
      <c r="E22" t="e">
        <f t="shared" ca="1" si="1"/>
        <v>#VALUE!</v>
      </c>
      <c r="F22" t="e">
        <f t="shared" ca="1" si="1"/>
        <v>#VALUE!</v>
      </c>
      <c r="G22" t="e">
        <f t="shared" ca="1" si="1"/>
        <v>#VALUE!</v>
      </c>
      <c r="H22" t="e">
        <f t="shared" ca="1" si="1"/>
        <v>#VALUE!</v>
      </c>
      <c r="J22" s="57"/>
      <c r="N22" t="str">
        <f t="shared" ref="N22" si="2">$I$21&amp;$I$22&amp;J22&amp;"_2 = "&amp;$I$23&amp;$I$22&amp;J22&amp;"_2"</f>
        <v>_2 = _2</v>
      </c>
    </row>
    <row r="23" spans="1:14" x14ac:dyDescent="0.25">
      <c r="A23" t="s">
        <v>266</v>
      </c>
      <c r="B23" t="e">
        <f t="shared" ca="1" si="1"/>
        <v>#VALUE!</v>
      </c>
      <c r="C23" t="e">
        <f t="shared" ca="1" si="1"/>
        <v>#VALUE!</v>
      </c>
      <c r="D23" t="e">
        <f t="shared" ca="1" si="1"/>
        <v>#VALUE!</v>
      </c>
      <c r="E23" t="e">
        <f t="shared" ca="1" si="1"/>
        <v>#VALUE!</v>
      </c>
      <c r="F23" t="e">
        <f t="shared" ca="1" si="1"/>
        <v>#VALUE!</v>
      </c>
      <c r="G23" t="e">
        <f t="shared" ca="1" si="1"/>
        <v>#VALUE!</v>
      </c>
      <c r="H23" t="e">
        <f t="shared" ca="1" si="1"/>
        <v>#VALUE!</v>
      </c>
      <c r="J23" s="57"/>
      <c r="N23" t="e">
        <f>$I$21&amp;$I$22&amp;#REF!&amp;"_2 = "&amp;$I$23&amp;$I$22&amp;#REF!&amp;"_2"</f>
        <v>#REF!</v>
      </c>
    </row>
    <row r="24" spans="1:14" x14ac:dyDescent="0.25">
      <c r="B24" t="e">
        <f ca="1">SUM(B2:B23)</f>
        <v>#VALUE!</v>
      </c>
      <c r="C24" t="e">
        <f t="shared" ref="C24:H24" ca="1" si="3">SUM(C2:C23)</f>
        <v>#VALUE!</v>
      </c>
      <c r="D24" t="e">
        <f t="shared" ca="1" si="3"/>
        <v>#VALUE!</v>
      </c>
      <c r="E24" t="e">
        <f t="shared" ca="1" si="3"/>
        <v>#VALUE!</v>
      </c>
      <c r="F24" t="e">
        <f t="shared" ca="1" si="3"/>
        <v>#VALUE!</v>
      </c>
      <c r="G24" t="e">
        <f t="shared" ca="1" si="3"/>
        <v>#VALUE!</v>
      </c>
      <c r="H24" t="e">
        <f t="shared" ca="1" si="3"/>
        <v>#VALUE!</v>
      </c>
      <c r="J24" s="57"/>
    </row>
    <row r="25" spans="1:14" x14ac:dyDescent="0.25">
      <c r="A25" s="1" t="s">
        <v>187</v>
      </c>
      <c r="J25" s="57"/>
      <c r="N25" t="str">
        <f t="shared" ref="N25:N41" si="4">$I$21&amp;$I$22&amp;J23&amp;"_2 = "&amp;$I$23&amp;$I$22&amp;J23&amp;"_2"</f>
        <v>_2 = _2</v>
      </c>
    </row>
    <row r="26" spans="1:14" x14ac:dyDescent="0.25">
      <c r="A26" t="s">
        <v>279</v>
      </c>
      <c r="B26" t="e">
        <f ca="1">Output("SCEN_ADEMEhaut",$A26,B$1)</f>
        <v>#VALUE!</v>
      </c>
      <c r="C26" t="e">
        <f t="shared" ref="C26:H41" ca="1" si="5">Output("SCEN_ADEMEhaut",$A26,C$1)</f>
        <v>#VALUE!</v>
      </c>
      <c r="D26" t="e">
        <f t="shared" ca="1" si="5"/>
        <v>#VALUE!</v>
      </c>
      <c r="E26" t="e">
        <f t="shared" ca="1" si="5"/>
        <v>#VALUE!</v>
      </c>
      <c r="F26" t="e">
        <f t="shared" ca="1" si="5"/>
        <v>#VALUE!</v>
      </c>
      <c r="G26" t="e">
        <f t="shared" ca="1" si="5"/>
        <v>#VALUE!</v>
      </c>
      <c r="H26" t="e">
        <f t="shared" ca="1" si="5"/>
        <v>#VALUE!</v>
      </c>
      <c r="J26" s="57"/>
      <c r="N26" t="str">
        <f t="shared" si="4"/>
        <v>_2 = _2</v>
      </c>
    </row>
    <row r="27" spans="1:14" x14ac:dyDescent="0.25">
      <c r="A27" t="s">
        <v>280</v>
      </c>
      <c r="B27" t="e">
        <f t="shared" ref="B27:H47" ca="1" si="6">Output("SCEN_ADEMEhaut",$A27,B$1)</f>
        <v>#VALUE!</v>
      </c>
      <c r="C27" t="e">
        <f t="shared" ca="1" si="5"/>
        <v>#VALUE!</v>
      </c>
      <c r="D27" t="e">
        <f t="shared" ca="1" si="5"/>
        <v>#VALUE!</v>
      </c>
      <c r="E27" t="e">
        <f t="shared" ca="1" si="5"/>
        <v>#VALUE!</v>
      </c>
      <c r="F27" t="e">
        <f t="shared" ca="1" si="5"/>
        <v>#VALUE!</v>
      </c>
      <c r="G27" t="e">
        <f t="shared" ca="1" si="5"/>
        <v>#VALUE!</v>
      </c>
      <c r="H27" t="e">
        <f t="shared" ca="1" si="5"/>
        <v>#VALUE!</v>
      </c>
      <c r="J27" s="57"/>
      <c r="N27" t="str">
        <f t="shared" si="4"/>
        <v>_2 = _2</v>
      </c>
    </row>
    <row r="28" spans="1:14" x14ac:dyDescent="0.25">
      <c r="A28" t="s">
        <v>281</v>
      </c>
      <c r="B28" t="e">
        <f t="shared" ca="1" si="6"/>
        <v>#VALUE!</v>
      </c>
      <c r="C28" t="e">
        <f t="shared" ca="1" si="5"/>
        <v>#VALUE!</v>
      </c>
      <c r="D28" t="e">
        <f t="shared" ca="1" si="5"/>
        <v>#VALUE!</v>
      </c>
      <c r="E28" t="e">
        <f t="shared" ca="1" si="5"/>
        <v>#VALUE!</v>
      </c>
      <c r="F28" t="e">
        <f t="shared" ca="1" si="5"/>
        <v>#VALUE!</v>
      </c>
      <c r="G28" t="e">
        <f t="shared" ca="1" si="5"/>
        <v>#VALUE!</v>
      </c>
      <c r="H28" t="e">
        <f t="shared" ca="1" si="5"/>
        <v>#VALUE!</v>
      </c>
      <c r="J28" s="57"/>
      <c r="N28" t="str">
        <f t="shared" si="4"/>
        <v>_2 = _2</v>
      </c>
    </row>
    <row r="29" spans="1:14" x14ac:dyDescent="0.25">
      <c r="A29" t="s">
        <v>282</v>
      </c>
      <c r="B29" t="e">
        <f t="shared" ca="1" si="6"/>
        <v>#VALUE!</v>
      </c>
      <c r="C29" t="e">
        <f t="shared" ca="1" si="5"/>
        <v>#VALUE!</v>
      </c>
      <c r="D29" t="e">
        <f t="shared" ca="1" si="5"/>
        <v>#VALUE!</v>
      </c>
      <c r="E29" t="e">
        <f t="shared" ca="1" si="5"/>
        <v>#VALUE!</v>
      </c>
      <c r="F29" t="e">
        <f t="shared" ca="1" si="5"/>
        <v>#VALUE!</v>
      </c>
      <c r="G29" t="e">
        <f t="shared" ca="1" si="5"/>
        <v>#VALUE!</v>
      </c>
      <c r="H29" t="e">
        <f t="shared" ca="1" si="5"/>
        <v>#VALUE!</v>
      </c>
      <c r="J29" s="57"/>
      <c r="N29" t="str">
        <f t="shared" si="4"/>
        <v>_2 = _2</v>
      </c>
    </row>
    <row r="30" spans="1:14" x14ac:dyDescent="0.25">
      <c r="A30" t="s">
        <v>283</v>
      </c>
      <c r="B30" t="e">
        <f t="shared" ca="1" si="6"/>
        <v>#VALUE!</v>
      </c>
      <c r="C30" t="e">
        <f t="shared" ca="1" si="5"/>
        <v>#VALUE!</v>
      </c>
      <c r="D30" t="e">
        <f t="shared" ca="1" si="5"/>
        <v>#VALUE!</v>
      </c>
      <c r="E30" t="e">
        <f t="shared" ca="1" si="5"/>
        <v>#VALUE!</v>
      </c>
      <c r="F30" t="e">
        <f t="shared" ca="1" si="5"/>
        <v>#VALUE!</v>
      </c>
      <c r="G30" t="e">
        <f t="shared" ca="1" si="5"/>
        <v>#VALUE!</v>
      </c>
      <c r="H30" t="e">
        <f t="shared" ca="1" si="5"/>
        <v>#VALUE!</v>
      </c>
      <c r="J30" s="57"/>
      <c r="N30" t="str">
        <f t="shared" si="4"/>
        <v>_2 = _2</v>
      </c>
    </row>
    <row r="31" spans="1:14" x14ac:dyDescent="0.25">
      <c r="A31" t="s">
        <v>284</v>
      </c>
      <c r="B31" t="e">
        <f t="shared" ca="1" si="6"/>
        <v>#VALUE!</v>
      </c>
      <c r="C31" t="e">
        <f t="shared" ca="1" si="5"/>
        <v>#VALUE!</v>
      </c>
      <c r="D31" t="e">
        <f t="shared" ca="1" si="5"/>
        <v>#VALUE!</v>
      </c>
      <c r="E31" t="e">
        <f t="shared" ca="1" si="5"/>
        <v>#VALUE!</v>
      </c>
      <c r="F31" t="e">
        <f t="shared" ca="1" si="5"/>
        <v>#VALUE!</v>
      </c>
      <c r="G31" t="e">
        <f t="shared" ca="1" si="5"/>
        <v>#VALUE!</v>
      </c>
      <c r="H31" t="e">
        <f t="shared" ca="1" si="5"/>
        <v>#VALUE!</v>
      </c>
      <c r="J31" s="57"/>
      <c r="N31" t="str">
        <f t="shared" si="4"/>
        <v>_2 = _2</v>
      </c>
    </row>
    <row r="32" spans="1:14" x14ac:dyDescent="0.25">
      <c r="A32" t="s">
        <v>285</v>
      </c>
      <c r="B32" t="e">
        <f t="shared" ca="1" si="6"/>
        <v>#VALUE!</v>
      </c>
      <c r="C32" t="e">
        <f t="shared" ca="1" si="5"/>
        <v>#VALUE!</v>
      </c>
      <c r="D32" t="e">
        <f t="shared" ca="1" si="5"/>
        <v>#VALUE!</v>
      </c>
      <c r="E32" t="e">
        <f t="shared" ca="1" si="5"/>
        <v>#VALUE!</v>
      </c>
      <c r="F32" t="e">
        <f t="shared" ca="1" si="5"/>
        <v>#VALUE!</v>
      </c>
      <c r="G32" t="e">
        <f t="shared" ca="1" si="5"/>
        <v>#VALUE!</v>
      </c>
      <c r="H32" t="e">
        <f t="shared" ca="1" si="5"/>
        <v>#VALUE!</v>
      </c>
      <c r="J32" s="57"/>
      <c r="N32" t="str">
        <f t="shared" si="4"/>
        <v>_2 = _2</v>
      </c>
    </row>
    <row r="33" spans="1:14" x14ac:dyDescent="0.25">
      <c r="A33" t="s">
        <v>286</v>
      </c>
      <c r="B33" t="e">
        <f t="shared" ca="1" si="6"/>
        <v>#VALUE!</v>
      </c>
      <c r="C33" t="e">
        <f t="shared" ca="1" si="5"/>
        <v>#VALUE!</v>
      </c>
      <c r="D33" t="e">
        <f t="shared" ca="1" si="5"/>
        <v>#VALUE!</v>
      </c>
      <c r="E33" t="e">
        <f t="shared" ca="1" si="5"/>
        <v>#VALUE!</v>
      </c>
      <c r="F33" t="e">
        <f t="shared" ca="1" si="5"/>
        <v>#VALUE!</v>
      </c>
      <c r="G33" t="e">
        <f t="shared" ca="1" si="5"/>
        <v>#VALUE!</v>
      </c>
      <c r="H33" t="e">
        <f t="shared" ca="1" si="5"/>
        <v>#VALUE!</v>
      </c>
      <c r="J33" s="57"/>
      <c r="N33" t="str">
        <f t="shared" si="4"/>
        <v>_2 = _2</v>
      </c>
    </row>
    <row r="34" spans="1:14" x14ac:dyDescent="0.25">
      <c r="A34" t="s">
        <v>287</v>
      </c>
      <c r="B34" t="e">
        <f t="shared" ca="1" si="6"/>
        <v>#VALUE!</v>
      </c>
      <c r="C34" t="e">
        <f t="shared" ca="1" si="5"/>
        <v>#VALUE!</v>
      </c>
      <c r="D34" t="e">
        <f t="shared" ca="1" si="5"/>
        <v>#VALUE!</v>
      </c>
      <c r="E34" t="e">
        <f t="shared" ca="1" si="5"/>
        <v>#VALUE!</v>
      </c>
      <c r="F34" t="e">
        <f t="shared" ca="1" si="5"/>
        <v>#VALUE!</v>
      </c>
      <c r="G34" t="e">
        <f t="shared" ca="1" si="5"/>
        <v>#VALUE!</v>
      </c>
      <c r="H34" t="e">
        <f t="shared" ca="1" si="5"/>
        <v>#VALUE!</v>
      </c>
      <c r="J34" s="57"/>
      <c r="N34" t="str">
        <f t="shared" si="4"/>
        <v>_2 = _2</v>
      </c>
    </row>
    <row r="35" spans="1:14" x14ac:dyDescent="0.25">
      <c r="A35" t="s">
        <v>267</v>
      </c>
      <c r="B35" t="e">
        <f t="shared" ca="1" si="6"/>
        <v>#VALUE!</v>
      </c>
      <c r="C35" t="e">
        <f t="shared" ca="1" si="5"/>
        <v>#VALUE!</v>
      </c>
      <c r="D35" t="e">
        <f t="shared" ca="1" si="5"/>
        <v>#VALUE!</v>
      </c>
      <c r="E35" t="e">
        <f t="shared" ca="1" si="5"/>
        <v>#VALUE!</v>
      </c>
      <c r="F35" t="e">
        <f t="shared" ca="1" si="5"/>
        <v>#VALUE!</v>
      </c>
      <c r="G35" t="e">
        <f t="shared" ca="1" si="5"/>
        <v>#VALUE!</v>
      </c>
      <c r="H35" t="e">
        <f t="shared" ca="1" si="5"/>
        <v>#VALUE!</v>
      </c>
      <c r="J35" s="57"/>
      <c r="N35" t="str">
        <f t="shared" si="4"/>
        <v>_2 = _2</v>
      </c>
    </row>
    <row r="36" spans="1:14" x14ac:dyDescent="0.25">
      <c r="A36" t="s">
        <v>268</v>
      </c>
      <c r="B36" t="e">
        <f t="shared" ca="1" si="6"/>
        <v>#VALUE!</v>
      </c>
      <c r="C36" t="e">
        <f t="shared" ca="1" si="5"/>
        <v>#VALUE!</v>
      </c>
      <c r="D36" t="e">
        <f t="shared" ca="1" si="5"/>
        <v>#VALUE!</v>
      </c>
      <c r="E36" t="e">
        <f t="shared" ca="1" si="5"/>
        <v>#VALUE!</v>
      </c>
      <c r="F36" t="e">
        <f t="shared" ca="1" si="5"/>
        <v>#VALUE!</v>
      </c>
      <c r="G36" t="e">
        <f t="shared" ca="1" si="5"/>
        <v>#VALUE!</v>
      </c>
      <c r="H36" t="e">
        <f t="shared" ca="1" si="5"/>
        <v>#VALUE!</v>
      </c>
      <c r="J36" s="57"/>
      <c r="N36" t="str">
        <f t="shared" si="4"/>
        <v>_2 = _2</v>
      </c>
    </row>
    <row r="37" spans="1:14" x14ac:dyDescent="0.25">
      <c r="A37" t="s">
        <v>269</v>
      </c>
      <c r="B37" t="e">
        <f t="shared" ca="1" si="6"/>
        <v>#VALUE!</v>
      </c>
      <c r="C37" t="e">
        <f t="shared" ca="1" si="5"/>
        <v>#VALUE!</v>
      </c>
      <c r="D37" t="e">
        <f t="shared" ca="1" si="5"/>
        <v>#VALUE!</v>
      </c>
      <c r="E37" t="e">
        <f t="shared" ca="1" si="5"/>
        <v>#VALUE!</v>
      </c>
      <c r="F37" t="e">
        <f t="shared" ca="1" si="5"/>
        <v>#VALUE!</v>
      </c>
      <c r="G37" t="e">
        <f t="shared" ca="1" si="5"/>
        <v>#VALUE!</v>
      </c>
      <c r="H37" t="e">
        <f t="shared" ca="1" si="5"/>
        <v>#VALUE!</v>
      </c>
      <c r="J37" s="57"/>
      <c r="N37" t="str">
        <f t="shared" si="4"/>
        <v>_2 = _2</v>
      </c>
    </row>
    <row r="38" spans="1:14" x14ac:dyDescent="0.25">
      <c r="A38" t="s">
        <v>270</v>
      </c>
      <c r="B38" t="e">
        <f t="shared" ca="1" si="6"/>
        <v>#VALUE!</v>
      </c>
      <c r="C38" t="e">
        <f t="shared" ca="1" si="5"/>
        <v>#VALUE!</v>
      </c>
      <c r="D38" t="e">
        <f t="shared" ca="1" si="5"/>
        <v>#VALUE!</v>
      </c>
      <c r="E38" t="e">
        <f t="shared" ca="1" si="5"/>
        <v>#VALUE!</v>
      </c>
      <c r="F38" t="e">
        <f t="shared" ca="1" si="5"/>
        <v>#VALUE!</v>
      </c>
      <c r="G38" t="e">
        <f t="shared" ca="1" si="5"/>
        <v>#VALUE!</v>
      </c>
      <c r="H38" t="e">
        <f t="shared" ca="1" si="5"/>
        <v>#VALUE!</v>
      </c>
      <c r="J38" s="57"/>
      <c r="N38" t="str">
        <f t="shared" si="4"/>
        <v>_2 = _2</v>
      </c>
    </row>
    <row r="39" spans="1:14" x14ac:dyDescent="0.25">
      <c r="A39" t="s">
        <v>271</v>
      </c>
      <c r="B39" t="e">
        <f t="shared" ca="1" si="6"/>
        <v>#VALUE!</v>
      </c>
      <c r="C39" t="e">
        <f t="shared" ca="1" si="5"/>
        <v>#VALUE!</v>
      </c>
      <c r="D39" t="e">
        <f t="shared" ca="1" si="5"/>
        <v>#VALUE!</v>
      </c>
      <c r="E39" t="e">
        <f t="shared" ca="1" si="5"/>
        <v>#VALUE!</v>
      </c>
      <c r="F39" t="e">
        <f t="shared" ca="1" si="5"/>
        <v>#VALUE!</v>
      </c>
      <c r="G39" t="e">
        <f t="shared" ca="1" si="5"/>
        <v>#VALUE!</v>
      </c>
      <c r="H39" t="e">
        <f t="shared" ca="1" si="5"/>
        <v>#VALUE!</v>
      </c>
      <c r="J39" s="57"/>
      <c r="N39" t="str">
        <f t="shared" si="4"/>
        <v>_2 = _2</v>
      </c>
    </row>
    <row r="40" spans="1:14" x14ac:dyDescent="0.25">
      <c r="A40" t="s">
        <v>272</v>
      </c>
      <c r="B40" t="e">
        <f t="shared" ca="1" si="6"/>
        <v>#VALUE!</v>
      </c>
      <c r="C40" t="e">
        <f t="shared" ca="1" si="5"/>
        <v>#VALUE!</v>
      </c>
      <c r="D40" t="e">
        <f t="shared" ca="1" si="5"/>
        <v>#VALUE!</v>
      </c>
      <c r="E40" t="e">
        <f t="shared" ca="1" si="5"/>
        <v>#VALUE!</v>
      </c>
      <c r="F40" t="e">
        <f t="shared" ca="1" si="5"/>
        <v>#VALUE!</v>
      </c>
      <c r="G40" t="e">
        <f t="shared" ca="1" si="5"/>
        <v>#VALUE!</v>
      </c>
      <c r="H40" t="e">
        <f t="shared" ca="1" si="5"/>
        <v>#VALUE!</v>
      </c>
      <c r="J40" s="57"/>
      <c r="N40" t="str">
        <f t="shared" si="4"/>
        <v>_2 = _2</v>
      </c>
    </row>
    <row r="41" spans="1:14" x14ac:dyDescent="0.25">
      <c r="A41" t="s">
        <v>273</v>
      </c>
      <c r="B41" t="e">
        <f t="shared" ca="1" si="6"/>
        <v>#VALUE!</v>
      </c>
      <c r="C41" t="e">
        <f t="shared" ca="1" si="5"/>
        <v>#VALUE!</v>
      </c>
      <c r="D41" t="e">
        <f t="shared" ca="1" si="5"/>
        <v>#VALUE!</v>
      </c>
      <c r="E41" t="e">
        <f t="shared" ca="1" si="5"/>
        <v>#VALUE!</v>
      </c>
      <c r="F41" t="e">
        <f t="shared" ca="1" si="5"/>
        <v>#VALUE!</v>
      </c>
      <c r="G41" t="e">
        <f t="shared" ca="1" si="5"/>
        <v>#VALUE!</v>
      </c>
      <c r="H41" t="e">
        <f t="shared" ca="1" si="5"/>
        <v>#VALUE!</v>
      </c>
      <c r="J41" s="57"/>
      <c r="N41" t="str">
        <f t="shared" si="4"/>
        <v>_2 = _2</v>
      </c>
    </row>
    <row r="42" spans="1:14" x14ac:dyDescent="0.25">
      <c r="A42" t="s">
        <v>274</v>
      </c>
      <c r="B42" t="e">
        <f t="shared" ca="1" si="6"/>
        <v>#VALUE!</v>
      </c>
      <c r="C42" t="e">
        <f t="shared" ca="1" si="6"/>
        <v>#VALUE!</v>
      </c>
      <c r="D42" t="e">
        <f t="shared" ca="1" si="6"/>
        <v>#VALUE!</v>
      </c>
      <c r="E42" t="e">
        <f t="shared" ca="1" si="6"/>
        <v>#VALUE!</v>
      </c>
      <c r="F42" t="e">
        <f t="shared" ca="1" si="6"/>
        <v>#VALUE!</v>
      </c>
      <c r="G42" t="e">
        <f t="shared" ca="1" si="6"/>
        <v>#VALUE!</v>
      </c>
      <c r="H42" t="e">
        <f t="shared" ca="1" si="6"/>
        <v>#VALUE!</v>
      </c>
      <c r="J42" s="57"/>
      <c r="N42" t="str">
        <f>$I$21&amp;J41&amp;"_2 = "&amp;$I$23&amp;$I$25&amp;J41&amp;"_2"</f>
        <v>_2 = _2</v>
      </c>
    </row>
    <row r="43" spans="1:14" x14ac:dyDescent="0.25">
      <c r="A43" t="s">
        <v>275</v>
      </c>
      <c r="B43" t="e">
        <f t="shared" ca="1" si="6"/>
        <v>#VALUE!</v>
      </c>
      <c r="C43" t="e">
        <f t="shared" ca="1" si="6"/>
        <v>#VALUE!</v>
      </c>
      <c r="D43" t="e">
        <f t="shared" ca="1" si="6"/>
        <v>#VALUE!</v>
      </c>
      <c r="E43" t="e">
        <f t="shared" ca="1" si="6"/>
        <v>#VALUE!</v>
      </c>
      <c r="F43" t="e">
        <f t="shared" ca="1" si="6"/>
        <v>#VALUE!</v>
      </c>
      <c r="G43" t="e">
        <f t="shared" ca="1" si="6"/>
        <v>#VALUE!</v>
      </c>
      <c r="H43" t="e">
        <f t="shared" ca="1" si="6"/>
        <v>#VALUE!</v>
      </c>
      <c r="N43" t="str">
        <f>$I$21&amp;J42&amp;"_2 = "&amp;$I$23&amp;$I$25&amp;J42&amp;"_2"</f>
        <v>_2 = _2</v>
      </c>
    </row>
    <row r="44" spans="1:14" x14ac:dyDescent="0.25">
      <c r="A44" t="s">
        <v>276</v>
      </c>
      <c r="B44" t="e">
        <f t="shared" ca="1" si="6"/>
        <v>#VALUE!</v>
      </c>
      <c r="C44" t="e">
        <f t="shared" ca="1" si="6"/>
        <v>#VALUE!</v>
      </c>
      <c r="D44" t="e">
        <f t="shared" ca="1" si="6"/>
        <v>#VALUE!</v>
      </c>
      <c r="E44" t="e">
        <f t="shared" ca="1" si="6"/>
        <v>#VALUE!</v>
      </c>
      <c r="F44" t="e">
        <f t="shared" ca="1" si="6"/>
        <v>#VALUE!</v>
      </c>
      <c r="G44" t="e">
        <f t="shared" ca="1" si="6"/>
        <v>#VALUE!</v>
      </c>
      <c r="H44" t="e">
        <f t="shared" ca="1" si="6"/>
        <v>#VALUE!</v>
      </c>
    </row>
    <row r="45" spans="1:14" x14ac:dyDescent="0.25">
      <c r="A45" t="s">
        <v>277</v>
      </c>
      <c r="B45" t="e">
        <f t="shared" ca="1" si="6"/>
        <v>#VALUE!</v>
      </c>
      <c r="C45" t="e">
        <f t="shared" ca="1" si="6"/>
        <v>#VALUE!</v>
      </c>
      <c r="D45" t="e">
        <f t="shared" ca="1" si="6"/>
        <v>#VALUE!</v>
      </c>
      <c r="E45" t="e">
        <f t="shared" ca="1" si="6"/>
        <v>#VALUE!</v>
      </c>
      <c r="F45" t="e">
        <f t="shared" ca="1" si="6"/>
        <v>#VALUE!</v>
      </c>
      <c r="G45" t="e">
        <f t="shared" ca="1" si="6"/>
        <v>#VALUE!</v>
      </c>
      <c r="H45" t="e">
        <f t="shared" ca="1" si="6"/>
        <v>#VALUE!</v>
      </c>
    </row>
    <row r="46" spans="1:14" x14ac:dyDescent="0.25">
      <c r="A46" t="s">
        <v>291</v>
      </c>
      <c r="B46" t="e">
        <f t="shared" ca="1" si="6"/>
        <v>#VALUE!</v>
      </c>
      <c r="C46" t="e">
        <f t="shared" ca="1" si="6"/>
        <v>#VALUE!</v>
      </c>
      <c r="D46" t="e">
        <f t="shared" ca="1" si="6"/>
        <v>#VALUE!</v>
      </c>
      <c r="E46" t="e">
        <f t="shared" ca="1" si="6"/>
        <v>#VALUE!</v>
      </c>
      <c r="F46" t="e">
        <f t="shared" ca="1" si="6"/>
        <v>#VALUE!</v>
      </c>
      <c r="G46" t="e">
        <f t="shared" ca="1" si="6"/>
        <v>#VALUE!</v>
      </c>
      <c r="H46" t="e">
        <f t="shared" ca="1" si="6"/>
        <v>#VALUE!</v>
      </c>
    </row>
    <row r="47" spans="1:14" x14ac:dyDescent="0.25">
      <c r="A47" t="s">
        <v>278</v>
      </c>
      <c r="B47" t="e">
        <f t="shared" ca="1" si="6"/>
        <v>#VALUE!</v>
      </c>
      <c r="C47" t="e">
        <f t="shared" ca="1" si="6"/>
        <v>#VALUE!</v>
      </c>
      <c r="D47" t="e">
        <f t="shared" ca="1" si="6"/>
        <v>#VALUE!</v>
      </c>
      <c r="E47" t="e">
        <f t="shared" ca="1" si="6"/>
        <v>#VALUE!</v>
      </c>
      <c r="F47" t="e">
        <f t="shared" ca="1" si="6"/>
        <v>#VALUE!</v>
      </c>
      <c r="G47" t="e">
        <f t="shared" ca="1" si="6"/>
        <v>#VALUE!</v>
      </c>
      <c r="H47" t="e">
        <f t="shared" ca="1" si="6"/>
        <v>#VALUE!</v>
      </c>
    </row>
    <row r="48" spans="1:14" x14ac:dyDescent="0.25">
      <c r="B48" t="e">
        <f ca="1">SUM(B26:B47)</f>
        <v>#VALUE!</v>
      </c>
      <c r="C48" t="e">
        <f t="shared" ref="C48:H48" ca="1" si="7">SUM(C26:C47)</f>
        <v>#VALUE!</v>
      </c>
      <c r="D48" t="e">
        <f t="shared" ca="1" si="7"/>
        <v>#VALUE!</v>
      </c>
      <c r="E48" t="e">
        <f t="shared" ca="1" si="7"/>
        <v>#VALUE!</v>
      </c>
      <c r="F48" t="e">
        <f t="shared" ca="1" si="7"/>
        <v>#VALUE!</v>
      </c>
      <c r="G48" t="e">
        <f t="shared" ca="1" si="7"/>
        <v>#VALUE!</v>
      </c>
      <c r="H48" t="e">
        <f t="shared" ca="1" si="7"/>
        <v>#VALUE!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53"/>
  <sheetViews>
    <sheetView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D15" sqref="D15"/>
    </sheetView>
  </sheetViews>
  <sheetFormatPr baseColWidth="10" defaultRowHeight="15" x14ac:dyDescent="0.25"/>
  <cols>
    <col min="1" max="1" width="16.42578125" bestFit="1" customWidth="1"/>
    <col min="2" max="2" width="26.85546875" customWidth="1"/>
    <col min="3" max="11" width="12.7109375" customWidth="1"/>
  </cols>
  <sheetData>
    <row r="1" spans="1:49" ht="14.45" x14ac:dyDescent="0.35">
      <c r="C1">
        <v>2006</v>
      </c>
      <c r="D1">
        <v>2007</v>
      </c>
      <c r="E1">
        <v>2008</v>
      </c>
      <c r="F1">
        <v>2009</v>
      </c>
      <c r="G1">
        <v>2010</v>
      </c>
      <c r="H1">
        <v>2011</v>
      </c>
      <c r="I1">
        <v>2012</v>
      </c>
      <c r="J1">
        <v>2013</v>
      </c>
      <c r="K1">
        <v>2014</v>
      </c>
      <c r="L1">
        <v>2015</v>
      </c>
      <c r="M1">
        <v>2016</v>
      </c>
      <c r="N1">
        <v>2017</v>
      </c>
      <c r="O1">
        <v>2018</v>
      </c>
      <c r="P1">
        <v>2019</v>
      </c>
      <c r="Q1">
        <v>2020</v>
      </c>
      <c r="R1">
        <v>2021</v>
      </c>
      <c r="S1">
        <v>2022</v>
      </c>
      <c r="T1">
        <v>2023</v>
      </c>
      <c r="U1">
        <v>2024</v>
      </c>
      <c r="V1">
        <v>2025</v>
      </c>
      <c r="W1">
        <v>2026</v>
      </c>
      <c r="X1">
        <v>2027</v>
      </c>
      <c r="Y1">
        <v>2028</v>
      </c>
      <c r="Z1">
        <v>2029</v>
      </c>
      <c r="AA1">
        <v>2030</v>
      </c>
      <c r="AB1">
        <v>2031</v>
      </c>
      <c r="AC1">
        <v>2032</v>
      </c>
      <c r="AD1">
        <v>2033</v>
      </c>
      <c r="AE1">
        <v>2034</v>
      </c>
      <c r="AF1">
        <v>2035</v>
      </c>
      <c r="AG1">
        <v>2036</v>
      </c>
      <c r="AH1">
        <v>2037</v>
      </c>
      <c r="AI1">
        <v>2038</v>
      </c>
      <c r="AJ1">
        <v>2039</v>
      </c>
      <c r="AK1">
        <v>2040</v>
      </c>
      <c r="AL1">
        <v>2041</v>
      </c>
      <c r="AM1">
        <v>2042</v>
      </c>
      <c r="AN1">
        <v>2043</v>
      </c>
      <c r="AO1">
        <v>2044</v>
      </c>
      <c r="AP1">
        <v>2045</v>
      </c>
      <c r="AQ1">
        <v>2046</v>
      </c>
      <c r="AR1">
        <v>2047</v>
      </c>
      <c r="AS1">
        <v>2048</v>
      </c>
      <c r="AT1">
        <v>2049</v>
      </c>
      <c r="AU1">
        <v>2050</v>
      </c>
    </row>
    <row r="2" spans="1:49" ht="14.45" x14ac:dyDescent="0.35">
      <c r="A2" s="1" t="s">
        <v>752</v>
      </c>
    </row>
    <row r="3" spans="1:49" ht="14.45" x14ac:dyDescent="0.35">
      <c r="B3" t="s">
        <v>743</v>
      </c>
      <c r="C3" s="128" t="e">
        <f ca="1">Output("SCEN_ADEMEhaut",$B3,C$1)</f>
        <v>#VALUE!</v>
      </c>
      <c r="D3" s="128" t="e">
        <f t="shared" ref="D3:AU9" ca="1" si="0">Output("SCEN_ADEMEhaut",$B3,D$1)</f>
        <v>#VALUE!</v>
      </c>
      <c r="E3" s="128" t="e">
        <f t="shared" ca="1" si="0"/>
        <v>#VALUE!</v>
      </c>
      <c r="F3" s="128" t="e">
        <f t="shared" ca="1" si="0"/>
        <v>#VALUE!</v>
      </c>
      <c r="G3" s="128" t="e">
        <f t="shared" ca="1" si="0"/>
        <v>#VALUE!</v>
      </c>
      <c r="H3" s="128" t="e">
        <f t="shared" ca="1" si="0"/>
        <v>#VALUE!</v>
      </c>
      <c r="I3" s="128" t="e">
        <f t="shared" ca="1" si="0"/>
        <v>#VALUE!</v>
      </c>
      <c r="J3" s="128" t="e">
        <f t="shared" ca="1" si="0"/>
        <v>#VALUE!</v>
      </c>
      <c r="K3" s="128" t="e">
        <f t="shared" ca="1" si="0"/>
        <v>#VALUE!</v>
      </c>
      <c r="L3" s="128" t="e">
        <f t="shared" ca="1" si="0"/>
        <v>#VALUE!</v>
      </c>
      <c r="M3" s="128" t="e">
        <f t="shared" ca="1" si="0"/>
        <v>#VALUE!</v>
      </c>
      <c r="N3" s="128" t="e">
        <f t="shared" ca="1" si="0"/>
        <v>#VALUE!</v>
      </c>
      <c r="O3" s="128" t="e">
        <f t="shared" ca="1" si="0"/>
        <v>#VALUE!</v>
      </c>
      <c r="P3" s="128" t="e">
        <f t="shared" ca="1" si="0"/>
        <v>#VALUE!</v>
      </c>
      <c r="Q3" s="128" t="e">
        <f t="shared" ca="1" si="0"/>
        <v>#VALUE!</v>
      </c>
      <c r="R3" s="128" t="e">
        <f t="shared" ca="1" si="0"/>
        <v>#VALUE!</v>
      </c>
      <c r="S3" s="128" t="e">
        <f t="shared" ca="1" si="0"/>
        <v>#VALUE!</v>
      </c>
      <c r="T3" s="128" t="e">
        <f t="shared" ca="1" si="0"/>
        <v>#VALUE!</v>
      </c>
      <c r="U3" s="128" t="e">
        <f t="shared" ca="1" si="0"/>
        <v>#VALUE!</v>
      </c>
      <c r="V3" s="128" t="e">
        <f t="shared" ca="1" si="0"/>
        <v>#VALUE!</v>
      </c>
      <c r="W3" s="128" t="e">
        <f t="shared" ca="1" si="0"/>
        <v>#VALUE!</v>
      </c>
      <c r="X3" s="128" t="e">
        <f t="shared" ca="1" si="0"/>
        <v>#VALUE!</v>
      </c>
      <c r="Y3" s="128" t="e">
        <f t="shared" ca="1" si="0"/>
        <v>#VALUE!</v>
      </c>
      <c r="Z3" s="128" t="e">
        <f t="shared" ca="1" si="0"/>
        <v>#VALUE!</v>
      </c>
      <c r="AA3" s="128" t="e">
        <f t="shared" ca="1" si="0"/>
        <v>#VALUE!</v>
      </c>
      <c r="AB3" s="128" t="e">
        <f t="shared" ca="1" si="0"/>
        <v>#VALUE!</v>
      </c>
      <c r="AC3" s="128" t="e">
        <f t="shared" ca="1" si="0"/>
        <v>#VALUE!</v>
      </c>
      <c r="AD3" s="128" t="e">
        <f t="shared" ca="1" si="0"/>
        <v>#VALUE!</v>
      </c>
      <c r="AE3" s="128" t="e">
        <f t="shared" ca="1" si="0"/>
        <v>#VALUE!</v>
      </c>
      <c r="AF3" s="128" t="e">
        <f t="shared" ca="1" si="0"/>
        <v>#VALUE!</v>
      </c>
      <c r="AG3" s="128" t="e">
        <f t="shared" ca="1" si="0"/>
        <v>#VALUE!</v>
      </c>
      <c r="AH3" s="128" t="e">
        <f t="shared" ca="1" si="0"/>
        <v>#VALUE!</v>
      </c>
      <c r="AI3" s="128" t="e">
        <f t="shared" ca="1" si="0"/>
        <v>#VALUE!</v>
      </c>
      <c r="AJ3" s="128" t="e">
        <f t="shared" ca="1" si="0"/>
        <v>#VALUE!</v>
      </c>
      <c r="AK3" s="128" t="e">
        <f t="shared" ca="1" si="0"/>
        <v>#VALUE!</v>
      </c>
      <c r="AL3" s="128" t="e">
        <f t="shared" ca="1" si="0"/>
        <v>#VALUE!</v>
      </c>
      <c r="AM3" s="128" t="e">
        <f t="shared" ca="1" si="0"/>
        <v>#VALUE!</v>
      </c>
      <c r="AN3" s="128" t="e">
        <f t="shared" ca="1" si="0"/>
        <v>#VALUE!</v>
      </c>
      <c r="AO3" s="128" t="e">
        <f t="shared" ca="1" si="0"/>
        <v>#VALUE!</v>
      </c>
      <c r="AP3" s="128" t="e">
        <f t="shared" ca="1" si="0"/>
        <v>#VALUE!</v>
      </c>
      <c r="AQ3" s="128" t="e">
        <f t="shared" ca="1" si="0"/>
        <v>#VALUE!</v>
      </c>
      <c r="AR3" s="128" t="e">
        <f t="shared" ca="1" si="0"/>
        <v>#VALUE!</v>
      </c>
      <c r="AS3" s="128" t="e">
        <f t="shared" ca="1" si="0"/>
        <v>#VALUE!</v>
      </c>
      <c r="AT3" s="128" t="e">
        <f t="shared" ca="1" si="0"/>
        <v>#VALUE!</v>
      </c>
      <c r="AU3" s="128" t="e">
        <f t="shared" ca="1" si="0"/>
        <v>#VALUE!</v>
      </c>
    </row>
    <row r="4" spans="1:49" ht="14.45" x14ac:dyDescent="0.35">
      <c r="B4" t="s">
        <v>744</v>
      </c>
      <c r="C4" s="128" t="e">
        <f t="shared" ref="C4:R8" ca="1" si="1">Output("SCEN_ADEMEhaut",$B4,C$1)</f>
        <v>#VALUE!</v>
      </c>
      <c r="D4" s="128" t="e">
        <f t="shared" ca="1" si="1"/>
        <v>#VALUE!</v>
      </c>
      <c r="E4" s="128" t="e">
        <f t="shared" ca="1" si="1"/>
        <v>#VALUE!</v>
      </c>
      <c r="F4" s="128" t="e">
        <f t="shared" ca="1" si="1"/>
        <v>#VALUE!</v>
      </c>
      <c r="G4" s="128" t="e">
        <f t="shared" ca="1" si="1"/>
        <v>#VALUE!</v>
      </c>
      <c r="H4" s="128" t="e">
        <f t="shared" ca="1" si="1"/>
        <v>#VALUE!</v>
      </c>
      <c r="I4" s="128" t="e">
        <f t="shared" ca="1" si="1"/>
        <v>#VALUE!</v>
      </c>
      <c r="J4" s="128" t="e">
        <f t="shared" ca="1" si="1"/>
        <v>#VALUE!</v>
      </c>
      <c r="K4" s="128" t="e">
        <f t="shared" ca="1" si="1"/>
        <v>#VALUE!</v>
      </c>
      <c r="L4" s="128" t="e">
        <f t="shared" ca="1" si="1"/>
        <v>#VALUE!</v>
      </c>
      <c r="M4" s="128" t="e">
        <f t="shared" ca="1" si="1"/>
        <v>#VALUE!</v>
      </c>
      <c r="N4" s="128" t="e">
        <f t="shared" ca="1" si="1"/>
        <v>#VALUE!</v>
      </c>
      <c r="O4" s="128" t="e">
        <f t="shared" ca="1" si="1"/>
        <v>#VALUE!</v>
      </c>
      <c r="P4" s="128" t="e">
        <f t="shared" ca="1" si="1"/>
        <v>#VALUE!</v>
      </c>
      <c r="Q4" s="128" t="e">
        <f t="shared" ca="1" si="1"/>
        <v>#VALUE!</v>
      </c>
      <c r="R4" s="128" t="e">
        <f t="shared" ca="1" si="1"/>
        <v>#VALUE!</v>
      </c>
      <c r="S4" s="128" t="e">
        <f t="shared" ca="1" si="0"/>
        <v>#VALUE!</v>
      </c>
      <c r="T4" s="128" t="e">
        <f t="shared" ca="1" si="0"/>
        <v>#VALUE!</v>
      </c>
      <c r="U4" s="128" t="e">
        <f t="shared" ca="1" si="0"/>
        <v>#VALUE!</v>
      </c>
      <c r="V4" s="128" t="e">
        <f t="shared" ca="1" si="0"/>
        <v>#VALUE!</v>
      </c>
      <c r="W4" s="128" t="e">
        <f t="shared" ca="1" si="0"/>
        <v>#VALUE!</v>
      </c>
      <c r="X4" s="128" t="e">
        <f t="shared" ca="1" si="0"/>
        <v>#VALUE!</v>
      </c>
      <c r="Y4" s="128" t="e">
        <f t="shared" ca="1" si="0"/>
        <v>#VALUE!</v>
      </c>
      <c r="Z4" s="128" t="e">
        <f t="shared" ca="1" si="0"/>
        <v>#VALUE!</v>
      </c>
      <c r="AA4" s="128" t="e">
        <f t="shared" ca="1" si="0"/>
        <v>#VALUE!</v>
      </c>
      <c r="AB4" s="128" t="e">
        <f t="shared" ca="1" si="0"/>
        <v>#VALUE!</v>
      </c>
      <c r="AC4" s="128" t="e">
        <f t="shared" ca="1" si="0"/>
        <v>#VALUE!</v>
      </c>
      <c r="AD4" s="128" t="e">
        <f t="shared" ca="1" si="0"/>
        <v>#VALUE!</v>
      </c>
      <c r="AE4" s="128" t="e">
        <f t="shared" ca="1" si="0"/>
        <v>#VALUE!</v>
      </c>
      <c r="AF4" s="128" t="e">
        <f t="shared" ca="1" si="0"/>
        <v>#VALUE!</v>
      </c>
      <c r="AG4" s="128" t="e">
        <f t="shared" ca="1" si="0"/>
        <v>#VALUE!</v>
      </c>
      <c r="AH4" s="128" t="e">
        <f t="shared" ca="1" si="0"/>
        <v>#VALUE!</v>
      </c>
      <c r="AI4" s="128" t="e">
        <f t="shared" ca="1" si="0"/>
        <v>#VALUE!</v>
      </c>
      <c r="AJ4" s="128" t="e">
        <f t="shared" ca="1" si="0"/>
        <v>#VALUE!</v>
      </c>
      <c r="AK4" s="128" t="e">
        <f t="shared" ca="1" si="0"/>
        <v>#VALUE!</v>
      </c>
      <c r="AL4" s="128" t="e">
        <f t="shared" ca="1" si="0"/>
        <v>#VALUE!</v>
      </c>
      <c r="AM4" s="128" t="e">
        <f t="shared" ca="1" si="0"/>
        <v>#VALUE!</v>
      </c>
      <c r="AN4" s="128" t="e">
        <f t="shared" ca="1" si="0"/>
        <v>#VALUE!</v>
      </c>
      <c r="AO4" s="128" t="e">
        <f t="shared" ca="1" si="0"/>
        <v>#VALUE!</v>
      </c>
      <c r="AP4" s="128" t="e">
        <f t="shared" ca="1" si="0"/>
        <v>#VALUE!</v>
      </c>
      <c r="AQ4" s="128" t="e">
        <f t="shared" ca="1" si="0"/>
        <v>#VALUE!</v>
      </c>
      <c r="AR4" s="128" t="e">
        <f t="shared" ca="1" si="0"/>
        <v>#VALUE!</v>
      </c>
      <c r="AS4" s="128" t="e">
        <f t="shared" ca="1" si="0"/>
        <v>#VALUE!</v>
      </c>
      <c r="AT4" s="128" t="e">
        <f t="shared" ca="1" si="0"/>
        <v>#VALUE!</v>
      </c>
      <c r="AU4" s="128" t="e">
        <f t="shared" ca="1" si="0"/>
        <v>#VALUE!</v>
      </c>
    </row>
    <row r="5" spans="1:49" ht="14.45" x14ac:dyDescent="0.35">
      <c r="B5" t="s">
        <v>745</v>
      </c>
      <c r="C5" s="128" t="e">
        <f t="shared" ca="1" si="1"/>
        <v>#VALUE!</v>
      </c>
      <c r="D5" s="128" t="e">
        <f t="shared" ca="1" si="0"/>
        <v>#VALUE!</v>
      </c>
      <c r="E5" s="128" t="e">
        <f t="shared" ca="1" si="0"/>
        <v>#VALUE!</v>
      </c>
      <c r="F5" s="128" t="e">
        <f t="shared" ca="1" si="0"/>
        <v>#VALUE!</v>
      </c>
      <c r="G5" s="128" t="e">
        <f t="shared" ca="1" si="0"/>
        <v>#VALUE!</v>
      </c>
      <c r="H5" s="128" t="e">
        <f t="shared" ca="1" si="0"/>
        <v>#VALUE!</v>
      </c>
      <c r="I5" s="128" t="e">
        <f t="shared" ca="1" si="0"/>
        <v>#VALUE!</v>
      </c>
      <c r="J5" s="128" t="e">
        <f t="shared" ca="1" si="0"/>
        <v>#VALUE!</v>
      </c>
      <c r="K5" s="128" t="e">
        <f t="shared" ca="1" si="0"/>
        <v>#VALUE!</v>
      </c>
      <c r="L5" s="128" t="e">
        <f t="shared" ca="1" si="0"/>
        <v>#VALUE!</v>
      </c>
      <c r="M5" s="128" t="e">
        <f t="shared" ca="1" si="0"/>
        <v>#VALUE!</v>
      </c>
      <c r="N5" s="128" t="e">
        <f t="shared" ca="1" si="0"/>
        <v>#VALUE!</v>
      </c>
      <c r="O5" s="128" t="e">
        <f t="shared" ca="1" si="0"/>
        <v>#VALUE!</v>
      </c>
      <c r="P5" s="128" t="e">
        <f t="shared" ca="1" si="0"/>
        <v>#VALUE!</v>
      </c>
      <c r="Q5" s="128" t="e">
        <f t="shared" ca="1" si="0"/>
        <v>#VALUE!</v>
      </c>
      <c r="R5" s="128" t="e">
        <f t="shared" ca="1" si="0"/>
        <v>#VALUE!</v>
      </c>
      <c r="S5" s="128" t="e">
        <f t="shared" ca="1" si="0"/>
        <v>#VALUE!</v>
      </c>
      <c r="T5" s="128" t="e">
        <f t="shared" ca="1" si="0"/>
        <v>#VALUE!</v>
      </c>
      <c r="U5" s="128" t="e">
        <f t="shared" ca="1" si="0"/>
        <v>#VALUE!</v>
      </c>
      <c r="V5" s="128" t="e">
        <f t="shared" ca="1" si="0"/>
        <v>#VALUE!</v>
      </c>
      <c r="W5" s="128" t="e">
        <f t="shared" ca="1" si="0"/>
        <v>#VALUE!</v>
      </c>
      <c r="X5" s="128" t="e">
        <f t="shared" ca="1" si="0"/>
        <v>#VALUE!</v>
      </c>
      <c r="Y5" s="128" t="e">
        <f t="shared" ca="1" si="0"/>
        <v>#VALUE!</v>
      </c>
      <c r="Z5" s="128" t="e">
        <f t="shared" ca="1" si="0"/>
        <v>#VALUE!</v>
      </c>
      <c r="AA5" s="128" t="e">
        <f t="shared" ca="1" si="0"/>
        <v>#VALUE!</v>
      </c>
      <c r="AB5" s="128" t="e">
        <f t="shared" ca="1" si="0"/>
        <v>#VALUE!</v>
      </c>
      <c r="AC5" s="128" t="e">
        <f t="shared" ca="1" si="0"/>
        <v>#VALUE!</v>
      </c>
      <c r="AD5" s="128" t="e">
        <f t="shared" ca="1" si="0"/>
        <v>#VALUE!</v>
      </c>
      <c r="AE5" s="128" t="e">
        <f t="shared" ca="1" si="0"/>
        <v>#VALUE!</v>
      </c>
      <c r="AF5" s="128" t="e">
        <f t="shared" ca="1" si="0"/>
        <v>#VALUE!</v>
      </c>
      <c r="AG5" s="128" t="e">
        <f t="shared" ca="1" si="0"/>
        <v>#VALUE!</v>
      </c>
      <c r="AH5" s="128" t="e">
        <f t="shared" ca="1" si="0"/>
        <v>#VALUE!</v>
      </c>
      <c r="AI5" s="128" t="e">
        <f t="shared" ca="1" si="0"/>
        <v>#VALUE!</v>
      </c>
      <c r="AJ5" s="128" t="e">
        <f t="shared" ca="1" si="0"/>
        <v>#VALUE!</v>
      </c>
      <c r="AK5" s="128" t="e">
        <f t="shared" ca="1" si="0"/>
        <v>#VALUE!</v>
      </c>
      <c r="AL5" s="128" t="e">
        <f t="shared" ca="1" si="0"/>
        <v>#VALUE!</v>
      </c>
      <c r="AM5" s="128" t="e">
        <f t="shared" ca="1" si="0"/>
        <v>#VALUE!</v>
      </c>
      <c r="AN5" s="128" t="e">
        <f t="shared" ca="1" si="0"/>
        <v>#VALUE!</v>
      </c>
      <c r="AO5" s="128" t="e">
        <f t="shared" ca="1" si="0"/>
        <v>#VALUE!</v>
      </c>
      <c r="AP5" s="128" t="e">
        <f t="shared" ca="1" si="0"/>
        <v>#VALUE!</v>
      </c>
      <c r="AQ5" s="128" t="e">
        <f t="shared" ca="1" si="0"/>
        <v>#VALUE!</v>
      </c>
      <c r="AR5" s="128" t="e">
        <f t="shared" ca="1" si="0"/>
        <v>#VALUE!</v>
      </c>
      <c r="AS5" s="128" t="e">
        <f t="shared" ca="1" si="0"/>
        <v>#VALUE!</v>
      </c>
      <c r="AT5" s="128" t="e">
        <f t="shared" ca="1" si="0"/>
        <v>#VALUE!</v>
      </c>
      <c r="AU5" s="128" t="e">
        <f t="shared" ca="1" si="0"/>
        <v>#VALUE!</v>
      </c>
    </row>
    <row r="6" spans="1:49" ht="14.45" x14ac:dyDescent="0.35">
      <c r="B6" t="s">
        <v>746</v>
      </c>
      <c r="C6" s="128" t="e">
        <f t="shared" ca="1" si="1"/>
        <v>#VALUE!</v>
      </c>
      <c r="D6" s="128" t="e">
        <f t="shared" ca="1" si="0"/>
        <v>#VALUE!</v>
      </c>
      <c r="E6" s="128" t="e">
        <f t="shared" ca="1" si="0"/>
        <v>#VALUE!</v>
      </c>
      <c r="F6" s="128" t="e">
        <f t="shared" ca="1" si="0"/>
        <v>#VALUE!</v>
      </c>
      <c r="G6" s="128" t="e">
        <f t="shared" ca="1" si="0"/>
        <v>#VALUE!</v>
      </c>
      <c r="H6" s="128" t="e">
        <f t="shared" ca="1" si="0"/>
        <v>#VALUE!</v>
      </c>
      <c r="I6" s="128" t="e">
        <f t="shared" ca="1" si="0"/>
        <v>#VALUE!</v>
      </c>
      <c r="J6" s="128" t="e">
        <f t="shared" ca="1" si="0"/>
        <v>#VALUE!</v>
      </c>
      <c r="K6" s="128" t="e">
        <f t="shared" ca="1" si="0"/>
        <v>#VALUE!</v>
      </c>
      <c r="L6" s="128" t="e">
        <f t="shared" ca="1" si="0"/>
        <v>#VALUE!</v>
      </c>
      <c r="M6" s="128" t="e">
        <f t="shared" ca="1" si="0"/>
        <v>#VALUE!</v>
      </c>
      <c r="N6" s="128" t="e">
        <f t="shared" ca="1" si="0"/>
        <v>#VALUE!</v>
      </c>
      <c r="O6" s="128" t="e">
        <f t="shared" ca="1" si="0"/>
        <v>#VALUE!</v>
      </c>
      <c r="P6" s="128" t="e">
        <f t="shared" ca="1" si="0"/>
        <v>#VALUE!</v>
      </c>
      <c r="Q6" s="128" t="e">
        <f t="shared" ca="1" si="0"/>
        <v>#VALUE!</v>
      </c>
      <c r="R6" s="128" t="e">
        <f t="shared" ca="1" si="0"/>
        <v>#VALUE!</v>
      </c>
      <c r="S6" s="128" t="e">
        <f t="shared" ca="1" si="0"/>
        <v>#VALUE!</v>
      </c>
      <c r="T6" s="128" t="e">
        <f t="shared" ca="1" si="0"/>
        <v>#VALUE!</v>
      </c>
      <c r="U6" s="128" t="e">
        <f t="shared" ca="1" si="0"/>
        <v>#VALUE!</v>
      </c>
      <c r="V6" s="128" t="e">
        <f t="shared" ca="1" si="0"/>
        <v>#VALUE!</v>
      </c>
      <c r="W6" s="128" t="e">
        <f t="shared" ca="1" si="0"/>
        <v>#VALUE!</v>
      </c>
      <c r="X6" s="128" t="e">
        <f t="shared" ca="1" si="0"/>
        <v>#VALUE!</v>
      </c>
      <c r="Y6" s="128" t="e">
        <f t="shared" ca="1" si="0"/>
        <v>#VALUE!</v>
      </c>
      <c r="Z6" s="128" t="e">
        <f t="shared" ca="1" si="0"/>
        <v>#VALUE!</v>
      </c>
      <c r="AA6" s="128" t="e">
        <f t="shared" ca="1" si="0"/>
        <v>#VALUE!</v>
      </c>
      <c r="AB6" s="128" t="e">
        <f t="shared" ca="1" si="0"/>
        <v>#VALUE!</v>
      </c>
      <c r="AC6" s="128" t="e">
        <f t="shared" ca="1" si="0"/>
        <v>#VALUE!</v>
      </c>
      <c r="AD6" s="128" t="e">
        <f t="shared" ca="1" si="0"/>
        <v>#VALUE!</v>
      </c>
      <c r="AE6" s="128" t="e">
        <f t="shared" ca="1" si="0"/>
        <v>#VALUE!</v>
      </c>
      <c r="AF6" s="128" t="e">
        <f t="shared" ca="1" si="0"/>
        <v>#VALUE!</v>
      </c>
      <c r="AG6" s="128" t="e">
        <f t="shared" ca="1" si="0"/>
        <v>#VALUE!</v>
      </c>
      <c r="AH6" s="128" t="e">
        <f t="shared" ca="1" si="0"/>
        <v>#VALUE!</v>
      </c>
      <c r="AI6" s="128" t="e">
        <f t="shared" ca="1" si="0"/>
        <v>#VALUE!</v>
      </c>
      <c r="AJ6" s="128" t="e">
        <f t="shared" ca="1" si="0"/>
        <v>#VALUE!</v>
      </c>
      <c r="AK6" s="128" t="e">
        <f t="shared" ca="1" si="0"/>
        <v>#VALUE!</v>
      </c>
      <c r="AL6" s="128" t="e">
        <f t="shared" ca="1" si="0"/>
        <v>#VALUE!</v>
      </c>
      <c r="AM6" s="128" t="e">
        <f t="shared" ca="1" si="0"/>
        <v>#VALUE!</v>
      </c>
      <c r="AN6" s="128" t="e">
        <f t="shared" ca="1" si="0"/>
        <v>#VALUE!</v>
      </c>
      <c r="AO6" s="128" t="e">
        <f t="shared" ca="1" si="0"/>
        <v>#VALUE!</v>
      </c>
      <c r="AP6" s="128" t="e">
        <f t="shared" ca="1" si="0"/>
        <v>#VALUE!</v>
      </c>
      <c r="AQ6" s="128" t="e">
        <f t="shared" ca="1" si="0"/>
        <v>#VALUE!</v>
      </c>
      <c r="AR6" s="128" t="e">
        <f t="shared" ca="1" si="0"/>
        <v>#VALUE!</v>
      </c>
      <c r="AS6" s="128" t="e">
        <f t="shared" ca="1" si="0"/>
        <v>#VALUE!</v>
      </c>
      <c r="AT6" s="128" t="e">
        <f t="shared" ca="1" si="0"/>
        <v>#VALUE!</v>
      </c>
      <c r="AU6" s="128" t="e">
        <f t="shared" ca="1" si="0"/>
        <v>#VALUE!</v>
      </c>
    </row>
    <row r="7" spans="1:49" ht="14.45" x14ac:dyDescent="0.35">
      <c r="B7" t="s">
        <v>747</v>
      </c>
      <c r="C7" s="128" t="e">
        <f t="shared" ca="1" si="1"/>
        <v>#VALUE!</v>
      </c>
      <c r="D7" s="128" t="e">
        <f t="shared" ca="1" si="0"/>
        <v>#VALUE!</v>
      </c>
      <c r="E7" s="128" t="e">
        <f t="shared" ca="1" si="0"/>
        <v>#VALUE!</v>
      </c>
      <c r="F7" s="128" t="e">
        <f t="shared" ca="1" si="0"/>
        <v>#VALUE!</v>
      </c>
      <c r="G7" s="128" t="e">
        <f t="shared" ca="1" si="0"/>
        <v>#VALUE!</v>
      </c>
      <c r="H7" s="128" t="e">
        <f t="shared" ca="1" si="0"/>
        <v>#VALUE!</v>
      </c>
      <c r="I7" s="128" t="e">
        <f t="shared" ca="1" si="0"/>
        <v>#VALUE!</v>
      </c>
      <c r="J7" s="128" t="e">
        <f t="shared" ca="1" si="0"/>
        <v>#VALUE!</v>
      </c>
      <c r="K7" s="128" t="e">
        <f t="shared" ca="1" si="0"/>
        <v>#VALUE!</v>
      </c>
      <c r="L7" s="128" t="e">
        <f t="shared" ca="1" si="0"/>
        <v>#VALUE!</v>
      </c>
      <c r="M7" s="128" t="e">
        <f t="shared" ca="1" si="0"/>
        <v>#VALUE!</v>
      </c>
      <c r="N7" s="128" t="e">
        <f t="shared" ca="1" si="0"/>
        <v>#VALUE!</v>
      </c>
      <c r="O7" s="128" t="e">
        <f t="shared" ca="1" si="0"/>
        <v>#VALUE!</v>
      </c>
      <c r="P7" s="128" t="e">
        <f t="shared" ca="1" si="0"/>
        <v>#VALUE!</v>
      </c>
      <c r="Q7" s="128" t="e">
        <f t="shared" ca="1" si="0"/>
        <v>#VALUE!</v>
      </c>
      <c r="R7" s="128" t="e">
        <f t="shared" ca="1" si="0"/>
        <v>#VALUE!</v>
      </c>
      <c r="S7" s="128" t="e">
        <f t="shared" ca="1" si="0"/>
        <v>#VALUE!</v>
      </c>
      <c r="T7" s="128" t="e">
        <f t="shared" ca="1" si="0"/>
        <v>#VALUE!</v>
      </c>
      <c r="U7" s="128" t="e">
        <f t="shared" ca="1" si="0"/>
        <v>#VALUE!</v>
      </c>
      <c r="V7" s="128" t="e">
        <f t="shared" ca="1" si="0"/>
        <v>#VALUE!</v>
      </c>
      <c r="W7" s="128" t="e">
        <f t="shared" ca="1" si="0"/>
        <v>#VALUE!</v>
      </c>
      <c r="X7" s="128" t="e">
        <f t="shared" ca="1" si="0"/>
        <v>#VALUE!</v>
      </c>
      <c r="Y7" s="128" t="e">
        <f t="shared" ca="1" si="0"/>
        <v>#VALUE!</v>
      </c>
      <c r="Z7" s="128" t="e">
        <f t="shared" ca="1" si="0"/>
        <v>#VALUE!</v>
      </c>
      <c r="AA7" s="128" t="e">
        <f t="shared" ca="1" si="0"/>
        <v>#VALUE!</v>
      </c>
      <c r="AB7" s="128" t="e">
        <f t="shared" ca="1" si="0"/>
        <v>#VALUE!</v>
      </c>
      <c r="AC7" s="128" t="e">
        <f t="shared" ca="1" si="0"/>
        <v>#VALUE!</v>
      </c>
      <c r="AD7" s="128" t="e">
        <f t="shared" ca="1" si="0"/>
        <v>#VALUE!</v>
      </c>
      <c r="AE7" s="128" t="e">
        <f t="shared" ca="1" si="0"/>
        <v>#VALUE!</v>
      </c>
      <c r="AF7" s="128" t="e">
        <f t="shared" ca="1" si="0"/>
        <v>#VALUE!</v>
      </c>
      <c r="AG7" s="128" t="e">
        <f t="shared" ca="1" si="0"/>
        <v>#VALUE!</v>
      </c>
      <c r="AH7" s="128" t="e">
        <f t="shared" ca="1" si="0"/>
        <v>#VALUE!</v>
      </c>
      <c r="AI7" s="128" t="e">
        <f t="shared" ca="1" si="0"/>
        <v>#VALUE!</v>
      </c>
      <c r="AJ7" s="128" t="e">
        <f t="shared" ca="1" si="0"/>
        <v>#VALUE!</v>
      </c>
      <c r="AK7" s="128" t="e">
        <f t="shared" ca="1" si="0"/>
        <v>#VALUE!</v>
      </c>
      <c r="AL7" s="128" t="e">
        <f t="shared" ca="1" si="0"/>
        <v>#VALUE!</v>
      </c>
      <c r="AM7" s="128" t="e">
        <f t="shared" ca="1" si="0"/>
        <v>#VALUE!</v>
      </c>
      <c r="AN7" s="128" t="e">
        <f t="shared" ca="1" si="0"/>
        <v>#VALUE!</v>
      </c>
      <c r="AO7" s="128" t="e">
        <f t="shared" ca="1" si="0"/>
        <v>#VALUE!</v>
      </c>
      <c r="AP7" s="128" t="e">
        <f t="shared" ca="1" si="0"/>
        <v>#VALUE!</v>
      </c>
      <c r="AQ7" s="128" t="e">
        <f t="shared" ca="1" si="0"/>
        <v>#VALUE!</v>
      </c>
      <c r="AR7" s="128" t="e">
        <f t="shared" ca="1" si="0"/>
        <v>#VALUE!</v>
      </c>
      <c r="AS7" s="128" t="e">
        <f t="shared" ca="1" si="0"/>
        <v>#VALUE!</v>
      </c>
      <c r="AT7" s="128" t="e">
        <f t="shared" ca="1" si="0"/>
        <v>#VALUE!</v>
      </c>
      <c r="AU7" s="128" t="e">
        <f t="shared" ca="1" si="0"/>
        <v>#VALUE!</v>
      </c>
    </row>
    <row r="8" spans="1:49" ht="14.45" x14ac:dyDescent="0.35">
      <c r="B8" t="s">
        <v>748</v>
      </c>
      <c r="C8" s="128" t="e">
        <f t="shared" ca="1" si="1"/>
        <v>#VALUE!</v>
      </c>
      <c r="D8" s="128" t="e">
        <f t="shared" ca="1" si="0"/>
        <v>#VALUE!</v>
      </c>
      <c r="E8" s="128" t="e">
        <f t="shared" ca="1" si="0"/>
        <v>#VALUE!</v>
      </c>
      <c r="F8" s="128" t="e">
        <f t="shared" ca="1" si="0"/>
        <v>#VALUE!</v>
      </c>
      <c r="G8" s="128" t="e">
        <f t="shared" ca="1" si="0"/>
        <v>#VALUE!</v>
      </c>
      <c r="H8" s="128" t="e">
        <f t="shared" ca="1" si="0"/>
        <v>#VALUE!</v>
      </c>
      <c r="I8" s="128" t="e">
        <f t="shared" ca="1" si="0"/>
        <v>#VALUE!</v>
      </c>
      <c r="J8" s="128" t="e">
        <f t="shared" ca="1" si="0"/>
        <v>#VALUE!</v>
      </c>
      <c r="K8" s="128" t="e">
        <f t="shared" ca="1" si="0"/>
        <v>#VALUE!</v>
      </c>
      <c r="L8" s="128" t="e">
        <f t="shared" ca="1" si="0"/>
        <v>#VALUE!</v>
      </c>
      <c r="M8" s="128" t="e">
        <f t="shared" ca="1" si="0"/>
        <v>#VALUE!</v>
      </c>
      <c r="N8" s="128" t="e">
        <f t="shared" ca="1" si="0"/>
        <v>#VALUE!</v>
      </c>
      <c r="O8" s="128" t="e">
        <f t="shared" ca="1" si="0"/>
        <v>#VALUE!</v>
      </c>
      <c r="P8" s="128" t="e">
        <f t="shared" ca="1" si="0"/>
        <v>#VALUE!</v>
      </c>
      <c r="Q8" s="128" t="e">
        <f t="shared" ca="1" si="0"/>
        <v>#VALUE!</v>
      </c>
      <c r="R8" s="128" t="e">
        <f t="shared" ca="1" si="0"/>
        <v>#VALUE!</v>
      </c>
      <c r="S8" s="128" t="e">
        <f t="shared" ca="1" si="0"/>
        <v>#VALUE!</v>
      </c>
      <c r="T8" s="128" t="e">
        <f t="shared" ca="1" si="0"/>
        <v>#VALUE!</v>
      </c>
      <c r="U8" s="128" t="e">
        <f t="shared" ca="1" si="0"/>
        <v>#VALUE!</v>
      </c>
      <c r="V8" s="128" t="e">
        <f t="shared" ca="1" si="0"/>
        <v>#VALUE!</v>
      </c>
      <c r="W8" s="128" t="e">
        <f t="shared" ca="1" si="0"/>
        <v>#VALUE!</v>
      </c>
      <c r="X8" s="128" t="e">
        <f t="shared" ca="1" si="0"/>
        <v>#VALUE!</v>
      </c>
      <c r="Y8" s="128" t="e">
        <f t="shared" ca="1" si="0"/>
        <v>#VALUE!</v>
      </c>
      <c r="Z8" s="128" t="e">
        <f t="shared" ca="1" si="0"/>
        <v>#VALUE!</v>
      </c>
      <c r="AA8" s="128" t="e">
        <f t="shared" ca="1" si="0"/>
        <v>#VALUE!</v>
      </c>
      <c r="AB8" s="128" t="e">
        <f t="shared" ca="1" si="0"/>
        <v>#VALUE!</v>
      </c>
      <c r="AC8" s="128" t="e">
        <f t="shared" ca="1" si="0"/>
        <v>#VALUE!</v>
      </c>
      <c r="AD8" s="128" t="e">
        <f t="shared" ca="1" si="0"/>
        <v>#VALUE!</v>
      </c>
      <c r="AE8" s="128" t="e">
        <f t="shared" ca="1" si="0"/>
        <v>#VALUE!</v>
      </c>
      <c r="AF8" s="128" t="e">
        <f t="shared" ca="1" si="0"/>
        <v>#VALUE!</v>
      </c>
      <c r="AG8" s="128" t="e">
        <f t="shared" ca="1" si="0"/>
        <v>#VALUE!</v>
      </c>
      <c r="AH8" s="128" t="e">
        <f t="shared" ca="1" si="0"/>
        <v>#VALUE!</v>
      </c>
      <c r="AI8" s="128" t="e">
        <f t="shared" ca="1" si="0"/>
        <v>#VALUE!</v>
      </c>
      <c r="AJ8" s="128" t="e">
        <f t="shared" ca="1" si="0"/>
        <v>#VALUE!</v>
      </c>
      <c r="AK8" s="128" t="e">
        <f t="shared" ca="1" si="0"/>
        <v>#VALUE!</v>
      </c>
      <c r="AL8" s="128" t="e">
        <f t="shared" ca="1" si="0"/>
        <v>#VALUE!</v>
      </c>
      <c r="AM8" s="128" t="e">
        <f t="shared" ca="1" si="0"/>
        <v>#VALUE!</v>
      </c>
      <c r="AN8" s="128" t="e">
        <f t="shared" ca="1" si="0"/>
        <v>#VALUE!</v>
      </c>
      <c r="AO8" s="128" t="e">
        <f t="shared" ca="1" si="0"/>
        <v>#VALUE!</v>
      </c>
      <c r="AP8" s="128" t="e">
        <f t="shared" ca="1" si="0"/>
        <v>#VALUE!</v>
      </c>
      <c r="AQ8" s="128" t="e">
        <f t="shared" ca="1" si="0"/>
        <v>#VALUE!</v>
      </c>
      <c r="AR8" s="128" t="e">
        <f t="shared" ca="1" si="0"/>
        <v>#VALUE!</v>
      </c>
      <c r="AS8" s="128" t="e">
        <f t="shared" ca="1" si="0"/>
        <v>#VALUE!</v>
      </c>
      <c r="AT8" s="128" t="e">
        <f t="shared" ca="1" si="0"/>
        <v>#VALUE!</v>
      </c>
      <c r="AU8" s="128" t="e">
        <f t="shared" ca="1" si="0"/>
        <v>#VALUE!</v>
      </c>
    </row>
    <row r="9" spans="1:49" ht="14.45" x14ac:dyDescent="0.35">
      <c r="B9" t="s">
        <v>749</v>
      </c>
      <c r="C9" s="132" t="e">
        <f ca="1">Output("SCEN_ADEMEhaut",$B9,C$1)</f>
        <v>#VALUE!</v>
      </c>
      <c r="D9" s="132" t="e">
        <f t="shared" ca="1" si="0"/>
        <v>#VALUE!</v>
      </c>
      <c r="E9" s="132" t="e">
        <f t="shared" ca="1" si="0"/>
        <v>#VALUE!</v>
      </c>
      <c r="F9" s="132" t="e">
        <f t="shared" ca="1" si="0"/>
        <v>#VALUE!</v>
      </c>
      <c r="G9" s="132" t="e">
        <f t="shared" ca="1" si="0"/>
        <v>#VALUE!</v>
      </c>
      <c r="H9" s="132" t="e">
        <f t="shared" ca="1" si="0"/>
        <v>#VALUE!</v>
      </c>
      <c r="I9" s="132" t="e">
        <f t="shared" ca="1" si="0"/>
        <v>#VALUE!</v>
      </c>
      <c r="J9" s="132" t="e">
        <f t="shared" ref="C9:AU13" ca="1" si="2">Output("SCEN_ADEMEhaut",$B9,J$1)</f>
        <v>#VALUE!</v>
      </c>
      <c r="K9" s="132" t="e">
        <f t="shared" ca="1" si="2"/>
        <v>#VALUE!</v>
      </c>
      <c r="L9" s="132" t="e">
        <f t="shared" ca="1" si="2"/>
        <v>#VALUE!</v>
      </c>
      <c r="M9" s="132" t="e">
        <f t="shared" ca="1" si="2"/>
        <v>#VALUE!</v>
      </c>
      <c r="N9" s="132" t="e">
        <f t="shared" ca="1" si="2"/>
        <v>#VALUE!</v>
      </c>
      <c r="O9" s="132" t="e">
        <f t="shared" ca="1" si="2"/>
        <v>#VALUE!</v>
      </c>
      <c r="P9" s="132" t="e">
        <f t="shared" ca="1" si="2"/>
        <v>#VALUE!</v>
      </c>
      <c r="Q9" s="132" t="e">
        <f t="shared" ca="1" si="2"/>
        <v>#VALUE!</v>
      </c>
      <c r="R9" s="132" t="e">
        <f t="shared" ca="1" si="2"/>
        <v>#VALUE!</v>
      </c>
      <c r="S9" s="132" t="e">
        <f t="shared" ca="1" si="2"/>
        <v>#VALUE!</v>
      </c>
      <c r="T9" s="132" t="e">
        <f t="shared" ca="1" si="2"/>
        <v>#VALUE!</v>
      </c>
      <c r="U9" s="132" t="e">
        <f t="shared" ca="1" si="2"/>
        <v>#VALUE!</v>
      </c>
      <c r="V9" s="132" t="e">
        <f t="shared" ca="1" si="2"/>
        <v>#VALUE!</v>
      </c>
      <c r="W9" s="132" t="e">
        <f t="shared" ca="1" si="2"/>
        <v>#VALUE!</v>
      </c>
      <c r="X9" s="132" t="e">
        <f t="shared" ca="1" si="2"/>
        <v>#VALUE!</v>
      </c>
      <c r="Y9" s="132" t="e">
        <f t="shared" ca="1" si="2"/>
        <v>#VALUE!</v>
      </c>
      <c r="Z9" s="132" t="e">
        <f t="shared" ca="1" si="2"/>
        <v>#VALUE!</v>
      </c>
      <c r="AA9" s="132" t="e">
        <f t="shared" ca="1" si="2"/>
        <v>#VALUE!</v>
      </c>
      <c r="AB9" s="132" t="e">
        <f t="shared" ca="1" si="2"/>
        <v>#VALUE!</v>
      </c>
      <c r="AC9" s="132" t="e">
        <f t="shared" ca="1" si="2"/>
        <v>#VALUE!</v>
      </c>
      <c r="AD9" s="132" t="e">
        <f t="shared" ca="1" si="2"/>
        <v>#VALUE!</v>
      </c>
      <c r="AE9" s="132" t="e">
        <f t="shared" ca="1" si="2"/>
        <v>#VALUE!</v>
      </c>
      <c r="AF9" s="132" t="e">
        <f t="shared" ca="1" si="2"/>
        <v>#VALUE!</v>
      </c>
      <c r="AG9" s="132" t="e">
        <f t="shared" ca="1" si="2"/>
        <v>#VALUE!</v>
      </c>
      <c r="AH9" s="132" t="e">
        <f t="shared" ca="1" si="2"/>
        <v>#VALUE!</v>
      </c>
      <c r="AI9" s="132" t="e">
        <f t="shared" ca="1" si="2"/>
        <v>#VALUE!</v>
      </c>
      <c r="AJ9" s="132" t="e">
        <f t="shared" ca="1" si="2"/>
        <v>#VALUE!</v>
      </c>
      <c r="AK9" s="132" t="e">
        <f t="shared" ca="1" si="2"/>
        <v>#VALUE!</v>
      </c>
      <c r="AL9" s="132" t="e">
        <f t="shared" ca="1" si="2"/>
        <v>#VALUE!</v>
      </c>
      <c r="AM9" s="132" t="e">
        <f t="shared" ca="1" si="2"/>
        <v>#VALUE!</v>
      </c>
      <c r="AN9" s="132" t="e">
        <f t="shared" ca="1" si="2"/>
        <v>#VALUE!</v>
      </c>
      <c r="AO9" s="132" t="e">
        <f t="shared" ca="1" si="2"/>
        <v>#VALUE!</v>
      </c>
      <c r="AP9" s="132" t="e">
        <f t="shared" ca="1" si="2"/>
        <v>#VALUE!</v>
      </c>
      <c r="AQ9" s="132" t="e">
        <f t="shared" ca="1" si="2"/>
        <v>#VALUE!</v>
      </c>
      <c r="AR9" s="132" t="e">
        <f t="shared" ca="1" si="2"/>
        <v>#VALUE!</v>
      </c>
      <c r="AS9" s="132" t="e">
        <f t="shared" ca="1" si="2"/>
        <v>#VALUE!</v>
      </c>
      <c r="AT9" s="132" t="e">
        <f t="shared" ca="1" si="2"/>
        <v>#VALUE!</v>
      </c>
      <c r="AU9" s="132" t="e">
        <f t="shared" ca="1" si="2"/>
        <v>#VALUE!</v>
      </c>
    </row>
    <row r="10" spans="1:49" ht="14.45" x14ac:dyDescent="0.35">
      <c r="B10" t="s">
        <v>750</v>
      </c>
      <c r="C10" s="132" t="e">
        <f ca="1">Output("SCEN_ADEMEhaut",$B10,C$1)</f>
        <v>#VALUE!</v>
      </c>
      <c r="D10" s="132" t="e">
        <f t="shared" ca="1" si="2"/>
        <v>#VALUE!</v>
      </c>
      <c r="E10" s="132" t="e">
        <f t="shared" ca="1" si="2"/>
        <v>#VALUE!</v>
      </c>
      <c r="F10" s="132" t="e">
        <f t="shared" ca="1" si="2"/>
        <v>#VALUE!</v>
      </c>
      <c r="G10" s="132" t="e">
        <f t="shared" ca="1" si="2"/>
        <v>#VALUE!</v>
      </c>
      <c r="H10" s="132" t="e">
        <f t="shared" ca="1" si="2"/>
        <v>#VALUE!</v>
      </c>
      <c r="I10" s="132" t="e">
        <f t="shared" ca="1" si="2"/>
        <v>#VALUE!</v>
      </c>
      <c r="J10" s="132" t="e">
        <f t="shared" ca="1" si="2"/>
        <v>#VALUE!</v>
      </c>
      <c r="K10" s="132" t="e">
        <f t="shared" ca="1" si="2"/>
        <v>#VALUE!</v>
      </c>
      <c r="L10" s="132" t="e">
        <f t="shared" ca="1" si="2"/>
        <v>#VALUE!</v>
      </c>
      <c r="M10" s="132" t="e">
        <f t="shared" ca="1" si="2"/>
        <v>#VALUE!</v>
      </c>
      <c r="N10" s="132" t="e">
        <f t="shared" ca="1" si="2"/>
        <v>#VALUE!</v>
      </c>
      <c r="O10" s="132" t="e">
        <f t="shared" ca="1" si="2"/>
        <v>#VALUE!</v>
      </c>
      <c r="P10" s="132" t="e">
        <f t="shared" ca="1" si="2"/>
        <v>#VALUE!</v>
      </c>
      <c r="Q10" s="132" t="e">
        <f t="shared" ca="1" si="2"/>
        <v>#VALUE!</v>
      </c>
      <c r="R10" s="132" t="e">
        <f t="shared" ca="1" si="2"/>
        <v>#VALUE!</v>
      </c>
      <c r="S10" s="132" t="e">
        <f t="shared" ca="1" si="2"/>
        <v>#VALUE!</v>
      </c>
      <c r="T10" s="132" t="e">
        <f t="shared" ca="1" si="2"/>
        <v>#VALUE!</v>
      </c>
      <c r="U10" s="132" t="e">
        <f t="shared" ca="1" si="2"/>
        <v>#VALUE!</v>
      </c>
      <c r="V10" s="132" t="e">
        <f t="shared" ca="1" si="2"/>
        <v>#VALUE!</v>
      </c>
      <c r="W10" s="132" t="e">
        <f t="shared" ca="1" si="2"/>
        <v>#VALUE!</v>
      </c>
      <c r="X10" s="132" t="e">
        <f t="shared" ca="1" si="2"/>
        <v>#VALUE!</v>
      </c>
      <c r="Y10" s="132" t="e">
        <f t="shared" ca="1" si="2"/>
        <v>#VALUE!</v>
      </c>
      <c r="Z10" s="132" t="e">
        <f t="shared" ca="1" si="2"/>
        <v>#VALUE!</v>
      </c>
      <c r="AA10" s="132" t="e">
        <f t="shared" ca="1" si="2"/>
        <v>#VALUE!</v>
      </c>
      <c r="AB10" s="132" t="e">
        <f t="shared" ca="1" si="2"/>
        <v>#VALUE!</v>
      </c>
      <c r="AC10" s="132" t="e">
        <f t="shared" ca="1" si="2"/>
        <v>#VALUE!</v>
      </c>
      <c r="AD10" s="132" t="e">
        <f t="shared" ca="1" si="2"/>
        <v>#VALUE!</v>
      </c>
      <c r="AE10" s="132" t="e">
        <f t="shared" ca="1" si="2"/>
        <v>#VALUE!</v>
      </c>
      <c r="AF10" s="132" t="e">
        <f t="shared" ca="1" si="2"/>
        <v>#VALUE!</v>
      </c>
      <c r="AG10" s="132" t="e">
        <f t="shared" ca="1" si="2"/>
        <v>#VALUE!</v>
      </c>
      <c r="AH10" s="132" t="e">
        <f t="shared" ca="1" si="2"/>
        <v>#VALUE!</v>
      </c>
      <c r="AI10" s="132" t="e">
        <f t="shared" ca="1" si="2"/>
        <v>#VALUE!</v>
      </c>
      <c r="AJ10" s="132" t="e">
        <f t="shared" ca="1" si="2"/>
        <v>#VALUE!</v>
      </c>
      <c r="AK10" s="132" t="e">
        <f t="shared" ca="1" si="2"/>
        <v>#VALUE!</v>
      </c>
      <c r="AL10" s="132" t="e">
        <f t="shared" ca="1" si="2"/>
        <v>#VALUE!</v>
      </c>
      <c r="AM10" s="132" t="e">
        <f t="shared" ca="1" si="2"/>
        <v>#VALUE!</v>
      </c>
      <c r="AN10" s="132" t="e">
        <f t="shared" ca="1" si="2"/>
        <v>#VALUE!</v>
      </c>
      <c r="AO10" s="132" t="e">
        <f t="shared" ca="1" si="2"/>
        <v>#VALUE!</v>
      </c>
      <c r="AP10" s="132" t="e">
        <f t="shared" ca="1" si="2"/>
        <v>#VALUE!</v>
      </c>
      <c r="AQ10" s="132" t="e">
        <f t="shared" ca="1" si="2"/>
        <v>#VALUE!</v>
      </c>
      <c r="AR10" s="132" t="e">
        <f t="shared" ca="1" si="2"/>
        <v>#VALUE!</v>
      </c>
      <c r="AS10" s="132" t="e">
        <f t="shared" ca="1" si="2"/>
        <v>#VALUE!</v>
      </c>
      <c r="AT10" s="132" t="e">
        <f t="shared" ca="1" si="2"/>
        <v>#VALUE!</v>
      </c>
      <c r="AU10" s="132" t="e">
        <f t="shared" ca="1" si="2"/>
        <v>#VALUE!</v>
      </c>
    </row>
    <row r="11" spans="1:49" ht="14.45" x14ac:dyDescent="0.35">
      <c r="B11" t="s">
        <v>137</v>
      </c>
      <c r="C11" s="132" t="e">
        <f t="shared" ca="1" si="2"/>
        <v>#VALUE!</v>
      </c>
      <c r="D11" s="132" t="e">
        <f t="shared" ca="1" si="2"/>
        <v>#VALUE!</v>
      </c>
      <c r="E11" s="132" t="e">
        <f t="shared" ca="1" si="2"/>
        <v>#VALUE!</v>
      </c>
      <c r="F11" s="132" t="e">
        <f t="shared" ca="1" si="2"/>
        <v>#VALUE!</v>
      </c>
      <c r="G11" s="132" t="e">
        <f t="shared" ca="1" si="2"/>
        <v>#VALUE!</v>
      </c>
      <c r="H11" s="132" t="e">
        <f t="shared" ca="1" si="2"/>
        <v>#VALUE!</v>
      </c>
      <c r="I11" s="132" t="e">
        <f t="shared" ca="1" si="2"/>
        <v>#VALUE!</v>
      </c>
      <c r="J11" s="132" t="e">
        <f t="shared" ca="1" si="2"/>
        <v>#VALUE!</v>
      </c>
      <c r="K11" s="132" t="e">
        <f t="shared" ca="1" si="2"/>
        <v>#VALUE!</v>
      </c>
      <c r="L11" s="132" t="e">
        <f t="shared" ca="1" si="2"/>
        <v>#VALUE!</v>
      </c>
      <c r="M11" s="132" t="e">
        <f t="shared" ca="1" si="2"/>
        <v>#VALUE!</v>
      </c>
      <c r="N11" s="132" t="e">
        <f t="shared" ca="1" si="2"/>
        <v>#VALUE!</v>
      </c>
      <c r="O11" s="132" t="e">
        <f t="shared" ca="1" si="2"/>
        <v>#VALUE!</v>
      </c>
      <c r="P11" s="132" t="e">
        <f t="shared" ca="1" si="2"/>
        <v>#VALUE!</v>
      </c>
      <c r="Q11" s="132" t="e">
        <f t="shared" ca="1" si="2"/>
        <v>#VALUE!</v>
      </c>
      <c r="R11" s="132" t="e">
        <f t="shared" ca="1" si="2"/>
        <v>#VALUE!</v>
      </c>
      <c r="S11" s="132" t="e">
        <f t="shared" ca="1" si="2"/>
        <v>#VALUE!</v>
      </c>
      <c r="T11" s="132" t="e">
        <f t="shared" ca="1" si="2"/>
        <v>#VALUE!</v>
      </c>
      <c r="U11" s="132" t="e">
        <f t="shared" ca="1" si="2"/>
        <v>#VALUE!</v>
      </c>
      <c r="V11" s="132" t="e">
        <f t="shared" ca="1" si="2"/>
        <v>#VALUE!</v>
      </c>
      <c r="W11" s="132" t="e">
        <f t="shared" ca="1" si="2"/>
        <v>#VALUE!</v>
      </c>
      <c r="X11" s="132" t="e">
        <f t="shared" ca="1" si="2"/>
        <v>#VALUE!</v>
      </c>
      <c r="Y11" s="132" t="e">
        <f t="shared" ca="1" si="2"/>
        <v>#VALUE!</v>
      </c>
      <c r="Z11" s="132" t="e">
        <f t="shared" ca="1" si="2"/>
        <v>#VALUE!</v>
      </c>
      <c r="AA11" s="132" t="e">
        <f t="shared" ca="1" si="2"/>
        <v>#VALUE!</v>
      </c>
      <c r="AB11" s="132" t="e">
        <f t="shared" ca="1" si="2"/>
        <v>#VALUE!</v>
      </c>
      <c r="AC11" s="132" t="e">
        <f t="shared" ca="1" si="2"/>
        <v>#VALUE!</v>
      </c>
      <c r="AD11" s="132" t="e">
        <f t="shared" ca="1" si="2"/>
        <v>#VALUE!</v>
      </c>
      <c r="AE11" s="132" t="e">
        <f t="shared" ca="1" si="2"/>
        <v>#VALUE!</v>
      </c>
      <c r="AF11" s="132" t="e">
        <f t="shared" ca="1" si="2"/>
        <v>#VALUE!</v>
      </c>
      <c r="AG11" s="132" t="e">
        <f t="shared" ca="1" si="2"/>
        <v>#VALUE!</v>
      </c>
      <c r="AH11" s="132" t="e">
        <f t="shared" ca="1" si="2"/>
        <v>#VALUE!</v>
      </c>
      <c r="AI11" s="132" t="e">
        <f t="shared" ca="1" si="2"/>
        <v>#VALUE!</v>
      </c>
      <c r="AJ11" s="132" t="e">
        <f t="shared" ca="1" si="2"/>
        <v>#VALUE!</v>
      </c>
      <c r="AK11" s="132" t="e">
        <f t="shared" ca="1" si="2"/>
        <v>#VALUE!</v>
      </c>
      <c r="AL11" s="132" t="e">
        <f t="shared" ca="1" si="2"/>
        <v>#VALUE!</v>
      </c>
      <c r="AM11" s="132" t="e">
        <f t="shared" ca="1" si="2"/>
        <v>#VALUE!</v>
      </c>
      <c r="AN11" s="132" t="e">
        <f t="shared" ca="1" si="2"/>
        <v>#VALUE!</v>
      </c>
      <c r="AO11" s="132" t="e">
        <f t="shared" ca="1" si="2"/>
        <v>#VALUE!</v>
      </c>
      <c r="AP11" s="132" t="e">
        <f t="shared" ca="1" si="2"/>
        <v>#VALUE!</v>
      </c>
      <c r="AQ11" s="132" t="e">
        <f t="shared" ca="1" si="2"/>
        <v>#VALUE!</v>
      </c>
      <c r="AR11" s="132" t="e">
        <f t="shared" ca="1" si="2"/>
        <v>#VALUE!</v>
      </c>
      <c r="AS11" s="132" t="e">
        <f t="shared" ca="1" si="2"/>
        <v>#VALUE!</v>
      </c>
      <c r="AT11" s="132" t="e">
        <f t="shared" ca="1" si="2"/>
        <v>#VALUE!</v>
      </c>
      <c r="AU11" s="132" t="e">
        <f t="shared" ca="1" si="2"/>
        <v>#VALUE!</v>
      </c>
    </row>
    <row r="12" spans="1:49" ht="14.45" x14ac:dyDescent="0.35">
      <c r="B12" t="s">
        <v>470</v>
      </c>
      <c r="C12" s="132" t="e">
        <f t="shared" ca="1" si="2"/>
        <v>#VALUE!</v>
      </c>
      <c r="D12" s="132" t="e">
        <f t="shared" ca="1" si="2"/>
        <v>#VALUE!</v>
      </c>
      <c r="E12" s="132" t="e">
        <f t="shared" ca="1" si="2"/>
        <v>#VALUE!</v>
      </c>
      <c r="F12" s="132" t="e">
        <f t="shared" ca="1" si="2"/>
        <v>#VALUE!</v>
      </c>
      <c r="G12" s="132" t="e">
        <f t="shared" ca="1" si="2"/>
        <v>#VALUE!</v>
      </c>
      <c r="H12" s="132" t="e">
        <f t="shared" ca="1" si="2"/>
        <v>#VALUE!</v>
      </c>
      <c r="I12" s="132" t="e">
        <f t="shared" ca="1" si="2"/>
        <v>#VALUE!</v>
      </c>
      <c r="J12" s="132" t="e">
        <f t="shared" ca="1" si="2"/>
        <v>#VALUE!</v>
      </c>
      <c r="K12" s="132" t="e">
        <f t="shared" ca="1" si="2"/>
        <v>#VALUE!</v>
      </c>
      <c r="L12" s="132" t="e">
        <f t="shared" ca="1" si="2"/>
        <v>#VALUE!</v>
      </c>
      <c r="M12" s="132" t="e">
        <f t="shared" ca="1" si="2"/>
        <v>#VALUE!</v>
      </c>
      <c r="N12" s="132" t="e">
        <f t="shared" ca="1" si="2"/>
        <v>#VALUE!</v>
      </c>
      <c r="O12" s="132" t="e">
        <f t="shared" ca="1" si="2"/>
        <v>#VALUE!</v>
      </c>
      <c r="P12" s="132" t="e">
        <f t="shared" ca="1" si="2"/>
        <v>#VALUE!</v>
      </c>
      <c r="Q12" s="132" t="e">
        <f t="shared" ca="1" si="2"/>
        <v>#VALUE!</v>
      </c>
      <c r="R12" s="132" t="e">
        <f t="shared" ca="1" si="2"/>
        <v>#VALUE!</v>
      </c>
      <c r="S12" s="132" t="e">
        <f t="shared" ca="1" si="2"/>
        <v>#VALUE!</v>
      </c>
      <c r="T12" s="132" t="e">
        <f t="shared" ca="1" si="2"/>
        <v>#VALUE!</v>
      </c>
      <c r="U12" s="132" t="e">
        <f t="shared" ca="1" si="2"/>
        <v>#VALUE!</v>
      </c>
      <c r="V12" s="132" t="e">
        <f t="shared" ca="1" si="2"/>
        <v>#VALUE!</v>
      </c>
      <c r="W12" s="132" t="e">
        <f t="shared" ca="1" si="2"/>
        <v>#VALUE!</v>
      </c>
      <c r="X12" s="132" t="e">
        <f t="shared" ca="1" si="2"/>
        <v>#VALUE!</v>
      </c>
      <c r="Y12" s="132" t="e">
        <f t="shared" ca="1" si="2"/>
        <v>#VALUE!</v>
      </c>
      <c r="Z12" s="132" t="e">
        <f t="shared" ca="1" si="2"/>
        <v>#VALUE!</v>
      </c>
      <c r="AA12" s="132" t="e">
        <f t="shared" ca="1" si="2"/>
        <v>#VALUE!</v>
      </c>
      <c r="AB12" s="132" t="e">
        <f t="shared" ca="1" si="2"/>
        <v>#VALUE!</v>
      </c>
      <c r="AC12" s="132" t="e">
        <f t="shared" ca="1" si="2"/>
        <v>#VALUE!</v>
      </c>
      <c r="AD12" s="132" t="e">
        <f t="shared" ca="1" si="2"/>
        <v>#VALUE!</v>
      </c>
      <c r="AE12" s="132" t="e">
        <f t="shared" ca="1" si="2"/>
        <v>#VALUE!</v>
      </c>
      <c r="AF12" s="132" t="e">
        <f t="shared" ca="1" si="2"/>
        <v>#VALUE!</v>
      </c>
      <c r="AG12" s="132" t="e">
        <f t="shared" ca="1" si="2"/>
        <v>#VALUE!</v>
      </c>
      <c r="AH12" s="132" t="e">
        <f t="shared" ca="1" si="2"/>
        <v>#VALUE!</v>
      </c>
      <c r="AI12" s="132" t="e">
        <f t="shared" ca="1" si="2"/>
        <v>#VALUE!</v>
      </c>
      <c r="AJ12" s="132" t="e">
        <f t="shared" ca="1" si="2"/>
        <v>#VALUE!</v>
      </c>
      <c r="AK12" s="132" t="e">
        <f t="shared" ca="1" si="2"/>
        <v>#VALUE!</v>
      </c>
      <c r="AL12" s="132" t="e">
        <f t="shared" ca="1" si="2"/>
        <v>#VALUE!</v>
      </c>
      <c r="AM12" s="132" t="e">
        <f t="shared" ca="1" si="2"/>
        <v>#VALUE!</v>
      </c>
      <c r="AN12" s="132" t="e">
        <f t="shared" ca="1" si="2"/>
        <v>#VALUE!</v>
      </c>
      <c r="AO12" s="132" t="e">
        <f t="shared" ca="1" si="2"/>
        <v>#VALUE!</v>
      </c>
      <c r="AP12" s="132" t="e">
        <f t="shared" ca="1" si="2"/>
        <v>#VALUE!</v>
      </c>
      <c r="AQ12" s="132" t="e">
        <f t="shared" ca="1" si="2"/>
        <v>#VALUE!</v>
      </c>
      <c r="AR12" s="132" t="e">
        <f t="shared" ca="1" si="2"/>
        <v>#VALUE!</v>
      </c>
      <c r="AS12" s="132" t="e">
        <f t="shared" ca="1" si="2"/>
        <v>#VALUE!</v>
      </c>
      <c r="AT12" s="132" t="e">
        <f t="shared" ca="1" si="2"/>
        <v>#VALUE!</v>
      </c>
      <c r="AU12" s="132" t="e">
        <f t="shared" ca="1" si="2"/>
        <v>#VALUE!</v>
      </c>
    </row>
    <row r="13" spans="1:49" ht="14.45" x14ac:dyDescent="0.35">
      <c r="B13" t="s">
        <v>122</v>
      </c>
      <c r="C13" s="132" t="e">
        <f ca="1">Output("SCEN_ADEMEhaut",$B13,C$1)</f>
        <v>#VALUE!</v>
      </c>
      <c r="D13" s="132" t="e">
        <f t="shared" ca="1" si="2"/>
        <v>#VALUE!</v>
      </c>
      <c r="E13" s="132" t="e">
        <f t="shared" ca="1" si="2"/>
        <v>#VALUE!</v>
      </c>
      <c r="F13" s="132" t="e">
        <f t="shared" ca="1" si="2"/>
        <v>#VALUE!</v>
      </c>
      <c r="G13" s="132" t="e">
        <f t="shared" ca="1" si="2"/>
        <v>#VALUE!</v>
      </c>
      <c r="H13" s="132" t="e">
        <f t="shared" ca="1" si="2"/>
        <v>#VALUE!</v>
      </c>
      <c r="I13" s="132" t="e">
        <f t="shared" ca="1" si="2"/>
        <v>#VALUE!</v>
      </c>
      <c r="J13" s="132" t="e">
        <f t="shared" ca="1" si="2"/>
        <v>#VALUE!</v>
      </c>
      <c r="K13" s="132" t="e">
        <f t="shared" ca="1" si="2"/>
        <v>#VALUE!</v>
      </c>
      <c r="L13" s="132" t="e">
        <f t="shared" ca="1" si="2"/>
        <v>#VALUE!</v>
      </c>
      <c r="M13" s="132" t="e">
        <f t="shared" ca="1" si="2"/>
        <v>#VALUE!</v>
      </c>
      <c r="N13" s="132" t="e">
        <f t="shared" ca="1" si="2"/>
        <v>#VALUE!</v>
      </c>
      <c r="O13" s="132" t="e">
        <f t="shared" ca="1" si="2"/>
        <v>#VALUE!</v>
      </c>
      <c r="P13" s="132" t="e">
        <f t="shared" ca="1" si="2"/>
        <v>#VALUE!</v>
      </c>
      <c r="Q13" s="132" t="e">
        <f t="shared" ca="1" si="2"/>
        <v>#VALUE!</v>
      </c>
      <c r="R13" s="132" t="e">
        <f t="shared" ca="1" si="2"/>
        <v>#VALUE!</v>
      </c>
      <c r="S13" s="132" t="e">
        <f t="shared" ca="1" si="2"/>
        <v>#VALUE!</v>
      </c>
      <c r="T13" s="132" t="e">
        <f t="shared" ca="1" si="2"/>
        <v>#VALUE!</v>
      </c>
      <c r="U13" s="132" t="e">
        <f t="shared" ca="1" si="2"/>
        <v>#VALUE!</v>
      </c>
      <c r="V13" s="132" t="e">
        <f t="shared" ca="1" si="2"/>
        <v>#VALUE!</v>
      </c>
      <c r="W13" s="132" t="e">
        <f t="shared" ca="1" si="2"/>
        <v>#VALUE!</v>
      </c>
      <c r="X13" s="132" t="e">
        <f t="shared" ca="1" si="2"/>
        <v>#VALUE!</v>
      </c>
      <c r="Y13" s="132" t="e">
        <f t="shared" ca="1" si="2"/>
        <v>#VALUE!</v>
      </c>
      <c r="Z13" s="132" t="e">
        <f t="shared" ca="1" si="2"/>
        <v>#VALUE!</v>
      </c>
      <c r="AA13" s="132" t="e">
        <f t="shared" ca="1" si="2"/>
        <v>#VALUE!</v>
      </c>
      <c r="AB13" s="132" t="e">
        <f t="shared" ca="1" si="2"/>
        <v>#VALUE!</v>
      </c>
      <c r="AC13" s="132" t="e">
        <f t="shared" ca="1" si="2"/>
        <v>#VALUE!</v>
      </c>
      <c r="AD13" s="132" t="e">
        <f t="shared" ca="1" si="2"/>
        <v>#VALUE!</v>
      </c>
      <c r="AE13" s="132" t="e">
        <f t="shared" ca="1" si="2"/>
        <v>#VALUE!</v>
      </c>
      <c r="AF13" s="132" t="e">
        <f t="shared" ca="1" si="2"/>
        <v>#VALUE!</v>
      </c>
      <c r="AG13" s="132" t="e">
        <f t="shared" ca="1" si="2"/>
        <v>#VALUE!</v>
      </c>
      <c r="AH13" s="132" t="e">
        <f t="shared" ca="1" si="2"/>
        <v>#VALUE!</v>
      </c>
      <c r="AI13" s="132" t="e">
        <f t="shared" ca="1" si="2"/>
        <v>#VALUE!</v>
      </c>
      <c r="AJ13" s="132" t="e">
        <f t="shared" ca="1" si="2"/>
        <v>#VALUE!</v>
      </c>
      <c r="AK13" s="132" t="e">
        <f t="shared" ca="1" si="2"/>
        <v>#VALUE!</v>
      </c>
      <c r="AL13" s="132" t="e">
        <f t="shared" ca="1" si="2"/>
        <v>#VALUE!</v>
      </c>
      <c r="AM13" s="132" t="e">
        <f t="shared" ca="1" si="2"/>
        <v>#VALUE!</v>
      </c>
      <c r="AN13" s="132" t="e">
        <f t="shared" ca="1" si="2"/>
        <v>#VALUE!</v>
      </c>
      <c r="AO13" s="132" t="e">
        <f t="shared" ca="1" si="2"/>
        <v>#VALUE!</v>
      </c>
      <c r="AP13" s="132" t="e">
        <f t="shared" ca="1" si="2"/>
        <v>#VALUE!</v>
      </c>
      <c r="AQ13" s="132" t="e">
        <f t="shared" ca="1" si="2"/>
        <v>#VALUE!</v>
      </c>
      <c r="AR13" s="132" t="e">
        <f t="shared" ca="1" si="2"/>
        <v>#VALUE!</v>
      </c>
      <c r="AS13" s="132" t="e">
        <f t="shared" ca="1" si="2"/>
        <v>#VALUE!</v>
      </c>
      <c r="AT13" s="132" t="e">
        <f t="shared" ca="1" si="2"/>
        <v>#VALUE!</v>
      </c>
      <c r="AU13" s="132" t="e">
        <f t="shared" ca="1" si="2"/>
        <v>#VALUE!</v>
      </c>
      <c r="AW13" s="138" t="e">
        <f ca="1">AVERAGE(L13:AU13)</f>
        <v>#VALUE!</v>
      </c>
    </row>
    <row r="14" spans="1:49" ht="14.45" x14ac:dyDescent="0.35"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2"/>
      <c r="AH14" s="132"/>
      <c r="AI14" s="132"/>
      <c r="AJ14" s="132"/>
      <c r="AK14" s="132"/>
      <c r="AL14" s="132"/>
      <c r="AM14" s="132"/>
      <c r="AN14" s="132"/>
      <c r="AO14" s="132"/>
      <c r="AP14" s="132"/>
      <c r="AQ14" s="132"/>
      <c r="AR14" s="132"/>
      <c r="AS14" s="132"/>
      <c r="AT14" s="132"/>
      <c r="AU14" s="132"/>
      <c r="AW14" s="137"/>
    </row>
    <row r="18" spans="1:47" ht="14.45" x14ac:dyDescent="0.35">
      <c r="A18" s="1" t="s">
        <v>751</v>
      </c>
    </row>
    <row r="20" spans="1:47" ht="14.45" x14ac:dyDescent="0.35">
      <c r="B20" t="s">
        <v>482</v>
      </c>
      <c r="C20" s="126" t="e">
        <f t="shared" ref="C20:K35" ca="1" si="3">Output("SCEN_ADEMEhaut",$B20,C$1)</f>
        <v>#VALUE!</v>
      </c>
      <c r="D20" s="126" t="e">
        <f t="shared" ca="1" si="3"/>
        <v>#VALUE!</v>
      </c>
      <c r="E20" s="126" t="e">
        <f t="shared" ca="1" si="3"/>
        <v>#VALUE!</v>
      </c>
      <c r="F20" s="126" t="e">
        <f t="shared" ca="1" si="3"/>
        <v>#VALUE!</v>
      </c>
      <c r="G20" s="126" t="e">
        <f t="shared" ca="1" si="3"/>
        <v>#VALUE!</v>
      </c>
      <c r="H20" s="126" t="e">
        <f t="shared" ca="1" si="3"/>
        <v>#VALUE!</v>
      </c>
      <c r="I20" s="126" t="e">
        <f t="shared" ca="1" si="3"/>
        <v>#VALUE!</v>
      </c>
      <c r="J20" s="126" t="e">
        <f t="shared" ca="1" si="3"/>
        <v>#VALUE!</v>
      </c>
      <c r="K20" s="126" t="e">
        <f t="shared" ca="1" si="3"/>
        <v>#VALUE!</v>
      </c>
      <c r="L20" s="126" t="e">
        <f ca="1">Output("SCEN_ADEMEhaut",$B20,L$1)</f>
        <v>#VALUE!</v>
      </c>
      <c r="M20" s="126" t="e">
        <f t="shared" ref="M20:AU27" ca="1" si="4">Output("SCEN_ADEMEhaut",$B20,M$1)</f>
        <v>#VALUE!</v>
      </c>
      <c r="N20" s="126" t="e">
        <f t="shared" ca="1" si="4"/>
        <v>#VALUE!</v>
      </c>
      <c r="O20" s="126" t="e">
        <f t="shared" ca="1" si="4"/>
        <v>#VALUE!</v>
      </c>
      <c r="P20" s="126" t="e">
        <f t="shared" ca="1" si="4"/>
        <v>#VALUE!</v>
      </c>
      <c r="Q20" s="126" t="e">
        <f t="shared" ca="1" si="4"/>
        <v>#VALUE!</v>
      </c>
      <c r="R20" s="126" t="e">
        <f t="shared" ca="1" si="4"/>
        <v>#VALUE!</v>
      </c>
      <c r="S20" s="126" t="e">
        <f t="shared" ca="1" si="4"/>
        <v>#VALUE!</v>
      </c>
      <c r="T20" s="126" t="e">
        <f t="shared" ca="1" si="4"/>
        <v>#VALUE!</v>
      </c>
      <c r="U20" s="126" t="e">
        <f t="shared" ca="1" si="4"/>
        <v>#VALUE!</v>
      </c>
      <c r="V20" s="126" t="e">
        <f t="shared" ca="1" si="4"/>
        <v>#VALUE!</v>
      </c>
      <c r="W20" s="126" t="e">
        <f t="shared" ca="1" si="4"/>
        <v>#VALUE!</v>
      </c>
      <c r="X20" s="126" t="e">
        <f t="shared" ca="1" si="4"/>
        <v>#VALUE!</v>
      </c>
      <c r="Y20" s="126" t="e">
        <f t="shared" ca="1" si="4"/>
        <v>#VALUE!</v>
      </c>
      <c r="Z20" s="126" t="e">
        <f t="shared" ca="1" si="4"/>
        <v>#VALUE!</v>
      </c>
      <c r="AA20" s="126" t="e">
        <f t="shared" ca="1" si="4"/>
        <v>#VALUE!</v>
      </c>
      <c r="AB20" s="126" t="e">
        <f t="shared" ca="1" si="4"/>
        <v>#VALUE!</v>
      </c>
      <c r="AC20" s="126" t="e">
        <f t="shared" ca="1" si="4"/>
        <v>#VALUE!</v>
      </c>
      <c r="AD20" s="126" t="e">
        <f t="shared" ca="1" si="4"/>
        <v>#VALUE!</v>
      </c>
      <c r="AE20" s="126" t="e">
        <f t="shared" ca="1" si="4"/>
        <v>#VALUE!</v>
      </c>
      <c r="AF20" s="126" t="e">
        <f t="shared" ca="1" si="4"/>
        <v>#VALUE!</v>
      </c>
      <c r="AG20" s="126" t="e">
        <f t="shared" ca="1" si="4"/>
        <v>#VALUE!</v>
      </c>
      <c r="AH20" s="126" t="e">
        <f t="shared" ca="1" si="4"/>
        <v>#VALUE!</v>
      </c>
      <c r="AI20" s="126" t="e">
        <f t="shared" ca="1" si="4"/>
        <v>#VALUE!</v>
      </c>
      <c r="AJ20" s="126" t="e">
        <f t="shared" ca="1" si="4"/>
        <v>#VALUE!</v>
      </c>
      <c r="AK20" s="126" t="e">
        <f t="shared" ca="1" si="4"/>
        <v>#VALUE!</v>
      </c>
      <c r="AL20" s="126" t="e">
        <f t="shared" ca="1" si="4"/>
        <v>#VALUE!</v>
      </c>
      <c r="AM20" s="126" t="e">
        <f t="shared" ca="1" si="4"/>
        <v>#VALUE!</v>
      </c>
      <c r="AN20" s="126" t="e">
        <f t="shared" ca="1" si="4"/>
        <v>#VALUE!</v>
      </c>
      <c r="AO20" s="126" t="e">
        <f t="shared" ca="1" si="4"/>
        <v>#VALUE!</v>
      </c>
      <c r="AP20" s="126" t="e">
        <f t="shared" ca="1" si="4"/>
        <v>#VALUE!</v>
      </c>
      <c r="AQ20" s="126" t="e">
        <f t="shared" ca="1" si="4"/>
        <v>#VALUE!</v>
      </c>
      <c r="AR20" s="126" t="e">
        <f t="shared" ca="1" si="4"/>
        <v>#VALUE!</v>
      </c>
      <c r="AS20" s="126" t="e">
        <f t="shared" ca="1" si="4"/>
        <v>#VALUE!</v>
      </c>
      <c r="AT20" s="126" t="e">
        <f t="shared" ca="1" si="4"/>
        <v>#VALUE!</v>
      </c>
      <c r="AU20" s="126" t="e">
        <f t="shared" ca="1" si="4"/>
        <v>#VALUE!</v>
      </c>
    </row>
    <row r="21" spans="1:47" ht="14.45" x14ac:dyDescent="0.35">
      <c r="B21" t="s">
        <v>483</v>
      </c>
      <c r="C21" s="126" t="e">
        <f t="shared" ca="1" si="3"/>
        <v>#VALUE!</v>
      </c>
      <c r="D21" s="126" t="e">
        <f t="shared" ca="1" si="3"/>
        <v>#VALUE!</v>
      </c>
      <c r="E21" s="126" t="e">
        <f t="shared" ca="1" si="3"/>
        <v>#VALUE!</v>
      </c>
      <c r="F21" s="126" t="e">
        <f t="shared" ca="1" si="3"/>
        <v>#VALUE!</v>
      </c>
      <c r="G21" s="126" t="e">
        <f t="shared" ca="1" si="3"/>
        <v>#VALUE!</v>
      </c>
      <c r="H21" s="126" t="e">
        <f t="shared" ca="1" si="3"/>
        <v>#VALUE!</v>
      </c>
      <c r="I21" s="126" t="e">
        <f t="shared" ca="1" si="3"/>
        <v>#VALUE!</v>
      </c>
      <c r="J21" s="126" t="e">
        <f t="shared" ca="1" si="3"/>
        <v>#VALUE!</v>
      </c>
      <c r="K21" s="126" t="e">
        <f t="shared" ca="1" si="3"/>
        <v>#VALUE!</v>
      </c>
      <c r="L21" s="126" t="e">
        <f t="shared" ref="L21:AA66" ca="1" si="5">Output("SCEN_ADEMEhaut",$B21,L$1)</f>
        <v>#VALUE!</v>
      </c>
      <c r="M21" s="126" t="e">
        <f t="shared" ca="1" si="5"/>
        <v>#VALUE!</v>
      </c>
      <c r="N21" s="126" t="e">
        <f t="shared" ca="1" si="5"/>
        <v>#VALUE!</v>
      </c>
      <c r="O21" s="126" t="e">
        <f t="shared" ca="1" si="5"/>
        <v>#VALUE!</v>
      </c>
      <c r="P21" s="126" t="e">
        <f t="shared" ca="1" si="5"/>
        <v>#VALUE!</v>
      </c>
      <c r="Q21" s="126" t="e">
        <f t="shared" ca="1" si="5"/>
        <v>#VALUE!</v>
      </c>
      <c r="R21" s="126" t="e">
        <f t="shared" ca="1" si="5"/>
        <v>#VALUE!</v>
      </c>
      <c r="S21" s="126" t="e">
        <f t="shared" ca="1" si="5"/>
        <v>#VALUE!</v>
      </c>
      <c r="T21" s="126" t="e">
        <f t="shared" ca="1" si="5"/>
        <v>#VALUE!</v>
      </c>
      <c r="U21" s="126" t="e">
        <f t="shared" ca="1" si="5"/>
        <v>#VALUE!</v>
      </c>
      <c r="V21" s="126" t="e">
        <f t="shared" ca="1" si="5"/>
        <v>#VALUE!</v>
      </c>
      <c r="W21" s="126" t="e">
        <f t="shared" ca="1" si="5"/>
        <v>#VALUE!</v>
      </c>
      <c r="X21" s="126" t="e">
        <f t="shared" ca="1" si="5"/>
        <v>#VALUE!</v>
      </c>
      <c r="Y21" s="126" t="e">
        <f t="shared" ca="1" si="5"/>
        <v>#VALUE!</v>
      </c>
      <c r="Z21" s="126" t="e">
        <f t="shared" ca="1" si="5"/>
        <v>#VALUE!</v>
      </c>
      <c r="AA21" s="126" t="e">
        <f t="shared" ca="1" si="5"/>
        <v>#VALUE!</v>
      </c>
      <c r="AB21" s="126" t="e">
        <f t="shared" ca="1" si="4"/>
        <v>#VALUE!</v>
      </c>
      <c r="AC21" s="126" t="e">
        <f t="shared" ca="1" si="4"/>
        <v>#VALUE!</v>
      </c>
      <c r="AD21" s="126" t="e">
        <f t="shared" ca="1" si="4"/>
        <v>#VALUE!</v>
      </c>
      <c r="AE21" s="126" t="e">
        <f t="shared" ca="1" si="4"/>
        <v>#VALUE!</v>
      </c>
      <c r="AF21" s="126" t="e">
        <f t="shared" ca="1" si="4"/>
        <v>#VALUE!</v>
      </c>
      <c r="AG21" s="126" t="e">
        <f t="shared" ca="1" si="4"/>
        <v>#VALUE!</v>
      </c>
      <c r="AH21" s="126" t="e">
        <f t="shared" ca="1" si="4"/>
        <v>#VALUE!</v>
      </c>
      <c r="AI21" s="126" t="e">
        <f t="shared" ca="1" si="4"/>
        <v>#VALUE!</v>
      </c>
      <c r="AJ21" s="126" t="e">
        <f t="shared" ca="1" si="4"/>
        <v>#VALUE!</v>
      </c>
      <c r="AK21" s="126" t="e">
        <f t="shared" ca="1" si="4"/>
        <v>#VALUE!</v>
      </c>
      <c r="AL21" s="126" t="e">
        <f t="shared" ca="1" si="4"/>
        <v>#VALUE!</v>
      </c>
      <c r="AM21" s="126" t="e">
        <f t="shared" ca="1" si="4"/>
        <v>#VALUE!</v>
      </c>
      <c r="AN21" s="126" t="e">
        <f t="shared" ca="1" si="4"/>
        <v>#VALUE!</v>
      </c>
      <c r="AO21" s="126" t="e">
        <f t="shared" ca="1" si="4"/>
        <v>#VALUE!</v>
      </c>
      <c r="AP21" s="126" t="e">
        <f t="shared" ca="1" si="4"/>
        <v>#VALUE!</v>
      </c>
      <c r="AQ21" s="126" t="e">
        <f t="shared" ca="1" si="4"/>
        <v>#VALUE!</v>
      </c>
      <c r="AR21" s="126" t="e">
        <f t="shared" ca="1" si="4"/>
        <v>#VALUE!</v>
      </c>
      <c r="AS21" s="126" t="e">
        <f t="shared" ca="1" si="4"/>
        <v>#VALUE!</v>
      </c>
      <c r="AT21" s="126" t="e">
        <f t="shared" ca="1" si="4"/>
        <v>#VALUE!</v>
      </c>
      <c r="AU21" s="126" t="e">
        <f t="shared" ca="1" si="4"/>
        <v>#VALUE!</v>
      </c>
    </row>
    <row r="22" spans="1:47" ht="14.45" x14ac:dyDescent="0.35">
      <c r="B22" t="s">
        <v>484</v>
      </c>
      <c r="C22" s="126" t="e">
        <f t="shared" ca="1" si="3"/>
        <v>#VALUE!</v>
      </c>
      <c r="D22" s="126" t="e">
        <f t="shared" ca="1" si="3"/>
        <v>#VALUE!</v>
      </c>
      <c r="E22" s="126" t="e">
        <f t="shared" ca="1" si="3"/>
        <v>#VALUE!</v>
      </c>
      <c r="F22" s="126" t="e">
        <f t="shared" ca="1" si="3"/>
        <v>#VALUE!</v>
      </c>
      <c r="G22" s="126" t="e">
        <f t="shared" ca="1" si="3"/>
        <v>#VALUE!</v>
      </c>
      <c r="H22" s="126" t="e">
        <f t="shared" ca="1" si="3"/>
        <v>#VALUE!</v>
      </c>
      <c r="I22" s="126" t="e">
        <f t="shared" ca="1" si="3"/>
        <v>#VALUE!</v>
      </c>
      <c r="J22" s="126" t="e">
        <f t="shared" ca="1" si="3"/>
        <v>#VALUE!</v>
      </c>
      <c r="K22" s="126" t="e">
        <f t="shared" ca="1" si="3"/>
        <v>#VALUE!</v>
      </c>
      <c r="L22" s="126" t="e">
        <f t="shared" ca="1" si="5"/>
        <v>#VALUE!</v>
      </c>
      <c r="M22" s="126" t="e">
        <f t="shared" ca="1" si="4"/>
        <v>#VALUE!</v>
      </c>
      <c r="N22" s="126" t="e">
        <f t="shared" ca="1" si="4"/>
        <v>#VALUE!</v>
      </c>
      <c r="O22" s="126" t="e">
        <f t="shared" ca="1" si="4"/>
        <v>#VALUE!</v>
      </c>
      <c r="P22" s="126" t="e">
        <f t="shared" ca="1" si="4"/>
        <v>#VALUE!</v>
      </c>
      <c r="Q22" s="126" t="e">
        <f t="shared" ca="1" si="4"/>
        <v>#VALUE!</v>
      </c>
      <c r="R22" s="126" t="e">
        <f t="shared" ca="1" si="4"/>
        <v>#VALUE!</v>
      </c>
      <c r="S22" s="126" t="e">
        <f t="shared" ca="1" si="4"/>
        <v>#VALUE!</v>
      </c>
      <c r="T22" s="126" t="e">
        <f t="shared" ca="1" si="4"/>
        <v>#VALUE!</v>
      </c>
      <c r="U22" s="126" t="e">
        <f t="shared" ca="1" si="4"/>
        <v>#VALUE!</v>
      </c>
      <c r="V22" s="126" t="e">
        <f t="shared" ca="1" si="4"/>
        <v>#VALUE!</v>
      </c>
      <c r="W22" s="126" t="e">
        <f t="shared" ca="1" si="4"/>
        <v>#VALUE!</v>
      </c>
      <c r="X22" s="126" t="e">
        <f t="shared" ca="1" si="4"/>
        <v>#VALUE!</v>
      </c>
      <c r="Y22" s="126" t="e">
        <f t="shared" ca="1" si="4"/>
        <v>#VALUE!</v>
      </c>
      <c r="Z22" s="126" t="e">
        <f t="shared" ca="1" si="4"/>
        <v>#VALUE!</v>
      </c>
      <c r="AA22" s="126" t="e">
        <f t="shared" ca="1" si="4"/>
        <v>#VALUE!</v>
      </c>
      <c r="AB22" s="126" t="e">
        <f t="shared" ca="1" si="4"/>
        <v>#VALUE!</v>
      </c>
      <c r="AC22" s="126" t="e">
        <f t="shared" ca="1" si="4"/>
        <v>#VALUE!</v>
      </c>
      <c r="AD22" s="126" t="e">
        <f t="shared" ca="1" si="4"/>
        <v>#VALUE!</v>
      </c>
      <c r="AE22" s="126" t="e">
        <f t="shared" ca="1" si="4"/>
        <v>#VALUE!</v>
      </c>
      <c r="AF22" s="126" t="e">
        <f t="shared" ca="1" si="4"/>
        <v>#VALUE!</v>
      </c>
      <c r="AG22" s="126" t="e">
        <f t="shared" ca="1" si="4"/>
        <v>#VALUE!</v>
      </c>
      <c r="AH22" s="126" t="e">
        <f t="shared" ca="1" si="4"/>
        <v>#VALUE!</v>
      </c>
      <c r="AI22" s="126" t="e">
        <f t="shared" ca="1" si="4"/>
        <v>#VALUE!</v>
      </c>
      <c r="AJ22" s="126" t="e">
        <f t="shared" ca="1" si="4"/>
        <v>#VALUE!</v>
      </c>
      <c r="AK22" s="126" t="e">
        <f t="shared" ca="1" si="4"/>
        <v>#VALUE!</v>
      </c>
      <c r="AL22" s="126" t="e">
        <f t="shared" ca="1" si="4"/>
        <v>#VALUE!</v>
      </c>
      <c r="AM22" s="126" t="e">
        <f t="shared" ca="1" si="4"/>
        <v>#VALUE!</v>
      </c>
      <c r="AN22" s="126" t="e">
        <f t="shared" ca="1" si="4"/>
        <v>#VALUE!</v>
      </c>
      <c r="AO22" s="126" t="e">
        <f t="shared" ca="1" si="4"/>
        <v>#VALUE!</v>
      </c>
      <c r="AP22" s="126" t="e">
        <f t="shared" ca="1" si="4"/>
        <v>#VALUE!</v>
      </c>
      <c r="AQ22" s="126" t="e">
        <f t="shared" ca="1" si="4"/>
        <v>#VALUE!</v>
      </c>
      <c r="AR22" s="126" t="e">
        <f t="shared" ca="1" si="4"/>
        <v>#VALUE!</v>
      </c>
      <c r="AS22" s="126" t="e">
        <f t="shared" ca="1" si="4"/>
        <v>#VALUE!</v>
      </c>
      <c r="AT22" s="126" t="e">
        <f t="shared" ca="1" si="4"/>
        <v>#VALUE!</v>
      </c>
      <c r="AU22" s="126" t="e">
        <f t="shared" ca="1" si="4"/>
        <v>#VALUE!</v>
      </c>
    </row>
    <row r="23" spans="1:47" ht="14.45" x14ac:dyDescent="0.35">
      <c r="B23" t="s">
        <v>485</v>
      </c>
      <c r="C23" s="126" t="e">
        <f t="shared" ca="1" si="3"/>
        <v>#VALUE!</v>
      </c>
      <c r="D23" s="126" t="e">
        <f t="shared" ca="1" si="3"/>
        <v>#VALUE!</v>
      </c>
      <c r="E23" s="126" t="e">
        <f t="shared" ca="1" si="3"/>
        <v>#VALUE!</v>
      </c>
      <c r="F23" s="126" t="e">
        <f t="shared" ca="1" si="3"/>
        <v>#VALUE!</v>
      </c>
      <c r="G23" s="126" t="e">
        <f t="shared" ca="1" si="3"/>
        <v>#VALUE!</v>
      </c>
      <c r="H23" s="126" t="e">
        <f t="shared" ca="1" si="3"/>
        <v>#VALUE!</v>
      </c>
      <c r="I23" s="126" t="e">
        <f t="shared" ca="1" si="3"/>
        <v>#VALUE!</v>
      </c>
      <c r="J23" s="126" t="e">
        <f t="shared" ca="1" si="3"/>
        <v>#VALUE!</v>
      </c>
      <c r="K23" s="126" t="e">
        <f t="shared" ca="1" si="3"/>
        <v>#VALUE!</v>
      </c>
      <c r="L23" s="126" t="e">
        <f t="shared" ca="1" si="5"/>
        <v>#VALUE!</v>
      </c>
      <c r="M23" s="126" t="e">
        <f t="shared" ca="1" si="4"/>
        <v>#VALUE!</v>
      </c>
      <c r="N23" s="126" t="e">
        <f t="shared" ca="1" si="4"/>
        <v>#VALUE!</v>
      </c>
      <c r="O23" s="126" t="e">
        <f t="shared" ca="1" si="4"/>
        <v>#VALUE!</v>
      </c>
      <c r="P23" s="126" t="e">
        <f t="shared" ca="1" si="4"/>
        <v>#VALUE!</v>
      </c>
      <c r="Q23" s="126" t="e">
        <f t="shared" ca="1" si="4"/>
        <v>#VALUE!</v>
      </c>
      <c r="R23" s="126" t="e">
        <f t="shared" ca="1" si="4"/>
        <v>#VALUE!</v>
      </c>
      <c r="S23" s="126" t="e">
        <f t="shared" ca="1" si="4"/>
        <v>#VALUE!</v>
      </c>
      <c r="T23" s="126" t="e">
        <f t="shared" ca="1" si="4"/>
        <v>#VALUE!</v>
      </c>
      <c r="U23" s="126" t="e">
        <f t="shared" ca="1" si="4"/>
        <v>#VALUE!</v>
      </c>
      <c r="V23" s="126" t="e">
        <f t="shared" ca="1" si="4"/>
        <v>#VALUE!</v>
      </c>
      <c r="W23" s="126" t="e">
        <f t="shared" ca="1" si="4"/>
        <v>#VALUE!</v>
      </c>
      <c r="X23" s="126" t="e">
        <f t="shared" ca="1" si="4"/>
        <v>#VALUE!</v>
      </c>
      <c r="Y23" s="126" t="e">
        <f t="shared" ca="1" si="4"/>
        <v>#VALUE!</v>
      </c>
      <c r="Z23" s="126" t="e">
        <f t="shared" ca="1" si="4"/>
        <v>#VALUE!</v>
      </c>
      <c r="AA23" s="126" t="e">
        <f t="shared" ca="1" si="4"/>
        <v>#VALUE!</v>
      </c>
      <c r="AB23" s="126" t="e">
        <f t="shared" ca="1" si="4"/>
        <v>#VALUE!</v>
      </c>
      <c r="AC23" s="126" t="e">
        <f t="shared" ca="1" si="4"/>
        <v>#VALUE!</v>
      </c>
      <c r="AD23" s="126" t="e">
        <f t="shared" ca="1" si="4"/>
        <v>#VALUE!</v>
      </c>
      <c r="AE23" s="126" t="e">
        <f t="shared" ca="1" si="4"/>
        <v>#VALUE!</v>
      </c>
      <c r="AF23" s="126" t="e">
        <f t="shared" ca="1" si="4"/>
        <v>#VALUE!</v>
      </c>
      <c r="AG23" s="126" t="e">
        <f t="shared" ca="1" si="4"/>
        <v>#VALUE!</v>
      </c>
      <c r="AH23" s="126" t="e">
        <f t="shared" ca="1" si="4"/>
        <v>#VALUE!</v>
      </c>
      <c r="AI23" s="126" t="e">
        <f t="shared" ca="1" si="4"/>
        <v>#VALUE!</v>
      </c>
      <c r="AJ23" s="126" t="e">
        <f t="shared" ca="1" si="4"/>
        <v>#VALUE!</v>
      </c>
      <c r="AK23" s="126" t="e">
        <f t="shared" ca="1" si="4"/>
        <v>#VALUE!</v>
      </c>
      <c r="AL23" s="126" t="e">
        <f t="shared" ca="1" si="4"/>
        <v>#VALUE!</v>
      </c>
      <c r="AM23" s="126" t="e">
        <f t="shared" ca="1" si="4"/>
        <v>#VALUE!</v>
      </c>
      <c r="AN23" s="126" t="e">
        <f t="shared" ca="1" si="4"/>
        <v>#VALUE!</v>
      </c>
      <c r="AO23" s="126" t="e">
        <f t="shared" ca="1" si="4"/>
        <v>#VALUE!</v>
      </c>
      <c r="AP23" s="126" t="e">
        <f t="shared" ca="1" si="4"/>
        <v>#VALUE!</v>
      </c>
      <c r="AQ23" s="126" t="e">
        <f t="shared" ca="1" si="4"/>
        <v>#VALUE!</v>
      </c>
      <c r="AR23" s="126" t="e">
        <f t="shared" ca="1" si="4"/>
        <v>#VALUE!</v>
      </c>
      <c r="AS23" s="126" t="e">
        <f t="shared" ca="1" si="4"/>
        <v>#VALUE!</v>
      </c>
      <c r="AT23" s="126" t="e">
        <f t="shared" ca="1" si="4"/>
        <v>#VALUE!</v>
      </c>
      <c r="AU23" s="126" t="e">
        <f t="shared" ca="1" si="4"/>
        <v>#VALUE!</v>
      </c>
    </row>
    <row r="24" spans="1:47" x14ac:dyDescent="0.25">
      <c r="B24" t="s">
        <v>486</v>
      </c>
      <c r="C24" s="126" t="e">
        <f t="shared" ca="1" si="3"/>
        <v>#VALUE!</v>
      </c>
      <c r="D24" s="126" t="e">
        <f t="shared" ca="1" si="3"/>
        <v>#VALUE!</v>
      </c>
      <c r="E24" s="126" t="e">
        <f t="shared" ca="1" si="3"/>
        <v>#VALUE!</v>
      </c>
      <c r="F24" s="126" t="e">
        <f t="shared" ca="1" si="3"/>
        <v>#VALUE!</v>
      </c>
      <c r="G24" s="126" t="e">
        <f t="shared" ca="1" si="3"/>
        <v>#VALUE!</v>
      </c>
      <c r="H24" s="126" t="e">
        <f t="shared" ca="1" si="3"/>
        <v>#VALUE!</v>
      </c>
      <c r="I24" s="126" t="e">
        <f t="shared" ca="1" si="3"/>
        <v>#VALUE!</v>
      </c>
      <c r="J24" s="126" t="e">
        <f t="shared" ca="1" si="3"/>
        <v>#VALUE!</v>
      </c>
      <c r="K24" s="126" t="e">
        <f t="shared" ca="1" si="3"/>
        <v>#VALUE!</v>
      </c>
      <c r="L24" s="126" t="e">
        <f t="shared" ca="1" si="5"/>
        <v>#VALUE!</v>
      </c>
      <c r="M24" s="126" t="e">
        <f t="shared" ca="1" si="4"/>
        <v>#VALUE!</v>
      </c>
      <c r="N24" s="126" t="e">
        <f t="shared" ca="1" si="4"/>
        <v>#VALUE!</v>
      </c>
      <c r="O24" s="126" t="e">
        <f t="shared" ca="1" si="4"/>
        <v>#VALUE!</v>
      </c>
      <c r="P24" s="126" t="e">
        <f t="shared" ca="1" si="4"/>
        <v>#VALUE!</v>
      </c>
      <c r="Q24" s="126" t="e">
        <f t="shared" ca="1" si="4"/>
        <v>#VALUE!</v>
      </c>
      <c r="R24" s="126" t="e">
        <f t="shared" ca="1" si="4"/>
        <v>#VALUE!</v>
      </c>
      <c r="S24" s="126" t="e">
        <f t="shared" ca="1" si="4"/>
        <v>#VALUE!</v>
      </c>
      <c r="T24" s="126" t="e">
        <f t="shared" ca="1" si="4"/>
        <v>#VALUE!</v>
      </c>
      <c r="U24" s="126" t="e">
        <f t="shared" ca="1" si="4"/>
        <v>#VALUE!</v>
      </c>
      <c r="V24" s="126" t="e">
        <f t="shared" ca="1" si="4"/>
        <v>#VALUE!</v>
      </c>
      <c r="W24" s="126" t="e">
        <f t="shared" ca="1" si="4"/>
        <v>#VALUE!</v>
      </c>
      <c r="X24" s="126" t="e">
        <f t="shared" ca="1" si="4"/>
        <v>#VALUE!</v>
      </c>
      <c r="Y24" s="126" t="e">
        <f t="shared" ca="1" si="4"/>
        <v>#VALUE!</v>
      </c>
      <c r="Z24" s="126" t="e">
        <f t="shared" ca="1" si="4"/>
        <v>#VALUE!</v>
      </c>
      <c r="AA24" s="126" t="e">
        <f t="shared" ca="1" si="4"/>
        <v>#VALUE!</v>
      </c>
      <c r="AB24" s="126" t="e">
        <f t="shared" ca="1" si="4"/>
        <v>#VALUE!</v>
      </c>
      <c r="AC24" s="126" t="e">
        <f t="shared" ca="1" si="4"/>
        <v>#VALUE!</v>
      </c>
      <c r="AD24" s="126" t="e">
        <f t="shared" ca="1" si="4"/>
        <v>#VALUE!</v>
      </c>
      <c r="AE24" s="126" t="e">
        <f t="shared" ca="1" si="4"/>
        <v>#VALUE!</v>
      </c>
      <c r="AF24" s="126" t="e">
        <f t="shared" ca="1" si="4"/>
        <v>#VALUE!</v>
      </c>
      <c r="AG24" s="126" t="e">
        <f t="shared" ca="1" si="4"/>
        <v>#VALUE!</v>
      </c>
      <c r="AH24" s="126" t="e">
        <f t="shared" ca="1" si="4"/>
        <v>#VALUE!</v>
      </c>
      <c r="AI24" s="126" t="e">
        <f t="shared" ca="1" si="4"/>
        <v>#VALUE!</v>
      </c>
      <c r="AJ24" s="126" t="e">
        <f t="shared" ca="1" si="4"/>
        <v>#VALUE!</v>
      </c>
      <c r="AK24" s="126" t="e">
        <f t="shared" ca="1" si="4"/>
        <v>#VALUE!</v>
      </c>
      <c r="AL24" s="126" t="e">
        <f t="shared" ca="1" si="4"/>
        <v>#VALUE!</v>
      </c>
      <c r="AM24" s="126" t="e">
        <f t="shared" ca="1" si="4"/>
        <v>#VALUE!</v>
      </c>
      <c r="AN24" s="126" t="e">
        <f t="shared" ca="1" si="4"/>
        <v>#VALUE!</v>
      </c>
      <c r="AO24" s="126" t="e">
        <f t="shared" ca="1" si="4"/>
        <v>#VALUE!</v>
      </c>
      <c r="AP24" s="126" t="e">
        <f t="shared" ca="1" si="4"/>
        <v>#VALUE!</v>
      </c>
      <c r="AQ24" s="126" t="e">
        <f t="shared" ca="1" si="4"/>
        <v>#VALUE!</v>
      </c>
      <c r="AR24" s="126" t="e">
        <f t="shared" ca="1" si="4"/>
        <v>#VALUE!</v>
      </c>
      <c r="AS24" s="126" t="e">
        <f t="shared" ca="1" si="4"/>
        <v>#VALUE!</v>
      </c>
      <c r="AT24" s="126" t="e">
        <f t="shared" ca="1" si="4"/>
        <v>#VALUE!</v>
      </c>
      <c r="AU24" s="126" t="e">
        <f t="shared" ca="1" si="4"/>
        <v>#VALUE!</v>
      </c>
    </row>
    <row r="25" spans="1:47" x14ac:dyDescent="0.25">
      <c r="B25" t="s">
        <v>487</v>
      </c>
      <c r="C25" s="126" t="e">
        <f t="shared" ca="1" si="3"/>
        <v>#VALUE!</v>
      </c>
      <c r="D25" s="126" t="e">
        <f t="shared" ca="1" si="3"/>
        <v>#VALUE!</v>
      </c>
      <c r="E25" s="126" t="e">
        <f t="shared" ca="1" si="3"/>
        <v>#VALUE!</v>
      </c>
      <c r="F25" s="126" t="e">
        <f t="shared" ca="1" si="3"/>
        <v>#VALUE!</v>
      </c>
      <c r="G25" s="126" t="e">
        <f t="shared" ca="1" si="3"/>
        <v>#VALUE!</v>
      </c>
      <c r="H25" s="126" t="e">
        <f t="shared" ca="1" si="3"/>
        <v>#VALUE!</v>
      </c>
      <c r="I25" s="126" t="e">
        <f t="shared" ca="1" si="3"/>
        <v>#VALUE!</v>
      </c>
      <c r="J25" s="126" t="e">
        <f t="shared" ca="1" si="3"/>
        <v>#VALUE!</v>
      </c>
      <c r="K25" s="126" t="e">
        <f t="shared" ca="1" si="3"/>
        <v>#VALUE!</v>
      </c>
      <c r="L25" s="126" t="e">
        <f t="shared" ca="1" si="5"/>
        <v>#VALUE!</v>
      </c>
      <c r="M25" s="126" t="e">
        <f t="shared" ca="1" si="4"/>
        <v>#VALUE!</v>
      </c>
      <c r="N25" s="126" t="e">
        <f t="shared" ca="1" si="4"/>
        <v>#VALUE!</v>
      </c>
      <c r="O25" s="126" t="e">
        <f t="shared" ca="1" si="4"/>
        <v>#VALUE!</v>
      </c>
      <c r="P25" s="126" t="e">
        <f t="shared" ca="1" si="4"/>
        <v>#VALUE!</v>
      </c>
      <c r="Q25" s="126" t="e">
        <f t="shared" ca="1" si="4"/>
        <v>#VALUE!</v>
      </c>
      <c r="R25" s="126" t="e">
        <f t="shared" ca="1" si="4"/>
        <v>#VALUE!</v>
      </c>
      <c r="S25" s="126" t="e">
        <f t="shared" ca="1" si="4"/>
        <v>#VALUE!</v>
      </c>
      <c r="T25" s="126" t="e">
        <f t="shared" ca="1" si="4"/>
        <v>#VALUE!</v>
      </c>
      <c r="U25" s="126" t="e">
        <f t="shared" ca="1" si="4"/>
        <v>#VALUE!</v>
      </c>
      <c r="V25" s="126" t="e">
        <f t="shared" ca="1" si="4"/>
        <v>#VALUE!</v>
      </c>
      <c r="W25" s="126" t="e">
        <f t="shared" ca="1" si="4"/>
        <v>#VALUE!</v>
      </c>
      <c r="X25" s="126" t="e">
        <f t="shared" ca="1" si="4"/>
        <v>#VALUE!</v>
      </c>
      <c r="Y25" s="126" t="e">
        <f t="shared" ca="1" si="4"/>
        <v>#VALUE!</v>
      </c>
      <c r="Z25" s="126" t="e">
        <f t="shared" ca="1" si="4"/>
        <v>#VALUE!</v>
      </c>
      <c r="AA25" s="126" t="e">
        <f t="shared" ca="1" si="4"/>
        <v>#VALUE!</v>
      </c>
      <c r="AB25" s="126" t="e">
        <f t="shared" ca="1" si="4"/>
        <v>#VALUE!</v>
      </c>
      <c r="AC25" s="126" t="e">
        <f t="shared" ca="1" si="4"/>
        <v>#VALUE!</v>
      </c>
      <c r="AD25" s="126" t="e">
        <f t="shared" ca="1" si="4"/>
        <v>#VALUE!</v>
      </c>
      <c r="AE25" s="126" t="e">
        <f t="shared" ca="1" si="4"/>
        <v>#VALUE!</v>
      </c>
      <c r="AF25" s="126" t="e">
        <f t="shared" ca="1" si="4"/>
        <v>#VALUE!</v>
      </c>
      <c r="AG25" s="126" t="e">
        <f t="shared" ca="1" si="4"/>
        <v>#VALUE!</v>
      </c>
      <c r="AH25" s="126" t="e">
        <f t="shared" ca="1" si="4"/>
        <v>#VALUE!</v>
      </c>
      <c r="AI25" s="126" t="e">
        <f t="shared" ca="1" si="4"/>
        <v>#VALUE!</v>
      </c>
      <c r="AJ25" s="126" t="e">
        <f t="shared" ca="1" si="4"/>
        <v>#VALUE!</v>
      </c>
      <c r="AK25" s="126" t="e">
        <f t="shared" ca="1" si="4"/>
        <v>#VALUE!</v>
      </c>
      <c r="AL25" s="126" t="e">
        <f t="shared" ca="1" si="4"/>
        <v>#VALUE!</v>
      </c>
      <c r="AM25" s="126" t="e">
        <f t="shared" ca="1" si="4"/>
        <v>#VALUE!</v>
      </c>
      <c r="AN25" s="126" t="e">
        <f t="shared" ca="1" si="4"/>
        <v>#VALUE!</v>
      </c>
      <c r="AO25" s="126" t="e">
        <f t="shared" ca="1" si="4"/>
        <v>#VALUE!</v>
      </c>
      <c r="AP25" s="126" t="e">
        <f t="shared" ca="1" si="4"/>
        <v>#VALUE!</v>
      </c>
      <c r="AQ25" s="126" t="e">
        <f t="shared" ca="1" si="4"/>
        <v>#VALUE!</v>
      </c>
      <c r="AR25" s="126" t="e">
        <f t="shared" ca="1" si="4"/>
        <v>#VALUE!</v>
      </c>
      <c r="AS25" s="126" t="e">
        <f t="shared" ca="1" si="4"/>
        <v>#VALUE!</v>
      </c>
      <c r="AT25" s="126" t="e">
        <f t="shared" ca="1" si="4"/>
        <v>#VALUE!</v>
      </c>
      <c r="AU25" s="126" t="e">
        <f t="shared" ca="1" si="4"/>
        <v>#VALUE!</v>
      </c>
    </row>
    <row r="26" spans="1:47" x14ac:dyDescent="0.25">
      <c r="B26" t="s">
        <v>488</v>
      </c>
      <c r="C26" s="126" t="e">
        <f t="shared" ca="1" si="3"/>
        <v>#VALUE!</v>
      </c>
      <c r="D26" s="126" t="e">
        <f t="shared" ca="1" si="3"/>
        <v>#VALUE!</v>
      </c>
      <c r="E26" s="126" t="e">
        <f t="shared" ca="1" si="3"/>
        <v>#VALUE!</v>
      </c>
      <c r="F26" s="126" t="e">
        <f t="shared" ca="1" si="3"/>
        <v>#VALUE!</v>
      </c>
      <c r="G26" s="126" t="e">
        <f t="shared" ca="1" si="3"/>
        <v>#VALUE!</v>
      </c>
      <c r="H26" s="126" t="e">
        <f t="shared" ca="1" si="3"/>
        <v>#VALUE!</v>
      </c>
      <c r="I26" s="126" t="e">
        <f t="shared" ca="1" si="3"/>
        <v>#VALUE!</v>
      </c>
      <c r="J26" s="126" t="e">
        <f t="shared" ca="1" si="3"/>
        <v>#VALUE!</v>
      </c>
      <c r="K26" s="126" t="e">
        <f t="shared" ca="1" si="3"/>
        <v>#VALUE!</v>
      </c>
      <c r="L26" s="126" t="e">
        <f t="shared" ca="1" si="5"/>
        <v>#VALUE!</v>
      </c>
      <c r="M26" s="126" t="e">
        <f t="shared" ca="1" si="4"/>
        <v>#VALUE!</v>
      </c>
      <c r="N26" s="126" t="e">
        <f t="shared" ca="1" si="4"/>
        <v>#VALUE!</v>
      </c>
      <c r="O26" s="126" t="e">
        <f t="shared" ca="1" si="4"/>
        <v>#VALUE!</v>
      </c>
      <c r="P26" s="126" t="e">
        <f t="shared" ca="1" si="4"/>
        <v>#VALUE!</v>
      </c>
      <c r="Q26" s="126" t="e">
        <f t="shared" ca="1" si="4"/>
        <v>#VALUE!</v>
      </c>
      <c r="R26" s="126" t="e">
        <f t="shared" ca="1" si="4"/>
        <v>#VALUE!</v>
      </c>
      <c r="S26" s="126" t="e">
        <f t="shared" ca="1" si="4"/>
        <v>#VALUE!</v>
      </c>
      <c r="T26" s="126" t="e">
        <f t="shared" ca="1" si="4"/>
        <v>#VALUE!</v>
      </c>
      <c r="U26" s="126" t="e">
        <f t="shared" ca="1" si="4"/>
        <v>#VALUE!</v>
      </c>
      <c r="V26" s="126" t="e">
        <f t="shared" ca="1" si="4"/>
        <v>#VALUE!</v>
      </c>
      <c r="W26" s="126" t="e">
        <f t="shared" ca="1" si="4"/>
        <v>#VALUE!</v>
      </c>
      <c r="X26" s="126" t="e">
        <f t="shared" ca="1" si="4"/>
        <v>#VALUE!</v>
      </c>
      <c r="Y26" s="126" t="e">
        <f t="shared" ca="1" si="4"/>
        <v>#VALUE!</v>
      </c>
      <c r="Z26" s="126" t="e">
        <f t="shared" ca="1" si="4"/>
        <v>#VALUE!</v>
      </c>
      <c r="AA26" s="126" t="e">
        <f t="shared" ca="1" si="4"/>
        <v>#VALUE!</v>
      </c>
      <c r="AB26" s="126" t="e">
        <f t="shared" ca="1" si="4"/>
        <v>#VALUE!</v>
      </c>
      <c r="AC26" s="126" t="e">
        <f t="shared" ca="1" si="4"/>
        <v>#VALUE!</v>
      </c>
      <c r="AD26" s="126" t="e">
        <f t="shared" ca="1" si="4"/>
        <v>#VALUE!</v>
      </c>
      <c r="AE26" s="126" t="e">
        <f t="shared" ca="1" si="4"/>
        <v>#VALUE!</v>
      </c>
      <c r="AF26" s="126" t="e">
        <f t="shared" ca="1" si="4"/>
        <v>#VALUE!</v>
      </c>
      <c r="AG26" s="126" t="e">
        <f t="shared" ca="1" si="4"/>
        <v>#VALUE!</v>
      </c>
      <c r="AH26" s="126" t="e">
        <f t="shared" ca="1" si="4"/>
        <v>#VALUE!</v>
      </c>
      <c r="AI26" s="126" t="e">
        <f t="shared" ca="1" si="4"/>
        <v>#VALUE!</v>
      </c>
      <c r="AJ26" s="126" t="e">
        <f t="shared" ca="1" si="4"/>
        <v>#VALUE!</v>
      </c>
      <c r="AK26" s="126" t="e">
        <f t="shared" ca="1" si="4"/>
        <v>#VALUE!</v>
      </c>
      <c r="AL26" s="126" t="e">
        <f t="shared" ca="1" si="4"/>
        <v>#VALUE!</v>
      </c>
      <c r="AM26" s="126" t="e">
        <f t="shared" ca="1" si="4"/>
        <v>#VALUE!</v>
      </c>
      <c r="AN26" s="126" t="e">
        <f t="shared" ca="1" si="4"/>
        <v>#VALUE!</v>
      </c>
      <c r="AO26" s="126" t="e">
        <f t="shared" ca="1" si="4"/>
        <v>#VALUE!</v>
      </c>
      <c r="AP26" s="126" t="e">
        <f t="shared" ca="1" si="4"/>
        <v>#VALUE!</v>
      </c>
      <c r="AQ26" s="126" t="e">
        <f t="shared" ca="1" si="4"/>
        <v>#VALUE!</v>
      </c>
      <c r="AR26" s="126" t="e">
        <f t="shared" ca="1" si="4"/>
        <v>#VALUE!</v>
      </c>
      <c r="AS26" s="126" t="e">
        <f t="shared" ca="1" si="4"/>
        <v>#VALUE!</v>
      </c>
      <c r="AT26" s="126" t="e">
        <f t="shared" ca="1" si="4"/>
        <v>#VALUE!</v>
      </c>
      <c r="AU26" s="126" t="e">
        <f t="shared" ca="1" si="4"/>
        <v>#VALUE!</v>
      </c>
    </row>
    <row r="27" spans="1:47" x14ac:dyDescent="0.25">
      <c r="B27" t="s">
        <v>489</v>
      </c>
      <c r="C27" s="126" t="e">
        <f t="shared" ca="1" si="3"/>
        <v>#VALUE!</v>
      </c>
      <c r="D27" s="126" t="e">
        <f t="shared" ca="1" si="3"/>
        <v>#VALUE!</v>
      </c>
      <c r="E27" s="126" t="e">
        <f t="shared" ca="1" si="3"/>
        <v>#VALUE!</v>
      </c>
      <c r="F27" s="126" t="e">
        <f t="shared" ca="1" si="3"/>
        <v>#VALUE!</v>
      </c>
      <c r="G27" s="126" t="e">
        <f t="shared" ca="1" si="3"/>
        <v>#VALUE!</v>
      </c>
      <c r="H27" s="126" t="e">
        <f t="shared" ca="1" si="3"/>
        <v>#VALUE!</v>
      </c>
      <c r="I27" s="126" t="e">
        <f t="shared" ca="1" si="3"/>
        <v>#VALUE!</v>
      </c>
      <c r="J27" s="126" t="e">
        <f t="shared" ca="1" si="3"/>
        <v>#VALUE!</v>
      </c>
      <c r="K27" s="126" t="e">
        <f t="shared" ca="1" si="3"/>
        <v>#VALUE!</v>
      </c>
      <c r="L27" s="126" t="e">
        <f t="shared" ca="1" si="5"/>
        <v>#VALUE!</v>
      </c>
      <c r="M27" s="126" t="e">
        <f t="shared" ca="1" si="4"/>
        <v>#VALUE!</v>
      </c>
      <c r="N27" s="126" t="e">
        <f t="shared" ca="1" si="4"/>
        <v>#VALUE!</v>
      </c>
      <c r="O27" s="126" t="e">
        <f t="shared" ca="1" si="4"/>
        <v>#VALUE!</v>
      </c>
      <c r="P27" s="126" t="e">
        <f t="shared" ca="1" si="4"/>
        <v>#VALUE!</v>
      </c>
      <c r="Q27" s="126" t="e">
        <f t="shared" ca="1" si="4"/>
        <v>#VALUE!</v>
      </c>
      <c r="R27" s="126" t="e">
        <f t="shared" ca="1" si="4"/>
        <v>#VALUE!</v>
      </c>
      <c r="S27" s="126" t="e">
        <f t="shared" ca="1" si="4"/>
        <v>#VALUE!</v>
      </c>
      <c r="T27" s="126" t="e">
        <f t="shared" ca="1" si="4"/>
        <v>#VALUE!</v>
      </c>
      <c r="U27" s="126" t="e">
        <f t="shared" ca="1" si="4"/>
        <v>#VALUE!</v>
      </c>
      <c r="V27" s="126" t="e">
        <f t="shared" ca="1" si="4"/>
        <v>#VALUE!</v>
      </c>
      <c r="W27" s="126" t="e">
        <f t="shared" ca="1" si="4"/>
        <v>#VALUE!</v>
      </c>
      <c r="X27" s="126" t="e">
        <f t="shared" ca="1" si="4"/>
        <v>#VALUE!</v>
      </c>
      <c r="Y27" s="126" t="e">
        <f t="shared" ca="1" si="4"/>
        <v>#VALUE!</v>
      </c>
      <c r="Z27" s="126" t="e">
        <f t="shared" ca="1" si="4"/>
        <v>#VALUE!</v>
      </c>
      <c r="AA27" s="126" t="e">
        <f t="shared" ca="1" si="4"/>
        <v>#VALUE!</v>
      </c>
      <c r="AB27" s="126" t="e">
        <f t="shared" ca="1" si="4"/>
        <v>#VALUE!</v>
      </c>
      <c r="AC27" s="126" t="e">
        <f t="shared" ca="1" si="4"/>
        <v>#VALUE!</v>
      </c>
      <c r="AD27" s="126" t="e">
        <f t="shared" ca="1" si="4"/>
        <v>#VALUE!</v>
      </c>
      <c r="AE27" s="126" t="e">
        <f t="shared" ca="1" si="4"/>
        <v>#VALUE!</v>
      </c>
      <c r="AF27" s="126" t="e">
        <f t="shared" ca="1" si="4"/>
        <v>#VALUE!</v>
      </c>
      <c r="AG27" s="126" t="e">
        <f t="shared" ca="1" si="4"/>
        <v>#VALUE!</v>
      </c>
      <c r="AH27" s="126" t="e">
        <f t="shared" ca="1" si="4"/>
        <v>#VALUE!</v>
      </c>
      <c r="AI27" s="126" t="e">
        <f t="shared" ca="1" si="4"/>
        <v>#VALUE!</v>
      </c>
      <c r="AJ27" s="126" t="e">
        <f t="shared" ca="1" si="4"/>
        <v>#VALUE!</v>
      </c>
      <c r="AK27" s="126" t="e">
        <f t="shared" ca="1" si="4"/>
        <v>#VALUE!</v>
      </c>
      <c r="AL27" s="126" t="e">
        <f t="shared" ref="M27:AU34" ca="1" si="6">Output("SCEN_ADEMEhaut",$B27,AL$1)</f>
        <v>#VALUE!</v>
      </c>
      <c r="AM27" s="126" t="e">
        <f t="shared" ca="1" si="6"/>
        <v>#VALUE!</v>
      </c>
      <c r="AN27" s="126" t="e">
        <f t="shared" ca="1" si="6"/>
        <v>#VALUE!</v>
      </c>
      <c r="AO27" s="126" t="e">
        <f t="shared" ca="1" si="6"/>
        <v>#VALUE!</v>
      </c>
      <c r="AP27" s="126" t="e">
        <f t="shared" ca="1" si="6"/>
        <v>#VALUE!</v>
      </c>
      <c r="AQ27" s="126" t="e">
        <f t="shared" ca="1" si="6"/>
        <v>#VALUE!</v>
      </c>
      <c r="AR27" s="126" t="e">
        <f t="shared" ca="1" si="6"/>
        <v>#VALUE!</v>
      </c>
      <c r="AS27" s="126" t="e">
        <f t="shared" ca="1" si="6"/>
        <v>#VALUE!</v>
      </c>
      <c r="AT27" s="126" t="e">
        <f t="shared" ca="1" si="6"/>
        <v>#VALUE!</v>
      </c>
      <c r="AU27" s="126" t="e">
        <f t="shared" ca="1" si="6"/>
        <v>#VALUE!</v>
      </c>
    </row>
    <row r="28" spans="1:47" x14ac:dyDescent="0.25">
      <c r="B28" t="s">
        <v>490</v>
      </c>
      <c r="C28" s="126" t="e">
        <f t="shared" ca="1" si="3"/>
        <v>#VALUE!</v>
      </c>
      <c r="D28" s="126" t="e">
        <f t="shared" ca="1" si="3"/>
        <v>#VALUE!</v>
      </c>
      <c r="E28" s="126" t="e">
        <f t="shared" ca="1" si="3"/>
        <v>#VALUE!</v>
      </c>
      <c r="F28" s="126" t="e">
        <f t="shared" ca="1" si="3"/>
        <v>#VALUE!</v>
      </c>
      <c r="G28" s="126" t="e">
        <f t="shared" ca="1" si="3"/>
        <v>#VALUE!</v>
      </c>
      <c r="H28" s="126" t="e">
        <f t="shared" ca="1" si="3"/>
        <v>#VALUE!</v>
      </c>
      <c r="I28" s="126" t="e">
        <f t="shared" ca="1" si="3"/>
        <v>#VALUE!</v>
      </c>
      <c r="J28" s="126" t="e">
        <f t="shared" ca="1" si="3"/>
        <v>#VALUE!</v>
      </c>
      <c r="K28" s="126" t="e">
        <f t="shared" ca="1" si="3"/>
        <v>#VALUE!</v>
      </c>
      <c r="L28" s="126" t="e">
        <f t="shared" ca="1" si="5"/>
        <v>#VALUE!</v>
      </c>
      <c r="M28" s="126" t="e">
        <f t="shared" ca="1" si="6"/>
        <v>#VALUE!</v>
      </c>
      <c r="N28" s="126" t="e">
        <f t="shared" ca="1" si="6"/>
        <v>#VALUE!</v>
      </c>
      <c r="O28" s="126" t="e">
        <f t="shared" ca="1" si="6"/>
        <v>#VALUE!</v>
      </c>
      <c r="P28" s="126" t="e">
        <f t="shared" ca="1" si="6"/>
        <v>#VALUE!</v>
      </c>
      <c r="Q28" s="126" t="e">
        <f t="shared" ca="1" si="6"/>
        <v>#VALUE!</v>
      </c>
      <c r="R28" s="126" t="e">
        <f t="shared" ca="1" si="6"/>
        <v>#VALUE!</v>
      </c>
      <c r="S28" s="126" t="e">
        <f t="shared" ca="1" si="6"/>
        <v>#VALUE!</v>
      </c>
      <c r="T28" s="126" t="e">
        <f t="shared" ca="1" si="6"/>
        <v>#VALUE!</v>
      </c>
      <c r="U28" s="126" t="e">
        <f t="shared" ca="1" si="6"/>
        <v>#VALUE!</v>
      </c>
      <c r="V28" s="126" t="e">
        <f t="shared" ca="1" si="6"/>
        <v>#VALUE!</v>
      </c>
      <c r="W28" s="126" t="e">
        <f t="shared" ca="1" si="6"/>
        <v>#VALUE!</v>
      </c>
      <c r="X28" s="126" t="e">
        <f t="shared" ca="1" si="6"/>
        <v>#VALUE!</v>
      </c>
      <c r="Y28" s="126" t="e">
        <f t="shared" ca="1" si="6"/>
        <v>#VALUE!</v>
      </c>
      <c r="Z28" s="126" t="e">
        <f t="shared" ca="1" si="6"/>
        <v>#VALUE!</v>
      </c>
      <c r="AA28" s="126" t="e">
        <f t="shared" ca="1" si="6"/>
        <v>#VALUE!</v>
      </c>
      <c r="AB28" s="126" t="e">
        <f t="shared" ca="1" si="6"/>
        <v>#VALUE!</v>
      </c>
      <c r="AC28" s="126" t="e">
        <f t="shared" ca="1" si="6"/>
        <v>#VALUE!</v>
      </c>
      <c r="AD28" s="126" t="e">
        <f t="shared" ca="1" si="6"/>
        <v>#VALUE!</v>
      </c>
      <c r="AE28" s="126" t="e">
        <f t="shared" ca="1" si="6"/>
        <v>#VALUE!</v>
      </c>
      <c r="AF28" s="126" t="e">
        <f t="shared" ca="1" si="6"/>
        <v>#VALUE!</v>
      </c>
      <c r="AG28" s="126" t="e">
        <f t="shared" ca="1" si="6"/>
        <v>#VALUE!</v>
      </c>
      <c r="AH28" s="126" t="e">
        <f t="shared" ca="1" si="6"/>
        <v>#VALUE!</v>
      </c>
      <c r="AI28" s="126" t="e">
        <f t="shared" ca="1" si="6"/>
        <v>#VALUE!</v>
      </c>
      <c r="AJ28" s="126" t="e">
        <f t="shared" ca="1" si="6"/>
        <v>#VALUE!</v>
      </c>
      <c r="AK28" s="126" t="e">
        <f t="shared" ca="1" si="6"/>
        <v>#VALUE!</v>
      </c>
      <c r="AL28" s="126" t="e">
        <f t="shared" ca="1" si="6"/>
        <v>#VALUE!</v>
      </c>
      <c r="AM28" s="126" t="e">
        <f t="shared" ca="1" si="6"/>
        <v>#VALUE!</v>
      </c>
      <c r="AN28" s="126" t="e">
        <f t="shared" ca="1" si="6"/>
        <v>#VALUE!</v>
      </c>
      <c r="AO28" s="126" t="e">
        <f t="shared" ca="1" si="6"/>
        <v>#VALUE!</v>
      </c>
      <c r="AP28" s="126" t="e">
        <f t="shared" ca="1" si="6"/>
        <v>#VALUE!</v>
      </c>
      <c r="AQ28" s="126" t="e">
        <f t="shared" ca="1" si="6"/>
        <v>#VALUE!</v>
      </c>
      <c r="AR28" s="126" t="e">
        <f t="shared" ca="1" si="6"/>
        <v>#VALUE!</v>
      </c>
      <c r="AS28" s="126" t="e">
        <f t="shared" ca="1" si="6"/>
        <v>#VALUE!</v>
      </c>
      <c r="AT28" s="126" t="e">
        <f t="shared" ca="1" si="6"/>
        <v>#VALUE!</v>
      </c>
      <c r="AU28" s="126" t="e">
        <f t="shared" ca="1" si="6"/>
        <v>#VALUE!</v>
      </c>
    </row>
    <row r="29" spans="1:47" x14ac:dyDescent="0.25">
      <c r="B29" t="s">
        <v>491</v>
      </c>
      <c r="C29" s="126" t="e">
        <f t="shared" ca="1" si="3"/>
        <v>#VALUE!</v>
      </c>
      <c r="D29" s="126" t="e">
        <f t="shared" ca="1" si="3"/>
        <v>#VALUE!</v>
      </c>
      <c r="E29" s="126" t="e">
        <f t="shared" ca="1" si="3"/>
        <v>#VALUE!</v>
      </c>
      <c r="F29" s="126" t="e">
        <f t="shared" ca="1" si="3"/>
        <v>#VALUE!</v>
      </c>
      <c r="G29" s="126" t="e">
        <f t="shared" ca="1" si="3"/>
        <v>#VALUE!</v>
      </c>
      <c r="H29" s="126" t="e">
        <f t="shared" ca="1" si="3"/>
        <v>#VALUE!</v>
      </c>
      <c r="I29" s="126" t="e">
        <f t="shared" ca="1" si="3"/>
        <v>#VALUE!</v>
      </c>
      <c r="J29" s="126" t="e">
        <f t="shared" ca="1" si="3"/>
        <v>#VALUE!</v>
      </c>
      <c r="K29" s="126" t="e">
        <f t="shared" ca="1" si="3"/>
        <v>#VALUE!</v>
      </c>
      <c r="L29" s="126" t="e">
        <f t="shared" ca="1" si="5"/>
        <v>#VALUE!</v>
      </c>
      <c r="M29" s="126" t="e">
        <f t="shared" ca="1" si="6"/>
        <v>#VALUE!</v>
      </c>
      <c r="N29" s="126" t="e">
        <f t="shared" ca="1" si="6"/>
        <v>#VALUE!</v>
      </c>
      <c r="O29" s="126" t="e">
        <f t="shared" ca="1" si="6"/>
        <v>#VALUE!</v>
      </c>
      <c r="P29" s="126" t="e">
        <f t="shared" ca="1" si="6"/>
        <v>#VALUE!</v>
      </c>
      <c r="Q29" s="126" t="e">
        <f t="shared" ca="1" si="6"/>
        <v>#VALUE!</v>
      </c>
      <c r="R29" s="126" t="e">
        <f t="shared" ca="1" si="6"/>
        <v>#VALUE!</v>
      </c>
      <c r="S29" s="126" t="e">
        <f t="shared" ca="1" si="6"/>
        <v>#VALUE!</v>
      </c>
      <c r="T29" s="126" t="e">
        <f t="shared" ca="1" si="6"/>
        <v>#VALUE!</v>
      </c>
      <c r="U29" s="126" t="e">
        <f t="shared" ca="1" si="6"/>
        <v>#VALUE!</v>
      </c>
      <c r="V29" s="126" t="e">
        <f t="shared" ca="1" si="6"/>
        <v>#VALUE!</v>
      </c>
      <c r="W29" s="126" t="e">
        <f t="shared" ca="1" si="6"/>
        <v>#VALUE!</v>
      </c>
      <c r="X29" s="126" t="e">
        <f t="shared" ca="1" si="6"/>
        <v>#VALUE!</v>
      </c>
      <c r="Y29" s="126" t="e">
        <f t="shared" ca="1" si="6"/>
        <v>#VALUE!</v>
      </c>
      <c r="Z29" s="126" t="e">
        <f t="shared" ca="1" si="6"/>
        <v>#VALUE!</v>
      </c>
      <c r="AA29" s="126" t="e">
        <f t="shared" ca="1" si="6"/>
        <v>#VALUE!</v>
      </c>
      <c r="AB29" s="126" t="e">
        <f t="shared" ca="1" si="6"/>
        <v>#VALUE!</v>
      </c>
      <c r="AC29" s="126" t="e">
        <f t="shared" ca="1" si="6"/>
        <v>#VALUE!</v>
      </c>
      <c r="AD29" s="126" t="e">
        <f t="shared" ca="1" si="6"/>
        <v>#VALUE!</v>
      </c>
      <c r="AE29" s="126" t="e">
        <f t="shared" ca="1" si="6"/>
        <v>#VALUE!</v>
      </c>
      <c r="AF29" s="126" t="e">
        <f t="shared" ca="1" si="6"/>
        <v>#VALUE!</v>
      </c>
      <c r="AG29" s="126" t="e">
        <f t="shared" ca="1" si="6"/>
        <v>#VALUE!</v>
      </c>
      <c r="AH29" s="126" t="e">
        <f t="shared" ca="1" si="6"/>
        <v>#VALUE!</v>
      </c>
      <c r="AI29" s="126" t="e">
        <f t="shared" ca="1" si="6"/>
        <v>#VALUE!</v>
      </c>
      <c r="AJ29" s="126" t="e">
        <f t="shared" ca="1" si="6"/>
        <v>#VALUE!</v>
      </c>
      <c r="AK29" s="126" t="e">
        <f t="shared" ca="1" si="6"/>
        <v>#VALUE!</v>
      </c>
      <c r="AL29" s="126" t="e">
        <f t="shared" ca="1" si="6"/>
        <v>#VALUE!</v>
      </c>
      <c r="AM29" s="126" t="e">
        <f t="shared" ca="1" si="6"/>
        <v>#VALUE!</v>
      </c>
      <c r="AN29" s="126" t="e">
        <f t="shared" ca="1" si="6"/>
        <v>#VALUE!</v>
      </c>
      <c r="AO29" s="126" t="e">
        <f t="shared" ca="1" si="6"/>
        <v>#VALUE!</v>
      </c>
      <c r="AP29" s="126" t="e">
        <f t="shared" ca="1" si="6"/>
        <v>#VALUE!</v>
      </c>
      <c r="AQ29" s="126" t="e">
        <f t="shared" ca="1" si="6"/>
        <v>#VALUE!</v>
      </c>
      <c r="AR29" s="126" t="e">
        <f t="shared" ca="1" si="6"/>
        <v>#VALUE!</v>
      </c>
      <c r="AS29" s="126" t="e">
        <f t="shared" ca="1" si="6"/>
        <v>#VALUE!</v>
      </c>
      <c r="AT29" s="126" t="e">
        <f t="shared" ca="1" si="6"/>
        <v>#VALUE!</v>
      </c>
      <c r="AU29" s="126" t="e">
        <f t="shared" ca="1" si="6"/>
        <v>#VALUE!</v>
      </c>
    </row>
    <row r="30" spans="1:47" x14ac:dyDescent="0.25">
      <c r="B30" t="s">
        <v>492</v>
      </c>
      <c r="C30" s="126" t="e">
        <f t="shared" ca="1" si="3"/>
        <v>#VALUE!</v>
      </c>
      <c r="D30" s="126" t="e">
        <f t="shared" ca="1" si="3"/>
        <v>#VALUE!</v>
      </c>
      <c r="E30" s="126" t="e">
        <f t="shared" ca="1" si="3"/>
        <v>#VALUE!</v>
      </c>
      <c r="F30" s="126" t="e">
        <f t="shared" ca="1" si="3"/>
        <v>#VALUE!</v>
      </c>
      <c r="G30" s="126" t="e">
        <f t="shared" ca="1" si="3"/>
        <v>#VALUE!</v>
      </c>
      <c r="H30" s="126" t="e">
        <f t="shared" ca="1" si="3"/>
        <v>#VALUE!</v>
      </c>
      <c r="I30" s="126" t="e">
        <f t="shared" ca="1" si="3"/>
        <v>#VALUE!</v>
      </c>
      <c r="J30" s="126" t="e">
        <f t="shared" ca="1" si="3"/>
        <v>#VALUE!</v>
      </c>
      <c r="K30" s="126" t="e">
        <f t="shared" ca="1" si="3"/>
        <v>#VALUE!</v>
      </c>
      <c r="L30" s="126" t="e">
        <f t="shared" ca="1" si="5"/>
        <v>#VALUE!</v>
      </c>
      <c r="M30" s="126" t="e">
        <f t="shared" ca="1" si="6"/>
        <v>#VALUE!</v>
      </c>
      <c r="N30" s="126" t="e">
        <f t="shared" ca="1" si="6"/>
        <v>#VALUE!</v>
      </c>
      <c r="O30" s="126" t="e">
        <f t="shared" ca="1" si="6"/>
        <v>#VALUE!</v>
      </c>
      <c r="P30" s="126" t="e">
        <f t="shared" ca="1" si="6"/>
        <v>#VALUE!</v>
      </c>
      <c r="Q30" s="126" t="e">
        <f t="shared" ca="1" si="6"/>
        <v>#VALUE!</v>
      </c>
      <c r="R30" s="126" t="e">
        <f t="shared" ca="1" si="6"/>
        <v>#VALUE!</v>
      </c>
      <c r="S30" s="126" t="e">
        <f t="shared" ca="1" si="6"/>
        <v>#VALUE!</v>
      </c>
      <c r="T30" s="126" t="e">
        <f t="shared" ca="1" si="6"/>
        <v>#VALUE!</v>
      </c>
      <c r="U30" s="126" t="e">
        <f t="shared" ca="1" si="6"/>
        <v>#VALUE!</v>
      </c>
      <c r="V30" s="126" t="e">
        <f t="shared" ca="1" si="6"/>
        <v>#VALUE!</v>
      </c>
      <c r="W30" s="126" t="e">
        <f t="shared" ca="1" si="6"/>
        <v>#VALUE!</v>
      </c>
      <c r="X30" s="126" t="e">
        <f t="shared" ca="1" si="6"/>
        <v>#VALUE!</v>
      </c>
      <c r="Y30" s="126" t="e">
        <f t="shared" ca="1" si="6"/>
        <v>#VALUE!</v>
      </c>
      <c r="Z30" s="126" t="e">
        <f t="shared" ca="1" si="6"/>
        <v>#VALUE!</v>
      </c>
      <c r="AA30" s="126" t="e">
        <f t="shared" ca="1" si="6"/>
        <v>#VALUE!</v>
      </c>
      <c r="AB30" s="126" t="e">
        <f t="shared" ca="1" si="6"/>
        <v>#VALUE!</v>
      </c>
      <c r="AC30" s="126" t="e">
        <f t="shared" ca="1" si="6"/>
        <v>#VALUE!</v>
      </c>
      <c r="AD30" s="126" t="e">
        <f t="shared" ca="1" si="6"/>
        <v>#VALUE!</v>
      </c>
      <c r="AE30" s="126" t="e">
        <f t="shared" ca="1" si="6"/>
        <v>#VALUE!</v>
      </c>
      <c r="AF30" s="126" t="e">
        <f t="shared" ca="1" si="6"/>
        <v>#VALUE!</v>
      </c>
      <c r="AG30" s="126" t="e">
        <f t="shared" ca="1" si="6"/>
        <v>#VALUE!</v>
      </c>
      <c r="AH30" s="126" t="e">
        <f t="shared" ca="1" si="6"/>
        <v>#VALUE!</v>
      </c>
      <c r="AI30" s="126" t="e">
        <f t="shared" ca="1" si="6"/>
        <v>#VALUE!</v>
      </c>
      <c r="AJ30" s="126" t="e">
        <f t="shared" ca="1" si="6"/>
        <v>#VALUE!</v>
      </c>
      <c r="AK30" s="126" t="e">
        <f t="shared" ca="1" si="6"/>
        <v>#VALUE!</v>
      </c>
      <c r="AL30" s="126" t="e">
        <f t="shared" ca="1" si="6"/>
        <v>#VALUE!</v>
      </c>
      <c r="AM30" s="126" t="e">
        <f t="shared" ca="1" si="6"/>
        <v>#VALUE!</v>
      </c>
      <c r="AN30" s="126" t="e">
        <f t="shared" ca="1" si="6"/>
        <v>#VALUE!</v>
      </c>
      <c r="AO30" s="126" t="e">
        <f t="shared" ca="1" si="6"/>
        <v>#VALUE!</v>
      </c>
      <c r="AP30" s="126" t="e">
        <f t="shared" ca="1" si="6"/>
        <v>#VALUE!</v>
      </c>
      <c r="AQ30" s="126" t="e">
        <f t="shared" ca="1" si="6"/>
        <v>#VALUE!</v>
      </c>
      <c r="AR30" s="126" t="e">
        <f t="shared" ca="1" si="6"/>
        <v>#VALUE!</v>
      </c>
      <c r="AS30" s="126" t="e">
        <f t="shared" ca="1" si="6"/>
        <v>#VALUE!</v>
      </c>
      <c r="AT30" s="126" t="e">
        <f t="shared" ca="1" si="6"/>
        <v>#VALUE!</v>
      </c>
      <c r="AU30" s="126" t="e">
        <f t="shared" ca="1" si="6"/>
        <v>#VALUE!</v>
      </c>
    </row>
    <row r="31" spans="1:47" x14ac:dyDescent="0.25">
      <c r="B31" t="s">
        <v>493</v>
      </c>
      <c r="C31" s="126" t="e">
        <f t="shared" ca="1" si="3"/>
        <v>#VALUE!</v>
      </c>
      <c r="D31" s="126" t="e">
        <f t="shared" ca="1" si="3"/>
        <v>#VALUE!</v>
      </c>
      <c r="E31" s="126" t="e">
        <f t="shared" ca="1" si="3"/>
        <v>#VALUE!</v>
      </c>
      <c r="F31" s="126" t="e">
        <f t="shared" ca="1" si="3"/>
        <v>#VALUE!</v>
      </c>
      <c r="G31" s="126" t="e">
        <f t="shared" ca="1" si="3"/>
        <v>#VALUE!</v>
      </c>
      <c r="H31" s="126" t="e">
        <f t="shared" ca="1" si="3"/>
        <v>#VALUE!</v>
      </c>
      <c r="I31" s="126" t="e">
        <f t="shared" ca="1" si="3"/>
        <v>#VALUE!</v>
      </c>
      <c r="J31" s="126" t="e">
        <f t="shared" ca="1" si="3"/>
        <v>#VALUE!</v>
      </c>
      <c r="K31" s="126" t="e">
        <f t="shared" ca="1" si="3"/>
        <v>#VALUE!</v>
      </c>
      <c r="L31" s="126" t="e">
        <f t="shared" ca="1" si="5"/>
        <v>#VALUE!</v>
      </c>
      <c r="M31" s="126" t="e">
        <f t="shared" ca="1" si="6"/>
        <v>#VALUE!</v>
      </c>
      <c r="N31" s="126" t="e">
        <f t="shared" ca="1" si="6"/>
        <v>#VALUE!</v>
      </c>
      <c r="O31" s="126" t="e">
        <f t="shared" ca="1" si="6"/>
        <v>#VALUE!</v>
      </c>
      <c r="P31" s="126" t="e">
        <f t="shared" ca="1" si="6"/>
        <v>#VALUE!</v>
      </c>
      <c r="Q31" s="126" t="e">
        <f t="shared" ca="1" si="6"/>
        <v>#VALUE!</v>
      </c>
      <c r="R31" s="126" t="e">
        <f t="shared" ca="1" si="6"/>
        <v>#VALUE!</v>
      </c>
      <c r="S31" s="126" t="e">
        <f t="shared" ca="1" si="6"/>
        <v>#VALUE!</v>
      </c>
      <c r="T31" s="126" t="e">
        <f t="shared" ca="1" si="6"/>
        <v>#VALUE!</v>
      </c>
      <c r="U31" s="126" t="e">
        <f t="shared" ca="1" si="6"/>
        <v>#VALUE!</v>
      </c>
      <c r="V31" s="126" t="e">
        <f t="shared" ca="1" si="6"/>
        <v>#VALUE!</v>
      </c>
      <c r="W31" s="126" t="e">
        <f t="shared" ca="1" si="6"/>
        <v>#VALUE!</v>
      </c>
      <c r="X31" s="126" t="e">
        <f t="shared" ca="1" si="6"/>
        <v>#VALUE!</v>
      </c>
      <c r="Y31" s="126" t="e">
        <f t="shared" ca="1" si="6"/>
        <v>#VALUE!</v>
      </c>
      <c r="Z31" s="126" t="e">
        <f t="shared" ca="1" si="6"/>
        <v>#VALUE!</v>
      </c>
      <c r="AA31" s="126" t="e">
        <f t="shared" ca="1" si="6"/>
        <v>#VALUE!</v>
      </c>
      <c r="AB31" s="126" t="e">
        <f t="shared" ca="1" si="6"/>
        <v>#VALUE!</v>
      </c>
      <c r="AC31" s="126" t="e">
        <f t="shared" ca="1" si="6"/>
        <v>#VALUE!</v>
      </c>
      <c r="AD31" s="126" t="e">
        <f t="shared" ca="1" si="6"/>
        <v>#VALUE!</v>
      </c>
      <c r="AE31" s="126" t="e">
        <f t="shared" ca="1" si="6"/>
        <v>#VALUE!</v>
      </c>
      <c r="AF31" s="126" t="e">
        <f t="shared" ca="1" si="6"/>
        <v>#VALUE!</v>
      </c>
      <c r="AG31" s="126" t="e">
        <f t="shared" ca="1" si="6"/>
        <v>#VALUE!</v>
      </c>
      <c r="AH31" s="126" t="e">
        <f t="shared" ca="1" si="6"/>
        <v>#VALUE!</v>
      </c>
      <c r="AI31" s="126" t="e">
        <f t="shared" ca="1" si="6"/>
        <v>#VALUE!</v>
      </c>
      <c r="AJ31" s="126" t="e">
        <f t="shared" ca="1" si="6"/>
        <v>#VALUE!</v>
      </c>
      <c r="AK31" s="126" t="e">
        <f t="shared" ca="1" si="6"/>
        <v>#VALUE!</v>
      </c>
      <c r="AL31" s="126" t="e">
        <f t="shared" ca="1" si="6"/>
        <v>#VALUE!</v>
      </c>
      <c r="AM31" s="126" t="e">
        <f t="shared" ca="1" si="6"/>
        <v>#VALUE!</v>
      </c>
      <c r="AN31" s="126" t="e">
        <f t="shared" ca="1" si="6"/>
        <v>#VALUE!</v>
      </c>
      <c r="AO31" s="126" t="e">
        <f t="shared" ca="1" si="6"/>
        <v>#VALUE!</v>
      </c>
      <c r="AP31" s="126" t="e">
        <f t="shared" ca="1" si="6"/>
        <v>#VALUE!</v>
      </c>
      <c r="AQ31" s="126" t="e">
        <f t="shared" ca="1" si="6"/>
        <v>#VALUE!</v>
      </c>
      <c r="AR31" s="126" t="e">
        <f t="shared" ca="1" si="6"/>
        <v>#VALUE!</v>
      </c>
      <c r="AS31" s="126" t="e">
        <f t="shared" ca="1" si="6"/>
        <v>#VALUE!</v>
      </c>
      <c r="AT31" s="126" t="e">
        <f t="shared" ca="1" si="6"/>
        <v>#VALUE!</v>
      </c>
      <c r="AU31" s="126" t="e">
        <f t="shared" ca="1" si="6"/>
        <v>#VALUE!</v>
      </c>
    </row>
    <row r="32" spans="1:47" x14ac:dyDescent="0.25">
      <c r="B32" t="s">
        <v>494</v>
      </c>
      <c r="C32" s="126" t="e">
        <f t="shared" ca="1" si="3"/>
        <v>#VALUE!</v>
      </c>
      <c r="D32" s="126" t="e">
        <f t="shared" ca="1" si="3"/>
        <v>#VALUE!</v>
      </c>
      <c r="E32" s="126" t="e">
        <f t="shared" ca="1" si="3"/>
        <v>#VALUE!</v>
      </c>
      <c r="F32" s="126" t="e">
        <f t="shared" ca="1" si="3"/>
        <v>#VALUE!</v>
      </c>
      <c r="G32" s="126" t="e">
        <f t="shared" ca="1" si="3"/>
        <v>#VALUE!</v>
      </c>
      <c r="H32" s="126" t="e">
        <f t="shared" ca="1" si="3"/>
        <v>#VALUE!</v>
      </c>
      <c r="I32" s="126" t="e">
        <f t="shared" ca="1" si="3"/>
        <v>#VALUE!</v>
      </c>
      <c r="J32" s="126" t="e">
        <f t="shared" ca="1" si="3"/>
        <v>#VALUE!</v>
      </c>
      <c r="K32" s="126" t="e">
        <f t="shared" ca="1" si="3"/>
        <v>#VALUE!</v>
      </c>
      <c r="L32" s="126" t="e">
        <f t="shared" ca="1" si="5"/>
        <v>#VALUE!</v>
      </c>
      <c r="M32" s="126" t="e">
        <f t="shared" ca="1" si="6"/>
        <v>#VALUE!</v>
      </c>
      <c r="N32" s="126" t="e">
        <f t="shared" ca="1" si="6"/>
        <v>#VALUE!</v>
      </c>
      <c r="O32" s="126" t="e">
        <f t="shared" ca="1" si="6"/>
        <v>#VALUE!</v>
      </c>
      <c r="P32" s="126" t="e">
        <f t="shared" ca="1" si="6"/>
        <v>#VALUE!</v>
      </c>
      <c r="Q32" s="126" t="e">
        <f t="shared" ca="1" si="6"/>
        <v>#VALUE!</v>
      </c>
      <c r="R32" s="126" t="e">
        <f t="shared" ca="1" si="6"/>
        <v>#VALUE!</v>
      </c>
      <c r="S32" s="126" t="e">
        <f t="shared" ca="1" si="6"/>
        <v>#VALUE!</v>
      </c>
      <c r="T32" s="126" t="e">
        <f t="shared" ca="1" si="6"/>
        <v>#VALUE!</v>
      </c>
      <c r="U32" s="126" t="e">
        <f t="shared" ca="1" si="6"/>
        <v>#VALUE!</v>
      </c>
      <c r="V32" s="126" t="e">
        <f t="shared" ca="1" si="6"/>
        <v>#VALUE!</v>
      </c>
      <c r="W32" s="126" t="e">
        <f t="shared" ca="1" si="6"/>
        <v>#VALUE!</v>
      </c>
      <c r="X32" s="126" t="e">
        <f t="shared" ca="1" si="6"/>
        <v>#VALUE!</v>
      </c>
      <c r="Y32" s="126" t="e">
        <f t="shared" ca="1" si="6"/>
        <v>#VALUE!</v>
      </c>
      <c r="Z32" s="126" t="e">
        <f t="shared" ca="1" si="6"/>
        <v>#VALUE!</v>
      </c>
      <c r="AA32" s="126" t="e">
        <f t="shared" ca="1" si="6"/>
        <v>#VALUE!</v>
      </c>
      <c r="AB32" s="126" t="e">
        <f t="shared" ca="1" si="6"/>
        <v>#VALUE!</v>
      </c>
      <c r="AC32" s="126" t="e">
        <f t="shared" ca="1" si="6"/>
        <v>#VALUE!</v>
      </c>
      <c r="AD32" s="126" t="e">
        <f t="shared" ca="1" si="6"/>
        <v>#VALUE!</v>
      </c>
      <c r="AE32" s="126" t="e">
        <f t="shared" ca="1" si="6"/>
        <v>#VALUE!</v>
      </c>
      <c r="AF32" s="126" t="e">
        <f t="shared" ca="1" si="6"/>
        <v>#VALUE!</v>
      </c>
      <c r="AG32" s="126" t="e">
        <f t="shared" ca="1" si="6"/>
        <v>#VALUE!</v>
      </c>
      <c r="AH32" s="126" t="e">
        <f t="shared" ca="1" si="6"/>
        <v>#VALUE!</v>
      </c>
      <c r="AI32" s="126" t="e">
        <f t="shared" ca="1" si="6"/>
        <v>#VALUE!</v>
      </c>
      <c r="AJ32" s="126" t="e">
        <f t="shared" ca="1" si="6"/>
        <v>#VALUE!</v>
      </c>
      <c r="AK32" s="126" t="e">
        <f t="shared" ca="1" si="6"/>
        <v>#VALUE!</v>
      </c>
      <c r="AL32" s="126" t="e">
        <f t="shared" ca="1" si="6"/>
        <v>#VALUE!</v>
      </c>
      <c r="AM32" s="126" t="e">
        <f t="shared" ca="1" si="6"/>
        <v>#VALUE!</v>
      </c>
      <c r="AN32" s="126" t="e">
        <f t="shared" ca="1" si="6"/>
        <v>#VALUE!</v>
      </c>
      <c r="AO32" s="126" t="e">
        <f t="shared" ca="1" si="6"/>
        <v>#VALUE!</v>
      </c>
      <c r="AP32" s="126" t="e">
        <f t="shared" ca="1" si="6"/>
        <v>#VALUE!</v>
      </c>
      <c r="AQ32" s="126" t="e">
        <f t="shared" ca="1" si="6"/>
        <v>#VALUE!</v>
      </c>
      <c r="AR32" s="126" t="e">
        <f t="shared" ca="1" si="6"/>
        <v>#VALUE!</v>
      </c>
      <c r="AS32" s="126" t="e">
        <f t="shared" ca="1" si="6"/>
        <v>#VALUE!</v>
      </c>
      <c r="AT32" s="126" t="e">
        <f t="shared" ca="1" si="6"/>
        <v>#VALUE!</v>
      </c>
      <c r="AU32" s="126" t="e">
        <f t="shared" ca="1" si="6"/>
        <v>#VALUE!</v>
      </c>
    </row>
    <row r="33" spans="2:47" x14ac:dyDescent="0.25">
      <c r="B33" t="s">
        <v>495</v>
      </c>
      <c r="C33" s="126" t="e">
        <f t="shared" ca="1" si="3"/>
        <v>#VALUE!</v>
      </c>
      <c r="D33" s="126" t="e">
        <f t="shared" ca="1" si="3"/>
        <v>#VALUE!</v>
      </c>
      <c r="E33" s="126" t="e">
        <f t="shared" ca="1" si="3"/>
        <v>#VALUE!</v>
      </c>
      <c r="F33" s="126" t="e">
        <f t="shared" ca="1" si="3"/>
        <v>#VALUE!</v>
      </c>
      <c r="G33" s="126" t="e">
        <f t="shared" ca="1" si="3"/>
        <v>#VALUE!</v>
      </c>
      <c r="H33" s="126" t="e">
        <f t="shared" ca="1" si="3"/>
        <v>#VALUE!</v>
      </c>
      <c r="I33" s="126" t="e">
        <f t="shared" ca="1" si="3"/>
        <v>#VALUE!</v>
      </c>
      <c r="J33" s="126" t="e">
        <f t="shared" ca="1" si="3"/>
        <v>#VALUE!</v>
      </c>
      <c r="K33" s="126" t="e">
        <f t="shared" ca="1" si="3"/>
        <v>#VALUE!</v>
      </c>
      <c r="L33" s="126" t="e">
        <f t="shared" ca="1" si="5"/>
        <v>#VALUE!</v>
      </c>
      <c r="M33" s="126" t="e">
        <f t="shared" ca="1" si="6"/>
        <v>#VALUE!</v>
      </c>
      <c r="N33" s="126" t="e">
        <f t="shared" ca="1" si="6"/>
        <v>#VALUE!</v>
      </c>
      <c r="O33" s="126" t="e">
        <f t="shared" ca="1" si="6"/>
        <v>#VALUE!</v>
      </c>
      <c r="P33" s="126" t="e">
        <f t="shared" ca="1" si="6"/>
        <v>#VALUE!</v>
      </c>
      <c r="Q33" s="126" t="e">
        <f t="shared" ca="1" si="6"/>
        <v>#VALUE!</v>
      </c>
      <c r="R33" s="126" t="e">
        <f t="shared" ca="1" si="6"/>
        <v>#VALUE!</v>
      </c>
      <c r="S33" s="126" t="e">
        <f t="shared" ca="1" si="6"/>
        <v>#VALUE!</v>
      </c>
      <c r="T33" s="126" t="e">
        <f t="shared" ca="1" si="6"/>
        <v>#VALUE!</v>
      </c>
      <c r="U33" s="126" t="e">
        <f t="shared" ca="1" si="6"/>
        <v>#VALUE!</v>
      </c>
      <c r="V33" s="126" t="e">
        <f t="shared" ca="1" si="6"/>
        <v>#VALUE!</v>
      </c>
      <c r="W33" s="126" t="e">
        <f t="shared" ca="1" si="6"/>
        <v>#VALUE!</v>
      </c>
      <c r="X33" s="126" t="e">
        <f t="shared" ca="1" si="6"/>
        <v>#VALUE!</v>
      </c>
      <c r="Y33" s="126" t="e">
        <f t="shared" ca="1" si="6"/>
        <v>#VALUE!</v>
      </c>
      <c r="Z33" s="126" t="e">
        <f t="shared" ca="1" si="6"/>
        <v>#VALUE!</v>
      </c>
      <c r="AA33" s="126" t="e">
        <f t="shared" ca="1" si="6"/>
        <v>#VALUE!</v>
      </c>
      <c r="AB33" s="126" t="e">
        <f t="shared" ca="1" si="6"/>
        <v>#VALUE!</v>
      </c>
      <c r="AC33" s="126" t="e">
        <f t="shared" ca="1" si="6"/>
        <v>#VALUE!</v>
      </c>
      <c r="AD33" s="126" t="e">
        <f t="shared" ca="1" si="6"/>
        <v>#VALUE!</v>
      </c>
      <c r="AE33" s="126" t="e">
        <f t="shared" ca="1" si="6"/>
        <v>#VALUE!</v>
      </c>
      <c r="AF33" s="126" t="e">
        <f t="shared" ca="1" si="6"/>
        <v>#VALUE!</v>
      </c>
      <c r="AG33" s="126" t="e">
        <f t="shared" ca="1" si="6"/>
        <v>#VALUE!</v>
      </c>
      <c r="AH33" s="126" t="e">
        <f t="shared" ca="1" si="6"/>
        <v>#VALUE!</v>
      </c>
      <c r="AI33" s="126" t="e">
        <f t="shared" ca="1" si="6"/>
        <v>#VALUE!</v>
      </c>
      <c r="AJ33" s="126" t="e">
        <f t="shared" ca="1" si="6"/>
        <v>#VALUE!</v>
      </c>
      <c r="AK33" s="126" t="e">
        <f t="shared" ca="1" si="6"/>
        <v>#VALUE!</v>
      </c>
      <c r="AL33" s="126" t="e">
        <f t="shared" ca="1" si="6"/>
        <v>#VALUE!</v>
      </c>
      <c r="AM33" s="126" t="e">
        <f t="shared" ca="1" si="6"/>
        <v>#VALUE!</v>
      </c>
      <c r="AN33" s="126" t="e">
        <f t="shared" ca="1" si="6"/>
        <v>#VALUE!</v>
      </c>
      <c r="AO33" s="126" t="e">
        <f t="shared" ca="1" si="6"/>
        <v>#VALUE!</v>
      </c>
      <c r="AP33" s="126" t="e">
        <f t="shared" ca="1" si="6"/>
        <v>#VALUE!</v>
      </c>
      <c r="AQ33" s="126" t="e">
        <f t="shared" ca="1" si="6"/>
        <v>#VALUE!</v>
      </c>
      <c r="AR33" s="126" t="e">
        <f t="shared" ca="1" si="6"/>
        <v>#VALUE!</v>
      </c>
      <c r="AS33" s="126" t="e">
        <f t="shared" ca="1" si="6"/>
        <v>#VALUE!</v>
      </c>
      <c r="AT33" s="126" t="e">
        <f t="shared" ca="1" si="6"/>
        <v>#VALUE!</v>
      </c>
      <c r="AU33" s="126" t="e">
        <f t="shared" ca="1" si="6"/>
        <v>#VALUE!</v>
      </c>
    </row>
    <row r="34" spans="2:47" x14ac:dyDescent="0.25">
      <c r="B34" t="s">
        <v>496</v>
      </c>
      <c r="C34" s="126" t="e">
        <f t="shared" ca="1" si="3"/>
        <v>#VALUE!</v>
      </c>
      <c r="D34" s="126" t="e">
        <f t="shared" ca="1" si="3"/>
        <v>#VALUE!</v>
      </c>
      <c r="E34" s="126" t="e">
        <f t="shared" ca="1" si="3"/>
        <v>#VALUE!</v>
      </c>
      <c r="F34" s="126" t="e">
        <f t="shared" ca="1" si="3"/>
        <v>#VALUE!</v>
      </c>
      <c r="G34" s="126" t="e">
        <f t="shared" ca="1" si="3"/>
        <v>#VALUE!</v>
      </c>
      <c r="H34" s="126" t="e">
        <f t="shared" ca="1" si="3"/>
        <v>#VALUE!</v>
      </c>
      <c r="I34" s="126" t="e">
        <f t="shared" ca="1" si="3"/>
        <v>#VALUE!</v>
      </c>
      <c r="J34" s="126" t="e">
        <f t="shared" ca="1" si="3"/>
        <v>#VALUE!</v>
      </c>
      <c r="K34" s="126" t="e">
        <f t="shared" ca="1" si="3"/>
        <v>#VALUE!</v>
      </c>
      <c r="L34" s="126" t="e">
        <f t="shared" ca="1" si="5"/>
        <v>#VALUE!</v>
      </c>
      <c r="M34" s="126" t="e">
        <f t="shared" ca="1" si="6"/>
        <v>#VALUE!</v>
      </c>
      <c r="N34" s="126" t="e">
        <f t="shared" ca="1" si="6"/>
        <v>#VALUE!</v>
      </c>
      <c r="O34" s="126" t="e">
        <f t="shared" ca="1" si="6"/>
        <v>#VALUE!</v>
      </c>
      <c r="P34" s="126" t="e">
        <f t="shared" ca="1" si="6"/>
        <v>#VALUE!</v>
      </c>
      <c r="Q34" s="126" t="e">
        <f t="shared" ca="1" si="6"/>
        <v>#VALUE!</v>
      </c>
      <c r="R34" s="126" t="e">
        <f t="shared" ca="1" si="6"/>
        <v>#VALUE!</v>
      </c>
      <c r="S34" s="126" t="e">
        <f t="shared" ca="1" si="6"/>
        <v>#VALUE!</v>
      </c>
      <c r="T34" s="126" t="e">
        <f t="shared" ca="1" si="6"/>
        <v>#VALUE!</v>
      </c>
      <c r="U34" s="126" t="e">
        <f t="shared" ca="1" si="6"/>
        <v>#VALUE!</v>
      </c>
      <c r="V34" s="126" t="e">
        <f t="shared" ca="1" si="6"/>
        <v>#VALUE!</v>
      </c>
      <c r="W34" s="126" t="e">
        <f t="shared" ca="1" si="6"/>
        <v>#VALUE!</v>
      </c>
      <c r="X34" s="126" t="e">
        <f t="shared" ca="1" si="6"/>
        <v>#VALUE!</v>
      </c>
      <c r="Y34" s="126" t="e">
        <f t="shared" ca="1" si="6"/>
        <v>#VALUE!</v>
      </c>
      <c r="Z34" s="126" t="e">
        <f t="shared" ca="1" si="6"/>
        <v>#VALUE!</v>
      </c>
      <c r="AA34" s="126" t="e">
        <f t="shared" ca="1" si="6"/>
        <v>#VALUE!</v>
      </c>
      <c r="AB34" s="126" t="e">
        <f t="shared" ca="1" si="6"/>
        <v>#VALUE!</v>
      </c>
      <c r="AC34" s="126" t="e">
        <f t="shared" ca="1" si="6"/>
        <v>#VALUE!</v>
      </c>
      <c r="AD34" s="126" t="e">
        <f t="shared" ca="1" si="6"/>
        <v>#VALUE!</v>
      </c>
      <c r="AE34" s="126" t="e">
        <f t="shared" ca="1" si="6"/>
        <v>#VALUE!</v>
      </c>
      <c r="AF34" s="126" t="e">
        <f t="shared" ca="1" si="6"/>
        <v>#VALUE!</v>
      </c>
      <c r="AG34" s="126" t="e">
        <f t="shared" ca="1" si="6"/>
        <v>#VALUE!</v>
      </c>
      <c r="AH34" s="126" t="e">
        <f t="shared" ca="1" si="6"/>
        <v>#VALUE!</v>
      </c>
      <c r="AI34" s="126" t="e">
        <f t="shared" ca="1" si="6"/>
        <v>#VALUE!</v>
      </c>
      <c r="AJ34" s="126" t="e">
        <f t="shared" ca="1" si="6"/>
        <v>#VALUE!</v>
      </c>
      <c r="AK34" s="126" t="e">
        <f t="shared" ca="1" si="6"/>
        <v>#VALUE!</v>
      </c>
      <c r="AL34" s="126" t="e">
        <f t="shared" ca="1" si="6"/>
        <v>#VALUE!</v>
      </c>
      <c r="AM34" s="126" t="e">
        <f t="shared" ca="1" si="6"/>
        <v>#VALUE!</v>
      </c>
      <c r="AN34" s="126" t="e">
        <f t="shared" ca="1" si="6"/>
        <v>#VALUE!</v>
      </c>
      <c r="AO34" s="126" t="e">
        <f t="shared" ca="1" si="6"/>
        <v>#VALUE!</v>
      </c>
      <c r="AP34" s="126" t="e">
        <f t="shared" ca="1" si="6"/>
        <v>#VALUE!</v>
      </c>
      <c r="AQ34" s="126" t="e">
        <f t="shared" ca="1" si="6"/>
        <v>#VALUE!</v>
      </c>
      <c r="AR34" s="126" t="e">
        <f t="shared" ca="1" si="6"/>
        <v>#VALUE!</v>
      </c>
      <c r="AS34" s="126" t="e">
        <f t="shared" ca="1" si="6"/>
        <v>#VALUE!</v>
      </c>
      <c r="AT34" s="126" t="e">
        <f t="shared" ca="1" si="6"/>
        <v>#VALUE!</v>
      </c>
      <c r="AU34" s="126" t="e">
        <f t="shared" ca="1" si="6"/>
        <v>#VALUE!</v>
      </c>
    </row>
    <row r="35" spans="2:47" x14ac:dyDescent="0.25">
      <c r="B35" t="s">
        <v>497</v>
      </c>
      <c r="C35" s="126" t="e">
        <f t="shared" ca="1" si="3"/>
        <v>#VALUE!</v>
      </c>
      <c r="D35" s="126" t="e">
        <f t="shared" ca="1" si="3"/>
        <v>#VALUE!</v>
      </c>
      <c r="E35" s="126" t="e">
        <f t="shared" ca="1" si="3"/>
        <v>#VALUE!</v>
      </c>
      <c r="F35" s="126" t="e">
        <f t="shared" ca="1" si="3"/>
        <v>#VALUE!</v>
      </c>
      <c r="G35" s="126" t="e">
        <f t="shared" ca="1" si="3"/>
        <v>#VALUE!</v>
      </c>
      <c r="H35" s="126" t="e">
        <f t="shared" ca="1" si="3"/>
        <v>#VALUE!</v>
      </c>
      <c r="I35" s="126" t="e">
        <f t="shared" ca="1" si="3"/>
        <v>#VALUE!</v>
      </c>
      <c r="J35" s="126" t="e">
        <f t="shared" ca="1" si="3"/>
        <v>#VALUE!</v>
      </c>
      <c r="K35" s="126" t="e">
        <f t="shared" ca="1" si="3"/>
        <v>#VALUE!</v>
      </c>
      <c r="L35" s="126" t="e">
        <f t="shared" ca="1" si="5"/>
        <v>#VALUE!</v>
      </c>
      <c r="M35" s="126" t="e">
        <f t="shared" ref="M35:AU42" ca="1" si="7">Output("SCEN_ADEMEhaut",$B35,M$1)</f>
        <v>#VALUE!</v>
      </c>
      <c r="N35" s="126" t="e">
        <f t="shared" ca="1" si="7"/>
        <v>#VALUE!</v>
      </c>
      <c r="O35" s="126" t="e">
        <f t="shared" ca="1" si="7"/>
        <v>#VALUE!</v>
      </c>
      <c r="P35" s="126" t="e">
        <f t="shared" ca="1" si="7"/>
        <v>#VALUE!</v>
      </c>
      <c r="Q35" s="126" t="e">
        <f t="shared" ca="1" si="7"/>
        <v>#VALUE!</v>
      </c>
      <c r="R35" s="126" t="e">
        <f t="shared" ca="1" si="7"/>
        <v>#VALUE!</v>
      </c>
      <c r="S35" s="126" t="e">
        <f t="shared" ca="1" si="7"/>
        <v>#VALUE!</v>
      </c>
      <c r="T35" s="126" t="e">
        <f t="shared" ca="1" si="7"/>
        <v>#VALUE!</v>
      </c>
      <c r="U35" s="126" t="e">
        <f t="shared" ca="1" si="7"/>
        <v>#VALUE!</v>
      </c>
      <c r="V35" s="126" t="e">
        <f t="shared" ca="1" si="7"/>
        <v>#VALUE!</v>
      </c>
      <c r="W35" s="126" t="e">
        <f t="shared" ca="1" si="7"/>
        <v>#VALUE!</v>
      </c>
      <c r="X35" s="126" t="e">
        <f t="shared" ca="1" si="7"/>
        <v>#VALUE!</v>
      </c>
      <c r="Y35" s="126" t="e">
        <f t="shared" ca="1" si="7"/>
        <v>#VALUE!</v>
      </c>
      <c r="Z35" s="126" t="e">
        <f t="shared" ca="1" si="7"/>
        <v>#VALUE!</v>
      </c>
      <c r="AA35" s="126" t="e">
        <f t="shared" ca="1" si="7"/>
        <v>#VALUE!</v>
      </c>
      <c r="AB35" s="126" t="e">
        <f t="shared" ca="1" si="7"/>
        <v>#VALUE!</v>
      </c>
      <c r="AC35" s="126" t="e">
        <f t="shared" ca="1" si="7"/>
        <v>#VALUE!</v>
      </c>
      <c r="AD35" s="126" t="e">
        <f t="shared" ca="1" si="7"/>
        <v>#VALUE!</v>
      </c>
      <c r="AE35" s="126" t="e">
        <f t="shared" ca="1" si="7"/>
        <v>#VALUE!</v>
      </c>
      <c r="AF35" s="126" t="e">
        <f t="shared" ca="1" si="7"/>
        <v>#VALUE!</v>
      </c>
      <c r="AG35" s="126" t="e">
        <f t="shared" ca="1" si="7"/>
        <v>#VALUE!</v>
      </c>
      <c r="AH35" s="126" t="e">
        <f t="shared" ca="1" si="7"/>
        <v>#VALUE!</v>
      </c>
      <c r="AI35" s="126" t="e">
        <f t="shared" ca="1" si="7"/>
        <v>#VALUE!</v>
      </c>
      <c r="AJ35" s="126" t="e">
        <f t="shared" ca="1" si="7"/>
        <v>#VALUE!</v>
      </c>
      <c r="AK35" s="126" t="e">
        <f t="shared" ca="1" si="7"/>
        <v>#VALUE!</v>
      </c>
      <c r="AL35" s="126" t="e">
        <f t="shared" ca="1" si="7"/>
        <v>#VALUE!</v>
      </c>
      <c r="AM35" s="126" t="e">
        <f t="shared" ca="1" si="7"/>
        <v>#VALUE!</v>
      </c>
      <c r="AN35" s="126" t="e">
        <f t="shared" ca="1" si="7"/>
        <v>#VALUE!</v>
      </c>
      <c r="AO35" s="126" t="e">
        <f t="shared" ca="1" si="7"/>
        <v>#VALUE!</v>
      </c>
      <c r="AP35" s="126" t="e">
        <f t="shared" ca="1" si="7"/>
        <v>#VALUE!</v>
      </c>
      <c r="AQ35" s="126" t="e">
        <f t="shared" ca="1" si="7"/>
        <v>#VALUE!</v>
      </c>
      <c r="AR35" s="126" t="e">
        <f t="shared" ca="1" si="7"/>
        <v>#VALUE!</v>
      </c>
      <c r="AS35" s="126" t="e">
        <f t="shared" ca="1" si="7"/>
        <v>#VALUE!</v>
      </c>
      <c r="AT35" s="126" t="e">
        <f t="shared" ca="1" si="7"/>
        <v>#VALUE!</v>
      </c>
      <c r="AU35" s="126" t="e">
        <f t="shared" ca="1" si="7"/>
        <v>#VALUE!</v>
      </c>
    </row>
    <row r="36" spans="2:47" x14ac:dyDescent="0.25">
      <c r="B36" t="s">
        <v>498</v>
      </c>
      <c r="C36" s="126" t="e">
        <f t="shared" ref="C36:K51" ca="1" si="8">Output("SCEN_ADEMEhaut",$B36,C$1)</f>
        <v>#VALUE!</v>
      </c>
      <c r="D36" s="126" t="e">
        <f t="shared" ca="1" si="8"/>
        <v>#VALUE!</v>
      </c>
      <c r="E36" s="126" t="e">
        <f t="shared" ca="1" si="8"/>
        <v>#VALUE!</v>
      </c>
      <c r="F36" s="126" t="e">
        <f t="shared" ca="1" si="8"/>
        <v>#VALUE!</v>
      </c>
      <c r="G36" s="126" t="e">
        <f t="shared" ca="1" si="8"/>
        <v>#VALUE!</v>
      </c>
      <c r="H36" s="126" t="e">
        <f t="shared" ca="1" si="8"/>
        <v>#VALUE!</v>
      </c>
      <c r="I36" s="126" t="e">
        <f t="shared" ca="1" si="8"/>
        <v>#VALUE!</v>
      </c>
      <c r="J36" s="126" t="e">
        <f t="shared" ca="1" si="8"/>
        <v>#VALUE!</v>
      </c>
      <c r="K36" s="126" t="e">
        <f t="shared" ca="1" si="8"/>
        <v>#VALUE!</v>
      </c>
      <c r="L36" s="126" t="e">
        <f t="shared" ca="1" si="5"/>
        <v>#VALUE!</v>
      </c>
      <c r="M36" s="126" t="e">
        <f t="shared" ca="1" si="7"/>
        <v>#VALUE!</v>
      </c>
      <c r="N36" s="126" t="e">
        <f t="shared" ca="1" si="7"/>
        <v>#VALUE!</v>
      </c>
      <c r="O36" s="126" t="e">
        <f t="shared" ca="1" si="7"/>
        <v>#VALUE!</v>
      </c>
      <c r="P36" s="126" t="e">
        <f t="shared" ca="1" si="7"/>
        <v>#VALUE!</v>
      </c>
      <c r="Q36" s="126" t="e">
        <f t="shared" ca="1" si="7"/>
        <v>#VALUE!</v>
      </c>
      <c r="R36" s="126" t="e">
        <f t="shared" ca="1" si="7"/>
        <v>#VALUE!</v>
      </c>
      <c r="S36" s="126" t="e">
        <f t="shared" ca="1" si="7"/>
        <v>#VALUE!</v>
      </c>
      <c r="T36" s="126" t="e">
        <f t="shared" ca="1" si="7"/>
        <v>#VALUE!</v>
      </c>
      <c r="U36" s="126" t="e">
        <f t="shared" ca="1" si="7"/>
        <v>#VALUE!</v>
      </c>
      <c r="V36" s="126" t="e">
        <f t="shared" ca="1" si="7"/>
        <v>#VALUE!</v>
      </c>
      <c r="W36" s="126" t="e">
        <f t="shared" ca="1" si="7"/>
        <v>#VALUE!</v>
      </c>
      <c r="X36" s="126" t="e">
        <f t="shared" ca="1" si="7"/>
        <v>#VALUE!</v>
      </c>
      <c r="Y36" s="126" t="e">
        <f t="shared" ca="1" si="7"/>
        <v>#VALUE!</v>
      </c>
      <c r="Z36" s="126" t="e">
        <f t="shared" ca="1" si="7"/>
        <v>#VALUE!</v>
      </c>
      <c r="AA36" s="126" t="e">
        <f t="shared" ca="1" si="7"/>
        <v>#VALUE!</v>
      </c>
      <c r="AB36" s="126" t="e">
        <f t="shared" ca="1" si="7"/>
        <v>#VALUE!</v>
      </c>
      <c r="AC36" s="126" t="e">
        <f t="shared" ca="1" si="7"/>
        <v>#VALUE!</v>
      </c>
      <c r="AD36" s="126" t="e">
        <f t="shared" ca="1" si="7"/>
        <v>#VALUE!</v>
      </c>
      <c r="AE36" s="126" t="e">
        <f t="shared" ca="1" si="7"/>
        <v>#VALUE!</v>
      </c>
      <c r="AF36" s="126" t="e">
        <f t="shared" ca="1" si="7"/>
        <v>#VALUE!</v>
      </c>
      <c r="AG36" s="126" t="e">
        <f t="shared" ca="1" si="7"/>
        <v>#VALUE!</v>
      </c>
      <c r="AH36" s="126" t="e">
        <f t="shared" ca="1" si="7"/>
        <v>#VALUE!</v>
      </c>
      <c r="AI36" s="126" t="e">
        <f t="shared" ca="1" si="7"/>
        <v>#VALUE!</v>
      </c>
      <c r="AJ36" s="126" t="e">
        <f t="shared" ca="1" si="7"/>
        <v>#VALUE!</v>
      </c>
      <c r="AK36" s="126" t="e">
        <f t="shared" ca="1" si="7"/>
        <v>#VALUE!</v>
      </c>
      <c r="AL36" s="126" t="e">
        <f t="shared" ca="1" si="7"/>
        <v>#VALUE!</v>
      </c>
      <c r="AM36" s="126" t="e">
        <f t="shared" ca="1" si="7"/>
        <v>#VALUE!</v>
      </c>
      <c r="AN36" s="126" t="e">
        <f t="shared" ca="1" si="7"/>
        <v>#VALUE!</v>
      </c>
      <c r="AO36" s="126" t="e">
        <f t="shared" ca="1" si="7"/>
        <v>#VALUE!</v>
      </c>
      <c r="AP36" s="126" t="e">
        <f t="shared" ca="1" si="7"/>
        <v>#VALUE!</v>
      </c>
      <c r="AQ36" s="126" t="e">
        <f t="shared" ca="1" si="7"/>
        <v>#VALUE!</v>
      </c>
      <c r="AR36" s="126" t="e">
        <f t="shared" ca="1" si="7"/>
        <v>#VALUE!</v>
      </c>
      <c r="AS36" s="126" t="e">
        <f t="shared" ca="1" si="7"/>
        <v>#VALUE!</v>
      </c>
      <c r="AT36" s="126" t="e">
        <f t="shared" ca="1" si="7"/>
        <v>#VALUE!</v>
      </c>
      <c r="AU36" s="126" t="e">
        <f t="shared" ca="1" si="7"/>
        <v>#VALUE!</v>
      </c>
    </row>
    <row r="37" spans="2:47" x14ac:dyDescent="0.25">
      <c r="B37" t="s">
        <v>499</v>
      </c>
      <c r="C37" s="126" t="e">
        <f t="shared" ca="1" si="8"/>
        <v>#VALUE!</v>
      </c>
      <c r="D37" s="126" t="e">
        <f t="shared" ca="1" si="8"/>
        <v>#VALUE!</v>
      </c>
      <c r="E37" s="126" t="e">
        <f t="shared" ca="1" si="8"/>
        <v>#VALUE!</v>
      </c>
      <c r="F37" s="126" t="e">
        <f t="shared" ca="1" si="8"/>
        <v>#VALUE!</v>
      </c>
      <c r="G37" s="126" t="e">
        <f t="shared" ca="1" si="8"/>
        <v>#VALUE!</v>
      </c>
      <c r="H37" s="126" t="e">
        <f t="shared" ca="1" si="8"/>
        <v>#VALUE!</v>
      </c>
      <c r="I37" s="126" t="e">
        <f t="shared" ca="1" si="8"/>
        <v>#VALUE!</v>
      </c>
      <c r="J37" s="126" t="e">
        <f t="shared" ca="1" si="8"/>
        <v>#VALUE!</v>
      </c>
      <c r="K37" s="126" t="e">
        <f t="shared" ca="1" si="8"/>
        <v>#VALUE!</v>
      </c>
      <c r="L37" s="126" t="e">
        <f t="shared" ca="1" si="5"/>
        <v>#VALUE!</v>
      </c>
      <c r="M37" s="126" t="e">
        <f t="shared" ca="1" si="7"/>
        <v>#VALUE!</v>
      </c>
      <c r="N37" s="126" t="e">
        <f t="shared" ca="1" si="7"/>
        <v>#VALUE!</v>
      </c>
      <c r="O37" s="126" t="e">
        <f t="shared" ca="1" si="7"/>
        <v>#VALUE!</v>
      </c>
      <c r="P37" s="126" t="e">
        <f t="shared" ca="1" si="7"/>
        <v>#VALUE!</v>
      </c>
      <c r="Q37" s="126" t="e">
        <f t="shared" ca="1" si="7"/>
        <v>#VALUE!</v>
      </c>
      <c r="R37" s="126" t="e">
        <f t="shared" ca="1" si="7"/>
        <v>#VALUE!</v>
      </c>
      <c r="S37" s="126" t="e">
        <f t="shared" ca="1" si="7"/>
        <v>#VALUE!</v>
      </c>
      <c r="T37" s="126" t="e">
        <f t="shared" ca="1" si="7"/>
        <v>#VALUE!</v>
      </c>
      <c r="U37" s="126" t="e">
        <f t="shared" ca="1" si="7"/>
        <v>#VALUE!</v>
      </c>
      <c r="V37" s="126" t="e">
        <f t="shared" ca="1" si="7"/>
        <v>#VALUE!</v>
      </c>
      <c r="W37" s="126" t="e">
        <f t="shared" ca="1" si="7"/>
        <v>#VALUE!</v>
      </c>
      <c r="X37" s="126" t="e">
        <f t="shared" ca="1" si="7"/>
        <v>#VALUE!</v>
      </c>
      <c r="Y37" s="126" t="e">
        <f t="shared" ca="1" si="7"/>
        <v>#VALUE!</v>
      </c>
      <c r="Z37" s="126" t="e">
        <f t="shared" ca="1" si="7"/>
        <v>#VALUE!</v>
      </c>
      <c r="AA37" s="126" t="e">
        <f t="shared" ca="1" si="7"/>
        <v>#VALUE!</v>
      </c>
      <c r="AB37" s="126" t="e">
        <f t="shared" ca="1" si="7"/>
        <v>#VALUE!</v>
      </c>
      <c r="AC37" s="126" t="e">
        <f t="shared" ca="1" si="7"/>
        <v>#VALUE!</v>
      </c>
      <c r="AD37" s="126" t="e">
        <f t="shared" ca="1" si="7"/>
        <v>#VALUE!</v>
      </c>
      <c r="AE37" s="126" t="e">
        <f t="shared" ca="1" si="7"/>
        <v>#VALUE!</v>
      </c>
      <c r="AF37" s="126" t="e">
        <f t="shared" ca="1" si="7"/>
        <v>#VALUE!</v>
      </c>
      <c r="AG37" s="126" t="e">
        <f t="shared" ca="1" si="7"/>
        <v>#VALUE!</v>
      </c>
      <c r="AH37" s="126" t="e">
        <f t="shared" ca="1" si="7"/>
        <v>#VALUE!</v>
      </c>
      <c r="AI37" s="126" t="e">
        <f t="shared" ca="1" si="7"/>
        <v>#VALUE!</v>
      </c>
      <c r="AJ37" s="126" t="e">
        <f t="shared" ca="1" si="7"/>
        <v>#VALUE!</v>
      </c>
      <c r="AK37" s="126" t="e">
        <f t="shared" ca="1" si="7"/>
        <v>#VALUE!</v>
      </c>
      <c r="AL37" s="126" t="e">
        <f t="shared" ca="1" si="7"/>
        <v>#VALUE!</v>
      </c>
      <c r="AM37" s="126" t="e">
        <f t="shared" ca="1" si="7"/>
        <v>#VALUE!</v>
      </c>
      <c r="AN37" s="126" t="e">
        <f t="shared" ca="1" si="7"/>
        <v>#VALUE!</v>
      </c>
      <c r="AO37" s="126" t="e">
        <f t="shared" ca="1" si="7"/>
        <v>#VALUE!</v>
      </c>
      <c r="AP37" s="126" t="e">
        <f t="shared" ca="1" si="7"/>
        <v>#VALUE!</v>
      </c>
      <c r="AQ37" s="126" t="e">
        <f t="shared" ca="1" si="7"/>
        <v>#VALUE!</v>
      </c>
      <c r="AR37" s="126" t="e">
        <f t="shared" ca="1" si="7"/>
        <v>#VALUE!</v>
      </c>
      <c r="AS37" s="126" t="e">
        <f t="shared" ca="1" si="7"/>
        <v>#VALUE!</v>
      </c>
      <c r="AT37" s="126" t="e">
        <f t="shared" ca="1" si="7"/>
        <v>#VALUE!</v>
      </c>
      <c r="AU37" s="126" t="e">
        <f t="shared" ca="1" si="7"/>
        <v>#VALUE!</v>
      </c>
    </row>
    <row r="38" spans="2:47" x14ac:dyDescent="0.25">
      <c r="B38" t="s">
        <v>500</v>
      </c>
      <c r="C38" s="126" t="e">
        <f t="shared" ca="1" si="8"/>
        <v>#VALUE!</v>
      </c>
      <c r="D38" s="126" t="e">
        <f t="shared" ca="1" si="8"/>
        <v>#VALUE!</v>
      </c>
      <c r="E38" s="126" t="e">
        <f t="shared" ca="1" si="8"/>
        <v>#VALUE!</v>
      </c>
      <c r="F38" s="126" t="e">
        <f t="shared" ca="1" si="8"/>
        <v>#VALUE!</v>
      </c>
      <c r="G38" s="126" t="e">
        <f t="shared" ca="1" si="8"/>
        <v>#VALUE!</v>
      </c>
      <c r="H38" s="126" t="e">
        <f t="shared" ca="1" si="8"/>
        <v>#VALUE!</v>
      </c>
      <c r="I38" s="126" t="e">
        <f t="shared" ca="1" si="8"/>
        <v>#VALUE!</v>
      </c>
      <c r="J38" s="126" t="e">
        <f t="shared" ca="1" si="8"/>
        <v>#VALUE!</v>
      </c>
      <c r="K38" s="126" t="e">
        <f t="shared" ca="1" si="8"/>
        <v>#VALUE!</v>
      </c>
      <c r="L38" s="126" t="e">
        <f t="shared" ca="1" si="5"/>
        <v>#VALUE!</v>
      </c>
      <c r="M38" s="126" t="e">
        <f t="shared" ca="1" si="7"/>
        <v>#VALUE!</v>
      </c>
      <c r="N38" s="126" t="e">
        <f t="shared" ca="1" si="7"/>
        <v>#VALUE!</v>
      </c>
      <c r="O38" s="126" t="e">
        <f t="shared" ca="1" si="7"/>
        <v>#VALUE!</v>
      </c>
      <c r="P38" s="126" t="e">
        <f t="shared" ca="1" si="7"/>
        <v>#VALUE!</v>
      </c>
      <c r="Q38" s="126" t="e">
        <f t="shared" ca="1" si="7"/>
        <v>#VALUE!</v>
      </c>
      <c r="R38" s="126" t="e">
        <f t="shared" ca="1" si="7"/>
        <v>#VALUE!</v>
      </c>
      <c r="S38" s="126" t="e">
        <f t="shared" ca="1" si="7"/>
        <v>#VALUE!</v>
      </c>
      <c r="T38" s="126" t="e">
        <f t="shared" ca="1" si="7"/>
        <v>#VALUE!</v>
      </c>
      <c r="U38" s="126" t="e">
        <f t="shared" ca="1" si="7"/>
        <v>#VALUE!</v>
      </c>
      <c r="V38" s="126" t="e">
        <f t="shared" ca="1" si="7"/>
        <v>#VALUE!</v>
      </c>
      <c r="W38" s="126" t="e">
        <f t="shared" ca="1" si="7"/>
        <v>#VALUE!</v>
      </c>
      <c r="X38" s="126" t="e">
        <f t="shared" ca="1" si="7"/>
        <v>#VALUE!</v>
      </c>
      <c r="Y38" s="126" t="e">
        <f t="shared" ca="1" si="7"/>
        <v>#VALUE!</v>
      </c>
      <c r="Z38" s="126" t="e">
        <f t="shared" ca="1" si="7"/>
        <v>#VALUE!</v>
      </c>
      <c r="AA38" s="126" t="e">
        <f t="shared" ca="1" si="7"/>
        <v>#VALUE!</v>
      </c>
      <c r="AB38" s="126" t="e">
        <f t="shared" ca="1" si="7"/>
        <v>#VALUE!</v>
      </c>
      <c r="AC38" s="126" t="e">
        <f t="shared" ca="1" si="7"/>
        <v>#VALUE!</v>
      </c>
      <c r="AD38" s="126" t="e">
        <f t="shared" ca="1" si="7"/>
        <v>#VALUE!</v>
      </c>
      <c r="AE38" s="126" t="e">
        <f t="shared" ca="1" si="7"/>
        <v>#VALUE!</v>
      </c>
      <c r="AF38" s="126" t="e">
        <f t="shared" ca="1" si="7"/>
        <v>#VALUE!</v>
      </c>
      <c r="AG38" s="126" t="e">
        <f t="shared" ca="1" si="7"/>
        <v>#VALUE!</v>
      </c>
      <c r="AH38" s="126" t="e">
        <f t="shared" ca="1" si="7"/>
        <v>#VALUE!</v>
      </c>
      <c r="AI38" s="126" t="e">
        <f t="shared" ca="1" si="7"/>
        <v>#VALUE!</v>
      </c>
      <c r="AJ38" s="126" t="e">
        <f t="shared" ca="1" si="7"/>
        <v>#VALUE!</v>
      </c>
      <c r="AK38" s="126" t="e">
        <f t="shared" ca="1" si="7"/>
        <v>#VALUE!</v>
      </c>
      <c r="AL38" s="126" t="e">
        <f t="shared" ca="1" si="7"/>
        <v>#VALUE!</v>
      </c>
      <c r="AM38" s="126" t="e">
        <f t="shared" ca="1" si="7"/>
        <v>#VALUE!</v>
      </c>
      <c r="AN38" s="126" t="e">
        <f t="shared" ca="1" si="7"/>
        <v>#VALUE!</v>
      </c>
      <c r="AO38" s="126" t="e">
        <f t="shared" ca="1" si="7"/>
        <v>#VALUE!</v>
      </c>
      <c r="AP38" s="126" t="e">
        <f t="shared" ca="1" si="7"/>
        <v>#VALUE!</v>
      </c>
      <c r="AQ38" s="126" t="e">
        <f t="shared" ca="1" si="7"/>
        <v>#VALUE!</v>
      </c>
      <c r="AR38" s="126" t="e">
        <f t="shared" ca="1" si="7"/>
        <v>#VALUE!</v>
      </c>
      <c r="AS38" s="126" t="e">
        <f t="shared" ca="1" si="7"/>
        <v>#VALUE!</v>
      </c>
      <c r="AT38" s="126" t="e">
        <f t="shared" ca="1" si="7"/>
        <v>#VALUE!</v>
      </c>
      <c r="AU38" s="126" t="e">
        <f t="shared" ca="1" si="7"/>
        <v>#VALUE!</v>
      </c>
    </row>
    <row r="39" spans="2:47" x14ac:dyDescent="0.25">
      <c r="B39" t="s">
        <v>501</v>
      </c>
      <c r="C39" s="126" t="e">
        <f t="shared" ca="1" si="8"/>
        <v>#VALUE!</v>
      </c>
      <c r="D39" s="126" t="e">
        <f t="shared" ca="1" si="8"/>
        <v>#VALUE!</v>
      </c>
      <c r="E39" s="126" t="e">
        <f t="shared" ca="1" si="8"/>
        <v>#VALUE!</v>
      </c>
      <c r="F39" s="126" t="e">
        <f t="shared" ca="1" si="8"/>
        <v>#VALUE!</v>
      </c>
      <c r="G39" s="126" t="e">
        <f t="shared" ca="1" si="8"/>
        <v>#VALUE!</v>
      </c>
      <c r="H39" s="126" t="e">
        <f t="shared" ca="1" si="8"/>
        <v>#VALUE!</v>
      </c>
      <c r="I39" s="126" t="e">
        <f t="shared" ca="1" si="8"/>
        <v>#VALUE!</v>
      </c>
      <c r="J39" s="126" t="e">
        <f t="shared" ca="1" si="8"/>
        <v>#VALUE!</v>
      </c>
      <c r="K39" s="126" t="e">
        <f t="shared" ca="1" si="8"/>
        <v>#VALUE!</v>
      </c>
      <c r="L39" s="126" t="e">
        <f t="shared" ca="1" si="5"/>
        <v>#VALUE!</v>
      </c>
      <c r="M39" s="126" t="e">
        <f t="shared" ca="1" si="7"/>
        <v>#VALUE!</v>
      </c>
      <c r="N39" s="126" t="e">
        <f t="shared" ca="1" si="7"/>
        <v>#VALUE!</v>
      </c>
      <c r="O39" s="126" t="e">
        <f t="shared" ca="1" si="7"/>
        <v>#VALUE!</v>
      </c>
      <c r="P39" s="126" t="e">
        <f t="shared" ca="1" si="7"/>
        <v>#VALUE!</v>
      </c>
      <c r="Q39" s="126" t="e">
        <f t="shared" ca="1" si="7"/>
        <v>#VALUE!</v>
      </c>
      <c r="R39" s="126" t="e">
        <f t="shared" ca="1" si="7"/>
        <v>#VALUE!</v>
      </c>
      <c r="S39" s="126" t="e">
        <f t="shared" ca="1" si="7"/>
        <v>#VALUE!</v>
      </c>
      <c r="T39" s="126" t="e">
        <f t="shared" ca="1" si="7"/>
        <v>#VALUE!</v>
      </c>
      <c r="U39" s="126" t="e">
        <f t="shared" ca="1" si="7"/>
        <v>#VALUE!</v>
      </c>
      <c r="V39" s="126" t="e">
        <f t="shared" ca="1" si="7"/>
        <v>#VALUE!</v>
      </c>
      <c r="W39" s="126" t="e">
        <f t="shared" ca="1" si="7"/>
        <v>#VALUE!</v>
      </c>
      <c r="X39" s="126" t="e">
        <f t="shared" ca="1" si="7"/>
        <v>#VALUE!</v>
      </c>
      <c r="Y39" s="126" t="e">
        <f t="shared" ca="1" si="7"/>
        <v>#VALUE!</v>
      </c>
      <c r="Z39" s="126" t="e">
        <f t="shared" ca="1" si="7"/>
        <v>#VALUE!</v>
      </c>
      <c r="AA39" s="126" t="e">
        <f t="shared" ca="1" si="7"/>
        <v>#VALUE!</v>
      </c>
      <c r="AB39" s="126" t="e">
        <f t="shared" ca="1" si="7"/>
        <v>#VALUE!</v>
      </c>
      <c r="AC39" s="126" t="e">
        <f t="shared" ca="1" si="7"/>
        <v>#VALUE!</v>
      </c>
      <c r="AD39" s="126" t="e">
        <f t="shared" ca="1" si="7"/>
        <v>#VALUE!</v>
      </c>
      <c r="AE39" s="126" t="e">
        <f t="shared" ca="1" si="7"/>
        <v>#VALUE!</v>
      </c>
      <c r="AF39" s="126" t="e">
        <f t="shared" ca="1" si="7"/>
        <v>#VALUE!</v>
      </c>
      <c r="AG39" s="126" t="e">
        <f t="shared" ca="1" si="7"/>
        <v>#VALUE!</v>
      </c>
      <c r="AH39" s="126" t="e">
        <f t="shared" ca="1" si="7"/>
        <v>#VALUE!</v>
      </c>
      <c r="AI39" s="126" t="e">
        <f t="shared" ca="1" si="7"/>
        <v>#VALUE!</v>
      </c>
      <c r="AJ39" s="126" t="e">
        <f t="shared" ca="1" si="7"/>
        <v>#VALUE!</v>
      </c>
      <c r="AK39" s="126" t="e">
        <f t="shared" ca="1" si="7"/>
        <v>#VALUE!</v>
      </c>
      <c r="AL39" s="126" t="e">
        <f t="shared" ca="1" si="7"/>
        <v>#VALUE!</v>
      </c>
      <c r="AM39" s="126" t="e">
        <f t="shared" ca="1" si="7"/>
        <v>#VALUE!</v>
      </c>
      <c r="AN39" s="126" t="e">
        <f t="shared" ca="1" si="7"/>
        <v>#VALUE!</v>
      </c>
      <c r="AO39" s="126" t="e">
        <f t="shared" ca="1" si="7"/>
        <v>#VALUE!</v>
      </c>
      <c r="AP39" s="126" t="e">
        <f t="shared" ca="1" si="7"/>
        <v>#VALUE!</v>
      </c>
      <c r="AQ39" s="126" t="e">
        <f t="shared" ca="1" si="7"/>
        <v>#VALUE!</v>
      </c>
      <c r="AR39" s="126" t="e">
        <f t="shared" ca="1" si="7"/>
        <v>#VALUE!</v>
      </c>
      <c r="AS39" s="126" t="e">
        <f t="shared" ca="1" si="7"/>
        <v>#VALUE!</v>
      </c>
      <c r="AT39" s="126" t="e">
        <f t="shared" ca="1" si="7"/>
        <v>#VALUE!</v>
      </c>
      <c r="AU39" s="126" t="e">
        <f t="shared" ca="1" si="7"/>
        <v>#VALUE!</v>
      </c>
    </row>
    <row r="40" spans="2:47" x14ac:dyDescent="0.25">
      <c r="B40" t="s">
        <v>502</v>
      </c>
      <c r="C40" s="128" t="e">
        <f t="shared" ca="1" si="8"/>
        <v>#VALUE!</v>
      </c>
      <c r="D40" s="126" t="e">
        <f t="shared" ca="1" si="8"/>
        <v>#VALUE!</v>
      </c>
      <c r="E40" s="126" t="e">
        <f t="shared" ca="1" si="8"/>
        <v>#VALUE!</v>
      </c>
      <c r="F40" s="126" t="e">
        <f t="shared" ca="1" si="8"/>
        <v>#VALUE!</v>
      </c>
      <c r="G40" s="126" t="e">
        <f t="shared" ca="1" si="8"/>
        <v>#VALUE!</v>
      </c>
      <c r="H40" s="126" t="e">
        <f t="shared" ca="1" si="8"/>
        <v>#VALUE!</v>
      </c>
      <c r="I40" s="126" t="e">
        <f t="shared" ca="1" si="8"/>
        <v>#VALUE!</v>
      </c>
      <c r="J40" s="126" t="e">
        <f t="shared" ca="1" si="8"/>
        <v>#VALUE!</v>
      </c>
      <c r="K40" s="126" t="e">
        <f t="shared" ca="1" si="8"/>
        <v>#VALUE!</v>
      </c>
      <c r="L40" s="126" t="e">
        <f t="shared" ca="1" si="5"/>
        <v>#VALUE!</v>
      </c>
      <c r="M40" s="126" t="e">
        <f t="shared" ca="1" si="7"/>
        <v>#VALUE!</v>
      </c>
      <c r="N40" s="126" t="e">
        <f t="shared" ca="1" si="7"/>
        <v>#VALUE!</v>
      </c>
      <c r="O40" s="126" t="e">
        <f t="shared" ca="1" si="7"/>
        <v>#VALUE!</v>
      </c>
      <c r="P40" s="126" t="e">
        <f t="shared" ca="1" si="7"/>
        <v>#VALUE!</v>
      </c>
      <c r="Q40" s="126" t="e">
        <f t="shared" ca="1" si="7"/>
        <v>#VALUE!</v>
      </c>
      <c r="R40" s="126" t="e">
        <f t="shared" ca="1" si="7"/>
        <v>#VALUE!</v>
      </c>
      <c r="S40" s="126" t="e">
        <f t="shared" ca="1" si="7"/>
        <v>#VALUE!</v>
      </c>
      <c r="T40" s="126" t="e">
        <f t="shared" ca="1" si="7"/>
        <v>#VALUE!</v>
      </c>
      <c r="U40" s="126" t="e">
        <f t="shared" ca="1" si="7"/>
        <v>#VALUE!</v>
      </c>
      <c r="V40" s="126" t="e">
        <f t="shared" ca="1" si="7"/>
        <v>#VALUE!</v>
      </c>
      <c r="W40" s="126" t="e">
        <f t="shared" ca="1" si="7"/>
        <v>#VALUE!</v>
      </c>
      <c r="X40" s="126" t="e">
        <f t="shared" ca="1" si="7"/>
        <v>#VALUE!</v>
      </c>
      <c r="Y40" s="126" t="e">
        <f t="shared" ca="1" si="7"/>
        <v>#VALUE!</v>
      </c>
      <c r="Z40" s="126" t="e">
        <f t="shared" ca="1" si="7"/>
        <v>#VALUE!</v>
      </c>
      <c r="AA40" s="126" t="e">
        <f t="shared" ca="1" si="7"/>
        <v>#VALUE!</v>
      </c>
      <c r="AB40" s="126" t="e">
        <f t="shared" ca="1" si="7"/>
        <v>#VALUE!</v>
      </c>
      <c r="AC40" s="126" t="e">
        <f t="shared" ca="1" si="7"/>
        <v>#VALUE!</v>
      </c>
      <c r="AD40" s="126" t="e">
        <f t="shared" ca="1" si="7"/>
        <v>#VALUE!</v>
      </c>
      <c r="AE40" s="126" t="e">
        <f t="shared" ca="1" si="7"/>
        <v>#VALUE!</v>
      </c>
      <c r="AF40" s="126" t="e">
        <f t="shared" ca="1" si="7"/>
        <v>#VALUE!</v>
      </c>
      <c r="AG40" s="126" t="e">
        <f t="shared" ca="1" si="7"/>
        <v>#VALUE!</v>
      </c>
      <c r="AH40" s="126" t="e">
        <f t="shared" ca="1" si="7"/>
        <v>#VALUE!</v>
      </c>
      <c r="AI40" s="126" t="e">
        <f t="shared" ca="1" si="7"/>
        <v>#VALUE!</v>
      </c>
      <c r="AJ40" s="126" t="e">
        <f t="shared" ca="1" si="7"/>
        <v>#VALUE!</v>
      </c>
      <c r="AK40" s="126" t="e">
        <f t="shared" ca="1" si="7"/>
        <v>#VALUE!</v>
      </c>
      <c r="AL40" s="126" t="e">
        <f t="shared" ca="1" si="7"/>
        <v>#VALUE!</v>
      </c>
      <c r="AM40" s="126" t="e">
        <f t="shared" ca="1" si="7"/>
        <v>#VALUE!</v>
      </c>
      <c r="AN40" s="126" t="e">
        <f t="shared" ca="1" si="7"/>
        <v>#VALUE!</v>
      </c>
      <c r="AO40" s="126" t="e">
        <f t="shared" ca="1" si="7"/>
        <v>#VALUE!</v>
      </c>
      <c r="AP40" s="126" t="e">
        <f t="shared" ca="1" si="7"/>
        <v>#VALUE!</v>
      </c>
      <c r="AQ40" s="126" t="e">
        <f t="shared" ca="1" si="7"/>
        <v>#VALUE!</v>
      </c>
      <c r="AR40" s="126" t="e">
        <f t="shared" ca="1" si="7"/>
        <v>#VALUE!</v>
      </c>
      <c r="AS40" s="126" t="e">
        <f t="shared" ca="1" si="7"/>
        <v>#VALUE!</v>
      </c>
      <c r="AT40" s="126" t="e">
        <f t="shared" ca="1" si="7"/>
        <v>#VALUE!</v>
      </c>
      <c r="AU40" s="126" t="e">
        <f t="shared" ca="1" si="7"/>
        <v>#VALUE!</v>
      </c>
    </row>
    <row r="41" spans="2:47" x14ac:dyDescent="0.25">
      <c r="B41" t="s">
        <v>503</v>
      </c>
      <c r="C41" s="126" t="e">
        <f t="shared" ca="1" si="8"/>
        <v>#VALUE!</v>
      </c>
      <c r="D41" s="126" t="e">
        <f t="shared" ca="1" si="8"/>
        <v>#VALUE!</v>
      </c>
      <c r="E41" s="126" t="e">
        <f t="shared" ca="1" si="8"/>
        <v>#VALUE!</v>
      </c>
      <c r="F41" s="126" t="e">
        <f t="shared" ca="1" si="8"/>
        <v>#VALUE!</v>
      </c>
      <c r="G41" s="126" t="e">
        <f t="shared" ca="1" si="8"/>
        <v>#VALUE!</v>
      </c>
      <c r="H41" s="126" t="e">
        <f t="shared" ca="1" si="8"/>
        <v>#VALUE!</v>
      </c>
      <c r="I41" s="126" t="e">
        <f t="shared" ca="1" si="8"/>
        <v>#VALUE!</v>
      </c>
      <c r="J41" s="126" t="e">
        <f t="shared" ca="1" si="8"/>
        <v>#VALUE!</v>
      </c>
      <c r="K41" s="126" t="e">
        <f t="shared" ca="1" si="8"/>
        <v>#VALUE!</v>
      </c>
      <c r="L41" s="126" t="e">
        <f t="shared" ca="1" si="5"/>
        <v>#VALUE!</v>
      </c>
      <c r="M41" s="126" t="e">
        <f t="shared" ca="1" si="7"/>
        <v>#VALUE!</v>
      </c>
      <c r="N41" s="126" t="e">
        <f t="shared" ca="1" si="7"/>
        <v>#VALUE!</v>
      </c>
      <c r="O41" s="126" t="e">
        <f t="shared" ca="1" si="7"/>
        <v>#VALUE!</v>
      </c>
      <c r="P41" s="126" t="e">
        <f t="shared" ca="1" si="7"/>
        <v>#VALUE!</v>
      </c>
      <c r="Q41" s="126" t="e">
        <f t="shared" ca="1" si="7"/>
        <v>#VALUE!</v>
      </c>
      <c r="R41" s="126" t="e">
        <f t="shared" ca="1" si="7"/>
        <v>#VALUE!</v>
      </c>
      <c r="S41" s="126" t="e">
        <f t="shared" ca="1" si="7"/>
        <v>#VALUE!</v>
      </c>
      <c r="T41" s="126" t="e">
        <f t="shared" ca="1" si="7"/>
        <v>#VALUE!</v>
      </c>
      <c r="U41" s="126" t="e">
        <f t="shared" ca="1" si="7"/>
        <v>#VALUE!</v>
      </c>
      <c r="V41" s="126" t="e">
        <f t="shared" ca="1" si="7"/>
        <v>#VALUE!</v>
      </c>
      <c r="W41" s="126" t="e">
        <f t="shared" ca="1" si="7"/>
        <v>#VALUE!</v>
      </c>
      <c r="X41" s="126" t="e">
        <f t="shared" ca="1" si="7"/>
        <v>#VALUE!</v>
      </c>
      <c r="Y41" s="126" t="e">
        <f t="shared" ca="1" si="7"/>
        <v>#VALUE!</v>
      </c>
      <c r="Z41" s="126" t="e">
        <f t="shared" ca="1" si="7"/>
        <v>#VALUE!</v>
      </c>
      <c r="AA41" s="126" t="e">
        <f t="shared" ca="1" si="7"/>
        <v>#VALUE!</v>
      </c>
      <c r="AB41" s="126" t="e">
        <f t="shared" ca="1" si="7"/>
        <v>#VALUE!</v>
      </c>
      <c r="AC41" s="126" t="e">
        <f t="shared" ca="1" si="7"/>
        <v>#VALUE!</v>
      </c>
      <c r="AD41" s="126" t="e">
        <f t="shared" ca="1" si="7"/>
        <v>#VALUE!</v>
      </c>
      <c r="AE41" s="126" t="e">
        <f t="shared" ca="1" si="7"/>
        <v>#VALUE!</v>
      </c>
      <c r="AF41" s="126" t="e">
        <f t="shared" ca="1" si="7"/>
        <v>#VALUE!</v>
      </c>
      <c r="AG41" s="126" t="e">
        <f t="shared" ca="1" si="7"/>
        <v>#VALUE!</v>
      </c>
      <c r="AH41" s="126" t="e">
        <f t="shared" ca="1" si="7"/>
        <v>#VALUE!</v>
      </c>
      <c r="AI41" s="126" t="e">
        <f t="shared" ca="1" si="7"/>
        <v>#VALUE!</v>
      </c>
      <c r="AJ41" s="126" t="e">
        <f t="shared" ca="1" si="7"/>
        <v>#VALUE!</v>
      </c>
      <c r="AK41" s="126" t="e">
        <f t="shared" ca="1" si="7"/>
        <v>#VALUE!</v>
      </c>
      <c r="AL41" s="126" t="e">
        <f t="shared" ca="1" si="7"/>
        <v>#VALUE!</v>
      </c>
      <c r="AM41" s="126" t="e">
        <f t="shared" ca="1" si="7"/>
        <v>#VALUE!</v>
      </c>
      <c r="AN41" s="126" t="e">
        <f t="shared" ca="1" si="7"/>
        <v>#VALUE!</v>
      </c>
      <c r="AO41" s="126" t="e">
        <f t="shared" ca="1" si="7"/>
        <v>#VALUE!</v>
      </c>
      <c r="AP41" s="126" t="e">
        <f t="shared" ca="1" si="7"/>
        <v>#VALUE!</v>
      </c>
      <c r="AQ41" s="126" t="e">
        <f t="shared" ca="1" si="7"/>
        <v>#VALUE!</v>
      </c>
      <c r="AR41" s="126" t="e">
        <f t="shared" ca="1" si="7"/>
        <v>#VALUE!</v>
      </c>
      <c r="AS41" s="126" t="e">
        <f t="shared" ca="1" si="7"/>
        <v>#VALUE!</v>
      </c>
      <c r="AT41" s="126" t="e">
        <f t="shared" ca="1" si="7"/>
        <v>#VALUE!</v>
      </c>
      <c r="AU41" s="126" t="e">
        <f t="shared" ca="1" si="7"/>
        <v>#VALUE!</v>
      </c>
    </row>
    <row r="42" spans="2:47" x14ac:dyDescent="0.25">
      <c r="B42" t="s">
        <v>504</v>
      </c>
      <c r="C42" s="126" t="e">
        <f t="shared" ca="1" si="8"/>
        <v>#VALUE!</v>
      </c>
      <c r="D42" s="126" t="e">
        <f t="shared" ca="1" si="8"/>
        <v>#VALUE!</v>
      </c>
      <c r="E42" s="126" t="e">
        <f t="shared" ca="1" si="8"/>
        <v>#VALUE!</v>
      </c>
      <c r="F42" s="126" t="e">
        <f t="shared" ca="1" si="8"/>
        <v>#VALUE!</v>
      </c>
      <c r="G42" s="126" t="e">
        <f t="shared" ca="1" si="8"/>
        <v>#VALUE!</v>
      </c>
      <c r="H42" s="126" t="e">
        <f t="shared" ca="1" si="8"/>
        <v>#VALUE!</v>
      </c>
      <c r="I42" s="126" t="e">
        <f t="shared" ca="1" si="8"/>
        <v>#VALUE!</v>
      </c>
      <c r="J42" s="126" t="e">
        <f t="shared" ca="1" si="8"/>
        <v>#VALUE!</v>
      </c>
      <c r="K42" s="126" t="e">
        <f t="shared" ca="1" si="8"/>
        <v>#VALUE!</v>
      </c>
      <c r="L42" s="126" t="e">
        <f t="shared" ca="1" si="5"/>
        <v>#VALUE!</v>
      </c>
      <c r="M42" s="126" t="e">
        <f t="shared" ca="1" si="7"/>
        <v>#VALUE!</v>
      </c>
      <c r="N42" s="126" t="e">
        <f t="shared" ca="1" si="7"/>
        <v>#VALUE!</v>
      </c>
      <c r="O42" s="126" t="e">
        <f t="shared" ca="1" si="7"/>
        <v>#VALUE!</v>
      </c>
      <c r="P42" s="126" t="e">
        <f t="shared" ca="1" si="7"/>
        <v>#VALUE!</v>
      </c>
      <c r="Q42" s="126" t="e">
        <f t="shared" ca="1" si="7"/>
        <v>#VALUE!</v>
      </c>
      <c r="R42" s="126" t="e">
        <f t="shared" ca="1" si="7"/>
        <v>#VALUE!</v>
      </c>
      <c r="S42" s="126" t="e">
        <f t="shared" ca="1" si="7"/>
        <v>#VALUE!</v>
      </c>
      <c r="T42" s="126" t="e">
        <f t="shared" ca="1" si="7"/>
        <v>#VALUE!</v>
      </c>
      <c r="U42" s="126" t="e">
        <f t="shared" ca="1" si="7"/>
        <v>#VALUE!</v>
      </c>
      <c r="V42" s="126" t="e">
        <f t="shared" ca="1" si="7"/>
        <v>#VALUE!</v>
      </c>
      <c r="W42" s="126" t="e">
        <f t="shared" ref="M42:AU49" ca="1" si="9">Output("SCEN_ADEMEhaut",$B42,W$1)</f>
        <v>#VALUE!</v>
      </c>
      <c r="X42" s="126" t="e">
        <f t="shared" ca="1" si="9"/>
        <v>#VALUE!</v>
      </c>
      <c r="Y42" s="126" t="e">
        <f t="shared" ca="1" si="9"/>
        <v>#VALUE!</v>
      </c>
      <c r="Z42" s="126" t="e">
        <f t="shared" ca="1" si="9"/>
        <v>#VALUE!</v>
      </c>
      <c r="AA42" s="126" t="e">
        <f t="shared" ca="1" si="9"/>
        <v>#VALUE!</v>
      </c>
      <c r="AB42" s="126" t="e">
        <f t="shared" ca="1" si="9"/>
        <v>#VALUE!</v>
      </c>
      <c r="AC42" s="126" t="e">
        <f t="shared" ca="1" si="9"/>
        <v>#VALUE!</v>
      </c>
      <c r="AD42" s="126" t="e">
        <f t="shared" ca="1" si="9"/>
        <v>#VALUE!</v>
      </c>
      <c r="AE42" s="126" t="e">
        <f t="shared" ca="1" si="9"/>
        <v>#VALUE!</v>
      </c>
      <c r="AF42" s="126" t="e">
        <f t="shared" ca="1" si="9"/>
        <v>#VALUE!</v>
      </c>
      <c r="AG42" s="126" t="e">
        <f t="shared" ca="1" si="9"/>
        <v>#VALUE!</v>
      </c>
      <c r="AH42" s="126" t="e">
        <f t="shared" ca="1" si="9"/>
        <v>#VALUE!</v>
      </c>
      <c r="AI42" s="126" t="e">
        <f t="shared" ca="1" si="9"/>
        <v>#VALUE!</v>
      </c>
      <c r="AJ42" s="126" t="e">
        <f t="shared" ca="1" si="9"/>
        <v>#VALUE!</v>
      </c>
      <c r="AK42" s="126" t="e">
        <f t="shared" ca="1" si="9"/>
        <v>#VALUE!</v>
      </c>
      <c r="AL42" s="126" t="e">
        <f t="shared" ca="1" si="9"/>
        <v>#VALUE!</v>
      </c>
      <c r="AM42" s="126" t="e">
        <f t="shared" ca="1" si="9"/>
        <v>#VALUE!</v>
      </c>
      <c r="AN42" s="126" t="e">
        <f t="shared" ca="1" si="9"/>
        <v>#VALUE!</v>
      </c>
      <c r="AO42" s="126" t="e">
        <f t="shared" ca="1" si="9"/>
        <v>#VALUE!</v>
      </c>
      <c r="AP42" s="126" t="e">
        <f t="shared" ca="1" si="9"/>
        <v>#VALUE!</v>
      </c>
      <c r="AQ42" s="126" t="e">
        <f t="shared" ca="1" si="9"/>
        <v>#VALUE!</v>
      </c>
      <c r="AR42" s="126" t="e">
        <f t="shared" ca="1" si="9"/>
        <v>#VALUE!</v>
      </c>
      <c r="AS42" s="126" t="e">
        <f t="shared" ca="1" si="9"/>
        <v>#VALUE!</v>
      </c>
      <c r="AT42" s="126" t="e">
        <f t="shared" ca="1" si="9"/>
        <v>#VALUE!</v>
      </c>
      <c r="AU42" s="126" t="e">
        <f t="shared" ca="1" si="9"/>
        <v>#VALUE!</v>
      </c>
    </row>
    <row r="43" spans="2:47" x14ac:dyDescent="0.25">
      <c r="B43" t="s">
        <v>505</v>
      </c>
      <c r="C43" s="126" t="e">
        <f t="shared" ca="1" si="8"/>
        <v>#VALUE!</v>
      </c>
      <c r="D43" s="126" t="e">
        <f t="shared" ca="1" si="8"/>
        <v>#VALUE!</v>
      </c>
      <c r="E43" s="126" t="e">
        <f t="shared" ca="1" si="8"/>
        <v>#VALUE!</v>
      </c>
      <c r="F43" s="126" t="e">
        <f t="shared" ca="1" si="8"/>
        <v>#VALUE!</v>
      </c>
      <c r="G43" s="126" t="e">
        <f t="shared" ca="1" si="8"/>
        <v>#VALUE!</v>
      </c>
      <c r="H43" s="126" t="e">
        <f t="shared" ca="1" si="8"/>
        <v>#VALUE!</v>
      </c>
      <c r="I43" s="126" t="e">
        <f t="shared" ca="1" si="8"/>
        <v>#VALUE!</v>
      </c>
      <c r="J43" s="126" t="e">
        <f t="shared" ca="1" si="8"/>
        <v>#VALUE!</v>
      </c>
      <c r="K43" s="126" t="e">
        <f t="shared" ca="1" si="8"/>
        <v>#VALUE!</v>
      </c>
      <c r="L43" s="126" t="e">
        <f t="shared" ca="1" si="5"/>
        <v>#VALUE!</v>
      </c>
      <c r="M43" s="126" t="e">
        <f t="shared" ca="1" si="9"/>
        <v>#VALUE!</v>
      </c>
      <c r="N43" s="126" t="e">
        <f t="shared" ca="1" si="9"/>
        <v>#VALUE!</v>
      </c>
      <c r="O43" s="126" t="e">
        <f t="shared" ca="1" si="9"/>
        <v>#VALUE!</v>
      </c>
      <c r="P43" s="126" t="e">
        <f t="shared" ca="1" si="9"/>
        <v>#VALUE!</v>
      </c>
      <c r="Q43" s="126" t="e">
        <f t="shared" ca="1" si="9"/>
        <v>#VALUE!</v>
      </c>
      <c r="R43" s="126" t="e">
        <f t="shared" ca="1" si="9"/>
        <v>#VALUE!</v>
      </c>
      <c r="S43" s="126" t="e">
        <f t="shared" ca="1" si="9"/>
        <v>#VALUE!</v>
      </c>
      <c r="T43" s="126" t="e">
        <f t="shared" ca="1" si="9"/>
        <v>#VALUE!</v>
      </c>
      <c r="U43" s="126" t="e">
        <f t="shared" ca="1" si="9"/>
        <v>#VALUE!</v>
      </c>
      <c r="V43" s="126" t="e">
        <f t="shared" ca="1" si="9"/>
        <v>#VALUE!</v>
      </c>
      <c r="W43" s="126" t="e">
        <f t="shared" ca="1" si="9"/>
        <v>#VALUE!</v>
      </c>
      <c r="X43" s="126" t="e">
        <f t="shared" ca="1" si="9"/>
        <v>#VALUE!</v>
      </c>
      <c r="Y43" s="126" t="e">
        <f t="shared" ca="1" si="9"/>
        <v>#VALUE!</v>
      </c>
      <c r="Z43" s="126" t="e">
        <f t="shared" ca="1" si="9"/>
        <v>#VALUE!</v>
      </c>
      <c r="AA43" s="126" t="e">
        <f t="shared" ca="1" si="9"/>
        <v>#VALUE!</v>
      </c>
      <c r="AB43" s="126" t="e">
        <f t="shared" ca="1" si="9"/>
        <v>#VALUE!</v>
      </c>
      <c r="AC43" s="126" t="e">
        <f t="shared" ca="1" si="9"/>
        <v>#VALUE!</v>
      </c>
      <c r="AD43" s="126" t="e">
        <f t="shared" ca="1" si="9"/>
        <v>#VALUE!</v>
      </c>
      <c r="AE43" s="126" t="e">
        <f t="shared" ca="1" si="9"/>
        <v>#VALUE!</v>
      </c>
      <c r="AF43" s="126" t="e">
        <f t="shared" ca="1" si="9"/>
        <v>#VALUE!</v>
      </c>
      <c r="AG43" s="126" t="e">
        <f t="shared" ca="1" si="9"/>
        <v>#VALUE!</v>
      </c>
      <c r="AH43" s="126" t="e">
        <f t="shared" ca="1" si="9"/>
        <v>#VALUE!</v>
      </c>
      <c r="AI43" s="126" t="e">
        <f t="shared" ca="1" si="9"/>
        <v>#VALUE!</v>
      </c>
      <c r="AJ43" s="126" t="e">
        <f t="shared" ca="1" si="9"/>
        <v>#VALUE!</v>
      </c>
      <c r="AK43" s="126" t="e">
        <f t="shared" ca="1" si="9"/>
        <v>#VALUE!</v>
      </c>
      <c r="AL43" s="126" t="e">
        <f t="shared" ca="1" si="9"/>
        <v>#VALUE!</v>
      </c>
      <c r="AM43" s="126" t="e">
        <f t="shared" ca="1" si="9"/>
        <v>#VALUE!</v>
      </c>
      <c r="AN43" s="126" t="e">
        <f t="shared" ca="1" si="9"/>
        <v>#VALUE!</v>
      </c>
      <c r="AO43" s="126" t="e">
        <f t="shared" ca="1" si="9"/>
        <v>#VALUE!</v>
      </c>
      <c r="AP43" s="126" t="e">
        <f t="shared" ca="1" si="9"/>
        <v>#VALUE!</v>
      </c>
      <c r="AQ43" s="126" t="e">
        <f t="shared" ca="1" si="9"/>
        <v>#VALUE!</v>
      </c>
      <c r="AR43" s="126" t="e">
        <f t="shared" ca="1" si="9"/>
        <v>#VALUE!</v>
      </c>
      <c r="AS43" s="126" t="e">
        <f t="shared" ca="1" si="9"/>
        <v>#VALUE!</v>
      </c>
      <c r="AT43" s="126" t="e">
        <f t="shared" ca="1" si="9"/>
        <v>#VALUE!</v>
      </c>
      <c r="AU43" s="126" t="e">
        <f t="shared" ca="1" si="9"/>
        <v>#VALUE!</v>
      </c>
    </row>
    <row r="44" spans="2:47" x14ac:dyDescent="0.25">
      <c r="B44" t="s">
        <v>506</v>
      </c>
      <c r="C44" s="126" t="e">
        <f t="shared" ca="1" si="8"/>
        <v>#VALUE!</v>
      </c>
      <c r="D44" s="126" t="e">
        <f t="shared" ca="1" si="8"/>
        <v>#VALUE!</v>
      </c>
      <c r="E44" s="126" t="e">
        <f t="shared" ca="1" si="8"/>
        <v>#VALUE!</v>
      </c>
      <c r="F44" s="126" t="e">
        <f t="shared" ca="1" si="8"/>
        <v>#VALUE!</v>
      </c>
      <c r="G44" s="126" t="e">
        <f t="shared" ca="1" si="8"/>
        <v>#VALUE!</v>
      </c>
      <c r="H44" s="126" t="e">
        <f t="shared" ca="1" si="8"/>
        <v>#VALUE!</v>
      </c>
      <c r="I44" s="126" t="e">
        <f t="shared" ca="1" si="8"/>
        <v>#VALUE!</v>
      </c>
      <c r="J44" s="126" t="e">
        <f t="shared" ca="1" si="8"/>
        <v>#VALUE!</v>
      </c>
      <c r="K44" s="126" t="e">
        <f t="shared" ca="1" si="8"/>
        <v>#VALUE!</v>
      </c>
      <c r="L44" s="126" t="e">
        <f t="shared" ca="1" si="5"/>
        <v>#VALUE!</v>
      </c>
      <c r="M44" s="126" t="e">
        <f t="shared" ca="1" si="9"/>
        <v>#VALUE!</v>
      </c>
      <c r="N44" s="126" t="e">
        <f t="shared" ca="1" si="9"/>
        <v>#VALUE!</v>
      </c>
      <c r="O44" s="126" t="e">
        <f t="shared" ca="1" si="9"/>
        <v>#VALUE!</v>
      </c>
      <c r="P44" s="126" t="e">
        <f t="shared" ca="1" si="9"/>
        <v>#VALUE!</v>
      </c>
      <c r="Q44" s="126" t="e">
        <f t="shared" ca="1" si="9"/>
        <v>#VALUE!</v>
      </c>
      <c r="R44" s="126" t="e">
        <f t="shared" ca="1" si="9"/>
        <v>#VALUE!</v>
      </c>
      <c r="S44" s="126" t="e">
        <f t="shared" ca="1" si="9"/>
        <v>#VALUE!</v>
      </c>
      <c r="T44" s="126" t="e">
        <f t="shared" ca="1" si="9"/>
        <v>#VALUE!</v>
      </c>
      <c r="U44" s="126" t="e">
        <f t="shared" ca="1" si="9"/>
        <v>#VALUE!</v>
      </c>
      <c r="V44" s="126" t="e">
        <f t="shared" ca="1" si="9"/>
        <v>#VALUE!</v>
      </c>
      <c r="W44" s="126" t="e">
        <f t="shared" ca="1" si="9"/>
        <v>#VALUE!</v>
      </c>
      <c r="X44" s="126" t="e">
        <f t="shared" ca="1" si="9"/>
        <v>#VALUE!</v>
      </c>
      <c r="Y44" s="126" t="e">
        <f t="shared" ca="1" si="9"/>
        <v>#VALUE!</v>
      </c>
      <c r="Z44" s="126" t="e">
        <f t="shared" ca="1" si="9"/>
        <v>#VALUE!</v>
      </c>
      <c r="AA44" s="126" t="e">
        <f t="shared" ca="1" si="9"/>
        <v>#VALUE!</v>
      </c>
      <c r="AB44" s="126" t="e">
        <f t="shared" ca="1" si="9"/>
        <v>#VALUE!</v>
      </c>
      <c r="AC44" s="126" t="e">
        <f t="shared" ca="1" si="9"/>
        <v>#VALUE!</v>
      </c>
      <c r="AD44" s="126" t="e">
        <f t="shared" ca="1" si="9"/>
        <v>#VALUE!</v>
      </c>
      <c r="AE44" s="126" t="e">
        <f t="shared" ca="1" si="9"/>
        <v>#VALUE!</v>
      </c>
      <c r="AF44" s="126" t="e">
        <f t="shared" ca="1" si="9"/>
        <v>#VALUE!</v>
      </c>
      <c r="AG44" s="126" t="e">
        <f t="shared" ca="1" si="9"/>
        <v>#VALUE!</v>
      </c>
      <c r="AH44" s="126" t="e">
        <f t="shared" ca="1" si="9"/>
        <v>#VALUE!</v>
      </c>
      <c r="AI44" s="126" t="e">
        <f t="shared" ca="1" si="9"/>
        <v>#VALUE!</v>
      </c>
      <c r="AJ44" s="126" t="e">
        <f t="shared" ca="1" si="9"/>
        <v>#VALUE!</v>
      </c>
      <c r="AK44" s="126" t="e">
        <f t="shared" ca="1" si="9"/>
        <v>#VALUE!</v>
      </c>
      <c r="AL44" s="126" t="e">
        <f t="shared" ca="1" si="9"/>
        <v>#VALUE!</v>
      </c>
      <c r="AM44" s="126" t="e">
        <f t="shared" ca="1" si="9"/>
        <v>#VALUE!</v>
      </c>
      <c r="AN44" s="126" t="e">
        <f t="shared" ca="1" si="9"/>
        <v>#VALUE!</v>
      </c>
      <c r="AO44" s="126" t="e">
        <f t="shared" ca="1" si="9"/>
        <v>#VALUE!</v>
      </c>
      <c r="AP44" s="126" t="e">
        <f t="shared" ca="1" si="9"/>
        <v>#VALUE!</v>
      </c>
      <c r="AQ44" s="126" t="e">
        <f t="shared" ca="1" si="9"/>
        <v>#VALUE!</v>
      </c>
      <c r="AR44" s="126" t="e">
        <f t="shared" ca="1" si="9"/>
        <v>#VALUE!</v>
      </c>
      <c r="AS44" s="126" t="e">
        <f t="shared" ca="1" si="9"/>
        <v>#VALUE!</v>
      </c>
      <c r="AT44" s="126" t="e">
        <f t="shared" ca="1" si="9"/>
        <v>#VALUE!</v>
      </c>
      <c r="AU44" s="126" t="e">
        <f t="shared" ca="1" si="9"/>
        <v>#VALUE!</v>
      </c>
    </row>
    <row r="45" spans="2:47" x14ac:dyDescent="0.25">
      <c r="B45" t="s">
        <v>507</v>
      </c>
      <c r="C45" s="126" t="e">
        <f t="shared" ca="1" si="8"/>
        <v>#VALUE!</v>
      </c>
      <c r="D45" s="126" t="e">
        <f t="shared" ca="1" si="8"/>
        <v>#VALUE!</v>
      </c>
      <c r="E45" s="126" t="e">
        <f t="shared" ca="1" si="8"/>
        <v>#VALUE!</v>
      </c>
      <c r="F45" s="126" t="e">
        <f t="shared" ca="1" si="8"/>
        <v>#VALUE!</v>
      </c>
      <c r="G45" s="126" t="e">
        <f t="shared" ca="1" si="8"/>
        <v>#VALUE!</v>
      </c>
      <c r="H45" s="126" t="e">
        <f t="shared" ca="1" si="8"/>
        <v>#VALUE!</v>
      </c>
      <c r="I45" s="126" t="e">
        <f t="shared" ca="1" si="8"/>
        <v>#VALUE!</v>
      </c>
      <c r="J45" s="126" t="e">
        <f t="shared" ca="1" si="8"/>
        <v>#VALUE!</v>
      </c>
      <c r="K45" s="126" t="e">
        <f t="shared" ca="1" si="8"/>
        <v>#VALUE!</v>
      </c>
      <c r="L45" s="126" t="e">
        <f t="shared" ca="1" si="5"/>
        <v>#VALUE!</v>
      </c>
      <c r="M45" s="126" t="e">
        <f t="shared" ca="1" si="9"/>
        <v>#VALUE!</v>
      </c>
      <c r="N45" s="126" t="e">
        <f t="shared" ca="1" si="9"/>
        <v>#VALUE!</v>
      </c>
      <c r="O45" s="126" t="e">
        <f t="shared" ca="1" si="9"/>
        <v>#VALUE!</v>
      </c>
      <c r="P45" s="126" t="e">
        <f t="shared" ca="1" si="9"/>
        <v>#VALUE!</v>
      </c>
      <c r="Q45" s="126" t="e">
        <f t="shared" ca="1" si="9"/>
        <v>#VALUE!</v>
      </c>
      <c r="R45" s="126" t="e">
        <f t="shared" ca="1" si="9"/>
        <v>#VALUE!</v>
      </c>
      <c r="S45" s="126" t="e">
        <f t="shared" ca="1" si="9"/>
        <v>#VALUE!</v>
      </c>
      <c r="T45" s="126" t="e">
        <f t="shared" ca="1" si="9"/>
        <v>#VALUE!</v>
      </c>
      <c r="U45" s="126" t="e">
        <f t="shared" ca="1" si="9"/>
        <v>#VALUE!</v>
      </c>
      <c r="V45" s="126" t="e">
        <f t="shared" ca="1" si="9"/>
        <v>#VALUE!</v>
      </c>
      <c r="W45" s="126" t="e">
        <f t="shared" ca="1" si="9"/>
        <v>#VALUE!</v>
      </c>
      <c r="X45" s="126" t="e">
        <f t="shared" ca="1" si="9"/>
        <v>#VALUE!</v>
      </c>
      <c r="Y45" s="126" t="e">
        <f t="shared" ca="1" si="9"/>
        <v>#VALUE!</v>
      </c>
      <c r="Z45" s="126" t="e">
        <f t="shared" ca="1" si="9"/>
        <v>#VALUE!</v>
      </c>
      <c r="AA45" s="126" t="e">
        <f t="shared" ca="1" si="9"/>
        <v>#VALUE!</v>
      </c>
      <c r="AB45" s="126" t="e">
        <f t="shared" ca="1" si="9"/>
        <v>#VALUE!</v>
      </c>
      <c r="AC45" s="126" t="e">
        <f t="shared" ca="1" si="9"/>
        <v>#VALUE!</v>
      </c>
      <c r="AD45" s="126" t="e">
        <f t="shared" ca="1" si="9"/>
        <v>#VALUE!</v>
      </c>
      <c r="AE45" s="126" t="e">
        <f t="shared" ca="1" si="9"/>
        <v>#VALUE!</v>
      </c>
      <c r="AF45" s="126" t="e">
        <f t="shared" ca="1" si="9"/>
        <v>#VALUE!</v>
      </c>
      <c r="AG45" s="126" t="e">
        <f t="shared" ca="1" si="9"/>
        <v>#VALUE!</v>
      </c>
      <c r="AH45" s="126" t="e">
        <f t="shared" ca="1" si="9"/>
        <v>#VALUE!</v>
      </c>
      <c r="AI45" s="126" t="e">
        <f t="shared" ca="1" si="9"/>
        <v>#VALUE!</v>
      </c>
      <c r="AJ45" s="126" t="e">
        <f t="shared" ca="1" si="9"/>
        <v>#VALUE!</v>
      </c>
      <c r="AK45" s="126" t="e">
        <f t="shared" ca="1" si="9"/>
        <v>#VALUE!</v>
      </c>
      <c r="AL45" s="126" t="e">
        <f t="shared" ca="1" si="9"/>
        <v>#VALUE!</v>
      </c>
      <c r="AM45" s="126" t="e">
        <f t="shared" ca="1" si="9"/>
        <v>#VALUE!</v>
      </c>
      <c r="AN45" s="126" t="e">
        <f t="shared" ca="1" si="9"/>
        <v>#VALUE!</v>
      </c>
      <c r="AO45" s="126" t="e">
        <f t="shared" ca="1" si="9"/>
        <v>#VALUE!</v>
      </c>
      <c r="AP45" s="126" t="e">
        <f t="shared" ca="1" si="9"/>
        <v>#VALUE!</v>
      </c>
      <c r="AQ45" s="126" t="e">
        <f t="shared" ca="1" si="9"/>
        <v>#VALUE!</v>
      </c>
      <c r="AR45" s="126" t="e">
        <f t="shared" ca="1" si="9"/>
        <v>#VALUE!</v>
      </c>
      <c r="AS45" s="126" t="e">
        <f t="shared" ca="1" si="9"/>
        <v>#VALUE!</v>
      </c>
      <c r="AT45" s="126" t="e">
        <f t="shared" ca="1" si="9"/>
        <v>#VALUE!</v>
      </c>
      <c r="AU45" s="126" t="e">
        <f t="shared" ca="1" si="9"/>
        <v>#VALUE!</v>
      </c>
    </row>
    <row r="46" spans="2:47" x14ac:dyDescent="0.25">
      <c r="B46" t="s">
        <v>508</v>
      </c>
      <c r="C46" s="126" t="e">
        <f t="shared" ca="1" si="8"/>
        <v>#VALUE!</v>
      </c>
      <c r="D46" s="126" t="e">
        <f t="shared" ca="1" si="8"/>
        <v>#VALUE!</v>
      </c>
      <c r="E46" s="126" t="e">
        <f t="shared" ca="1" si="8"/>
        <v>#VALUE!</v>
      </c>
      <c r="F46" s="126" t="e">
        <f t="shared" ca="1" si="8"/>
        <v>#VALUE!</v>
      </c>
      <c r="G46" s="126" t="e">
        <f t="shared" ca="1" si="8"/>
        <v>#VALUE!</v>
      </c>
      <c r="H46" s="126" t="e">
        <f t="shared" ca="1" si="8"/>
        <v>#VALUE!</v>
      </c>
      <c r="I46" s="126" t="e">
        <f t="shared" ca="1" si="8"/>
        <v>#VALUE!</v>
      </c>
      <c r="J46" s="126" t="e">
        <f t="shared" ca="1" si="8"/>
        <v>#VALUE!</v>
      </c>
      <c r="K46" s="126" t="e">
        <f t="shared" ca="1" si="8"/>
        <v>#VALUE!</v>
      </c>
      <c r="L46" s="126" t="e">
        <f t="shared" ca="1" si="5"/>
        <v>#VALUE!</v>
      </c>
      <c r="M46" s="126" t="e">
        <f t="shared" ca="1" si="9"/>
        <v>#VALUE!</v>
      </c>
      <c r="N46" s="126" t="e">
        <f t="shared" ca="1" si="9"/>
        <v>#VALUE!</v>
      </c>
      <c r="O46" s="126" t="e">
        <f t="shared" ca="1" si="9"/>
        <v>#VALUE!</v>
      </c>
      <c r="P46" s="126" t="e">
        <f t="shared" ca="1" si="9"/>
        <v>#VALUE!</v>
      </c>
      <c r="Q46" s="126" t="e">
        <f t="shared" ca="1" si="9"/>
        <v>#VALUE!</v>
      </c>
      <c r="R46" s="126" t="e">
        <f t="shared" ca="1" si="9"/>
        <v>#VALUE!</v>
      </c>
      <c r="S46" s="126" t="e">
        <f t="shared" ca="1" si="9"/>
        <v>#VALUE!</v>
      </c>
      <c r="T46" s="126" t="e">
        <f t="shared" ca="1" si="9"/>
        <v>#VALUE!</v>
      </c>
      <c r="U46" s="126" t="e">
        <f t="shared" ca="1" si="9"/>
        <v>#VALUE!</v>
      </c>
      <c r="V46" s="126" t="e">
        <f t="shared" ca="1" si="9"/>
        <v>#VALUE!</v>
      </c>
      <c r="W46" s="126" t="e">
        <f t="shared" ca="1" si="9"/>
        <v>#VALUE!</v>
      </c>
      <c r="X46" s="126" t="e">
        <f t="shared" ca="1" si="9"/>
        <v>#VALUE!</v>
      </c>
      <c r="Y46" s="126" t="e">
        <f t="shared" ca="1" si="9"/>
        <v>#VALUE!</v>
      </c>
      <c r="Z46" s="126" t="e">
        <f t="shared" ca="1" si="9"/>
        <v>#VALUE!</v>
      </c>
      <c r="AA46" s="126" t="e">
        <f t="shared" ca="1" si="9"/>
        <v>#VALUE!</v>
      </c>
      <c r="AB46" s="126" t="e">
        <f t="shared" ca="1" si="9"/>
        <v>#VALUE!</v>
      </c>
      <c r="AC46" s="126" t="e">
        <f t="shared" ca="1" si="9"/>
        <v>#VALUE!</v>
      </c>
      <c r="AD46" s="126" t="e">
        <f t="shared" ca="1" si="9"/>
        <v>#VALUE!</v>
      </c>
      <c r="AE46" s="126" t="e">
        <f t="shared" ca="1" si="9"/>
        <v>#VALUE!</v>
      </c>
      <c r="AF46" s="126" t="e">
        <f t="shared" ca="1" si="9"/>
        <v>#VALUE!</v>
      </c>
      <c r="AG46" s="126" t="e">
        <f t="shared" ca="1" si="9"/>
        <v>#VALUE!</v>
      </c>
      <c r="AH46" s="126" t="e">
        <f t="shared" ca="1" si="9"/>
        <v>#VALUE!</v>
      </c>
      <c r="AI46" s="126" t="e">
        <f t="shared" ca="1" si="9"/>
        <v>#VALUE!</v>
      </c>
      <c r="AJ46" s="126" t="e">
        <f t="shared" ca="1" si="9"/>
        <v>#VALUE!</v>
      </c>
      <c r="AK46" s="126" t="e">
        <f t="shared" ca="1" si="9"/>
        <v>#VALUE!</v>
      </c>
      <c r="AL46" s="126" t="e">
        <f t="shared" ca="1" si="9"/>
        <v>#VALUE!</v>
      </c>
      <c r="AM46" s="126" t="e">
        <f t="shared" ca="1" si="9"/>
        <v>#VALUE!</v>
      </c>
      <c r="AN46" s="126" t="e">
        <f t="shared" ca="1" si="9"/>
        <v>#VALUE!</v>
      </c>
      <c r="AO46" s="126" t="e">
        <f t="shared" ca="1" si="9"/>
        <v>#VALUE!</v>
      </c>
      <c r="AP46" s="126" t="e">
        <f t="shared" ca="1" si="9"/>
        <v>#VALUE!</v>
      </c>
      <c r="AQ46" s="126" t="e">
        <f t="shared" ca="1" si="9"/>
        <v>#VALUE!</v>
      </c>
      <c r="AR46" s="126" t="e">
        <f t="shared" ca="1" si="9"/>
        <v>#VALUE!</v>
      </c>
      <c r="AS46" s="126" t="e">
        <f t="shared" ca="1" si="9"/>
        <v>#VALUE!</v>
      </c>
      <c r="AT46" s="126" t="e">
        <f t="shared" ca="1" si="9"/>
        <v>#VALUE!</v>
      </c>
      <c r="AU46" s="126" t="e">
        <f t="shared" ca="1" si="9"/>
        <v>#VALUE!</v>
      </c>
    </row>
    <row r="47" spans="2:47" x14ac:dyDescent="0.25">
      <c r="B47" t="s">
        <v>509</v>
      </c>
      <c r="C47" s="126" t="e">
        <f t="shared" ca="1" si="8"/>
        <v>#VALUE!</v>
      </c>
      <c r="D47" s="126" t="e">
        <f t="shared" ca="1" si="8"/>
        <v>#VALUE!</v>
      </c>
      <c r="E47" s="126" t="e">
        <f t="shared" ca="1" si="8"/>
        <v>#VALUE!</v>
      </c>
      <c r="F47" s="126" t="e">
        <f t="shared" ca="1" si="8"/>
        <v>#VALUE!</v>
      </c>
      <c r="G47" s="126" t="e">
        <f t="shared" ca="1" si="8"/>
        <v>#VALUE!</v>
      </c>
      <c r="H47" s="126" t="e">
        <f t="shared" ca="1" si="8"/>
        <v>#VALUE!</v>
      </c>
      <c r="I47" s="126" t="e">
        <f t="shared" ca="1" si="8"/>
        <v>#VALUE!</v>
      </c>
      <c r="J47" s="126" t="e">
        <f t="shared" ca="1" si="8"/>
        <v>#VALUE!</v>
      </c>
      <c r="K47" s="126" t="e">
        <f t="shared" ca="1" si="8"/>
        <v>#VALUE!</v>
      </c>
      <c r="L47" s="126" t="e">
        <f t="shared" ca="1" si="5"/>
        <v>#VALUE!</v>
      </c>
      <c r="M47" s="126" t="e">
        <f t="shared" ca="1" si="9"/>
        <v>#VALUE!</v>
      </c>
      <c r="N47" s="126" t="e">
        <f t="shared" ca="1" si="9"/>
        <v>#VALUE!</v>
      </c>
      <c r="O47" s="126" t="e">
        <f t="shared" ca="1" si="9"/>
        <v>#VALUE!</v>
      </c>
      <c r="P47" s="126" t="e">
        <f t="shared" ca="1" si="9"/>
        <v>#VALUE!</v>
      </c>
      <c r="Q47" s="126" t="e">
        <f t="shared" ca="1" si="9"/>
        <v>#VALUE!</v>
      </c>
      <c r="R47" s="126" t="e">
        <f t="shared" ca="1" si="9"/>
        <v>#VALUE!</v>
      </c>
      <c r="S47" s="126" t="e">
        <f t="shared" ca="1" si="9"/>
        <v>#VALUE!</v>
      </c>
      <c r="T47" s="126" t="e">
        <f t="shared" ca="1" si="9"/>
        <v>#VALUE!</v>
      </c>
      <c r="U47" s="126" t="e">
        <f t="shared" ca="1" si="9"/>
        <v>#VALUE!</v>
      </c>
      <c r="V47" s="126" t="e">
        <f t="shared" ca="1" si="9"/>
        <v>#VALUE!</v>
      </c>
      <c r="W47" s="126" t="e">
        <f t="shared" ca="1" si="9"/>
        <v>#VALUE!</v>
      </c>
      <c r="X47" s="126" t="e">
        <f t="shared" ca="1" si="9"/>
        <v>#VALUE!</v>
      </c>
      <c r="Y47" s="126" t="e">
        <f t="shared" ca="1" si="9"/>
        <v>#VALUE!</v>
      </c>
      <c r="Z47" s="126" t="e">
        <f t="shared" ca="1" si="9"/>
        <v>#VALUE!</v>
      </c>
      <c r="AA47" s="126" t="e">
        <f t="shared" ca="1" si="9"/>
        <v>#VALUE!</v>
      </c>
      <c r="AB47" s="126" t="e">
        <f t="shared" ca="1" si="9"/>
        <v>#VALUE!</v>
      </c>
      <c r="AC47" s="126" t="e">
        <f t="shared" ca="1" si="9"/>
        <v>#VALUE!</v>
      </c>
      <c r="AD47" s="126" t="e">
        <f t="shared" ca="1" si="9"/>
        <v>#VALUE!</v>
      </c>
      <c r="AE47" s="126" t="e">
        <f t="shared" ca="1" si="9"/>
        <v>#VALUE!</v>
      </c>
      <c r="AF47" s="126" t="e">
        <f t="shared" ca="1" si="9"/>
        <v>#VALUE!</v>
      </c>
      <c r="AG47" s="126" t="e">
        <f t="shared" ca="1" si="9"/>
        <v>#VALUE!</v>
      </c>
      <c r="AH47" s="126" t="e">
        <f t="shared" ca="1" si="9"/>
        <v>#VALUE!</v>
      </c>
      <c r="AI47" s="126" t="e">
        <f t="shared" ca="1" si="9"/>
        <v>#VALUE!</v>
      </c>
      <c r="AJ47" s="126" t="e">
        <f t="shared" ca="1" si="9"/>
        <v>#VALUE!</v>
      </c>
      <c r="AK47" s="126" t="e">
        <f t="shared" ca="1" si="9"/>
        <v>#VALUE!</v>
      </c>
      <c r="AL47" s="126" t="e">
        <f t="shared" ca="1" si="9"/>
        <v>#VALUE!</v>
      </c>
      <c r="AM47" s="126" t="e">
        <f t="shared" ca="1" si="9"/>
        <v>#VALUE!</v>
      </c>
      <c r="AN47" s="126" t="e">
        <f t="shared" ca="1" si="9"/>
        <v>#VALUE!</v>
      </c>
      <c r="AO47" s="126" t="e">
        <f t="shared" ca="1" si="9"/>
        <v>#VALUE!</v>
      </c>
      <c r="AP47" s="126" t="e">
        <f t="shared" ca="1" si="9"/>
        <v>#VALUE!</v>
      </c>
      <c r="AQ47" s="126" t="e">
        <f t="shared" ca="1" si="9"/>
        <v>#VALUE!</v>
      </c>
      <c r="AR47" s="126" t="e">
        <f t="shared" ca="1" si="9"/>
        <v>#VALUE!</v>
      </c>
      <c r="AS47" s="126" t="e">
        <f t="shared" ca="1" si="9"/>
        <v>#VALUE!</v>
      </c>
      <c r="AT47" s="126" t="e">
        <f t="shared" ca="1" si="9"/>
        <v>#VALUE!</v>
      </c>
      <c r="AU47" s="126" t="e">
        <f t="shared" ca="1" si="9"/>
        <v>#VALUE!</v>
      </c>
    </row>
    <row r="48" spans="2:47" x14ac:dyDescent="0.25">
      <c r="B48" t="s">
        <v>510</v>
      </c>
      <c r="C48" s="126" t="e">
        <f t="shared" ca="1" si="8"/>
        <v>#VALUE!</v>
      </c>
      <c r="D48" s="126" t="e">
        <f t="shared" ca="1" si="8"/>
        <v>#VALUE!</v>
      </c>
      <c r="E48" s="126" t="e">
        <f t="shared" ca="1" si="8"/>
        <v>#VALUE!</v>
      </c>
      <c r="F48" s="126" t="e">
        <f t="shared" ca="1" si="8"/>
        <v>#VALUE!</v>
      </c>
      <c r="G48" s="126" t="e">
        <f t="shared" ca="1" si="8"/>
        <v>#VALUE!</v>
      </c>
      <c r="H48" s="126" t="e">
        <f t="shared" ca="1" si="8"/>
        <v>#VALUE!</v>
      </c>
      <c r="I48" s="126" t="e">
        <f t="shared" ca="1" si="8"/>
        <v>#VALUE!</v>
      </c>
      <c r="J48" s="126" t="e">
        <f t="shared" ca="1" si="8"/>
        <v>#VALUE!</v>
      </c>
      <c r="K48" s="126" t="e">
        <f t="shared" ca="1" si="8"/>
        <v>#VALUE!</v>
      </c>
      <c r="L48" s="126" t="e">
        <f t="shared" ca="1" si="5"/>
        <v>#VALUE!</v>
      </c>
      <c r="M48" s="126" t="e">
        <f t="shared" ca="1" si="9"/>
        <v>#VALUE!</v>
      </c>
      <c r="N48" s="126" t="e">
        <f t="shared" ca="1" si="9"/>
        <v>#VALUE!</v>
      </c>
      <c r="O48" s="126" t="e">
        <f t="shared" ca="1" si="9"/>
        <v>#VALUE!</v>
      </c>
      <c r="P48" s="126" t="e">
        <f t="shared" ca="1" si="9"/>
        <v>#VALUE!</v>
      </c>
      <c r="Q48" s="126" t="e">
        <f t="shared" ca="1" si="9"/>
        <v>#VALUE!</v>
      </c>
      <c r="R48" s="126" t="e">
        <f t="shared" ca="1" si="9"/>
        <v>#VALUE!</v>
      </c>
      <c r="S48" s="126" t="e">
        <f t="shared" ca="1" si="9"/>
        <v>#VALUE!</v>
      </c>
      <c r="T48" s="126" t="e">
        <f t="shared" ca="1" si="9"/>
        <v>#VALUE!</v>
      </c>
      <c r="U48" s="126" t="e">
        <f t="shared" ca="1" si="9"/>
        <v>#VALUE!</v>
      </c>
      <c r="V48" s="126" t="e">
        <f t="shared" ca="1" si="9"/>
        <v>#VALUE!</v>
      </c>
      <c r="W48" s="126" t="e">
        <f t="shared" ca="1" si="9"/>
        <v>#VALUE!</v>
      </c>
      <c r="X48" s="126" t="e">
        <f t="shared" ca="1" si="9"/>
        <v>#VALUE!</v>
      </c>
      <c r="Y48" s="126" t="e">
        <f t="shared" ca="1" si="9"/>
        <v>#VALUE!</v>
      </c>
      <c r="Z48" s="126" t="e">
        <f t="shared" ca="1" si="9"/>
        <v>#VALUE!</v>
      </c>
      <c r="AA48" s="126" t="e">
        <f t="shared" ca="1" si="9"/>
        <v>#VALUE!</v>
      </c>
      <c r="AB48" s="126" t="e">
        <f t="shared" ca="1" si="9"/>
        <v>#VALUE!</v>
      </c>
      <c r="AC48" s="126" t="e">
        <f t="shared" ca="1" si="9"/>
        <v>#VALUE!</v>
      </c>
      <c r="AD48" s="126" t="e">
        <f t="shared" ca="1" si="9"/>
        <v>#VALUE!</v>
      </c>
      <c r="AE48" s="126" t="e">
        <f t="shared" ca="1" si="9"/>
        <v>#VALUE!</v>
      </c>
      <c r="AF48" s="126" t="e">
        <f t="shared" ca="1" si="9"/>
        <v>#VALUE!</v>
      </c>
      <c r="AG48" s="126" t="e">
        <f t="shared" ca="1" si="9"/>
        <v>#VALUE!</v>
      </c>
      <c r="AH48" s="126" t="e">
        <f t="shared" ca="1" si="9"/>
        <v>#VALUE!</v>
      </c>
      <c r="AI48" s="126" t="e">
        <f t="shared" ca="1" si="9"/>
        <v>#VALUE!</v>
      </c>
      <c r="AJ48" s="126" t="e">
        <f t="shared" ca="1" si="9"/>
        <v>#VALUE!</v>
      </c>
      <c r="AK48" s="126" t="e">
        <f t="shared" ca="1" si="9"/>
        <v>#VALUE!</v>
      </c>
      <c r="AL48" s="126" t="e">
        <f t="shared" ca="1" si="9"/>
        <v>#VALUE!</v>
      </c>
      <c r="AM48" s="126" t="e">
        <f t="shared" ca="1" si="9"/>
        <v>#VALUE!</v>
      </c>
      <c r="AN48" s="126" t="e">
        <f t="shared" ca="1" si="9"/>
        <v>#VALUE!</v>
      </c>
      <c r="AO48" s="126" t="e">
        <f t="shared" ca="1" si="9"/>
        <v>#VALUE!</v>
      </c>
      <c r="AP48" s="126" t="e">
        <f t="shared" ca="1" si="9"/>
        <v>#VALUE!</v>
      </c>
      <c r="AQ48" s="126" t="e">
        <f t="shared" ca="1" si="9"/>
        <v>#VALUE!</v>
      </c>
      <c r="AR48" s="126" t="e">
        <f t="shared" ca="1" si="9"/>
        <v>#VALUE!</v>
      </c>
      <c r="AS48" s="126" t="e">
        <f t="shared" ca="1" si="9"/>
        <v>#VALUE!</v>
      </c>
      <c r="AT48" s="126" t="e">
        <f t="shared" ca="1" si="9"/>
        <v>#VALUE!</v>
      </c>
      <c r="AU48" s="126" t="e">
        <f t="shared" ca="1" si="9"/>
        <v>#VALUE!</v>
      </c>
    </row>
    <row r="49" spans="2:47" x14ac:dyDescent="0.25">
      <c r="B49" t="s">
        <v>511</v>
      </c>
      <c r="C49" s="126" t="e">
        <f t="shared" ca="1" si="8"/>
        <v>#VALUE!</v>
      </c>
      <c r="D49" s="126" t="e">
        <f t="shared" ca="1" si="8"/>
        <v>#VALUE!</v>
      </c>
      <c r="E49" s="126" t="e">
        <f t="shared" ca="1" si="8"/>
        <v>#VALUE!</v>
      </c>
      <c r="F49" s="126" t="e">
        <f t="shared" ca="1" si="8"/>
        <v>#VALUE!</v>
      </c>
      <c r="G49" s="126" t="e">
        <f t="shared" ca="1" si="8"/>
        <v>#VALUE!</v>
      </c>
      <c r="H49" s="126" t="e">
        <f t="shared" ca="1" si="8"/>
        <v>#VALUE!</v>
      </c>
      <c r="I49" s="126" t="e">
        <f t="shared" ca="1" si="8"/>
        <v>#VALUE!</v>
      </c>
      <c r="J49" s="126" t="e">
        <f t="shared" ca="1" si="8"/>
        <v>#VALUE!</v>
      </c>
      <c r="K49" s="126" t="e">
        <f t="shared" ca="1" si="8"/>
        <v>#VALUE!</v>
      </c>
      <c r="L49" s="126" t="e">
        <f t="shared" ca="1" si="5"/>
        <v>#VALUE!</v>
      </c>
      <c r="M49" s="126" t="e">
        <f t="shared" ca="1" si="9"/>
        <v>#VALUE!</v>
      </c>
      <c r="N49" s="126" t="e">
        <f t="shared" ca="1" si="9"/>
        <v>#VALUE!</v>
      </c>
      <c r="O49" s="126" t="e">
        <f t="shared" ca="1" si="9"/>
        <v>#VALUE!</v>
      </c>
      <c r="P49" s="126" t="e">
        <f t="shared" ca="1" si="9"/>
        <v>#VALUE!</v>
      </c>
      <c r="Q49" s="126" t="e">
        <f t="shared" ca="1" si="9"/>
        <v>#VALUE!</v>
      </c>
      <c r="R49" s="126" t="e">
        <f t="shared" ca="1" si="9"/>
        <v>#VALUE!</v>
      </c>
      <c r="S49" s="126" t="e">
        <f t="shared" ca="1" si="9"/>
        <v>#VALUE!</v>
      </c>
      <c r="T49" s="126" t="e">
        <f t="shared" ca="1" si="9"/>
        <v>#VALUE!</v>
      </c>
      <c r="U49" s="126" t="e">
        <f t="shared" ca="1" si="9"/>
        <v>#VALUE!</v>
      </c>
      <c r="V49" s="126" t="e">
        <f t="shared" ca="1" si="9"/>
        <v>#VALUE!</v>
      </c>
      <c r="W49" s="126" t="e">
        <f t="shared" ca="1" si="9"/>
        <v>#VALUE!</v>
      </c>
      <c r="X49" s="126" t="e">
        <f t="shared" ca="1" si="9"/>
        <v>#VALUE!</v>
      </c>
      <c r="Y49" s="126" t="e">
        <f t="shared" ca="1" si="9"/>
        <v>#VALUE!</v>
      </c>
      <c r="Z49" s="126" t="e">
        <f t="shared" ca="1" si="9"/>
        <v>#VALUE!</v>
      </c>
      <c r="AA49" s="126" t="e">
        <f t="shared" ca="1" si="9"/>
        <v>#VALUE!</v>
      </c>
      <c r="AB49" s="126" t="e">
        <f t="shared" ca="1" si="9"/>
        <v>#VALUE!</v>
      </c>
      <c r="AC49" s="126" t="e">
        <f t="shared" ca="1" si="9"/>
        <v>#VALUE!</v>
      </c>
      <c r="AD49" s="126" t="e">
        <f t="shared" ca="1" si="9"/>
        <v>#VALUE!</v>
      </c>
      <c r="AE49" s="126" t="e">
        <f t="shared" ca="1" si="9"/>
        <v>#VALUE!</v>
      </c>
      <c r="AF49" s="126" t="e">
        <f t="shared" ca="1" si="9"/>
        <v>#VALUE!</v>
      </c>
      <c r="AG49" s="126" t="e">
        <f t="shared" ref="M49:AU56" ca="1" si="10">Output("SCEN_ADEMEhaut",$B49,AG$1)</f>
        <v>#VALUE!</v>
      </c>
      <c r="AH49" s="126" t="e">
        <f t="shared" ca="1" si="10"/>
        <v>#VALUE!</v>
      </c>
      <c r="AI49" s="126" t="e">
        <f t="shared" ca="1" si="10"/>
        <v>#VALUE!</v>
      </c>
      <c r="AJ49" s="126" t="e">
        <f t="shared" ca="1" si="10"/>
        <v>#VALUE!</v>
      </c>
      <c r="AK49" s="126" t="e">
        <f t="shared" ca="1" si="10"/>
        <v>#VALUE!</v>
      </c>
      <c r="AL49" s="126" t="e">
        <f t="shared" ca="1" si="10"/>
        <v>#VALUE!</v>
      </c>
      <c r="AM49" s="126" t="e">
        <f t="shared" ca="1" si="10"/>
        <v>#VALUE!</v>
      </c>
      <c r="AN49" s="126" t="e">
        <f t="shared" ca="1" si="10"/>
        <v>#VALUE!</v>
      </c>
      <c r="AO49" s="126" t="e">
        <f t="shared" ca="1" si="10"/>
        <v>#VALUE!</v>
      </c>
      <c r="AP49" s="126" t="e">
        <f t="shared" ca="1" si="10"/>
        <v>#VALUE!</v>
      </c>
      <c r="AQ49" s="126" t="e">
        <f t="shared" ca="1" si="10"/>
        <v>#VALUE!</v>
      </c>
      <c r="AR49" s="126" t="e">
        <f t="shared" ca="1" si="10"/>
        <v>#VALUE!</v>
      </c>
      <c r="AS49" s="126" t="e">
        <f t="shared" ca="1" si="10"/>
        <v>#VALUE!</v>
      </c>
      <c r="AT49" s="126" t="e">
        <f t="shared" ca="1" si="10"/>
        <v>#VALUE!</v>
      </c>
      <c r="AU49" s="126" t="e">
        <f t="shared" ca="1" si="10"/>
        <v>#VALUE!</v>
      </c>
    </row>
    <row r="50" spans="2:47" x14ac:dyDescent="0.25">
      <c r="B50" t="s">
        <v>512</v>
      </c>
      <c r="C50" s="126" t="e">
        <f t="shared" ca="1" si="8"/>
        <v>#VALUE!</v>
      </c>
      <c r="D50" s="126" t="e">
        <f t="shared" ca="1" si="8"/>
        <v>#VALUE!</v>
      </c>
      <c r="E50" s="126" t="e">
        <f t="shared" ca="1" si="8"/>
        <v>#VALUE!</v>
      </c>
      <c r="F50" s="126" t="e">
        <f t="shared" ca="1" si="8"/>
        <v>#VALUE!</v>
      </c>
      <c r="G50" s="126" t="e">
        <f t="shared" ca="1" si="8"/>
        <v>#VALUE!</v>
      </c>
      <c r="H50" s="126" t="e">
        <f t="shared" ca="1" si="8"/>
        <v>#VALUE!</v>
      </c>
      <c r="I50" s="126" t="e">
        <f t="shared" ca="1" si="8"/>
        <v>#VALUE!</v>
      </c>
      <c r="J50" s="126" t="e">
        <f t="shared" ca="1" si="8"/>
        <v>#VALUE!</v>
      </c>
      <c r="K50" s="126" t="e">
        <f t="shared" ca="1" si="8"/>
        <v>#VALUE!</v>
      </c>
      <c r="L50" s="126" t="e">
        <f t="shared" ca="1" si="5"/>
        <v>#VALUE!</v>
      </c>
      <c r="M50" s="126" t="e">
        <f t="shared" ca="1" si="10"/>
        <v>#VALUE!</v>
      </c>
      <c r="N50" s="126" t="e">
        <f t="shared" ca="1" si="10"/>
        <v>#VALUE!</v>
      </c>
      <c r="O50" s="126" t="e">
        <f t="shared" ca="1" si="10"/>
        <v>#VALUE!</v>
      </c>
      <c r="P50" s="126" t="e">
        <f t="shared" ca="1" si="10"/>
        <v>#VALUE!</v>
      </c>
      <c r="Q50" s="126" t="e">
        <f t="shared" ca="1" si="10"/>
        <v>#VALUE!</v>
      </c>
      <c r="R50" s="126" t="e">
        <f t="shared" ca="1" si="10"/>
        <v>#VALUE!</v>
      </c>
      <c r="S50" s="126" t="e">
        <f t="shared" ca="1" si="10"/>
        <v>#VALUE!</v>
      </c>
      <c r="T50" s="126" t="e">
        <f t="shared" ca="1" si="10"/>
        <v>#VALUE!</v>
      </c>
      <c r="U50" s="126" t="e">
        <f t="shared" ca="1" si="10"/>
        <v>#VALUE!</v>
      </c>
      <c r="V50" s="126" t="e">
        <f t="shared" ca="1" si="10"/>
        <v>#VALUE!</v>
      </c>
      <c r="W50" s="126" t="e">
        <f t="shared" ca="1" si="10"/>
        <v>#VALUE!</v>
      </c>
      <c r="X50" s="126" t="e">
        <f t="shared" ca="1" si="10"/>
        <v>#VALUE!</v>
      </c>
      <c r="Y50" s="126" t="e">
        <f t="shared" ca="1" si="10"/>
        <v>#VALUE!</v>
      </c>
      <c r="Z50" s="126" t="e">
        <f t="shared" ca="1" si="10"/>
        <v>#VALUE!</v>
      </c>
      <c r="AA50" s="126" t="e">
        <f t="shared" ca="1" si="10"/>
        <v>#VALUE!</v>
      </c>
      <c r="AB50" s="126" t="e">
        <f t="shared" ca="1" si="10"/>
        <v>#VALUE!</v>
      </c>
      <c r="AC50" s="126" t="e">
        <f t="shared" ca="1" si="10"/>
        <v>#VALUE!</v>
      </c>
      <c r="AD50" s="126" t="e">
        <f t="shared" ca="1" si="10"/>
        <v>#VALUE!</v>
      </c>
      <c r="AE50" s="126" t="e">
        <f t="shared" ca="1" si="10"/>
        <v>#VALUE!</v>
      </c>
      <c r="AF50" s="126" t="e">
        <f t="shared" ca="1" si="10"/>
        <v>#VALUE!</v>
      </c>
      <c r="AG50" s="126" t="e">
        <f t="shared" ca="1" si="10"/>
        <v>#VALUE!</v>
      </c>
      <c r="AH50" s="126" t="e">
        <f t="shared" ca="1" si="10"/>
        <v>#VALUE!</v>
      </c>
      <c r="AI50" s="126" t="e">
        <f t="shared" ca="1" si="10"/>
        <v>#VALUE!</v>
      </c>
      <c r="AJ50" s="126" t="e">
        <f t="shared" ca="1" si="10"/>
        <v>#VALUE!</v>
      </c>
      <c r="AK50" s="126" t="e">
        <f t="shared" ca="1" si="10"/>
        <v>#VALUE!</v>
      </c>
      <c r="AL50" s="126" t="e">
        <f t="shared" ca="1" si="10"/>
        <v>#VALUE!</v>
      </c>
      <c r="AM50" s="126" t="e">
        <f t="shared" ca="1" si="10"/>
        <v>#VALUE!</v>
      </c>
      <c r="AN50" s="126" t="e">
        <f t="shared" ca="1" si="10"/>
        <v>#VALUE!</v>
      </c>
      <c r="AO50" s="126" t="e">
        <f t="shared" ca="1" si="10"/>
        <v>#VALUE!</v>
      </c>
      <c r="AP50" s="126" t="e">
        <f t="shared" ca="1" si="10"/>
        <v>#VALUE!</v>
      </c>
      <c r="AQ50" s="126" t="e">
        <f t="shared" ca="1" si="10"/>
        <v>#VALUE!</v>
      </c>
      <c r="AR50" s="126" t="e">
        <f t="shared" ca="1" si="10"/>
        <v>#VALUE!</v>
      </c>
      <c r="AS50" s="126" t="e">
        <f t="shared" ca="1" si="10"/>
        <v>#VALUE!</v>
      </c>
      <c r="AT50" s="126" t="e">
        <f t="shared" ca="1" si="10"/>
        <v>#VALUE!</v>
      </c>
      <c r="AU50" s="126" t="e">
        <f t="shared" ca="1" si="10"/>
        <v>#VALUE!</v>
      </c>
    </row>
    <row r="51" spans="2:47" x14ac:dyDescent="0.25">
      <c r="B51" t="s">
        <v>513</v>
      </c>
      <c r="C51" s="126" t="e">
        <f t="shared" ca="1" si="8"/>
        <v>#VALUE!</v>
      </c>
      <c r="D51" s="126" t="e">
        <f t="shared" ca="1" si="8"/>
        <v>#VALUE!</v>
      </c>
      <c r="E51" s="126" t="e">
        <f t="shared" ca="1" si="8"/>
        <v>#VALUE!</v>
      </c>
      <c r="F51" s="126" t="e">
        <f t="shared" ca="1" si="8"/>
        <v>#VALUE!</v>
      </c>
      <c r="G51" s="126" t="e">
        <f t="shared" ca="1" si="8"/>
        <v>#VALUE!</v>
      </c>
      <c r="H51" s="126" t="e">
        <f t="shared" ca="1" si="8"/>
        <v>#VALUE!</v>
      </c>
      <c r="I51" s="126" t="e">
        <f t="shared" ca="1" si="8"/>
        <v>#VALUE!</v>
      </c>
      <c r="J51" s="126" t="e">
        <f t="shared" ca="1" si="8"/>
        <v>#VALUE!</v>
      </c>
      <c r="K51" s="126" t="e">
        <f t="shared" ca="1" si="8"/>
        <v>#VALUE!</v>
      </c>
      <c r="L51" s="126" t="e">
        <f t="shared" ca="1" si="5"/>
        <v>#VALUE!</v>
      </c>
      <c r="M51" s="126" t="e">
        <f t="shared" ca="1" si="10"/>
        <v>#VALUE!</v>
      </c>
      <c r="N51" s="126" t="e">
        <f t="shared" ca="1" si="10"/>
        <v>#VALUE!</v>
      </c>
      <c r="O51" s="126" t="e">
        <f t="shared" ca="1" si="10"/>
        <v>#VALUE!</v>
      </c>
      <c r="P51" s="126" t="e">
        <f t="shared" ca="1" si="10"/>
        <v>#VALUE!</v>
      </c>
      <c r="Q51" s="126" t="e">
        <f t="shared" ca="1" si="10"/>
        <v>#VALUE!</v>
      </c>
      <c r="R51" s="126" t="e">
        <f t="shared" ca="1" si="10"/>
        <v>#VALUE!</v>
      </c>
      <c r="S51" s="126" t="e">
        <f t="shared" ca="1" si="10"/>
        <v>#VALUE!</v>
      </c>
      <c r="T51" s="126" t="e">
        <f t="shared" ca="1" si="10"/>
        <v>#VALUE!</v>
      </c>
      <c r="U51" s="126" t="e">
        <f t="shared" ca="1" si="10"/>
        <v>#VALUE!</v>
      </c>
      <c r="V51" s="126" t="e">
        <f t="shared" ca="1" si="10"/>
        <v>#VALUE!</v>
      </c>
      <c r="W51" s="126" t="e">
        <f t="shared" ca="1" si="10"/>
        <v>#VALUE!</v>
      </c>
      <c r="X51" s="126" t="e">
        <f t="shared" ca="1" si="10"/>
        <v>#VALUE!</v>
      </c>
      <c r="Y51" s="126" t="e">
        <f t="shared" ca="1" si="10"/>
        <v>#VALUE!</v>
      </c>
      <c r="Z51" s="126" t="e">
        <f t="shared" ca="1" si="10"/>
        <v>#VALUE!</v>
      </c>
      <c r="AA51" s="126" t="e">
        <f t="shared" ca="1" si="10"/>
        <v>#VALUE!</v>
      </c>
      <c r="AB51" s="126" t="e">
        <f t="shared" ca="1" si="10"/>
        <v>#VALUE!</v>
      </c>
      <c r="AC51" s="126" t="e">
        <f t="shared" ca="1" si="10"/>
        <v>#VALUE!</v>
      </c>
      <c r="AD51" s="126" t="e">
        <f t="shared" ca="1" si="10"/>
        <v>#VALUE!</v>
      </c>
      <c r="AE51" s="126" t="e">
        <f t="shared" ca="1" si="10"/>
        <v>#VALUE!</v>
      </c>
      <c r="AF51" s="126" t="e">
        <f t="shared" ca="1" si="10"/>
        <v>#VALUE!</v>
      </c>
      <c r="AG51" s="126" t="e">
        <f t="shared" ca="1" si="10"/>
        <v>#VALUE!</v>
      </c>
      <c r="AH51" s="126" t="e">
        <f t="shared" ca="1" si="10"/>
        <v>#VALUE!</v>
      </c>
      <c r="AI51" s="126" t="e">
        <f t="shared" ca="1" si="10"/>
        <v>#VALUE!</v>
      </c>
      <c r="AJ51" s="126" t="e">
        <f t="shared" ca="1" si="10"/>
        <v>#VALUE!</v>
      </c>
      <c r="AK51" s="126" t="e">
        <f t="shared" ca="1" si="10"/>
        <v>#VALUE!</v>
      </c>
      <c r="AL51" s="126" t="e">
        <f t="shared" ca="1" si="10"/>
        <v>#VALUE!</v>
      </c>
      <c r="AM51" s="126" t="e">
        <f t="shared" ca="1" si="10"/>
        <v>#VALUE!</v>
      </c>
      <c r="AN51" s="126" t="e">
        <f t="shared" ca="1" si="10"/>
        <v>#VALUE!</v>
      </c>
      <c r="AO51" s="126" t="e">
        <f t="shared" ca="1" si="10"/>
        <v>#VALUE!</v>
      </c>
      <c r="AP51" s="126" t="e">
        <f t="shared" ca="1" si="10"/>
        <v>#VALUE!</v>
      </c>
      <c r="AQ51" s="126" t="e">
        <f t="shared" ca="1" si="10"/>
        <v>#VALUE!</v>
      </c>
      <c r="AR51" s="126" t="e">
        <f t="shared" ca="1" si="10"/>
        <v>#VALUE!</v>
      </c>
      <c r="AS51" s="126" t="e">
        <f t="shared" ca="1" si="10"/>
        <v>#VALUE!</v>
      </c>
      <c r="AT51" s="126" t="e">
        <f t="shared" ca="1" si="10"/>
        <v>#VALUE!</v>
      </c>
      <c r="AU51" s="126" t="e">
        <f t="shared" ca="1" si="10"/>
        <v>#VALUE!</v>
      </c>
    </row>
    <row r="52" spans="2:47" x14ac:dyDescent="0.25">
      <c r="B52" t="s">
        <v>514</v>
      </c>
      <c r="C52" s="126" t="e">
        <f t="shared" ref="C52:K66" ca="1" si="11">Output("SCEN_ADEMEhaut",$B52,C$1)</f>
        <v>#VALUE!</v>
      </c>
      <c r="D52" s="126" t="e">
        <f t="shared" ca="1" si="11"/>
        <v>#VALUE!</v>
      </c>
      <c r="E52" s="126" t="e">
        <f t="shared" ca="1" si="11"/>
        <v>#VALUE!</v>
      </c>
      <c r="F52" s="126" t="e">
        <f t="shared" ca="1" si="11"/>
        <v>#VALUE!</v>
      </c>
      <c r="G52" s="126" t="e">
        <f t="shared" ca="1" si="11"/>
        <v>#VALUE!</v>
      </c>
      <c r="H52" s="126" t="e">
        <f t="shared" ca="1" si="11"/>
        <v>#VALUE!</v>
      </c>
      <c r="I52" s="126" t="e">
        <f t="shared" ca="1" si="11"/>
        <v>#VALUE!</v>
      </c>
      <c r="J52" s="126" t="e">
        <f t="shared" ca="1" si="11"/>
        <v>#VALUE!</v>
      </c>
      <c r="K52" s="126" t="e">
        <f t="shared" ca="1" si="11"/>
        <v>#VALUE!</v>
      </c>
      <c r="L52" s="126" t="e">
        <f t="shared" ca="1" si="5"/>
        <v>#VALUE!</v>
      </c>
      <c r="M52" s="126" t="e">
        <f t="shared" ca="1" si="10"/>
        <v>#VALUE!</v>
      </c>
      <c r="N52" s="126" t="e">
        <f t="shared" ca="1" si="10"/>
        <v>#VALUE!</v>
      </c>
      <c r="O52" s="126" t="e">
        <f t="shared" ca="1" si="10"/>
        <v>#VALUE!</v>
      </c>
      <c r="P52" s="126" t="e">
        <f t="shared" ca="1" si="10"/>
        <v>#VALUE!</v>
      </c>
      <c r="Q52" s="126" t="e">
        <f t="shared" ca="1" si="10"/>
        <v>#VALUE!</v>
      </c>
      <c r="R52" s="126" t="e">
        <f t="shared" ca="1" si="10"/>
        <v>#VALUE!</v>
      </c>
      <c r="S52" s="126" t="e">
        <f t="shared" ca="1" si="10"/>
        <v>#VALUE!</v>
      </c>
      <c r="T52" s="126" t="e">
        <f t="shared" ca="1" si="10"/>
        <v>#VALUE!</v>
      </c>
      <c r="U52" s="126" t="e">
        <f t="shared" ca="1" si="10"/>
        <v>#VALUE!</v>
      </c>
      <c r="V52" s="126" t="e">
        <f t="shared" ca="1" si="10"/>
        <v>#VALUE!</v>
      </c>
      <c r="W52" s="126" t="e">
        <f t="shared" ca="1" si="10"/>
        <v>#VALUE!</v>
      </c>
      <c r="X52" s="126" t="e">
        <f t="shared" ca="1" si="10"/>
        <v>#VALUE!</v>
      </c>
      <c r="Y52" s="126" t="e">
        <f t="shared" ca="1" si="10"/>
        <v>#VALUE!</v>
      </c>
      <c r="Z52" s="126" t="e">
        <f t="shared" ca="1" si="10"/>
        <v>#VALUE!</v>
      </c>
      <c r="AA52" s="126" t="e">
        <f t="shared" ca="1" si="10"/>
        <v>#VALUE!</v>
      </c>
      <c r="AB52" s="126" t="e">
        <f t="shared" ca="1" si="10"/>
        <v>#VALUE!</v>
      </c>
      <c r="AC52" s="126" t="e">
        <f t="shared" ca="1" si="10"/>
        <v>#VALUE!</v>
      </c>
      <c r="AD52" s="126" t="e">
        <f t="shared" ca="1" si="10"/>
        <v>#VALUE!</v>
      </c>
      <c r="AE52" s="126" t="e">
        <f t="shared" ca="1" si="10"/>
        <v>#VALUE!</v>
      </c>
      <c r="AF52" s="126" t="e">
        <f t="shared" ca="1" si="10"/>
        <v>#VALUE!</v>
      </c>
      <c r="AG52" s="126" t="e">
        <f t="shared" ca="1" si="10"/>
        <v>#VALUE!</v>
      </c>
      <c r="AH52" s="126" t="e">
        <f t="shared" ca="1" si="10"/>
        <v>#VALUE!</v>
      </c>
      <c r="AI52" s="126" t="e">
        <f t="shared" ca="1" si="10"/>
        <v>#VALUE!</v>
      </c>
      <c r="AJ52" s="126" t="e">
        <f t="shared" ca="1" si="10"/>
        <v>#VALUE!</v>
      </c>
      <c r="AK52" s="126" t="e">
        <f t="shared" ca="1" si="10"/>
        <v>#VALUE!</v>
      </c>
      <c r="AL52" s="126" t="e">
        <f t="shared" ca="1" si="10"/>
        <v>#VALUE!</v>
      </c>
      <c r="AM52" s="126" t="e">
        <f t="shared" ca="1" si="10"/>
        <v>#VALUE!</v>
      </c>
      <c r="AN52" s="126" t="e">
        <f t="shared" ca="1" si="10"/>
        <v>#VALUE!</v>
      </c>
      <c r="AO52" s="126" t="e">
        <f t="shared" ca="1" si="10"/>
        <v>#VALUE!</v>
      </c>
      <c r="AP52" s="126" t="e">
        <f t="shared" ca="1" si="10"/>
        <v>#VALUE!</v>
      </c>
      <c r="AQ52" s="126" t="e">
        <f t="shared" ca="1" si="10"/>
        <v>#VALUE!</v>
      </c>
      <c r="AR52" s="126" t="e">
        <f t="shared" ca="1" si="10"/>
        <v>#VALUE!</v>
      </c>
      <c r="AS52" s="126" t="e">
        <f t="shared" ca="1" si="10"/>
        <v>#VALUE!</v>
      </c>
      <c r="AT52" s="126" t="e">
        <f t="shared" ca="1" si="10"/>
        <v>#VALUE!</v>
      </c>
      <c r="AU52" s="126" t="e">
        <f t="shared" ca="1" si="10"/>
        <v>#VALUE!</v>
      </c>
    </row>
    <row r="53" spans="2:47" x14ac:dyDescent="0.25">
      <c r="B53" t="s">
        <v>515</v>
      </c>
      <c r="C53" s="126" t="e">
        <f t="shared" ca="1" si="11"/>
        <v>#VALUE!</v>
      </c>
      <c r="D53" s="126" t="e">
        <f t="shared" ca="1" si="11"/>
        <v>#VALUE!</v>
      </c>
      <c r="E53" s="126" t="e">
        <f t="shared" ca="1" si="11"/>
        <v>#VALUE!</v>
      </c>
      <c r="F53" s="126" t="e">
        <f t="shared" ca="1" si="11"/>
        <v>#VALUE!</v>
      </c>
      <c r="G53" s="126" t="e">
        <f t="shared" ca="1" si="11"/>
        <v>#VALUE!</v>
      </c>
      <c r="H53" s="126" t="e">
        <f t="shared" ca="1" si="11"/>
        <v>#VALUE!</v>
      </c>
      <c r="I53" s="126" t="e">
        <f t="shared" ca="1" si="11"/>
        <v>#VALUE!</v>
      </c>
      <c r="J53" s="126" t="e">
        <f t="shared" ca="1" si="11"/>
        <v>#VALUE!</v>
      </c>
      <c r="K53" s="126" t="e">
        <f t="shared" ca="1" si="11"/>
        <v>#VALUE!</v>
      </c>
      <c r="L53" s="126" t="e">
        <f t="shared" ca="1" si="5"/>
        <v>#VALUE!</v>
      </c>
      <c r="M53" s="126" t="e">
        <f t="shared" ca="1" si="10"/>
        <v>#VALUE!</v>
      </c>
      <c r="N53" s="126" t="e">
        <f t="shared" ca="1" si="10"/>
        <v>#VALUE!</v>
      </c>
      <c r="O53" s="126" t="e">
        <f t="shared" ca="1" si="10"/>
        <v>#VALUE!</v>
      </c>
      <c r="P53" s="126" t="e">
        <f t="shared" ca="1" si="10"/>
        <v>#VALUE!</v>
      </c>
      <c r="Q53" s="126" t="e">
        <f t="shared" ca="1" si="10"/>
        <v>#VALUE!</v>
      </c>
      <c r="R53" s="126" t="e">
        <f t="shared" ca="1" si="10"/>
        <v>#VALUE!</v>
      </c>
      <c r="S53" s="126" t="e">
        <f t="shared" ca="1" si="10"/>
        <v>#VALUE!</v>
      </c>
      <c r="T53" s="126" t="e">
        <f t="shared" ca="1" si="10"/>
        <v>#VALUE!</v>
      </c>
      <c r="U53" s="126" t="e">
        <f t="shared" ca="1" si="10"/>
        <v>#VALUE!</v>
      </c>
      <c r="V53" s="126" t="e">
        <f t="shared" ca="1" si="10"/>
        <v>#VALUE!</v>
      </c>
      <c r="W53" s="126" t="e">
        <f t="shared" ca="1" si="10"/>
        <v>#VALUE!</v>
      </c>
      <c r="X53" s="126" t="e">
        <f t="shared" ca="1" si="10"/>
        <v>#VALUE!</v>
      </c>
      <c r="Y53" s="126" t="e">
        <f t="shared" ca="1" si="10"/>
        <v>#VALUE!</v>
      </c>
      <c r="Z53" s="126" t="e">
        <f t="shared" ca="1" si="10"/>
        <v>#VALUE!</v>
      </c>
      <c r="AA53" s="126" t="e">
        <f t="shared" ca="1" si="10"/>
        <v>#VALUE!</v>
      </c>
      <c r="AB53" s="126" t="e">
        <f t="shared" ca="1" si="10"/>
        <v>#VALUE!</v>
      </c>
      <c r="AC53" s="126" t="e">
        <f t="shared" ca="1" si="10"/>
        <v>#VALUE!</v>
      </c>
      <c r="AD53" s="126" t="e">
        <f t="shared" ca="1" si="10"/>
        <v>#VALUE!</v>
      </c>
      <c r="AE53" s="126" t="e">
        <f t="shared" ca="1" si="10"/>
        <v>#VALUE!</v>
      </c>
      <c r="AF53" s="126" t="e">
        <f t="shared" ca="1" si="10"/>
        <v>#VALUE!</v>
      </c>
      <c r="AG53" s="126" t="e">
        <f t="shared" ca="1" si="10"/>
        <v>#VALUE!</v>
      </c>
      <c r="AH53" s="126" t="e">
        <f t="shared" ca="1" si="10"/>
        <v>#VALUE!</v>
      </c>
      <c r="AI53" s="126" t="e">
        <f t="shared" ca="1" si="10"/>
        <v>#VALUE!</v>
      </c>
      <c r="AJ53" s="126" t="e">
        <f t="shared" ca="1" si="10"/>
        <v>#VALUE!</v>
      </c>
      <c r="AK53" s="126" t="e">
        <f t="shared" ca="1" si="10"/>
        <v>#VALUE!</v>
      </c>
      <c r="AL53" s="126" t="e">
        <f t="shared" ca="1" si="10"/>
        <v>#VALUE!</v>
      </c>
      <c r="AM53" s="126" t="e">
        <f t="shared" ca="1" si="10"/>
        <v>#VALUE!</v>
      </c>
      <c r="AN53" s="126" t="e">
        <f t="shared" ca="1" si="10"/>
        <v>#VALUE!</v>
      </c>
      <c r="AO53" s="126" t="e">
        <f t="shared" ca="1" si="10"/>
        <v>#VALUE!</v>
      </c>
      <c r="AP53" s="126" t="e">
        <f t="shared" ca="1" si="10"/>
        <v>#VALUE!</v>
      </c>
      <c r="AQ53" s="126" t="e">
        <f t="shared" ca="1" si="10"/>
        <v>#VALUE!</v>
      </c>
      <c r="AR53" s="126" t="e">
        <f t="shared" ca="1" si="10"/>
        <v>#VALUE!</v>
      </c>
      <c r="AS53" s="126" t="e">
        <f t="shared" ca="1" si="10"/>
        <v>#VALUE!</v>
      </c>
      <c r="AT53" s="126" t="e">
        <f t="shared" ca="1" si="10"/>
        <v>#VALUE!</v>
      </c>
      <c r="AU53" s="126" t="e">
        <f t="shared" ca="1" si="10"/>
        <v>#VALUE!</v>
      </c>
    </row>
    <row r="54" spans="2:47" x14ac:dyDescent="0.25">
      <c r="B54" t="s">
        <v>516</v>
      </c>
      <c r="C54" s="126" t="e">
        <f t="shared" ca="1" si="11"/>
        <v>#VALUE!</v>
      </c>
      <c r="D54" s="126" t="e">
        <f t="shared" ca="1" si="11"/>
        <v>#VALUE!</v>
      </c>
      <c r="E54" s="126" t="e">
        <f t="shared" ca="1" si="11"/>
        <v>#VALUE!</v>
      </c>
      <c r="F54" s="126" t="e">
        <f t="shared" ca="1" si="11"/>
        <v>#VALUE!</v>
      </c>
      <c r="G54" s="126" t="e">
        <f t="shared" ca="1" si="11"/>
        <v>#VALUE!</v>
      </c>
      <c r="H54" s="126" t="e">
        <f t="shared" ca="1" si="11"/>
        <v>#VALUE!</v>
      </c>
      <c r="I54" s="126" t="e">
        <f t="shared" ca="1" si="11"/>
        <v>#VALUE!</v>
      </c>
      <c r="J54" s="126" t="e">
        <f t="shared" ca="1" si="11"/>
        <v>#VALUE!</v>
      </c>
      <c r="K54" s="126" t="e">
        <f t="shared" ca="1" si="11"/>
        <v>#VALUE!</v>
      </c>
      <c r="L54" s="126" t="e">
        <f t="shared" ca="1" si="5"/>
        <v>#VALUE!</v>
      </c>
      <c r="M54" s="126" t="e">
        <f t="shared" ca="1" si="10"/>
        <v>#VALUE!</v>
      </c>
      <c r="N54" s="126" t="e">
        <f t="shared" ca="1" si="10"/>
        <v>#VALUE!</v>
      </c>
      <c r="O54" s="126" t="e">
        <f t="shared" ca="1" si="10"/>
        <v>#VALUE!</v>
      </c>
      <c r="P54" s="126" t="e">
        <f t="shared" ca="1" si="10"/>
        <v>#VALUE!</v>
      </c>
      <c r="Q54" s="126" t="e">
        <f t="shared" ca="1" si="10"/>
        <v>#VALUE!</v>
      </c>
      <c r="R54" s="126" t="e">
        <f t="shared" ca="1" si="10"/>
        <v>#VALUE!</v>
      </c>
      <c r="S54" s="126" t="e">
        <f t="shared" ca="1" si="10"/>
        <v>#VALUE!</v>
      </c>
      <c r="T54" s="126" t="e">
        <f t="shared" ca="1" si="10"/>
        <v>#VALUE!</v>
      </c>
      <c r="U54" s="126" t="e">
        <f t="shared" ca="1" si="10"/>
        <v>#VALUE!</v>
      </c>
      <c r="V54" s="126" t="e">
        <f t="shared" ca="1" si="10"/>
        <v>#VALUE!</v>
      </c>
      <c r="W54" s="126" t="e">
        <f t="shared" ca="1" si="10"/>
        <v>#VALUE!</v>
      </c>
      <c r="X54" s="126" t="e">
        <f t="shared" ca="1" si="10"/>
        <v>#VALUE!</v>
      </c>
      <c r="Y54" s="126" t="e">
        <f t="shared" ca="1" si="10"/>
        <v>#VALUE!</v>
      </c>
      <c r="Z54" s="126" t="e">
        <f t="shared" ca="1" si="10"/>
        <v>#VALUE!</v>
      </c>
      <c r="AA54" s="126" t="e">
        <f t="shared" ca="1" si="10"/>
        <v>#VALUE!</v>
      </c>
      <c r="AB54" s="126" t="e">
        <f t="shared" ca="1" si="10"/>
        <v>#VALUE!</v>
      </c>
      <c r="AC54" s="126" t="e">
        <f t="shared" ca="1" si="10"/>
        <v>#VALUE!</v>
      </c>
      <c r="AD54" s="126" t="e">
        <f t="shared" ca="1" si="10"/>
        <v>#VALUE!</v>
      </c>
      <c r="AE54" s="126" t="e">
        <f t="shared" ca="1" si="10"/>
        <v>#VALUE!</v>
      </c>
      <c r="AF54" s="126" t="e">
        <f t="shared" ca="1" si="10"/>
        <v>#VALUE!</v>
      </c>
      <c r="AG54" s="126" t="e">
        <f t="shared" ca="1" si="10"/>
        <v>#VALUE!</v>
      </c>
      <c r="AH54" s="126" t="e">
        <f t="shared" ca="1" si="10"/>
        <v>#VALUE!</v>
      </c>
      <c r="AI54" s="126" t="e">
        <f t="shared" ca="1" si="10"/>
        <v>#VALUE!</v>
      </c>
      <c r="AJ54" s="126" t="e">
        <f t="shared" ca="1" si="10"/>
        <v>#VALUE!</v>
      </c>
      <c r="AK54" s="126" t="e">
        <f t="shared" ca="1" si="10"/>
        <v>#VALUE!</v>
      </c>
      <c r="AL54" s="126" t="e">
        <f t="shared" ca="1" si="10"/>
        <v>#VALUE!</v>
      </c>
      <c r="AM54" s="126" t="e">
        <f t="shared" ca="1" si="10"/>
        <v>#VALUE!</v>
      </c>
      <c r="AN54" s="126" t="e">
        <f t="shared" ca="1" si="10"/>
        <v>#VALUE!</v>
      </c>
      <c r="AO54" s="126" t="e">
        <f t="shared" ca="1" si="10"/>
        <v>#VALUE!</v>
      </c>
      <c r="AP54" s="126" t="e">
        <f t="shared" ca="1" si="10"/>
        <v>#VALUE!</v>
      </c>
      <c r="AQ54" s="126" t="e">
        <f t="shared" ca="1" si="10"/>
        <v>#VALUE!</v>
      </c>
      <c r="AR54" s="126" t="e">
        <f t="shared" ca="1" si="10"/>
        <v>#VALUE!</v>
      </c>
      <c r="AS54" s="126" t="e">
        <f t="shared" ca="1" si="10"/>
        <v>#VALUE!</v>
      </c>
      <c r="AT54" s="126" t="e">
        <f t="shared" ca="1" si="10"/>
        <v>#VALUE!</v>
      </c>
      <c r="AU54" s="126" t="e">
        <f t="shared" ca="1" si="10"/>
        <v>#VALUE!</v>
      </c>
    </row>
    <row r="55" spans="2:47" x14ac:dyDescent="0.25">
      <c r="B55" t="s">
        <v>517</v>
      </c>
      <c r="C55" s="126" t="e">
        <f t="shared" ca="1" si="11"/>
        <v>#VALUE!</v>
      </c>
      <c r="D55" s="126" t="e">
        <f t="shared" ca="1" si="11"/>
        <v>#VALUE!</v>
      </c>
      <c r="E55" s="126" t="e">
        <f t="shared" ca="1" si="11"/>
        <v>#VALUE!</v>
      </c>
      <c r="F55" s="126" t="e">
        <f t="shared" ca="1" si="11"/>
        <v>#VALUE!</v>
      </c>
      <c r="G55" s="126" t="e">
        <f t="shared" ca="1" si="11"/>
        <v>#VALUE!</v>
      </c>
      <c r="H55" s="126" t="e">
        <f t="shared" ca="1" si="11"/>
        <v>#VALUE!</v>
      </c>
      <c r="I55" s="126" t="e">
        <f t="shared" ca="1" si="11"/>
        <v>#VALUE!</v>
      </c>
      <c r="J55" s="126" t="e">
        <f t="shared" ca="1" si="11"/>
        <v>#VALUE!</v>
      </c>
      <c r="K55" s="126" t="e">
        <f t="shared" ca="1" si="11"/>
        <v>#VALUE!</v>
      </c>
      <c r="L55" s="126" t="e">
        <f t="shared" ca="1" si="5"/>
        <v>#VALUE!</v>
      </c>
      <c r="M55" s="126" t="e">
        <f t="shared" ca="1" si="10"/>
        <v>#VALUE!</v>
      </c>
      <c r="N55" s="126" t="e">
        <f t="shared" ca="1" si="10"/>
        <v>#VALUE!</v>
      </c>
      <c r="O55" s="126" t="e">
        <f t="shared" ca="1" si="10"/>
        <v>#VALUE!</v>
      </c>
      <c r="P55" s="126" t="e">
        <f t="shared" ca="1" si="10"/>
        <v>#VALUE!</v>
      </c>
      <c r="Q55" s="126" t="e">
        <f t="shared" ca="1" si="10"/>
        <v>#VALUE!</v>
      </c>
      <c r="R55" s="126" t="e">
        <f t="shared" ca="1" si="10"/>
        <v>#VALUE!</v>
      </c>
      <c r="S55" s="126" t="e">
        <f t="shared" ca="1" si="10"/>
        <v>#VALUE!</v>
      </c>
      <c r="T55" s="126" t="e">
        <f t="shared" ca="1" si="10"/>
        <v>#VALUE!</v>
      </c>
      <c r="U55" s="126" t="e">
        <f t="shared" ca="1" si="10"/>
        <v>#VALUE!</v>
      </c>
      <c r="V55" s="126" t="e">
        <f t="shared" ca="1" si="10"/>
        <v>#VALUE!</v>
      </c>
      <c r="W55" s="126" t="e">
        <f t="shared" ca="1" si="10"/>
        <v>#VALUE!</v>
      </c>
      <c r="X55" s="126" t="e">
        <f t="shared" ca="1" si="10"/>
        <v>#VALUE!</v>
      </c>
      <c r="Y55" s="126" t="e">
        <f t="shared" ca="1" si="10"/>
        <v>#VALUE!</v>
      </c>
      <c r="Z55" s="126" t="e">
        <f t="shared" ca="1" si="10"/>
        <v>#VALUE!</v>
      </c>
      <c r="AA55" s="126" t="e">
        <f t="shared" ca="1" si="10"/>
        <v>#VALUE!</v>
      </c>
      <c r="AB55" s="126" t="e">
        <f t="shared" ca="1" si="10"/>
        <v>#VALUE!</v>
      </c>
      <c r="AC55" s="126" t="e">
        <f t="shared" ca="1" si="10"/>
        <v>#VALUE!</v>
      </c>
      <c r="AD55" s="126" t="e">
        <f t="shared" ca="1" si="10"/>
        <v>#VALUE!</v>
      </c>
      <c r="AE55" s="126" t="e">
        <f t="shared" ca="1" si="10"/>
        <v>#VALUE!</v>
      </c>
      <c r="AF55" s="126" t="e">
        <f t="shared" ca="1" si="10"/>
        <v>#VALUE!</v>
      </c>
      <c r="AG55" s="126" t="e">
        <f t="shared" ca="1" si="10"/>
        <v>#VALUE!</v>
      </c>
      <c r="AH55" s="126" t="e">
        <f t="shared" ca="1" si="10"/>
        <v>#VALUE!</v>
      </c>
      <c r="AI55" s="126" t="e">
        <f t="shared" ca="1" si="10"/>
        <v>#VALUE!</v>
      </c>
      <c r="AJ55" s="126" t="e">
        <f t="shared" ca="1" si="10"/>
        <v>#VALUE!</v>
      </c>
      <c r="AK55" s="126" t="e">
        <f t="shared" ca="1" si="10"/>
        <v>#VALUE!</v>
      </c>
      <c r="AL55" s="126" t="e">
        <f t="shared" ca="1" si="10"/>
        <v>#VALUE!</v>
      </c>
      <c r="AM55" s="126" t="e">
        <f t="shared" ca="1" si="10"/>
        <v>#VALUE!</v>
      </c>
      <c r="AN55" s="126" t="e">
        <f t="shared" ca="1" si="10"/>
        <v>#VALUE!</v>
      </c>
      <c r="AO55" s="126" t="e">
        <f t="shared" ca="1" si="10"/>
        <v>#VALUE!</v>
      </c>
      <c r="AP55" s="126" t="e">
        <f t="shared" ca="1" si="10"/>
        <v>#VALUE!</v>
      </c>
      <c r="AQ55" s="126" t="e">
        <f t="shared" ca="1" si="10"/>
        <v>#VALUE!</v>
      </c>
      <c r="AR55" s="126" t="e">
        <f t="shared" ca="1" si="10"/>
        <v>#VALUE!</v>
      </c>
      <c r="AS55" s="126" t="e">
        <f t="shared" ca="1" si="10"/>
        <v>#VALUE!</v>
      </c>
      <c r="AT55" s="126" t="e">
        <f t="shared" ca="1" si="10"/>
        <v>#VALUE!</v>
      </c>
      <c r="AU55" s="126" t="e">
        <f t="shared" ca="1" si="10"/>
        <v>#VALUE!</v>
      </c>
    </row>
    <row r="56" spans="2:47" x14ac:dyDescent="0.25">
      <c r="B56" t="s">
        <v>518</v>
      </c>
      <c r="C56" s="126" t="e">
        <f t="shared" ca="1" si="11"/>
        <v>#VALUE!</v>
      </c>
      <c r="D56" s="126" t="e">
        <f t="shared" ca="1" si="11"/>
        <v>#VALUE!</v>
      </c>
      <c r="E56" s="126" t="e">
        <f t="shared" ca="1" si="11"/>
        <v>#VALUE!</v>
      </c>
      <c r="F56" s="126" t="e">
        <f t="shared" ca="1" si="11"/>
        <v>#VALUE!</v>
      </c>
      <c r="G56" s="126" t="e">
        <f t="shared" ca="1" si="11"/>
        <v>#VALUE!</v>
      </c>
      <c r="H56" s="126" t="e">
        <f t="shared" ca="1" si="11"/>
        <v>#VALUE!</v>
      </c>
      <c r="I56" s="126" t="e">
        <f t="shared" ca="1" si="11"/>
        <v>#VALUE!</v>
      </c>
      <c r="J56" s="126" t="e">
        <f t="shared" ca="1" si="11"/>
        <v>#VALUE!</v>
      </c>
      <c r="K56" s="126" t="e">
        <f t="shared" ca="1" si="11"/>
        <v>#VALUE!</v>
      </c>
      <c r="L56" s="126" t="e">
        <f t="shared" ca="1" si="5"/>
        <v>#VALUE!</v>
      </c>
      <c r="M56" s="126" t="e">
        <f t="shared" ca="1" si="10"/>
        <v>#VALUE!</v>
      </c>
      <c r="N56" s="126" t="e">
        <f t="shared" ca="1" si="10"/>
        <v>#VALUE!</v>
      </c>
      <c r="O56" s="126" t="e">
        <f t="shared" ca="1" si="10"/>
        <v>#VALUE!</v>
      </c>
      <c r="P56" s="126" t="e">
        <f t="shared" ca="1" si="10"/>
        <v>#VALUE!</v>
      </c>
      <c r="Q56" s="126" t="e">
        <f t="shared" ca="1" si="10"/>
        <v>#VALUE!</v>
      </c>
      <c r="R56" s="126" t="e">
        <f t="shared" ca="1" si="10"/>
        <v>#VALUE!</v>
      </c>
      <c r="S56" s="126" t="e">
        <f t="shared" ca="1" si="10"/>
        <v>#VALUE!</v>
      </c>
      <c r="T56" s="126" t="e">
        <f t="shared" ca="1" si="10"/>
        <v>#VALUE!</v>
      </c>
      <c r="U56" s="126" t="e">
        <f t="shared" ca="1" si="10"/>
        <v>#VALUE!</v>
      </c>
      <c r="V56" s="126" t="e">
        <f t="shared" ca="1" si="10"/>
        <v>#VALUE!</v>
      </c>
      <c r="W56" s="126" t="e">
        <f t="shared" ca="1" si="10"/>
        <v>#VALUE!</v>
      </c>
      <c r="X56" s="126" t="e">
        <f t="shared" ca="1" si="10"/>
        <v>#VALUE!</v>
      </c>
      <c r="Y56" s="126" t="e">
        <f t="shared" ca="1" si="10"/>
        <v>#VALUE!</v>
      </c>
      <c r="Z56" s="126" t="e">
        <f t="shared" ca="1" si="10"/>
        <v>#VALUE!</v>
      </c>
      <c r="AA56" s="126" t="e">
        <f t="shared" ca="1" si="10"/>
        <v>#VALUE!</v>
      </c>
      <c r="AB56" s="126" t="e">
        <f t="shared" ca="1" si="10"/>
        <v>#VALUE!</v>
      </c>
      <c r="AC56" s="126" t="e">
        <f t="shared" ca="1" si="10"/>
        <v>#VALUE!</v>
      </c>
      <c r="AD56" s="126" t="e">
        <f t="shared" ca="1" si="10"/>
        <v>#VALUE!</v>
      </c>
      <c r="AE56" s="126" t="e">
        <f t="shared" ca="1" si="10"/>
        <v>#VALUE!</v>
      </c>
      <c r="AF56" s="126" t="e">
        <f t="shared" ca="1" si="10"/>
        <v>#VALUE!</v>
      </c>
      <c r="AG56" s="126" t="e">
        <f t="shared" ca="1" si="10"/>
        <v>#VALUE!</v>
      </c>
      <c r="AH56" s="126" t="e">
        <f t="shared" ca="1" si="10"/>
        <v>#VALUE!</v>
      </c>
      <c r="AI56" s="126" t="e">
        <f t="shared" ca="1" si="10"/>
        <v>#VALUE!</v>
      </c>
      <c r="AJ56" s="126" t="e">
        <f t="shared" ca="1" si="10"/>
        <v>#VALUE!</v>
      </c>
      <c r="AK56" s="126" t="e">
        <f t="shared" ca="1" si="10"/>
        <v>#VALUE!</v>
      </c>
      <c r="AL56" s="126" t="e">
        <f t="shared" ca="1" si="10"/>
        <v>#VALUE!</v>
      </c>
      <c r="AM56" s="126" t="e">
        <f t="shared" ca="1" si="10"/>
        <v>#VALUE!</v>
      </c>
      <c r="AN56" s="126" t="e">
        <f t="shared" ca="1" si="10"/>
        <v>#VALUE!</v>
      </c>
      <c r="AO56" s="126" t="e">
        <f t="shared" ca="1" si="10"/>
        <v>#VALUE!</v>
      </c>
      <c r="AP56" s="126" t="e">
        <f t="shared" ca="1" si="10"/>
        <v>#VALUE!</v>
      </c>
      <c r="AQ56" s="126" t="e">
        <f t="shared" ref="M56:AU64" ca="1" si="12">Output("SCEN_ADEMEhaut",$B56,AQ$1)</f>
        <v>#VALUE!</v>
      </c>
      <c r="AR56" s="126" t="e">
        <f t="shared" ca="1" si="12"/>
        <v>#VALUE!</v>
      </c>
      <c r="AS56" s="126" t="e">
        <f t="shared" ca="1" si="12"/>
        <v>#VALUE!</v>
      </c>
      <c r="AT56" s="126" t="e">
        <f t="shared" ca="1" si="12"/>
        <v>#VALUE!</v>
      </c>
      <c r="AU56" s="126" t="e">
        <f t="shared" ca="1" si="12"/>
        <v>#VALUE!</v>
      </c>
    </row>
    <row r="57" spans="2:47" x14ac:dyDescent="0.25">
      <c r="B57" t="s">
        <v>574</v>
      </c>
      <c r="C57" s="126" t="e">
        <f t="shared" ca="1" si="11"/>
        <v>#VALUE!</v>
      </c>
      <c r="D57" s="126" t="e">
        <f t="shared" ca="1" si="11"/>
        <v>#VALUE!</v>
      </c>
      <c r="E57" s="126" t="e">
        <f t="shared" ca="1" si="11"/>
        <v>#VALUE!</v>
      </c>
      <c r="F57" s="126" t="e">
        <f t="shared" ca="1" si="11"/>
        <v>#VALUE!</v>
      </c>
      <c r="G57" s="126" t="e">
        <f t="shared" ca="1" si="11"/>
        <v>#VALUE!</v>
      </c>
      <c r="H57" s="126" t="e">
        <f t="shared" ca="1" si="11"/>
        <v>#VALUE!</v>
      </c>
      <c r="I57" s="126" t="e">
        <f t="shared" ca="1" si="11"/>
        <v>#VALUE!</v>
      </c>
      <c r="J57" s="126" t="e">
        <f t="shared" ca="1" si="11"/>
        <v>#VALUE!</v>
      </c>
      <c r="K57" s="126" t="e">
        <f t="shared" ca="1" si="11"/>
        <v>#VALUE!</v>
      </c>
      <c r="L57" s="126" t="e">
        <f t="shared" ca="1" si="5"/>
        <v>#VALUE!</v>
      </c>
      <c r="M57" s="126" t="e">
        <f t="shared" ca="1" si="12"/>
        <v>#VALUE!</v>
      </c>
      <c r="N57" s="126" t="e">
        <f t="shared" ca="1" si="12"/>
        <v>#VALUE!</v>
      </c>
      <c r="O57" s="126" t="e">
        <f t="shared" ca="1" si="12"/>
        <v>#VALUE!</v>
      </c>
      <c r="P57" s="126" t="e">
        <f t="shared" ca="1" si="12"/>
        <v>#VALUE!</v>
      </c>
      <c r="Q57" s="126" t="e">
        <f t="shared" ca="1" si="12"/>
        <v>#VALUE!</v>
      </c>
      <c r="R57" s="126" t="e">
        <f t="shared" ca="1" si="12"/>
        <v>#VALUE!</v>
      </c>
      <c r="S57" s="126" t="e">
        <f t="shared" ca="1" si="12"/>
        <v>#VALUE!</v>
      </c>
      <c r="T57" s="126" t="e">
        <f t="shared" ca="1" si="12"/>
        <v>#VALUE!</v>
      </c>
      <c r="U57" s="126" t="e">
        <f t="shared" ca="1" si="12"/>
        <v>#VALUE!</v>
      </c>
      <c r="V57" s="126" t="e">
        <f t="shared" ca="1" si="12"/>
        <v>#VALUE!</v>
      </c>
      <c r="W57" s="126" t="e">
        <f t="shared" ca="1" si="12"/>
        <v>#VALUE!</v>
      </c>
      <c r="X57" s="126" t="e">
        <f t="shared" ca="1" si="12"/>
        <v>#VALUE!</v>
      </c>
      <c r="Y57" s="126" t="e">
        <f t="shared" ca="1" si="12"/>
        <v>#VALUE!</v>
      </c>
      <c r="Z57" s="126" t="e">
        <f t="shared" ca="1" si="12"/>
        <v>#VALUE!</v>
      </c>
      <c r="AA57" s="126" t="e">
        <f t="shared" ca="1" si="12"/>
        <v>#VALUE!</v>
      </c>
      <c r="AB57" s="126" t="e">
        <f t="shared" ca="1" si="12"/>
        <v>#VALUE!</v>
      </c>
      <c r="AC57" s="126" t="e">
        <f t="shared" ca="1" si="12"/>
        <v>#VALUE!</v>
      </c>
      <c r="AD57" s="126" t="e">
        <f t="shared" ca="1" si="12"/>
        <v>#VALUE!</v>
      </c>
      <c r="AE57" s="126" t="e">
        <f t="shared" ca="1" si="12"/>
        <v>#VALUE!</v>
      </c>
      <c r="AF57" s="126" t="e">
        <f t="shared" ca="1" si="12"/>
        <v>#VALUE!</v>
      </c>
      <c r="AG57" s="126" t="e">
        <f t="shared" ca="1" si="12"/>
        <v>#VALUE!</v>
      </c>
      <c r="AH57" s="126" t="e">
        <f t="shared" ca="1" si="12"/>
        <v>#VALUE!</v>
      </c>
      <c r="AI57" s="126" t="e">
        <f t="shared" ca="1" si="12"/>
        <v>#VALUE!</v>
      </c>
      <c r="AJ57" s="126" t="e">
        <f t="shared" ca="1" si="12"/>
        <v>#VALUE!</v>
      </c>
      <c r="AK57" s="126" t="e">
        <f t="shared" ca="1" si="12"/>
        <v>#VALUE!</v>
      </c>
      <c r="AL57" s="126" t="e">
        <f t="shared" ca="1" si="12"/>
        <v>#VALUE!</v>
      </c>
      <c r="AM57" s="126" t="e">
        <f t="shared" ca="1" si="12"/>
        <v>#VALUE!</v>
      </c>
      <c r="AN57" s="126" t="e">
        <f t="shared" ca="1" si="12"/>
        <v>#VALUE!</v>
      </c>
      <c r="AO57" s="126" t="e">
        <f t="shared" ca="1" si="12"/>
        <v>#VALUE!</v>
      </c>
      <c r="AP57" s="126" t="e">
        <f t="shared" ca="1" si="12"/>
        <v>#VALUE!</v>
      </c>
      <c r="AQ57" s="126" t="e">
        <f t="shared" ca="1" si="12"/>
        <v>#VALUE!</v>
      </c>
      <c r="AR57" s="126" t="e">
        <f t="shared" ca="1" si="12"/>
        <v>#VALUE!</v>
      </c>
      <c r="AS57" s="126" t="e">
        <f t="shared" ca="1" si="12"/>
        <v>#VALUE!</v>
      </c>
      <c r="AT57" s="126" t="e">
        <f t="shared" ca="1" si="12"/>
        <v>#VALUE!</v>
      </c>
      <c r="AU57" s="126" t="e">
        <f t="shared" ca="1" si="12"/>
        <v>#VALUE!</v>
      </c>
    </row>
    <row r="58" spans="2:47" x14ac:dyDescent="0.25">
      <c r="B58" t="s">
        <v>556</v>
      </c>
      <c r="C58" s="126" t="e">
        <f t="shared" ca="1" si="11"/>
        <v>#VALUE!</v>
      </c>
      <c r="D58" s="126" t="e">
        <f t="shared" ca="1" si="11"/>
        <v>#VALUE!</v>
      </c>
      <c r="E58" s="126" t="e">
        <f t="shared" ca="1" si="11"/>
        <v>#VALUE!</v>
      </c>
      <c r="F58" s="126" t="e">
        <f t="shared" ca="1" si="11"/>
        <v>#VALUE!</v>
      </c>
      <c r="G58" s="126" t="e">
        <f t="shared" ca="1" si="11"/>
        <v>#VALUE!</v>
      </c>
      <c r="H58" s="126" t="e">
        <f t="shared" ca="1" si="11"/>
        <v>#VALUE!</v>
      </c>
      <c r="I58" s="126" t="e">
        <f t="shared" ca="1" si="11"/>
        <v>#VALUE!</v>
      </c>
      <c r="J58" s="126" t="e">
        <f t="shared" ca="1" si="11"/>
        <v>#VALUE!</v>
      </c>
      <c r="K58" s="126" t="e">
        <f t="shared" ca="1" si="11"/>
        <v>#VALUE!</v>
      </c>
      <c r="L58" s="126" t="e">
        <f t="shared" ca="1" si="5"/>
        <v>#VALUE!</v>
      </c>
      <c r="M58" s="126" t="e">
        <f t="shared" ca="1" si="12"/>
        <v>#VALUE!</v>
      </c>
      <c r="N58" s="126" t="e">
        <f t="shared" ca="1" si="12"/>
        <v>#VALUE!</v>
      </c>
      <c r="O58" s="126" t="e">
        <f t="shared" ca="1" si="12"/>
        <v>#VALUE!</v>
      </c>
      <c r="P58" s="126" t="e">
        <f t="shared" ca="1" si="12"/>
        <v>#VALUE!</v>
      </c>
      <c r="Q58" s="126" t="e">
        <f t="shared" ca="1" si="12"/>
        <v>#VALUE!</v>
      </c>
      <c r="R58" s="126" t="e">
        <f t="shared" ca="1" si="12"/>
        <v>#VALUE!</v>
      </c>
      <c r="S58" s="126" t="e">
        <f t="shared" ca="1" si="12"/>
        <v>#VALUE!</v>
      </c>
      <c r="T58" s="126" t="e">
        <f t="shared" ca="1" si="12"/>
        <v>#VALUE!</v>
      </c>
      <c r="U58" s="126" t="e">
        <f t="shared" ca="1" si="12"/>
        <v>#VALUE!</v>
      </c>
      <c r="V58" s="126" t="e">
        <f t="shared" ca="1" si="12"/>
        <v>#VALUE!</v>
      </c>
      <c r="W58" s="126" t="e">
        <f t="shared" ca="1" si="12"/>
        <v>#VALUE!</v>
      </c>
      <c r="X58" s="126" t="e">
        <f t="shared" ca="1" si="12"/>
        <v>#VALUE!</v>
      </c>
      <c r="Y58" s="126" t="e">
        <f t="shared" ca="1" si="12"/>
        <v>#VALUE!</v>
      </c>
      <c r="Z58" s="126" t="e">
        <f t="shared" ca="1" si="12"/>
        <v>#VALUE!</v>
      </c>
      <c r="AA58" s="126" t="e">
        <f t="shared" ca="1" si="12"/>
        <v>#VALUE!</v>
      </c>
      <c r="AB58" s="126" t="e">
        <f t="shared" ca="1" si="12"/>
        <v>#VALUE!</v>
      </c>
      <c r="AC58" s="126" t="e">
        <f t="shared" ca="1" si="12"/>
        <v>#VALUE!</v>
      </c>
      <c r="AD58" s="126" t="e">
        <f t="shared" ca="1" si="12"/>
        <v>#VALUE!</v>
      </c>
      <c r="AE58" s="126" t="e">
        <f t="shared" ca="1" si="12"/>
        <v>#VALUE!</v>
      </c>
      <c r="AF58" s="126" t="e">
        <f t="shared" ca="1" si="12"/>
        <v>#VALUE!</v>
      </c>
      <c r="AG58" s="126" t="e">
        <f t="shared" ca="1" si="12"/>
        <v>#VALUE!</v>
      </c>
      <c r="AH58" s="126" t="e">
        <f t="shared" ca="1" si="12"/>
        <v>#VALUE!</v>
      </c>
      <c r="AI58" s="126" t="e">
        <f t="shared" ca="1" si="12"/>
        <v>#VALUE!</v>
      </c>
      <c r="AJ58" s="126" t="e">
        <f t="shared" ca="1" si="12"/>
        <v>#VALUE!</v>
      </c>
      <c r="AK58" s="126" t="e">
        <f t="shared" ca="1" si="12"/>
        <v>#VALUE!</v>
      </c>
      <c r="AL58" s="126" t="e">
        <f t="shared" ca="1" si="12"/>
        <v>#VALUE!</v>
      </c>
      <c r="AM58" s="126" t="e">
        <f t="shared" ca="1" si="12"/>
        <v>#VALUE!</v>
      </c>
      <c r="AN58" s="126" t="e">
        <f t="shared" ca="1" si="12"/>
        <v>#VALUE!</v>
      </c>
      <c r="AO58" s="126" t="e">
        <f t="shared" ca="1" si="12"/>
        <v>#VALUE!</v>
      </c>
      <c r="AP58" s="126" t="e">
        <f t="shared" ca="1" si="12"/>
        <v>#VALUE!</v>
      </c>
      <c r="AQ58" s="126" t="e">
        <f t="shared" ca="1" si="12"/>
        <v>#VALUE!</v>
      </c>
      <c r="AR58" s="126" t="e">
        <f t="shared" ca="1" si="12"/>
        <v>#VALUE!</v>
      </c>
      <c r="AS58" s="126" t="e">
        <f t="shared" ca="1" si="12"/>
        <v>#VALUE!</v>
      </c>
      <c r="AT58" s="126" t="e">
        <f t="shared" ca="1" si="12"/>
        <v>#VALUE!</v>
      </c>
      <c r="AU58" s="126" t="e">
        <f t="shared" ca="1" si="12"/>
        <v>#VALUE!</v>
      </c>
    </row>
    <row r="59" spans="2:47" x14ac:dyDescent="0.25">
      <c r="B59" t="s">
        <v>557</v>
      </c>
      <c r="C59" s="126" t="e">
        <f t="shared" ca="1" si="11"/>
        <v>#VALUE!</v>
      </c>
      <c r="D59" s="126" t="e">
        <f t="shared" ca="1" si="11"/>
        <v>#VALUE!</v>
      </c>
      <c r="E59" s="126" t="e">
        <f t="shared" ca="1" si="11"/>
        <v>#VALUE!</v>
      </c>
      <c r="F59" s="126" t="e">
        <f t="shared" ca="1" si="11"/>
        <v>#VALUE!</v>
      </c>
      <c r="G59" s="126" t="e">
        <f t="shared" ca="1" si="11"/>
        <v>#VALUE!</v>
      </c>
      <c r="H59" s="126" t="e">
        <f t="shared" ca="1" si="11"/>
        <v>#VALUE!</v>
      </c>
      <c r="I59" s="126" t="e">
        <f t="shared" ca="1" si="11"/>
        <v>#VALUE!</v>
      </c>
      <c r="J59" s="126" t="e">
        <f t="shared" ca="1" si="11"/>
        <v>#VALUE!</v>
      </c>
      <c r="K59" s="126" t="e">
        <f t="shared" ca="1" si="11"/>
        <v>#VALUE!</v>
      </c>
      <c r="L59" s="126" t="e">
        <f t="shared" ca="1" si="5"/>
        <v>#VALUE!</v>
      </c>
      <c r="M59" s="126" t="e">
        <f t="shared" ca="1" si="12"/>
        <v>#VALUE!</v>
      </c>
      <c r="N59" s="126" t="e">
        <f t="shared" ca="1" si="12"/>
        <v>#VALUE!</v>
      </c>
      <c r="O59" s="126" t="e">
        <f t="shared" ca="1" si="12"/>
        <v>#VALUE!</v>
      </c>
      <c r="P59" s="126" t="e">
        <f t="shared" ca="1" si="12"/>
        <v>#VALUE!</v>
      </c>
      <c r="Q59" s="126" t="e">
        <f t="shared" ca="1" si="12"/>
        <v>#VALUE!</v>
      </c>
      <c r="R59" s="126" t="e">
        <f t="shared" ca="1" si="12"/>
        <v>#VALUE!</v>
      </c>
      <c r="S59" s="126" t="e">
        <f t="shared" ca="1" si="12"/>
        <v>#VALUE!</v>
      </c>
      <c r="T59" s="126" t="e">
        <f t="shared" ca="1" si="12"/>
        <v>#VALUE!</v>
      </c>
      <c r="U59" s="126" t="e">
        <f t="shared" ca="1" si="12"/>
        <v>#VALUE!</v>
      </c>
      <c r="V59" s="126" t="e">
        <f t="shared" ca="1" si="12"/>
        <v>#VALUE!</v>
      </c>
      <c r="W59" s="126" t="e">
        <f t="shared" ca="1" si="12"/>
        <v>#VALUE!</v>
      </c>
      <c r="X59" s="126" t="e">
        <f t="shared" ca="1" si="12"/>
        <v>#VALUE!</v>
      </c>
      <c r="Y59" s="126" t="e">
        <f t="shared" ca="1" si="12"/>
        <v>#VALUE!</v>
      </c>
      <c r="Z59" s="126" t="e">
        <f t="shared" ca="1" si="12"/>
        <v>#VALUE!</v>
      </c>
      <c r="AA59" s="126" t="e">
        <f t="shared" ca="1" si="12"/>
        <v>#VALUE!</v>
      </c>
      <c r="AB59" s="126" t="e">
        <f t="shared" ca="1" si="12"/>
        <v>#VALUE!</v>
      </c>
      <c r="AC59" s="126" t="e">
        <f t="shared" ca="1" si="12"/>
        <v>#VALUE!</v>
      </c>
      <c r="AD59" s="126" t="e">
        <f t="shared" ca="1" si="12"/>
        <v>#VALUE!</v>
      </c>
      <c r="AE59" s="126" t="e">
        <f t="shared" ca="1" si="12"/>
        <v>#VALUE!</v>
      </c>
      <c r="AF59" s="126" t="e">
        <f t="shared" ca="1" si="12"/>
        <v>#VALUE!</v>
      </c>
      <c r="AG59" s="126" t="e">
        <f t="shared" ca="1" si="12"/>
        <v>#VALUE!</v>
      </c>
      <c r="AH59" s="126" t="e">
        <f t="shared" ca="1" si="12"/>
        <v>#VALUE!</v>
      </c>
      <c r="AI59" s="126" t="e">
        <f t="shared" ca="1" si="12"/>
        <v>#VALUE!</v>
      </c>
      <c r="AJ59" s="126" t="e">
        <f t="shared" ca="1" si="12"/>
        <v>#VALUE!</v>
      </c>
      <c r="AK59" s="126" t="e">
        <f t="shared" ca="1" si="12"/>
        <v>#VALUE!</v>
      </c>
      <c r="AL59" s="126" t="e">
        <f t="shared" ca="1" si="12"/>
        <v>#VALUE!</v>
      </c>
      <c r="AM59" s="126" t="e">
        <f t="shared" ca="1" si="12"/>
        <v>#VALUE!</v>
      </c>
      <c r="AN59" s="126" t="e">
        <f t="shared" ca="1" si="12"/>
        <v>#VALUE!</v>
      </c>
      <c r="AO59" s="126" t="e">
        <f t="shared" ca="1" si="12"/>
        <v>#VALUE!</v>
      </c>
      <c r="AP59" s="126" t="e">
        <f t="shared" ca="1" si="12"/>
        <v>#VALUE!</v>
      </c>
      <c r="AQ59" s="126" t="e">
        <f t="shared" ca="1" si="12"/>
        <v>#VALUE!</v>
      </c>
      <c r="AR59" s="126" t="e">
        <f t="shared" ca="1" si="12"/>
        <v>#VALUE!</v>
      </c>
      <c r="AS59" s="126" t="e">
        <f t="shared" ca="1" si="12"/>
        <v>#VALUE!</v>
      </c>
      <c r="AT59" s="126" t="e">
        <f t="shared" ca="1" si="12"/>
        <v>#VALUE!</v>
      </c>
      <c r="AU59" s="126" t="e">
        <f t="shared" ca="1" si="12"/>
        <v>#VALUE!</v>
      </c>
    </row>
    <row r="60" spans="2:47" x14ac:dyDescent="0.25">
      <c r="B60" t="s">
        <v>558</v>
      </c>
      <c r="C60" s="126" t="e">
        <f t="shared" ca="1" si="11"/>
        <v>#VALUE!</v>
      </c>
      <c r="D60" s="126" t="e">
        <f t="shared" ca="1" si="11"/>
        <v>#VALUE!</v>
      </c>
      <c r="E60" s="126" t="e">
        <f t="shared" ca="1" si="11"/>
        <v>#VALUE!</v>
      </c>
      <c r="F60" s="126" t="e">
        <f t="shared" ca="1" si="11"/>
        <v>#VALUE!</v>
      </c>
      <c r="G60" s="126" t="e">
        <f t="shared" ca="1" si="11"/>
        <v>#VALUE!</v>
      </c>
      <c r="H60" s="126" t="e">
        <f t="shared" ca="1" si="11"/>
        <v>#VALUE!</v>
      </c>
      <c r="I60" s="126" t="e">
        <f t="shared" ca="1" si="11"/>
        <v>#VALUE!</v>
      </c>
      <c r="J60" s="126" t="e">
        <f t="shared" ca="1" si="11"/>
        <v>#VALUE!</v>
      </c>
      <c r="K60" s="126" t="e">
        <f t="shared" ca="1" si="11"/>
        <v>#VALUE!</v>
      </c>
      <c r="L60" s="126" t="e">
        <f t="shared" ca="1" si="5"/>
        <v>#VALUE!</v>
      </c>
      <c r="M60" s="126" t="e">
        <f t="shared" ca="1" si="12"/>
        <v>#VALUE!</v>
      </c>
      <c r="N60" s="126" t="e">
        <f t="shared" ca="1" si="12"/>
        <v>#VALUE!</v>
      </c>
      <c r="O60" s="126" t="e">
        <f t="shared" ca="1" si="12"/>
        <v>#VALUE!</v>
      </c>
      <c r="P60" s="126" t="e">
        <f t="shared" ca="1" si="12"/>
        <v>#VALUE!</v>
      </c>
      <c r="Q60" s="126" t="e">
        <f t="shared" ca="1" si="12"/>
        <v>#VALUE!</v>
      </c>
      <c r="R60" s="126" t="e">
        <f t="shared" ca="1" si="12"/>
        <v>#VALUE!</v>
      </c>
      <c r="S60" s="126" t="e">
        <f t="shared" ca="1" si="12"/>
        <v>#VALUE!</v>
      </c>
      <c r="T60" s="126" t="e">
        <f t="shared" ca="1" si="12"/>
        <v>#VALUE!</v>
      </c>
      <c r="U60" s="126" t="e">
        <f t="shared" ca="1" si="12"/>
        <v>#VALUE!</v>
      </c>
      <c r="V60" s="126" t="e">
        <f t="shared" ca="1" si="12"/>
        <v>#VALUE!</v>
      </c>
      <c r="W60" s="126" t="e">
        <f t="shared" ca="1" si="12"/>
        <v>#VALUE!</v>
      </c>
      <c r="X60" s="126" t="e">
        <f t="shared" ca="1" si="12"/>
        <v>#VALUE!</v>
      </c>
      <c r="Y60" s="126" t="e">
        <f t="shared" ca="1" si="12"/>
        <v>#VALUE!</v>
      </c>
      <c r="Z60" s="126" t="e">
        <f t="shared" ca="1" si="12"/>
        <v>#VALUE!</v>
      </c>
      <c r="AA60" s="126" t="e">
        <f t="shared" ca="1" si="12"/>
        <v>#VALUE!</v>
      </c>
      <c r="AB60" s="126" t="e">
        <f t="shared" ca="1" si="12"/>
        <v>#VALUE!</v>
      </c>
      <c r="AC60" s="126" t="e">
        <f t="shared" ca="1" si="12"/>
        <v>#VALUE!</v>
      </c>
      <c r="AD60" s="126" t="e">
        <f t="shared" ca="1" si="12"/>
        <v>#VALUE!</v>
      </c>
      <c r="AE60" s="126" t="e">
        <f t="shared" ca="1" si="12"/>
        <v>#VALUE!</v>
      </c>
      <c r="AF60" s="126" t="e">
        <f t="shared" ca="1" si="12"/>
        <v>#VALUE!</v>
      </c>
      <c r="AG60" s="126" t="e">
        <f t="shared" ca="1" si="12"/>
        <v>#VALUE!</v>
      </c>
      <c r="AH60" s="126" t="e">
        <f t="shared" ca="1" si="12"/>
        <v>#VALUE!</v>
      </c>
      <c r="AI60" s="126" t="e">
        <f t="shared" ca="1" si="12"/>
        <v>#VALUE!</v>
      </c>
      <c r="AJ60" s="126" t="e">
        <f t="shared" ca="1" si="12"/>
        <v>#VALUE!</v>
      </c>
      <c r="AK60" s="126" t="e">
        <f t="shared" ca="1" si="12"/>
        <v>#VALUE!</v>
      </c>
      <c r="AL60" s="126" t="e">
        <f t="shared" ca="1" si="12"/>
        <v>#VALUE!</v>
      </c>
      <c r="AM60" s="126" t="e">
        <f t="shared" ca="1" si="12"/>
        <v>#VALUE!</v>
      </c>
      <c r="AN60" s="126" t="e">
        <f t="shared" ca="1" si="12"/>
        <v>#VALUE!</v>
      </c>
      <c r="AO60" s="126" t="e">
        <f t="shared" ca="1" si="12"/>
        <v>#VALUE!</v>
      </c>
      <c r="AP60" s="126" t="e">
        <f t="shared" ca="1" si="12"/>
        <v>#VALUE!</v>
      </c>
      <c r="AQ60" s="126" t="e">
        <f t="shared" ca="1" si="12"/>
        <v>#VALUE!</v>
      </c>
      <c r="AR60" s="126" t="e">
        <f t="shared" ca="1" si="12"/>
        <v>#VALUE!</v>
      </c>
      <c r="AS60" s="126" t="e">
        <f t="shared" ca="1" si="12"/>
        <v>#VALUE!</v>
      </c>
      <c r="AT60" s="126" t="e">
        <f t="shared" ca="1" si="12"/>
        <v>#VALUE!</v>
      </c>
      <c r="AU60" s="126" t="e">
        <f t="shared" ca="1" si="12"/>
        <v>#VALUE!</v>
      </c>
    </row>
    <row r="61" spans="2:47" x14ac:dyDescent="0.25">
      <c r="B61" t="s">
        <v>559</v>
      </c>
      <c r="C61" s="126" t="e">
        <f t="shared" ca="1" si="11"/>
        <v>#VALUE!</v>
      </c>
      <c r="D61" s="126" t="e">
        <f t="shared" ca="1" si="11"/>
        <v>#VALUE!</v>
      </c>
      <c r="E61" s="126" t="e">
        <f t="shared" ca="1" si="11"/>
        <v>#VALUE!</v>
      </c>
      <c r="F61" s="126" t="e">
        <f t="shared" ca="1" si="11"/>
        <v>#VALUE!</v>
      </c>
      <c r="G61" s="126" t="e">
        <f t="shared" ca="1" si="11"/>
        <v>#VALUE!</v>
      </c>
      <c r="H61" s="126" t="e">
        <f t="shared" ca="1" si="11"/>
        <v>#VALUE!</v>
      </c>
      <c r="I61" s="126" t="e">
        <f t="shared" ca="1" si="11"/>
        <v>#VALUE!</v>
      </c>
      <c r="J61" s="126" t="e">
        <f t="shared" ca="1" si="11"/>
        <v>#VALUE!</v>
      </c>
      <c r="K61" s="126" t="e">
        <f t="shared" ca="1" si="11"/>
        <v>#VALUE!</v>
      </c>
      <c r="L61" s="126" t="e">
        <f t="shared" ca="1" si="5"/>
        <v>#VALUE!</v>
      </c>
      <c r="M61" s="126" t="e">
        <f t="shared" ca="1" si="12"/>
        <v>#VALUE!</v>
      </c>
      <c r="N61" s="126" t="e">
        <f t="shared" ca="1" si="12"/>
        <v>#VALUE!</v>
      </c>
      <c r="O61" s="126" t="e">
        <f t="shared" ca="1" si="12"/>
        <v>#VALUE!</v>
      </c>
      <c r="P61" s="126" t="e">
        <f t="shared" ca="1" si="12"/>
        <v>#VALUE!</v>
      </c>
      <c r="Q61" s="126" t="e">
        <f t="shared" ca="1" si="12"/>
        <v>#VALUE!</v>
      </c>
      <c r="R61" s="126" t="e">
        <f t="shared" ca="1" si="12"/>
        <v>#VALUE!</v>
      </c>
      <c r="S61" s="126" t="e">
        <f t="shared" ca="1" si="12"/>
        <v>#VALUE!</v>
      </c>
      <c r="T61" s="126" t="e">
        <f t="shared" ca="1" si="12"/>
        <v>#VALUE!</v>
      </c>
      <c r="U61" s="126" t="e">
        <f t="shared" ca="1" si="12"/>
        <v>#VALUE!</v>
      </c>
      <c r="V61" s="126" t="e">
        <f t="shared" ca="1" si="12"/>
        <v>#VALUE!</v>
      </c>
      <c r="W61" s="126" t="e">
        <f t="shared" ca="1" si="12"/>
        <v>#VALUE!</v>
      </c>
      <c r="X61" s="126" t="e">
        <f t="shared" ca="1" si="12"/>
        <v>#VALUE!</v>
      </c>
      <c r="Y61" s="126" t="e">
        <f t="shared" ca="1" si="12"/>
        <v>#VALUE!</v>
      </c>
      <c r="Z61" s="126" t="e">
        <f t="shared" ca="1" si="12"/>
        <v>#VALUE!</v>
      </c>
      <c r="AA61" s="126" t="e">
        <f t="shared" ca="1" si="12"/>
        <v>#VALUE!</v>
      </c>
      <c r="AB61" s="126" t="e">
        <f t="shared" ca="1" si="12"/>
        <v>#VALUE!</v>
      </c>
      <c r="AC61" s="126" t="e">
        <f t="shared" ca="1" si="12"/>
        <v>#VALUE!</v>
      </c>
      <c r="AD61" s="126" t="e">
        <f t="shared" ca="1" si="12"/>
        <v>#VALUE!</v>
      </c>
      <c r="AE61" s="126" t="e">
        <f t="shared" ca="1" si="12"/>
        <v>#VALUE!</v>
      </c>
      <c r="AF61" s="126" t="e">
        <f t="shared" ca="1" si="12"/>
        <v>#VALUE!</v>
      </c>
      <c r="AG61" s="126" t="e">
        <f t="shared" ca="1" si="12"/>
        <v>#VALUE!</v>
      </c>
      <c r="AH61" s="126" t="e">
        <f t="shared" ca="1" si="12"/>
        <v>#VALUE!</v>
      </c>
      <c r="AI61" s="126" t="e">
        <f t="shared" ca="1" si="12"/>
        <v>#VALUE!</v>
      </c>
      <c r="AJ61" s="126" t="e">
        <f t="shared" ca="1" si="12"/>
        <v>#VALUE!</v>
      </c>
      <c r="AK61" s="126" t="e">
        <f t="shared" ca="1" si="12"/>
        <v>#VALUE!</v>
      </c>
      <c r="AL61" s="126" t="e">
        <f t="shared" ca="1" si="12"/>
        <v>#VALUE!</v>
      </c>
      <c r="AM61" s="126" t="e">
        <f t="shared" ca="1" si="12"/>
        <v>#VALUE!</v>
      </c>
      <c r="AN61" s="126" t="e">
        <f t="shared" ca="1" si="12"/>
        <v>#VALUE!</v>
      </c>
      <c r="AO61" s="126" t="e">
        <f t="shared" ca="1" si="12"/>
        <v>#VALUE!</v>
      </c>
      <c r="AP61" s="126" t="e">
        <f t="shared" ca="1" si="12"/>
        <v>#VALUE!</v>
      </c>
      <c r="AQ61" s="126" t="e">
        <f t="shared" ca="1" si="12"/>
        <v>#VALUE!</v>
      </c>
      <c r="AR61" s="126" t="e">
        <f t="shared" ca="1" si="12"/>
        <v>#VALUE!</v>
      </c>
      <c r="AS61" s="126" t="e">
        <f t="shared" ca="1" si="12"/>
        <v>#VALUE!</v>
      </c>
      <c r="AT61" s="126" t="e">
        <f t="shared" ca="1" si="12"/>
        <v>#VALUE!</v>
      </c>
      <c r="AU61" s="126" t="e">
        <f t="shared" ca="1" si="12"/>
        <v>#VALUE!</v>
      </c>
    </row>
    <row r="62" spans="2:47" x14ac:dyDescent="0.25">
      <c r="B62" t="s">
        <v>560</v>
      </c>
      <c r="C62" s="126" t="e">
        <f t="shared" ca="1" si="11"/>
        <v>#VALUE!</v>
      </c>
      <c r="D62" s="126" t="e">
        <f t="shared" ca="1" si="11"/>
        <v>#VALUE!</v>
      </c>
      <c r="E62" s="126" t="e">
        <f t="shared" ca="1" si="11"/>
        <v>#VALUE!</v>
      </c>
      <c r="F62" s="126" t="e">
        <f t="shared" ca="1" si="11"/>
        <v>#VALUE!</v>
      </c>
      <c r="G62" s="126" t="e">
        <f t="shared" ca="1" si="11"/>
        <v>#VALUE!</v>
      </c>
      <c r="H62" s="126" t="e">
        <f t="shared" ca="1" si="11"/>
        <v>#VALUE!</v>
      </c>
      <c r="I62" s="126" t="e">
        <f t="shared" ca="1" si="11"/>
        <v>#VALUE!</v>
      </c>
      <c r="J62" s="126" t="e">
        <f t="shared" ca="1" si="11"/>
        <v>#VALUE!</v>
      </c>
      <c r="K62" s="126" t="e">
        <f t="shared" ca="1" si="11"/>
        <v>#VALUE!</v>
      </c>
      <c r="L62" s="126" t="e">
        <f t="shared" ca="1" si="5"/>
        <v>#VALUE!</v>
      </c>
      <c r="M62" s="126" t="e">
        <f t="shared" ca="1" si="12"/>
        <v>#VALUE!</v>
      </c>
      <c r="N62" s="126" t="e">
        <f t="shared" ca="1" si="12"/>
        <v>#VALUE!</v>
      </c>
      <c r="O62" s="126" t="e">
        <f t="shared" ca="1" si="12"/>
        <v>#VALUE!</v>
      </c>
      <c r="P62" s="126" t="e">
        <f t="shared" ca="1" si="12"/>
        <v>#VALUE!</v>
      </c>
      <c r="Q62" s="126" t="e">
        <f t="shared" ca="1" si="12"/>
        <v>#VALUE!</v>
      </c>
      <c r="R62" s="126" t="e">
        <f t="shared" ca="1" si="12"/>
        <v>#VALUE!</v>
      </c>
      <c r="S62" s="126" t="e">
        <f t="shared" ca="1" si="12"/>
        <v>#VALUE!</v>
      </c>
      <c r="T62" s="126" t="e">
        <f t="shared" ca="1" si="12"/>
        <v>#VALUE!</v>
      </c>
      <c r="U62" s="126" t="e">
        <f t="shared" ca="1" si="12"/>
        <v>#VALUE!</v>
      </c>
      <c r="V62" s="126" t="e">
        <f t="shared" ca="1" si="12"/>
        <v>#VALUE!</v>
      </c>
      <c r="W62" s="126" t="e">
        <f t="shared" ca="1" si="12"/>
        <v>#VALUE!</v>
      </c>
      <c r="X62" s="126" t="e">
        <f t="shared" ca="1" si="12"/>
        <v>#VALUE!</v>
      </c>
      <c r="Y62" s="126" t="e">
        <f t="shared" ca="1" si="12"/>
        <v>#VALUE!</v>
      </c>
      <c r="Z62" s="126" t="e">
        <f t="shared" ca="1" si="12"/>
        <v>#VALUE!</v>
      </c>
      <c r="AA62" s="126" t="e">
        <f t="shared" ca="1" si="12"/>
        <v>#VALUE!</v>
      </c>
      <c r="AB62" s="126" t="e">
        <f t="shared" ca="1" si="12"/>
        <v>#VALUE!</v>
      </c>
      <c r="AC62" s="126" t="e">
        <f t="shared" ca="1" si="12"/>
        <v>#VALUE!</v>
      </c>
      <c r="AD62" s="126" t="e">
        <f t="shared" ca="1" si="12"/>
        <v>#VALUE!</v>
      </c>
      <c r="AE62" s="126" t="e">
        <f t="shared" ca="1" si="12"/>
        <v>#VALUE!</v>
      </c>
      <c r="AF62" s="126" t="e">
        <f t="shared" ca="1" si="12"/>
        <v>#VALUE!</v>
      </c>
      <c r="AG62" s="126" t="e">
        <f t="shared" ca="1" si="12"/>
        <v>#VALUE!</v>
      </c>
      <c r="AH62" s="126" t="e">
        <f t="shared" ca="1" si="12"/>
        <v>#VALUE!</v>
      </c>
      <c r="AI62" s="126" t="e">
        <f t="shared" ca="1" si="12"/>
        <v>#VALUE!</v>
      </c>
      <c r="AJ62" s="126" t="e">
        <f t="shared" ca="1" si="12"/>
        <v>#VALUE!</v>
      </c>
      <c r="AK62" s="126" t="e">
        <f t="shared" ca="1" si="12"/>
        <v>#VALUE!</v>
      </c>
      <c r="AL62" s="126" t="e">
        <f t="shared" ca="1" si="12"/>
        <v>#VALUE!</v>
      </c>
      <c r="AM62" s="126" t="e">
        <f t="shared" ca="1" si="12"/>
        <v>#VALUE!</v>
      </c>
      <c r="AN62" s="126" t="e">
        <f t="shared" ca="1" si="12"/>
        <v>#VALUE!</v>
      </c>
      <c r="AO62" s="126" t="e">
        <f t="shared" ca="1" si="12"/>
        <v>#VALUE!</v>
      </c>
      <c r="AP62" s="126" t="e">
        <f t="shared" ca="1" si="12"/>
        <v>#VALUE!</v>
      </c>
      <c r="AQ62" s="126" t="e">
        <f t="shared" ca="1" si="12"/>
        <v>#VALUE!</v>
      </c>
      <c r="AR62" s="126" t="e">
        <f t="shared" ca="1" si="12"/>
        <v>#VALUE!</v>
      </c>
      <c r="AS62" s="126" t="e">
        <f t="shared" ca="1" si="12"/>
        <v>#VALUE!</v>
      </c>
      <c r="AT62" s="126" t="e">
        <f t="shared" ca="1" si="12"/>
        <v>#VALUE!</v>
      </c>
      <c r="AU62" s="126" t="e">
        <f t="shared" ca="1" si="12"/>
        <v>#VALUE!</v>
      </c>
    </row>
    <row r="63" spans="2:47" x14ac:dyDescent="0.25">
      <c r="B63" t="s">
        <v>561</v>
      </c>
      <c r="C63" s="126" t="e">
        <f t="shared" ca="1" si="11"/>
        <v>#VALUE!</v>
      </c>
      <c r="D63" s="126" t="e">
        <f t="shared" ca="1" si="11"/>
        <v>#VALUE!</v>
      </c>
      <c r="E63" s="126" t="e">
        <f t="shared" ca="1" si="11"/>
        <v>#VALUE!</v>
      </c>
      <c r="F63" s="126" t="e">
        <f t="shared" ca="1" si="11"/>
        <v>#VALUE!</v>
      </c>
      <c r="G63" s="126" t="e">
        <f t="shared" ca="1" si="11"/>
        <v>#VALUE!</v>
      </c>
      <c r="H63" s="126" t="e">
        <f t="shared" ca="1" si="11"/>
        <v>#VALUE!</v>
      </c>
      <c r="I63" s="126" t="e">
        <f t="shared" ca="1" si="11"/>
        <v>#VALUE!</v>
      </c>
      <c r="J63" s="126" t="e">
        <f t="shared" ca="1" si="11"/>
        <v>#VALUE!</v>
      </c>
      <c r="K63" s="126" t="e">
        <f t="shared" ca="1" si="11"/>
        <v>#VALUE!</v>
      </c>
      <c r="L63" s="126" t="e">
        <f t="shared" ca="1" si="5"/>
        <v>#VALUE!</v>
      </c>
      <c r="M63" s="126" t="e">
        <f t="shared" ca="1" si="12"/>
        <v>#VALUE!</v>
      </c>
      <c r="N63" s="126" t="e">
        <f t="shared" ca="1" si="12"/>
        <v>#VALUE!</v>
      </c>
      <c r="O63" s="126" t="e">
        <f t="shared" ca="1" si="12"/>
        <v>#VALUE!</v>
      </c>
      <c r="P63" s="126" t="e">
        <f t="shared" ca="1" si="12"/>
        <v>#VALUE!</v>
      </c>
      <c r="Q63" s="126" t="e">
        <f t="shared" ca="1" si="12"/>
        <v>#VALUE!</v>
      </c>
      <c r="R63" s="126" t="e">
        <f t="shared" ca="1" si="12"/>
        <v>#VALUE!</v>
      </c>
      <c r="S63" s="126" t="e">
        <f t="shared" ca="1" si="12"/>
        <v>#VALUE!</v>
      </c>
      <c r="T63" s="126" t="e">
        <f t="shared" ca="1" si="12"/>
        <v>#VALUE!</v>
      </c>
      <c r="U63" s="126" t="e">
        <f t="shared" ca="1" si="12"/>
        <v>#VALUE!</v>
      </c>
      <c r="V63" s="126" t="e">
        <f t="shared" ca="1" si="12"/>
        <v>#VALUE!</v>
      </c>
      <c r="W63" s="126" t="e">
        <f t="shared" ca="1" si="12"/>
        <v>#VALUE!</v>
      </c>
      <c r="X63" s="126" t="e">
        <f t="shared" ca="1" si="12"/>
        <v>#VALUE!</v>
      </c>
      <c r="Y63" s="126" t="e">
        <f t="shared" ca="1" si="12"/>
        <v>#VALUE!</v>
      </c>
      <c r="Z63" s="126" t="e">
        <f t="shared" ca="1" si="12"/>
        <v>#VALUE!</v>
      </c>
      <c r="AA63" s="126" t="e">
        <f t="shared" ca="1" si="12"/>
        <v>#VALUE!</v>
      </c>
      <c r="AB63" s="126" t="e">
        <f t="shared" ca="1" si="12"/>
        <v>#VALUE!</v>
      </c>
      <c r="AC63" s="126" t="e">
        <f t="shared" ca="1" si="12"/>
        <v>#VALUE!</v>
      </c>
      <c r="AD63" s="126" t="e">
        <f t="shared" ca="1" si="12"/>
        <v>#VALUE!</v>
      </c>
      <c r="AE63" s="126" t="e">
        <f t="shared" ca="1" si="12"/>
        <v>#VALUE!</v>
      </c>
      <c r="AF63" s="126" t="e">
        <f t="shared" ca="1" si="12"/>
        <v>#VALUE!</v>
      </c>
      <c r="AG63" s="126" t="e">
        <f t="shared" ca="1" si="12"/>
        <v>#VALUE!</v>
      </c>
      <c r="AH63" s="126" t="e">
        <f t="shared" ca="1" si="12"/>
        <v>#VALUE!</v>
      </c>
      <c r="AI63" s="126" t="e">
        <f t="shared" ca="1" si="12"/>
        <v>#VALUE!</v>
      </c>
      <c r="AJ63" s="126" t="e">
        <f t="shared" ca="1" si="12"/>
        <v>#VALUE!</v>
      </c>
      <c r="AK63" s="126" t="e">
        <f t="shared" ca="1" si="12"/>
        <v>#VALUE!</v>
      </c>
      <c r="AL63" s="126" t="e">
        <f t="shared" ca="1" si="12"/>
        <v>#VALUE!</v>
      </c>
      <c r="AM63" s="126" t="e">
        <f t="shared" ca="1" si="12"/>
        <v>#VALUE!</v>
      </c>
      <c r="AN63" s="126" t="e">
        <f t="shared" ca="1" si="12"/>
        <v>#VALUE!</v>
      </c>
      <c r="AO63" s="126" t="e">
        <f t="shared" ca="1" si="12"/>
        <v>#VALUE!</v>
      </c>
      <c r="AP63" s="126" t="e">
        <f t="shared" ca="1" si="12"/>
        <v>#VALUE!</v>
      </c>
      <c r="AQ63" s="126" t="e">
        <f t="shared" ca="1" si="12"/>
        <v>#VALUE!</v>
      </c>
      <c r="AR63" s="126" t="e">
        <f t="shared" ca="1" si="12"/>
        <v>#VALUE!</v>
      </c>
      <c r="AS63" s="126" t="e">
        <f t="shared" ca="1" si="12"/>
        <v>#VALUE!</v>
      </c>
      <c r="AT63" s="126" t="e">
        <f t="shared" ca="1" si="12"/>
        <v>#VALUE!</v>
      </c>
      <c r="AU63" s="126" t="e">
        <f t="shared" ca="1" si="12"/>
        <v>#VALUE!</v>
      </c>
    </row>
    <row r="64" spans="2:47" x14ac:dyDescent="0.25">
      <c r="B64" t="s">
        <v>562</v>
      </c>
      <c r="C64" s="126" t="e">
        <f t="shared" ca="1" si="11"/>
        <v>#VALUE!</v>
      </c>
      <c r="D64" s="126" t="e">
        <f t="shared" ca="1" si="11"/>
        <v>#VALUE!</v>
      </c>
      <c r="E64" s="126" t="e">
        <f t="shared" ca="1" si="11"/>
        <v>#VALUE!</v>
      </c>
      <c r="F64" s="126" t="e">
        <f t="shared" ca="1" si="11"/>
        <v>#VALUE!</v>
      </c>
      <c r="G64" s="126" t="e">
        <f t="shared" ca="1" si="11"/>
        <v>#VALUE!</v>
      </c>
      <c r="H64" s="126" t="e">
        <f t="shared" ca="1" si="11"/>
        <v>#VALUE!</v>
      </c>
      <c r="I64" s="126" t="e">
        <f t="shared" ca="1" si="11"/>
        <v>#VALUE!</v>
      </c>
      <c r="J64" s="126" t="e">
        <f t="shared" ca="1" si="11"/>
        <v>#VALUE!</v>
      </c>
      <c r="K64" s="126" t="e">
        <f t="shared" ca="1" si="11"/>
        <v>#VALUE!</v>
      </c>
      <c r="L64" s="126" t="e">
        <f t="shared" ca="1" si="5"/>
        <v>#VALUE!</v>
      </c>
      <c r="M64" s="126" t="e">
        <f t="shared" ca="1" si="12"/>
        <v>#VALUE!</v>
      </c>
      <c r="N64" s="126" t="e">
        <f t="shared" ca="1" si="12"/>
        <v>#VALUE!</v>
      </c>
      <c r="O64" s="126" t="e">
        <f t="shared" ca="1" si="12"/>
        <v>#VALUE!</v>
      </c>
      <c r="P64" s="126" t="e">
        <f t="shared" ca="1" si="12"/>
        <v>#VALUE!</v>
      </c>
      <c r="Q64" s="126" t="e">
        <f t="shared" ca="1" si="12"/>
        <v>#VALUE!</v>
      </c>
      <c r="R64" s="126" t="e">
        <f t="shared" ref="M64:AU66" ca="1" si="13">Output("SCEN_ADEMEhaut",$B64,R$1)</f>
        <v>#VALUE!</v>
      </c>
      <c r="S64" s="126" t="e">
        <f t="shared" ca="1" si="13"/>
        <v>#VALUE!</v>
      </c>
      <c r="T64" s="126" t="e">
        <f t="shared" ca="1" si="13"/>
        <v>#VALUE!</v>
      </c>
      <c r="U64" s="126" t="e">
        <f t="shared" ca="1" si="13"/>
        <v>#VALUE!</v>
      </c>
      <c r="V64" s="126" t="e">
        <f t="shared" ca="1" si="13"/>
        <v>#VALUE!</v>
      </c>
      <c r="W64" s="126" t="e">
        <f t="shared" ca="1" si="13"/>
        <v>#VALUE!</v>
      </c>
      <c r="X64" s="126" t="e">
        <f t="shared" ca="1" si="13"/>
        <v>#VALUE!</v>
      </c>
      <c r="Y64" s="126" t="e">
        <f t="shared" ca="1" si="13"/>
        <v>#VALUE!</v>
      </c>
      <c r="Z64" s="126" t="e">
        <f t="shared" ca="1" si="13"/>
        <v>#VALUE!</v>
      </c>
      <c r="AA64" s="126" t="e">
        <f t="shared" ca="1" si="13"/>
        <v>#VALUE!</v>
      </c>
      <c r="AB64" s="126" t="e">
        <f t="shared" ca="1" si="13"/>
        <v>#VALUE!</v>
      </c>
      <c r="AC64" s="126" t="e">
        <f t="shared" ca="1" si="13"/>
        <v>#VALUE!</v>
      </c>
      <c r="AD64" s="126" t="e">
        <f t="shared" ca="1" si="13"/>
        <v>#VALUE!</v>
      </c>
      <c r="AE64" s="126" t="e">
        <f t="shared" ca="1" si="13"/>
        <v>#VALUE!</v>
      </c>
      <c r="AF64" s="126" t="e">
        <f t="shared" ca="1" si="13"/>
        <v>#VALUE!</v>
      </c>
      <c r="AG64" s="126" t="e">
        <f t="shared" ca="1" si="13"/>
        <v>#VALUE!</v>
      </c>
      <c r="AH64" s="126" t="e">
        <f t="shared" ca="1" si="13"/>
        <v>#VALUE!</v>
      </c>
      <c r="AI64" s="126" t="e">
        <f t="shared" ca="1" si="13"/>
        <v>#VALUE!</v>
      </c>
      <c r="AJ64" s="126" t="e">
        <f t="shared" ca="1" si="13"/>
        <v>#VALUE!</v>
      </c>
      <c r="AK64" s="126" t="e">
        <f t="shared" ca="1" si="13"/>
        <v>#VALUE!</v>
      </c>
      <c r="AL64" s="126" t="e">
        <f t="shared" ca="1" si="13"/>
        <v>#VALUE!</v>
      </c>
      <c r="AM64" s="126" t="e">
        <f t="shared" ca="1" si="13"/>
        <v>#VALUE!</v>
      </c>
      <c r="AN64" s="126" t="e">
        <f t="shared" ca="1" si="13"/>
        <v>#VALUE!</v>
      </c>
      <c r="AO64" s="126" t="e">
        <f t="shared" ca="1" si="13"/>
        <v>#VALUE!</v>
      </c>
      <c r="AP64" s="126" t="e">
        <f t="shared" ca="1" si="13"/>
        <v>#VALUE!</v>
      </c>
      <c r="AQ64" s="126" t="e">
        <f t="shared" ca="1" si="13"/>
        <v>#VALUE!</v>
      </c>
      <c r="AR64" s="126" t="e">
        <f t="shared" ca="1" si="13"/>
        <v>#VALUE!</v>
      </c>
      <c r="AS64" s="126" t="e">
        <f t="shared" ca="1" si="13"/>
        <v>#VALUE!</v>
      </c>
      <c r="AT64" s="126" t="e">
        <f t="shared" ca="1" si="13"/>
        <v>#VALUE!</v>
      </c>
      <c r="AU64" s="126" t="e">
        <f t="shared" ca="1" si="13"/>
        <v>#VALUE!</v>
      </c>
    </row>
    <row r="65" spans="2:47" x14ac:dyDescent="0.25">
      <c r="B65" t="s">
        <v>563</v>
      </c>
      <c r="C65" s="126" t="e">
        <f t="shared" ca="1" si="11"/>
        <v>#VALUE!</v>
      </c>
      <c r="D65" s="126" t="e">
        <f t="shared" ca="1" si="11"/>
        <v>#VALUE!</v>
      </c>
      <c r="E65" s="126" t="e">
        <f t="shared" ca="1" si="11"/>
        <v>#VALUE!</v>
      </c>
      <c r="F65" s="126" t="e">
        <f t="shared" ca="1" si="11"/>
        <v>#VALUE!</v>
      </c>
      <c r="G65" s="126" t="e">
        <f t="shared" ca="1" si="11"/>
        <v>#VALUE!</v>
      </c>
      <c r="H65" s="126" t="e">
        <f t="shared" ca="1" si="11"/>
        <v>#VALUE!</v>
      </c>
      <c r="I65" s="126" t="e">
        <f t="shared" ca="1" si="11"/>
        <v>#VALUE!</v>
      </c>
      <c r="J65" s="126" t="e">
        <f t="shared" ca="1" si="11"/>
        <v>#VALUE!</v>
      </c>
      <c r="K65" s="126" t="e">
        <f t="shared" ca="1" si="11"/>
        <v>#VALUE!</v>
      </c>
      <c r="L65" s="126" t="e">
        <f t="shared" ca="1" si="5"/>
        <v>#VALUE!</v>
      </c>
      <c r="M65" s="126" t="e">
        <f t="shared" ca="1" si="13"/>
        <v>#VALUE!</v>
      </c>
      <c r="N65" s="126" t="e">
        <f t="shared" ca="1" si="13"/>
        <v>#VALUE!</v>
      </c>
      <c r="O65" s="126" t="e">
        <f t="shared" ca="1" si="13"/>
        <v>#VALUE!</v>
      </c>
      <c r="P65" s="126" t="e">
        <f t="shared" ca="1" si="13"/>
        <v>#VALUE!</v>
      </c>
      <c r="Q65" s="126" t="e">
        <f t="shared" ca="1" si="13"/>
        <v>#VALUE!</v>
      </c>
      <c r="R65" s="126" t="e">
        <f t="shared" ca="1" si="13"/>
        <v>#VALUE!</v>
      </c>
      <c r="S65" s="126" t="e">
        <f t="shared" ca="1" si="13"/>
        <v>#VALUE!</v>
      </c>
      <c r="T65" s="126" t="e">
        <f t="shared" ca="1" si="13"/>
        <v>#VALUE!</v>
      </c>
      <c r="U65" s="126" t="e">
        <f t="shared" ca="1" si="13"/>
        <v>#VALUE!</v>
      </c>
      <c r="V65" s="126" t="e">
        <f t="shared" ca="1" si="13"/>
        <v>#VALUE!</v>
      </c>
      <c r="W65" s="126" t="e">
        <f t="shared" ca="1" si="13"/>
        <v>#VALUE!</v>
      </c>
      <c r="X65" s="126" t="e">
        <f t="shared" ca="1" si="13"/>
        <v>#VALUE!</v>
      </c>
      <c r="Y65" s="126" t="e">
        <f t="shared" ca="1" si="13"/>
        <v>#VALUE!</v>
      </c>
      <c r="Z65" s="126" t="e">
        <f t="shared" ca="1" si="13"/>
        <v>#VALUE!</v>
      </c>
      <c r="AA65" s="126" t="e">
        <f t="shared" ca="1" si="13"/>
        <v>#VALUE!</v>
      </c>
      <c r="AB65" s="126" t="e">
        <f t="shared" ca="1" si="13"/>
        <v>#VALUE!</v>
      </c>
      <c r="AC65" s="126" t="e">
        <f t="shared" ca="1" si="13"/>
        <v>#VALUE!</v>
      </c>
      <c r="AD65" s="126" t="e">
        <f t="shared" ca="1" si="13"/>
        <v>#VALUE!</v>
      </c>
      <c r="AE65" s="126" t="e">
        <f t="shared" ca="1" si="13"/>
        <v>#VALUE!</v>
      </c>
      <c r="AF65" s="126" t="e">
        <f t="shared" ca="1" si="13"/>
        <v>#VALUE!</v>
      </c>
      <c r="AG65" s="126" t="e">
        <f t="shared" ca="1" si="13"/>
        <v>#VALUE!</v>
      </c>
      <c r="AH65" s="126" t="e">
        <f t="shared" ca="1" si="13"/>
        <v>#VALUE!</v>
      </c>
      <c r="AI65" s="126" t="e">
        <f t="shared" ca="1" si="13"/>
        <v>#VALUE!</v>
      </c>
      <c r="AJ65" s="126" t="e">
        <f t="shared" ca="1" si="13"/>
        <v>#VALUE!</v>
      </c>
      <c r="AK65" s="126" t="e">
        <f t="shared" ca="1" si="13"/>
        <v>#VALUE!</v>
      </c>
      <c r="AL65" s="126" t="e">
        <f t="shared" ca="1" si="13"/>
        <v>#VALUE!</v>
      </c>
      <c r="AM65" s="126" t="e">
        <f t="shared" ca="1" si="13"/>
        <v>#VALUE!</v>
      </c>
      <c r="AN65" s="126" t="e">
        <f t="shared" ca="1" si="13"/>
        <v>#VALUE!</v>
      </c>
      <c r="AO65" s="126" t="e">
        <f t="shared" ca="1" si="13"/>
        <v>#VALUE!</v>
      </c>
      <c r="AP65" s="126" t="e">
        <f t="shared" ca="1" si="13"/>
        <v>#VALUE!</v>
      </c>
      <c r="AQ65" s="126" t="e">
        <f t="shared" ca="1" si="13"/>
        <v>#VALUE!</v>
      </c>
      <c r="AR65" s="126" t="e">
        <f t="shared" ca="1" si="13"/>
        <v>#VALUE!</v>
      </c>
      <c r="AS65" s="126" t="e">
        <f t="shared" ca="1" si="13"/>
        <v>#VALUE!</v>
      </c>
      <c r="AT65" s="126" t="e">
        <f t="shared" ca="1" si="13"/>
        <v>#VALUE!</v>
      </c>
      <c r="AU65" s="126" t="e">
        <f t="shared" ca="1" si="13"/>
        <v>#VALUE!</v>
      </c>
    </row>
    <row r="66" spans="2:47" x14ac:dyDescent="0.25">
      <c r="B66" t="s">
        <v>564</v>
      </c>
      <c r="C66" s="126" t="e">
        <f t="shared" ca="1" si="11"/>
        <v>#VALUE!</v>
      </c>
      <c r="D66" s="126" t="e">
        <f t="shared" ca="1" si="11"/>
        <v>#VALUE!</v>
      </c>
      <c r="E66" s="126" t="e">
        <f t="shared" ca="1" si="11"/>
        <v>#VALUE!</v>
      </c>
      <c r="F66" s="126" t="e">
        <f t="shared" ca="1" si="11"/>
        <v>#VALUE!</v>
      </c>
      <c r="G66" s="126" t="e">
        <f t="shared" ca="1" si="11"/>
        <v>#VALUE!</v>
      </c>
      <c r="H66" s="126" t="e">
        <f t="shared" ca="1" si="11"/>
        <v>#VALUE!</v>
      </c>
      <c r="I66" s="126" t="e">
        <f t="shared" ca="1" si="11"/>
        <v>#VALUE!</v>
      </c>
      <c r="J66" s="126" t="e">
        <f t="shared" ca="1" si="11"/>
        <v>#VALUE!</v>
      </c>
      <c r="K66" s="126" t="e">
        <f t="shared" ca="1" si="11"/>
        <v>#VALUE!</v>
      </c>
      <c r="L66" s="126" t="e">
        <f t="shared" ca="1" si="5"/>
        <v>#VALUE!</v>
      </c>
      <c r="M66" s="126" t="e">
        <f t="shared" ca="1" si="13"/>
        <v>#VALUE!</v>
      </c>
      <c r="N66" s="126" t="e">
        <f t="shared" ca="1" si="13"/>
        <v>#VALUE!</v>
      </c>
      <c r="O66" s="126" t="e">
        <f t="shared" ca="1" si="13"/>
        <v>#VALUE!</v>
      </c>
      <c r="P66" s="126" t="e">
        <f t="shared" ca="1" si="13"/>
        <v>#VALUE!</v>
      </c>
      <c r="Q66" s="126" t="e">
        <f t="shared" ca="1" si="13"/>
        <v>#VALUE!</v>
      </c>
      <c r="R66" s="126" t="e">
        <f t="shared" ca="1" si="13"/>
        <v>#VALUE!</v>
      </c>
      <c r="S66" s="126" t="e">
        <f t="shared" ca="1" si="13"/>
        <v>#VALUE!</v>
      </c>
      <c r="T66" s="126" t="e">
        <f t="shared" ca="1" si="13"/>
        <v>#VALUE!</v>
      </c>
      <c r="U66" s="126" t="e">
        <f t="shared" ca="1" si="13"/>
        <v>#VALUE!</v>
      </c>
      <c r="V66" s="126" t="e">
        <f t="shared" ca="1" si="13"/>
        <v>#VALUE!</v>
      </c>
      <c r="W66" s="126" t="e">
        <f t="shared" ca="1" si="13"/>
        <v>#VALUE!</v>
      </c>
      <c r="X66" s="126" t="e">
        <f t="shared" ca="1" si="13"/>
        <v>#VALUE!</v>
      </c>
      <c r="Y66" s="126" t="e">
        <f t="shared" ca="1" si="13"/>
        <v>#VALUE!</v>
      </c>
      <c r="Z66" s="126" t="e">
        <f t="shared" ca="1" si="13"/>
        <v>#VALUE!</v>
      </c>
      <c r="AA66" s="126" t="e">
        <f t="shared" ca="1" si="13"/>
        <v>#VALUE!</v>
      </c>
      <c r="AB66" s="126" t="e">
        <f t="shared" ca="1" si="13"/>
        <v>#VALUE!</v>
      </c>
      <c r="AC66" s="126" t="e">
        <f t="shared" ca="1" si="13"/>
        <v>#VALUE!</v>
      </c>
      <c r="AD66" s="126" t="e">
        <f t="shared" ca="1" si="13"/>
        <v>#VALUE!</v>
      </c>
      <c r="AE66" s="126" t="e">
        <f t="shared" ca="1" si="13"/>
        <v>#VALUE!</v>
      </c>
      <c r="AF66" s="126" t="e">
        <f t="shared" ca="1" si="13"/>
        <v>#VALUE!</v>
      </c>
      <c r="AG66" s="126" t="e">
        <f t="shared" ca="1" si="13"/>
        <v>#VALUE!</v>
      </c>
      <c r="AH66" s="126" t="e">
        <f t="shared" ca="1" si="13"/>
        <v>#VALUE!</v>
      </c>
      <c r="AI66" s="126" t="e">
        <f t="shared" ca="1" si="13"/>
        <v>#VALUE!</v>
      </c>
      <c r="AJ66" s="126" t="e">
        <f t="shared" ca="1" si="13"/>
        <v>#VALUE!</v>
      </c>
      <c r="AK66" s="126" t="e">
        <f t="shared" ca="1" si="13"/>
        <v>#VALUE!</v>
      </c>
      <c r="AL66" s="126" t="e">
        <f t="shared" ca="1" si="13"/>
        <v>#VALUE!</v>
      </c>
      <c r="AM66" s="126" t="e">
        <f t="shared" ca="1" si="13"/>
        <v>#VALUE!</v>
      </c>
      <c r="AN66" s="126" t="e">
        <f t="shared" ca="1" si="13"/>
        <v>#VALUE!</v>
      </c>
      <c r="AO66" s="126" t="e">
        <f t="shared" ca="1" si="13"/>
        <v>#VALUE!</v>
      </c>
      <c r="AP66" s="126" t="e">
        <f t="shared" ca="1" si="13"/>
        <v>#VALUE!</v>
      </c>
      <c r="AQ66" s="126" t="e">
        <f t="shared" ca="1" si="13"/>
        <v>#VALUE!</v>
      </c>
      <c r="AR66" s="126" t="e">
        <f t="shared" ca="1" si="13"/>
        <v>#VALUE!</v>
      </c>
      <c r="AS66" s="126" t="e">
        <f t="shared" ca="1" si="13"/>
        <v>#VALUE!</v>
      </c>
      <c r="AT66" s="126" t="e">
        <f t="shared" ca="1" si="13"/>
        <v>#VALUE!</v>
      </c>
      <c r="AU66" s="126" t="e">
        <f ca="1">Output("SCEN_ADEMEhaut",$B66,AU$1)</f>
        <v>#VALUE!</v>
      </c>
    </row>
    <row r="67" spans="2:47" x14ac:dyDescent="0.25">
      <c r="B67" t="s">
        <v>576</v>
      </c>
      <c r="C67" s="127" t="e">
        <f t="shared" ref="C67:K67" ca="1" si="14">SUM(C20:C56,C58:C66)</f>
        <v>#VALUE!</v>
      </c>
      <c r="D67" s="127" t="e">
        <f t="shared" ca="1" si="14"/>
        <v>#VALUE!</v>
      </c>
      <c r="E67" s="127" t="e">
        <f t="shared" ca="1" si="14"/>
        <v>#VALUE!</v>
      </c>
      <c r="F67" s="127" t="e">
        <f t="shared" ca="1" si="14"/>
        <v>#VALUE!</v>
      </c>
      <c r="G67" s="127" t="e">
        <f t="shared" ca="1" si="14"/>
        <v>#VALUE!</v>
      </c>
      <c r="H67" s="127" t="e">
        <f t="shared" ca="1" si="14"/>
        <v>#VALUE!</v>
      </c>
      <c r="I67" s="127" t="e">
        <f t="shared" ca="1" si="14"/>
        <v>#VALUE!</v>
      </c>
      <c r="J67" s="127" t="e">
        <f t="shared" ca="1" si="14"/>
        <v>#VALUE!</v>
      </c>
      <c r="K67" s="127" t="e">
        <f t="shared" ca="1" si="14"/>
        <v>#VALUE!</v>
      </c>
      <c r="L67" s="127" t="e">
        <f ca="1">SUM(L20:L56,L58:L66)</f>
        <v>#VALUE!</v>
      </c>
      <c r="M67" s="127" t="e">
        <f t="shared" ref="M67:AU67" ca="1" si="15">SUM(M20:M56,M58:M66)</f>
        <v>#VALUE!</v>
      </c>
      <c r="N67" s="127" t="e">
        <f t="shared" ca="1" si="15"/>
        <v>#VALUE!</v>
      </c>
      <c r="O67" s="127" t="e">
        <f t="shared" ca="1" si="15"/>
        <v>#VALUE!</v>
      </c>
      <c r="P67" s="127" t="e">
        <f t="shared" ca="1" si="15"/>
        <v>#VALUE!</v>
      </c>
      <c r="Q67" s="127" t="e">
        <f t="shared" ca="1" si="15"/>
        <v>#VALUE!</v>
      </c>
      <c r="R67" s="127" t="e">
        <f t="shared" ca="1" si="15"/>
        <v>#VALUE!</v>
      </c>
      <c r="S67" s="127" t="e">
        <f t="shared" ca="1" si="15"/>
        <v>#VALUE!</v>
      </c>
      <c r="T67" s="127" t="e">
        <f t="shared" ca="1" si="15"/>
        <v>#VALUE!</v>
      </c>
      <c r="U67" s="127" t="e">
        <f t="shared" ca="1" si="15"/>
        <v>#VALUE!</v>
      </c>
      <c r="V67" s="127" t="e">
        <f t="shared" ca="1" si="15"/>
        <v>#VALUE!</v>
      </c>
      <c r="W67" s="127" t="e">
        <f t="shared" ca="1" si="15"/>
        <v>#VALUE!</v>
      </c>
      <c r="X67" s="127" t="e">
        <f t="shared" ca="1" si="15"/>
        <v>#VALUE!</v>
      </c>
      <c r="Y67" s="127" t="e">
        <f t="shared" ca="1" si="15"/>
        <v>#VALUE!</v>
      </c>
      <c r="Z67" s="127" t="e">
        <f t="shared" ca="1" si="15"/>
        <v>#VALUE!</v>
      </c>
      <c r="AA67" s="127" t="e">
        <f t="shared" ca="1" si="15"/>
        <v>#VALUE!</v>
      </c>
      <c r="AB67" s="127" t="e">
        <f t="shared" ca="1" si="15"/>
        <v>#VALUE!</v>
      </c>
      <c r="AC67" s="127" t="e">
        <f t="shared" ca="1" si="15"/>
        <v>#VALUE!</v>
      </c>
      <c r="AD67" s="127" t="e">
        <f t="shared" ca="1" si="15"/>
        <v>#VALUE!</v>
      </c>
      <c r="AE67" s="127" t="e">
        <f t="shared" ca="1" si="15"/>
        <v>#VALUE!</v>
      </c>
      <c r="AF67" s="127" t="e">
        <f t="shared" ca="1" si="15"/>
        <v>#VALUE!</v>
      </c>
      <c r="AG67" s="127" t="e">
        <f t="shared" ca="1" si="15"/>
        <v>#VALUE!</v>
      </c>
      <c r="AH67" s="127" t="e">
        <f t="shared" ca="1" si="15"/>
        <v>#VALUE!</v>
      </c>
      <c r="AI67" s="127" t="e">
        <f t="shared" ca="1" si="15"/>
        <v>#VALUE!</v>
      </c>
      <c r="AJ67" s="127" t="e">
        <f t="shared" ca="1" si="15"/>
        <v>#VALUE!</v>
      </c>
      <c r="AK67" s="127" t="e">
        <f t="shared" ca="1" si="15"/>
        <v>#VALUE!</v>
      </c>
      <c r="AL67" s="127" t="e">
        <f t="shared" ca="1" si="15"/>
        <v>#VALUE!</v>
      </c>
      <c r="AM67" s="127" t="e">
        <f t="shared" ca="1" si="15"/>
        <v>#VALUE!</v>
      </c>
      <c r="AN67" s="127" t="e">
        <f t="shared" ca="1" si="15"/>
        <v>#VALUE!</v>
      </c>
      <c r="AO67" s="127" t="e">
        <f t="shared" ca="1" si="15"/>
        <v>#VALUE!</v>
      </c>
      <c r="AP67" s="127" t="e">
        <f t="shared" ca="1" si="15"/>
        <v>#VALUE!</v>
      </c>
      <c r="AQ67" s="127" t="e">
        <f t="shared" ca="1" si="15"/>
        <v>#VALUE!</v>
      </c>
      <c r="AR67" s="127" t="e">
        <f t="shared" ca="1" si="15"/>
        <v>#VALUE!</v>
      </c>
      <c r="AS67" s="127" t="e">
        <f t="shared" ca="1" si="15"/>
        <v>#VALUE!</v>
      </c>
      <c r="AT67" s="127" t="e">
        <f t="shared" ca="1" si="15"/>
        <v>#VALUE!</v>
      </c>
      <c r="AU67" s="127" t="e">
        <f t="shared" ca="1" si="15"/>
        <v>#VALUE!</v>
      </c>
    </row>
    <row r="68" spans="2:47" x14ac:dyDescent="0.25"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  <c r="AB68" s="127"/>
      <c r="AC68" s="127"/>
      <c r="AD68" s="127"/>
      <c r="AE68" s="127"/>
      <c r="AF68" s="127"/>
      <c r="AG68" s="127"/>
      <c r="AH68" s="127"/>
      <c r="AI68" s="127"/>
      <c r="AJ68" s="127"/>
      <c r="AK68" s="127"/>
      <c r="AL68" s="127"/>
      <c r="AM68" s="127"/>
      <c r="AN68" s="127"/>
      <c r="AO68" s="127"/>
      <c r="AP68" s="127"/>
      <c r="AQ68" s="127"/>
      <c r="AR68" s="127"/>
      <c r="AS68" s="127"/>
      <c r="AT68" s="127"/>
      <c r="AU68" s="127"/>
    </row>
    <row r="69" spans="2:47" x14ac:dyDescent="0.25">
      <c r="B69" t="s">
        <v>519</v>
      </c>
      <c r="C69" s="126" t="e">
        <f t="shared" ref="C69:K84" ca="1" si="16">Output("SCEN_ADEMEhaut",$B69,C$1)</f>
        <v>#VALUE!</v>
      </c>
      <c r="D69" s="126" t="e">
        <f t="shared" ca="1" si="16"/>
        <v>#VALUE!</v>
      </c>
      <c r="E69" s="126" t="e">
        <f t="shared" ca="1" si="16"/>
        <v>#VALUE!</v>
      </c>
      <c r="F69" s="126" t="e">
        <f t="shared" ca="1" si="16"/>
        <v>#VALUE!</v>
      </c>
      <c r="G69" s="126" t="e">
        <f t="shared" ca="1" si="16"/>
        <v>#VALUE!</v>
      </c>
      <c r="H69" s="126" t="e">
        <f t="shared" ca="1" si="16"/>
        <v>#VALUE!</v>
      </c>
      <c r="I69" s="126" t="e">
        <f t="shared" ca="1" si="16"/>
        <v>#VALUE!</v>
      </c>
      <c r="J69" s="126" t="e">
        <f t="shared" ca="1" si="16"/>
        <v>#VALUE!</v>
      </c>
      <c r="K69" s="126" t="e">
        <f t="shared" ca="1" si="16"/>
        <v>#VALUE!</v>
      </c>
      <c r="L69" s="126" t="e">
        <f ca="1">Output("SCEN_ADEMEhaut",$B69,L$1)</f>
        <v>#VALUE!</v>
      </c>
      <c r="M69" s="126" t="e">
        <f t="shared" ref="M69:AU76" ca="1" si="17">Output("SCEN_ADEMEhaut",$B69,M$1)</f>
        <v>#VALUE!</v>
      </c>
      <c r="N69" s="126" t="e">
        <f t="shared" ca="1" si="17"/>
        <v>#VALUE!</v>
      </c>
      <c r="O69" s="126" t="e">
        <f t="shared" ca="1" si="17"/>
        <v>#VALUE!</v>
      </c>
      <c r="P69" s="126" t="e">
        <f t="shared" ca="1" si="17"/>
        <v>#VALUE!</v>
      </c>
      <c r="Q69" s="126" t="e">
        <f t="shared" ca="1" si="17"/>
        <v>#VALUE!</v>
      </c>
      <c r="R69" s="126" t="e">
        <f t="shared" ca="1" si="17"/>
        <v>#VALUE!</v>
      </c>
      <c r="S69" s="126" t="e">
        <f t="shared" ca="1" si="17"/>
        <v>#VALUE!</v>
      </c>
      <c r="T69" s="126" t="e">
        <f t="shared" ca="1" si="17"/>
        <v>#VALUE!</v>
      </c>
      <c r="U69" s="126" t="e">
        <f t="shared" ca="1" si="17"/>
        <v>#VALUE!</v>
      </c>
      <c r="V69" s="126" t="e">
        <f t="shared" ca="1" si="17"/>
        <v>#VALUE!</v>
      </c>
      <c r="W69" s="126" t="e">
        <f t="shared" ca="1" si="17"/>
        <v>#VALUE!</v>
      </c>
      <c r="X69" s="126" t="e">
        <f t="shared" ca="1" si="17"/>
        <v>#VALUE!</v>
      </c>
      <c r="Y69" s="126" t="e">
        <f t="shared" ca="1" si="17"/>
        <v>#VALUE!</v>
      </c>
      <c r="Z69" s="126" t="e">
        <f t="shared" ca="1" si="17"/>
        <v>#VALUE!</v>
      </c>
      <c r="AA69" s="126" t="e">
        <f t="shared" ca="1" si="17"/>
        <v>#VALUE!</v>
      </c>
      <c r="AB69" s="126" t="e">
        <f t="shared" ca="1" si="17"/>
        <v>#VALUE!</v>
      </c>
      <c r="AC69" s="126" t="e">
        <f t="shared" ca="1" si="17"/>
        <v>#VALUE!</v>
      </c>
      <c r="AD69" s="126" t="e">
        <f t="shared" ca="1" si="17"/>
        <v>#VALUE!</v>
      </c>
      <c r="AE69" s="126" t="e">
        <f t="shared" ca="1" si="17"/>
        <v>#VALUE!</v>
      </c>
      <c r="AF69" s="126" t="e">
        <f t="shared" ca="1" si="17"/>
        <v>#VALUE!</v>
      </c>
      <c r="AG69" s="126" t="e">
        <f t="shared" ca="1" si="17"/>
        <v>#VALUE!</v>
      </c>
      <c r="AH69" s="126" t="e">
        <f t="shared" ca="1" si="17"/>
        <v>#VALUE!</v>
      </c>
      <c r="AI69" s="126" t="e">
        <f t="shared" ca="1" si="17"/>
        <v>#VALUE!</v>
      </c>
      <c r="AJ69" s="126" t="e">
        <f t="shared" ca="1" si="17"/>
        <v>#VALUE!</v>
      </c>
      <c r="AK69" s="126" t="e">
        <f t="shared" ca="1" si="17"/>
        <v>#VALUE!</v>
      </c>
      <c r="AL69" s="126" t="e">
        <f t="shared" ca="1" si="17"/>
        <v>#VALUE!</v>
      </c>
      <c r="AM69" s="126" t="e">
        <f t="shared" ca="1" si="17"/>
        <v>#VALUE!</v>
      </c>
      <c r="AN69" s="126" t="e">
        <f t="shared" ca="1" si="17"/>
        <v>#VALUE!</v>
      </c>
      <c r="AO69" s="126" t="e">
        <f t="shared" ca="1" si="17"/>
        <v>#VALUE!</v>
      </c>
      <c r="AP69" s="126" t="e">
        <f t="shared" ca="1" si="17"/>
        <v>#VALUE!</v>
      </c>
      <c r="AQ69" s="126" t="e">
        <f t="shared" ca="1" si="17"/>
        <v>#VALUE!</v>
      </c>
      <c r="AR69" s="126" t="e">
        <f t="shared" ca="1" si="17"/>
        <v>#VALUE!</v>
      </c>
      <c r="AS69" s="126" t="e">
        <f t="shared" ca="1" si="17"/>
        <v>#VALUE!</v>
      </c>
      <c r="AT69" s="126" t="e">
        <f t="shared" ca="1" si="17"/>
        <v>#VALUE!</v>
      </c>
      <c r="AU69" s="126" t="e">
        <f t="shared" ca="1" si="17"/>
        <v>#VALUE!</v>
      </c>
    </row>
    <row r="70" spans="2:47" x14ac:dyDescent="0.25">
      <c r="B70" t="s">
        <v>520</v>
      </c>
      <c r="C70" s="126" t="e">
        <f t="shared" ca="1" si="16"/>
        <v>#VALUE!</v>
      </c>
      <c r="D70" s="126" t="e">
        <f t="shared" ca="1" si="16"/>
        <v>#VALUE!</v>
      </c>
      <c r="E70" s="126" t="e">
        <f t="shared" ca="1" si="16"/>
        <v>#VALUE!</v>
      </c>
      <c r="F70" s="126" t="e">
        <f t="shared" ca="1" si="16"/>
        <v>#VALUE!</v>
      </c>
      <c r="G70" s="126" t="e">
        <f t="shared" ca="1" si="16"/>
        <v>#VALUE!</v>
      </c>
      <c r="H70" s="126" t="e">
        <f t="shared" ca="1" si="16"/>
        <v>#VALUE!</v>
      </c>
      <c r="I70" s="126" t="e">
        <f t="shared" ca="1" si="16"/>
        <v>#VALUE!</v>
      </c>
      <c r="J70" s="126" t="e">
        <f t="shared" ca="1" si="16"/>
        <v>#VALUE!</v>
      </c>
      <c r="K70" s="126" t="e">
        <f t="shared" ca="1" si="16"/>
        <v>#VALUE!</v>
      </c>
      <c r="L70" s="126" t="e">
        <f t="shared" ref="L70:AA115" ca="1" si="18">Output("SCEN_ADEMEhaut",$B70,L$1)</f>
        <v>#VALUE!</v>
      </c>
      <c r="M70" s="126" t="e">
        <f t="shared" ca="1" si="18"/>
        <v>#VALUE!</v>
      </c>
      <c r="N70" s="126" t="e">
        <f t="shared" ca="1" si="18"/>
        <v>#VALUE!</v>
      </c>
      <c r="O70" s="126" t="e">
        <f t="shared" ca="1" si="18"/>
        <v>#VALUE!</v>
      </c>
      <c r="P70" s="126" t="e">
        <f t="shared" ca="1" si="18"/>
        <v>#VALUE!</v>
      </c>
      <c r="Q70" s="126" t="e">
        <f t="shared" ca="1" si="18"/>
        <v>#VALUE!</v>
      </c>
      <c r="R70" s="126" t="e">
        <f t="shared" ca="1" si="18"/>
        <v>#VALUE!</v>
      </c>
      <c r="S70" s="126" t="e">
        <f t="shared" ca="1" si="18"/>
        <v>#VALUE!</v>
      </c>
      <c r="T70" s="126" t="e">
        <f t="shared" ca="1" si="18"/>
        <v>#VALUE!</v>
      </c>
      <c r="U70" s="126" t="e">
        <f t="shared" ca="1" si="18"/>
        <v>#VALUE!</v>
      </c>
      <c r="V70" s="126" t="e">
        <f t="shared" ca="1" si="18"/>
        <v>#VALUE!</v>
      </c>
      <c r="W70" s="126" t="e">
        <f t="shared" ca="1" si="18"/>
        <v>#VALUE!</v>
      </c>
      <c r="X70" s="126" t="e">
        <f t="shared" ca="1" si="18"/>
        <v>#VALUE!</v>
      </c>
      <c r="Y70" s="126" t="e">
        <f t="shared" ca="1" si="18"/>
        <v>#VALUE!</v>
      </c>
      <c r="Z70" s="126" t="e">
        <f t="shared" ca="1" si="18"/>
        <v>#VALUE!</v>
      </c>
      <c r="AA70" s="126" t="e">
        <f t="shared" ca="1" si="18"/>
        <v>#VALUE!</v>
      </c>
      <c r="AB70" s="126" t="e">
        <f t="shared" ca="1" si="17"/>
        <v>#VALUE!</v>
      </c>
      <c r="AC70" s="126" t="e">
        <f t="shared" ca="1" si="17"/>
        <v>#VALUE!</v>
      </c>
      <c r="AD70" s="126" t="e">
        <f t="shared" ca="1" si="17"/>
        <v>#VALUE!</v>
      </c>
      <c r="AE70" s="126" t="e">
        <f t="shared" ca="1" si="17"/>
        <v>#VALUE!</v>
      </c>
      <c r="AF70" s="126" t="e">
        <f t="shared" ca="1" si="17"/>
        <v>#VALUE!</v>
      </c>
      <c r="AG70" s="126" t="e">
        <f t="shared" ca="1" si="17"/>
        <v>#VALUE!</v>
      </c>
      <c r="AH70" s="126" t="e">
        <f t="shared" ca="1" si="17"/>
        <v>#VALUE!</v>
      </c>
      <c r="AI70" s="126" t="e">
        <f t="shared" ca="1" si="17"/>
        <v>#VALUE!</v>
      </c>
      <c r="AJ70" s="126" t="e">
        <f t="shared" ca="1" si="17"/>
        <v>#VALUE!</v>
      </c>
      <c r="AK70" s="126" t="e">
        <f t="shared" ca="1" si="17"/>
        <v>#VALUE!</v>
      </c>
      <c r="AL70" s="126" t="e">
        <f t="shared" ca="1" si="17"/>
        <v>#VALUE!</v>
      </c>
      <c r="AM70" s="126" t="e">
        <f t="shared" ca="1" si="17"/>
        <v>#VALUE!</v>
      </c>
      <c r="AN70" s="126" t="e">
        <f t="shared" ca="1" si="17"/>
        <v>#VALUE!</v>
      </c>
      <c r="AO70" s="126" t="e">
        <f t="shared" ca="1" si="17"/>
        <v>#VALUE!</v>
      </c>
      <c r="AP70" s="126" t="e">
        <f t="shared" ca="1" si="17"/>
        <v>#VALUE!</v>
      </c>
      <c r="AQ70" s="126" t="e">
        <f t="shared" ca="1" si="17"/>
        <v>#VALUE!</v>
      </c>
      <c r="AR70" s="126" t="e">
        <f t="shared" ca="1" si="17"/>
        <v>#VALUE!</v>
      </c>
      <c r="AS70" s="126" t="e">
        <f t="shared" ca="1" si="17"/>
        <v>#VALUE!</v>
      </c>
      <c r="AT70" s="126" t="e">
        <f t="shared" ca="1" si="17"/>
        <v>#VALUE!</v>
      </c>
      <c r="AU70" s="126" t="e">
        <f t="shared" ca="1" si="17"/>
        <v>#VALUE!</v>
      </c>
    </row>
    <row r="71" spans="2:47" x14ac:dyDescent="0.25">
      <c r="B71" t="s">
        <v>521</v>
      </c>
      <c r="C71" s="126" t="e">
        <f t="shared" ca="1" si="16"/>
        <v>#VALUE!</v>
      </c>
      <c r="D71" s="126" t="e">
        <f t="shared" ca="1" si="16"/>
        <v>#VALUE!</v>
      </c>
      <c r="E71" s="126" t="e">
        <f t="shared" ca="1" si="16"/>
        <v>#VALUE!</v>
      </c>
      <c r="F71" s="126" t="e">
        <f t="shared" ca="1" si="16"/>
        <v>#VALUE!</v>
      </c>
      <c r="G71" s="126" t="e">
        <f t="shared" ca="1" si="16"/>
        <v>#VALUE!</v>
      </c>
      <c r="H71" s="126" t="e">
        <f t="shared" ca="1" si="16"/>
        <v>#VALUE!</v>
      </c>
      <c r="I71" s="126" t="e">
        <f t="shared" ca="1" si="16"/>
        <v>#VALUE!</v>
      </c>
      <c r="J71" s="126" t="e">
        <f t="shared" ca="1" si="16"/>
        <v>#VALUE!</v>
      </c>
      <c r="K71" s="126" t="e">
        <f t="shared" ca="1" si="16"/>
        <v>#VALUE!</v>
      </c>
      <c r="L71" s="126" t="e">
        <f t="shared" ca="1" si="18"/>
        <v>#VALUE!</v>
      </c>
      <c r="M71" s="126" t="e">
        <f t="shared" ca="1" si="17"/>
        <v>#VALUE!</v>
      </c>
      <c r="N71" s="126" t="e">
        <f t="shared" ca="1" si="17"/>
        <v>#VALUE!</v>
      </c>
      <c r="O71" s="126" t="e">
        <f t="shared" ca="1" si="17"/>
        <v>#VALUE!</v>
      </c>
      <c r="P71" s="126" t="e">
        <f t="shared" ca="1" si="17"/>
        <v>#VALUE!</v>
      </c>
      <c r="Q71" s="126" t="e">
        <f t="shared" ca="1" si="17"/>
        <v>#VALUE!</v>
      </c>
      <c r="R71" s="126" t="e">
        <f t="shared" ca="1" si="17"/>
        <v>#VALUE!</v>
      </c>
      <c r="S71" s="126" t="e">
        <f t="shared" ca="1" si="17"/>
        <v>#VALUE!</v>
      </c>
      <c r="T71" s="126" t="e">
        <f t="shared" ca="1" si="17"/>
        <v>#VALUE!</v>
      </c>
      <c r="U71" s="126" t="e">
        <f t="shared" ca="1" si="17"/>
        <v>#VALUE!</v>
      </c>
      <c r="V71" s="126" t="e">
        <f t="shared" ca="1" si="17"/>
        <v>#VALUE!</v>
      </c>
      <c r="W71" s="126" t="e">
        <f t="shared" ca="1" si="17"/>
        <v>#VALUE!</v>
      </c>
      <c r="X71" s="126" t="e">
        <f t="shared" ca="1" si="17"/>
        <v>#VALUE!</v>
      </c>
      <c r="Y71" s="126" t="e">
        <f t="shared" ca="1" si="17"/>
        <v>#VALUE!</v>
      </c>
      <c r="Z71" s="126" t="e">
        <f t="shared" ca="1" si="17"/>
        <v>#VALUE!</v>
      </c>
      <c r="AA71" s="126" t="e">
        <f t="shared" ca="1" si="17"/>
        <v>#VALUE!</v>
      </c>
      <c r="AB71" s="126" t="e">
        <f t="shared" ca="1" si="17"/>
        <v>#VALUE!</v>
      </c>
      <c r="AC71" s="126" t="e">
        <f t="shared" ca="1" si="17"/>
        <v>#VALUE!</v>
      </c>
      <c r="AD71" s="126" t="e">
        <f t="shared" ca="1" si="17"/>
        <v>#VALUE!</v>
      </c>
      <c r="AE71" s="126" t="e">
        <f t="shared" ca="1" si="17"/>
        <v>#VALUE!</v>
      </c>
      <c r="AF71" s="126" t="e">
        <f t="shared" ca="1" si="17"/>
        <v>#VALUE!</v>
      </c>
      <c r="AG71" s="126" t="e">
        <f t="shared" ca="1" si="17"/>
        <v>#VALUE!</v>
      </c>
      <c r="AH71" s="126" t="e">
        <f t="shared" ca="1" si="17"/>
        <v>#VALUE!</v>
      </c>
      <c r="AI71" s="126" t="e">
        <f t="shared" ca="1" si="17"/>
        <v>#VALUE!</v>
      </c>
      <c r="AJ71" s="126" t="e">
        <f t="shared" ca="1" si="17"/>
        <v>#VALUE!</v>
      </c>
      <c r="AK71" s="126" t="e">
        <f t="shared" ca="1" si="17"/>
        <v>#VALUE!</v>
      </c>
      <c r="AL71" s="126" t="e">
        <f t="shared" ca="1" si="17"/>
        <v>#VALUE!</v>
      </c>
      <c r="AM71" s="126" t="e">
        <f t="shared" ca="1" si="17"/>
        <v>#VALUE!</v>
      </c>
      <c r="AN71" s="126" t="e">
        <f t="shared" ca="1" si="17"/>
        <v>#VALUE!</v>
      </c>
      <c r="AO71" s="126" t="e">
        <f t="shared" ca="1" si="17"/>
        <v>#VALUE!</v>
      </c>
      <c r="AP71" s="126" t="e">
        <f t="shared" ca="1" si="17"/>
        <v>#VALUE!</v>
      </c>
      <c r="AQ71" s="126" t="e">
        <f t="shared" ca="1" si="17"/>
        <v>#VALUE!</v>
      </c>
      <c r="AR71" s="126" t="e">
        <f t="shared" ca="1" si="17"/>
        <v>#VALUE!</v>
      </c>
      <c r="AS71" s="126" t="e">
        <f t="shared" ca="1" si="17"/>
        <v>#VALUE!</v>
      </c>
      <c r="AT71" s="126" t="e">
        <f t="shared" ca="1" si="17"/>
        <v>#VALUE!</v>
      </c>
      <c r="AU71" s="126" t="e">
        <f t="shared" ca="1" si="17"/>
        <v>#VALUE!</v>
      </c>
    </row>
    <row r="72" spans="2:47" x14ac:dyDescent="0.25">
      <c r="B72" t="s">
        <v>522</v>
      </c>
      <c r="C72" s="126" t="e">
        <f t="shared" ca="1" si="16"/>
        <v>#VALUE!</v>
      </c>
      <c r="D72" s="126" t="e">
        <f t="shared" ca="1" si="16"/>
        <v>#VALUE!</v>
      </c>
      <c r="E72" s="126" t="e">
        <f t="shared" ca="1" si="16"/>
        <v>#VALUE!</v>
      </c>
      <c r="F72" s="126" t="e">
        <f t="shared" ca="1" si="16"/>
        <v>#VALUE!</v>
      </c>
      <c r="G72" s="126" t="e">
        <f t="shared" ca="1" si="16"/>
        <v>#VALUE!</v>
      </c>
      <c r="H72" s="126" t="e">
        <f t="shared" ca="1" si="16"/>
        <v>#VALUE!</v>
      </c>
      <c r="I72" s="126" t="e">
        <f t="shared" ca="1" si="16"/>
        <v>#VALUE!</v>
      </c>
      <c r="J72" s="126" t="e">
        <f t="shared" ca="1" si="16"/>
        <v>#VALUE!</v>
      </c>
      <c r="K72" s="126" t="e">
        <f t="shared" ca="1" si="16"/>
        <v>#VALUE!</v>
      </c>
      <c r="L72" s="126" t="e">
        <f t="shared" ca="1" si="18"/>
        <v>#VALUE!</v>
      </c>
      <c r="M72" s="126" t="e">
        <f t="shared" ca="1" si="17"/>
        <v>#VALUE!</v>
      </c>
      <c r="N72" s="126" t="e">
        <f t="shared" ca="1" si="17"/>
        <v>#VALUE!</v>
      </c>
      <c r="O72" s="126" t="e">
        <f t="shared" ca="1" si="17"/>
        <v>#VALUE!</v>
      </c>
      <c r="P72" s="126" t="e">
        <f t="shared" ca="1" si="17"/>
        <v>#VALUE!</v>
      </c>
      <c r="Q72" s="126" t="e">
        <f t="shared" ca="1" si="17"/>
        <v>#VALUE!</v>
      </c>
      <c r="R72" s="126" t="e">
        <f t="shared" ca="1" si="17"/>
        <v>#VALUE!</v>
      </c>
      <c r="S72" s="126" t="e">
        <f t="shared" ca="1" si="17"/>
        <v>#VALUE!</v>
      </c>
      <c r="T72" s="126" t="e">
        <f t="shared" ca="1" si="17"/>
        <v>#VALUE!</v>
      </c>
      <c r="U72" s="126" t="e">
        <f t="shared" ca="1" si="17"/>
        <v>#VALUE!</v>
      </c>
      <c r="V72" s="126" t="e">
        <f t="shared" ca="1" si="17"/>
        <v>#VALUE!</v>
      </c>
      <c r="W72" s="126" t="e">
        <f t="shared" ca="1" si="17"/>
        <v>#VALUE!</v>
      </c>
      <c r="X72" s="126" t="e">
        <f t="shared" ca="1" si="17"/>
        <v>#VALUE!</v>
      </c>
      <c r="Y72" s="126" t="e">
        <f t="shared" ca="1" si="17"/>
        <v>#VALUE!</v>
      </c>
      <c r="Z72" s="126" t="e">
        <f t="shared" ca="1" si="17"/>
        <v>#VALUE!</v>
      </c>
      <c r="AA72" s="126" t="e">
        <f t="shared" ca="1" si="17"/>
        <v>#VALUE!</v>
      </c>
      <c r="AB72" s="126" t="e">
        <f t="shared" ca="1" si="17"/>
        <v>#VALUE!</v>
      </c>
      <c r="AC72" s="126" t="e">
        <f t="shared" ca="1" si="17"/>
        <v>#VALUE!</v>
      </c>
      <c r="AD72" s="126" t="e">
        <f t="shared" ca="1" si="17"/>
        <v>#VALUE!</v>
      </c>
      <c r="AE72" s="126" t="e">
        <f t="shared" ca="1" si="17"/>
        <v>#VALUE!</v>
      </c>
      <c r="AF72" s="126" t="e">
        <f t="shared" ca="1" si="17"/>
        <v>#VALUE!</v>
      </c>
      <c r="AG72" s="126" t="e">
        <f t="shared" ca="1" si="17"/>
        <v>#VALUE!</v>
      </c>
      <c r="AH72" s="126" t="e">
        <f t="shared" ca="1" si="17"/>
        <v>#VALUE!</v>
      </c>
      <c r="AI72" s="126" t="e">
        <f t="shared" ca="1" si="17"/>
        <v>#VALUE!</v>
      </c>
      <c r="AJ72" s="126" t="e">
        <f t="shared" ca="1" si="17"/>
        <v>#VALUE!</v>
      </c>
      <c r="AK72" s="126" t="e">
        <f t="shared" ca="1" si="17"/>
        <v>#VALUE!</v>
      </c>
      <c r="AL72" s="126" t="e">
        <f t="shared" ca="1" si="17"/>
        <v>#VALUE!</v>
      </c>
      <c r="AM72" s="126" t="e">
        <f t="shared" ca="1" si="17"/>
        <v>#VALUE!</v>
      </c>
      <c r="AN72" s="126" t="e">
        <f t="shared" ca="1" si="17"/>
        <v>#VALUE!</v>
      </c>
      <c r="AO72" s="126" t="e">
        <f t="shared" ca="1" si="17"/>
        <v>#VALUE!</v>
      </c>
      <c r="AP72" s="126" t="e">
        <f t="shared" ca="1" si="17"/>
        <v>#VALUE!</v>
      </c>
      <c r="AQ72" s="126" t="e">
        <f t="shared" ca="1" si="17"/>
        <v>#VALUE!</v>
      </c>
      <c r="AR72" s="126" t="e">
        <f t="shared" ca="1" si="17"/>
        <v>#VALUE!</v>
      </c>
      <c r="AS72" s="126" t="e">
        <f t="shared" ca="1" si="17"/>
        <v>#VALUE!</v>
      </c>
      <c r="AT72" s="126" t="e">
        <f t="shared" ca="1" si="17"/>
        <v>#VALUE!</v>
      </c>
      <c r="AU72" s="126" t="e">
        <f t="shared" ca="1" si="17"/>
        <v>#VALUE!</v>
      </c>
    </row>
    <row r="73" spans="2:47" x14ac:dyDescent="0.25">
      <c r="B73" t="s">
        <v>523</v>
      </c>
      <c r="C73" s="126" t="e">
        <f t="shared" ca="1" si="16"/>
        <v>#VALUE!</v>
      </c>
      <c r="D73" s="126" t="e">
        <f t="shared" ca="1" si="16"/>
        <v>#VALUE!</v>
      </c>
      <c r="E73" s="126" t="e">
        <f t="shared" ca="1" si="16"/>
        <v>#VALUE!</v>
      </c>
      <c r="F73" s="126" t="e">
        <f t="shared" ca="1" si="16"/>
        <v>#VALUE!</v>
      </c>
      <c r="G73" s="126" t="e">
        <f t="shared" ca="1" si="16"/>
        <v>#VALUE!</v>
      </c>
      <c r="H73" s="126" t="e">
        <f t="shared" ca="1" si="16"/>
        <v>#VALUE!</v>
      </c>
      <c r="I73" s="126" t="e">
        <f t="shared" ca="1" si="16"/>
        <v>#VALUE!</v>
      </c>
      <c r="J73" s="126" t="e">
        <f t="shared" ca="1" si="16"/>
        <v>#VALUE!</v>
      </c>
      <c r="K73" s="126" t="e">
        <f t="shared" ca="1" si="16"/>
        <v>#VALUE!</v>
      </c>
      <c r="L73" s="126" t="e">
        <f t="shared" ca="1" si="18"/>
        <v>#VALUE!</v>
      </c>
      <c r="M73" s="126" t="e">
        <f t="shared" ca="1" si="17"/>
        <v>#VALUE!</v>
      </c>
      <c r="N73" s="126" t="e">
        <f t="shared" ca="1" si="17"/>
        <v>#VALUE!</v>
      </c>
      <c r="O73" s="126" t="e">
        <f t="shared" ca="1" si="17"/>
        <v>#VALUE!</v>
      </c>
      <c r="P73" s="126" t="e">
        <f t="shared" ca="1" si="17"/>
        <v>#VALUE!</v>
      </c>
      <c r="Q73" s="126" t="e">
        <f t="shared" ca="1" si="17"/>
        <v>#VALUE!</v>
      </c>
      <c r="R73" s="126" t="e">
        <f t="shared" ca="1" si="17"/>
        <v>#VALUE!</v>
      </c>
      <c r="S73" s="126" t="e">
        <f t="shared" ca="1" si="17"/>
        <v>#VALUE!</v>
      </c>
      <c r="T73" s="126" t="e">
        <f t="shared" ca="1" si="17"/>
        <v>#VALUE!</v>
      </c>
      <c r="U73" s="126" t="e">
        <f t="shared" ca="1" si="17"/>
        <v>#VALUE!</v>
      </c>
      <c r="V73" s="126" t="e">
        <f t="shared" ca="1" si="17"/>
        <v>#VALUE!</v>
      </c>
      <c r="W73" s="126" t="e">
        <f t="shared" ca="1" si="17"/>
        <v>#VALUE!</v>
      </c>
      <c r="X73" s="126" t="e">
        <f t="shared" ca="1" si="17"/>
        <v>#VALUE!</v>
      </c>
      <c r="Y73" s="126" t="e">
        <f t="shared" ca="1" si="17"/>
        <v>#VALUE!</v>
      </c>
      <c r="Z73" s="126" t="e">
        <f t="shared" ca="1" si="17"/>
        <v>#VALUE!</v>
      </c>
      <c r="AA73" s="126" t="e">
        <f t="shared" ca="1" si="17"/>
        <v>#VALUE!</v>
      </c>
      <c r="AB73" s="126" t="e">
        <f t="shared" ca="1" si="17"/>
        <v>#VALUE!</v>
      </c>
      <c r="AC73" s="126" t="e">
        <f t="shared" ca="1" si="17"/>
        <v>#VALUE!</v>
      </c>
      <c r="AD73" s="126" t="e">
        <f t="shared" ca="1" si="17"/>
        <v>#VALUE!</v>
      </c>
      <c r="AE73" s="126" t="e">
        <f t="shared" ca="1" si="17"/>
        <v>#VALUE!</v>
      </c>
      <c r="AF73" s="126" t="e">
        <f t="shared" ca="1" si="17"/>
        <v>#VALUE!</v>
      </c>
      <c r="AG73" s="126" t="e">
        <f t="shared" ca="1" si="17"/>
        <v>#VALUE!</v>
      </c>
      <c r="AH73" s="126" t="e">
        <f t="shared" ca="1" si="17"/>
        <v>#VALUE!</v>
      </c>
      <c r="AI73" s="126" t="e">
        <f t="shared" ca="1" si="17"/>
        <v>#VALUE!</v>
      </c>
      <c r="AJ73" s="126" t="e">
        <f t="shared" ca="1" si="17"/>
        <v>#VALUE!</v>
      </c>
      <c r="AK73" s="126" t="e">
        <f t="shared" ca="1" si="17"/>
        <v>#VALUE!</v>
      </c>
      <c r="AL73" s="126" t="e">
        <f t="shared" ca="1" si="17"/>
        <v>#VALUE!</v>
      </c>
      <c r="AM73" s="126" t="e">
        <f t="shared" ca="1" si="17"/>
        <v>#VALUE!</v>
      </c>
      <c r="AN73" s="126" t="e">
        <f t="shared" ca="1" si="17"/>
        <v>#VALUE!</v>
      </c>
      <c r="AO73" s="126" t="e">
        <f t="shared" ca="1" si="17"/>
        <v>#VALUE!</v>
      </c>
      <c r="AP73" s="126" t="e">
        <f t="shared" ca="1" si="17"/>
        <v>#VALUE!</v>
      </c>
      <c r="AQ73" s="126" t="e">
        <f t="shared" ca="1" si="17"/>
        <v>#VALUE!</v>
      </c>
      <c r="AR73" s="126" t="e">
        <f t="shared" ca="1" si="17"/>
        <v>#VALUE!</v>
      </c>
      <c r="AS73" s="126" t="e">
        <f t="shared" ca="1" si="17"/>
        <v>#VALUE!</v>
      </c>
      <c r="AT73" s="126" t="e">
        <f t="shared" ca="1" si="17"/>
        <v>#VALUE!</v>
      </c>
      <c r="AU73" s="126" t="e">
        <f t="shared" ca="1" si="17"/>
        <v>#VALUE!</v>
      </c>
    </row>
    <row r="74" spans="2:47" x14ac:dyDescent="0.25">
      <c r="B74" t="s">
        <v>524</v>
      </c>
      <c r="C74" s="126" t="e">
        <f t="shared" ca="1" si="16"/>
        <v>#VALUE!</v>
      </c>
      <c r="D74" s="126" t="e">
        <f t="shared" ca="1" si="16"/>
        <v>#VALUE!</v>
      </c>
      <c r="E74" s="126" t="e">
        <f t="shared" ca="1" si="16"/>
        <v>#VALUE!</v>
      </c>
      <c r="F74" s="126" t="e">
        <f t="shared" ca="1" si="16"/>
        <v>#VALUE!</v>
      </c>
      <c r="G74" s="126" t="e">
        <f t="shared" ca="1" si="16"/>
        <v>#VALUE!</v>
      </c>
      <c r="H74" s="126" t="e">
        <f t="shared" ca="1" si="16"/>
        <v>#VALUE!</v>
      </c>
      <c r="I74" s="126" t="e">
        <f t="shared" ca="1" si="16"/>
        <v>#VALUE!</v>
      </c>
      <c r="J74" s="126" t="e">
        <f t="shared" ca="1" si="16"/>
        <v>#VALUE!</v>
      </c>
      <c r="K74" s="126" t="e">
        <f t="shared" ca="1" si="16"/>
        <v>#VALUE!</v>
      </c>
      <c r="L74" s="126" t="e">
        <f t="shared" ca="1" si="18"/>
        <v>#VALUE!</v>
      </c>
      <c r="M74" s="126" t="e">
        <f t="shared" ca="1" si="17"/>
        <v>#VALUE!</v>
      </c>
      <c r="N74" s="126" t="e">
        <f t="shared" ca="1" si="17"/>
        <v>#VALUE!</v>
      </c>
      <c r="O74" s="126" t="e">
        <f t="shared" ca="1" si="17"/>
        <v>#VALUE!</v>
      </c>
      <c r="P74" s="126" t="e">
        <f t="shared" ca="1" si="17"/>
        <v>#VALUE!</v>
      </c>
      <c r="Q74" s="126" t="e">
        <f t="shared" ca="1" si="17"/>
        <v>#VALUE!</v>
      </c>
      <c r="R74" s="126" t="e">
        <f t="shared" ca="1" si="17"/>
        <v>#VALUE!</v>
      </c>
      <c r="S74" s="126" t="e">
        <f t="shared" ca="1" si="17"/>
        <v>#VALUE!</v>
      </c>
      <c r="T74" s="126" t="e">
        <f t="shared" ca="1" si="17"/>
        <v>#VALUE!</v>
      </c>
      <c r="U74" s="126" t="e">
        <f t="shared" ca="1" si="17"/>
        <v>#VALUE!</v>
      </c>
      <c r="V74" s="126" t="e">
        <f t="shared" ca="1" si="17"/>
        <v>#VALUE!</v>
      </c>
      <c r="W74" s="126" t="e">
        <f t="shared" ca="1" si="17"/>
        <v>#VALUE!</v>
      </c>
      <c r="X74" s="126" t="e">
        <f t="shared" ca="1" si="17"/>
        <v>#VALUE!</v>
      </c>
      <c r="Y74" s="126" t="e">
        <f t="shared" ca="1" si="17"/>
        <v>#VALUE!</v>
      </c>
      <c r="Z74" s="126" t="e">
        <f t="shared" ca="1" si="17"/>
        <v>#VALUE!</v>
      </c>
      <c r="AA74" s="126" t="e">
        <f t="shared" ca="1" si="17"/>
        <v>#VALUE!</v>
      </c>
      <c r="AB74" s="126" t="e">
        <f t="shared" ca="1" si="17"/>
        <v>#VALUE!</v>
      </c>
      <c r="AC74" s="126" t="e">
        <f t="shared" ca="1" si="17"/>
        <v>#VALUE!</v>
      </c>
      <c r="AD74" s="126" t="e">
        <f t="shared" ca="1" si="17"/>
        <v>#VALUE!</v>
      </c>
      <c r="AE74" s="126" t="e">
        <f t="shared" ca="1" si="17"/>
        <v>#VALUE!</v>
      </c>
      <c r="AF74" s="126" t="e">
        <f t="shared" ca="1" si="17"/>
        <v>#VALUE!</v>
      </c>
      <c r="AG74" s="126" t="e">
        <f t="shared" ca="1" si="17"/>
        <v>#VALUE!</v>
      </c>
      <c r="AH74" s="126" t="e">
        <f t="shared" ca="1" si="17"/>
        <v>#VALUE!</v>
      </c>
      <c r="AI74" s="126" t="e">
        <f t="shared" ca="1" si="17"/>
        <v>#VALUE!</v>
      </c>
      <c r="AJ74" s="126" t="e">
        <f t="shared" ca="1" si="17"/>
        <v>#VALUE!</v>
      </c>
      <c r="AK74" s="126" t="e">
        <f t="shared" ca="1" si="17"/>
        <v>#VALUE!</v>
      </c>
      <c r="AL74" s="126" t="e">
        <f t="shared" ca="1" si="17"/>
        <v>#VALUE!</v>
      </c>
      <c r="AM74" s="126" t="e">
        <f t="shared" ca="1" si="17"/>
        <v>#VALUE!</v>
      </c>
      <c r="AN74" s="126" t="e">
        <f t="shared" ca="1" si="17"/>
        <v>#VALUE!</v>
      </c>
      <c r="AO74" s="126" t="e">
        <f t="shared" ca="1" si="17"/>
        <v>#VALUE!</v>
      </c>
      <c r="AP74" s="126" t="e">
        <f t="shared" ca="1" si="17"/>
        <v>#VALUE!</v>
      </c>
      <c r="AQ74" s="126" t="e">
        <f t="shared" ca="1" si="17"/>
        <v>#VALUE!</v>
      </c>
      <c r="AR74" s="126" t="e">
        <f t="shared" ca="1" si="17"/>
        <v>#VALUE!</v>
      </c>
      <c r="AS74" s="126" t="e">
        <f t="shared" ca="1" si="17"/>
        <v>#VALUE!</v>
      </c>
      <c r="AT74" s="126" t="e">
        <f t="shared" ca="1" si="17"/>
        <v>#VALUE!</v>
      </c>
      <c r="AU74" s="126" t="e">
        <f t="shared" ca="1" si="17"/>
        <v>#VALUE!</v>
      </c>
    </row>
    <row r="75" spans="2:47" x14ac:dyDescent="0.25">
      <c r="B75" t="s">
        <v>525</v>
      </c>
      <c r="C75" s="126" t="e">
        <f t="shared" ca="1" si="16"/>
        <v>#VALUE!</v>
      </c>
      <c r="D75" s="126" t="e">
        <f t="shared" ca="1" si="16"/>
        <v>#VALUE!</v>
      </c>
      <c r="E75" s="126" t="e">
        <f t="shared" ca="1" si="16"/>
        <v>#VALUE!</v>
      </c>
      <c r="F75" s="126" t="e">
        <f t="shared" ca="1" si="16"/>
        <v>#VALUE!</v>
      </c>
      <c r="G75" s="126" t="e">
        <f t="shared" ca="1" si="16"/>
        <v>#VALUE!</v>
      </c>
      <c r="H75" s="126" t="e">
        <f t="shared" ca="1" si="16"/>
        <v>#VALUE!</v>
      </c>
      <c r="I75" s="126" t="e">
        <f t="shared" ca="1" si="16"/>
        <v>#VALUE!</v>
      </c>
      <c r="J75" s="126" t="e">
        <f t="shared" ca="1" si="16"/>
        <v>#VALUE!</v>
      </c>
      <c r="K75" s="126" t="e">
        <f t="shared" ca="1" si="16"/>
        <v>#VALUE!</v>
      </c>
      <c r="L75" s="126" t="e">
        <f t="shared" ca="1" si="18"/>
        <v>#VALUE!</v>
      </c>
      <c r="M75" s="126" t="e">
        <f t="shared" ca="1" si="17"/>
        <v>#VALUE!</v>
      </c>
      <c r="N75" s="126" t="e">
        <f t="shared" ca="1" si="17"/>
        <v>#VALUE!</v>
      </c>
      <c r="O75" s="126" t="e">
        <f t="shared" ca="1" si="17"/>
        <v>#VALUE!</v>
      </c>
      <c r="P75" s="126" t="e">
        <f t="shared" ca="1" si="17"/>
        <v>#VALUE!</v>
      </c>
      <c r="Q75" s="126" t="e">
        <f t="shared" ca="1" si="17"/>
        <v>#VALUE!</v>
      </c>
      <c r="R75" s="126" t="e">
        <f t="shared" ca="1" si="17"/>
        <v>#VALUE!</v>
      </c>
      <c r="S75" s="126" t="e">
        <f t="shared" ca="1" si="17"/>
        <v>#VALUE!</v>
      </c>
      <c r="T75" s="126" t="e">
        <f t="shared" ca="1" si="17"/>
        <v>#VALUE!</v>
      </c>
      <c r="U75" s="126" t="e">
        <f t="shared" ca="1" si="17"/>
        <v>#VALUE!</v>
      </c>
      <c r="V75" s="126" t="e">
        <f t="shared" ca="1" si="17"/>
        <v>#VALUE!</v>
      </c>
      <c r="W75" s="126" t="e">
        <f t="shared" ca="1" si="17"/>
        <v>#VALUE!</v>
      </c>
      <c r="X75" s="126" t="e">
        <f t="shared" ca="1" si="17"/>
        <v>#VALUE!</v>
      </c>
      <c r="Y75" s="126" t="e">
        <f t="shared" ca="1" si="17"/>
        <v>#VALUE!</v>
      </c>
      <c r="Z75" s="126" t="e">
        <f t="shared" ca="1" si="17"/>
        <v>#VALUE!</v>
      </c>
      <c r="AA75" s="126" t="e">
        <f t="shared" ca="1" si="17"/>
        <v>#VALUE!</v>
      </c>
      <c r="AB75" s="126" t="e">
        <f t="shared" ca="1" si="17"/>
        <v>#VALUE!</v>
      </c>
      <c r="AC75" s="126" t="e">
        <f t="shared" ca="1" si="17"/>
        <v>#VALUE!</v>
      </c>
      <c r="AD75" s="126" t="e">
        <f t="shared" ca="1" si="17"/>
        <v>#VALUE!</v>
      </c>
      <c r="AE75" s="126" t="e">
        <f t="shared" ca="1" si="17"/>
        <v>#VALUE!</v>
      </c>
      <c r="AF75" s="126" t="e">
        <f t="shared" ca="1" si="17"/>
        <v>#VALUE!</v>
      </c>
      <c r="AG75" s="126" t="e">
        <f t="shared" ca="1" si="17"/>
        <v>#VALUE!</v>
      </c>
      <c r="AH75" s="126" t="e">
        <f t="shared" ca="1" si="17"/>
        <v>#VALUE!</v>
      </c>
      <c r="AI75" s="126" t="e">
        <f t="shared" ca="1" si="17"/>
        <v>#VALUE!</v>
      </c>
      <c r="AJ75" s="126" t="e">
        <f t="shared" ca="1" si="17"/>
        <v>#VALUE!</v>
      </c>
      <c r="AK75" s="126" t="e">
        <f t="shared" ca="1" si="17"/>
        <v>#VALUE!</v>
      </c>
      <c r="AL75" s="126" t="e">
        <f t="shared" ca="1" si="17"/>
        <v>#VALUE!</v>
      </c>
      <c r="AM75" s="126" t="e">
        <f t="shared" ca="1" si="17"/>
        <v>#VALUE!</v>
      </c>
      <c r="AN75" s="126" t="e">
        <f t="shared" ca="1" si="17"/>
        <v>#VALUE!</v>
      </c>
      <c r="AO75" s="126" t="e">
        <f t="shared" ca="1" si="17"/>
        <v>#VALUE!</v>
      </c>
      <c r="AP75" s="126" t="e">
        <f t="shared" ca="1" si="17"/>
        <v>#VALUE!</v>
      </c>
      <c r="AQ75" s="126" t="e">
        <f t="shared" ca="1" si="17"/>
        <v>#VALUE!</v>
      </c>
      <c r="AR75" s="126" t="e">
        <f t="shared" ca="1" si="17"/>
        <v>#VALUE!</v>
      </c>
      <c r="AS75" s="126" t="e">
        <f t="shared" ca="1" si="17"/>
        <v>#VALUE!</v>
      </c>
      <c r="AT75" s="126" t="e">
        <f t="shared" ca="1" si="17"/>
        <v>#VALUE!</v>
      </c>
      <c r="AU75" s="126" t="e">
        <f t="shared" ca="1" si="17"/>
        <v>#VALUE!</v>
      </c>
    </row>
    <row r="76" spans="2:47" x14ac:dyDescent="0.25">
      <c r="B76" t="s">
        <v>526</v>
      </c>
      <c r="C76" s="126" t="e">
        <f t="shared" ca="1" si="16"/>
        <v>#VALUE!</v>
      </c>
      <c r="D76" s="126" t="e">
        <f t="shared" ca="1" si="16"/>
        <v>#VALUE!</v>
      </c>
      <c r="E76" s="126" t="e">
        <f t="shared" ca="1" si="16"/>
        <v>#VALUE!</v>
      </c>
      <c r="F76" s="126" t="e">
        <f t="shared" ca="1" si="16"/>
        <v>#VALUE!</v>
      </c>
      <c r="G76" s="126" t="e">
        <f t="shared" ca="1" si="16"/>
        <v>#VALUE!</v>
      </c>
      <c r="H76" s="126" t="e">
        <f t="shared" ca="1" si="16"/>
        <v>#VALUE!</v>
      </c>
      <c r="I76" s="126" t="e">
        <f t="shared" ca="1" si="16"/>
        <v>#VALUE!</v>
      </c>
      <c r="J76" s="126" t="e">
        <f t="shared" ca="1" si="16"/>
        <v>#VALUE!</v>
      </c>
      <c r="K76" s="126" t="e">
        <f t="shared" ca="1" si="16"/>
        <v>#VALUE!</v>
      </c>
      <c r="L76" s="126" t="e">
        <f t="shared" ca="1" si="18"/>
        <v>#VALUE!</v>
      </c>
      <c r="M76" s="126" t="e">
        <f t="shared" ca="1" si="17"/>
        <v>#VALUE!</v>
      </c>
      <c r="N76" s="126" t="e">
        <f t="shared" ca="1" si="17"/>
        <v>#VALUE!</v>
      </c>
      <c r="O76" s="126" t="e">
        <f t="shared" ca="1" si="17"/>
        <v>#VALUE!</v>
      </c>
      <c r="P76" s="126" t="e">
        <f t="shared" ca="1" si="17"/>
        <v>#VALUE!</v>
      </c>
      <c r="Q76" s="126" t="e">
        <f t="shared" ca="1" si="17"/>
        <v>#VALUE!</v>
      </c>
      <c r="R76" s="126" t="e">
        <f t="shared" ca="1" si="17"/>
        <v>#VALUE!</v>
      </c>
      <c r="S76" s="126" t="e">
        <f t="shared" ca="1" si="17"/>
        <v>#VALUE!</v>
      </c>
      <c r="T76" s="126" t="e">
        <f t="shared" ca="1" si="17"/>
        <v>#VALUE!</v>
      </c>
      <c r="U76" s="126" t="e">
        <f t="shared" ca="1" si="17"/>
        <v>#VALUE!</v>
      </c>
      <c r="V76" s="126" t="e">
        <f t="shared" ca="1" si="17"/>
        <v>#VALUE!</v>
      </c>
      <c r="W76" s="126" t="e">
        <f t="shared" ca="1" si="17"/>
        <v>#VALUE!</v>
      </c>
      <c r="X76" s="126" t="e">
        <f t="shared" ca="1" si="17"/>
        <v>#VALUE!</v>
      </c>
      <c r="Y76" s="126" t="e">
        <f t="shared" ca="1" si="17"/>
        <v>#VALUE!</v>
      </c>
      <c r="Z76" s="126" t="e">
        <f t="shared" ca="1" si="17"/>
        <v>#VALUE!</v>
      </c>
      <c r="AA76" s="126" t="e">
        <f t="shared" ca="1" si="17"/>
        <v>#VALUE!</v>
      </c>
      <c r="AB76" s="126" t="e">
        <f t="shared" ca="1" si="17"/>
        <v>#VALUE!</v>
      </c>
      <c r="AC76" s="126" t="e">
        <f t="shared" ca="1" si="17"/>
        <v>#VALUE!</v>
      </c>
      <c r="AD76" s="126" t="e">
        <f t="shared" ca="1" si="17"/>
        <v>#VALUE!</v>
      </c>
      <c r="AE76" s="126" t="e">
        <f t="shared" ca="1" si="17"/>
        <v>#VALUE!</v>
      </c>
      <c r="AF76" s="126" t="e">
        <f t="shared" ca="1" si="17"/>
        <v>#VALUE!</v>
      </c>
      <c r="AG76" s="126" t="e">
        <f t="shared" ca="1" si="17"/>
        <v>#VALUE!</v>
      </c>
      <c r="AH76" s="126" t="e">
        <f t="shared" ca="1" si="17"/>
        <v>#VALUE!</v>
      </c>
      <c r="AI76" s="126" t="e">
        <f t="shared" ca="1" si="17"/>
        <v>#VALUE!</v>
      </c>
      <c r="AJ76" s="126" t="e">
        <f t="shared" ca="1" si="17"/>
        <v>#VALUE!</v>
      </c>
      <c r="AK76" s="126" t="e">
        <f t="shared" ca="1" si="17"/>
        <v>#VALUE!</v>
      </c>
      <c r="AL76" s="126" t="e">
        <f t="shared" ref="M76:AU83" ca="1" si="19">Output("SCEN_ADEMEhaut",$B76,AL$1)</f>
        <v>#VALUE!</v>
      </c>
      <c r="AM76" s="126" t="e">
        <f t="shared" ca="1" si="19"/>
        <v>#VALUE!</v>
      </c>
      <c r="AN76" s="126" t="e">
        <f t="shared" ca="1" si="19"/>
        <v>#VALUE!</v>
      </c>
      <c r="AO76" s="126" t="e">
        <f t="shared" ca="1" si="19"/>
        <v>#VALUE!</v>
      </c>
      <c r="AP76" s="126" t="e">
        <f t="shared" ca="1" si="19"/>
        <v>#VALUE!</v>
      </c>
      <c r="AQ76" s="126" t="e">
        <f t="shared" ca="1" si="19"/>
        <v>#VALUE!</v>
      </c>
      <c r="AR76" s="126" t="e">
        <f t="shared" ca="1" si="19"/>
        <v>#VALUE!</v>
      </c>
      <c r="AS76" s="126" t="e">
        <f t="shared" ca="1" si="19"/>
        <v>#VALUE!</v>
      </c>
      <c r="AT76" s="126" t="e">
        <f t="shared" ca="1" si="19"/>
        <v>#VALUE!</v>
      </c>
      <c r="AU76" s="126" t="e">
        <f t="shared" ca="1" si="19"/>
        <v>#VALUE!</v>
      </c>
    </row>
    <row r="77" spans="2:47" x14ac:dyDescent="0.25">
      <c r="B77" t="s">
        <v>527</v>
      </c>
      <c r="C77" s="126" t="e">
        <f t="shared" ca="1" si="16"/>
        <v>#VALUE!</v>
      </c>
      <c r="D77" s="126" t="e">
        <f t="shared" ca="1" si="16"/>
        <v>#VALUE!</v>
      </c>
      <c r="E77" s="126" t="e">
        <f t="shared" ca="1" si="16"/>
        <v>#VALUE!</v>
      </c>
      <c r="F77" s="126" t="e">
        <f t="shared" ca="1" si="16"/>
        <v>#VALUE!</v>
      </c>
      <c r="G77" s="126" t="e">
        <f t="shared" ca="1" si="16"/>
        <v>#VALUE!</v>
      </c>
      <c r="H77" s="126" t="e">
        <f t="shared" ca="1" si="16"/>
        <v>#VALUE!</v>
      </c>
      <c r="I77" s="126" t="e">
        <f t="shared" ca="1" si="16"/>
        <v>#VALUE!</v>
      </c>
      <c r="J77" s="126" t="e">
        <f t="shared" ca="1" si="16"/>
        <v>#VALUE!</v>
      </c>
      <c r="K77" s="126" t="e">
        <f t="shared" ca="1" si="16"/>
        <v>#VALUE!</v>
      </c>
      <c r="L77" s="126" t="e">
        <f t="shared" ca="1" si="18"/>
        <v>#VALUE!</v>
      </c>
      <c r="M77" s="126" t="e">
        <f t="shared" ca="1" si="19"/>
        <v>#VALUE!</v>
      </c>
      <c r="N77" s="126" t="e">
        <f t="shared" ca="1" si="19"/>
        <v>#VALUE!</v>
      </c>
      <c r="O77" s="126" t="e">
        <f t="shared" ca="1" si="19"/>
        <v>#VALUE!</v>
      </c>
      <c r="P77" s="126" t="e">
        <f t="shared" ca="1" si="19"/>
        <v>#VALUE!</v>
      </c>
      <c r="Q77" s="126" t="e">
        <f t="shared" ca="1" si="19"/>
        <v>#VALUE!</v>
      </c>
      <c r="R77" s="126" t="e">
        <f t="shared" ca="1" si="19"/>
        <v>#VALUE!</v>
      </c>
      <c r="S77" s="126" t="e">
        <f t="shared" ca="1" si="19"/>
        <v>#VALUE!</v>
      </c>
      <c r="T77" s="126" t="e">
        <f t="shared" ca="1" si="19"/>
        <v>#VALUE!</v>
      </c>
      <c r="U77" s="126" t="e">
        <f t="shared" ca="1" si="19"/>
        <v>#VALUE!</v>
      </c>
      <c r="V77" s="126" t="e">
        <f t="shared" ca="1" si="19"/>
        <v>#VALUE!</v>
      </c>
      <c r="W77" s="126" t="e">
        <f t="shared" ca="1" si="19"/>
        <v>#VALUE!</v>
      </c>
      <c r="X77" s="126" t="e">
        <f t="shared" ca="1" si="19"/>
        <v>#VALUE!</v>
      </c>
      <c r="Y77" s="126" t="e">
        <f t="shared" ca="1" si="19"/>
        <v>#VALUE!</v>
      </c>
      <c r="Z77" s="126" t="e">
        <f t="shared" ca="1" si="19"/>
        <v>#VALUE!</v>
      </c>
      <c r="AA77" s="126" t="e">
        <f t="shared" ca="1" si="19"/>
        <v>#VALUE!</v>
      </c>
      <c r="AB77" s="126" t="e">
        <f t="shared" ca="1" si="19"/>
        <v>#VALUE!</v>
      </c>
      <c r="AC77" s="126" t="e">
        <f t="shared" ca="1" si="19"/>
        <v>#VALUE!</v>
      </c>
      <c r="AD77" s="126" t="e">
        <f t="shared" ca="1" si="19"/>
        <v>#VALUE!</v>
      </c>
      <c r="AE77" s="126" t="e">
        <f t="shared" ca="1" si="19"/>
        <v>#VALUE!</v>
      </c>
      <c r="AF77" s="126" t="e">
        <f t="shared" ca="1" si="19"/>
        <v>#VALUE!</v>
      </c>
      <c r="AG77" s="126" t="e">
        <f t="shared" ca="1" si="19"/>
        <v>#VALUE!</v>
      </c>
      <c r="AH77" s="126" t="e">
        <f t="shared" ca="1" si="19"/>
        <v>#VALUE!</v>
      </c>
      <c r="AI77" s="126" t="e">
        <f t="shared" ca="1" si="19"/>
        <v>#VALUE!</v>
      </c>
      <c r="AJ77" s="126" t="e">
        <f t="shared" ca="1" si="19"/>
        <v>#VALUE!</v>
      </c>
      <c r="AK77" s="126" t="e">
        <f t="shared" ca="1" si="19"/>
        <v>#VALUE!</v>
      </c>
      <c r="AL77" s="126" t="e">
        <f t="shared" ca="1" si="19"/>
        <v>#VALUE!</v>
      </c>
      <c r="AM77" s="126" t="e">
        <f t="shared" ca="1" si="19"/>
        <v>#VALUE!</v>
      </c>
      <c r="AN77" s="126" t="e">
        <f t="shared" ca="1" si="19"/>
        <v>#VALUE!</v>
      </c>
      <c r="AO77" s="126" t="e">
        <f t="shared" ca="1" si="19"/>
        <v>#VALUE!</v>
      </c>
      <c r="AP77" s="126" t="e">
        <f t="shared" ca="1" si="19"/>
        <v>#VALUE!</v>
      </c>
      <c r="AQ77" s="126" t="e">
        <f t="shared" ca="1" si="19"/>
        <v>#VALUE!</v>
      </c>
      <c r="AR77" s="126" t="e">
        <f t="shared" ca="1" si="19"/>
        <v>#VALUE!</v>
      </c>
      <c r="AS77" s="126" t="e">
        <f t="shared" ca="1" si="19"/>
        <v>#VALUE!</v>
      </c>
      <c r="AT77" s="126" t="e">
        <f t="shared" ca="1" si="19"/>
        <v>#VALUE!</v>
      </c>
      <c r="AU77" s="126" t="e">
        <f t="shared" ca="1" si="19"/>
        <v>#VALUE!</v>
      </c>
    </row>
    <row r="78" spans="2:47" x14ac:dyDescent="0.25">
      <c r="B78" t="s">
        <v>528</v>
      </c>
      <c r="C78" s="126" t="e">
        <f t="shared" ca="1" si="16"/>
        <v>#VALUE!</v>
      </c>
      <c r="D78" s="126" t="e">
        <f t="shared" ca="1" si="16"/>
        <v>#VALUE!</v>
      </c>
      <c r="E78" s="126" t="e">
        <f t="shared" ca="1" si="16"/>
        <v>#VALUE!</v>
      </c>
      <c r="F78" s="126" t="e">
        <f t="shared" ca="1" si="16"/>
        <v>#VALUE!</v>
      </c>
      <c r="G78" s="126" t="e">
        <f t="shared" ca="1" si="16"/>
        <v>#VALUE!</v>
      </c>
      <c r="H78" s="126" t="e">
        <f t="shared" ca="1" si="16"/>
        <v>#VALUE!</v>
      </c>
      <c r="I78" s="126" t="e">
        <f t="shared" ca="1" si="16"/>
        <v>#VALUE!</v>
      </c>
      <c r="J78" s="126" t="e">
        <f t="shared" ca="1" si="16"/>
        <v>#VALUE!</v>
      </c>
      <c r="K78" s="126" t="e">
        <f t="shared" ca="1" si="16"/>
        <v>#VALUE!</v>
      </c>
      <c r="L78" s="126" t="e">
        <f t="shared" ca="1" si="18"/>
        <v>#VALUE!</v>
      </c>
      <c r="M78" s="126" t="e">
        <f t="shared" ca="1" si="19"/>
        <v>#VALUE!</v>
      </c>
      <c r="N78" s="126" t="e">
        <f t="shared" ca="1" si="19"/>
        <v>#VALUE!</v>
      </c>
      <c r="O78" s="126" t="e">
        <f t="shared" ca="1" si="19"/>
        <v>#VALUE!</v>
      </c>
      <c r="P78" s="126" t="e">
        <f t="shared" ca="1" si="19"/>
        <v>#VALUE!</v>
      </c>
      <c r="Q78" s="126" t="e">
        <f t="shared" ca="1" si="19"/>
        <v>#VALUE!</v>
      </c>
      <c r="R78" s="126" t="e">
        <f t="shared" ca="1" si="19"/>
        <v>#VALUE!</v>
      </c>
      <c r="S78" s="126" t="e">
        <f t="shared" ca="1" si="19"/>
        <v>#VALUE!</v>
      </c>
      <c r="T78" s="126" t="e">
        <f t="shared" ca="1" si="19"/>
        <v>#VALUE!</v>
      </c>
      <c r="U78" s="126" t="e">
        <f t="shared" ca="1" si="19"/>
        <v>#VALUE!</v>
      </c>
      <c r="V78" s="126" t="e">
        <f t="shared" ca="1" si="19"/>
        <v>#VALUE!</v>
      </c>
      <c r="W78" s="126" t="e">
        <f t="shared" ca="1" si="19"/>
        <v>#VALUE!</v>
      </c>
      <c r="X78" s="126" t="e">
        <f t="shared" ca="1" si="19"/>
        <v>#VALUE!</v>
      </c>
      <c r="Y78" s="126" t="e">
        <f t="shared" ca="1" si="19"/>
        <v>#VALUE!</v>
      </c>
      <c r="Z78" s="126" t="e">
        <f t="shared" ca="1" si="19"/>
        <v>#VALUE!</v>
      </c>
      <c r="AA78" s="126" t="e">
        <f t="shared" ca="1" si="19"/>
        <v>#VALUE!</v>
      </c>
      <c r="AB78" s="126" t="e">
        <f t="shared" ca="1" si="19"/>
        <v>#VALUE!</v>
      </c>
      <c r="AC78" s="126" t="e">
        <f t="shared" ca="1" si="19"/>
        <v>#VALUE!</v>
      </c>
      <c r="AD78" s="126" t="e">
        <f t="shared" ca="1" si="19"/>
        <v>#VALUE!</v>
      </c>
      <c r="AE78" s="126" t="e">
        <f t="shared" ca="1" si="19"/>
        <v>#VALUE!</v>
      </c>
      <c r="AF78" s="126" t="e">
        <f t="shared" ca="1" si="19"/>
        <v>#VALUE!</v>
      </c>
      <c r="AG78" s="126" t="e">
        <f t="shared" ca="1" si="19"/>
        <v>#VALUE!</v>
      </c>
      <c r="AH78" s="126" t="e">
        <f t="shared" ca="1" si="19"/>
        <v>#VALUE!</v>
      </c>
      <c r="AI78" s="126" t="e">
        <f t="shared" ca="1" si="19"/>
        <v>#VALUE!</v>
      </c>
      <c r="AJ78" s="126" t="e">
        <f t="shared" ca="1" si="19"/>
        <v>#VALUE!</v>
      </c>
      <c r="AK78" s="126" t="e">
        <f t="shared" ca="1" si="19"/>
        <v>#VALUE!</v>
      </c>
      <c r="AL78" s="126" t="e">
        <f t="shared" ca="1" si="19"/>
        <v>#VALUE!</v>
      </c>
      <c r="AM78" s="126" t="e">
        <f t="shared" ca="1" si="19"/>
        <v>#VALUE!</v>
      </c>
      <c r="AN78" s="126" t="e">
        <f t="shared" ca="1" si="19"/>
        <v>#VALUE!</v>
      </c>
      <c r="AO78" s="126" t="e">
        <f t="shared" ca="1" si="19"/>
        <v>#VALUE!</v>
      </c>
      <c r="AP78" s="126" t="e">
        <f t="shared" ca="1" si="19"/>
        <v>#VALUE!</v>
      </c>
      <c r="AQ78" s="126" t="e">
        <f t="shared" ca="1" si="19"/>
        <v>#VALUE!</v>
      </c>
      <c r="AR78" s="126" t="e">
        <f t="shared" ca="1" si="19"/>
        <v>#VALUE!</v>
      </c>
      <c r="AS78" s="126" t="e">
        <f t="shared" ca="1" si="19"/>
        <v>#VALUE!</v>
      </c>
      <c r="AT78" s="126" t="e">
        <f t="shared" ca="1" si="19"/>
        <v>#VALUE!</v>
      </c>
      <c r="AU78" s="126" t="e">
        <f t="shared" ca="1" si="19"/>
        <v>#VALUE!</v>
      </c>
    </row>
    <row r="79" spans="2:47" x14ac:dyDescent="0.25">
      <c r="B79" t="s">
        <v>529</v>
      </c>
      <c r="C79" s="126" t="e">
        <f t="shared" ca="1" si="16"/>
        <v>#VALUE!</v>
      </c>
      <c r="D79" s="126" t="e">
        <f t="shared" ca="1" si="16"/>
        <v>#VALUE!</v>
      </c>
      <c r="E79" s="126" t="e">
        <f t="shared" ca="1" si="16"/>
        <v>#VALUE!</v>
      </c>
      <c r="F79" s="126" t="e">
        <f t="shared" ca="1" si="16"/>
        <v>#VALUE!</v>
      </c>
      <c r="G79" s="126" t="e">
        <f t="shared" ca="1" si="16"/>
        <v>#VALUE!</v>
      </c>
      <c r="H79" s="126" t="e">
        <f t="shared" ca="1" si="16"/>
        <v>#VALUE!</v>
      </c>
      <c r="I79" s="126" t="e">
        <f t="shared" ca="1" si="16"/>
        <v>#VALUE!</v>
      </c>
      <c r="J79" s="126" t="e">
        <f t="shared" ca="1" si="16"/>
        <v>#VALUE!</v>
      </c>
      <c r="K79" s="126" t="e">
        <f t="shared" ca="1" si="16"/>
        <v>#VALUE!</v>
      </c>
      <c r="L79" s="126" t="e">
        <f t="shared" ca="1" si="18"/>
        <v>#VALUE!</v>
      </c>
      <c r="M79" s="126" t="e">
        <f t="shared" ca="1" si="19"/>
        <v>#VALUE!</v>
      </c>
      <c r="N79" s="126" t="e">
        <f t="shared" ca="1" si="19"/>
        <v>#VALUE!</v>
      </c>
      <c r="O79" s="126" t="e">
        <f t="shared" ca="1" si="19"/>
        <v>#VALUE!</v>
      </c>
      <c r="P79" s="126" t="e">
        <f t="shared" ca="1" si="19"/>
        <v>#VALUE!</v>
      </c>
      <c r="Q79" s="126" t="e">
        <f t="shared" ca="1" si="19"/>
        <v>#VALUE!</v>
      </c>
      <c r="R79" s="126" t="e">
        <f t="shared" ca="1" si="19"/>
        <v>#VALUE!</v>
      </c>
      <c r="S79" s="126" t="e">
        <f t="shared" ca="1" si="19"/>
        <v>#VALUE!</v>
      </c>
      <c r="T79" s="126" t="e">
        <f t="shared" ca="1" si="19"/>
        <v>#VALUE!</v>
      </c>
      <c r="U79" s="126" t="e">
        <f t="shared" ca="1" si="19"/>
        <v>#VALUE!</v>
      </c>
      <c r="V79" s="126" t="e">
        <f t="shared" ca="1" si="19"/>
        <v>#VALUE!</v>
      </c>
      <c r="W79" s="126" t="e">
        <f t="shared" ca="1" si="19"/>
        <v>#VALUE!</v>
      </c>
      <c r="X79" s="126" t="e">
        <f t="shared" ca="1" si="19"/>
        <v>#VALUE!</v>
      </c>
      <c r="Y79" s="126" t="e">
        <f t="shared" ca="1" si="19"/>
        <v>#VALUE!</v>
      </c>
      <c r="Z79" s="126" t="e">
        <f t="shared" ca="1" si="19"/>
        <v>#VALUE!</v>
      </c>
      <c r="AA79" s="126" t="e">
        <f t="shared" ca="1" si="19"/>
        <v>#VALUE!</v>
      </c>
      <c r="AB79" s="126" t="e">
        <f t="shared" ca="1" si="19"/>
        <v>#VALUE!</v>
      </c>
      <c r="AC79" s="126" t="e">
        <f t="shared" ca="1" si="19"/>
        <v>#VALUE!</v>
      </c>
      <c r="AD79" s="126" t="e">
        <f t="shared" ca="1" si="19"/>
        <v>#VALUE!</v>
      </c>
      <c r="AE79" s="126" t="e">
        <f t="shared" ca="1" si="19"/>
        <v>#VALUE!</v>
      </c>
      <c r="AF79" s="126" t="e">
        <f t="shared" ca="1" si="19"/>
        <v>#VALUE!</v>
      </c>
      <c r="AG79" s="126" t="e">
        <f t="shared" ca="1" si="19"/>
        <v>#VALUE!</v>
      </c>
      <c r="AH79" s="126" t="e">
        <f t="shared" ca="1" si="19"/>
        <v>#VALUE!</v>
      </c>
      <c r="AI79" s="126" t="e">
        <f t="shared" ca="1" si="19"/>
        <v>#VALUE!</v>
      </c>
      <c r="AJ79" s="126" t="e">
        <f t="shared" ca="1" si="19"/>
        <v>#VALUE!</v>
      </c>
      <c r="AK79" s="126" t="e">
        <f t="shared" ca="1" si="19"/>
        <v>#VALUE!</v>
      </c>
      <c r="AL79" s="126" t="e">
        <f t="shared" ca="1" si="19"/>
        <v>#VALUE!</v>
      </c>
      <c r="AM79" s="126" t="e">
        <f t="shared" ca="1" si="19"/>
        <v>#VALUE!</v>
      </c>
      <c r="AN79" s="126" t="e">
        <f t="shared" ca="1" si="19"/>
        <v>#VALUE!</v>
      </c>
      <c r="AO79" s="126" t="e">
        <f t="shared" ca="1" si="19"/>
        <v>#VALUE!</v>
      </c>
      <c r="AP79" s="126" t="e">
        <f t="shared" ca="1" si="19"/>
        <v>#VALUE!</v>
      </c>
      <c r="AQ79" s="126" t="e">
        <f t="shared" ca="1" si="19"/>
        <v>#VALUE!</v>
      </c>
      <c r="AR79" s="126" t="e">
        <f t="shared" ca="1" si="19"/>
        <v>#VALUE!</v>
      </c>
      <c r="AS79" s="126" t="e">
        <f t="shared" ca="1" si="19"/>
        <v>#VALUE!</v>
      </c>
      <c r="AT79" s="126" t="e">
        <f t="shared" ca="1" si="19"/>
        <v>#VALUE!</v>
      </c>
      <c r="AU79" s="126" t="e">
        <f t="shared" ca="1" si="19"/>
        <v>#VALUE!</v>
      </c>
    </row>
    <row r="80" spans="2:47" x14ac:dyDescent="0.25">
      <c r="B80" t="s">
        <v>530</v>
      </c>
      <c r="C80" s="126" t="e">
        <f t="shared" ca="1" si="16"/>
        <v>#VALUE!</v>
      </c>
      <c r="D80" s="126" t="e">
        <f t="shared" ca="1" si="16"/>
        <v>#VALUE!</v>
      </c>
      <c r="E80" s="126" t="e">
        <f t="shared" ca="1" si="16"/>
        <v>#VALUE!</v>
      </c>
      <c r="F80" s="126" t="e">
        <f t="shared" ca="1" si="16"/>
        <v>#VALUE!</v>
      </c>
      <c r="G80" s="126" t="e">
        <f t="shared" ca="1" si="16"/>
        <v>#VALUE!</v>
      </c>
      <c r="H80" s="126" t="e">
        <f t="shared" ca="1" si="16"/>
        <v>#VALUE!</v>
      </c>
      <c r="I80" s="126" t="e">
        <f t="shared" ca="1" si="16"/>
        <v>#VALUE!</v>
      </c>
      <c r="J80" s="126" t="e">
        <f t="shared" ca="1" si="16"/>
        <v>#VALUE!</v>
      </c>
      <c r="K80" s="126" t="e">
        <f t="shared" ca="1" si="16"/>
        <v>#VALUE!</v>
      </c>
      <c r="L80" s="126" t="e">
        <f t="shared" ca="1" si="18"/>
        <v>#VALUE!</v>
      </c>
      <c r="M80" s="126" t="e">
        <f t="shared" ca="1" si="19"/>
        <v>#VALUE!</v>
      </c>
      <c r="N80" s="126" t="e">
        <f t="shared" ca="1" si="19"/>
        <v>#VALUE!</v>
      </c>
      <c r="O80" s="126" t="e">
        <f t="shared" ca="1" si="19"/>
        <v>#VALUE!</v>
      </c>
      <c r="P80" s="126" t="e">
        <f t="shared" ca="1" si="19"/>
        <v>#VALUE!</v>
      </c>
      <c r="Q80" s="126" t="e">
        <f t="shared" ca="1" si="19"/>
        <v>#VALUE!</v>
      </c>
      <c r="R80" s="126" t="e">
        <f t="shared" ca="1" si="19"/>
        <v>#VALUE!</v>
      </c>
      <c r="S80" s="126" t="e">
        <f t="shared" ca="1" si="19"/>
        <v>#VALUE!</v>
      </c>
      <c r="T80" s="126" t="e">
        <f t="shared" ca="1" si="19"/>
        <v>#VALUE!</v>
      </c>
      <c r="U80" s="126" t="e">
        <f t="shared" ca="1" si="19"/>
        <v>#VALUE!</v>
      </c>
      <c r="V80" s="126" t="e">
        <f t="shared" ca="1" si="19"/>
        <v>#VALUE!</v>
      </c>
      <c r="W80" s="126" t="e">
        <f t="shared" ca="1" si="19"/>
        <v>#VALUE!</v>
      </c>
      <c r="X80" s="126" t="e">
        <f t="shared" ca="1" si="19"/>
        <v>#VALUE!</v>
      </c>
      <c r="Y80" s="126" t="e">
        <f t="shared" ca="1" si="19"/>
        <v>#VALUE!</v>
      </c>
      <c r="Z80" s="126" t="e">
        <f t="shared" ca="1" si="19"/>
        <v>#VALUE!</v>
      </c>
      <c r="AA80" s="126" t="e">
        <f t="shared" ca="1" si="19"/>
        <v>#VALUE!</v>
      </c>
      <c r="AB80" s="126" t="e">
        <f t="shared" ca="1" si="19"/>
        <v>#VALUE!</v>
      </c>
      <c r="AC80" s="126" t="e">
        <f t="shared" ca="1" si="19"/>
        <v>#VALUE!</v>
      </c>
      <c r="AD80" s="126" t="e">
        <f t="shared" ca="1" si="19"/>
        <v>#VALUE!</v>
      </c>
      <c r="AE80" s="126" t="e">
        <f t="shared" ca="1" si="19"/>
        <v>#VALUE!</v>
      </c>
      <c r="AF80" s="126" t="e">
        <f t="shared" ca="1" si="19"/>
        <v>#VALUE!</v>
      </c>
      <c r="AG80" s="126" t="e">
        <f t="shared" ca="1" si="19"/>
        <v>#VALUE!</v>
      </c>
      <c r="AH80" s="126" t="e">
        <f t="shared" ca="1" si="19"/>
        <v>#VALUE!</v>
      </c>
      <c r="AI80" s="126" t="e">
        <f t="shared" ca="1" si="19"/>
        <v>#VALUE!</v>
      </c>
      <c r="AJ80" s="126" t="e">
        <f t="shared" ca="1" si="19"/>
        <v>#VALUE!</v>
      </c>
      <c r="AK80" s="126" t="e">
        <f t="shared" ca="1" si="19"/>
        <v>#VALUE!</v>
      </c>
      <c r="AL80" s="126" t="e">
        <f t="shared" ca="1" si="19"/>
        <v>#VALUE!</v>
      </c>
      <c r="AM80" s="126" t="e">
        <f t="shared" ca="1" si="19"/>
        <v>#VALUE!</v>
      </c>
      <c r="AN80" s="126" t="e">
        <f t="shared" ca="1" si="19"/>
        <v>#VALUE!</v>
      </c>
      <c r="AO80" s="126" t="e">
        <f t="shared" ca="1" si="19"/>
        <v>#VALUE!</v>
      </c>
      <c r="AP80" s="126" t="e">
        <f t="shared" ca="1" si="19"/>
        <v>#VALUE!</v>
      </c>
      <c r="AQ80" s="126" t="e">
        <f t="shared" ca="1" si="19"/>
        <v>#VALUE!</v>
      </c>
      <c r="AR80" s="126" t="e">
        <f t="shared" ca="1" si="19"/>
        <v>#VALUE!</v>
      </c>
      <c r="AS80" s="126" t="e">
        <f t="shared" ca="1" si="19"/>
        <v>#VALUE!</v>
      </c>
      <c r="AT80" s="126" t="e">
        <f t="shared" ca="1" si="19"/>
        <v>#VALUE!</v>
      </c>
      <c r="AU80" s="126" t="e">
        <f t="shared" ca="1" si="19"/>
        <v>#VALUE!</v>
      </c>
    </row>
    <row r="81" spans="2:47" x14ac:dyDescent="0.25">
      <c r="B81" t="s">
        <v>531</v>
      </c>
      <c r="C81" s="126" t="e">
        <f t="shared" ca="1" si="16"/>
        <v>#VALUE!</v>
      </c>
      <c r="D81" s="126" t="e">
        <f t="shared" ca="1" si="16"/>
        <v>#VALUE!</v>
      </c>
      <c r="E81" s="126" t="e">
        <f t="shared" ca="1" si="16"/>
        <v>#VALUE!</v>
      </c>
      <c r="F81" s="126" t="e">
        <f t="shared" ca="1" si="16"/>
        <v>#VALUE!</v>
      </c>
      <c r="G81" s="126" t="e">
        <f t="shared" ca="1" si="16"/>
        <v>#VALUE!</v>
      </c>
      <c r="H81" s="126" t="e">
        <f t="shared" ca="1" si="16"/>
        <v>#VALUE!</v>
      </c>
      <c r="I81" s="126" t="e">
        <f t="shared" ca="1" si="16"/>
        <v>#VALUE!</v>
      </c>
      <c r="J81" s="126" t="e">
        <f t="shared" ca="1" si="16"/>
        <v>#VALUE!</v>
      </c>
      <c r="K81" s="126" t="e">
        <f t="shared" ca="1" si="16"/>
        <v>#VALUE!</v>
      </c>
      <c r="L81" s="126" t="e">
        <f t="shared" ca="1" si="18"/>
        <v>#VALUE!</v>
      </c>
      <c r="M81" s="126" t="e">
        <f t="shared" ca="1" si="19"/>
        <v>#VALUE!</v>
      </c>
      <c r="N81" s="126" t="e">
        <f t="shared" ca="1" si="19"/>
        <v>#VALUE!</v>
      </c>
      <c r="O81" s="126" t="e">
        <f t="shared" ca="1" si="19"/>
        <v>#VALUE!</v>
      </c>
      <c r="P81" s="126" t="e">
        <f t="shared" ca="1" si="19"/>
        <v>#VALUE!</v>
      </c>
      <c r="Q81" s="126" t="e">
        <f t="shared" ca="1" si="19"/>
        <v>#VALUE!</v>
      </c>
      <c r="R81" s="126" t="e">
        <f t="shared" ca="1" si="19"/>
        <v>#VALUE!</v>
      </c>
      <c r="S81" s="126" t="e">
        <f t="shared" ca="1" si="19"/>
        <v>#VALUE!</v>
      </c>
      <c r="T81" s="126" t="e">
        <f t="shared" ca="1" si="19"/>
        <v>#VALUE!</v>
      </c>
      <c r="U81" s="126" t="e">
        <f t="shared" ca="1" si="19"/>
        <v>#VALUE!</v>
      </c>
      <c r="V81" s="126" t="e">
        <f t="shared" ca="1" si="19"/>
        <v>#VALUE!</v>
      </c>
      <c r="W81" s="126" t="e">
        <f t="shared" ca="1" si="19"/>
        <v>#VALUE!</v>
      </c>
      <c r="X81" s="126" t="e">
        <f t="shared" ca="1" si="19"/>
        <v>#VALUE!</v>
      </c>
      <c r="Y81" s="126" t="e">
        <f t="shared" ca="1" si="19"/>
        <v>#VALUE!</v>
      </c>
      <c r="Z81" s="126" t="e">
        <f t="shared" ca="1" si="19"/>
        <v>#VALUE!</v>
      </c>
      <c r="AA81" s="126" t="e">
        <f t="shared" ca="1" si="19"/>
        <v>#VALUE!</v>
      </c>
      <c r="AB81" s="126" t="e">
        <f t="shared" ca="1" si="19"/>
        <v>#VALUE!</v>
      </c>
      <c r="AC81" s="126" t="e">
        <f t="shared" ca="1" si="19"/>
        <v>#VALUE!</v>
      </c>
      <c r="AD81" s="126" t="e">
        <f t="shared" ca="1" si="19"/>
        <v>#VALUE!</v>
      </c>
      <c r="AE81" s="126" t="e">
        <f t="shared" ca="1" si="19"/>
        <v>#VALUE!</v>
      </c>
      <c r="AF81" s="126" t="e">
        <f t="shared" ca="1" si="19"/>
        <v>#VALUE!</v>
      </c>
      <c r="AG81" s="126" t="e">
        <f t="shared" ca="1" si="19"/>
        <v>#VALUE!</v>
      </c>
      <c r="AH81" s="126" t="e">
        <f t="shared" ca="1" si="19"/>
        <v>#VALUE!</v>
      </c>
      <c r="AI81" s="126" t="e">
        <f t="shared" ca="1" si="19"/>
        <v>#VALUE!</v>
      </c>
      <c r="AJ81" s="126" t="e">
        <f t="shared" ca="1" si="19"/>
        <v>#VALUE!</v>
      </c>
      <c r="AK81" s="126" t="e">
        <f t="shared" ca="1" si="19"/>
        <v>#VALUE!</v>
      </c>
      <c r="AL81" s="126" t="e">
        <f t="shared" ca="1" si="19"/>
        <v>#VALUE!</v>
      </c>
      <c r="AM81" s="126" t="e">
        <f t="shared" ca="1" si="19"/>
        <v>#VALUE!</v>
      </c>
      <c r="AN81" s="126" t="e">
        <f t="shared" ca="1" si="19"/>
        <v>#VALUE!</v>
      </c>
      <c r="AO81" s="126" t="e">
        <f t="shared" ca="1" si="19"/>
        <v>#VALUE!</v>
      </c>
      <c r="AP81" s="126" t="e">
        <f t="shared" ca="1" si="19"/>
        <v>#VALUE!</v>
      </c>
      <c r="AQ81" s="126" t="e">
        <f t="shared" ca="1" si="19"/>
        <v>#VALUE!</v>
      </c>
      <c r="AR81" s="126" t="e">
        <f t="shared" ca="1" si="19"/>
        <v>#VALUE!</v>
      </c>
      <c r="AS81" s="126" t="e">
        <f t="shared" ca="1" si="19"/>
        <v>#VALUE!</v>
      </c>
      <c r="AT81" s="126" t="e">
        <f t="shared" ca="1" si="19"/>
        <v>#VALUE!</v>
      </c>
      <c r="AU81" s="126" t="e">
        <f t="shared" ca="1" si="19"/>
        <v>#VALUE!</v>
      </c>
    </row>
    <row r="82" spans="2:47" x14ac:dyDescent="0.25">
      <c r="B82" t="s">
        <v>532</v>
      </c>
      <c r="C82" s="126" t="e">
        <f t="shared" ca="1" si="16"/>
        <v>#VALUE!</v>
      </c>
      <c r="D82" s="126" t="e">
        <f t="shared" ca="1" si="16"/>
        <v>#VALUE!</v>
      </c>
      <c r="E82" s="126" t="e">
        <f t="shared" ca="1" si="16"/>
        <v>#VALUE!</v>
      </c>
      <c r="F82" s="126" t="e">
        <f t="shared" ca="1" si="16"/>
        <v>#VALUE!</v>
      </c>
      <c r="G82" s="126" t="e">
        <f t="shared" ca="1" si="16"/>
        <v>#VALUE!</v>
      </c>
      <c r="H82" s="126" t="e">
        <f t="shared" ca="1" si="16"/>
        <v>#VALUE!</v>
      </c>
      <c r="I82" s="126" t="e">
        <f t="shared" ca="1" si="16"/>
        <v>#VALUE!</v>
      </c>
      <c r="J82" s="126" t="e">
        <f t="shared" ca="1" si="16"/>
        <v>#VALUE!</v>
      </c>
      <c r="K82" s="126" t="e">
        <f t="shared" ca="1" si="16"/>
        <v>#VALUE!</v>
      </c>
      <c r="L82" s="126" t="e">
        <f t="shared" ca="1" si="18"/>
        <v>#VALUE!</v>
      </c>
      <c r="M82" s="126" t="e">
        <f t="shared" ca="1" si="19"/>
        <v>#VALUE!</v>
      </c>
      <c r="N82" s="126" t="e">
        <f t="shared" ca="1" si="19"/>
        <v>#VALUE!</v>
      </c>
      <c r="O82" s="126" t="e">
        <f t="shared" ca="1" si="19"/>
        <v>#VALUE!</v>
      </c>
      <c r="P82" s="126" t="e">
        <f t="shared" ca="1" si="19"/>
        <v>#VALUE!</v>
      </c>
      <c r="Q82" s="126" t="e">
        <f t="shared" ca="1" si="19"/>
        <v>#VALUE!</v>
      </c>
      <c r="R82" s="126" t="e">
        <f t="shared" ca="1" si="19"/>
        <v>#VALUE!</v>
      </c>
      <c r="S82" s="126" t="e">
        <f t="shared" ca="1" si="19"/>
        <v>#VALUE!</v>
      </c>
      <c r="T82" s="126" t="e">
        <f t="shared" ca="1" si="19"/>
        <v>#VALUE!</v>
      </c>
      <c r="U82" s="126" t="e">
        <f t="shared" ca="1" si="19"/>
        <v>#VALUE!</v>
      </c>
      <c r="V82" s="126" t="e">
        <f t="shared" ca="1" si="19"/>
        <v>#VALUE!</v>
      </c>
      <c r="W82" s="126" t="e">
        <f t="shared" ca="1" si="19"/>
        <v>#VALUE!</v>
      </c>
      <c r="X82" s="126" t="e">
        <f t="shared" ca="1" si="19"/>
        <v>#VALUE!</v>
      </c>
      <c r="Y82" s="126" t="e">
        <f t="shared" ca="1" si="19"/>
        <v>#VALUE!</v>
      </c>
      <c r="Z82" s="126" t="e">
        <f t="shared" ca="1" si="19"/>
        <v>#VALUE!</v>
      </c>
      <c r="AA82" s="126" t="e">
        <f t="shared" ca="1" si="19"/>
        <v>#VALUE!</v>
      </c>
      <c r="AB82" s="126" t="e">
        <f t="shared" ca="1" si="19"/>
        <v>#VALUE!</v>
      </c>
      <c r="AC82" s="126" t="e">
        <f t="shared" ca="1" si="19"/>
        <v>#VALUE!</v>
      </c>
      <c r="AD82" s="126" t="e">
        <f t="shared" ca="1" si="19"/>
        <v>#VALUE!</v>
      </c>
      <c r="AE82" s="126" t="e">
        <f t="shared" ca="1" si="19"/>
        <v>#VALUE!</v>
      </c>
      <c r="AF82" s="126" t="e">
        <f t="shared" ca="1" si="19"/>
        <v>#VALUE!</v>
      </c>
      <c r="AG82" s="126" t="e">
        <f t="shared" ca="1" si="19"/>
        <v>#VALUE!</v>
      </c>
      <c r="AH82" s="126" t="e">
        <f t="shared" ca="1" si="19"/>
        <v>#VALUE!</v>
      </c>
      <c r="AI82" s="126" t="e">
        <f t="shared" ca="1" si="19"/>
        <v>#VALUE!</v>
      </c>
      <c r="AJ82" s="126" t="e">
        <f t="shared" ca="1" si="19"/>
        <v>#VALUE!</v>
      </c>
      <c r="AK82" s="126" t="e">
        <f t="shared" ca="1" si="19"/>
        <v>#VALUE!</v>
      </c>
      <c r="AL82" s="126" t="e">
        <f t="shared" ca="1" si="19"/>
        <v>#VALUE!</v>
      </c>
      <c r="AM82" s="126" t="e">
        <f t="shared" ca="1" si="19"/>
        <v>#VALUE!</v>
      </c>
      <c r="AN82" s="126" t="e">
        <f t="shared" ca="1" si="19"/>
        <v>#VALUE!</v>
      </c>
      <c r="AO82" s="126" t="e">
        <f t="shared" ca="1" si="19"/>
        <v>#VALUE!</v>
      </c>
      <c r="AP82" s="126" t="e">
        <f t="shared" ca="1" si="19"/>
        <v>#VALUE!</v>
      </c>
      <c r="AQ82" s="126" t="e">
        <f t="shared" ca="1" si="19"/>
        <v>#VALUE!</v>
      </c>
      <c r="AR82" s="126" t="e">
        <f t="shared" ca="1" si="19"/>
        <v>#VALUE!</v>
      </c>
      <c r="AS82" s="126" t="e">
        <f t="shared" ca="1" si="19"/>
        <v>#VALUE!</v>
      </c>
      <c r="AT82" s="126" t="e">
        <f t="shared" ca="1" si="19"/>
        <v>#VALUE!</v>
      </c>
      <c r="AU82" s="126" t="e">
        <f t="shared" ca="1" si="19"/>
        <v>#VALUE!</v>
      </c>
    </row>
    <row r="83" spans="2:47" x14ac:dyDescent="0.25">
      <c r="B83" t="s">
        <v>533</v>
      </c>
      <c r="C83" s="126" t="e">
        <f t="shared" ca="1" si="16"/>
        <v>#VALUE!</v>
      </c>
      <c r="D83" s="126" t="e">
        <f t="shared" ca="1" si="16"/>
        <v>#VALUE!</v>
      </c>
      <c r="E83" s="126" t="e">
        <f t="shared" ca="1" si="16"/>
        <v>#VALUE!</v>
      </c>
      <c r="F83" s="126" t="e">
        <f t="shared" ca="1" si="16"/>
        <v>#VALUE!</v>
      </c>
      <c r="G83" s="126" t="e">
        <f t="shared" ca="1" si="16"/>
        <v>#VALUE!</v>
      </c>
      <c r="H83" s="126" t="e">
        <f t="shared" ca="1" si="16"/>
        <v>#VALUE!</v>
      </c>
      <c r="I83" s="126" t="e">
        <f t="shared" ca="1" si="16"/>
        <v>#VALUE!</v>
      </c>
      <c r="J83" s="126" t="e">
        <f t="shared" ca="1" si="16"/>
        <v>#VALUE!</v>
      </c>
      <c r="K83" s="126" t="e">
        <f t="shared" ca="1" si="16"/>
        <v>#VALUE!</v>
      </c>
      <c r="L83" s="126" t="e">
        <f t="shared" ca="1" si="18"/>
        <v>#VALUE!</v>
      </c>
      <c r="M83" s="126" t="e">
        <f t="shared" ca="1" si="19"/>
        <v>#VALUE!</v>
      </c>
      <c r="N83" s="126" t="e">
        <f t="shared" ca="1" si="19"/>
        <v>#VALUE!</v>
      </c>
      <c r="O83" s="126" t="e">
        <f t="shared" ca="1" si="19"/>
        <v>#VALUE!</v>
      </c>
      <c r="P83" s="126" t="e">
        <f t="shared" ca="1" si="19"/>
        <v>#VALUE!</v>
      </c>
      <c r="Q83" s="126" t="e">
        <f t="shared" ca="1" si="19"/>
        <v>#VALUE!</v>
      </c>
      <c r="R83" s="126" t="e">
        <f t="shared" ca="1" si="19"/>
        <v>#VALUE!</v>
      </c>
      <c r="S83" s="126" t="e">
        <f t="shared" ca="1" si="19"/>
        <v>#VALUE!</v>
      </c>
      <c r="T83" s="126" t="e">
        <f t="shared" ca="1" si="19"/>
        <v>#VALUE!</v>
      </c>
      <c r="U83" s="126" t="e">
        <f t="shared" ca="1" si="19"/>
        <v>#VALUE!</v>
      </c>
      <c r="V83" s="126" t="e">
        <f t="shared" ca="1" si="19"/>
        <v>#VALUE!</v>
      </c>
      <c r="W83" s="126" t="e">
        <f t="shared" ca="1" si="19"/>
        <v>#VALUE!</v>
      </c>
      <c r="X83" s="126" t="e">
        <f t="shared" ca="1" si="19"/>
        <v>#VALUE!</v>
      </c>
      <c r="Y83" s="126" t="e">
        <f t="shared" ca="1" si="19"/>
        <v>#VALUE!</v>
      </c>
      <c r="Z83" s="126" t="e">
        <f t="shared" ca="1" si="19"/>
        <v>#VALUE!</v>
      </c>
      <c r="AA83" s="126" t="e">
        <f t="shared" ca="1" si="19"/>
        <v>#VALUE!</v>
      </c>
      <c r="AB83" s="126" t="e">
        <f t="shared" ca="1" si="19"/>
        <v>#VALUE!</v>
      </c>
      <c r="AC83" s="126" t="e">
        <f t="shared" ca="1" si="19"/>
        <v>#VALUE!</v>
      </c>
      <c r="AD83" s="126" t="e">
        <f t="shared" ca="1" si="19"/>
        <v>#VALUE!</v>
      </c>
      <c r="AE83" s="126" t="e">
        <f t="shared" ca="1" si="19"/>
        <v>#VALUE!</v>
      </c>
      <c r="AF83" s="126" t="e">
        <f t="shared" ca="1" si="19"/>
        <v>#VALUE!</v>
      </c>
      <c r="AG83" s="126" t="e">
        <f t="shared" ca="1" si="19"/>
        <v>#VALUE!</v>
      </c>
      <c r="AH83" s="126" t="e">
        <f t="shared" ca="1" si="19"/>
        <v>#VALUE!</v>
      </c>
      <c r="AI83" s="126" t="e">
        <f t="shared" ca="1" si="19"/>
        <v>#VALUE!</v>
      </c>
      <c r="AJ83" s="126" t="e">
        <f t="shared" ca="1" si="19"/>
        <v>#VALUE!</v>
      </c>
      <c r="AK83" s="126" t="e">
        <f t="shared" ca="1" si="19"/>
        <v>#VALUE!</v>
      </c>
      <c r="AL83" s="126" t="e">
        <f t="shared" ca="1" si="19"/>
        <v>#VALUE!</v>
      </c>
      <c r="AM83" s="126" t="e">
        <f t="shared" ca="1" si="19"/>
        <v>#VALUE!</v>
      </c>
      <c r="AN83" s="126" t="e">
        <f t="shared" ca="1" si="19"/>
        <v>#VALUE!</v>
      </c>
      <c r="AO83" s="126" t="e">
        <f t="shared" ca="1" si="19"/>
        <v>#VALUE!</v>
      </c>
      <c r="AP83" s="126" t="e">
        <f t="shared" ca="1" si="19"/>
        <v>#VALUE!</v>
      </c>
      <c r="AQ83" s="126" t="e">
        <f t="shared" ca="1" si="19"/>
        <v>#VALUE!</v>
      </c>
      <c r="AR83" s="126" t="e">
        <f t="shared" ca="1" si="19"/>
        <v>#VALUE!</v>
      </c>
      <c r="AS83" s="126" t="e">
        <f t="shared" ca="1" si="19"/>
        <v>#VALUE!</v>
      </c>
      <c r="AT83" s="126" t="e">
        <f t="shared" ca="1" si="19"/>
        <v>#VALUE!</v>
      </c>
      <c r="AU83" s="126" t="e">
        <f t="shared" ca="1" si="19"/>
        <v>#VALUE!</v>
      </c>
    </row>
    <row r="84" spans="2:47" x14ac:dyDescent="0.25">
      <c r="B84" t="s">
        <v>534</v>
      </c>
      <c r="C84" s="126" t="e">
        <f t="shared" ca="1" si="16"/>
        <v>#VALUE!</v>
      </c>
      <c r="D84" s="126" t="e">
        <f t="shared" ca="1" si="16"/>
        <v>#VALUE!</v>
      </c>
      <c r="E84" s="126" t="e">
        <f t="shared" ca="1" si="16"/>
        <v>#VALUE!</v>
      </c>
      <c r="F84" s="126" t="e">
        <f t="shared" ca="1" si="16"/>
        <v>#VALUE!</v>
      </c>
      <c r="G84" s="126" t="e">
        <f t="shared" ca="1" si="16"/>
        <v>#VALUE!</v>
      </c>
      <c r="H84" s="126" t="e">
        <f t="shared" ca="1" si="16"/>
        <v>#VALUE!</v>
      </c>
      <c r="I84" s="126" t="e">
        <f t="shared" ca="1" si="16"/>
        <v>#VALUE!</v>
      </c>
      <c r="J84" s="126" t="e">
        <f t="shared" ca="1" si="16"/>
        <v>#VALUE!</v>
      </c>
      <c r="K84" s="126" t="e">
        <f t="shared" ca="1" si="16"/>
        <v>#VALUE!</v>
      </c>
      <c r="L84" s="126" t="e">
        <f t="shared" ca="1" si="18"/>
        <v>#VALUE!</v>
      </c>
      <c r="M84" s="126" t="e">
        <f t="shared" ref="M84:AU91" ca="1" si="20">Output("SCEN_ADEMEhaut",$B84,M$1)</f>
        <v>#VALUE!</v>
      </c>
      <c r="N84" s="126" t="e">
        <f t="shared" ca="1" si="20"/>
        <v>#VALUE!</v>
      </c>
      <c r="O84" s="126" t="e">
        <f t="shared" ca="1" si="20"/>
        <v>#VALUE!</v>
      </c>
      <c r="P84" s="126" t="e">
        <f t="shared" ca="1" si="20"/>
        <v>#VALUE!</v>
      </c>
      <c r="Q84" s="126" t="e">
        <f t="shared" ca="1" si="20"/>
        <v>#VALUE!</v>
      </c>
      <c r="R84" s="126" t="e">
        <f t="shared" ca="1" si="20"/>
        <v>#VALUE!</v>
      </c>
      <c r="S84" s="126" t="e">
        <f t="shared" ca="1" si="20"/>
        <v>#VALUE!</v>
      </c>
      <c r="T84" s="126" t="e">
        <f t="shared" ca="1" si="20"/>
        <v>#VALUE!</v>
      </c>
      <c r="U84" s="126" t="e">
        <f t="shared" ca="1" si="20"/>
        <v>#VALUE!</v>
      </c>
      <c r="V84" s="126" t="e">
        <f t="shared" ca="1" si="20"/>
        <v>#VALUE!</v>
      </c>
      <c r="W84" s="126" t="e">
        <f t="shared" ca="1" si="20"/>
        <v>#VALUE!</v>
      </c>
      <c r="X84" s="126" t="e">
        <f t="shared" ca="1" si="20"/>
        <v>#VALUE!</v>
      </c>
      <c r="Y84" s="126" t="e">
        <f t="shared" ca="1" si="20"/>
        <v>#VALUE!</v>
      </c>
      <c r="Z84" s="126" t="e">
        <f t="shared" ca="1" si="20"/>
        <v>#VALUE!</v>
      </c>
      <c r="AA84" s="126" t="e">
        <f t="shared" ca="1" si="20"/>
        <v>#VALUE!</v>
      </c>
      <c r="AB84" s="126" t="e">
        <f t="shared" ca="1" si="20"/>
        <v>#VALUE!</v>
      </c>
      <c r="AC84" s="126" t="e">
        <f t="shared" ca="1" si="20"/>
        <v>#VALUE!</v>
      </c>
      <c r="AD84" s="126" t="e">
        <f t="shared" ca="1" si="20"/>
        <v>#VALUE!</v>
      </c>
      <c r="AE84" s="126" t="e">
        <f t="shared" ca="1" si="20"/>
        <v>#VALUE!</v>
      </c>
      <c r="AF84" s="126" t="e">
        <f t="shared" ca="1" si="20"/>
        <v>#VALUE!</v>
      </c>
      <c r="AG84" s="126" t="e">
        <f t="shared" ca="1" si="20"/>
        <v>#VALUE!</v>
      </c>
      <c r="AH84" s="126" t="e">
        <f t="shared" ca="1" si="20"/>
        <v>#VALUE!</v>
      </c>
      <c r="AI84" s="126" t="e">
        <f t="shared" ca="1" si="20"/>
        <v>#VALUE!</v>
      </c>
      <c r="AJ84" s="126" t="e">
        <f t="shared" ca="1" si="20"/>
        <v>#VALUE!</v>
      </c>
      <c r="AK84" s="126" t="e">
        <f t="shared" ca="1" si="20"/>
        <v>#VALUE!</v>
      </c>
      <c r="AL84" s="126" t="e">
        <f t="shared" ca="1" si="20"/>
        <v>#VALUE!</v>
      </c>
      <c r="AM84" s="126" t="e">
        <f t="shared" ca="1" si="20"/>
        <v>#VALUE!</v>
      </c>
      <c r="AN84" s="126" t="e">
        <f t="shared" ca="1" si="20"/>
        <v>#VALUE!</v>
      </c>
      <c r="AO84" s="126" t="e">
        <f t="shared" ca="1" si="20"/>
        <v>#VALUE!</v>
      </c>
      <c r="AP84" s="126" t="e">
        <f t="shared" ca="1" si="20"/>
        <v>#VALUE!</v>
      </c>
      <c r="AQ84" s="126" t="e">
        <f t="shared" ca="1" si="20"/>
        <v>#VALUE!</v>
      </c>
      <c r="AR84" s="126" t="e">
        <f t="shared" ca="1" si="20"/>
        <v>#VALUE!</v>
      </c>
      <c r="AS84" s="126" t="e">
        <f t="shared" ca="1" si="20"/>
        <v>#VALUE!</v>
      </c>
      <c r="AT84" s="126" t="e">
        <f t="shared" ca="1" si="20"/>
        <v>#VALUE!</v>
      </c>
      <c r="AU84" s="126" t="e">
        <f t="shared" ca="1" si="20"/>
        <v>#VALUE!</v>
      </c>
    </row>
    <row r="85" spans="2:47" x14ac:dyDescent="0.25">
      <c r="B85" t="s">
        <v>535</v>
      </c>
      <c r="C85" s="126" t="e">
        <f t="shared" ref="C85:K100" ca="1" si="21">Output("SCEN_ADEMEhaut",$B85,C$1)</f>
        <v>#VALUE!</v>
      </c>
      <c r="D85" s="126" t="e">
        <f t="shared" ca="1" si="21"/>
        <v>#VALUE!</v>
      </c>
      <c r="E85" s="126" t="e">
        <f t="shared" ca="1" si="21"/>
        <v>#VALUE!</v>
      </c>
      <c r="F85" s="126" t="e">
        <f t="shared" ca="1" si="21"/>
        <v>#VALUE!</v>
      </c>
      <c r="G85" s="126" t="e">
        <f t="shared" ca="1" si="21"/>
        <v>#VALUE!</v>
      </c>
      <c r="H85" s="126" t="e">
        <f t="shared" ca="1" si="21"/>
        <v>#VALUE!</v>
      </c>
      <c r="I85" s="126" t="e">
        <f t="shared" ca="1" si="21"/>
        <v>#VALUE!</v>
      </c>
      <c r="J85" s="126" t="e">
        <f t="shared" ca="1" si="21"/>
        <v>#VALUE!</v>
      </c>
      <c r="K85" s="126" t="e">
        <f t="shared" ca="1" si="21"/>
        <v>#VALUE!</v>
      </c>
      <c r="L85" s="126" t="e">
        <f t="shared" ca="1" si="18"/>
        <v>#VALUE!</v>
      </c>
      <c r="M85" s="126" t="e">
        <f t="shared" ca="1" si="20"/>
        <v>#VALUE!</v>
      </c>
      <c r="N85" s="126" t="e">
        <f t="shared" ca="1" si="20"/>
        <v>#VALUE!</v>
      </c>
      <c r="O85" s="126" t="e">
        <f t="shared" ca="1" si="20"/>
        <v>#VALUE!</v>
      </c>
      <c r="P85" s="126" t="e">
        <f t="shared" ca="1" si="20"/>
        <v>#VALUE!</v>
      </c>
      <c r="Q85" s="126" t="e">
        <f t="shared" ca="1" si="20"/>
        <v>#VALUE!</v>
      </c>
      <c r="R85" s="126" t="e">
        <f t="shared" ca="1" si="20"/>
        <v>#VALUE!</v>
      </c>
      <c r="S85" s="126" t="e">
        <f t="shared" ca="1" si="20"/>
        <v>#VALUE!</v>
      </c>
      <c r="T85" s="126" t="e">
        <f t="shared" ca="1" si="20"/>
        <v>#VALUE!</v>
      </c>
      <c r="U85" s="126" t="e">
        <f t="shared" ca="1" si="20"/>
        <v>#VALUE!</v>
      </c>
      <c r="V85" s="126" t="e">
        <f t="shared" ca="1" si="20"/>
        <v>#VALUE!</v>
      </c>
      <c r="W85" s="126" t="e">
        <f t="shared" ca="1" si="20"/>
        <v>#VALUE!</v>
      </c>
      <c r="X85" s="126" t="e">
        <f t="shared" ca="1" si="20"/>
        <v>#VALUE!</v>
      </c>
      <c r="Y85" s="126" t="e">
        <f t="shared" ca="1" si="20"/>
        <v>#VALUE!</v>
      </c>
      <c r="Z85" s="126" t="e">
        <f t="shared" ca="1" si="20"/>
        <v>#VALUE!</v>
      </c>
      <c r="AA85" s="126" t="e">
        <f t="shared" ca="1" si="20"/>
        <v>#VALUE!</v>
      </c>
      <c r="AB85" s="126" t="e">
        <f t="shared" ca="1" si="20"/>
        <v>#VALUE!</v>
      </c>
      <c r="AC85" s="126" t="e">
        <f t="shared" ca="1" si="20"/>
        <v>#VALUE!</v>
      </c>
      <c r="AD85" s="126" t="e">
        <f t="shared" ca="1" si="20"/>
        <v>#VALUE!</v>
      </c>
      <c r="AE85" s="126" t="e">
        <f t="shared" ca="1" si="20"/>
        <v>#VALUE!</v>
      </c>
      <c r="AF85" s="126" t="e">
        <f t="shared" ca="1" si="20"/>
        <v>#VALUE!</v>
      </c>
      <c r="AG85" s="126" t="e">
        <f t="shared" ca="1" si="20"/>
        <v>#VALUE!</v>
      </c>
      <c r="AH85" s="126" t="e">
        <f t="shared" ca="1" si="20"/>
        <v>#VALUE!</v>
      </c>
      <c r="AI85" s="126" t="e">
        <f t="shared" ca="1" si="20"/>
        <v>#VALUE!</v>
      </c>
      <c r="AJ85" s="126" t="e">
        <f t="shared" ca="1" si="20"/>
        <v>#VALUE!</v>
      </c>
      <c r="AK85" s="126" t="e">
        <f t="shared" ca="1" si="20"/>
        <v>#VALUE!</v>
      </c>
      <c r="AL85" s="126" t="e">
        <f t="shared" ca="1" si="20"/>
        <v>#VALUE!</v>
      </c>
      <c r="AM85" s="126" t="e">
        <f t="shared" ca="1" si="20"/>
        <v>#VALUE!</v>
      </c>
      <c r="AN85" s="126" t="e">
        <f t="shared" ca="1" si="20"/>
        <v>#VALUE!</v>
      </c>
      <c r="AO85" s="126" t="e">
        <f t="shared" ca="1" si="20"/>
        <v>#VALUE!</v>
      </c>
      <c r="AP85" s="126" t="e">
        <f t="shared" ca="1" si="20"/>
        <v>#VALUE!</v>
      </c>
      <c r="AQ85" s="126" t="e">
        <f t="shared" ca="1" si="20"/>
        <v>#VALUE!</v>
      </c>
      <c r="AR85" s="126" t="e">
        <f t="shared" ca="1" si="20"/>
        <v>#VALUE!</v>
      </c>
      <c r="AS85" s="126" t="e">
        <f t="shared" ca="1" si="20"/>
        <v>#VALUE!</v>
      </c>
      <c r="AT85" s="126" t="e">
        <f t="shared" ca="1" si="20"/>
        <v>#VALUE!</v>
      </c>
      <c r="AU85" s="126" t="e">
        <f t="shared" ca="1" si="20"/>
        <v>#VALUE!</v>
      </c>
    </row>
    <row r="86" spans="2:47" x14ac:dyDescent="0.25">
      <c r="B86" t="s">
        <v>536</v>
      </c>
      <c r="C86" s="126" t="e">
        <f t="shared" ca="1" si="21"/>
        <v>#VALUE!</v>
      </c>
      <c r="D86" s="126" t="e">
        <f t="shared" ca="1" si="21"/>
        <v>#VALUE!</v>
      </c>
      <c r="E86" s="126" t="e">
        <f t="shared" ca="1" si="21"/>
        <v>#VALUE!</v>
      </c>
      <c r="F86" s="126" t="e">
        <f t="shared" ca="1" si="21"/>
        <v>#VALUE!</v>
      </c>
      <c r="G86" s="126" t="e">
        <f t="shared" ca="1" si="21"/>
        <v>#VALUE!</v>
      </c>
      <c r="H86" s="126" t="e">
        <f t="shared" ca="1" si="21"/>
        <v>#VALUE!</v>
      </c>
      <c r="I86" s="126" t="e">
        <f t="shared" ca="1" si="21"/>
        <v>#VALUE!</v>
      </c>
      <c r="J86" s="126" t="e">
        <f t="shared" ca="1" si="21"/>
        <v>#VALUE!</v>
      </c>
      <c r="K86" s="126" t="e">
        <f t="shared" ca="1" si="21"/>
        <v>#VALUE!</v>
      </c>
      <c r="L86" s="126" t="e">
        <f t="shared" ca="1" si="18"/>
        <v>#VALUE!</v>
      </c>
      <c r="M86" s="126" t="e">
        <f t="shared" ca="1" si="20"/>
        <v>#VALUE!</v>
      </c>
      <c r="N86" s="126" t="e">
        <f t="shared" ca="1" si="20"/>
        <v>#VALUE!</v>
      </c>
      <c r="O86" s="126" t="e">
        <f t="shared" ca="1" si="20"/>
        <v>#VALUE!</v>
      </c>
      <c r="P86" s="126" t="e">
        <f t="shared" ca="1" si="20"/>
        <v>#VALUE!</v>
      </c>
      <c r="Q86" s="126" t="e">
        <f t="shared" ca="1" si="20"/>
        <v>#VALUE!</v>
      </c>
      <c r="R86" s="126" t="e">
        <f t="shared" ca="1" si="20"/>
        <v>#VALUE!</v>
      </c>
      <c r="S86" s="126" t="e">
        <f t="shared" ca="1" si="20"/>
        <v>#VALUE!</v>
      </c>
      <c r="T86" s="126" t="e">
        <f t="shared" ca="1" si="20"/>
        <v>#VALUE!</v>
      </c>
      <c r="U86" s="126" t="e">
        <f t="shared" ca="1" si="20"/>
        <v>#VALUE!</v>
      </c>
      <c r="V86" s="126" t="e">
        <f t="shared" ca="1" si="20"/>
        <v>#VALUE!</v>
      </c>
      <c r="W86" s="126" t="e">
        <f t="shared" ca="1" si="20"/>
        <v>#VALUE!</v>
      </c>
      <c r="X86" s="126" t="e">
        <f t="shared" ca="1" si="20"/>
        <v>#VALUE!</v>
      </c>
      <c r="Y86" s="126" t="e">
        <f t="shared" ca="1" si="20"/>
        <v>#VALUE!</v>
      </c>
      <c r="Z86" s="126" t="e">
        <f t="shared" ca="1" si="20"/>
        <v>#VALUE!</v>
      </c>
      <c r="AA86" s="126" t="e">
        <f t="shared" ca="1" si="20"/>
        <v>#VALUE!</v>
      </c>
      <c r="AB86" s="126" t="e">
        <f t="shared" ca="1" si="20"/>
        <v>#VALUE!</v>
      </c>
      <c r="AC86" s="126" t="e">
        <f t="shared" ca="1" si="20"/>
        <v>#VALUE!</v>
      </c>
      <c r="AD86" s="126" t="e">
        <f t="shared" ca="1" si="20"/>
        <v>#VALUE!</v>
      </c>
      <c r="AE86" s="126" t="e">
        <f t="shared" ca="1" si="20"/>
        <v>#VALUE!</v>
      </c>
      <c r="AF86" s="126" t="e">
        <f t="shared" ca="1" si="20"/>
        <v>#VALUE!</v>
      </c>
      <c r="AG86" s="126" t="e">
        <f t="shared" ca="1" si="20"/>
        <v>#VALUE!</v>
      </c>
      <c r="AH86" s="126" t="e">
        <f t="shared" ca="1" si="20"/>
        <v>#VALUE!</v>
      </c>
      <c r="AI86" s="126" t="e">
        <f t="shared" ca="1" si="20"/>
        <v>#VALUE!</v>
      </c>
      <c r="AJ86" s="126" t="e">
        <f t="shared" ca="1" si="20"/>
        <v>#VALUE!</v>
      </c>
      <c r="AK86" s="126" t="e">
        <f t="shared" ca="1" si="20"/>
        <v>#VALUE!</v>
      </c>
      <c r="AL86" s="126" t="e">
        <f t="shared" ca="1" si="20"/>
        <v>#VALUE!</v>
      </c>
      <c r="AM86" s="126" t="e">
        <f t="shared" ca="1" si="20"/>
        <v>#VALUE!</v>
      </c>
      <c r="AN86" s="126" t="e">
        <f t="shared" ca="1" si="20"/>
        <v>#VALUE!</v>
      </c>
      <c r="AO86" s="126" t="e">
        <f t="shared" ca="1" si="20"/>
        <v>#VALUE!</v>
      </c>
      <c r="AP86" s="126" t="e">
        <f t="shared" ca="1" si="20"/>
        <v>#VALUE!</v>
      </c>
      <c r="AQ86" s="126" t="e">
        <f t="shared" ca="1" si="20"/>
        <v>#VALUE!</v>
      </c>
      <c r="AR86" s="126" t="e">
        <f t="shared" ca="1" si="20"/>
        <v>#VALUE!</v>
      </c>
      <c r="AS86" s="126" t="e">
        <f t="shared" ca="1" si="20"/>
        <v>#VALUE!</v>
      </c>
      <c r="AT86" s="126" t="e">
        <f t="shared" ca="1" si="20"/>
        <v>#VALUE!</v>
      </c>
      <c r="AU86" s="126" t="e">
        <f t="shared" ca="1" si="20"/>
        <v>#VALUE!</v>
      </c>
    </row>
    <row r="87" spans="2:47" x14ac:dyDescent="0.25">
      <c r="B87" t="s">
        <v>537</v>
      </c>
      <c r="C87" s="126" t="e">
        <f t="shared" ca="1" si="21"/>
        <v>#VALUE!</v>
      </c>
      <c r="D87" s="126" t="e">
        <f t="shared" ca="1" si="21"/>
        <v>#VALUE!</v>
      </c>
      <c r="E87" s="126" t="e">
        <f t="shared" ca="1" si="21"/>
        <v>#VALUE!</v>
      </c>
      <c r="F87" s="126" t="e">
        <f t="shared" ca="1" si="21"/>
        <v>#VALUE!</v>
      </c>
      <c r="G87" s="126" t="e">
        <f t="shared" ca="1" si="21"/>
        <v>#VALUE!</v>
      </c>
      <c r="H87" s="126" t="e">
        <f t="shared" ca="1" si="21"/>
        <v>#VALUE!</v>
      </c>
      <c r="I87" s="126" t="e">
        <f t="shared" ca="1" si="21"/>
        <v>#VALUE!</v>
      </c>
      <c r="J87" s="126" t="e">
        <f t="shared" ca="1" si="21"/>
        <v>#VALUE!</v>
      </c>
      <c r="K87" s="126" t="e">
        <f t="shared" ca="1" si="21"/>
        <v>#VALUE!</v>
      </c>
      <c r="L87" s="126" t="e">
        <f t="shared" ca="1" si="18"/>
        <v>#VALUE!</v>
      </c>
      <c r="M87" s="126" t="e">
        <f t="shared" ca="1" si="20"/>
        <v>#VALUE!</v>
      </c>
      <c r="N87" s="126" t="e">
        <f t="shared" ca="1" si="20"/>
        <v>#VALUE!</v>
      </c>
      <c r="O87" s="126" t="e">
        <f t="shared" ca="1" si="20"/>
        <v>#VALUE!</v>
      </c>
      <c r="P87" s="126" t="e">
        <f t="shared" ca="1" si="20"/>
        <v>#VALUE!</v>
      </c>
      <c r="Q87" s="126" t="e">
        <f t="shared" ca="1" si="20"/>
        <v>#VALUE!</v>
      </c>
      <c r="R87" s="126" t="e">
        <f t="shared" ca="1" si="20"/>
        <v>#VALUE!</v>
      </c>
      <c r="S87" s="126" t="e">
        <f t="shared" ca="1" si="20"/>
        <v>#VALUE!</v>
      </c>
      <c r="T87" s="126" t="e">
        <f t="shared" ca="1" si="20"/>
        <v>#VALUE!</v>
      </c>
      <c r="U87" s="126" t="e">
        <f t="shared" ca="1" si="20"/>
        <v>#VALUE!</v>
      </c>
      <c r="V87" s="126" t="e">
        <f t="shared" ca="1" si="20"/>
        <v>#VALUE!</v>
      </c>
      <c r="W87" s="126" t="e">
        <f t="shared" ca="1" si="20"/>
        <v>#VALUE!</v>
      </c>
      <c r="X87" s="126" t="e">
        <f t="shared" ca="1" si="20"/>
        <v>#VALUE!</v>
      </c>
      <c r="Y87" s="126" t="e">
        <f t="shared" ca="1" si="20"/>
        <v>#VALUE!</v>
      </c>
      <c r="Z87" s="126" t="e">
        <f t="shared" ca="1" si="20"/>
        <v>#VALUE!</v>
      </c>
      <c r="AA87" s="126" t="e">
        <f t="shared" ca="1" si="20"/>
        <v>#VALUE!</v>
      </c>
      <c r="AB87" s="126" t="e">
        <f t="shared" ca="1" si="20"/>
        <v>#VALUE!</v>
      </c>
      <c r="AC87" s="126" t="e">
        <f t="shared" ca="1" si="20"/>
        <v>#VALUE!</v>
      </c>
      <c r="AD87" s="126" t="e">
        <f t="shared" ca="1" si="20"/>
        <v>#VALUE!</v>
      </c>
      <c r="AE87" s="126" t="e">
        <f t="shared" ca="1" si="20"/>
        <v>#VALUE!</v>
      </c>
      <c r="AF87" s="126" t="e">
        <f t="shared" ca="1" si="20"/>
        <v>#VALUE!</v>
      </c>
      <c r="AG87" s="126" t="e">
        <f t="shared" ca="1" si="20"/>
        <v>#VALUE!</v>
      </c>
      <c r="AH87" s="126" t="e">
        <f t="shared" ca="1" si="20"/>
        <v>#VALUE!</v>
      </c>
      <c r="AI87" s="126" t="e">
        <f t="shared" ca="1" si="20"/>
        <v>#VALUE!</v>
      </c>
      <c r="AJ87" s="126" t="e">
        <f t="shared" ca="1" si="20"/>
        <v>#VALUE!</v>
      </c>
      <c r="AK87" s="126" t="e">
        <f t="shared" ca="1" si="20"/>
        <v>#VALUE!</v>
      </c>
      <c r="AL87" s="126" t="e">
        <f t="shared" ca="1" si="20"/>
        <v>#VALUE!</v>
      </c>
      <c r="AM87" s="126" t="e">
        <f t="shared" ca="1" si="20"/>
        <v>#VALUE!</v>
      </c>
      <c r="AN87" s="126" t="e">
        <f t="shared" ca="1" si="20"/>
        <v>#VALUE!</v>
      </c>
      <c r="AO87" s="126" t="e">
        <f t="shared" ca="1" si="20"/>
        <v>#VALUE!</v>
      </c>
      <c r="AP87" s="126" t="e">
        <f t="shared" ca="1" si="20"/>
        <v>#VALUE!</v>
      </c>
      <c r="AQ87" s="126" t="e">
        <f t="shared" ca="1" si="20"/>
        <v>#VALUE!</v>
      </c>
      <c r="AR87" s="126" t="e">
        <f t="shared" ca="1" si="20"/>
        <v>#VALUE!</v>
      </c>
      <c r="AS87" s="126" t="e">
        <f t="shared" ca="1" si="20"/>
        <v>#VALUE!</v>
      </c>
      <c r="AT87" s="126" t="e">
        <f t="shared" ca="1" si="20"/>
        <v>#VALUE!</v>
      </c>
      <c r="AU87" s="126" t="e">
        <f t="shared" ca="1" si="20"/>
        <v>#VALUE!</v>
      </c>
    </row>
    <row r="88" spans="2:47" x14ac:dyDescent="0.25">
      <c r="B88" t="s">
        <v>538</v>
      </c>
      <c r="C88" s="126" t="e">
        <f t="shared" ca="1" si="21"/>
        <v>#VALUE!</v>
      </c>
      <c r="D88" s="126" t="e">
        <f t="shared" ca="1" si="21"/>
        <v>#VALUE!</v>
      </c>
      <c r="E88" s="126" t="e">
        <f t="shared" ca="1" si="21"/>
        <v>#VALUE!</v>
      </c>
      <c r="F88" s="126" t="e">
        <f t="shared" ca="1" si="21"/>
        <v>#VALUE!</v>
      </c>
      <c r="G88" s="126" t="e">
        <f t="shared" ca="1" si="21"/>
        <v>#VALUE!</v>
      </c>
      <c r="H88" s="126" t="e">
        <f t="shared" ca="1" si="21"/>
        <v>#VALUE!</v>
      </c>
      <c r="I88" s="126" t="e">
        <f t="shared" ca="1" si="21"/>
        <v>#VALUE!</v>
      </c>
      <c r="J88" s="126" t="e">
        <f t="shared" ca="1" si="21"/>
        <v>#VALUE!</v>
      </c>
      <c r="K88" s="126" t="e">
        <f t="shared" ca="1" si="21"/>
        <v>#VALUE!</v>
      </c>
      <c r="L88" s="126" t="e">
        <f t="shared" ca="1" si="18"/>
        <v>#VALUE!</v>
      </c>
      <c r="M88" s="126" t="e">
        <f t="shared" ca="1" si="20"/>
        <v>#VALUE!</v>
      </c>
      <c r="N88" s="126" t="e">
        <f t="shared" ca="1" si="20"/>
        <v>#VALUE!</v>
      </c>
      <c r="O88" s="126" t="e">
        <f t="shared" ca="1" si="20"/>
        <v>#VALUE!</v>
      </c>
      <c r="P88" s="126" t="e">
        <f t="shared" ca="1" si="20"/>
        <v>#VALUE!</v>
      </c>
      <c r="Q88" s="126" t="e">
        <f t="shared" ca="1" si="20"/>
        <v>#VALUE!</v>
      </c>
      <c r="R88" s="126" t="e">
        <f t="shared" ca="1" si="20"/>
        <v>#VALUE!</v>
      </c>
      <c r="S88" s="126" t="e">
        <f t="shared" ca="1" si="20"/>
        <v>#VALUE!</v>
      </c>
      <c r="T88" s="126" t="e">
        <f t="shared" ca="1" si="20"/>
        <v>#VALUE!</v>
      </c>
      <c r="U88" s="126" t="e">
        <f t="shared" ca="1" si="20"/>
        <v>#VALUE!</v>
      </c>
      <c r="V88" s="126" t="e">
        <f t="shared" ca="1" si="20"/>
        <v>#VALUE!</v>
      </c>
      <c r="W88" s="126" t="e">
        <f t="shared" ca="1" si="20"/>
        <v>#VALUE!</v>
      </c>
      <c r="X88" s="126" t="e">
        <f t="shared" ca="1" si="20"/>
        <v>#VALUE!</v>
      </c>
      <c r="Y88" s="126" t="e">
        <f t="shared" ca="1" si="20"/>
        <v>#VALUE!</v>
      </c>
      <c r="Z88" s="126" t="e">
        <f t="shared" ca="1" si="20"/>
        <v>#VALUE!</v>
      </c>
      <c r="AA88" s="126" t="e">
        <f t="shared" ca="1" si="20"/>
        <v>#VALUE!</v>
      </c>
      <c r="AB88" s="126" t="e">
        <f t="shared" ca="1" si="20"/>
        <v>#VALUE!</v>
      </c>
      <c r="AC88" s="126" t="e">
        <f t="shared" ca="1" si="20"/>
        <v>#VALUE!</v>
      </c>
      <c r="AD88" s="126" t="e">
        <f t="shared" ca="1" si="20"/>
        <v>#VALUE!</v>
      </c>
      <c r="AE88" s="126" t="e">
        <f t="shared" ca="1" si="20"/>
        <v>#VALUE!</v>
      </c>
      <c r="AF88" s="126" t="e">
        <f t="shared" ca="1" si="20"/>
        <v>#VALUE!</v>
      </c>
      <c r="AG88" s="126" t="e">
        <f t="shared" ca="1" si="20"/>
        <v>#VALUE!</v>
      </c>
      <c r="AH88" s="126" t="e">
        <f t="shared" ca="1" si="20"/>
        <v>#VALUE!</v>
      </c>
      <c r="AI88" s="126" t="e">
        <f t="shared" ca="1" si="20"/>
        <v>#VALUE!</v>
      </c>
      <c r="AJ88" s="126" t="e">
        <f t="shared" ca="1" si="20"/>
        <v>#VALUE!</v>
      </c>
      <c r="AK88" s="126" t="e">
        <f t="shared" ca="1" si="20"/>
        <v>#VALUE!</v>
      </c>
      <c r="AL88" s="126" t="e">
        <f t="shared" ca="1" si="20"/>
        <v>#VALUE!</v>
      </c>
      <c r="AM88" s="126" t="e">
        <f t="shared" ca="1" si="20"/>
        <v>#VALUE!</v>
      </c>
      <c r="AN88" s="126" t="e">
        <f t="shared" ca="1" si="20"/>
        <v>#VALUE!</v>
      </c>
      <c r="AO88" s="126" t="e">
        <f t="shared" ca="1" si="20"/>
        <v>#VALUE!</v>
      </c>
      <c r="AP88" s="126" t="e">
        <f t="shared" ca="1" si="20"/>
        <v>#VALUE!</v>
      </c>
      <c r="AQ88" s="126" t="e">
        <f t="shared" ca="1" si="20"/>
        <v>#VALUE!</v>
      </c>
      <c r="AR88" s="126" t="e">
        <f t="shared" ca="1" si="20"/>
        <v>#VALUE!</v>
      </c>
      <c r="AS88" s="126" t="e">
        <f t="shared" ca="1" si="20"/>
        <v>#VALUE!</v>
      </c>
      <c r="AT88" s="126" t="e">
        <f t="shared" ca="1" si="20"/>
        <v>#VALUE!</v>
      </c>
      <c r="AU88" s="126" t="e">
        <f t="shared" ca="1" si="20"/>
        <v>#VALUE!</v>
      </c>
    </row>
    <row r="89" spans="2:47" x14ac:dyDescent="0.25">
      <c r="B89" t="s">
        <v>539</v>
      </c>
      <c r="C89" s="126" t="e">
        <f t="shared" ca="1" si="21"/>
        <v>#VALUE!</v>
      </c>
      <c r="D89" s="126" t="e">
        <f t="shared" ca="1" si="21"/>
        <v>#VALUE!</v>
      </c>
      <c r="E89" s="126" t="e">
        <f t="shared" ca="1" si="21"/>
        <v>#VALUE!</v>
      </c>
      <c r="F89" s="126" t="e">
        <f t="shared" ca="1" si="21"/>
        <v>#VALUE!</v>
      </c>
      <c r="G89" s="126" t="e">
        <f t="shared" ca="1" si="21"/>
        <v>#VALUE!</v>
      </c>
      <c r="H89" s="126" t="e">
        <f t="shared" ca="1" si="21"/>
        <v>#VALUE!</v>
      </c>
      <c r="I89" s="126" t="e">
        <f t="shared" ca="1" si="21"/>
        <v>#VALUE!</v>
      </c>
      <c r="J89" s="126" t="e">
        <f t="shared" ca="1" si="21"/>
        <v>#VALUE!</v>
      </c>
      <c r="K89" s="126" t="e">
        <f t="shared" ca="1" si="21"/>
        <v>#VALUE!</v>
      </c>
      <c r="L89" s="126" t="e">
        <f t="shared" ca="1" si="18"/>
        <v>#VALUE!</v>
      </c>
      <c r="M89" s="126" t="e">
        <f t="shared" ca="1" si="20"/>
        <v>#VALUE!</v>
      </c>
      <c r="N89" s="126" t="e">
        <f t="shared" ca="1" si="20"/>
        <v>#VALUE!</v>
      </c>
      <c r="O89" s="126" t="e">
        <f t="shared" ca="1" si="20"/>
        <v>#VALUE!</v>
      </c>
      <c r="P89" s="126" t="e">
        <f t="shared" ca="1" si="20"/>
        <v>#VALUE!</v>
      </c>
      <c r="Q89" s="126" t="e">
        <f t="shared" ca="1" si="20"/>
        <v>#VALUE!</v>
      </c>
      <c r="R89" s="126" t="e">
        <f t="shared" ca="1" si="20"/>
        <v>#VALUE!</v>
      </c>
      <c r="S89" s="126" t="e">
        <f t="shared" ca="1" si="20"/>
        <v>#VALUE!</v>
      </c>
      <c r="T89" s="126" t="e">
        <f t="shared" ca="1" si="20"/>
        <v>#VALUE!</v>
      </c>
      <c r="U89" s="126" t="e">
        <f t="shared" ca="1" si="20"/>
        <v>#VALUE!</v>
      </c>
      <c r="V89" s="126" t="e">
        <f t="shared" ca="1" si="20"/>
        <v>#VALUE!</v>
      </c>
      <c r="W89" s="126" t="e">
        <f t="shared" ca="1" si="20"/>
        <v>#VALUE!</v>
      </c>
      <c r="X89" s="126" t="e">
        <f t="shared" ca="1" si="20"/>
        <v>#VALUE!</v>
      </c>
      <c r="Y89" s="126" t="e">
        <f t="shared" ca="1" si="20"/>
        <v>#VALUE!</v>
      </c>
      <c r="Z89" s="126" t="e">
        <f t="shared" ca="1" si="20"/>
        <v>#VALUE!</v>
      </c>
      <c r="AA89" s="126" t="e">
        <f t="shared" ca="1" si="20"/>
        <v>#VALUE!</v>
      </c>
      <c r="AB89" s="126" t="e">
        <f t="shared" ca="1" si="20"/>
        <v>#VALUE!</v>
      </c>
      <c r="AC89" s="126" t="e">
        <f t="shared" ca="1" si="20"/>
        <v>#VALUE!</v>
      </c>
      <c r="AD89" s="126" t="e">
        <f t="shared" ca="1" si="20"/>
        <v>#VALUE!</v>
      </c>
      <c r="AE89" s="126" t="e">
        <f t="shared" ca="1" si="20"/>
        <v>#VALUE!</v>
      </c>
      <c r="AF89" s="126" t="e">
        <f t="shared" ca="1" si="20"/>
        <v>#VALUE!</v>
      </c>
      <c r="AG89" s="126" t="e">
        <f t="shared" ca="1" si="20"/>
        <v>#VALUE!</v>
      </c>
      <c r="AH89" s="126" t="e">
        <f t="shared" ca="1" si="20"/>
        <v>#VALUE!</v>
      </c>
      <c r="AI89" s="126" t="e">
        <f t="shared" ca="1" si="20"/>
        <v>#VALUE!</v>
      </c>
      <c r="AJ89" s="126" t="e">
        <f t="shared" ca="1" si="20"/>
        <v>#VALUE!</v>
      </c>
      <c r="AK89" s="126" t="e">
        <f t="shared" ca="1" si="20"/>
        <v>#VALUE!</v>
      </c>
      <c r="AL89" s="126" t="e">
        <f t="shared" ca="1" si="20"/>
        <v>#VALUE!</v>
      </c>
      <c r="AM89" s="126" t="e">
        <f t="shared" ca="1" si="20"/>
        <v>#VALUE!</v>
      </c>
      <c r="AN89" s="126" t="e">
        <f t="shared" ca="1" si="20"/>
        <v>#VALUE!</v>
      </c>
      <c r="AO89" s="126" t="e">
        <f t="shared" ca="1" si="20"/>
        <v>#VALUE!</v>
      </c>
      <c r="AP89" s="126" t="e">
        <f t="shared" ca="1" si="20"/>
        <v>#VALUE!</v>
      </c>
      <c r="AQ89" s="126" t="e">
        <f t="shared" ca="1" si="20"/>
        <v>#VALUE!</v>
      </c>
      <c r="AR89" s="126" t="e">
        <f t="shared" ca="1" si="20"/>
        <v>#VALUE!</v>
      </c>
      <c r="AS89" s="126" t="e">
        <f t="shared" ca="1" si="20"/>
        <v>#VALUE!</v>
      </c>
      <c r="AT89" s="126" t="e">
        <f t="shared" ca="1" si="20"/>
        <v>#VALUE!</v>
      </c>
      <c r="AU89" s="126" t="e">
        <f t="shared" ca="1" si="20"/>
        <v>#VALUE!</v>
      </c>
    </row>
    <row r="90" spans="2:47" x14ac:dyDescent="0.25">
      <c r="B90" t="s">
        <v>540</v>
      </c>
      <c r="C90" s="126" t="e">
        <f t="shared" ca="1" si="21"/>
        <v>#VALUE!</v>
      </c>
      <c r="D90" s="126" t="e">
        <f t="shared" ca="1" si="21"/>
        <v>#VALUE!</v>
      </c>
      <c r="E90" s="126" t="e">
        <f t="shared" ca="1" si="21"/>
        <v>#VALUE!</v>
      </c>
      <c r="F90" s="126" t="e">
        <f t="shared" ca="1" si="21"/>
        <v>#VALUE!</v>
      </c>
      <c r="G90" s="126" t="e">
        <f t="shared" ca="1" si="21"/>
        <v>#VALUE!</v>
      </c>
      <c r="H90" s="126" t="e">
        <f t="shared" ca="1" si="21"/>
        <v>#VALUE!</v>
      </c>
      <c r="I90" s="126" t="e">
        <f t="shared" ca="1" si="21"/>
        <v>#VALUE!</v>
      </c>
      <c r="J90" s="126" t="e">
        <f t="shared" ca="1" si="21"/>
        <v>#VALUE!</v>
      </c>
      <c r="K90" s="126" t="e">
        <f t="shared" ca="1" si="21"/>
        <v>#VALUE!</v>
      </c>
      <c r="L90" s="126" t="e">
        <f t="shared" ca="1" si="18"/>
        <v>#VALUE!</v>
      </c>
      <c r="M90" s="126" t="e">
        <f t="shared" ca="1" si="20"/>
        <v>#VALUE!</v>
      </c>
      <c r="N90" s="126" t="e">
        <f t="shared" ca="1" si="20"/>
        <v>#VALUE!</v>
      </c>
      <c r="O90" s="126" t="e">
        <f t="shared" ca="1" si="20"/>
        <v>#VALUE!</v>
      </c>
      <c r="P90" s="126" t="e">
        <f t="shared" ca="1" si="20"/>
        <v>#VALUE!</v>
      </c>
      <c r="Q90" s="126" t="e">
        <f t="shared" ca="1" si="20"/>
        <v>#VALUE!</v>
      </c>
      <c r="R90" s="126" t="e">
        <f t="shared" ca="1" si="20"/>
        <v>#VALUE!</v>
      </c>
      <c r="S90" s="126" t="e">
        <f t="shared" ca="1" si="20"/>
        <v>#VALUE!</v>
      </c>
      <c r="T90" s="126" t="e">
        <f t="shared" ca="1" si="20"/>
        <v>#VALUE!</v>
      </c>
      <c r="U90" s="126" t="e">
        <f t="shared" ca="1" si="20"/>
        <v>#VALUE!</v>
      </c>
      <c r="V90" s="126" t="e">
        <f t="shared" ca="1" si="20"/>
        <v>#VALUE!</v>
      </c>
      <c r="W90" s="126" t="e">
        <f t="shared" ca="1" si="20"/>
        <v>#VALUE!</v>
      </c>
      <c r="X90" s="126" t="e">
        <f t="shared" ca="1" si="20"/>
        <v>#VALUE!</v>
      </c>
      <c r="Y90" s="126" t="e">
        <f t="shared" ca="1" si="20"/>
        <v>#VALUE!</v>
      </c>
      <c r="Z90" s="126" t="e">
        <f t="shared" ca="1" si="20"/>
        <v>#VALUE!</v>
      </c>
      <c r="AA90" s="126" t="e">
        <f t="shared" ca="1" si="20"/>
        <v>#VALUE!</v>
      </c>
      <c r="AB90" s="126" t="e">
        <f t="shared" ca="1" si="20"/>
        <v>#VALUE!</v>
      </c>
      <c r="AC90" s="126" t="e">
        <f t="shared" ca="1" si="20"/>
        <v>#VALUE!</v>
      </c>
      <c r="AD90" s="126" t="e">
        <f t="shared" ca="1" si="20"/>
        <v>#VALUE!</v>
      </c>
      <c r="AE90" s="126" t="e">
        <f t="shared" ca="1" si="20"/>
        <v>#VALUE!</v>
      </c>
      <c r="AF90" s="126" t="e">
        <f t="shared" ca="1" si="20"/>
        <v>#VALUE!</v>
      </c>
      <c r="AG90" s="126" t="e">
        <f t="shared" ca="1" si="20"/>
        <v>#VALUE!</v>
      </c>
      <c r="AH90" s="126" t="e">
        <f t="shared" ca="1" si="20"/>
        <v>#VALUE!</v>
      </c>
      <c r="AI90" s="126" t="e">
        <f t="shared" ca="1" si="20"/>
        <v>#VALUE!</v>
      </c>
      <c r="AJ90" s="126" t="e">
        <f t="shared" ca="1" si="20"/>
        <v>#VALUE!</v>
      </c>
      <c r="AK90" s="126" t="e">
        <f t="shared" ca="1" si="20"/>
        <v>#VALUE!</v>
      </c>
      <c r="AL90" s="126" t="e">
        <f t="shared" ca="1" si="20"/>
        <v>#VALUE!</v>
      </c>
      <c r="AM90" s="126" t="e">
        <f t="shared" ca="1" si="20"/>
        <v>#VALUE!</v>
      </c>
      <c r="AN90" s="126" t="e">
        <f t="shared" ca="1" si="20"/>
        <v>#VALUE!</v>
      </c>
      <c r="AO90" s="126" t="e">
        <f t="shared" ca="1" si="20"/>
        <v>#VALUE!</v>
      </c>
      <c r="AP90" s="126" t="e">
        <f t="shared" ca="1" si="20"/>
        <v>#VALUE!</v>
      </c>
      <c r="AQ90" s="126" t="e">
        <f t="shared" ca="1" si="20"/>
        <v>#VALUE!</v>
      </c>
      <c r="AR90" s="126" t="e">
        <f t="shared" ca="1" si="20"/>
        <v>#VALUE!</v>
      </c>
      <c r="AS90" s="126" t="e">
        <f t="shared" ca="1" si="20"/>
        <v>#VALUE!</v>
      </c>
      <c r="AT90" s="126" t="e">
        <f t="shared" ca="1" si="20"/>
        <v>#VALUE!</v>
      </c>
      <c r="AU90" s="126" t="e">
        <f t="shared" ca="1" si="20"/>
        <v>#VALUE!</v>
      </c>
    </row>
    <row r="91" spans="2:47" x14ac:dyDescent="0.25">
      <c r="B91" t="s">
        <v>541</v>
      </c>
      <c r="C91" s="126" t="e">
        <f t="shared" ca="1" si="21"/>
        <v>#VALUE!</v>
      </c>
      <c r="D91" s="126" t="e">
        <f t="shared" ca="1" si="21"/>
        <v>#VALUE!</v>
      </c>
      <c r="E91" s="126" t="e">
        <f t="shared" ca="1" si="21"/>
        <v>#VALUE!</v>
      </c>
      <c r="F91" s="126" t="e">
        <f t="shared" ca="1" si="21"/>
        <v>#VALUE!</v>
      </c>
      <c r="G91" s="126" t="e">
        <f t="shared" ca="1" si="21"/>
        <v>#VALUE!</v>
      </c>
      <c r="H91" s="126" t="e">
        <f t="shared" ca="1" si="21"/>
        <v>#VALUE!</v>
      </c>
      <c r="I91" s="126" t="e">
        <f t="shared" ca="1" si="21"/>
        <v>#VALUE!</v>
      </c>
      <c r="J91" s="126" t="e">
        <f t="shared" ca="1" si="21"/>
        <v>#VALUE!</v>
      </c>
      <c r="K91" s="126" t="e">
        <f t="shared" ca="1" si="21"/>
        <v>#VALUE!</v>
      </c>
      <c r="L91" s="126" t="e">
        <f t="shared" ca="1" si="18"/>
        <v>#VALUE!</v>
      </c>
      <c r="M91" s="126" t="e">
        <f t="shared" ca="1" si="20"/>
        <v>#VALUE!</v>
      </c>
      <c r="N91" s="126" t="e">
        <f t="shared" ca="1" si="20"/>
        <v>#VALUE!</v>
      </c>
      <c r="O91" s="126" t="e">
        <f t="shared" ca="1" si="20"/>
        <v>#VALUE!</v>
      </c>
      <c r="P91" s="126" t="e">
        <f t="shared" ca="1" si="20"/>
        <v>#VALUE!</v>
      </c>
      <c r="Q91" s="126" t="e">
        <f t="shared" ca="1" si="20"/>
        <v>#VALUE!</v>
      </c>
      <c r="R91" s="126" t="e">
        <f t="shared" ca="1" si="20"/>
        <v>#VALUE!</v>
      </c>
      <c r="S91" s="126" t="e">
        <f t="shared" ca="1" si="20"/>
        <v>#VALUE!</v>
      </c>
      <c r="T91" s="126" t="e">
        <f t="shared" ca="1" si="20"/>
        <v>#VALUE!</v>
      </c>
      <c r="U91" s="126" t="e">
        <f t="shared" ca="1" si="20"/>
        <v>#VALUE!</v>
      </c>
      <c r="V91" s="126" t="e">
        <f t="shared" ca="1" si="20"/>
        <v>#VALUE!</v>
      </c>
      <c r="W91" s="126" t="e">
        <f t="shared" ref="M91:AU98" ca="1" si="22">Output("SCEN_ADEMEhaut",$B91,W$1)</f>
        <v>#VALUE!</v>
      </c>
      <c r="X91" s="126" t="e">
        <f t="shared" ca="1" si="22"/>
        <v>#VALUE!</v>
      </c>
      <c r="Y91" s="126" t="e">
        <f t="shared" ca="1" si="22"/>
        <v>#VALUE!</v>
      </c>
      <c r="Z91" s="126" t="e">
        <f t="shared" ca="1" si="22"/>
        <v>#VALUE!</v>
      </c>
      <c r="AA91" s="126" t="e">
        <f t="shared" ca="1" si="22"/>
        <v>#VALUE!</v>
      </c>
      <c r="AB91" s="126" t="e">
        <f t="shared" ca="1" si="22"/>
        <v>#VALUE!</v>
      </c>
      <c r="AC91" s="126" t="e">
        <f t="shared" ca="1" si="22"/>
        <v>#VALUE!</v>
      </c>
      <c r="AD91" s="126" t="e">
        <f t="shared" ca="1" si="22"/>
        <v>#VALUE!</v>
      </c>
      <c r="AE91" s="126" t="e">
        <f t="shared" ca="1" si="22"/>
        <v>#VALUE!</v>
      </c>
      <c r="AF91" s="126" t="e">
        <f t="shared" ca="1" si="22"/>
        <v>#VALUE!</v>
      </c>
      <c r="AG91" s="126" t="e">
        <f t="shared" ca="1" si="22"/>
        <v>#VALUE!</v>
      </c>
      <c r="AH91" s="126" t="e">
        <f t="shared" ca="1" si="22"/>
        <v>#VALUE!</v>
      </c>
      <c r="AI91" s="126" t="e">
        <f t="shared" ca="1" si="22"/>
        <v>#VALUE!</v>
      </c>
      <c r="AJ91" s="126" t="e">
        <f t="shared" ca="1" si="22"/>
        <v>#VALUE!</v>
      </c>
      <c r="AK91" s="126" t="e">
        <f t="shared" ca="1" si="22"/>
        <v>#VALUE!</v>
      </c>
      <c r="AL91" s="126" t="e">
        <f t="shared" ca="1" si="22"/>
        <v>#VALUE!</v>
      </c>
      <c r="AM91" s="126" t="e">
        <f t="shared" ca="1" si="22"/>
        <v>#VALUE!</v>
      </c>
      <c r="AN91" s="126" t="e">
        <f t="shared" ca="1" si="22"/>
        <v>#VALUE!</v>
      </c>
      <c r="AO91" s="126" t="e">
        <f t="shared" ca="1" si="22"/>
        <v>#VALUE!</v>
      </c>
      <c r="AP91" s="126" t="e">
        <f t="shared" ca="1" si="22"/>
        <v>#VALUE!</v>
      </c>
      <c r="AQ91" s="126" t="e">
        <f t="shared" ca="1" si="22"/>
        <v>#VALUE!</v>
      </c>
      <c r="AR91" s="126" t="e">
        <f t="shared" ca="1" si="22"/>
        <v>#VALUE!</v>
      </c>
      <c r="AS91" s="126" t="e">
        <f t="shared" ca="1" si="22"/>
        <v>#VALUE!</v>
      </c>
      <c r="AT91" s="126" t="e">
        <f t="shared" ca="1" si="22"/>
        <v>#VALUE!</v>
      </c>
      <c r="AU91" s="126" t="e">
        <f t="shared" ca="1" si="22"/>
        <v>#VALUE!</v>
      </c>
    </row>
    <row r="92" spans="2:47" x14ac:dyDescent="0.25">
      <c r="B92" t="s">
        <v>542</v>
      </c>
      <c r="C92" s="126" t="e">
        <f t="shared" ca="1" si="21"/>
        <v>#VALUE!</v>
      </c>
      <c r="D92" s="126" t="e">
        <f t="shared" ca="1" si="21"/>
        <v>#VALUE!</v>
      </c>
      <c r="E92" s="126" t="e">
        <f t="shared" ca="1" si="21"/>
        <v>#VALUE!</v>
      </c>
      <c r="F92" s="126" t="e">
        <f t="shared" ca="1" si="21"/>
        <v>#VALUE!</v>
      </c>
      <c r="G92" s="126" t="e">
        <f t="shared" ca="1" si="21"/>
        <v>#VALUE!</v>
      </c>
      <c r="H92" s="126" t="e">
        <f t="shared" ca="1" si="21"/>
        <v>#VALUE!</v>
      </c>
      <c r="I92" s="126" t="e">
        <f t="shared" ca="1" si="21"/>
        <v>#VALUE!</v>
      </c>
      <c r="J92" s="126" t="e">
        <f t="shared" ca="1" si="21"/>
        <v>#VALUE!</v>
      </c>
      <c r="K92" s="126" t="e">
        <f t="shared" ca="1" si="21"/>
        <v>#VALUE!</v>
      </c>
      <c r="L92" s="126" t="e">
        <f t="shared" ca="1" si="18"/>
        <v>#VALUE!</v>
      </c>
      <c r="M92" s="126" t="e">
        <f t="shared" ca="1" si="22"/>
        <v>#VALUE!</v>
      </c>
      <c r="N92" s="126" t="e">
        <f t="shared" ca="1" si="22"/>
        <v>#VALUE!</v>
      </c>
      <c r="O92" s="126" t="e">
        <f t="shared" ca="1" si="22"/>
        <v>#VALUE!</v>
      </c>
      <c r="P92" s="126" t="e">
        <f t="shared" ca="1" si="22"/>
        <v>#VALUE!</v>
      </c>
      <c r="Q92" s="126" t="e">
        <f t="shared" ca="1" si="22"/>
        <v>#VALUE!</v>
      </c>
      <c r="R92" s="126" t="e">
        <f t="shared" ca="1" si="22"/>
        <v>#VALUE!</v>
      </c>
      <c r="S92" s="126" t="e">
        <f t="shared" ca="1" si="22"/>
        <v>#VALUE!</v>
      </c>
      <c r="T92" s="126" t="e">
        <f t="shared" ca="1" si="22"/>
        <v>#VALUE!</v>
      </c>
      <c r="U92" s="126" t="e">
        <f t="shared" ca="1" si="22"/>
        <v>#VALUE!</v>
      </c>
      <c r="V92" s="126" t="e">
        <f t="shared" ca="1" si="22"/>
        <v>#VALUE!</v>
      </c>
      <c r="W92" s="126" t="e">
        <f t="shared" ca="1" si="22"/>
        <v>#VALUE!</v>
      </c>
      <c r="X92" s="126" t="e">
        <f t="shared" ca="1" si="22"/>
        <v>#VALUE!</v>
      </c>
      <c r="Y92" s="126" t="e">
        <f t="shared" ca="1" si="22"/>
        <v>#VALUE!</v>
      </c>
      <c r="Z92" s="126" t="e">
        <f t="shared" ca="1" si="22"/>
        <v>#VALUE!</v>
      </c>
      <c r="AA92" s="126" t="e">
        <f t="shared" ca="1" si="22"/>
        <v>#VALUE!</v>
      </c>
      <c r="AB92" s="126" t="e">
        <f t="shared" ca="1" si="22"/>
        <v>#VALUE!</v>
      </c>
      <c r="AC92" s="126" t="e">
        <f t="shared" ca="1" si="22"/>
        <v>#VALUE!</v>
      </c>
      <c r="AD92" s="126" t="e">
        <f t="shared" ca="1" si="22"/>
        <v>#VALUE!</v>
      </c>
      <c r="AE92" s="126" t="e">
        <f t="shared" ca="1" si="22"/>
        <v>#VALUE!</v>
      </c>
      <c r="AF92" s="126" t="e">
        <f t="shared" ca="1" si="22"/>
        <v>#VALUE!</v>
      </c>
      <c r="AG92" s="126" t="e">
        <f t="shared" ca="1" si="22"/>
        <v>#VALUE!</v>
      </c>
      <c r="AH92" s="126" t="e">
        <f t="shared" ca="1" si="22"/>
        <v>#VALUE!</v>
      </c>
      <c r="AI92" s="126" t="e">
        <f t="shared" ca="1" si="22"/>
        <v>#VALUE!</v>
      </c>
      <c r="AJ92" s="126" t="e">
        <f t="shared" ca="1" si="22"/>
        <v>#VALUE!</v>
      </c>
      <c r="AK92" s="126" t="e">
        <f t="shared" ca="1" si="22"/>
        <v>#VALUE!</v>
      </c>
      <c r="AL92" s="126" t="e">
        <f t="shared" ca="1" si="22"/>
        <v>#VALUE!</v>
      </c>
      <c r="AM92" s="126" t="e">
        <f t="shared" ca="1" si="22"/>
        <v>#VALUE!</v>
      </c>
      <c r="AN92" s="126" t="e">
        <f t="shared" ca="1" si="22"/>
        <v>#VALUE!</v>
      </c>
      <c r="AO92" s="126" t="e">
        <f t="shared" ca="1" si="22"/>
        <v>#VALUE!</v>
      </c>
      <c r="AP92" s="126" t="e">
        <f t="shared" ca="1" si="22"/>
        <v>#VALUE!</v>
      </c>
      <c r="AQ92" s="126" t="e">
        <f t="shared" ca="1" si="22"/>
        <v>#VALUE!</v>
      </c>
      <c r="AR92" s="126" t="e">
        <f t="shared" ca="1" si="22"/>
        <v>#VALUE!</v>
      </c>
      <c r="AS92" s="126" t="e">
        <f t="shared" ca="1" si="22"/>
        <v>#VALUE!</v>
      </c>
      <c r="AT92" s="126" t="e">
        <f t="shared" ca="1" si="22"/>
        <v>#VALUE!</v>
      </c>
      <c r="AU92" s="126" t="e">
        <f t="shared" ca="1" si="22"/>
        <v>#VALUE!</v>
      </c>
    </row>
    <row r="93" spans="2:47" x14ac:dyDescent="0.25">
      <c r="B93" t="s">
        <v>543</v>
      </c>
      <c r="C93" s="126" t="e">
        <f t="shared" ca="1" si="21"/>
        <v>#VALUE!</v>
      </c>
      <c r="D93" s="126" t="e">
        <f t="shared" ca="1" si="21"/>
        <v>#VALUE!</v>
      </c>
      <c r="E93" s="126" t="e">
        <f t="shared" ca="1" si="21"/>
        <v>#VALUE!</v>
      </c>
      <c r="F93" s="126" t="e">
        <f t="shared" ca="1" si="21"/>
        <v>#VALUE!</v>
      </c>
      <c r="G93" s="126" t="e">
        <f t="shared" ca="1" si="21"/>
        <v>#VALUE!</v>
      </c>
      <c r="H93" s="126" t="e">
        <f t="shared" ca="1" si="21"/>
        <v>#VALUE!</v>
      </c>
      <c r="I93" s="126" t="e">
        <f t="shared" ca="1" si="21"/>
        <v>#VALUE!</v>
      </c>
      <c r="J93" s="126" t="e">
        <f t="shared" ca="1" si="21"/>
        <v>#VALUE!</v>
      </c>
      <c r="K93" s="126" t="e">
        <f t="shared" ca="1" si="21"/>
        <v>#VALUE!</v>
      </c>
      <c r="L93" s="126" t="e">
        <f t="shared" ca="1" si="18"/>
        <v>#VALUE!</v>
      </c>
      <c r="M93" s="126" t="e">
        <f t="shared" ca="1" si="22"/>
        <v>#VALUE!</v>
      </c>
      <c r="N93" s="126" t="e">
        <f t="shared" ca="1" si="22"/>
        <v>#VALUE!</v>
      </c>
      <c r="O93" s="126" t="e">
        <f t="shared" ca="1" si="22"/>
        <v>#VALUE!</v>
      </c>
      <c r="P93" s="126" t="e">
        <f t="shared" ca="1" si="22"/>
        <v>#VALUE!</v>
      </c>
      <c r="Q93" s="126" t="e">
        <f t="shared" ca="1" si="22"/>
        <v>#VALUE!</v>
      </c>
      <c r="R93" s="126" t="e">
        <f t="shared" ca="1" si="22"/>
        <v>#VALUE!</v>
      </c>
      <c r="S93" s="126" t="e">
        <f t="shared" ca="1" si="22"/>
        <v>#VALUE!</v>
      </c>
      <c r="T93" s="126" t="e">
        <f t="shared" ca="1" si="22"/>
        <v>#VALUE!</v>
      </c>
      <c r="U93" s="126" t="e">
        <f t="shared" ca="1" si="22"/>
        <v>#VALUE!</v>
      </c>
      <c r="V93" s="126" t="e">
        <f t="shared" ca="1" si="22"/>
        <v>#VALUE!</v>
      </c>
      <c r="W93" s="126" t="e">
        <f t="shared" ca="1" si="22"/>
        <v>#VALUE!</v>
      </c>
      <c r="X93" s="126" t="e">
        <f t="shared" ca="1" si="22"/>
        <v>#VALUE!</v>
      </c>
      <c r="Y93" s="126" t="e">
        <f t="shared" ca="1" si="22"/>
        <v>#VALUE!</v>
      </c>
      <c r="Z93" s="126" t="e">
        <f t="shared" ca="1" si="22"/>
        <v>#VALUE!</v>
      </c>
      <c r="AA93" s="126" t="e">
        <f t="shared" ca="1" si="22"/>
        <v>#VALUE!</v>
      </c>
      <c r="AB93" s="126" t="e">
        <f t="shared" ca="1" si="22"/>
        <v>#VALUE!</v>
      </c>
      <c r="AC93" s="126" t="e">
        <f t="shared" ca="1" si="22"/>
        <v>#VALUE!</v>
      </c>
      <c r="AD93" s="126" t="e">
        <f t="shared" ca="1" si="22"/>
        <v>#VALUE!</v>
      </c>
      <c r="AE93" s="126" t="e">
        <f t="shared" ca="1" si="22"/>
        <v>#VALUE!</v>
      </c>
      <c r="AF93" s="126" t="e">
        <f t="shared" ca="1" si="22"/>
        <v>#VALUE!</v>
      </c>
      <c r="AG93" s="126" t="e">
        <f t="shared" ca="1" si="22"/>
        <v>#VALUE!</v>
      </c>
      <c r="AH93" s="126" t="e">
        <f t="shared" ca="1" si="22"/>
        <v>#VALUE!</v>
      </c>
      <c r="AI93" s="126" t="e">
        <f t="shared" ca="1" si="22"/>
        <v>#VALUE!</v>
      </c>
      <c r="AJ93" s="126" t="e">
        <f t="shared" ca="1" si="22"/>
        <v>#VALUE!</v>
      </c>
      <c r="AK93" s="126" t="e">
        <f t="shared" ca="1" si="22"/>
        <v>#VALUE!</v>
      </c>
      <c r="AL93" s="126" t="e">
        <f t="shared" ca="1" si="22"/>
        <v>#VALUE!</v>
      </c>
      <c r="AM93" s="126" t="e">
        <f t="shared" ca="1" si="22"/>
        <v>#VALUE!</v>
      </c>
      <c r="AN93" s="126" t="e">
        <f t="shared" ca="1" si="22"/>
        <v>#VALUE!</v>
      </c>
      <c r="AO93" s="126" t="e">
        <f t="shared" ca="1" si="22"/>
        <v>#VALUE!</v>
      </c>
      <c r="AP93" s="126" t="e">
        <f t="shared" ca="1" si="22"/>
        <v>#VALUE!</v>
      </c>
      <c r="AQ93" s="126" t="e">
        <f t="shared" ca="1" si="22"/>
        <v>#VALUE!</v>
      </c>
      <c r="AR93" s="126" t="e">
        <f t="shared" ca="1" si="22"/>
        <v>#VALUE!</v>
      </c>
      <c r="AS93" s="126" t="e">
        <f t="shared" ca="1" si="22"/>
        <v>#VALUE!</v>
      </c>
      <c r="AT93" s="126" t="e">
        <f t="shared" ca="1" si="22"/>
        <v>#VALUE!</v>
      </c>
      <c r="AU93" s="126" t="e">
        <f t="shared" ca="1" si="22"/>
        <v>#VALUE!</v>
      </c>
    </row>
    <row r="94" spans="2:47" x14ac:dyDescent="0.25">
      <c r="B94" t="s">
        <v>544</v>
      </c>
      <c r="C94" s="126" t="e">
        <f t="shared" ca="1" si="21"/>
        <v>#VALUE!</v>
      </c>
      <c r="D94" s="126" t="e">
        <f t="shared" ca="1" si="21"/>
        <v>#VALUE!</v>
      </c>
      <c r="E94" s="126" t="e">
        <f t="shared" ca="1" si="21"/>
        <v>#VALUE!</v>
      </c>
      <c r="F94" s="126" t="e">
        <f t="shared" ca="1" si="21"/>
        <v>#VALUE!</v>
      </c>
      <c r="G94" s="126" t="e">
        <f t="shared" ca="1" si="21"/>
        <v>#VALUE!</v>
      </c>
      <c r="H94" s="126" t="e">
        <f t="shared" ca="1" si="21"/>
        <v>#VALUE!</v>
      </c>
      <c r="I94" s="126" t="e">
        <f t="shared" ca="1" si="21"/>
        <v>#VALUE!</v>
      </c>
      <c r="J94" s="126" t="e">
        <f t="shared" ca="1" si="21"/>
        <v>#VALUE!</v>
      </c>
      <c r="K94" s="126" t="e">
        <f t="shared" ca="1" si="21"/>
        <v>#VALUE!</v>
      </c>
      <c r="L94" s="126" t="e">
        <f t="shared" ca="1" si="18"/>
        <v>#VALUE!</v>
      </c>
      <c r="M94" s="126" t="e">
        <f t="shared" ca="1" si="22"/>
        <v>#VALUE!</v>
      </c>
      <c r="N94" s="126" t="e">
        <f t="shared" ca="1" si="22"/>
        <v>#VALUE!</v>
      </c>
      <c r="O94" s="126" t="e">
        <f t="shared" ca="1" si="22"/>
        <v>#VALUE!</v>
      </c>
      <c r="P94" s="126" t="e">
        <f t="shared" ca="1" si="22"/>
        <v>#VALUE!</v>
      </c>
      <c r="Q94" s="126" t="e">
        <f t="shared" ca="1" si="22"/>
        <v>#VALUE!</v>
      </c>
      <c r="R94" s="126" t="e">
        <f t="shared" ca="1" si="22"/>
        <v>#VALUE!</v>
      </c>
      <c r="S94" s="126" t="e">
        <f t="shared" ca="1" si="22"/>
        <v>#VALUE!</v>
      </c>
      <c r="T94" s="126" t="e">
        <f t="shared" ca="1" si="22"/>
        <v>#VALUE!</v>
      </c>
      <c r="U94" s="126" t="e">
        <f t="shared" ca="1" si="22"/>
        <v>#VALUE!</v>
      </c>
      <c r="V94" s="126" t="e">
        <f t="shared" ca="1" si="22"/>
        <v>#VALUE!</v>
      </c>
      <c r="W94" s="126" t="e">
        <f t="shared" ca="1" si="22"/>
        <v>#VALUE!</v>
      </c>
      <c r="X94" s="126" t="e">
        <f t="shared" ca="1" si="22"/>
        <v>#VALUE!</v>
      </c>
      <c r="Y94" s="126" t="e">
        <f t="shared" ca="1" si="22"/>
        <v>#VALUE!</v>
      </c>
      <c r="Z94" s="126" t="e">
        <f t="shared" ca="1" si="22"/>
        <v>#VALUE!</v>
      </c>
      <c r="AA94" s="126" t="e">
        <f t="shared" ca="1" si="22"/>
        <v>#VALUE!</v>
      </c>
      <c r="AB94" s="126" t="e">
        <f t="shared" ca="1" si="22"/>
        <v>#VALUE!</v>
      </c>
      <c r="AC94" s="126" t="e">
        <f t="shared" ca="1" si="22"/>
        <v>#VALUE!</v>
      </c>
      <c r="AD94" s="126" t="e">
        <f t="shared" ca="1" si="22"/>
        <v>#VALUE!</v>
      </c>
      <c r="AE94" s="126" t="e">
        <f t="shared" ca="1" si="22"/>
        <v>#VALUE!</v>
      </c>
      <c r="AF94" s="126" t="e">
        <f t="shared" ca="1" si="22"/>
        <v>#VALUE!</v>
      </c>
      <c r="AG94" s="126" t="e">
        <f t="shared" ca="1" si="22"/>
        <v>#VALUE!</v>
      </c>
      <c r="AH94" s="126" t="e">
        <f t="shared" ca="1" si="22"/>
        <v>#VALUE!</v>
      </c>
      <c r="AI94" s="126" t="e">
        <f t="shared" ca="1" si="22"/>
        <v>#VALUE!</v>
      </c>
      <c r="AJ94" s="126" t="e">
        <f t="shared" ca="1" si="22"/>
        <v>#VALUE!</v>
      </c>
      <c r="AK94" s="126" t="e">
        <f t="shared" ca="1" si="22"/>
        <v>#VALUE!</v>
      </c>
      <c r="AL94" s="126" t="e">
        <f t="shared" ca="1" si="22"/>
        <v>#VALUE!</v>
      </c>
      <c r="AM94" s="126" t="e">
        <f t="shared" ca="1" si="22"/>
        <v>#VALUE!</v>
      </c>
      <c r="AN94" s="126" t="e">
        <f t="shared" ca="1" si="22"/>
        <v>#VALUE!</v>
      </c>
      <c r="AO94" s="126" t="e">
        <f t="shared" ca="1" si="22"/>
        <v>#VALUE!</v>
      </c>
      <c r="AP94" s="126" t="e">
        <f t="shared" ca="1" si="22"/>
        <v>#VALUE!</v>
      </c>
      <c r="AQ94" s="126" t="e">
        <f t="shared" ca="1" si="22"/>
        <v>#VALUE!</v>
      </c>
      <c r="AR94" s="126" t="e">
        <f t="shared" ca="1" si="22"/>
        <v>#VALUE!</v>
      </c>
      <c r="AS94" s="126" t="e">
        <f t="shared" ca="1" si="22"/>
        <v>#VALUE!</v>
      </c>
      <c r="AT94" s="126" t="e">
        <f t="shared" ca="1" si="22"/>
        <v>#VALUE!</v>
      </c>
      <c r="AU94" s="126" t="e">
        <f t="shared" ca="1" si="22"/>
        <v>#VALUE!</v>
      </c>
    </row>
    <row r="95" spans="2:47" x14ac:dyDescent="0.25">
      <c r="B95" t="s">
        <v>545</v>
      </c>
      <c r="C95" s="126" t="e">
        <f t="shared" ca="1" si="21"/>
        <v>#VALUE!</v>
      </c>
      <c r="D95" s="126" t="e">
        <f t="shared" ca="1" si="21"/>
        <v>#VALUE!</v>
      </c>
      <c r="E95" s="126" t="e">
        <f t="shared" ca="1" si="21"/>
        <v>#VALUE!</v>
      </c>
      <c r="F95" s="126" t="e">
        <f t="shared" ca="1" si="21"/>
        <v>#VALUE!</v>
      </c>
      <c r="G95" s="126" t="e">
        <f t="shared" ca="1" si="21"/>
        <v>#VALUE!</v>
      </c>
      <c r="H95" s="126" t="e">
        <f t="shared" ca="1" si="21"/>
        <v>#VALUE!</v>
      </c>
      <c r="I95" s="126" t="e">
        <f t="shared" ca="1" si="21"/>
        <v>#VALUE!</v>
      </c>
      <c r="J95" s="126" t="e">
        <f t="shared" ca="1" si="21"/>
        <v>#VALUE!</v>
      </c>
      <c r="K95" s="126" t="e">
        <f t="shared" ca="1" si="21"/>
        <v>#VALUE!</v>
      </c>
      <c r="L95" s="126" t="e">
        <f t="shared" ca="1" si="18"/>
        <v>#VALUE!</v>
      </c>
      <c r="M95" s="126" t="e">
        <f t="shared" ca="1" si="22"/>
        <v>#VALUE!</v>
      </c>
      <c r="N95" s="126" t="e">
        <f t="shared" ca="1" si="22"/>
        <v>#VALUE!</v>
      </c>
      <c r="O95" s="126" t="e">
        <f t="shared" ca="1" si="22"/>
        <v>#VALUE!</v>
      </c>
      <c r="P95" s="126" t="e">
        <f t="shared" ca="1" si="22"/>
        <v>#VALUE!</v>
      </c>
      <c r="Q95" s="126" t="e">
        <f t="shared" ca="1" si="22"/>
        <v>#VALUE!</v>
      </c>
      <c r="R95" s="126" t="e">
        <f t="shared" ca="1" si="22"/>
        <v>#VALUE!</v>
      </c>
      <c r="S95" s="126" t="e">
        <f t="shared" ca="1" si="22"/>
        <v>#VALUE!</v>
      </c>
      <c r="T95" s="126" t="e">
        <f t="shared" ca="1" si="22"/>
        <v>#VALUE!</v>
      </c>
      <c r="U95" s="126" t="e">
        <f t="shared" ca="1" si="22"/>
        <v>#VALUE!</v>
      </c>
      <c r="V95" s="126" t="e">
        <f t="shared" ca="1" si="22"/>
        <v>#VALUE!</v>
      </c>
      <c r="W95" s="126" t="e">
        <f t="shared" ca="1" si="22"/>
        <v>#VALUE!</v>
      </c>
      <c r="X95" s="126" t="e">
        <f t="shared" ca="1" si="22"/>
        <v>#VALUE!</v>
      </c>
      <c r="Y95" s="126" t="e">
        <f t="shared" ca="1" si="22"/>
        <v>#VALUE!</v>
      </c>
      <c r="Z95" s="126" t="e">
        <f t="shared" ca="1" si="22"/>
        <v>#VALUE!</v>
      </c>
      <c r="AA95" s="126" t="e">
        <f t="shared" ca="1" si="22"/>
        <v>#VALUE!</v>
      </c>
      <c r="AB95" s="126" t="e">
        <f t="shared" ca="1" si="22"/>
        <v>#VALUE!</v>
      </c>
      <c r="AC95" s="126" t="e">
        <f t="shared" ca="1" si="22"/>
        <v>#VALUE!</v>
      </c>
      <c r="AD95" s="126" t="e">
        <f t="shared" ca="1" si="22"/>
        <v>#VALUE!</v>
      </c>
      <c r="AE95" s="126" t="e">
        <f t="shared" ca="1" si="22"/>
        <v>#VALUE!</v>
      </c>
      <c r="AF95" s="126" t="e">
        <f t="shared" ca="1" si="22"/>
        <v>#VALUE!</v>
      </c>
      <c r="AG95" s="126" t="e">
        <f t="shared" ca="1" si="22"/>
        <v>#VALUE!</v>
      </c>
      <c r="AH95" s="126" t="e">
        <f t="shared" ca="1" si="22"/>
        <v>#VALUE!</v>
      </c>
      <c r="AI95" s="126" t="e">
        <f t="shared" ca="1" si="22"/>
        <v>#VALUE!</v>
      </c>
      <c r="AJ95" s="126" t="e">
        <f t="shared" ca="1" si="22"/>
        <v>#VALUE!</v>
      </c>
      <c r="AK95" s="126" t="e">
        <f t="shared" ca="1" si="22"/>
        <v>#VALUE!</v>
      </c>
      <c r="AL95" s="126" t="e">
        <f t="shared" ca="1" si="22"/>
        <v>#VALUE!</v>
      </c>
      <c r="AM95" s="126" t="e">
        <f t="shared" ca="1" si="22"/>
        <v>#VALUE!</v>
      </c>
      <c r="AN95" s="126" t="e">
        <f t="shared" ca="1" si="22"/>
        <v>#VALUE!</v>
      </c>
      <c r="AO95" s="126" t="e">
        <f t="shared" ca="1" si="22"/>
        <v>#VALUE!</v>
      </c>
      <c r="AP95" s="126" t="e">
        <f t="shared" ca="1" si="22"/>
        <v>#VALUE!</v>
      </c>
      <c r="AQ95" s="126" t="e">
        <f t="shared" ca="1" si="22"/>
        <v>#VALUE!</v>
      </c>
      <c r="AR95" s="126" t="e">
        <f t="shared" ca="1" si="22"/>
        <v>#VALUE!</v>
      </c>
      <c r="AS95" s="126" t="e">
        <f t="shared" ca="1" si="22"/>
        <v>#VALUE!</v>
      </c>
      <c r="AT95" s="126" t="e">
        <f t="shared" ca="1" si="22"/>
        <v>#VALUE!</v>
      </c>
      <c r="AU95" s="126" t="e">
        <f t="shared" ca="1" si="22"/>
        <v>#VALUE!</v>
      </c>
    </row>
    <row r="96" spans="2:47" x14ac:dyDescent="0.25">
      <c r="B96" t="s">
        <v>546</v>
      </c>
      <c r="C96" s="126" t="e">
        <f t="shared" ca="1" si="21"/>
        <v>#VALUE!</v>
      </c>
      <c r="D96" s="126" t="e">
        <f t="shared" ca="1" si="21"/>
        <v>#VALUE!</v>
      </c>
      <c r="E96" s="126" t="e">
        <f t="shared" ca="1" si="21"/>
        <v>#VALUE!</v>
      </c>
      <c r="F96" s="126" t="e">
        <f t="shared" ca="1" si="21"/>
        <v>#VALUE!</v>
      </c>
      <c r="G96" s="126" t="e">
        <f t="shared" ca="1" si="21"/>
        <v>#VALUE!</v>
      </c>
      <c r="H96" s="126" t="e">
        <f t="shared" ca="1" si="21"/>
        <v>#VALUE!</v>
      </c>
      <c r="I96" s="126" t="e">
        <f t="shared" ca="1" si="21"/>
        <v>#VALUE!</v>
      </c>
      <c r="J96" s="126" t="e">
        <f t="shared" ca="1" si="21"/>
        <v>#VALUE!</v>
      </c>
      <c r="K96" s="126" t="e">
        <f t="shared" ca="1" si="21"/>
        <v>#VALUE!</v>
      </c>
      <c r="L96" s="126" t="e">
        <f t="shared" ca="1" si="18"/>
        <v>#VALUE!</v>
      </c>
      <c r="M96" s="126" t="e">
        <f t="shared" ca="1" si="22"/>
        <v>#VALUE!</v>
      </c>
      <c r="N96" s="126" t="e">
        <f t="shared" ca="1" si="22"/>
        <v>#VALUE!</v>
      </c>
      <c r="O96" s="126" t="e">
        <f t="shared" ca="1" si="22"/>
        <v>#VALUE!</v>
      </c>
      <c r="P96" s="126" t="e">
        <f t="shared" ca="1" si="22"/>
        <v>#VALUE!</v>
      </c>
      <c r="Q96" s="126" t="e">
        <f t="shared" ca="1" si="22"/>
        <v>#VALUE!</v>
      </c>
      <c r="R96" s="126" t="e">
        <f t="shared" ca="1" si="22"/>
        <v>#VALUE!</v>
      </c>
      <c r="S96" s="126" t="e">
        <f t="shared" ca="1" si="22"/>
        <v>#VALUE!</v>
      </c>
      <c r="T96" s="126" t="e">
        <f t="shared" ca="1" si="22"/>
        <v>#VALUE!</v>
      </c>
      <c r="U96" s="126" t="e">
        <f t="shared" ca="1" si="22"/>
        <v>#VALUE!</v>
      </c>
      <c r="V96" s="126" t="e">
        <f t="shared" ca="1" si="22"/>
        <v>#VALUE!</v>
      </c>
      <c r="W96" s="126" t="e">
        <f t="shared" ca="1" si="22"/>
        <v>#VALUE!</v>
      </c>
      <c r="X96" s="126" t="e">
        <f t="shared" ca="1" si="22"/>
        <v>#VALUE!</v>
      </c>
      <c r="Y96" s="126" t="e">
        <f t="shared" ca="1" si="22"/>
        <v>#VALUE!</v>
      </c>
      <c r="Z96" s="126" t="e">
        <f t="shared" ca="1" si="22"/>
        <v>#VALUE!</v>
      </c>
      <c r="AA96" s="126" t="e">
        <f t="shared" ca="1" si="22"/>
        <v>#VALUE!</v>
      </c>
      <c r="AB96" s="126" t="e">
        <f t="shared" ca="1" si="22"/>
        <v>#VALUE!</v>
      </c>
      <c r="AC96" s="126" t="e">
        <f t="shared" ca="1" si="22"/>
        <v>#VALUE!</v>
      </c>
      <c r="AD96" s="126" t="e">
        <f t="shared" ca="1" si="22"/>
        <v>#VALUE!</v>
      </c>
      <c r="AE96" s="126" t="e">
        <f t="shared" ca="1" si="22"/>
        <v>#VALUE!</v>
      </c>
      <c r="AF96" s="126" t="e">
        <f t="shared" ca="1" si="22"/>
        <v>#VALUE!</v>
      </c>
      <c r="AG96" s="126" t="e">
        <f t="shared" ca="1" si="22"/>
        <v>#VALUE!</v>
      </c>
      <c r="AH96" s="126" t="e">
        <f t="shared" ca="1" si="22"/>
        <v>#VALUE!</v>
      </c>
      <c r="AI96" s="126" t="e">
        <f t="shared" ca="1" si="22"/>
        <v>#VALUE!</v>
      </c>
      <c r="AJ96" s="126" t="e">
        <f t="shared" ca="1" si="22"/>
        <v>#VALUE!</v>
      </c>
      <c r="AK96" s="126" t="e">
        <f t="shared" ca="1" si="22"/>
        <v>#VALUE!</v>
      </c>
      <c r="AL96" s="126" t="e">
        <f t="shared" ca="1" si="22"/>
        <v>#VALUE!</v>
      </c>
      <c r="AM96" s="126" t="e">
        <f t="shared" ca="1" si="22"/>
        <v>#VALUE!</v>
      </c>
      <c r="AN96" s="126" t="e">
        <f t="shared" ca="1" si="22"/>
        <v>#VALUE!</v>
      </c>
      <c r="AO96" s="126" t="e">
        <f t="shared" ca="1" si="22"/>
        <v>#VALUE!</v>
      </c>
      <c r="AP96" s="126" t="e">
        <f t="shared" ca="1" si="22"/>
        <v>#VALUE!</v>
      </c>
      <c r="AQ96" s="126" t="e">
        <f t="shared" ca="1" si="22"/>
        <v>#VALUE!</v>
      </c>
      <c r="AR96" s="126" t="e">
        <f t="shared" ca="1" si="22"/>
        <v>#VALUE!</v>
      </c>
      <c r="AS96" s="126" t="e">
        <f t="shared" ca="1" si="22"/>
        <v>#VALUE!</v>
      </c>
      <c r="AT96" s="126" t="e">
        <f t="shared" ca="1" si="22"/>
        <v>#VALUE!</v>
      </c>
      <c r="AU96" s="126" t="e">
        <f t="shared" ca="1" si="22"/>
        <v>#VALUE!</v>
      </c>
    </row>
    <row r="97" spans="2:47" x14ac:dyDescent="0.25">
      <c r="B97" t="s">
        <v>547</v>
      </c>
      <c r="C97" s="126" t="e">
        <f t="shared" ca="1" si="21"/>
        <v>#VALUE!</v>
      </c>
      <c r="D97" s="126" t="e">
        <f t="shared" ca="1" si="21"/>
        <v>#VALUE!</v>
      </c>
      <c r="E97" s="126" t="e">
        <f t="shared" ca="1" si="21"/>
        <v>#VALUE!</v>
      </c>
      <c r="F97" s="126" t="e">
        <f t="shared" ca="1" si="21"/>
        <v>#VALUE!</v>
      </c>
      <c r="G97" s="126" t="e">
        <f t="shared" ca="1" si="21"/>
        <v>#VALUE!</v>
      </c>
      <c r="H97" s="126" t="e">
        <f t="shared" ca="1" si="21"/>
        <v>#VALUE!</v>
      </c>
      <c r="I97" s="126" t="e">
        <f t="shared" ca="1" si="21"/>
        <v>#VALUE!</v>
      </c>
      <c r="J97" s="126" t="e">
        <f t="shared" ca="1" si="21"/>
        <v>#VALUE!</v>
      </c>
      <c r="K97" s="126" t="e">
        <f t="shared" ca="1" si="21"/>
        <v>#VALUE!</v>
      </c>
      <c r="L97" s="126" t="e">
        <f t="shared" ca="1" si="18"/>
        <v>#VALUE!</v>
      </c>
      <c r="M97" s="126" t="e">
        <f t="shared" ca="1" si="22"/>
        <v>#VALUE!</v>
      </c>
      <c r="N97" s="126" t="e">
        <f t="shared" ca="1" si="22"/>
        <v>#VALUE!</v>
      </c>
      <c r="O97" s="126" t="e">
        <f t="shared" ca="1" si="22"/>
        <v>#VALUE!</v>
      </c>
      <c r="P97" s="126" t="e">
        <f t="shared" ca="1" si="22"/>
        <v>#VALUE!</v>
      </c>
      <c r="Q97" s="126" t="e">
        <f t="shared" ca="1" si="22"/>
        <v>#VALUE!</v>
      </c>
      <c r="R97" s="126" t="e">
        <f t="shared" ca="1" si="22"/>
        <v>#VALUE!</v>
      </c>
      <c r="S97" s="126" t="e">
        <f t="shared" ca="1" si="22"/>
        <v>#VALUE!</v>
      </c>
      <c r="T97" s="126" t="e">
        <f t="shared" ca="1" si="22"/>
        <v>#VALUE!</v>
      </c>
      <c r="U97" s="126" t="e">
        <f t="shared" ca="1" si="22"/>
        <v>#VALUE!</v>
      </c>
      <c r="V97" s="126" t="e">
        <f t="shared" ca="1" si="22"/>
        <v>#VALUE!</v>
      </c>
      <c r="W97" s="126" t="e">
        <f t="shared" ca="1" si="22"/>
        <v>#VALUE!</v>
      </c>
      <c r="X97" s="126" t="e">
        <f t="shared" ca="1" si="22"/>
        <v>#VALUE!</v>
      </c>
      <c r="Y97" s="126" t="e">
        <f t="shared" ca="1" si="22"/>
        <v>#VALUE!</v>
      </c>
      <c r="Z97" s="126" t="e">
        <f t="shared" ca="1" si="22"/>
        <v>#VALUE!</v>
      </c>
      <c r="AA97" s="126" t="e">
        <f t="shared" ca="1" si="22"/>
        <v>#VALUE!</v>
      </c>
      <c r="AB97" s="126" t="e">
        <f t="shared" ca="1" si="22"/>
        <v>#VALUE!</v>
      </c>
      <c r="AC97" s="126" t="e">
        <f t="shared" ca="1" si="22"/>
        <v>#VALUE!</v>
      </c>
      <c r="AD97" s="126" t="e">
        <f t="shared" ca="1" si="22"/>
        <v>#VALUE!</v>
      </c>
      <c r="AE97" s="126" t="e">
        <f t="shared" ca="1" si="22"/>
        <v>#VALUE!</v>
      </c>
      <c r="AF97" s="126" t="e">
        <f t="shared" ca="1" si="22"/>
        <v>#VALUE!</v>
      </c>
      <c r="AG97" s="126" t="e">
        <f t="shared" ca="1" si="22"/>
        <v>#VALUE!</v>
      </c>
      <c r="AH97" s="126" t="e">
        <f t="shared" ca="1" si="22"/>
        <v>#VALUE!</v>
      </c>
      <c r="AI97" s="126" t="e">
        <f t="shared" ca="1" si="22"/>
        <v>#VALUE!</v>
      </c>
      <c r="AJ97" s="126" t="e">
        <f t="shared" ca="1" si="22"/>
        <v>#VALUE!</v>
      </c>
      <c r="AK97" s="126" t="e">
        <f t="shared" ca="1" si="22"/>
        <v>#VALUE!</v>
      </c>
      <c r="AL97" s="126" t="e">
        <f t="shared" ca="1" si="22"/>
        <v>#VALUE!</v>
      </c>
      <c r="AM97" s="126" t="e">
        <f t="shared" ca="1" si="22"/>
        <v>#VALUE!</v>
      </c>
      <c r="AN97" s="126" t="e">
        <f t="shared" ca="1" si="22"/>
        <v>#VALUE!</v>
      </c>
      <c r="AO97" s="126" t="e">
        <f t="shared" ca="1" si="22"/>
        <v>#VALUE!</v>
      </c>
      <c r="AP97" s="126" t="e">
        <f t="shared" ca="1" si="22"/>
        <v>#VALUE!</v>
      </c>
      <c r="AQ97" s="126" t="e">
        <f t="shared" ca="1" si="22"/>
        <v>#VALUE!</v>
      </c>
      <c r="AR97" s="126" t="e">
        <f t="shared" ca="1" si="22"/>
        <v>#VALUE!</v>
      </c>
      <c r="AS97" s="126" t="e">
        <f t="shared" ca="1" si="22"/>
        <v>#VALUE!</v>
      </c>
      <c r="AT97" s="126" t="e">
        <f t="shared" ca="1" si="22"/>
        <v>#VALUE!</v>
      </c>
      <c r="AU97" s="126" t="e">
        <f t="shared" ca="1" si="22"/>
        <v>#VALUE!</v>
      </c>
    </row>
    <row r="98" spans="2:47" x14ac:dyDescent="0.25">
      <c r="B98" t="s">
        <v>548</v>
      </c>
      <c r="C98" s="126" t="e">
        <f t="shared" ca="1" si="21"/>
        <v>#VALUE!</v>
      </c>
      <c r="D98" s="126" t="e">
        <f t="shared" ca="1" si="21"/>
        <v>#VALUE!</v>
      </c>
      <c r="E98" s="126" t="e">
        <f t="shared" ca="1" si="21"/>
        <v>#VALUE!</v>
      </c>
      <c r="F98" s="126" t="e">
        <f t="shared" ca="1" si="21"/>
        <v>#VALUE!</v>
      </c>
      <c r="G98" s="126" t="e">
        <f t="shared" ca="1" si="21"/>
        <v>#VALUE!</v>
      </c>
      <c r="H98" s="126" t="e">
        <f t="shared" ca="1" si="21"/>
        <v>#VALUE!</v>
      </c>
      <c r="I98" s="126" t="e">
        <f t="shared" ca="1" si="21"/>
        <v>#VALUE!</v>
      </c>
      <c r="J98" s="126" t="e">
        <f t="shared" ca="1" si="21"/>
        <v>#VALUE!</v>
      </c>
      <c r="K98" s="126" t="e">
        <f t="shared" ca="1" si="21"/>
        <v>#VALUE!</v>
      </c>
      <c r="L98" s="126" t="e">
        <f t="shared" ca="1" si="18"/>
        <v>#VALUE!</v>
      </c>
      <c r="M98" s="126" t="e">
        <f t="shared" ca="1" si="22"/>
        <v>#VALUE!</v>
      </c>
      <c r="N98" s="126" t="e">
        <f t="shared" ca="1" si="22"/>
        <v>#VALUE!</v>
      </c>
      <c r="O98" s="126" t="e">
        <f t="shared" ca="1" si="22"/>
        <v>#VALUE!</v>
      </c>
      <c r="P98" s="126" t="e">
        <f t="shared" ca="1" si="22"/>
        <v>#VALUE!</v>
      </c>
      <c r="Q98" s="126" t="e">
        <f t="shared" ca="1" si="22"/>
        <v>#VALUE!</v>
      </c>
      <c r="R98" s="126" t="e">
        <f t="shared" ca="1" si="22"/>
        <v>#VALUE!</v>
      </c>
      <c r="S98" s="126" t="e">
        <f t="shared" ca="1" si="22"/>
        <v>#VALUE!</v>
      </c>
      <c r="T98" s="126" t="e">
        <f t="shared" ca="1" si="22"/>
        <v>#VALUE!</v>
      </c>
      <c r="U98" s="126" t="e">
        <f t="shared" ca="1" si="22"/>
        <v>#VALUE!</v>
      </c>
      <c r="V98" s="126" t="e">
        <f t="shared" ca="1" si="22"/>
        <v>#VALUE!</v>
      </c>
      <c r="W98" s="126" t="e">
        <f t="shared" ca="1" si="22"/>
        <v>#VALUE!</v>
      </c>
      <c r="X98" s="126" t="e">
        <f t="shared" ca="1" si="22"/>
        <v>#VALUE!</v>
      </c>
      <c r="Y98" s="126" t="e">
        <f t="shared" ca="1" si="22"/>
        <v>#VALUE!</v>
      </c>
      <c r="Z98" s="126" t="e">
        <f t="shared" ca="1" si="22"/>
        <v>#VALUE!</v>
      </c>
      <c r="AA98" s="126" t="e">
        <f t="shared" ca="1" si="22"/>
        <v>#VALUE!</v>
      </c>
      <c r="AB98" s="126" t="e">
        <f t="shared" ca="1" si="22"/>
        <v>#VALUE!</v>
      </c>
      <c r="AC98" s="126" t="e">
        <f t="shared" ca="1" si="22"/>
        <v>#VALUE!</v>
      </c>
      <c r="AD98" s="126" t="e">
        <f t="shared" ca="1" si="22"/>
        <v>#VALUE!</v>
      </c>
      <c r="AE98" s="126" t="e">
        <f t="shared" ca="1" si="22"/>
        <v>#VALUE!</v>
      </c>
      <c r="AF98" s="126" t="e">
        <f t="shared" ca="1" si="22"/>
        <v>#VALUE!</v>
      </c>
      <c r="AG98" s="126" t="e">
        <f t="shared" ref="M98:AU105" ca="1" si="23">Output("SCEN_ADEMEhaut",$B98,AG$1)</f>
        <v>#VALUE!</v>
      </c>
      <c r="AH98" s="126" t="e">
        <f t="shared" ca="1" si="23"/>
        <v>#VALUE!</v>
      </c>
      <c r="AI98" s="126" t="e">
        <f t="shared" ca="1" si="23"/>
        <v>#VALUE!</v>
      </c>
      <c r="AJ98" s="126" t="e">
        <f t="shared" ca="1" si="23"/>
        <v>#VALUE!</v>
      </c>
      <c r="AK98" s="126" t="e">
        <f t="shared" ca="1" si="23"/>
        <v>#VALUE!</v>
      </c>
      <c r="AL98" s="126" t="e">
        <f t="shared" ca="1" si="23"/>
        <v>#VALUE!</v>
      </c>
      <c r="AM98" s="126" t="e">
        <f t="shared" ca="1" si="23"/>
        <v>#VALUE!</v>
      </c>
      <c r="AN98" s="126" t="e">
        <f t="shared" ca="1" si="23"/>
        <v>#VALUE!</v>
      </c>
      <c r="AO98" s="126" t="e">
        <f t="shared" ca="1" si="23"/>
        <v>#VALUE!</v>
      </c>
      <c r="AP98" s="126" t="e">
        <f t="shared" ca="1" si="23"/>
        <v>#VALUE!</v>
      </c>
      <c r="AQ98" s="126" t="e">
        <f t="shared" ca="1" si="23"/>
        <v>#VALUE!</v>
      </c>
      <c r="AR98" s="126" t="e">
        <f t="shared" ca="1" si="23"/>
        <v>#VALUE!</v>
      </c>
      <c r="AS98" s="126" t="e">
        <f t="shared" ca="1" si="23"/>
        <v>#VALUE!</v>
      </c>
      <c r="AT98" s="126" t="e">
        <f t="shared" ca="1" si="23"/>
        <v>#VALUE!</v>
      </c>
      <c r="AU98" s="126" t="e">
        <f t="shared" ca="1" si="23"/>
        <v>#VALUE!</v>
      </c>
    </row>
    <row r="99" spans="2:47" x14ac:dyDescent="0.25">
      <c r="B99" t="s">
        <v>549</v>
      </c>
      <c r="C99" s="126" t="e">
        <f t="shared" ca="1" si="21"/>
        <v>#VALUE!</v>
      </c>
      <c r="D99" s="126" t="e">
        <f t="shared" ca="1" si="21"/>
        <v>#VALUE!</v>
      </c>
      <c r="E99" s="126" t="e">
        <f t="shared" ca="1" si="21"/>
        <v>#VALUE!</v>
      </c>
      <c r="F99" s="126" t="e">
        <f t="shared" ca="1" si="21"/>
        <v>#VALUE!</v>
      </c>
      <c r="G99" s="126" t="e">
        <f t="shared" ca="1" si="21"/>
        <v>#VALUE!</v>
      </c>
      <c r="H99" s="126" t="e">
        <f t="shared" ca="1" si="21"/>
        <v>#VALUE!</v>
      </c>
      <c r="I99" s="126" t="e">
        <f t="shared" ca="1" si="21"/>
        <v>#VALUE!</v>
      </c>
      <c r="J99" s="126" t="e">
        <f t="shared" ca="1" si="21"/>
        <v>#VALUE!</v>
      </c>
      <c r="K99" s="126" t="e">
        <f t="shared" ca="1" si="21"/>
        <v>#VALUE!</v>
      </c>
      <c r="L99" s="126" t="e">
        <f t="shared" ca="1" si="18"/>
        <v>#VALUE!</v>
      </c>
      <c r="M99" s="126" t="e">
        <f t="shared" ca="1" si="23"/>
        <v>#VALUE!</v>
      </c>
      <c r="N99" s="126" t="e">
        <f t="shared" ca="1" si="23"/>
        <v>#VALUE!</v>
      </c>
      <c r="O99" s="126" t="e">
        <f t="shared" ca="1" si="23"/>
        <v>#VALUE!</v>
      </c>
      <c r="P99" s="126" t="e">
        <f t="shared" ca="1" si="23"/>
        <v>#VALUE!</v>
      </c>
      <c r="Q99" s="126" t="e">
        <f t="shared" ca="1" si="23"/>
        <v>#VALUE!</v>
      </c>
      <c r="R99" s="126" t="e">
        <f t="shared" ca="1" si="23"/>
        <v>#VALUE!</v>
      </c>
      <c r="S99" s="126" t="e">
        <f t="shared" ca="1" si="23"/>
        <v>#VALUE!</v>
      </c>
      <c r="T99" s="126" t="e">
        <f t="shared" ca="1" si="23"/>
        <v>#VALUE!</v>
      </c>
      <c r="U99" s="126" t="e">
        <f t="shared" ca="1" si="23"/>
        <v>#VALUE!</v>
      </c>
      <c r="V99" s="126" t="e">
        <f t="shared" ca="1" si="23"/>
        <v>#VALUE!</v>
      </c>
      <c r="W99" s="126" t="e">
        <f t="shared" ca="1" si="23"/>
        <v>#VALUE!</v>
      </c>
      <c r="X99" s="126" t="e">
        <f t="shared" ca="1" si="23"/>
        <v>#VALUE!</v>
      </c>
      <c r="Y99" s="126" t="e">
        <f t="shared" ca="1" si="23"/>
        <v>#VALUE!</v>
      </c>
      <c r="Z99" s="126" t="e">
        <f t="shared" ca="1" si="23"/>
        <v>#VALUE!</v>
      </c>
      <c r="AA99" s="126" t="e">
        <f t="shared" ca="1" si="23"/>
        <v>#VALUE!</v>
      </c>
      <c r="AB99" s="126" t="e">
        <f t="shared" ca="1" si="23"/>
        <v>#VALUE!</v>
      </c>
      <c r="AC99" s="126" t="e">
        <f t="shared" ca="1" si="23"/>
        <v>#VALUE!</v>
      </c>
      <c r="AD99" s="126" t="e">
        <f t="shared" ca="1" si="23"/>
        <v>#VALUE!</v>
      </c>
      <c r="AE99" s="126" t="e">
        <f t="shared" ca="1" si="23"/>
        <v>#VALUE!</v>
      </c>
      <c r="AF99" s="126" t="e">
        <f t="shared" ca="1" si="23"/>
        <v>#VALUE!</v>
      </c>
      <c r="AG99" s="126" t="e">
        <f t="shared" ca="1" si="23"/>
        <v>#VALUE!</v>
      </c>
      <c r="AH99" s="126" t="e">
        <f t="shared" ca="1" si="23"/>
        <v>#VALUE!</v>
      </c>
      <c r="AI99" s="126" t="e">
        <f t="shared" ca="1" si="23"/>
        <v>#VALUE!</v>
      </c>
      <c r="AJ99" s="126" t="e">
        <f t="shared" ca="1" si="23"/>
        <v>#VALUE!</v>
      </c>
      <c r="AK99" s="126" t="e">
        <f t="shared" ca="1" si="23"/>
        <v>#VALUE!</v>
      </c>
      <c r="AL99" s="126" t="e">
        <f t="shared" ca="1" si="23"/>
        <v>#VALUE!</v>
      </c>
      <c r="AM99" s="126" t="e">
        <f t="shared" ca="1" si="23"/>
        <v>#VALUE!</v>
      </c>
      <c r="AN99" s="126" t="e">
        <f t="shared" ca="1" si="23"/>
        <v>#VALUE!</v>
      </c>
      <c r="AO99" s="126" t="e">
        <f t="shared" ca="1" si="23"/>
        <v>#VALUE!</v>
      </c>
      <c r="AP99" s="126" t="e">
        <f t="shared" ca="1" si="23"/>
        <v>#VALUE!</v>
      </c>
      <c r="AQ99" s="126" t="e">
        <f t="shared" ca="1" si="23"/>
        <v>#VALUE!</v>
      </c>
      <c r="AR99" s="126" t="e">
        <f t="shared" ca="1" si="23"/>
        <v>#VALUE!</v>
      </c>
      <c r="AS99" s="126" t="e">
        <f t="shared" ca="1" si="23"/>
        <v>#VALUE!</v>
      </c>
      <c r="AT99" s="126" t="e">
        <f t="shared" ca="1" si="23"/>
        <v>#VALUE!</v>
      </c>
      <c r="AU99" s="126" t="e">
        <f t="shared" ca="1" si="23"/>
        <v>#VALUE!</v>
      </c>
    </row>
    <row r="100" spans="2:47" x14ac:dyDescent="0.25">
      <c r="B100" t="s">
        <v>550</v>
      </c>
      <c r="C100" s="126" t="e">
        <f t="shared" ca="1" si="21"/>
        <v>#VALUE!</v>
      </c>
      <c r="D100" s="126" t="e">
        <f t="shared" ca="1" si="21"/>
        <v>#VALUE!</v>
      </c>
      <c r="E100" s="126" t="e">
        <f t="shared" ca="1" si="21"/>
        <v>#VALUE!</v>
      </c>
      <c r="F100" s="126" t="e">
        <f t="shared" ca="1" si="21"/>
        <v>#VALUE!</v>
      </c>
      <c r="G100" s="126" t="e">
        <f t="shared" ca="1" si="21"/>
        <v>#VALUE!</v>
      </c>
      <c r="H100" s="126" t="e">
        <f t="shared" ca="1" si="21"/>
        <v>#VALUE!</v>
      </c>
      <c r="I100" s="126" t="e">
        <f t="shared" ca="1" si="21"/>
        <v>#VALUE!</v>
      </c>
      <c r="J100" s="126" t="e">
        <f t="shared" ca="1" si="21"/>
        <v>#VALUE!</v>
      </c>
      <c r="K100" s="126" t="e">
        <f t="shared" ca="1" si="21"/>
        <v>#VALUE!</v>
      </c>
      <c r="L100" s="126" t="e">
        <f t="shared" ca="1" si="18"/>
        <v>#VALUE!</v>
      </c>
      <c r="M100" s="126" t="e">
        <f t="shared" ca="1" si="23"/>
        <v>#VALUE!</v>
      </c>
      <c r="N100" s="126" t="e">
        <f t="shared" ca="1" si="23"/>
        <v>#VALUE!</v>
      </c>
      <c r="O100" s="126" t="e">
        <f t="shared" ca="1" si="23"/>
        <v>#VALUE!</v>
      </c>
      <c r="P100" s="126" t="e">
        <f t="shared" ca="1" si="23"/>
        <v>#VALUE!</v>
      </c>
      <c r="Q100" s="126" t="e">
        <f t="shared" ca="1" si="23"/>
        <v>#VALUE!</v>
      </c>
      <c r="R100" s="126" t="e">
        <f t="shared" ca="1" si="23"/>
        <v>#VALUE!</v>
      </c>
      <c r="S100" s="126" t="e">
        <f t="shared" ca="1" si="23"/>
        <v>#VALUE!</v>
      </c>
      <c r="T100" s="126" t="e">
        <f t="shared" ca="1" si="23"/>
        <v>#VALUE!</v>
      </c>
      <c r="U100" s="126" t="e">
        <f t="shared" ca="1" si="23"/>
        <v>#VALUE!</v>
      </c>
      <c r="V100" s="126" t="e">
        <f t="shared" ca="1" si="23"/>
        <v>#VALUE!</v>
      </c>
      <c r="W100" s="126" t="e">
        <f t="shared" ca="1" si="23"/>
        <v>#VALUE!</v>
      </c>
      <c r="X100" s="126" t="e">
        <f t="shared" ca="1" si="23"/>
        <v>#VALUE!</v>
      </c>
      <c r="Y100" s="126" t="e">
        <f t="shared" ca="1" si="23"/>
        <v>#VALUE!</v>
      </c>
      <c r="Z100" s="126" t="e">
        <f t="shared" ca="1" si="23"/>
        <v>#VALUE!</v>
      </c>
      <c r="AA100" s="126" t="e">
        <f t="shared" ca="1" si="23"/>
        <v>#VALUE!</v>
      </c>
      <c r="AB100" s="126" t="e">
        <f t="shared" ca="1" si="23"/>
        <v>#VALUE!</v>
      </c>
      <c r="AC100" s="126" t="e">
        <f t="shared" ca="1" si="23"/>
        <v>#VALUE!</v>
      </c>
      <c r="AD100" s="126" t="e">
        <f t="shared" ca="1" si="23"/>
        <v>#VALUE!</v>
      </c>
      <c r="AE100" s="126" t="e">
        <f t="shared" ca="1" si="23"/>
        <v>#VALUE!</v>
      </c>
      <c r="AF100" s="126" t="e">
        <f t="shared" ca="1" si="23"/>
        <v>#VALUE!</v>
      </c>
      <c r="AG100" s="126" t="e">
        <f t="shared" ca="1" si="23"/>
        <v>#VALUE!</v>
      </c>
      <c r="AH100" s="126" t="e">
        <f t="shared" ca="1" si="23"/>
        <v>#VALUE!</v>
      </c>
      <c r="AI100" s="126" t="e">
        <f t="shared" ca="1" si="23"/>
        <v>#VALUE!</v>
      </c>
      <c r="AJ100" s="126" t="e">
        <f t="shared" ca="1" si="23"/>
        <v>#VALUE!</v>
      </c>
      <c r="AK100" s="126" t="e">
        <f t="shared" ca="1" si="23"/>
        <v>#VALUE!</v>
      </c>
      <c r="AL100" s="126" t="e">
        <f t="shared" ca="1" si="23"/>
        <v>#VALUE!</v>
      </c>
      <c r="AM100" s="126" t="e">
        <f t="shared" ca="1" si="23"/>
        <v>#VALUE!</v>
      </c>
      <c r="AN100" s="126" t="e">
        <f t="shared" ca="1" si="23"/>
        <v>#VALUE!</v>
      </c>
      <c r="AO100" s="126" t="e">
        <f t="shared" ca="1" si="23"/>
        <v>#VALUE!</v>
      </c>
      <c r="AP100" s="126" t="e">
        <f t="shared" ca="1" si="23"/>
        <v>#VALUE!</v>
      </c>
      <c r="AQ100" s="126" t="e">
        <f t="shared" ca="1" si="23"/>
        <v>#VALUE!</v>
      </c>
      <c r="AR100" s="126" t="e">
        <f t="shared" ca="1" si="23"/>
        <v>#VALUE!</v>
      </c>
      <c r="AS100" s="126" t="e">
        <f t="shared" ca="1" si="23"/>
        <v>#VALUE!</v>
      </c>
      <c r="AT100" s="126" t="e">
        <f t="shared" ca="1" si="23"/>
        <v>#VALUE!</v>
      </c>
      <c r="AU100" s="126" t="e">
        <f t="shared" ca="1" si="23"/>
        <v>#VALUE!</v>
      </c>
    </row>
    <row r="101" spans="2:47" x14ac:dyDescent="0.25">
      <c r="B101" t="s">
        <v>551</v>
      </c>
      <c r="C101" s="126" t="e">
        <f t="shared" ref="C101:K115" ca="1" si="24">Output("SCEN_ADEMEhaut",$B101,C$1)</f>
        <v>#VALUE!</v>
      </c>
      <c r="D101" s="126" t="e">
        <f t="shared" ca="1" si="24"/>
        <v>#VALUE!</v>
      </c>
      <c r="E101" s="126" t="e">
        <f t="shared" ca="1" si="24"/>
        <v>#VALUE!</v>
      </c>
      <c r="F101" s="126" t="e">
        <f t="shared" ca="1" si="24"/>
        <v>#VALUE!</v>
      </c>
      <c r="G101" s="126" t="e">
        <f t="shared" ca="1" si="24"/>
        <v>#VALUE!</v>
      </c>
      <c r="H101" s="126" t="e">
        <f t="shared" ca="1" si="24"/>
        <v>#VALUE!</v>
      </c>
      <c r="I101" s="126" t="e">
        <f t="shared" ca="1" si="24"/>
        <v>#VALUE!</v>
      </c>
      <c r="J101" s="126" t="e">
        <f t="shared" ca="1" si="24"/>
        <v>#VALUE!</v>
      </c>
      <c r="K101" s="126" t="e">
        <f t="shared" ca="1" si="24"/>
        <v>#VALUE!</v>
      </c>
      <c r="L101" s="126" t="e">
        <f t="shared" ca="1" si="18"/>
        <v>#VALUE!</v>
      </c>
      <c r="M101" s="126" t="e">
        <f t="shared" ca="1" si="23"/>
        <v>#VALUE!</v>
      </c>
      <c r="N101" s="126" t="e">
        <f t="shared" ca="1" si="23"/>
        <v>#VALUE!</v>
      </c>
      <c r="O101" s="126" t="e">
        <f t="shared" ca="1" si="23"/>
        <v>#VALUE!</v>
      </c>
      <c r="P101" s="126" t="e">
        <f t="shared" ca="1" si="23"/>
        <v>#VALUE!</v>
      </c>
      <c r="Q101" s="126" t="e">
        <f t="shared" ca="1" si="23"/>
        <v>#VALUE!</v>
      </c>
      <c r="R101" s="126" t="e">
        <f t="shared" ca="1" si="23"/>
        <v>#VALUE!</v>
      </c>
      <c r="S101" s="126" t="e">
        <f t="shared" ca="1" si="23"/>
        <v>#VALUE!</v>
      </c>
      <c r="T101" s="126" t="e">
        <f t="shared" ca="1" si="23"/>
        <v>#VALUE!</v>
      </c>
      <c r="U101" s="126" t="e">
        <f t="shared" ca="1" si="23"/>
        <v>#VALUE!</v>
      </c>
      <c r="V101" s="126" t="e">
        <f t="shared" ca="1" si="23"/>
        <v>#VALUE!</v>
      </c>
      <c r="W101" s="126" t="e">
        <f t="shared" ca="1" si="23"/>
        <v>#VALUE!</v>
      </c>
      <c r="X101" s="126" t="e">
        <f t="shared" ca="1" si="23"/>
        <v>#VALUE!</v>
      </c>
      <c r="Y101" s="126" t="e">
        <f t="shared" ca="1" si="23"/>
        <v>#VALUE!</v>
      </c>
      <c r="Z101" s="126" t="e">
        <f t="shared" ca="1" si="23"/>
        <v>#VALUE!</v>
      </c>
      <c r="AA101" s="126" t="e">
        <f t="shared" ca="1" si="23"/>
        <v>#VALUE!</v>
      </c>
      <c r="AB101" s="126" t="e">
        <f t="shared" ca="1" si="23"/>
        <v>#VALUE!</v>
      </c>
      <c r="AC101" s="126" t="e">
        <f t="shared" ca="1" si="23"/>
        <v>#VALUE!</v>
      </c>
      <c r="AD101" s="126" t="e">
        <f t="shared" ca="1" si="23"/>
        <v>#VALUE!</v>
      </c>
      <c r="AE101" s="126" t="e">
        <f t="shared" ca="1" si="23"/>
        <v>#VALUE!</v>
      </c>
      <c r="AF101" s="126" t="e">
        <f t="shared" ca="1" si="23"/>
        <v>#VALUE!</v>
      </c>
      <c r="AG101" s="126" t="e">
        <f t="shared" ca="1" si="23"/>
        <v>#VALUE!</v>
      </c>
      <c r="AH101" s="126" t="e">
        <f t="shared" ca="1" si="23"/>
        <v>#VALUE!</v>
      </c>
      <c r="AI101" s="126" t="e">
        <f t="shared" ca="1" si="23"/>
        <v>#VALUE!</v>
      </c>
      <c r="AJ101" s="126" t="e">
        <f t="shared" ca="1" si="23"/>
        <v>#VALUE!</v>
      </c>
      <c r="AK101" s="126" t="e">
        <f t="shared" ca="1" si="23"/>
        <v>#VALUE!</v>
      </c>
      <c r="AL101" s="126" t="e">
        <f t="shared" ca="1" si="23"/>
        <v>#VALUE!</v>
      </c>
      <c r="AM101" s="126" t="e">
        <f t="shared" ca="1" si="23"/>
        <v>#VALUE!</v>
      </c>
      <c r="AN101" s="126" t="e">
        <f t="shared" ca="1" si="23"/>
        <v>#VALUE!</v>
      </c>
      <c r="AO101" s="126" t="e">
        <f t="shared" ca="1" si="23"/>
        <v>#VALUE!</v>
      </c>
      <c r="AP101" s="126" t="e">
        <f t="shared" ca="1" si="23"/>
        <v>#VALUE!</v>
      </c>
      <c r="AQ101" s="126" t="e">
        <f t="shared" ca="1" si="23"/>
        <v>#VALUE!</v>
      </c>
      <c r="AR101" s="126" t="e">
        <f t="shared" ca="1" si="23"/>
        <v>#VALUE!</v>
      </c>
      <c r="AS101" s="126" t="e">
        <f t="shared" ca="1" si="23"/>
        <v>#VALUE!</v>
      </c>
      <c r="AT101" s="126" t="e">
        <f t="shared" ca="1" si="23"/>
        <v>#VALUE!</v>
      </c>
      <c r="AU101" s="126" t="e">
        <f t="shared" ca="1" si="23"/>
        <v>#VALUE!</v>
      </c>
    </row>
    <row r="102" spans="2:47" x14ac:dyDescent="0.25">
      <c r="B102" t="s">
        <v>552</v>
      </c>
      <c r="C102" s="126" t="e">
        <f t="shared" ca="1" si="24"/>
        <v>#VALUE!</v>
      </c>
      <c r="D102" s="126" t="e">
        <f t="shared" ca="1" si="24"/>
        <v>#VALUE!</v>
      </c>
      <c r="E102" s="126" t="e">
        <f t="shared" ca="1" si="24"/>
        <v>#VALUE!</v>
      </c>
      <c r="F102" s="126" t="e">
        <f t="shared" ca="1" si="24"/>
        <v>#VALUE!</v>
      </c>
      <c r="G102" s="126" t="e">
        <f t="shared" ca="1" si="24"/>
        <v>#VALUE!</v>
      </c>
      <c r="H102" s="126" t="e">
        <f t="shared" ca="1" si="24"/>
        <v>#VALUE!</v>
      </c>
      <c r="I102" s="126" t="e">
        <f t="shared" ca="1" si="24"/>
        <v>#VALUE!</v>
      </c>
      <c r="J102" s="126" t="e">
        <f t="shared" ca="1" si="24"/>
        <v>#VALUE!</v>
      </c>
      <c r="K102" s="126" t="e">
        <f t="shared" ca="1" si="24"/>
        <v>#VALUE!</v>
      </c>
      <c r="L102" s="126" t="e">
        <f t="shared" ca="1" si="18"/>
        <v>#VALUE!</v>
      </c>
      <c r="M102" s="126" t="e">
        <f t="shared" ca="1" si="23"/>
        <v>#VALUE!</v>
      </c>
      <c r="N102" s="126" t="e">
        <f t="shared" ca="1" si="23"/>
        <v>#VALUE!</v>
      </c>
      <c r="O102" s="126" t="e">
        <f t="shared" ca="1" si="23"/>
        <v>#VALUE!</v>
      </c>
      <c r="P102" s="126" t="e">
        <f t="shared" ca="1" si="23"/>
        <v>#VALUE!</v>
      </c>
      <c r="Q102" s="126" t="e">
        <f t="shared" ca="1" si="23"/>
        <v>#VALUE!</v>
      </c>
      <c r="R102" s="126" t="e">
        <f t="shared" ca="1" si="23"/>
        <v>#VALUE!</v>
      </c>
      <c r="S102" s="126" t="e">
        <f t="shared" ca="1" si="23"/>
        <v>#VALUE!</v>
      </c>
      <c r="T102" s="126" t="e">
        <f t="shared" ca="1" si="23"/>
        <v>#VALUE!</v>
      </c>
      <c r="U102" s="126" t="e">
        <f t="shared" ca="1" si="23"/>
        <v>#VALUE!</v>
      </c>
      <c r="V102" s="126" t="e">
        <f t="shared" ca="1" si="23"/>
        <v>#VALUE!</v>
      </c>
      <c r="W102" s="126" t="e">
        <f t="shared" ca="1" si="23"/>
        <v>#VALUE!</v>
      </c>
      <c r="X102" s="126" t="e">
        <f t="shared" ca="1" si="23"/>
        <v>#VALUE!</v>
      </c>
      <c r="Y102" s="126" t="e">
        <f t="shared" ca="1" si="23"/>
        <v>#VALUE!</v>
      </c>
      <c r="Z102" s="126" t="e">
        <f t="shared" ca="1" si="23"/>
        <v>#VALUE!</v>
      </c>
      <c r="AA102" s="126" t="e">
        <f t="shared" ca="1" si="23"/>
        <v>#VALUE!</v>
      </c>
      <c r="AB102" s="126" t="e">
        <f t="shared" ca="1" si="23"/>
        <v>#VALUE!</v>
      </c>
      <c r="AC102" s="126" t="e">
        <f t="shared" ca="1" si="23"/>
        <v>#VALUE!</v>
      </c>
      <c r="AD102" s="126" t="e">
        <f t="shared" ca="1" si="23"/>
        <v>#VALUE!</v>
      </c>
      <c r="AE102" s="126" t="e">
        <f t="shared" ca="1" si="23"/>
        <v>#VALUE!</v>
      </c>
      <c r="AF102" s="126" t="e">
        <f t="shared" ca="1" si="23"/>
        <v>#VALUE!</v>
      </c>
      <c r="AG102" s="126" t="e">
        <f t="shared" ca="1" si="23"/>
        <v>#VALUE!</v>
      </c>
      <c r="AH102" s="126" t="e">
        <f t="shared" ca="1" si="23"/>
        <v>#VALUE!</v>
      </c>
      <c r="AI102" s="126" t="e">
        <f t="shared" ca="1" si="23"/>
        <v>#VALUE!</v>
      </c>
      <c r="AJ102" s="126" t="e">
        <f t="shared" ca="1" si="23"/>
        <v>#VALUE!</v>
      </c>
      <c r="AK102" s="126" t="e">
        <f t="shared" ca="1" si="23"/>
        <v>#VALUE!</v>
      </c>
      <c r="AL102" s="126" t="e">
        <f t="shared" ca="1" si="23"/>
        <v>#VALUE!</v>
      </c>
      <c r="AM102" s="126" t="e">
        <f t="shared" ca="1" si="23"/>
        <v>#VALUE!</v>
      </c>
      <c r="AN102" s="126" t="e">
        <f t="shared" ca="1" si="23"/>
        <v>#VALUE!</v>
      </c>
      <c r="AO102" s="126" t="e">
        <f t="shared" ca="1" si="23"/>
        <v>#VALUE!</v>
      </c>
      <c r="AP102" s="126" t="e">
        <f t="shared" ca="1" si="23"/>
        <v>#VALUE!</v>
      </c>
      <c r="AQ102" s="126" t="e">
        <f t="shared" ca="1" si="23"/>
        <v>#VALUE!</v>
      </c>
      <c r="AR102" s="126" t="e">
        <f t="shared" ca="1" si="23"/>
        <v>#VALUE!</v>
      </c>
      <c r="AS102" s="126" t="e">
        <f t="shared" ca="1" si="23"/>
        <v>#VALUE!</v>
      </c>
      <c r="AT102" s="126" t="e">
        <f t="shared" ca="1" si="23"/>
        <v>#VALUE!</v>
      </c>
      <c r="AU102" s="126" t="e">
        <f t="shared" ca="1" si="23"/>
        <v>#VALUE!</v>
      </c>
    </row>
    <row r="103" spans="2:47" x14ac:dyDescent="0.25">
      <c r="B103" t="s">
        <v>553</v>
      </c>
      <c r="C103" s="126" t="e">
        <f t="shared" ca="1" si="24"/>
        <v>#VALUE!</v>
      </c>
      <c r="D103" s="126" t="e">
        <f t="shared" ca="1" si="24"/>
        <v>#VALUE!</v>
      </c>
      <c r="E103" s="126" t="e">
        <f t="shared" ca="1" si="24"/>
        <v>#VALUE!</v>
      </c>
      <c r="F103" s="126" t="e">
        <f t="shared" ca="1" si="24"/>
        <v>#VALUE!</v>
      </c>
      <c r="G103" s="126" t="e">
        <f t="shared" ca="1" si="24"/>
        <v>#VALUE!</v>
      </c>
      <c r="H103" s="126" t="e">
        <f t="shared" ca="1" si="24"/>
        <v>#VALUE!</v>
      </c>
      <c r="I103" s="126" t="e">
        <f t="shared" ca="1" si="24"/>
        <v>#VALUE!</v>
      </c>
      <c r="J103" s="126" t="e">
        <f t="shared" ca="1" si="24"/>
        <v>#VALUE!</v>
      </c>
      <c r="K103" s="126" t="e">
        <f t="shared" ca="1" si="24"/>
        <v>#VALUE!</v>
      </c>
      <c r="L103" s="126" t="e">
        <f t="shared" ca="1" si="18"/>
        <v>#VALUE!</v>
      </c>
      <c r="M103" s="126" t="e">
        <f t="shared" ca="1" si="23"/>
        <v>#VALUE!</v>
      </c>
      <c r="N103" s="126" t="e">
        <f t="shared" ca="1" si="23"/>
        <v>#VALUE!</v>
      </c>
      <c r="O103" s="126" t="e">
        <f t="shared" ca="1" si="23"/>
        <v>#VALUE!</v>
      </c>
      <c r="P103" s="126" t="e">
        <f t="shared" ca="1" si="23"/>
        <v>#VALUE!</v>
      </c>
      <c r="Q103" s="126" t="e">
        <f t="shared" ca="1" si="23"/>
        <v>#VALUE!</v>
      </c>
      <c r="R103" s="126" t="e">
        <f t="shared" ca="1" si="23"/>
        <v>#VALUE!</v>
      </c>
      <c r="S103" s="126" t="e">
        <f t="shared" ca="1" si="23"/>
        <v>#VALUE!</v>
      </c>
      <c r="T103" s="126" t="e">
        <f t="shared" ca="1" si="23"/>
        <v>#VALUE!</v>
      </c>
      <c r="U103" s="126" t="e">
        <f t="shared" ca="1" si="23"/>
        <v>#VALUE!</v>
      </c>
      <c r="V103" s="126" t="e">
        <f t="shared" ca="1" si="23"/>
        <v>#VALUE!</v>
      </c>
      <c r="W103" s="126" t="e">
        <f t="shared" ca="1" si="23"/>
        <v>#VALUE!</v>
      </c>
      <c r="X103" s="126" t="e">
        <f t="shared" ca="1" si="23"/>
        <v>#VALUE!</v>
      </c>
      <c r="Y103" s="126" t="e">
        <f t="shared" ca="1" si="23"/>
        <v>#VALUE!</v>
      </c>
      <c r="Z103" s="126" t="e">
        <f t="shared" ca="1" si="23"/>
        <v>#VALUE!</v>
      </c>
      <c r="AA103" s="126" t="e">
        <f t="shared" ca="1" si="23"/>
        <v>#VALUE!</v>
      </c>
      <c r="AB103" s="126" t="e">
        <f t="shared" ca="1" si="23"/>
        <v>#VALUE!</v>
      </c>
      <c r="AC103" s="126" t="e">
        <f t="shared" ca="1" si="23"/>
        <v>#VALUE!</v>
      </c>
      <c r="AD103" s="126" t="e">
        <f t="shared" ca="1" si="23"/>
        <v>#VALUE!</v>
      </c>
      <c r="AE103" s="126" t="e">
        <f t="shared" ca="1" si="23"/>
        <v>#VALUE!</v>
      </c>
      <c r="AF103" s="126" t="e">
        <f t="shared" ca="1" si="23"/>
        <v>#VALUE!</v>
      </c>
      <c r="AG103" s="126" t="e">
        <f t="shared" ca="1" si="23"/>
        <v>#VALUE!</v>
      </c>
      <c r="AH103" s="126" t="e">
        <f t="shared" ca="1" si="23"/>
        <v>#VALUE!</v>
      </c>
      <c r="AI103" s="126" t="e">
        <f t="shared" ca="1" si="23"/>
        <v>#VALUE!</v>
      </c>
      <c r="AJ103" s="126" t="e">
        <f t="shared" ca="1" si="23"/>
        <v>#VALUE!</v>
      </c>
      <c r="AK103" s="126" t="e">
        <f t="shared" ca="1" si="23"/>
        <v>#VALUE!</v>
      </c>
      <c r="AL103" s="126" t="e">
        <f t="shared" ca="1" si="23"/>
        <v>#VALUE!</v>
      </c>
      <c r="AM103" s="126" t="e">
        <f t="shared" ca="1" si="23"/>
        <v>#VALUE!</v>
      </c>
      <c r="AN103" s="126" t="e">
        <f t="shared" ca="1" si="23"/>
        <v>#VALUE!</v>
      </c>
      <c r="AO103" s="126" t="e">
        <f t="shared" ca="1" si="23"/>
        <v>#VALUE!</v>
      </c>
      <c r="AP103" s="126" t="e">
        <f t="shared" ca="1" si="23"/>
        <v>#VALUE!</v>
      </c>
      <c r="AQ103" s="126" t="e">
        <f t="shared" ca="1" si="23"/>
        <v>#VALUE!</v>
      </c>
      <c r="AR103" s="126" t="e">
        <f t="shared" ca="1" si="23"/>
        <v>#VALUE!</v>
      </c>
      <c r="AS103" s="126" t="e">
        <f t="shared" ca="1" si="23"/>
        <v>#VALUE!</v>
      </c>
      <c r="AT103" s="126" t="e">
        <f t="shared" ca="1" si="23"/>
        <v>#VALUE!</v>
      </c>
      <c r="AU103" s="126" t="e">
        <f t="shared" ca="1" si="23"/>
        <v>#VALUE!</v>
      </c>
    </row>
    <row r="104" spans="2:47" x14ac:dyDescent="0.25">
      <c r="B104" t="s">
        <v>554</v>
      </c>
      <c r="C104" s="126" t="e">
        <f t="shared" ca="1" si="24"/>
        <v>#VALUE!</v>
      </c>
      <c r="D104" s="126" t="e">
        <f t="shared" ca="1" si="24"/>
        <v>#VALUE!</v>
      </c>
      <c r="E104" s="126" t="e">
        <f t="shared" ca="1" si="24"/>
        <v>#VALUE!</v>
      </c>
      <c r="F104" s="126" t="e">
        <f t="shared" ca="1" si="24"/>
        <v>#VALUE!</v>
      </c>
      <c r="G104" s="126" t="e">
        <f t="shared" ca="1" si="24"/>
        <v>#VALUE!</v>
      </c>
      <c r="H104" s="126" t="e">
        <f t="shared" ca="1" si="24"/>
        <v>#VALUE!</v>
      </c>
      <c r="I104" s="126" t="e">
        <f t="shared" ca="1" si="24"/>
        <v>#VALUE!</v>
      </c>
      <c r="J104" s="126" t="e">
        <f t="shared" ca="1" si="24"/>
        <v>#VALUE!</v>
      </c>
      <c r="K104" s="126" t="e">
        <f t="shared" ca="1" si="24"/>
        <v>#VALUE!</v>
      </c>
      <c r="L104" s="126" t="e">
        <f t="shared" ca="1" si="18"/>
        <v>#VALUE!</v>
      </c>
      <c r="M104" s="126" t="e">
        <f t="shared" ca="1" si="23"/>
        <v>#VALUE!</v>
      </c>
      <c r="N104" s="126" t="e">
        <f t="shared" ca="1" si="23"/>
        <v>#VALUE!</v>
      </c>
      <c r="O104" s="126" t="e">
        <f t="shared" ca="1" si="23"/>
        <v>#VALUE!</v>
      </c>
      <c r="P104" s="126" t="e">
        <f t="shared" ca="1" si="23"/>
        <v>#VALUE!</v>
      </c>
      <c r="Q104" s="126" t="e">
        <f t="shared" ca="1" si="23"/>
        <v>#VALUE!</v>
      </c>
      <c r="R104" s="126" t="e">
        <f t="shared" ca="1" si="23"/>
        <v>#VALUE!</v>
      </c>
      <c r="S104" s="126" t="e">
        <f t="shared" ca="1" si="23"/>
        <v>#VALUE!</v>
      </c>
      <c r="T104" s="126" t="e">
        <f t="shared" ca="1" si="23"/>
        <v>#VALUE!</v>
      </c>
      <c r="U104" s="126" t="e">
        <f t="shared" ca="1" si="23"/>
        <v>#VALUE!</v>
      </c>
      <c r="V104" s="126" t="e">
        <f t="shared" ca="1" si="23"/>
        <v>#VALUE!</v>
      </c>
      <c r="W104" s="126" t="e">
        <f t="shared" ca="1" si="23"/>
        <v>#VALUE!</v>
      </c>
      <c r="X104" s="126" t="e">
        <f t="shared" ca="1" si="23"/>
        <v>#VALUE!</v>
      </c>
      <c r="Y104" s="126" t="e">
        <f t="shared" ca="1" si="23"/>
        <v>#VALUE!</v>
      </c>
      <c r="Z104" s="126" t="e">
        <f t="shared" ca="1" si="23"/>
        <v>#VALUE!</v>
      </c>
      <c r="AA104" s="126" t="e">
        <f t="shared" ca="1" si="23"/>
        <v>#VALUE!</v>
      </c>
      <c r="AB104" s="126" t="e">
        <f t="shared" ca="1" si="23"/>
        <v>#VALUE!</v>
      </c>
      <c r="AC104" s="126" t="e">
        <f t="shared" ca="1" si="23"/>
        <v>#VALUE!</v>
      </c>
      <c r="AD104" s="126" t="e">
        <f t="shared" ca="1" si="23"/>
        <v>#VALUE!</v>
      </c>
      <c r="AE104" s="126" t="e">
        <f t="shared" ca="1" si="23"/>
        <v>#VALUE!</v>
      </c>
      <c r="AF104" s="126" t="e">
        <f t="shared" ca="1" si="23"/>
        <v>#VALUE!</v>
      </c>
      <c r="AG104" s="126" t="e">
        <f t="shared" ca="1" si="23"/>
        <v>#VALUE!</v>
      </c>
      <c r="AH104" s="126" t="e">
        <f t="shared" ca="1" si="23"/>
        <v>#VALUE!</v>
      </c>
      <c r="AI104" s="126" t="e">
        <f t="shared" ca="1" si="23"/>
        <v>#VALUE!</v>
      </c>
      <c r="AJ104" s="126" t="e">
        <f t="shared" ca="1" si="23"/>
        <v>#VALUE!</v>
      </c>
      <c r="AK104" s="126" t="e">
        <f t="shared" ca="1" si="23"/>
        <v>#VALUE!</v>
      </c>
      <c r="AL104" s="126" t="e">
        <f t="shared" ca="1" si="23"/>
        <v>#VALUE!</v>
      </c>
      <c r="AM104" s="126" t="e">
        <f t="shared" ca="1" si="23"/>
        <v>#VALUE!</v>
      </c>
      <c r="AN104" s="126" t="e">
        <f t="shared" ca="1" si="23"/>
        <v>#VALUE!</v>
      </c>
      <c r="AO104" s="126" t="e">
        <f t="shared" ca="1" si="23"/>
        <v>#VALUE!</v>
      </c>
      <c r="AP104" s="126" t="e">
        <f t="shared" ca="1" si="23"/>
        <v>#VALUE!</v>
      </c>
      <c r="AQ104" s="126" t="e">
        <f t="shared" ca="1" si="23"/>
        <v>#VALUE!</v>
      </c>
      <c r="AR104" s="126" t="e">
        <f t="shared" ca="1" si="23"/>
        <v>#VALUE!</v>
      </c>
      <c r="AS104" s="126" t="e">
        <f t="shared" ca="1" si="23"/>
        <v>#VALUE!</v>
      </c>
      <c r="AT104" s="126" t="e">
        <f t="shared" ca="1" si="23"/>
        <v>#VALUE!</v>
      </c>
      <c r="AU104" s="126" t="e">
        <f t="shared" ca="1" si="23"/>
        <v>#VALUE!</v>
      </c>
    </row>
    <row r="105" spans="2:47" x14ac:dyDescent="0.25">
      <c r="B105" t="s">
        <v>555</v>
      </c>
      <c r="C105" s="126" t="e">
        <f t="shared" ca="1" si="24"/>
        <v>#VALUE!</v>
      </c>
      <c r="D105" s="126" t="e">
        <f t="shared" ca="1" si="24"/>
        <v>#VALUE!</v>
      </c>
      <c r="E105" s="126" t="e">
        <f t="shared" ca="1" si="24"/>
        <v>#VALUE!</v>
      </c>
      <c r="F105" s="126" t="e">
        <f t="shared" ca="1" si="24"/>
        <v>#VALUE!</v>
      </c>
      <c r="G105" s="126" t="e">
        <f t="shared" ca="1" si="24"/>
        <v>#VALUE!</v>
      </c>
      <c r="H105" s="126" t="e">
        <f t="shared" ca="1" si="24"/>
        <v>#VALUE!</v>
      </c>
      <c r="I105" s="126" t="e">
        <f t="shared" ca="1" si="24"/>
        <v>#VALUE!</v>
      </c>
      <c r="J105" s="126" t="e">
        <f t="shared" ca="1" si="24"/>
        <v>#VALUE!</v>
      </c>
      <c r="K105" s="126" t="e">
        <f t="shared" ca="1" si="24"/>
        <v>#VALUE!</v>
      </c>
      <c r="L105" s="126" t="e">
        <f t="shared" ca="1" si="18"/>
        <v>#VALUE!</v>
      </c>
      <c r="M105" s="126" t="e">
        <f t="shared" ca="1" si="23"/>
        <v>#VALUE!</v>
      </c>
      <c r="N105" s="126" t="e">
        <f t="shared" ca="1" si="23"/>
        <v>#VALUE!</v>
      </c>
      <c r="O105" s="126" t="e">
        <f t="shared" ca="1" si="23"/>
        <v>#VALUE!</v>
      </c>
      <c r="P105" s="126" t="e">
        <f t="shared" ca="1" si="23"/>
        <v>#VALUE!</v>
      </c>
      <c r="Q105" s="126" t="e">
        <f t="shared" ca="1" si="23"/>
        <v>#VALUE!</v>
      </c>
      <c r="R105" s="126" t="e">
        <f t="shared" ca="1" si="23"/>
        <v>#VALUE!</v>
      </c>
      <c r="S105" s="126" t="e">
        <f t="shared" ca="1" si="23"/>
        <v>#VALUE!</v>
      </c>
      <c r="T105" s="126" t="e">
        <f t="shared" ca="1" si="23"/>
        <v>#VALUE!</v>
      </c>
      <c r="U105" s="126" t="e">
        <f t="shared" ca="1" si="23"/>
        <v>#VALUE!</v>
      </c>
      <c r="V105" s="126" t="e">
        <f t="shared" ca="1" si="23"/>
        <v>#VALUE!</v>
      </c>
      <c r="W105" s="126" t="e">
        <f t="shared" ca="1" si="23"/>
        <v>#VALUE!</v>
      </c>
      <c r="X105" s="126" t="e">
        <f t="shared" ca="1" si="23"/>
        <v>#VALUE!</v>
      </c>
      <c r="Y105" s="126" t="e">
        <f t="shared" ca="1" si="23"/>
        <v>#VALUE!</v>
      </c>
      <c r="Z105" s="126" t="e">
        <f t="shared" ca="1" si="23"/>
        <v>#VALUE!</v>
      </c>
      <c r="AA105" s="126" t="e">
        <f t="shared" ca="1" si="23"/>
        <v>#VALUE!</v>
      </c>
      <c r="AB105" s="126" t="e">
        <f t="shared" ca="1" si="23"/>
        <v>#VALUE!</v>
      </c>
      <c r="AC105" s="126" t="e">
        <f t="shared" ca="1" si="23"/>
        <v>#VALUE!</v>
      </c>
      <c r="AD105" s="126" t="e">
        <f t="shared" ca="1" si="23"/>
        <v>#VALUE!</v>
      </c>
      <c r="AE105" s="126" t="e">
        <f t="shared" ca="1" si="23"/>
        <v>#VALUE!</v>
      </c>
      <c r="AF105" s="126" t="e">
        <f t="shared" ca="1" si="23"/>
        <v>#VALUE!</v>
      </c>
      <c r="AG105" s="126" t="e">
        <f t="shared" ca="1" si="23"/>
        <v>#VALUE!</v>
      </c>
      <c r="AH105" s="126" t="e">
        <f t="shared" ca="1" si="23"/>
        <v>#VALUE!</v>
      </c>
      <c r="AI105" s="126" t="e">
        <f t="shared" ca="1" si="23"/>
        <v>#VALUE!</v>
      </c>
      <c r="AJ105" s="126" t="e">
        <f t="shared" ca="1" si="23"/>
        <v>#VALUE!</v>
      </c>
      <c r="AK105" s="126" t="e">
        <f t="shared" ca="1" si="23"/>
        <v>#VALUE!</v>
      </c>
      <c r="AL105" s="126" t="e">
        <f t="shared" ca="1" si="23"/>
        <v>#VALUE!</v>
      </c>
      <c r="AM105" s="126" t="e">
        <f t="shared" ca="1" si="23"/>
        <v>#VALUE!</v>
      </c>
      <c r="AN105" s="126" t="e">
        <f t="shared" ca="1" si="23"/>
        <v>#VALUE!</v>
      </c>
      <c r="AO105" s="126" t="e">
        <f t="shared" ca="1" si="23"/>
        <v>#VALUE!</v>
      </c>
      <c r="AP105" s="126" t="e">
        <f t="shared" ca="1" si="23"/>
        <v>#VALUE!</v>
      </c>
      <c r="AQ105" s="126" t="e">
        <f t="shared" ref="M105:AU113" ca="1" si="25">Output("SCEN_ADEMEhaut",$B105,AQ$1)</f>
        <v>#VALUE!</v>
      </c>
      <c r="AR105" s="126" t="e">
        <f t="shared" ca="1" si="25"/>
        <v>#VALUE!</v>
      </c>
      <c r="AS105" s="126" t="e">
        <f t="shared" ca="1" si="25"/>
        <v>#VALUE!</v>
      </c>
      <c r="AT105" s="126" t="e">
        <f t="shared" ca="1" si="25"/>
        <v>#VALUE!</v>
      </c>
      <c r="AU105" s="126" t="e">
        <f t="shared" ca="1" si="25"/>
        <v>#VALUE!</v>
      </c>
    </row>
    <row r="106" spans="2:47" x14ac:dyDescent="0.25">
      <c r="B106" t="s">
        <v>575</v>
      </c>
      <c r="C106" s="126" t="e">
        <f t="shared" ca="1" si="24"/>
        <v>#VALUE!</v>
      </c>
      <c r="D106" s="126" t="e">
        <f t="shared" ca="1" si="24"/>
        <v>#VALUE!</v>
      </c>
      <c r="E106" s="126" t="e">
        <f t="shared" ca="1" si="24"/>
        <v>#VALUE!</v>
      </c>
      <c r="F106" s="126" t="e">
        <f t="shared" ca="1" si="24"/>
        <v>#VALUE!</v>
      </c>
      <c r="G106" s="126" t="e">
        <f t="shared" ca="1" si="24"/>
        <v>#VALUE!</v>
      </c>
      <c r="H106" s="126" t="e">
        <f t="shared" ca="1" si="24"/>
        <v>#VALUE!</v>
      </c>
      <c r="I106" s="126" t="e">
        <f t="shared" ca="1" si="24"/>
        <v>#VALUE!</v>
      </c>
      <c r="J106" s="126" t="e">
        <f t="shared" ca="1" si="24"/>
        <v>#VALUE!</v>
      </c>
      <c r="K106" s="126" t="e">
        <f t="shared" ca="1" si="24"/>
        <v>#VALUE!</v>
      </c>
      <c r="L106" s="126" t="e">
        <f t="shared" ca="1" si="18"/>
        <v>#VALUE!</v>
      </c>
      <c r="M106" s="126" t="e">
        <f t="shared" ca="1" si="25"/>
        <v>#VALUE!</v>
      </c>
      <c r="N106" s="126" t="e">
        <f t="shared" ca="1" si="25"/>
        <v>#VALUE!</v>
      </c>
      <c r="O106" s="126" t="e">
        <f t="shared" ca="1" si="25"/>
        <v>#VALUE!</v>
      </c>
      <c r="P106" s="126" t="e">
        <f t="shared" ca="1" si="25"/>
        <v>#VALUE!</v>
      </c>
      <c r="Q106" s="126" t="e">
        <f t="shared" ca="1" si="25"/>
        <v>#VALUE!</v>
      </c>
      <c r="R106" s="126" t="e">
        <f t="shared" ca="1" si="25"/>
        <v>#VALUE!</v>
      </c>
      <c r="S106" s="126" t="e">
        <f t="shared" ca="1" si="25"/>
        <v>#VALUE!</v>
      </c>
      <c r="T106" s="126" t="e">
        <f t="shared" ca="1" si="25"/>
        <v>#VALUE!</v>
      </c>
      <c r="U106" s="126" t="e">
        <f t="shared" ca="1" si="25"/>
        <v>#VALUE!</v>
      </c>
      <c r="V106" s="126" t="e">
        <f t="shared" ca="1" si="25"/>
        <v>#VALUE!</v>
      </c>
      <c r="W106" s="126" t="e">
        <f t="shared" ca="1" si="25"/>
        <v>#VALUE!</v>
      </c>
      <c r="X106" s="126" t="e">
        <f t="shared" ca="1" si="25"/>
        <v>#VALUE!</v>
      </c>
      <c r="Y106" s="126" t="e">
        <f t="shared" ca="1" si="25"/>
        <v>#VALUE!</v>
      </c>
      <c r="Z106" s="126" t="e">
        <f t="shared" ca="1" si="25"/>
        <v>#VALUE!</v>
      </c>
      <c r="AA106" s="126" t="e">
        <f t="shared" ca="1" si="25"/>
        <v>#VALUE!</v>
      </c>
      <c r="AB106" s="126" t="e">
        <f t="shared" ca="1" si="25"/>
        <v>#VALUE!</v>
      </c>
      <c r="AC106" s="126" t="e">
        <f t="shared" ca="1" si="25"/>
        <v>#VALUE!</v>
      </c>
      <c r="AD106" s="126" t="e">
        <f t="shared" ca="1" si="25"/>
        <v>#VALUE!</v>
      </c>
      <c r="AE106" s="126" t="e">
        <f t="shared" ca="1" si="25"/>
        <v>#VALUE!</v>
      </c>
      <c r="AF106" s="126" t="e">
        <f t="shared" ca="1" si="25"/>
        <v>#VALUE!</v>
      </c>
      <c r="AG106" s="126" t="e">
        <f t="shared" ca="1" si="25"/>
        <v>#VALUE!</v>
      </c>
      <c r="AH106" s="126" t="e">
        <f t="shared" ca="1" si="25"/>
        <v>#VALUE!</v>
      </c>
      <c r="AI106" s="126" t="e">
        <f t="shared" ca="1" si="25"/>
        <v>#VALUE!</v>
      </c>
      <c r="AJ106" s="126" t="e">
        <f t="shared" ca="1" si="25"/>
        <v>#VALUE!</v>
      </c>
      <c r="AK106" s="126" t="e">
        <f t="shared" ca="1" si="25"/>
        <v>#VALUE!</v>
      </c>
      <c r="AL106" s="126" t="e">
        <f t="shared" ca="1" si="25"/>
        <v>#VALUE!</v>
      </c>
      <c r="AM106" s="126" t="e">
        <f t="shared" ca="1" si="25"/>
        <v>#VALUE!</v>
      </c>
      <c r="AN106" s="126" t="e">
        <f t="shared" ca="1" si="25"/>
        <v>#VALUE!</v>
      </c>
      <c r="AO106" s="126" t="e">
        <f t="shared" ca="1" si="25"/>
        <v>#VALUE!</v>
      </c>
      <c r="AP106" s="126" t="e">
        <f t="shared" ca="1" si="25"/>
        <v>#VALUE!</v>
      </c>
      <c r="AQ106" s="126" t="e">
        <f t="shared" ca="1" si="25"/>
        <v>#VALUE!</v>
      </c>
      <c r="AR106" s="126" t="e">
        <f t="shared" ca="1" si="25"/>
        <v>#VALUE!</v>
      </c>
      <c r="AS106" s="126" t="e">
        <f t="shared" ca="1" si="25"/>
        <v>#VALUE!</v>
      </c>
      <c r="AT106" s="126" t="e">
        <f t="shared" ca="1" si="25"/>
        <v>#VALUE!</v>
      </c>
      <c r="AU106" s="126" t="e">
        <f t="shared" ca="1" si="25"/>
        <v>#VALUE!</v>
      </c>
    </row>
    <row r="107" spans="2:47" x14ac:dyDescent="0.25">
      <c r="B107" t="s">
        <v>565</v>
      </c>
      <c r="C107" s="126" t="e">
        <f t="shared" ca="1" si="24"/>
        <v>#VALUE!</v>
      </c>
      <c r="D107" s="126" t="e">
        <f t="shared" ca="1" si="24"/>
        <v>#VALUE!</v>
      </c>
      <c r="E107" s="126" t="e">
        <f t="shared" ca="1" si="24"/>
        <v>#VALUE!</v>
      </c>
      <c r="F107" s="126" t="e">
        <f t="shared" ca="1" si="24"/>
        <v>#VALUE!</v>
      </c>
      <c r="G107" s="126" t="e">
        <f t="shared" ca="1" si="24"/>
        <v>#VALUE!</v>
      </c>
      <c r="H107" s="126" t="e">
        <f t="shared" ca="1" si="24"/>
        <v>#VALUE!</v>
      </c>
      <c r="I107" s="126" t="e">
        <f t="shared" ca="1" si="24"/>
        <v>#VALUE!</v>
      </c>
      <c r="J107" s="126" t="e">
        <f t="shared" ca="1" si="24"/>
        <v>#VALUE!</v>
      </c>
      <c r="K107" s="126" t="e">
        <f t="shared" ca="1" si="24"/>
        <v>#VALUE!</v>
      </c>
      <c r="L107" s="126" t="e">
        <f t="shared" ca="1" si="18"/>
        <v>#VALUE!</v>
      </c>
      <c r="M107" s="126" t="e">
        <f t="shared" ca="1" si="25"/>
        <v>#VALUE!</v>
      </c>
      <c r="N107" s="126" t="e">
        <f t="shared" ca="1" si="25"/>
        <v>#VALUE!</v>
      </c>
      <c r="O107" s="126" t="e">
        <f t="shared" ca="1" si="25"/>
        <v>#VALUE!</v>
      </c>
      <c r="P107" s="126" t="e">
        <f t="shared" ca="1" si="25"/>
        <v>#VALUE!</v>
      </c>
      <c r="Q107" s="126" t="e">
        <f t="shared" ca="1" si="25"/>
        <v>#VALUE!</v>
      </c>
      <c r="R107" s="126" t="e">
        <f t="shared" ca="1" si="25"/>
        <v>#VALUE!</v>
      </c>
      <c r="S107" s="126" t="e">
        <f t="shared" ca="1" si="25"/>
        <v>#VALUE!</v>
      </c>
      <c r="T107" s="126" t="e">
        <f t="shared" ca="1" si="25"/>
        <v>#VALUE!</v>
      </c>
      <c r="U107" s="126" t="e">
        <f t="shared" ca="1" si="25"/>
        <v>#VALUE!</v>
      </c>
      <c r="V107" s="126" t="e">
        <f t="shared" ca="1" si="25"/>
        <v>#VALUE!</v>
      </c>
      <c r="W107" s="126" t="e">
        <f t="shared" ca="1" si="25"/>
        <v>#VALUE!</v>
      </c>
      <c r="X107" s="126" t="e">
        <f t="shared" ca="1" si="25"/>
        <v>#VALUE!</v>
      </c>
      <c r="Y107" s="126" t="e">
        <f t="shared" ca="1" si="25"/>
        <v>#VALUE!</v>
      </c>
      <c r="Z107" s="126" t="e">
        <f t="shared" ca="1" si="25"/>
        <v>#VALUE!</v>
      </c>
      <c r="AA107" s="126" t="e">
        <f t="shared" ca="1" si="25"/>
        <v>#VALUE!</v>
      </c>
      <c r="AB107" s="126" t="e">
        <f t="shared" ca="1" si="25"/>
        <v>#VALUE!</v>
      </c>
      <c r="AC107" s="126" t="e">
        <f t="shared" ca="1" si="25"/>
        <v>#VALUE!</v>
      </c>
      <c r="AD107" s="126" t="e">
        <f t="shared" ca="1" si="25"/>
        <v>#VALUE!</v>
      </c>
      <c r="AE107" s="126" t="e">
        <f t="shared" ca="1" si="25"/>
        <v>#VALUE!</v>
      </c>
      <c r="AF107" s="126" t="e">
        <f t="shared" ca="1" si="25"/>
        <v>#VALUE!</v>
      </c>
      <c r="AG107" s="126" t="e">
        <f t="shared" ca="1" si="25"/>
        <v>#VALUE!</v>
      </c>
      <c r="AH107" s="126" t="e">
        <f t="shared" ca="1" si="25"/>
        <v>#VALUE!</v>
      </c>
      <c r="AI107" s="126" t="e">
        <f t="shared" ca="1" si="25"/>
        <v>#VALUE!</v>
      </c>
      <c r="AJ107" s="126" t="e">
        <f t="shared" ca="1" si="25"/>
        <v>#VALUE!</v>
      </c>
      <c r="AK107" s="126" t="e">
        <f t="shared" ca="1" si="25"/>
        <v>#VALUE!</v>
      </c>
      <c r="AL107" s="126" t="e">
        <f t="shared" ca="1" si="25"/>
        <v>#VALUE!</v>
      </c>
      <c r="AM107" s="126" t="e">
        <f t="shared" ca="1" si="25"/>
        <v>#VALUE!</v>
      </c>
      <c r="AN107" s="126" t="e">
        <f t="shared" ca="1" si="25"/>
        <v>#VALUE!</v>
      </c>
      <c r="AO107" s="126" t="e">
        <f t="shared" ca="1" si="25"/>
        <v>#VALUE!</v>
      </c>
      <c r="AP107" s="126" t="e">
        <f t="shared" ca="1" si="25"/>
        <v>#VALUE!</v>
      </c>
      <c r="AQ107" s="126" t="e">
        <f t="shared" ca="1" si="25"/>
        <v>#VALUE!</v>
      </c>
      <c r="AR107" s="126" t="e">
        <f t="shared" ca="1" si="25"/>
        <v>#VALUE!</v>
      </c>
      <c r="AS107" s="126" t="e">
        <f t="shared" ca="1" si="25"/>
        <v>#VALUE!</v>
      </c>
      <c r="AT107" s="126" t="e">
        <f t="shared" ca="1" si="25"/>
        <v>#VALUE!</v>
      </c>
      <c r="AU107" s="126" t="e">
        <f t="shared" ca="1" si="25"/>
        <v>#VALUE!</v>
      </c>
    </row>
    <row r="108" spans="2:47" x14ac:dyDescent="0.25">
      <c r="B108" t="s">
        <v>566</v>
      </c>
      <c r="C108" s="126" t="e">
        <f t="shared" ca="1" si="24"/>
        <v>#VALUE!</v>
      </c>
      <c r="D108" s="126" t="e">
        <f t="shared" ca="1" si="24"/>
        <v>#VALUE!</v>
      </c>
      <c r="E108" s="126" t="e">
        <f t="shared" ca="1" si="24"/>
        <v>#VALUE!</v>
      </c>
      <c r="F108" s="126" t="e">
        <f t="shared" ca="1" si="24"/>
        <v>#VALUE!</v>
      </c>
      <c r="G108" s="126" t="e">
        <f t="shared" ca="1" si="24"/>
        <v>#VALUE!</v>
      </c>
      <c r="H108" s="126" t="e">
        <f t="shared" ca="1" si="24"/>
        <v>#VALUE!</v>
      </c>
      <c r="I108" s="126" t="e">
        <f t="shared" ca="1" si="24"/>
        <v>#VALUE!</v>
      </c>
      <c r="J108" s="126" t="e">
        <f t="shared" ca="1" si="24"/>
        <v>#VALUE!</v>
      </c>
      <c r="K108" s="126" t="e">
        <f t="shared" ca="1" si="24"/>
        <v>#VALUE!</v>
      </c>
      <c r="L108" s="126" t="e">
        <f t="shared" ca="1" si="18"/>
        <v>#VALUE!</v>
      </c>
      <c r="M108" s="126" t="e">
        <f t="shared" ca="1" si="25"/>
        <v>#VALUE!</v>
      </c>
      <c r="N108" s="126" t="e">
        <f t="shared" ca="1" si="25"/>
        <v>#VALUE!</v>
      </c>
      <c r="O108" s="126" t="e">
        <f t="shared" ca="1" si="25"/>
        <v>#VALUE!</v>
      </c>
      <c r="P108" s="126" t="e">
        <f t="shared" ca="1" si="25"/>
        <v>#VALUE!</v>
      </c>
      <c r="Q108" s="126" t="e">
        <f t="shared" ca="1" si="25"/>
        <v>#VALUE!</v>
      </c>
      <c r="R108" s="126" t="e">
        <f t="shared" ca="1" si="25"/>
        <v>#VALUE!</v>
      </c>
      <c r="S108" s="126" t="e">
        <f t="shared" ca="1" si="25"/>
        <v>#VALUE!</v>
      </c>
      <c r="T108" s="126" t="e">
        <f t="shared" ca="1" si="25"/>
        <v>#VALUE!</v>
      </c>
      <c r="U108" s="126" t="e">
        <f t="shared" ca="1" si="25"/>
        <v>#VALUE!</v>
      </c>
      <c r="V108" s="126" t="e">
        <f t="shared" ca="1" si="25"/>
        <v>#VALUE!</v>
      </c>
      <c r="W108" s="126" t="e">
        <f t="shared" ca="1" si="25"/>
        <v>#VALUE!</v>
      </c>
      <c r="X108" s="126" t="e">
        <f t="shared" ca="1" si="25"/>
        <v>#VALUE!</v>
      </c>
      <c r="Y108" s="126" t="e">
        <f t="shared" ca="1" si="25"/>
        <v>#VALUE!</v>
      </c>
      <c r="Z108" s="126" t="e">
        <f t="shared" ca="1" si="25"/>
        <v>#VALUE!</v>
      </c>
      <c r="AA108" s="126" t="e">
        <f t="shared" ca="1" si="25"/>
        <v>#VALUE!</v>
      </c>
      <c r="AB108" s="126" t="e">
        <f t="shared" ca="1" si="25"/>
        <v>#VALUE!</v>
      </c>
      <c r="AC108" s="126" t="e">
        <f t="shared" ca="1" si="25"/>
        <v>#VALUE!</v>
      </c>
      <c r="AD108" s="126" t="e">
        <f t="shared" ca="1" si="25"/>
        <v>#VALUE!</v>
      </c>
      <c r="AE108" s="126" t="e">
        <f t="shared" ca="1" si="25"/>
        <v>#VALUE!</v>
      </c>
      <c r="AF108" s="126" t="e">
        <f t="shared" ca="1" si="25"/>
        <v>#VALUE!</v>
      </c>
      <c r="AG108" s="126" t="e">
        <f t="shared" ca="1" si="25"/>
        <v>#VALUE!</v>
      </c>
      <c r="AH108" s="126" t="e">
        <f t="shared" ca="1" si="25"/>
        <v>#VALUE!</v>
      </c>
      <c r="AI108" s="126" t="e">
        <f t="shared" ca="1" si="25"/>
        <v>#VALUE!</v>
      </c>
      <c r="AJ108" s="126" t="e">
        <f t="shared" ca="1" si="25"/>
        <v>#VALUE!</v>
      </c>
      <c r="AK108" s="126" t="e">
        <f t="shared" ca="1" si="25"/>
        <v>#VALUE!</v>
      </c>
      <c r="AL108" s="126" t="e">
        <f t="shared" ca="1" si="25"/>
        <v>#VALUE!</v>
      </c>
      <c r="AM108" s="126" t="e">
        <f t="shared" ca="1" si="25"/>
        <v>#VALUE!</v>
      </c>
      <c r="AN108" s="126" t="e">
        <f t="shared" ca="1" si="25"/>
        <v>#VALUE!</v>
      </c>
      <c r="AO108" s="126" t="e">
        <f t="shared" ca="1" si="25"/>
        <v>#VALUE!</v>
      </c>
      <c r="AP108" s="126" t="e">
        <f t="shared" ca="1" si="25"/>
        <v>#VALUE!</v>
      </c>
      <c r="AQ108" s="126" t="e">
        <f t="shared" ca="1" si="25"/>
        <v>#VALUE!</v>
      </c>
      <c r="AR108" s="126" t="e">
        <f t="shared" ca="1" si="25"/>
        <v>#VALUE!</v>
      </c>
      <c r="AS108" s="126" t="e">
        <f t="shared" ca="1" si="25"/>
        <v>#VALUE!</v>
      </c>
      <c r="AT108" s="126" t="e">
        <f t="shared" ca="1" si="25"/>
        <v>#VALUE!</v>
      </c>
      <c r="AU108" s="126" t="e">
        <f t="shared" ca="1" si="25"/>
        <v>#VALUE!</v>
      </c>
    </row>
    <row r="109" spans="2:47" x14ac:dyDescent="0.25">
      <c r="B109" t="s">
        <v>567</v>
      </c>
      <c r="C109" s="126" t="e">
        <f t="shared" ca="1" si="24"/>
        <v>#VALUE!</v>
      </c>
      <c r="D109" s="126" t="e">
        <f t="shared" ca="1" si="24"/>
        <v>#VALUE!</v>
      </c>
      <c r="E109" s="126" t="e">
        <f t="shared" ca="1" si="24"/>
        <v>#VALUE!</v>
      </c>
      <c r="F109" s="126" t="e">
        <f t="shared" ca="1" si="24"/>
        <v>#VALUE!</v>
      </c>
      <c r="G109" s="126" t="e">
        <f t="shared" ca="1" si="24"/>
        <v>#VALUE!</v>
      </c>
      <c r="H109" s="126" t="e">
        <f t="shared" ca="1" si="24"/>
        <v>#VALUE!</v>
      </c>
      <c r="I109" s="126" t="e">
        <f t="shared" ca="1" si="24"/>
        <v>#VALUE!</v>
      </c>
      <c r="J109" s="126" t="e">
        <f t="shared" ca="1" si="24"/>
        <v>#VALUE!</v>
      </c>
      <c r="K109" s="126" t="e">
        <f t="shared" ca="1" si="24"/>
        <v>#VALUE!</v>
      </c>
      <c r="L109" s="126" t="e">
        <f t="shared" ca="1" si="18"/>
        <v>#VALUE!</v>
      </c>
      <c r="M109" s="126" t="e">
        <f t="shared" ca="1" si="25"/>
        <v>#VALUE!</v>
      </c>
      <c r="N109" s="126" t="e">
        <f t="shared" ca="1" si="25"/>
        <v>#VALUE!</v>
      </c>
      <c r="O109" s="126" t="e">
        <f t="shared" ca="1" si="25"/>
        <v>#VALUE!</v>
      </c>
      <c r="P109" s="126" t="e">
        <f t="shared" ca="1" si="25"/>
        <v>#VALUE!</v>
      </c>
      <c r="Q109" s="126" t="e">
        <f t="shared" ca="1" si="25"/>
        <v>#VALUE!</v>
      </c>
      <c r="R109" s="126" t="e">
        <f t="shared" ca="1" si="25"/>
        <v>#VALUE!</v>
      </c>
      <c r="S109" s="126" t="e">
        <f t="shared" ca="1" si="25"/>
        <v>#VALUE!</v>
      </c>
      <c r="T109" s="126" t="e">
        <f t="shared" ca="1" si="25"/>
        <v>#VALUE!</v>
      </c>
      <c r="U109" s="126" t="e">
        <f t="shared" ca="1" si="25"/>
        <v>#VALUE!</v>
      </c>
      <c r="V109" s="126" t="e">
        <f t="shared" ca="1" si="25"/>
        <v>#VALUE!</v>
      </c>
      <c r="W109" s="126" t="e">
        <f t="shared" ca="1" si="25"/>
        <v>#VALUE!</v>
      </c>
      <c r="X109" s="126" t="e">
        <f t="shared" ca="1" si="25"/>
        <v>#VALUE!</v>
      </c>
      <c r="Y109" s="126" t="e">
        <f t="shared" ca="1" si="25"/>
        <v>#VALUE!</v>
      </c>
      <c r="Z109" s="126" t="e">
        <f t="shared" ca="1" si="25"/>
        <v>#VALUE!</v>
      </c>
      <c r="AA109" s="126" t="e">
        <f t="shared" ca="1" si="25"/>
        <v>#VALUE!</v>
      </c>
      <c r="AB109" s="126" t="e">
        <f t="shared" ca="1" si="25"/>
        <v>#VALUE!</v>
      </c>
      <c r="AC109" s="126" t="e">
        <f t="shared" ca="1" si="25"/>
        <v>#VALUE!</v>
      </c>
      <c r="AD109" s="126" t="e">
        <f t="shared" ca="1" si="25"/>
        <v>#VALUE!</v>
      </c>
      <c r="AE109" s="126" t="e">
        <f t="shared" ca="1" si="25"/>
        <v>#VALUE!</v>
      </c>
      <c r="AF109" s="126" t="e">
        <f t="shared" ca="1" si="25"/>
        <v>#VALUE!</v>
      </c>
      <c r="AG109" s="126" t="e">
        <f t="shared" ca="1" si="25"/>
        <v>#VALUE!</v>
      </c>
      <c r="AH109" s="126" t="e">
        <f t="shared" ca="1" si="25"/>
        <v>#VALUE!</v>
      </c>
      <c r="AI109" s="126" t="e">
        <f t="shared" ca="1" si="25"/>
        <v>#VALUE!</v>
      </c>
      <c r="AJ109" s="126" t="e">
        <f t="shared" ca="1" si="25"/>
        <v>#VALUE!</v>
      </c>
      <c r="AK109" s="126" t="e">
        <f t="shared" ca="1" si="25"/>
        <v>#VALUE!</v>
      </c>
      <c r="AL109" s="126" t="e">
        <f t="shared" ca="1" si="25"/>
        <v>#VALUE!</v>
      </c>
      <c r="AM109" s="126" t="e">
        <f t="shared" ca="1" si="25"/>
        <v>#VALUE!</v>
      </c>
      <c r="AN109" s="126" t="e">
        <f t="shared" ca="1" si="25"/>
        <v>#VALUE!</v>
      </c>
      <c r="AO109" s="126" t="e">
        <f t="shared" ca="1" si="25"/>
        <v>#VALUE!</v>
      </c>
      <c r="AP109" s="126" t="e">
        <f t="shared" ca="1" si="25"/>
        <v>#VALUE!</v>
      </c>
      <c r="AQ109" s="126" t="e">
        <f t="shared" ca="1" si="25"/>
        <v>#VALUE!</v>
      </c>
      <c r="AR109" s="126" t="e">
        <f t="shared" ca="1" si="25"/>
        <v>#VALUE!</v>
      </c>
      <c r="AS109" s="126" t="e">
        <f t="shared" ca="1" si="25"/>
        <v>#VALUE!</v>
      </c>
      <c r="AT109" s="126" t="e">
        <f t="shared" ca="1" si="25"/>
        <v>#VALUE!</v>
      </c>
      <c r="AU109" s="126" t="e">
        <f t="shared" ca="1" si="25"/>
        <v>#VALUE!</v>
      </c>
    </row>
    <row r="110" spans="2:47" x14ac:dyDescent="0.25">
      <c r="B110" t="s">
        <v>568</v>
      </c>
      <c r="C110" s="126" t="e">
        <f t="shared" ca="1" si="24"/>
        <v>#VALUE!</v>
      </c>
      <c r="D110" s="126" t="e">
        <f t="shared" ca="1" si="24"/>
        <v>#VALUE!</v>
      </c>
      <c r="E110" s="126" t="e">
        <f t="shared" ca="1" si="24"/>
        <v>#VALUE!</v>
      </c>
      <c r="F110" s="126" t="e">
        <f t="shared" ca="1" si="24"/>
        <v>#VALUE!</v>
      </c>
      <c r="G110" s="126" t="e">
        <f t="shared" ca="1" si="24"/>
        <v>#VALUE!</v>
      </c>
      <c r="H110" s="126" t="e">
        <f t="shared" ca="1" si="24"/>
        <v>#VALUE!</v>
      </c>
      <c r="I110" s="126" t="e">
        <f t="shared" ca="1" si="24"/>
        <v>#VALUE!</v>
      </c>
      <c r="J110" s="126" t="e">
        <f t="shared" ca="1" si="24"/>
        <v>#VALUE!</v>
      </c>
      <c r="K110" s="126" t="e">
        <f t="shared" ca="1" si="24"/>
        <v>#VALUE!</v>
      </c>
      <c r="L110" s="126" t="e">
        <f t="shared" ca="1" si="18"/>
        <v>#VALUE!</v>
      </c>
      <c r="M110" s="126" t="e">
        <f t="shared" ca="1" si="25"/>
        <v>#VALUE!</v>
      </c>
      <c r="N110" s="126" t="e">
        <f t="shared" ca="1" si="25"/>
        <v>#VALUE!</v>
      </c>
      <c r="O110" s="126" t="e">
        <f t="shared" ca="1" si="25"/>
        <v>#VALUE!</v>
      </c>
      <c r="P110" s="126" t="e">
        <f t="shared" ca="1" si="25"/>
        <v>#VALUE!</v>
      </c>
      <c r="Q110" s="126" t="e">
        <f t="shared" ca="1" si="25"/>
        <v>#VALUE!</v>
      </c>
      <c r="R110" s="126" t="e">
        <f t="shared" ca="1" si="25"/>
        <v>#VALUE!</v>
      </c>
      <c r="S110" s="126" t="e">
        <f t="shared" ca="1" si="25"/>
        <v>#VALUE!</v>
      </c>
      <c r="T110" s="126" t="e">
        <f t="shared" ca="1" si="25"/>
        <v>#VALUE!</v>
      </c>
      <c r="U110" s="126" t="e">
        <f t="shared" ca="1" si="25"/>
        <v>#VALUE!</v>
      </c>
      <c r="V110" s="126" t="e">
        <f t="shared" ca="1" si="25"/>
        <v>#VALUE!</v>
      </c>
      <c r="W110" s="126" t="e">
        <f t="shared" ca="1" si="25"/>
        <v>#VALUE!</v>
      </c>
      <c r="X110" s="126" t="e">
        <f t="shared" ca="1" si="25"/>
        <v>#VALUE!</v>
      </c>
      <c r="Y110" s="126" t="e">
        <f t="shared" ca="1" si="25"/>
        <v>#VALUE!</v>
      </c>
      <c r="Z110" s="126" t="e">
        <f t="shared" ca="1" si="25"/>
        <v>#VALUE!</v>
      </c>
      <c r="AA110" s="126" t="e">
        <f t="shared" ca="1" si="25"/>
        <v>#VALUE!</v>
      </c>
      <c r="AB110" s="126" t="e">
        <f t="shared" ca="1" si="25"/>
        <v>#VALUE!</v>
      </c>
      <c r="AC110" s="126" t="e">
        <f t="shared" ca="1" si="25"/>
        <v>#VALUE!</v>
      </c>
      <c r="AD110" s="126" t="e">
        <f t="shared" ca="1" si="25"/>
        <v>#VALUE!</v>
      </c>
      <c r="AE110" s="126" t="e">
        <f t="shared" ca="1" si="25"/>
        <v>#VALUE!</v>
      </c>
      <c r="AF110" s="126" t="e">
        <f t="shared" ca="1" si="25"/>
        <v>#VALUE!</v>
      </c>
      <c r="AG110" s="126" t="e">
        <f t="shared" ca="1" si="25"/>
        <v>#VALUE!</v>
      </c>
      <c r="AH110" s="126" t="e">
        <f t="shared" ca="1" si="25"/>
        <v>#VALUE!</v>
      </c>
      <c r="AI110" s="126" t="e">
        <f t="shared" ca="1" si="25"/>
        <v>#VALUE!</v>
      </c>
      <c r="AJ110" s="126" t="e">
        <f t="shared" ca="1" si="25"/>
        <v>#VALUE!</v>
      </c>
      <c r="AK110" s="126" t="e">
        <f t="shared" ca="1" si="25"/>
        <v>#VALUE!</v>
      </c>
      <c r="AL110" s="126" t="e">
        <f t="shared" ca="1" si="25"/>
        <v>#VALUE!</v>
      </c>
      <c r="AM110" s="126" t="e">
        <f t="shared" ca="1" si="25"/>
        <v>#VALUE!</v>
      </c>
      <c r="AN110" s="126" t="e">
        <f t="shared" ca="1" si="25"/>
        <v>#VALUE!</v>
      </c>
      <c r="AO110" s="126" t="e">
        <f t="shared" ca="1" si="25"/>
        <v>#VALUE!</v>
      </c>
      <c r="AP110" s="126" t="e">
        <f t="shared" ca="1" si="25"/>
        <v>#VALUE!</v>
      </c>
      <c r="AQ110" s="126" t="e">
        <f t="shared" ca="1" si="25"/>
        <v>#VALUE!</v>
      </c>
      <c r="AR110" s="126" t="e">
        <f t="shared" ca="1" si="25"/>
        <v>#VALUE!</v>
      </c>
      <c r="AS110" s="126" t="e">
        <f t="shared" ca="1" si="25"/>
        <v>#VALUE!</v>
      </c>
      <c r="AT110" s="126" t="e">
        <f t="shared" ca="1" si="25"/>
        <v>#VALUE!</v>
      </c>
      <c r="AU110" s="126" t="e">
        <f t="shared" ca="1" si="25"/>
        <v>#VALUE!</v>
      </c>
    </row>
    <row r="111" spans="2:47" x14ac:dyDescent="0.25">
      <c r="B111" t="s">
        <v>569</v>
      </c>
      <c r="C111" s="126" t="e">
        <f t="shared" ca="1" si="24"/>
        <v>#VALUE!</v>
      </c>
      <c r="D111" s="126" t="e">
        <f t="shared" ca="1" si="24"/>
        <v>#VALUE!</v>
      </c>
      <c r="E111" s="126" t="e">
        <f t="shared" ca="1" si="24"/>
        <v>#VALUE!</v>
      </c>
      <c r="F111" s="126" t="e">
        <f t="shared" ca="1" si="24"/>
        <v>#VALUE!</v>
      </c>
      <c r="G111" s="126" t="e">
        <f t="shared" ca="1" si="24"/>
        <v>#VALUE!</v>
      </c>
      <c r="H111" s="126" t="e">
        <f t="shared" ca="1" si="24"/>
        <v>#VALUE!</v>
      </c>
      <c r="I111" s="126" t="e">
        <f t="shared" ca="1" si="24"/>
        <v>#VALUE!</v>
      </c>
      <c r="J111" s="126" t="e">
        <f t="shared" ca="1" si="24"/>
        <v>#VALUE!</v>
      </c>
      <c r="K111" s="126" t="e">
        <f t="shared" ca="1" si="24"/>
        <v>#VALUE!</v>
      </c>
      <c r="L111" s="126" t="e">
        <f t="shared" ca="1" si="18"/>
        <v>#VALUE!</v>
      </c>
      <c r="M111" s="126" t="e">
        <f t="shared" ca="1" si="25"/>
        <v>#VALUE!</v>
      </c>
      <c r="N111" s="126" t="e">
        <f t="shared" ca="1" si="25"/>
        <v>#VALUE!</v>
      </c>
      <c r="O111" s="126" t="e">
        <f t="shared" ca="1" si="25"/>
        <v>#VALUE!</v>
      </c>
      <c r="P111" s="126" t="e">
        <f t="shared" ca="1" si="25"/>
        <v>#VALUE!</v>
      </c>
      <c r="Q111" s="126" t="e">
        <f t="shared" ca="1" si="25"/>
        <v>#VALUE!</v>
      </c>
      <c r="R111" s="126" t="e">
        <f t="shared" ca="1" si="25"/>
        <v>#VALUE!</v>
      </c>
      <c r="S111" s="126" t="e">
        <f t="shared" ca="1" si="25"/>
        <v>#VALUE!</v>
      </c>
      <c r="T111" s="126" t="e">
        <f t="shared" ca="1" si="25"/>
        <v>#VALUE!</v>
      </c>
      <c r="U111" s="126" t="e">
        <f t="shared" ca="1" si="25"/>
        <v>#VALUE!</v>
      </c>
      <c r="V111" s="126" t="e">
        <f t="shared" ca="1" si="25"/>
        <v>#VALUE!</v>
      </c>
      <c r="W111" s="126" t="e">
        <f t="shared" ca="1" si="25"/>
        <v>#VALUE!</v>
      </c>
      <c r="X111" s="126" t="e">
        <f t="shared" ca="1" si="25"/>
        <v>#VALUE!</v>
      </c>
      <c r="Y111" s="126" t="e">
        <f t="shared" ca="1" si="25"/>
        <v>#VALUE!</v>
      </c>
      <c r="Z111" s="126" t="e">
        <f t="shared" ca="1" si="25"/>
        <v>#VALUE!</v>
      </c>
      <c r="AA111" s="126" t="e">
        <f t="shared" ca="1" si="25"/>
        <v>#VALUE!</v>
      </c>
      <c r="AB111" s="126" t="e">
        <f t="shared" ca="1" si="25"/>
        <v>#VALUE!</v>
      </c>
      <c r="AC111" s="126" t="e">
        <f t="shared" ca="1" si="25"/>
        <v>#VALUE!</v>
      </c>
      <c r="AD111" s="126" t="e">
        <f t="shared" ca="1" si="25"/>
        <v>#VALUE!</v>
      </c>
      <c r="AE111" s="126" t="e">
        <f t="shared" ca="1" si="25"/>
        <v>#VALUE!</v>
      </c>
      <c r="AF111" s="126" t="e">
        <f t="shared" ca="1" si="25"/>
        <v>#VALUE!</v>
      </c>
      <c r="AG111" s="126" t="e">
        <f t="shared" ca="1" si="25"/>
        <v>#VALUE!</v>
      </c>
      <c r="AH111" s="126" t="e">
        <f t="shared" ca="1" si="25"/>
        <v>#VALUE!</v>
      </c>
      <c r="AI111" s="126" t="e">
        <f t="shared" ca="1" si="25"/>
        <v>#VALUE!</v>
      </c>
      <c r="AJ111" s="126" t="e">
        <f t="shared" ca="1" si="25"/>
        <v>#VALUE!</v>
      </c>
      <c r="AK111" s="126" t="e">
        <f t="shared" ca="1" si="25"/>
        <v>#VALUE!</v>
      </c>
      <c r="AL111" s="126" t="e">
        <f t="shared" ca="1" si="25"/>
        <v>#VALUE!</v>
      </c>
      <c r="AM111" s="126" t="e">
        <f t="shared" ca="1" si="25"/>
        <v>#VALUE!</v>
      </c>
      <c r="AN111" s="126" t="e">
        <f t="shared" ca="1" si="25"/>
        <v>#VALUE!</v>
      </c>
      <c r="AO111" s="126" t="e">
        <f t="shared" ca="1" si="25"/>
        <v>#VALUE!</v>
      </c>
      <c r="AP111" s="126" t="e">
        <f t="shared" ca="1" si="25"/>
        <v>#VALUE!</v>
      </c>
      <c r="AQ111" s="126" t="e">
        <f t="shared" ca="1" si="25"/>
        <v>#VALUE!</v>
      </c>
      <c r="AR111" s="126" t="e">
        <f t="shared" ca="1" si="25"/>
        <v>#VALUE!</v>
      </c>
      <c r="AS111" s="126" t="e">
        <f t="shared" ca="1" si="25"/>
        <v>#VALUE!</v>
      </c>
      <c r="AT111" s="126" t="e">
        <f t="shared" ca="1" si="25"/>
        <v>#VALUE!</v>
      </c>
      <c r="AU111" s="126" t="e">
        <f t="shared" ca="1" si="25"/>
        <v>#VALUE!</v>
      </c>
    </row>
    <row r="112" spans="2:47" x14ac:dyDescent="0.25">
      <c r="B112" t="s">
        <v>570</v>
      </c>
      <c r="C112" s="126" t="e">
        <f t="shared" ca="1" si="24"/>
        <v>#VALUE!</v>
      </c>
      <c r="D112" s="126" t="e">
        <f t="shared" ca="1" si="24"/>
        <v>#VALUE!</v>
      </c>
      <c r="E112" s="126" t="e">
        <f t="shared" ca="1" si="24"/>
        <v>#VALUE!</v>
      </c>
      <c r="F112" s="126" t="e">
        <f t="shared" ca="1" si="24"/>
        <v>#VALUE!</v>
      </c>
      <c r="G112" s="126" t="e">
        <f t="shared" ca="1" si="24"/>
        <v>#VALUE!</v>
      </c>
      <c r="H112" s="126" t="e">
        <f t="shared" ca="1" si="24"/>
        <v>#VALUE!</v>
      </c>
      <c r="I112" s="126" t="e">
        <f t="shared" ca="1" si="24"/>
        <v>#VALUE!</v>
      </c>
      <c r="J112" s="126" t="e">
        <f t="shared" ca="1" si="24"/>
        <v>#VALUE!</v>
      </c>
      <c r="K112" s="126" t="e">
        <f t="shared" ca="1" si="24"/>
        <v>#VALUE!</v>
      </c>
      <c r="L112" s="126" t="e">
        <f t="shared" ca="1" si="18"/>
        <v>#VALUE!</v>
      </c>
      <c r="M112" s="126" t="e">
        <f t="shared" ca="1" si="25"/>
        <v>#VALUE!</v>
      </c>
      <c r="N112" s="126" t="e">
        <f t="shared" ca="1" si="25"/>
        <v>#VALUE!</v>
      </c>
      <c r="O112" s="126" t="e">
        <f t="shared" ca="1" si="25"/>
        <v>#VALUE!</v>
      </c>
      <c r="P112" s="126" t="e">
        <f t="shared" ca="1" si="25"/>
        <v>#VALUE!</v>
      </c>
      <c r="Q112" s="126" t="e">
        <f t="shared" ca="1" si="25"/>
        <v>#VALUE!</v>
      </c>
      <c r="R112" s="126" t="e">
        <f t="shared" ca="1" si="25"/>
        <v>#VALUE!</v>
      </c>
      <c r="S112" s="126" t="e">
        <f t="shared" ca="1" si="25"/>
        <v>#VALUE!</v>
      </c>
      <c r="T112" s="126" t="e">
        <f t="shared" ca="1" si="25"/>
        <v>#VALUE!</v>
      </c>
      <c r="U112" s="126" t="e">
        <f t="shared" ca="1" si="25"/>
        <v>#VALUE!</v>
      </c>
      <c r="V112" s="126" t="e">
        <f t="shared" ca="1" si="25"/>
        <v>#VALUE!</v>
      </c>
      <c r="W112" s="126" t="e">
        <f t="shared" ca="1" si="25"/>
        <v>#VALUE!</v>
      </c>
      <c r="X112" s="126" t="e">
        <f t="shared" ca="1" si="25"/>
        <v>#VALUE!</v>
      </c>
      <c r="Y112" s="126" t="e">
        <f t="shared" ca="1" si="25"/>
        <v>#VALUE!</v>
      </c>
      <c r="Z112" s="126" t="e">
        <f t="shared" ca="1" si="25"/>
        <v>#VALUE!</v>
      </c>
      <c r="AA112" s="126" t="e">
        <f t="shared" ca="1" si="25"/>
        <v>#VALUE!</v>
      </c>
      <c r="AB112" s="126" t="e">
        <f t="shared" ca="1" si="25"/>
        <v>#VALUE!</v>
      </c>
      <c r="AC112" s="126" t="e">
        <f t="shared" ca="1" si="25"/>
        <v>#VALUE!</v>
      </c>
      <c r="AD112" s="126" t="e">
        <f t="shared" ca="1" si="25"/>
        <v>#VALUE!</v>
      </c>
      <c r="AE112" s="126" t="e">
        <f t="shared" ca="1" si="25"/>
        <v>#VALUE!</v>
      </c>
      <c r="AF112" s="126" t="e">
        <f t="shared" ca="1" si="25"/>
        <v>#VALUE!</v>
      </c>
      <c r="AG112" s="126" t="e">
        <f t="shared" ca="1" si="25"/>
        <v>#VALUE!</v>
      </c>
      <c r="AH112" s="126" t="e">
        <f t="shared" ca="1" si="25"/>
        <v>#VALUE!</v>
      </c>
      <c r="AI112" s="126" t="e">
        <f t="shared" ca="1" si="25"/>
        <v>#VALUE!</v>
      </c>
      <c r="AJ112" s="126" t="e">
        <f t="shared" ca="1" si="25"/>
        <v>#VALUE!</v>
      </c>
      <c r="AK112" s="126" t="e">
        <f t="shared" ca="1" si="25"/>
        <v>#VALUE!</v>
      </c>
      <c r="AL112" s="126" t="e">
        <f t="shared" ca="1" si="25"/>
        <v>#VALUE!</v>
      </c>
      <c r="AM112" s="126" t="e">
        <f t="shared" ca="1" si="25"/>
        <v>#VALUE!</v>
      </c>
      <c r="AN112" s="126" t="e">
        <f t="shared" ca="1" si="25"/>
        <v>#VALUE!</v>
      </c>
      <c r="AO112" s="126" t="e">
        <f t="shared" ca="1" si="25"/>
        <v>#VALUE!</v>
      </c>
      <c r="AP112" s="126" t="e">
        <f t="shared" ca="1" si="25"/>
        <v>#VALUE!</v>
      </c>
      <c r="AQ112" s="126" t="e">
        <f t="shared" ca="1" si="25"/>
        <v>#VALUE!</v>
      </c>
      <c r="AR112" s="126" t="e">
        <f t="shared" ca="1" si="25"/>
        <v>#VALUE!</v>
      </c>
      <c r="AS112" s="126" t="e">
        <f t="shared" ca="1" si="25"/>
        <v>#VALUE!</v>
      </c>
      <c r="AT112" s="126" t="e">
        <f t="shared" ca="1" si="25"/>
        <v>#VALUE!</v>
      </c>
      <c r="AU112" s="126" t="e">
        <f t="shared" ca="1" si="25"/>
        <v>#VALUE!</v>
      </c>
    </row>
    <row r="113" spans="2:47" x14ac:dyDescent="0.25">
      <c r="B113" t="s">
        <v>571</v>
      </c>
      <c r="C113" s="126" t="e">
        <f t="shared" ca="1" si="24"/>
        <v>#VALUE!</v>
      </c>
      <c r="D113" s="126" t="e">
        <f t="shared" ca="1" si="24"/>
        <v>#VALUE!</v>
      </c>
      <c r="E113" s="126" t="e">
        <f t="shared" ca="1" si="24"/>
        <v>#VALUE!</v>
      </c>
      <c r="F113" s="126" t="e">
        <f t="shared" ca="1" si="24"/>
        <v>#VALUE!</v>
      </c>
      <c r="G113" s="126" t="e">
        <f t="shared" ca="1" si="24"/>
        <v>#VALUE!</v>
      </c>
      <c r="H113" s="126" t="e">
        <f t="shared" ca="1" si="24"/>
        <v>#VALUE!</v>
      </c>
      <c r="I113" s="126" t="e">
        <f t="shared" ca="1" si="24"/>
        <v>#VALUE!</v>
      </c>
      <c r="J113" s="126" t="e">
        <f t="shared" ca="1" si="24"/>
        <v>#VALUE!</v>
      </c>
      <c r="K113" s="126" t="e">
        <f t="shared" ca="1" si="24"/>
        <v>#VALUE!</v>
      </c>
      <c r="L113" s="126" t="e">
        <f t="shared" ca="1" si="18"/>
        <v>#VALUE!</v>
      </c>
      <c r="M113" s="126" t="e">
        <f t="shared" ca="1" si="25"/>
        <v>#VALUE!</v>
      </c>
      <c r="N113" s="126" t="e">
        <f t="shared" ca="1" si="25"/>
        <v>#VALUE!</v>
      </c>
      <c r="O113" s="126" t="e">
        <f t="shared" ca="1" si="25"/>
        <v>#VALUE!</v>
      </c>
      <c r="P113" s="126" t="e">
        <f t="shared" ca="1" si="25"/>
        <v>#VALUE!</v>
      </c>
      <c r="Q113" s="126" t="e">
        <f t="shared" ca="1" si="25"/>
        <v>#VALUE!</v>
      </c>
      <c r="R113" s="126" t="e">
        <f t="shared" ref="M113:AU115" ca="1" si="26">Output("SCEN_ADEMEhaut",$B113,R$1)</f>
        <v>#VALUE!</v>
      </c>
      <c r="S113" s="126" t="e">
        <f t="shared" ca="1" si="26"/>
        <v>#VALUE!</v>
      </c>
      <c r="T113" s="126" t="e">
        <f t="shared" ca="1" si="26"/>
        <v>#VALUE!</v>
      </c>
      <c r="U113" s="126" t="e">
        <f t="shared" ca="1" si="26"/>
        <v>#VALUE!</v>
      </c>
      <c r="V113" s="126" t="e">
        <f t="shared" ca="1" si="26"/>
        <v>#VALUE!</v>
      </c>
      <c r="W113" s="126" t="e">
        <f t="shared" ca="1" si="26"/>
        <v>#VALUE!</v>
      </c>
      <c r="X113" s="126" t="e">
        <f t="shared" ca="1" si="26"/>
        <v>#VALUE!</v>
      </c>
      <c r="Y113" s="126" t="e">
        <f t="shared" ca="1" si="26"/>
        <v>#VALUE!</v>
      </c>
      <c r="Z113" s="126" t="e">
        <f t="shared" ca="1" si="26"/>
        <v>#VALUE!</v>
      </c>
      <c r="AA113" s="126" t="e">
        <f t="shared" ca="1" si="26"/>
        <v>#VALUE!</v>
      </c>
      <c r="AB113" s="126" t="e">
        <f t="shared" ca="1" si="26"/>
        <v>#VALUE!</v>
      </c>
      <c r="AC113" s="126" t="e">
        <f t="shared" ca="1" si="26"/>
        <v>#VALUE!</v>
      </c>
      <c r="AD113" s="126" t="e">
        <f t="shared" ca="1" si="26"/>
        <v>#VALUE!</v>
      </c>
      <c r="AE113" s="126" t="e">
        <f t="shared" ca="1" si="26"/>
        <v>#VALUE!</v>
      </c>
      <c r="AF113" s="126" t="e">
        <f t="shared" ca="1" si="26"/>
        <v>#VALUE!</v>
      </c>
      <c r="AG113" s="126" t="e">
        <f t="shared" ca="1" si="26"/>
        <v>#VALUE!</v>
      </c>
      <c r="AH113" s="126" t="e">
        <f t="shared" ca="1" si="26"/>
        <v>#VALUE!</v>
      </c>
      <c r="AI113" s="126" t="e">
        <f t="shared" ca="1" si="26"/>
        <v>#VALUE!</v>
      </c>
      <c r="AJ113" s="126" t="e">
        <f t="shared" ca="1" si="26"/>
        <v>#VALUE!</v>
      </c>
      <c r="AK113" s="126" t="e">
        <f t="shared" ca="1" si="26"/>
        <v>#VALUE!</v>
      </c>
      <c r="AL113" s="126" t="e">
        <f t="shared" ca="1" si="26"/>
        <v>#VALUE!</v>
      </c>
      <c r="AM113" s="126" t="e">
        <f t="shared" ca="1" si="26"/>
        <v>#VALUE!</v>
      </c>
      <c r="AN113" s="126" t="e">
        <f t="shared" ca="1" si="26"/>
        <v>#VALUE!</v>
      </c>
      <c r="AO113" s="126" t="e">
        <f t="shared" ca="1" si="26"/>
        <v>#VALUE!</v>
      </c>
      <c r="AP113" s="126" t="e">
        <f t="shared" ca="1" si="26"/>
        <v>#VALUE!</v>
      </c>
      <c r="AQ113" s="126" t="e">
        <f t="shared" ca="1" si="26"/>
        <v>#VALUE!</v>
      </c>
      <c r="AR113" s="126" t="e">
        <f t="shared" ca="1" si="26"/>
        <v>#VALUE!</v>
      </c>
      <c r="AS113" s="126" t="e">
        <f t="shared" ca="1" si="26"/>
        <v>#VALUE!</v>
      </c>
      <c r="AT113" s="126" t="e">
        <f t="shared" ca="1" si="26"/>
        <v>#VALUE!</v>
      </c>
      <c r="AU113" s="126" t="e">
        <f t="shared" ca="1" si="26"/>
        <v>#VALUE!</v>
      </c>
    </row>
    <row r="114" spans="2:47" x14ac:dyDescent="0.25">
      <c r="B114" t="s">
        <v>572</v>
      </c>
      <c r="C114" s="126" t="e">
        <f t="shared" ca="1" si="24"/>
        <v>#VALUE!</v>
      </c>
      <c r="D114" s="126" t="e">
        <f t="shared" ca="1" si="24"/>
        <v>#VALUE!</v>
      </c>
      <c r="E114" s="126" t="e">
        <f t="shared" ca="1" si="24"/>
        <v>#VALUE!</v>
      </c>
      <c r="F114" s="126" t="e">
        <f t="shared" ca="1" si="24"/>
        <v>#VALUE!</v>
      </c>
      <c r="G114" s="126" t="e">
        <f t="shared" ca="1" si="24"/>
        <v>#VALUE!</v>
      </c>
      <c r="H114" s="126" t="e">
        <f t="shared" ca="1" si="24"/>
        <v>#VALUE!</v>
      </c>
      <c r="I114" s="126" t="e">
        <f t="shared" ca="1" si="24"/>
        <v>#VALUE!</v>
      </c>
      <c r="J114" s="126" t="e">
        <f t="shared" ca="1" si="24"/>
        <v>#VALUE!</v>
      </c>
      <c r="K114" s="126" t="e">
        <f t="shared" ca="1" si="24"/>
        <v>#VALUE!</v>
      </c>
      <c r="L114" s="126" t="e">
        <f t="shared" ca="1" si="18"/>
        <v>#VALUE!</v>
      </c>
      <c r="M114" s="126" t="e">
        <f t="shared" ca="1" si="26"/>
        <v>#VALUE!</v>
      </c>
      <c r="N114" s="126" t="e">
        <f t="shared" ca="1" si="26"/>
        <v>#VALUE!</v>
      </c>
      <c r="O114" s="126" t="e">
        <f t="shared" ca="1" si="26"/>
        <v>#VALUE!</v>
      </c>
      <c r="P114" s="126" t="e">
        <f t="shared" ca="1" si="26"/>
        <v>#VALUE!</v>
      </c>
      <c r="Q114" s="126" t="e">
        <f t="shared" ca="1" si="26"/>
        <v>#VALUE!</v>
      </c>
      <c r="R114" s="126" t="e">
        <f t="shared" ca="1" si="26"/>
        <v>#VALUE!</v>
      </c>
      <c r="S114" s="126" t="e">
        <f t="shared" ca="1" si="26"/>
        <v>#VALUE!</v>
      </c>
      <c r="T114" s="126" t="e">
        <f t="shared" ca="1" si="26"/>
        <v>#VALUE!</v>
      </c>
      <c r="U114" s="126" t="e">
        <f t="shared" ca="1" si="26"/>
        <v>#VALUE!</v>
      </c>
      <c r="V114" s="126" t="e">
        <f t="shared" ca="1" si="26"/>
        <v>#VALUE!</v>
      </c>
      <c r="W114" s="126" t="e">
        <f t="shared" ca="1" si="26"/>
        <v>#VALUE!</v>
      </c>
      <c r="X114" s="126" t="e">
        <f t="shared" ca="1" si="26"/>
        <v>#VALUE!</v>
      </c>
      <c r="Y114" s="126" t="e">
        <f t="shared" ca="1" si="26"/>
        <v>#VALUE!</v>
      </c>
      <c r="Z114" s="126" t="e">
        <f t="shared" ca="1" si="26"/>
        <v>#VALUE!</v>
      </c>
      <c r="AA114" s="126" t="e">
        <f t="shared" ca="1" si="26"/>
        <v>#VALUE!</v>
      </c>
      <c r="AB114" s="126" t="e">
        <f t="shared" ca="1" si="26"/>
        <v>#VALUE!</v>
      </c>
      <c r="AC114" s="126" t="e">
        <f t="shared" ca="1" si="26"/>
        <v>#VALUE!</v>
      </c>
      <c r="AD114" s="126" t="e">
        <f t="shared" ca="1" si="26"/>
        <v>#VALUE!</v>
      </c>
      <c r="AE114" s="126" t="e">
        <f t="shared" ca="1" si="26"/>
        <v>#VALUE!</v>
      </c>
      <c r="AF114" s="126" t="e">
        <f t="shared" ca="1" si="26"/>
        <v>#VALUE!</v>
      </c>
      <c r="AG114" s="126" t="e">
        <f t="shared" ca="1" si="26"/>
        <v>#VALUE!</v>
      </c>
      <c r="AH114" s="126" t="e">
        <f t="shared" ca="1" si="26"/>
        <v>#VALUE!</v>
      </c>
      <c r="AI114" s="126" t="e">
        <f t="shared" ca="1" si="26"/>
        <v>#VALUE!</v>
      </c>
      <c r="AJ114" s="126" t="e">
        <f t="shared" ca="1" si="26"/>
        <v>#VALUE!</v>
      </c>
      <c r="AK114" s="126" t="e">
        <f t="shared" ca="1" si="26"/>
        <v>#VALUE!</v>
      </c>
      <c r="AL114" s="126" t="e">
        <f t="shared" ca="1" si="26"/>
        <v>#VALUE!</v>
      </c>
      <c r="AM114" s="126" t="e">
        <f t="shared" ca="1" si="26"/>
        <v>#VALUE!</v>
      </c>
      <c r="AN114" s="126" t="e">
        <f t="shared" ca="1" si="26"/>
        <v>#VALUE!</v>
      </c>
      <c r="AO114" s="126" t="e">
        <f t="shared" ca="1" si="26"/>
        <v>#VALUE!</v>
      </c>
      <c r="AP114" s="126" t="e">
        <f t="shared" ca="1" si="26"/>
        <v>#VALUE!</v>
      </c>
      <c r="AQ114" s="126" t="e">
        <f t="shared" ca="1" si="26"/>
        <v>#VALUE!</v>
      </c>
      <c r="AR114" s="126" t="e">
        <f t="shared" ca="1" si="26"/>
        <v>#VALUE!</v>
      </c>
      <c r="AS114" s="126" t="e">
        <f t="shared" ca="1" si="26"/>
        <v>#VALUE!</v>
      </c>
      <c r="AT114" s="126" t="e">
        <f t="shared" ca="1" si="26"/>
        <v>#VALUE!</v>
      </c>
      <c r="AU114" s="126" t="e">
        <f t="shared" ca="1" si="26"/>
        <v>#VALUE!</v>
      </c>
    </row>
    <row r="115" spans="2:47" x14ac:dyDescent="0.25">
      <c r="B115" t="s">
        <v>573</v>
      </c>
      <c r="C115" s="126" t="e">
        <f t="shared" ca="1" si="24"/>
        <v>#VALUE!</v>
      </c>
      <c r="D115" s="126" t="e">
        <f t="shared" ca="1" si="24"/>
        <v>#VALUE!</v>
      </c>
      <c r="E115" s="126" t="e">
        <f t="shared" ca="1" si="24"/>
        <v>#VALUE!</v>
      </c>
      <c r="F115" s="126" t="e">
        <f t="shared" ca="1" si="24"/>
        <v>#VALUE!</v>
      </c>
      <c r="G115" s="126" t="e">
        <f t="shared" ca="1" si="24"/>
        <v>#VALUE!</v>
      </c>
      <c r="H115" s="126" t="e">
        <f t="shared" ca="1" si="24"/>
        <v>#VALUE!</v>
      </c>
      <c r="I115" s="126" t="e">
        <f t="shared" ca="1" si="24"/>
        <v>#VALUE!</v>
      </c>
      <c r="J115" s="126" t="e">
        <f t="shared" ca="1" si="24"/>
        <v>#VALUE!</v>
      </c>
      <c r="K115" s="126" t="e">
        <f t="shared" ca="1" si="24"/>
        <v>#VALUE!</v>
      </c>
      <c r="L115" s="126" t="e">
        <f t="shared" ca="1" si="18"/>
        <v>#VALUE!</v>
      </c>
      <c r="M115" s="126" t="e">
        <f t="shared" ca="1" si="26"/>
        <v>#VALUE!</v>
      </c>
      <c r="N115" s="126" t="e">
        <f t="shared" ca="1" si="26"/>
        <v>#VALUE!</v>
      </c>
      <c r="O115" s="126" t="e">
        <f t="shared" ca="1" si="26"/>
        <v>#VALUE!</v>
      </c>
      <c r="P115" s="126" t="e">
        <f t="shared" ca="1" si="26"/>
        <v>#VALUE!</v>
      </c>
      <c r="Q115" s="126" t="e">
        <f t="shared" ca="1" si="26"/>
        <v>#VALUE!</v>
      </c>
      <c r="R115" s="126" t="e">
        <f t="shared" ca="1" si="26"/>
        <v>#VALUE!</v>
      </c>
      <c r="S115" s="126" t="e">
        <f t="shared" ca="1" si="26"/>
        <v>#VALUE!</v>
      </c>
      <c r="T115" s="126" t="e">
        <f t="shared" ca="1" si="26"/>
        <v>#VALUE!</v>
      </c>
      <c r="U115" s="126" t="e">
        <f t="shared" ca="1" si="26"/>
        <v>#VALUE!</v>
      </c>
      <c r="V115" s="126" t="e">
        <f t="shared" ca="1" si="26"/>
        <v>#VALUE!</v>
      </c>
      <c r="W115" s="126" t="e">
        <f t="shared" ca="1" si="26"/>
        <v>#VALUE!</v>
      </c>
      <c r="X115" s="126" t="e">
        <f t="shared" ca="1" si="26"/>
        <v>#VALUE!</v>
      </c>
      <c r="Y115" s="126" t="e">
        <f t="shared" ca="1" si="26"/>
        <v>#VALUE!</v>
      </c>
      <c r="Z115" s="126" t="e">
        <f t="shared" ca="1" si="26"/>
        <v>#VALUE!</v>
      </c>
      <c r="AA115" s="126" t="e">
        <f t="shared" ca="1" si="26"/>
        <v>#VALUE!</v>
      </c>
      <c r="AB115" s="126" t="e">
        <f t="shared" ca="1" si="26"/>
        <v>#VALUE!</v>
      </c>
      <c r="AC115" s="126" t="e">
        <f t="shared" ca="1" si="26"/>
        <v>#VALUE!</v>
      </c>
      <c r="AD115" s="126" t="e">
        <f t="shared" ca="1" si="26"/>
        <v>#VALUE!</v>
      </c>
      <c r="AE115" s="126" t="e">
        <f t="shared" ca="1" si="26"/>
        <v>#VALUE!</v>
      </c>
      <c r="AF115" s="126" t="e">
        <f t="shared" ca="1" si="26"/>
        <v>#VALUE!</v>
      </c>
      <c r="AG115" s="126" t="e">
        <f t="shared" ca="1" si="26"/>
        <v>#VALUE!</v>
      </c>
      <c r="AH115" s="126" t="e">
        <f t="shared" ca="1" si="26"/>
        <v>#VALUE!</v>
      </c>
      <c r="AI115" s="126" t="e">
        <f t="shared" ca="1" si="26"/>
        <v>#VALUE!</v>
      </c>
      <c r="AJ115" s="126" t="e">
        <f t="shared" ca="1" si="26"/>
        <v>#VALUE!</v>
      </c>
      <c r="AK115" s="126" t="e">
        <f t="shared" ca="1" si="26"/>
        <v>#VALUE!</v>
      </c>
      <c r="AL115" s="126" t="e">
        <f t="shared" ca="1" si="26"/>
        <v>#VALUE!</v>
      </c>
      <c r="AM115" s="126" t="e">
        <f t="shared" ca="1" si="26"/>
        <v>#VALUE!</v>
      </c>
      <c r="AN115" s="126" t="e">
        <f t="shared" ca="1" si="26"/>
        <v>#VALUE!</v>
      </c>
      <c r="AO115" s="126" t="e">
        <f t="shared" ca="1" si="26"/>
        <v>#VALUE!</v>
      </c>
      <c r="AP115" s="126" t="e">
        <f t="shared" ca="1" si="26"/>
        <v>#VALUE!</v>
      </c>
      <c r="AQ115" s="126" t="e">
        <f t="shared" ca="1" si="26"/>
        <v>#VALUE!</v>
      </c>
      <c r="AR115" s="126" t="e">
        <f t="shared" ca="1" si="26"/>
        <v>#VALUE!</v>
      </c>
      <c r="AS115" s="126" t="e">
        <f t="shared" ca="1" si="26"/>
        <v>#VALUE!</v>
      </c>
      <c r="AT115" s="126" t="e">
        <f t="shared" ca="1" si="26"/>
        <v>#VALUE!</v>
      </c>
      <c r="AU115" s="126" t="e">
        <f t="shared" ca="1" si="26"/>
        <v>#VALUE!</v>
      </c>
    </row>
    <row r="116" spans="2:47" x14ac:dyDescent="0.25">
      <c r="B116" t="s">
        <v>473</v>
      </c>
      <c r="C116" s="127" t="e">
        <f t="shared" ref="C116:K116" ca="1" si="27">SUM(C69:C105,C107:C115)</f>
        <v>#VALUE!</v>
      </c>
      <c r="D116" s="127" t="e">
        <f t="shared" ca="1" si="27"/>
        <v>#VALUE!</v>
      </c>
      <c r="E116" s="127" t="e">
        <f t="shared" ca="1" si="27"/>
        <v>#VALUE!</v>
      </c>
      <c r="F116" s="127" t="e">
        <f t="shared" ca="1" si="27"/>
        <v>#VALUE!</v>
      </c>
      <c r="G116" s="127" t="e">
        <f t="shared" ca="1" si="27"/>
        <v>#VALUE!</v>
      </c>
      <c r="H116" s="127" t="e">
        <f t="shared" ca="1" si="27"/>
        <v>#VALUE!</v>
      </c>
      <c r="I116" s="127" t="e">
        <f t="shared" ca="1" si="27"/>
        <v>#VALUE!</v>
      </c>
      <c r="J116" s="127" t="e">
        <f t="shared" ca="1" si="27"/>
        <v>#VALUE!</v>
      </c>
      <c r="K116" s="127" t="e">
        <f t="shared" ca="1" si="27"/>
        <v>#VALUE!</v>
      </c>
      <c r="L116" s="127" t="e">
        <f ca="1">SUM(L69:L105,L107:L115)</f>
        <v>#VALUE!</v>
      </c>
      <c r="M116" s="127" t="e">
        <f t="shared" ref="M116:AU116" ca="1" si="28">SUM(M69:M105,M107:M115)</f>
        <v>#VALUE!</v>
      </c>
      <c r="N116" s="127" t="e">
        <f t="shared" ca="1" si="28"/>
        <v>#VALUE!</v>
      </c>
      <c r="O116" s="127" t="e">
        <f t="shared" ca="1" si="28"/>
        <v>#VALUE!</v>
      </c>
      <c r="P116" s="127" t="e">
        <f t="shared" ca="1" si="28"/>
        <v>#VALUE!</v>
      </c>
      <c r="Q116" s="127" t="e">
        <f t="shared" ca="1" si="28"/>
        <v>#VALUE!</v>
      </c>
      <c r="R116" s="127" t="e">
        <f t="shared" ca="1" si="28"/>
        <v>#VALUE!</v>
      </c>
      <c r="S116" s="127" t="e">
        <f t="shared" ca="1" si="28"/>
        <v>#VALUE!</v>
      </c>
      <c r="T116" s="127" t="e">
        <f t="shared" ca="1" si="28"/>
        <v>#VALUE!</v>
      </c>
      <c r="U116" s="127" t="e">
        <f t="shared" ca="1" si="28"/>
        <v>#VALUE!</v>
      </c>
      <c r="V116" s="127" t="e">
        <f ca="1">SUM(V69:V105,V107:V115)</f>
        <v>#VALUE!</v>
      </c>
      <c r="W116" s="127" t="e">
        <f t="shared" ca="1" si="28"/>
        <v>#VALUE!</v>
      </c>
      <c r="X116" s="127" t="e">
        <f t="shared" ca="1" si="28"/>
        <v>#VALUE!</v>
      </c>
      <c r="Y116" s="127" t="e">
        <f t="shared" ca="1" si="28"/>
        <v>#VALUE!</v>
      </c>
      <c r="Z116" s="127" t="e">
        <f t="shared" ca="1" si="28"/>
        <v>#VALUE!</v>
      </c>
      <c r="AA116" s="127" t="e">
        <f t="shared" ca="1" si="28"/>
        <v>#VALUE!</v>
      </c>
      <c r="AB116" s="127" t="e">
        <f t="shared" ca="1" si="28"/>
        <v>#VALUE!</v>
      </c>
      <c r="AC116" s="127" t="e">
        <f t="shared" ca="1" si="28"/>
        <v>#VALUE!</v>
      </c>
      <c r="AD116" s="127" t="e">
        <f t="shared" ca="1" si="28"/>
        <v>#VALUE!</v>
      </c>
      <c r="AE116" s="127" t="e">
        <f t="shared" ca="1" si="28"/>
        <v>#VALUE!</v>
      </c>
      <c r="AF116" s="127" t="e">
        <f t="shared" ca="1" si="28"/>
        <v>#VALUE!</v>
      </c>
      <c r="AG116" s="127" t="e">
        <f t="shared" ca="1" si="28"/>
        <v>#VALUE!</v>
      </c>
      <c r="AH116" s="127" t="e">
        <f t="shared" ca="1" si="28"/>
        <v>#VALUE!</v>
      </c>
      <c r="AI116" s="127" t="e">
        <f t="shared" ca="1" si="28"/>
        <v>#VALUE!</v>
      </c>
      <c r="AJ116" s="127" t="e">
        <f t="shared" ca="1" si="28"/>
        <v>#VALUE!</v>
      </c>
      <c r="AK116" s="127" t="e">
        <f t="shared" ca="1" si="28"/>
        <v>#VALUE!</v>
      </c>
      <c r="AL116" s="127" t="e">
        <f t="shared" ca="1" si="28"/>
        <v>#VALUE!</v>
      </c>
      <c r="AM116" s="127" t="e">
        <f t="shared" ca="1" si="28"/>
        <v>#VALUE!</v>
      </c>
      <c r="AN116" s="127" t="e">
        <f t="shared" ca="1" si="28"/>
        <v>#VALUE!</v>
      </c>
      <c r="AO116" s="127" t="e">
        <f t="shared" ca="1" si="28"/>
        <v>#VALUE!</v>
      </c>
      <c r="AP116" s="127" t="e">
        <f t="shared" ca="1" si="28"/>
        <v>#VALUE!</v>
      </c>
      <c r="AQ116" s="127" t="e">
        <f t="shared" ca="1" si="28"/>
        <v>#VALUE!</v>
      </c>
      <c r="AR116" s="127" t="e">
        <f t="shared" ca="1" si="28"/>
        <v>#VALUE!</v>
      </c>
      <c r="AS116" s="127" t="e">
        <f t="shared" ca="1" si="28"/>
        <v>#VALUE!</v>
      </c>
      <c r="AT116" s="127" t="e">
        <f t="shared" ca="1" si="28"/>
        <v>#VALUE!</v>
      </c>
      <c r="AU116" s="127" t="e">
        <f t="shared" ca="1" si="28"/>
        <v>#VALUE!</v>
      </c>
    </row>
    <row r="119" spans="2:47" x14ac:dyDescent="0.25">
      <c r="B119" t="s">
        <v>577</v>
      </c>
      <c r="C119" s="127" t="e">
        <f t="shared" ref="C119:E119" ca="1" si="29">SUM(C60:C62)</f>
        <v>#VALUE!</v>
      </c>
      <c r="D119" s="127" t="e">
        <f t="shared" ca="1" si="29"/>
        <v>#VALUE!</v>
      </c>
      <c r="E119" s="127" t="e">
        <f t="shared" ca="1" si="29"/>
        <v>#VALUE!</v>
      </c>
      <c r="F119" s="127" t="e">
        <f t="shared" ref="F119:K119" ca="1" si="30">SUM(F60:F62)</f>
        <v>#VALUE!</v>
      </c>
      <c r="G119" s="127" t="e">
        <f t="shared" ca="1" si="30"/>
        <v>#VALUE!</v>
      </c>
      <c r="H119" s="127" t="e">
        <f t="shared" ca="1" si="30"/>
        <v>#VALUE!</v>
      </c>
      <c r="I119" s="127" t="e">
        <f t="shared" ca="1" si="30"/>
        <v>#VALUE!</v>
      </c>
      <c r="J119" s="127" t="e">
        <f t="shared" ca="1" si="30"/>
        <v>#VALUE!</v>
      </c>
      <c r="K119" s="127" t="e">
        <f t="shared" ca="1" si="30"/>
        <v>#VALUE!</v>
      </c>
      <c r="L119" s="127" t="e">
        <f ca="1">SUM(L60:L62)</f>
        <v>#VALUE!</v>
      </c>
      <c r="M119" s="127" t="e">
        <f t="shared" ref="M119:AU119" ca="1" si="31">SUM(M60:M62)</f>
        <v>#VALUE!</v>
      </c>
      <c r="N119" s="127" t="e">
        <f t="shared" ca="1" si="31"/>
        <v>#VALUE!</v>
      </c>
      <c r="O119" s="127" t="e">
        <f t="shared" ca="1" si="31"/>
        <v>#VALUE!</v>
      </c>
      <c r="P119" s="127" t="e">
        <f t="shared" ca="1" si="31"/>
        <v>#VALUE!</v>
      </c>
      <c r="Q119" s="127" t="e">
        <f t="shared" ca="1" si="31"/>
        <v>#VALUE!</v>
      </c>
      <c r="R119" s="127" t="e">
        <f t="shared" ca="1" si="31"/>
        <v>#VALUE!</v>
      </c>
      <c r="S119" s="127" t="e">
        <f t="shared" ca="1" si="31"/>
        <v>#VALUE!</v>
      </c>
      <c r="T119" s="127" t="e">
        <f t="shared" ca="1" si="31"/>
        <v>#VALUE!</v>
      </c>
      <c r="U119" s="127" t="e">
        <f t="shared" ca="1" si="31"/>
        <v>#VALUE!</v>
      </c>
      <c r="V119" s="127" t="e">
        <f t="shared" ca="1" si="31"/>
        <v>#VALUE!</v>
      </c>
      <c r="W119" s="127" t="e">
        <f t="shared" ca="1" si="31"/>
        <v>#VALUE!</v>
      </c>
      <c r="X119" s="127" t="e">
        <f t="shared" ca="1" si="31"/>
        <v>#VALUE!</v>
      </c>
      <c r="Y119" s="127" t="e">
        <f t="shared" ca="1" si="31"/>
        <v>#VALUE!</v>
      </c>
      <c r="Z119" s="127" t="e">
        <f t="shared" ca="1" si="31"/>
        <v>#VALUE!</v>
      </c>
      <c r="AA119" s="127" t="e">
        <f t="shared" ca="1" si="31"/>
        <v>#VALUE!</v>
      </c>
      <c r="AB119" s="127" t="e">
        <f t="shared" ca="1" si="31"/>
        <v>#VALUE!</v>
      </c>
      <c r="AC119" s="127" t="e">
        <f t="shared" ca="1" si="31"/>
        <v>#VALUE!</v>
      </c>
      <c r="AD119" s="127" t="e">
        <f t="shared" ca="1" si="31"/>
        <v>#VALUE!</v>
      </c>
      <c r="AE119" s="127" t="e">
        <f t="shared" ca="1" si="31"/>
        <v>#VALUE!</v>
      </c>
      <c r="AF119" s="127" t="e">
        <f t="shared" ca="1" si="31"/>
        <v>#VALUE!</v>
      </c>
      <c r="AG119" s="127" t="e">
        <f t="shared" ca="1" si="31"/>
        <v>#VALUE!</v>
      </c>
      <c r="AH119" s="127" t="e">
        <f t="shared" ca="1" si="31"/>
        <v>#VALUE!</v>
      </c>
      <c r="AI119" s="127" t="e">
        <f t="shared" ca="1" si="31"/>
        <v>#VALUE!</v>
      </c>
      <c r="AJ119" s="127" t="e">
        <f t="shared" ca="1" si="31"/>
        <v>#VALUE!</v>
      </c>
      <c r="AK119" s="127" t="e">
        <f t="shared" ca="1" si="31"/>
        <v>#VALUE!</v>
      </c>
      <c r="AL119" s="127" t="e">
        <f t="shared" ca="1" si="31"/>
        <v>#VALUE!</v>
      </c>
      <c r="AM119" s="127" t="e">
        <f t="shared" ca="1" si="31"/>
        <v>#VALUE!</v>
      </c>
      <c r="AN119" s="127" t="e">
        <f t="shared" ca="1" si="31"/>
        <v>#VALUE!</v>
      </c>
      <c r="AO119" s="127" t="e">
        <f t="shared" ca="1" si="31"/>
        <v>#VALUE!</v>
      </c>
      <c r="AP119" s="127" t="e">
        <f t="shared" ca="1" si="31"/>
        <v>#VALUE!</v>
      </c>
      <c r="AQ119" s="127" t="e">
        <f t="shared" ca="1" si="31"/>
        <v>#VALUE!</v>
      </c>
      <c r="AR119" s="127" t="e">
        <f t="shared" ca="1" si="31"/>
        <v>#VALUE!</v>
      </c>
      <c r="AS119" s="127" t="e">
        <f t="shared" ca="1" si="31"/>
        <v>#VALUE!</v>
      </c>
      <c r="AT119" s="127" t="e">
        <f t="shared" ca="1" si="31"/>
        <v>#VALUE!</v>
      </c>
      <c r="AU119" s="127" t="e">
        <f t="shared" ca="1" si="31"/>
        <v>#VALUE!</v>
      </c>
    </row>
    <row r="120" spans="2:47" x14ac:dyDescent="0.25">
      <c r="B120" t="s">
        <v>578</v>
      </c>
      <c r="C120" s="127" t="e">
        <f t="shared" ref="C120:E120" ca="1" si="32">SUM(C63:C66)</f>
        <v>#VALUE!</v>
      </c>
      <c r="D120" s="127" t="e">
        <f t="shared" ca="1" si="32"/>
        <v>#VALUE!</v>
      </c>
      <c r="E120" s="127" t="e">
        <f t="shared" ca="1" si="32"/>
        <v>#VALUE!</v>
      </c>
      <c r="F120" s="127" t="e">
        <f t="shared" ref="F120:K120" ca="1" si="33">SUM(F63:F66)</f>
        <v>#VALUE!</v>
      </c>
      <c r="G120" s="127" t="e">
        <f t="shared" ca="1" si="33"/>
        <v>#VALUE!</v>
      </c>
      <c r="H120" s="127" t="e">
        <f t="shared" ca="1" si="33"/>
        <v>#VALUE!</v>
      </c>
      <c r="I120" s="127" t="e">
        <f t="shared" ca="1" si="33"/>
        <v>#VALUE!</v>
      </c>
      <c r="J120" s="127" t="e">
        <f t="shared" ca="1" si="33"/>
        <v>#VALUE!</v>
      </c>
      <c r="K120" s="127" t="e">
        <f t="shared" ca="1" si="33"/>
        <v>#VALUE!</v>
      </c>
      <c r="L120" s="127" t="e">
        <f ca="1">SUM(L63:L66)</f>
        <v>#VALUE!</v>
      </c>
      <c r="M120" s="127" t="e">
        <f t="shared" ref="M120:AU120" ca="1" si="34">SUM(M63:M66)</f>
        <v>#VALUE!</v>
      </c>
      <c r="N120" s="127" t="e">
        <f t="shared" ca="1" si="34"/>
        <v>#VALUE!</v>
      </c>
      <c r="O120" s="127" t="e">
        <f t="shared" ca="1" si="34"/>
        <v>#VALUE!</v>
      </c>
      <c r="P120" s="127" t="e">
        <f t="shared" ca="1" si="34"/>
        <v>#VALUE!</v>
      </c>
      <c r="Q120" s="127" t="e">
        <f t="shared" ca="1" si="34"/>
        <v>#VALUE!</v>
      </c>
      <c r="R120" s="127" t="e">
        <f t="shared" ca="1" si="34"/>
        <v>#VALUE!</v>
      </c>
      <c r="S120" s="127" t="e">
        <f t="shared" ca="1" si="34"/>
        <v>#VALUE!</v>
      </c>
      <c r="T120" s="127" t="e">
        <f t="shared" ca="1" si="34"/>
        <v>#VALUE!</v>
      </c>
      <c r="U120" s="127" t="e">
        <f t="shared" ca="1" si="34"/>
        <v>#VALUE!</v>
      </c>
      <c r="V120" s="127" t="e">
        <f t="shared" ca="1" si="34"/>
        <v>#VALUE!</v>
      </c>
      <c r="W120" s="127" t="e">
        <f t="shared" ca="1" si="34"/>
        <v>#VALUE!</v>
      </c>
      <c r="X120" s="127" t="e">
        <f t="shared" ca="1" si="34"/>
        <v>#VALUE!</v>
      </c>
      <c r="Y120" s="127" t="e">
        <f t="shared" ca="1" si="34"/>
        <v>#VALUE!</v>
      </c>
      <c r="Z120" s="127" t="e">
        <f t="shared" ca="1" si="34"/>
        <v>#VALUE!</v>
      </c>
      <c r="AA120" s="127" t="e">
        <f t="shared" ca="1" si="34"/>
        <v>#VALUE!</v>
      </c>
      <c r="AB120" s="127" t="e">
        <f t="shared" ca="1" si="34"/>
        <v>#VALUE!</v>
      </c>
      <c r="AC120" s="127" t="e">
        <f t="shared" ca="1" si="34"/>
        <v>#VALUE!</v>
      </c>
      <c r="AD120" s="127" t="e">
        <f t="shared" ca="1" si="34"/>
        <v>#VALUE!</v>
      </c>
      <c r="AE120" s="127" t="e">
        <f t="shared" ca="1" si="34"/>
        <v>#VALUE!</v>
      </c>
      <c r="AF120" s="127" t="e">
        <f t="shared" ca="1" si="34"/>
        <v>#VALUE!</v>
      </c>
      <c r="AG120" s="127" t="e">
        <f t="shared" ca="1" si="34"/>
        <v>#VALUE!</v>
      </c>
      <c r="AH120" s="127" t="e">
        <f t="shared" ca="1" si="34"/>
        <v>#VALUE!</v>
      </c>
      <c r="AI120" s="127" t="e">
        <f t="shared" ca="1" si="34"/>
        <v>#VALUE!</v>
      </c>
      <c r="AJ120" s="127" t="e">
        <f t="shared" ca="1" si="34"/>
        <v>#VALUE!</v>
      </c>
      <c r="AK120" s="127" t="e">
        <f t="shared" ca="1" si="34"/>
        <v>#VALUE!</v>
      </c>
      <c r="AL120" s="127" t="e">
        <f t="shared" ca="1" si="34"/>
        <v>#VALUE!</v>
      </c>
      <c r="AM120" s="127" t="e">
        <f t="shared" ca="1" si="34"/>
        <v>#VALUE!</v>
      </c>
      <c r="AN120" s="127" t="e">
        <f t="shared" ca="1" si="34"/>
        <v>#VALUE!</v>
      </c>
      <c r="AO120" s="127" t="e">
        <f t="shared" ca="1" si="34"/>
        <v>#VALUE!</v>
      </c>
      <c r="AP120" s="127" t="e">
        <f t="shared" ca="1" si="34"/>
        <v>#VALUE!</v>
      </c>
      <c r="AQ120" s="127" t="e">
        <f t="shared" ca="1" si="34"/>
        <v>#VALUE!</v>
      </c>
      <c r="AR120" s="127" t="e">
        <f t="shared" ca="1" si="34"/>
        <v>#VALUE!</v>
      </c>
      <c r="AS120" s="127" t="e">
        <f t="shared" ca="1" si="34"/>
        <v>#VALUE!</v>
      </c>
      <c r="AT120" s="127" t="e">
        <f t="shared" ca="1" si="34"/>
        <v>#VALUE!</v>
      </c>
      <c r="AU120" s="127" t="e">
        <f t="shared" ca="1" si="34"/>
        <v>#VALUE!</v>
      </c>
    </row>
    <row r="121" spans="2:47" x14ac:dyDescent="0.25">
      <c r="B121" t="s">
        <v>579</v>
      </c>
      <c r="C121" s="127" t="e">
        <f t="shared" ref="C121:E121" ca="1" si="35">SUM(C33:C37)</f>
        <v>#VALUE!</v>
      </c>
      <c r="D121" s="127" t="e">
        <f t="shared" ca="1" si="35"/>
        <v>#VALUE!</v>
      </c>
      <c r="E121" s="127" t="e">
        <f t="shared" ca="1" si="35"/>
        <v>#VALUE!</v>
      </c>
      <c r="F121" s="127" t="e">
        <f t="shared" ref="F121:K121" ca="1" si="36">SUM(F33:F37)</f>
        <v>#VALUE!</v>
      </c>
      <c r="G121" s="127" t="e">
        <f t="shared" ca="1" si="36"/>
        <v>#VALUE!</v>
      </c>
      <c r="H121" s="127" t="e">
        <f t="shared" ca="1" si="36"/>
        <v>#VALUE!</v>
      </c>
      <c r="I121" s="127" t="e">
        <f t="shared" ca="1" si="36"/>
        <v>#VALUE!</v>
      </c>
      <c r="J121" s="127" t="e">
        <f t="shared" ca="1" si="36"/>
        <v>#VALUE!</v>
      </c>
      <c r="K121" s="127" t="e">
        <f t="shared" ca="1" si="36"/>
        <v>#VALUE!</v>
      </c>
      <c r="L121" s="127" t="e">
        <f ca="1">SUM(L33:L37)</f>
        <v>#VALUE!</v>
      </c>
      <c r="M121" s="127" t="e">
        <f t="shared" ref="M121:AU121" ca="1" si="37">SUM(M33:M37)</f>
        <v>#VALUE!</v>
      </c>
      <c r="N121" s="127" t="e">
        <f t="shared" ca="1" si="37"/>
        <v>#VALUE!</v>
      </c>
      <c r="O121" s="127" t="e">
        <f t="shared" ca="1" si="37"/>
        <v>#VALUE!</v>
      </c>
      <c r="P121" s="127" t="e">
        <f t="shared" ca="1" si="37"/>
        <v>#VALUE!</v>
      </c>
      <c r="Q121" s="127" t="e">
        <f t="shared" ca="1" si="37"/>
        <v>#VALUE!</v>
      </c>
      <c r="R121" s="127" t="e">
        <f t="shared" ca="1" si="37"/>
        <v>#VALUE!</v>
      </c>
      <c r="S121" s="127" t="e">
        <f t="shared" ca="1" si="37"/>
        <v>#VALUE!</v>
      </c>
      <c r="T121" s="127" t="e">
        <f t="shared" ca="1" si="37"/>
        <v>#VALUE!</v>
      </c>
      <c r="U121" s="127" t="e">
        <f t="shared" ca="1" si="37"/>
        <v>#VALUE!</v>
      </c>
      <c r="V121" s="127" t="e">
        <f t="shared" ca="1" si="37"/>
        <v>#VALUE!</v>
      </c>
      <c r="W121" s="127" t="e">
        <f t="shared" ca="1" si="37"/>
        <v>#VALUE!</v>
      </c>
      <c r="X121" s="127" t="e">
        <f t="shared" ca="1" si="37"/>
        <v>#VALUE!</v>
      </c>
      <c r="Y121" s="127" t="e">
        <f t="shared" ca="1" si="37"/>
        <v>#VALUE!</v>
      </c>
      <c r="Z121" s="127" t="e">
        <f t="shared" ca="1" si="37"/>
        <v>#VALUE!</v>
      </c>
      <c r="AA121" s="127" t="e">
        <f t="shared" ca="1" si="37"/>
        <v>#VALUE!</v>
      </c>
      <c r="AB121" s="127" t="e">
        <f t="shared" ca="1" si="37"/>
        <v>#VALUE!</v>
      </c>
      <c r="AC121" s="127" t="e">
        <f t="shared" ca="1" si="37"/>
        <v>#VALUE!</v>
      </c>
      <c r="AD121" s="127" t="e">
        <f t="shared" ca="1" si="37"/>
        <v>#VALUE!</v>
      </c>
      <c r="AE121" s="127" t="e">
        <f t="shared" ca="1" si="37"/>
        <v>#VALUE!</v>
      </c>
      <c r="AF121" s="127" t="e">
        <f t="shared" ca="1" si="37"/>
        <v>#VALUE!</v>
      </c>
      <c r="AG121" s="127" t="e">
        <f t="shared" ca="1" si="37"/>
        <v>#VALUE!</v>
      </c>
      <c r="AH121" s="127" t="e">
        <f t="shared" ca="1" si="37"/>
        <v>#VALUE!</v>
      </c>
      <c r="AI121" s="127" t="e">
        <f t="shared" ca="1" si="37"/>
        <v>#VALUE!</v>
      </c>
      <c r="AJ121" s="127" t="e">
        <f t="shared" ca="1" si="37"/>
        <v>#VALUE!</v>
      </c>
      <c r="AK121" s="127" t="e">
        <f t="shared" ca="1" si="37"/>
        <v>#VALUE!</v>
      </c>
      <c r="AL121" s="127" t="e">
        <f t="shared" ca="1" si="37"/>
        <v>#VALUE!</v>
      </c>
      <c r="AM121" s="127" t="e">
        <f t="shared" ca="1" si="37"/>
        <v>#VALUE!</v>
      </c>
      <c r="AN121" s="127" t="e">
        <f t="shared" ca="1" si="37"/>
        <v>#VALUE!</v>
      </c>
      <c r="AO121" s="127" t="e">
        <f t="shared" ca="1" si="37"/>
        <v>#VALUE!</v>
      </c>
      <c r="AP121" s="127" t="e">
        <f t="shared" ca="1" si="37"/>
        <v>#VALUE!</v>
      </c>
      <c r="AQ121" s="127" t="e">
        <f t="shared" ca="1" si="37"/>
        <v>#VALUE!</v>
      </c>
      <c r="AR121" s="127" t="e">
        <f t="shared" ca="1" si="37"/>
        <v>#VALUE!</v>
      </c>
      <c r="AS121" s="127" t="e">
        <f t="shared" ca="1" si="37"/>
        <v>#VALUE!</v>
      </c>
      <c r="AT121" s="127" t="e">
        <f t="shared" ca="1" si="37"/>
        <v>#VALUE!</v>
      </c>
      <c r="AU121" s="127" t="e">
        <f t="shared" ca="1" si="37"/>
        <v>#VALUE!</v>
      </c>
    </row>
    <row r="122" spans="2:47" x14ac:dyDescent="0.25">
      <c r="B122" t="s">
        <v>580</v>
      </c>
      <c r="C122" s="127" t="e">
        <f t="shared" ref="C122:E122" ca="1" si="38">SUM(C40:C41,C51)</f>
        <v>#VALUE!</v>
      </c>
      <c r="D122" s="127" t="e">
        <f t="shared" ca="1" si="38"/>
        <v>#VALUE!</v>
      </c>
      <c r="E122" s="127" t="e">
        <f t="shared" ca="1" si="38"/>
        <v>#VALUE!</v>
      </c>
      <c r="F122" s="127" t="e">
        <f t="shared" ref="F122:K122" ca="1" si="39">SUM(F40:F41,F51)</f>
        <v>#VALUE!</v>
      </c>
      <c r="G122" s="127" t="e">
        <f t="shared" ca="1" si="39"/>
        <v>#VALUE!</v>
      </c>
      <c r="H122" s="127" t="e">
        <f t="shared" ca="1" si="39"/>
        <v>#VALUE!</v>
      </c>
      <c r="I122" s="127" t="e">
        <f t="shared" ca="1" si="39"/>
        <v>#VALUE!</v>
      </c>
      <c r="J122" s="127" t="e">
        <f t="shared" ca="1" si="39"/>
        <v>#VALUE!</v>
      </c>
      <c r="K122" s="127" t="e">
        <f t="shared" ca="1" si="39"/>
        <v>#VALUE!</v>
      </c>
      <c r="L122" s="127" t="e">
        <f ca="1">SUM(L40:L41,L51)</f>
        <v>#VALUE!</v>
      </c>
      <c r="M122" s="127" t="e">
        <f t="shared" ref="M122:AU122" ca="1" si="40">SUM(M40:M41,M51)</f>
        <v>#VALUE!</v>
      </c>
      <c r="N122" s="127" t="e">
        <f t="shared" ca="1" si="40"/>
        <v>#VALUE!</v>
      </c>
      <c r="O122" s="127" t="e">
        <f t="shared" ca="1" si="40"/>
        <v>#VALUE!</v>
      </c>
      <c r="P122" s="127" t="e">
        <f t="shared" ca="1" si="40"/>
        <v>#VALUE!</v>
      </c>
      <c r="Q122" s="127" t="e">
        <f t="shared" ca="1" si="40"/>
        <v>#VALUE!</v>
      </c>
      <c r="R122" s="127" t="e">
        <f t="shared" ca="1" si="40"/>
        <v>#VALUE!</v>
      </c>
      <c r="S122" s="127" t="e">
        <f t="shared" ca="1" si="40"/>
        <v>#VALUE!</v>
      </c>
      <c r="T122" s="127" t="e">
        <f t="shared" ca="1" si="40"/>
        <v>#VALUE!</v>
      </c>
      <c r="U122" s="127" t="e">
        <f t="shared" ca="1" si="40"/>
        <v>#VALUE!</v>
      </c>
      <c r="V122" s="127" t="e">
        <f t="shared" ca="1" si="40"/>
        <v>#VALUE!</v>
      </c>
      <c r="W122" s="127" t="e">
        <f t="shared" ca="1" si="40"/>
        <v>#VALUE!</v>
      </c>
      <c r="X122" s="127" t="e">
        <f t="shared" ca="1" si="40"/>
        <v>#VALUE!</v>
      </c>
      <c r="Y122" s="127" t="e">
        <f t="shared" ca="1" si="40"/>
        <v>#VALUE!</v>
      </c>
      <c r="Z122" s="127" t="e">
        <f t="shared" ca="1" si="40"/>
        <v>#VALUE!</v>
      </c>
      <c r="AA122" s="127" t="e">
        <f t="shared" ca="1" si="40"/>
        <v>#VALUE!</v>
      </c>
      <c r="AB122" s="127" t="e">
        <f t="shared" ca="1" si="40"/>
        <v>#VALUE!</v>
      </c>
      <c r="AC122" s="127" t="e">
        <f t="shared" ca="1" si="40"/>
        <v>#VALUE!</v>
      </c>
      <c r="AD122" s="127" t="e">
        <f t="shared" ca="1" si="40"/>
        <v>#VALUE!</v>
      </c>
      <c r="AE122" s="127" t="e">
        <f t="shared" ca="1" si="40"/>
        <v>#VALUE!</v>
      </c>
      <c r="AF122" s="127" t="e">
        <f t="shared" ca="1" si="40"/>
        <v>#VALUE!</v>
      </c>
      <c r="AG122" s="127" t="e">
        <f t="shared" ca="1" si="40"/>
        <v>#VALUE!</v>
      </c>
      <c r="AH122" s="127" t="e">
        <f t="shared" ca="1" si="40"/>
        <v>#VALUE!</v>
      </c>
      <c r="AI122" s="127" t="e">
        <f t="shared" ca="1" si="40"/>
        <v>#VALUE!</v>
      </c>
      <c r="AJ122" s="127" t="e">
        <f t="shared" ca="1" si="40"/>
        <v>#VALUE!</v>
      </c>
      <c r="AK122" s="127" t="e">
        <f t="shared" ca="1" si="40"/>
        <v>#VALUE!</v>
      </c>
      <c r="AL122" s="127" t="e">
        <f t="shared" ca="1" si="40"/>
        <v>#VALUE!</v>
      </c>
      <c r="AM122" s="127" t="e">
        <f t="shared" ca="1" si="40"/>
        <v>#VALUE!</v>
      </c>
      <c r="AN122" s="127" t="e">
        <f t="shared" ca="1" si="40"/>
        <v>#VALUE!</v>
      </c>
      <c r="AO122" s="127" t="e">
        <f t="shared" ca="1" si="40"/>
        <v>#VALUE!</v>
      </c>
      <c r="AP122" s="127" t="e">
        <f t="shared" ca="1" si="40"/>
        <v>#VALUE!</v>
      </c>
      <c r="AQ122" s="127" t="e">
        <f t="shared" ca="1" si="40"/>
        <v>#VALUE!</v>
      </c>
      <c r="AR122" s="127" t="e">
        <f t="shared" ca="1" si="40"/>
        <v>#VALUE!</v>
      </c>
      <c r="AS122" s="127" t="e">
        <f t="shared" ca="1" si="40"/>
        <v>#VALUE!</v>
      </c>
      <c r="AT122" s="127" t="e">
        <f t="shared" ca="1" si="40"/>
        <v>#VALUE!</v>
      </c>
      <c r="AU122" s="127" t="e">
        <f t="shared" ca="1" si="40"/>
        <v>#VALUE!</v>
      </c>
    </row>
    <row r="123" spans="2:47" x14ac:dyDescent="0.25">
      <c r="B123" t="s">
        <v>581</v>
      </c>
      <c r="C123" s="127" t="e">
        <f t="shared" ref="C123:E123" ca="1" si="41">SUM(C42,C47:C50,C52:C56)</f>
        <v>#VALUE!</v>
      </c>
      <c r="D123" s="127" t="e">
        <f t="shared" ca="1" si="41"/>
        <v>#VALUE!</v>
      </c>
      <c r="E123" s="127" t="e">
        <f t="shared" ca="1" si="41"/>
        <v>#VALUE!</v>
      </c>
      <c r="F123" s="127" t="e">
        <f t="shared" ref="F123:K123" ca="1" si="42">SUM(F42,F47:F50,F52:F56)</f>
        <v>#VALUE!</v>
      </c>
      <c r="G123" s="127" t="e">
        <f t="shared" ca="1" si="42"/>
        <v>#VALUE!</v>
      </c>
      <c r="H123" s="127" t="e">
        <f t="shared" ca="1" si="42"/>
        <v>#VALUE!</v>
      </c>
      <c r="I123" s="127" t="e">
        <f t="shared" ca="1" si="42"/>
        <v>#VALUE!</v>
      </c>
      <c r="J123" s="127" t="e">
        <f t="shared" ca="1" si="42"/>
        <v>#VALUE!</v>
      </c>
      <c r="K123" s="127" t="e">
        <f t="shared" ca="1" si="42"/>
        <v>#VALUE!</v>
      </c>
      <c r="L123" s="127" t="e">
        <f ca="1">SUM(L42,L47:L50,L52:L56)</f>
        <v>#VALUE!</v>
      </c>
      <c r="M123" s="127" t="e">
        <f t="shared" ref="M123:AU123" ca="1" si="43">SUM(M42,M47:M50,M52:M56)</f>
        <v>#VALUE!</v>
      </c>
      <c r="N123" s="127" t="e">
        <f t="shared" ca="1" si="43"/>
        <v>#VALUE!</v>
      </c>
      <c r="O123" s="127" t="e">
        <f t="shared" ca="1" si="43"/>
        <v>#VALUE!</v>
      </c>
      <c r="P123" s="127" t="e">
        <f t="shared" ca="1" si="43"/>
        <v>#VALUE!</v>
      </c>
      <c r="Q123" s="127" t="e">
        <f t="shared" ca="1" si="43"/>
        <v>#VALUE!</v>
      </c>
      <c r="R123" s="127" t="e">
        <f t="shared" ca="1" si="43"/>
        <v>#VALUE!</v>
      </c>
      <c r="S123" s="127" t="e">
        <f t="shared" ca="1" si="43"/>
        <v>#VALUE!</v>
      </c>
      <c r="T123" s="127" t="e">
        <f t="shared" ca="1" si="43"/>
        <v>#VALUE!</v>
      </c>
      <c r="U123" s="127" t="e">
        <f t="shared" ca="1" si="43"/>
        <v>#VALUE!</v>
      </c>
      <c r="V123" s="127" t="e">
        <f t="shared" ca="1" si="43"/>
        <v>#VALUE!</v>
      </c>
      <c r="W123" s="127" t="e">
        <f t="shared" ca="1" si="43"/>
        <v>#VALUE!</v>
      </c>
      <c r="X123" s="127" t="e">
        <f t="shared" ca="1" si="43"/>
        <v>#VALUE!</v>
      </c>
      <c r="Y123" s="127" t="e">
        <f t="shared" ca="1" si="43"/>
        <v>#VALUE!</v>
      </c>
      <c r="Z123" s="127" t="e">
        <f t="shared" ca="1" si="43"/>
        <v>#VALUE!</v>
      </c>
      <c r="AA123" s="127" t="e">
        <f t="shared" ca="1" si="43"/>
        <v>#VALUE!</v>
      </c>
      <c r="AB123" s="127" t="e">
        <f t="shared" ca="1" si="43"/>
        <v>#VALUE!</v>
      </c>
      <c r="AC123" s="127" t="e">
        <f t="shared" ca="1" si="43"/>
        <v>#VALUE!</v>
      </c>
      <c r="AD123" s="127" t="e">
        <f t="shared" ca="1" si="43"/>
        <v>#VALUE!</v>
      </c>
      <c r="AE123" s="127" t="e">
        <f t="shared" ca="1" si="43"/>
        <v>#VALUE!</v>
      </c>
      <c r="AF123" s="127" t="e">
        <f t="shared" ca="1" si="43"/>
        <v>#VALUE!</v>
      </c>
      <c r="AG123" s="127" t="e">
        <f t="shared" ca="1" si="43"/>
        <v>#VALUE!</v>
      </c>
      <c r="AH123" s="127" t="e">
        <f t="shared" ca="1" si="43"/>
        <v>#VALUE!</v>
      </c>
      <c r="AI123" s="127" t="e">
        <f t="shared" ca="1" si="43"/>
        <v>#VALUE!</v>
      </c>
      <c r="AJ123" s="127" t="e">
        <f t="shared" ca="1" si="43"/>
        <v>#VALUE!</v>
      </c>
      <c r="AK123" s="127" t="e">
        <f t="shared" ca="1" si="43"/>
        <v>#VALUE!</v>
      </c>
      <c r="AL123" s="127" t="e">
        <f t="shared" ca="1" si="43"/>
        <v>#VALUE!</v>
      </c>
      <c r="AM123" s="127" t="e">
        <f t="shared" ca="1" si="43"/>
        <v>#VALUE!</v>
      </c>
      <c r="AN123" s="127" t="e">
        <f t="shared" ca="1" si="43"/>
        <v>#VALUE!</v>
      </c>
      <c r="AO123" s="127" t="e">
        <f t="shared" ca="1" si="43"/>
        <v>#VALUE!</v>
      </c>
      <c r="AP123" s="127" t="e">
        <f t="shared" ca="1" si="43"/>
        <v>#VALUE!</v>
      </c>
      <c r="AQ123" s="127" t="e">
        <f t="shared" ca="1" si="43"/>
        <v>#VALUE!</v>
      </c>
      <c r="AR123" s="127" t="e">
        <f t="shared" ca="1" si="43"/>
        <v>#VALUE!</v>
      </c>
      <c r="AS123" s="127" t="e">
        <f t="shared" ca="1" si="43"/>
        <v>#VALUE!</v>
      </c>
      <c r="AT123" s="127" t="e">
        <f t="shared" ca="1" si="43"/>
        <v>#VALUE!</v>
      </c>
      <c r="AU123" s="127" t="e">
        <f t="shared" ca="1" si="43"/>
        <v>#VALUE!</v>
      </c>
    </row>
    <row r="124" spans="2:47" x14ac:dyDescent="0.25">
      <c r="B124" t="s">
        <v>582</v>
      </c>
      <c r="C124" s="127" t="e">
        <f t="shared" ref="C124:E124" ca="1" si="44">C43</f>
        <v>#VALUE!</v>
      </c>
      <c r="D124" s="127" t="e">
        <f t="shared" ca="1" si="44"/>
        <v>#VALUE!</v>
      </c>
      <c r="E124" s="127" t="e">
        <f t="shared" ca="1" si="44"/>
        <v>#VALUE!</v>
      </c>
      <c r="F124" s="127" t="e">
        <f t="shared" ref="F124:K124" ca="1" si="45">F43</f>
        <v>#VALUE!</v>
      </c>
      <c r="G124" s="127" t="e">
        <f t="shared" ca="1" si="45"/>
        <v>#VALUE!</v>
      </c>
      <c r="H124" s="127" t="e">
        <f t="shared" ca="1" si="45"/>
        <v>#VALUE!</v>
      </c>
      <c r="I124" s="127" t="e">
        <f t="shared" ca="1" si="45"/>
        <v>#VALUE!</v>
      </c>
      <c r="J124" s="127" t="e">
        <f t="shared" ca="1" si="45"/>
        <v>#VALUE!</v>
      </c>
      <c r="K124" s="127" t="e">
        <f t="shared" ca="1" si="45"/>
        <v>#VALUE!</v>
      </c>
      <c r="L124" s="127" t="e">
        <f ca="1">L43</f>
        <v>#VALUE!</v>
      </c>
      <c r="M124" s="127" t="e">
        <f t="shared" ref="M124:AU124" ca="1" si="46">M43</f>
        <v>#VALUE!</v>
      </c>
      <c r="N124" s="127" t="e">
        <f t="shared" ca="1" si="46"/>
        <v>#VALUE!</v>
      </c>
      <c r="O124" s="127" t="e">
        <f t="shared" ca="1" si="46"/>
        <v>#VALUE!</v>
      </c>
      <c r="P124" s="127" t="e">
        <f t="shared" ca="1" si="46"/>
        <v>#VALUE!</v>
      </c>
      <c r="Q124" s="127" t="e">
        <f t="shared" ca="1" si="46"/>
        <v>#VALUE!</v>
      </c>
      <c r="R124" s="127" t="e">
        <f t="shared" ca="1" si="46"/>
        <v>#VALUE!</v>
      </c>
      <c r="S124" s="127" t="e">
        <f t="shared" ca="1" si="46"/>
        <v>#VALUE!</v>
      </c>
      <c r="T124" s="127" t="e">
        <f t="shared" ca="1" si="46"/>
        <v>#VALUE!</v>
      </c>
      <c r="U124" s="127" t="e">
        <f t="shared" ca="1" si="46"/>
        <v>#VALUE!</v>
      </c>
      <c r="V124" s="127" t="e">
        <f t="shared" ca="1" si="46"/>
        <v>#VALUE!</v>
      </c>
      <c r="W124" s="127" t="e">
        <f t="shared" ca="1" si="46"/>
        <v>#VALUE!</v>
      </c>
      <c r="X124" s="127" t="e">
        <f t="shared" ca="1" si="46"/>
        <v>#VALUE!</v>
      </c>
      <c r="Y124" s="127" t="e">
        <f t="shared" ca="1" si="46"/>
        <v>#VALUE!</v>
      </c>
      <c r="Z124" s="127" t="e">
        <f t="shared" ca="1" si="46"/>
        <v>#VALUE!</v>
      </c>
      <c r="AA124" s="127" t="e">
        <f t="shared" ca="1" si="46"/>
        <v>#VALUE!</v>
      </c>
      <c r="AB124" s="127" t="e">
        <f t="shared" ca="1" si="46"/>
        <v>#VALUE!</v>
      </c>
      <c r="AC124" s="127" t="e">
        <f t="shared" ca="1" si="46"/>
        <v>#VALUE!</v>
      </c>
      <c r="AD124" s="127" t="e">
        <f t="shared" ca="1" si="46"/>
        <v>#VALUE!</v>
      </c>
      <c r="AE124" s="127" t="e">
        <f t="shared" ca="1" si="46"/>
        <v>#VALUE!</v>
      </c>
      <c r="AF124" s="127" t="e">
        <f t="shared" ca="1" si="46"/>
        <v>#VALUE!</v>
      </c>
      <c r="AG124" s="127" t="e">
        <f t="shared" ca="1" si="46"/>
        <v>#VALUE!</v>
      </c>
      <c r="AH124" s="127" t="e">
        <f t="shared" ca="1" si="46"/>
        <v>#VALUE!</v>
      </c>
      <c r="AI124" s="127" t="e">
        <f t="shared" ca="1" si="46"/>
        <v>#VALUE!</v>
      </c>
      <c r="AJ124" s="127" t="e">
        <f t="shared" ca="1" si="46"/>
        <v>#VALUE!</v>
      </c>
      <c r="AK124" s="127" t="e">
        <f t="shared" ca="1" si="46"/>
        <v>#VALUE!</v>
      </c>
      <c r="AL124" s="127" t="e">
        <f t="shared" ca="1" si="46"/>
        <v>#VALUE!</v>
      </c>
      <c r="AM124" s="127" t="e">
        <f t="shared" ca="1" si="46"/>
        <v>#VALUE!</v>
      </c>
      <c r="AN124" s="127" t="e">
        <f t="shared" ca="1" si="46"/>
        <v>#VALUE!</v>
      </c>
      <c r="AO124" s="127" t="e">
        <f t="shared" ca="1" si="46"/>
        <v>#VALUE!</v>
      </c>
      <c r="AP124" s="127" t="e">
        <f t="shared" ca="1" si="46"/>
        <v>#VALUE!</v>
      </c>
      <c r="AQ124" s="127" t="e">
        <f t="shared" ca="1" si="46"/>
        <v>#VALUE!</v>
      </c>
      <c r="AR124" s="127" t="e">
        <f t="shared" ca="1" si="46"/>
        <v>#VALUE!</v>
      </c>
      <c r="AS124" s="127" t="e">
        <f t="shared" ca="1" si="46"/>
        <v>#VALUE!</v>
      </c>
      <c r="AT124" s="127" t="e">
        <f t="shared" ca="1" si="46"/>
        <v>#VALUE!</v>
      </c>
      <c r="AU124" s="127" t="e">
        <f t="shared" ca="1" si="46"/>
        <v>#VALUE!</v>
      </c>
    </row>
    <row r="125" spans="2:47" x14ac:dyDescent="0.25">
      <c r="B125" t="s">
        <v>583</v>
      </c>
      <c r="C125" s="127" t="e">
        <f t="shared" ref="C125:E125" ca="1" si="47">SUM(C44:C46)</f>
        <v>#VALUE!</v>
      </c>
      <c r="D125" s="127" t="e">
        <f t="shared" ca="1" si="47"/>
        <v>#VALUE!</v>
      </c>
      <c r="E125" s="127" t="e">
        <f t="shared" ca="1" si="47"/>
        <v>#VALUE!</v>
      </c>
      <c r="F125" s="127" t="e">
        <f t="shared" ref="F125:K125" ca="1" si="48">SUM(F44:F46)</f>
        <v>#VALUE!</v>
      </c>
      <c r="G125" s="127" t="e">
        <f t="shared" ca="1" si="48"/>
        <v>#VALUE!</v>
      </c>
      <c r="H125" s="127" t="e">
        <f t="shared" ca="1" si="48"/>
        <v>#VALUE!</v>
      </c>
      <c r="I125" s="127" t="e">
        <f t="shared" ca="1" si="48"/>
        <v>#VALUE!</v>
      </c>
      <c r="J125" s="127" t="e">
        <f t="shared" ca="1" si="48"/>
        <v>#VALUE!</v>
      </c>
      <c r="K125" s="127" t="e">
        <f t="shared" ca="1" si="48"/>
        <v>#VALUE!</v>
      </c>
      <c r="L125" s="127" t="e">
        <f ca="1">SUM(L44:L46)</f>
        <v>#VALUE!</v>
      </c>
      <c r="M125" s="127" t="e">
        <f t="shared" ref="M125:AU125" ca="1" si="49">SUM(M44:M46)</f>
        <v>#VALUE!</v>
      </c>
      <c r="N125" s="127" t="e">
        <f t="shared" ca="1" si="49"/>
        <v>#VALUE!</v>
      </c>
      <c r="O125" s="127" t="e">
        <f t="shared" ca="1" si="49"/>
        <v>#VALUE!</v>
      </c>
      <c r="P125" s="127" t="e">
        <f t="shared" ca="1" si="49"/>
        <v>#VALUE!</v>
      </c>
      <c r="Q125" s="127" t="e">
        <f t="shared" ca="1" si="49"/>
        <v>#VALUE!</v>
      </c>
      <c r="R125" s="127" t="e">
        <f t="shared" ca="1" si="49"/>
        <v>#VALUE!</v>
      </c>
      <c r="S125" s="127" t="e">
        <f t="shared" ca="1" si="49"/>
        <v>#VALUE!</v>
      </c>
      <c r="T125" s="127" t="e">
        <f t="shared" ca="1" si="49"/>
        <v>#VALUE!</v>
      </c>
      <c r="U125" s="127" t="e">
        <f t="shared" ca="1" si="49"/>
        <v>#VALUE!</v>
      </c>
      <c r="V125" s="127" t="e">
        <f t="shared" ca="1" si="49"/>
        <v>#VALUE!</v>
      </c>
      <c r="W125" s="127" t="e">
        <f t="shared" ca="1" si="49"/>
        <v>#VALUE!</v>
      </c>
      <c r="X125" s="127" t="e">
        <f t="shared" ca="1" si="49"/>
        <v>#VALUE!</v>
      </c>
      <c r="Y125" s="127" t="e">
        <f t="shared" ca="1" si="49"/>
        <v>#VALUE!</v>
      </c>
      <c r="Z125" s="127" t="e">
        <f t="shared" ca="1" si="49"/>
        <v>#VALUE!</v>
      </c>
      <c r="AA125" s="127" t="e">
        <f t="shared" ca="1" si="49"/>
        <v>#VALUE!</v>
      </c>
      <c r="AB125" s="127" t="e">
        <f t="shared" ca="1" si="49"/>
        <v>#VALUE!</v>
      </c>
      <c r="AC125" s="127" t="e">
        <f t="shared" ca="1" si="49"/>
        <v>#VALUE!</v>
      </c>
      <c r="AD125" s="127" t="e">
        <f t="shared" ca="1" si="49"/>
        <v>#VALUE!</v>
      </c>
      <c r="AE125" s="127" t="e">
        <f t="shared" ca="1" si="49"/>
        <v>#VALUE!</v>
      </c>
      <c r="AF125" s="127" t="e">
        <f t="shared" ca="1" si="49"/>
        <v>#VALUE!</v>
      </c>
      <c r="AG125" s="127" t="e">
        <f t="shared" ca="1" si="49"/>
        <v>#VALUE!</v>
      </c>
      <c r="AH125" s="127" t="e">
        <f t="shared" ca="1" si="49"/>
        <v>#VALUE!</v>
      </c>
      <c r="AI125" s="127" t="e">
        <f t="shared" ca="1" si="49"/>
        <v>#VALUE!</v>
      </c>
      <c r="AJ125" s="127" t="e">
        <f t="shared" ca="1" si="49"/>
        <v>#VALUE!</v>
      </c>
      <c r="AK125" s="127" t="e">
        <f t="shared" ca="1" si="49"/>
        <v>#VALUE!</v>
      </c>
      <c r="AL125" s="127" t="e">
        <f t="shared" ca="1" si="49"/>
        <v>#VALUE!</v>
      </c>
      <c r="AM125" s="127" t="e">
        <f t="shared" ca="1" si="49"/>
        <v>#VALUE!</v>
      </c>
      <c r="AN125" s="127" t="e">
        <f t="shared" ca="1" si="49"/>
        <v>#VALUE!</v>
      </c>
      <c r="AO125" s="127" t="e">
        <f t="shared" ca="1" si="49"/>
        <v>#VALUE!</v>
      </c>
      <c r="AP125" s="127" t="e">
        <f t="shared" ca="1" si="49"/>
        <v>#VALUE!</v>
      </c>
      <c r="AQ125" s="127" t="e">
        <f t="shared" ca="1" si="49"/>
        <v>#VALUE!</v>
      </c>
      <c r="AR125" s="127" t="e">
        <f t="shared" ca="1" si="49"/>
        <v>#VALUE!</v>
      </c>
      <c r="AS125" s="127" t="e">
        <f t="shared" ca="1" si="49"/>
        <v>#VALUE!</v>
      </c>
      <c r="AT125" s="127" t="e">
        <f t="shared" ca="1" si="49"/>
        <v>#VALUE!</v>
      </c>
      <c r="AU125" s="127" t="e">
        <f t="shared" ca="1" si="49"/>
        <v>#VALUE!</v>
      </c>
    </row>
    <row r="126" spans="2:47" x14ac:dyDescent="0.25">
      <c r="B126" t="s">
        <v>584</v>
      </c>
      <c r="C126" s="127" t="e">
        <f t="shared" ref="C126:E126" ca="1" si="50">C58</f>
        <v>#VALUE!</v>
      </c>
      <c r="D126" s="127" t="e">
        <f t="shared" ca="1" si="50"/>
        <v>#VALUE!</v>
      </c>
      <c r="E126" s="127" t="e">
        <f t="shared" ca="1" si="50"/>
        <v>#VALUE!</v>
      </c>
      <c r="F126" s="127" t="e">
        <f t="shared" ref="F126:K126" ca="1" si="51">F58</f>
        <v>#VALUE!</v>
      </c>
      <c r="G126" s="127" t="e">
        <f t="shared" ca="1" si="51"/>
        <v>#VALUE!</v>
      </c>
      <c r="H126" s="127" t="e">
        <f t="shared" ca="1" si="51"/>
        <v>#VALUE!</v>
      </c>
      <c r="I126" s="127" t="e">
        <f t="shared" ca="1" si="51"/>
        <v>#VALUE!</v>
      </c>
      <c r="J126" s="127" t="e">
        <f t="shared" ca="1" si="51"/>
        <v>#VALUE!</v>
      </c>
      <c r="K126" s="127" t="e">
        <f t="shared" ca="1" si="51"/>
        <v>#VALUE!</v>
      </c>
      <c r="L126" s="127" t="e">
        <f ca="1">L58</f>
        <v>#VALUE!</v>
      </c>
      <c r="M126" s="127" t="e">
        <f t="shared" ref="M126:AU126" ca="1" si="52">M58</f>
        <v>#VALUE!</v>
      </c>
      <c r="N126" s="127" t="e">
        <f t="shared" ca="1" si="52"/>
        <v>#VALUE!</v>
      </c>
      <c r="O126" s="127" t="e">
        <f t="shared" ca="1" si="52"/>
        <v>#VALUE!</v>
      </c>
      <c r="P126" s="127" t="e">
        <f t="shared" ca="1" si="52"/>
        <v>#VALUE!</v>
      </c>
      <c r="Q126" s="127" t="e">
        <f t="shared" ca="1" si="52"/>
        <v>#VALUE!</v>
      </c>
      <c r="R126" s="127" t="e">
        <f t="shared" ca="1" si="52"/>
        <v>#VALUE!</v>
      </c>
      <c r="S126" s="127" t="e">
        <f t="shared" ca="1" si="52"/>
        <v>#VALUE!</v>
      </c>
      <c r="T126" s="127" t="e">
        <f t="shared" ca="1" si="52"/>
        <v>#VALUE!</v>
      </c>
      <c r="U126" s="127" t="e">
        <f t="shared" ca="1" si="52"/>
        <v>#VALUE!</v>
      </c>
      <c r="V126" s="127" t="e">
        <f t="shared" ca="1" si="52"/>
        <v>#VALUE!</v>
      </c>
      <c r="W126" s="127" t="e">
        <f t="shared" ca="1" si="52"/>
        <v>#VALUE!</v>
      </c>
      <c r="X126" s="127" t="e">
        <f t="shared" ca="1" si="52"/>
        <v>#VALUE!</v>
      </c>
      <c r="Y126" s="127" t="e">
        <f t="shared" ca="1" si="52"/>
        <v>#VALUE!</v>
      </c>
      <c r="Z126" s="127" t="e">
        <f t="shared" ca="1" si="52"/>
        <v>#VALUE!</v>
      </c>
      <c r="AA126" s="127" t="e">
        <f t="shared" ca="1" si="52"/>
        <v>#VALUE!</v>
      </c>
      <c r="AB126" s="127" t="e">
        <f t="shared" ca="1" si="52"/>
        <v>#VALUE!</v>
      </c>
      <c r="AC126" s="127" t="e">
        <f t="shared" ca="1" si="52"/>
        <v>#VALUE!</v>
      </c>
      <c r="AD126" s="127" t="e">
        <f t="shared" ca="1" si="52"/>
        <v>#VALUE!</v>
      </c>
      <c r="AE126" s="127" t="e">
        <f t="shared" ca="1" si="52"/>
        <v>#VALUE!</v>
      </c>
      <c r="AF126" s="127" t="e">
        <f t="shared" ca="1" si="52"/>
        <v>#VALUE!</v>
      </c>
      <c r="AG126" s="127" t="e">
        <f t="shared" ca="1" si="52"/>
        <v>#VALUE!</v>
      </c>
      <c r="AH126" s="127" t="e">
        <f t="shared" ca="1" si="52"/>
        <v>#VALUE!</v>
      </c>
      <c r="AI126" s="127" t="e">
        <f t="shared" ca="1" si="52"/>
        <v>#VALUE!</v>
      </c>
      <c r="AJ126" s="127" t="e">
        <f t="shared" ca="1" si="52"/>
        <v>#VALUE!</v>
      </c>
      <c r="AK126" s="127" t="e">
        <f t="shared" ca="1" si="52"/>
        <v>#VALUE!</v>
      </c>
      <c r="AL126" s="127" t="e">
        <f t="shared" ca="1" si="52"/>
        <v>#VALUE!</v>
      </c>
      <c r="AM126" s="127" t="e">
        <f t="shared" ca="1" si="52"/>
        <v>#VALUE!</v>
      </c>
      <c r="AN126" s="127" t="e">
        <f t="shared" ca="1" si="52"/>
        <v>#VALUE!</v>
      </c>
      <c r="AO126" s="127" t="e">
        <f t="shared" ca="1" si="52"/>
        <v>#VALUE!</v>
      </c>
      <c r="AP126" s="127" t="e">
        <f t="shared" ca="1" si="52"/>
        <v>#VALUE!</v>
      </c>
      <c r="AQ126" s="127" t="e">
        <f t="shared" ca="1" si="52"/>
        <v>#VALUE!</v>
      </c>
      <c r="AR126" s="127" t="e">
        <f t="shared" ca="1" si="52"/>
        <v>#VALUE!</v>
      </c>
      <c r="AS126" s="127" t="e">
        <f t="shared" ca="1" si="52"/>
        <v>#VALUE!</v>
      </c>
      <c r="AT126" s="127" t="e">
        <f t="shared" ca="1" si="52"/>
        <v>#VALUE!</v>
      </c>
      <c r="AU126" s="127" t="e">
        <f t="shared" ca="1" si="52"/>
        <v>#VALUE!</v>
      </c>
    </row>
    <row r="127" spans="2:47" x14ac:dyDescent="0.25">
      <c r="B127" t="s">
        <v>585</v>
      </c>
      <c r="C127" s="127" t="e">
        <f t="shared" ref="C127:E127" ca="1" si="53">SUM(C20:C32,C38:C39,C59)</f>
        <v>#VALUE!</v>
      </c>
      <c r="D127" s="127" t="e">
        <f t="shared" ca="1" si="53"/>
        <v>#VALUE!</v>
      </c>
      <c r="E127" s="127" t="e">
        <f t="shared" ca="1" si="53"/>
        <v>#VALUE!</v>
      </c>
      <c r="F127" s="127" t="e">
        <f t="shared" ref="F127:K127" ca="1" si="54">SUM(F20:F32,F38:F39,F59)</f>
        <v>#VALUE!</v>
      </c>
      <c r="G127" s="127" t="e">
        <f t="shared" ca="1" si="54"/>
        <v>#VALUE!</v>
      </c>
      <c r="H127" s="127" t="e">
        <f t="shared" ca="1" si="54"/>
        <v>#VALUE!</v>
      </c>
      <c r="I127" s="127" t="e">
        <f t="shared" ca="1" si="54"/>
        <v>#VALUE!</v>
      </c>
      <c r="J127" s="127" t="e">
        <f t="shared" ca="1" si="54"/>
        <v>#VALUE!</v>
      </c>
      <c r="K127" s="127" t="e">
        <f t="shared" ca="1" si="54"/>
        <v>#VALUE!</v>
      </c>
      <c r="L127" s="127" t="e">
        <f ca="1">SUM(L20:L32,L38:L39,L59)</f>
        <v>#VALUE!</v>
      </c>
      <c r="M127" s="127" t="e">
        <f t="shared" ref="M127:AU127" ca="1" si="55">SUM(M20:M32,M38:M39,M59)</f>
        <v>#VALUE!</v>
      </c>
      <c r="N127" s="127" t="e">
        <f t="shared" ca="1" si="55"/>
        <v>#VALUE!</v>
      </c>
      <c r="O127" s="127" t="e">
        <f t="shared" ca="1" si="55"/>
        <v>#VALUE!</v>
      </c>
      <c r="P127" s="127" t="e">
        <f t="shared" ca="1" si="55"/>
        <v>#VALUE!</v>
      </c>
      <c r="Q127" s="127" t="e">
        <f t="shared" ca="1" si="55"/>
        <v>#VALUE!</v>
      </c>
      <c r="R127" s="127" t="e">
        <f t="shared" ca="1" si="55"/>
        <v>#VALUE!</v>
      </c>
      <c r="S127" s="127" t="e">
        <f t="shared" ca="1" si="55"/>
        <v>#VALUE!</v>
      </c>
      <c r="T127" s="127" t="e">
        <f t="shared" ca="1" si="55"/>
        <v>#VALUE!</v>
      </c>
      <c r="U127" s="127" t="e">
        <f t="shared" ca="1" si="55"/>
        <v>#VALUE!</v>
      </c>
      <c r="V127" s="127" t="e">
        <f t="shared" ca="1" si="55"/>
        <v>#VALUE!</v>
      </c>
      <c r="W127" s="127" t="e">
        <f t="shared" ca="1" si="55"/>
        <v>#VALUE!</v>
      </c>
      <c r="X127" s="127" t="e">
        <f t="shared" ca="1" si="55"/>
        <v>#VALUE!</v>
      </c>
      <c r="Y127" s="127" t="e">
        <f t="shared" ca="1" si="55"/>
        <v>#VALUE!</v>
      </c>
      <c r="Z127" s="127" t="e">
        <f t="shared" ca="1" si="55"/>
        <v>#VALUE!</v>
      </c>
      <c r="AA127" s="127" t="e">
        <f t="shared" ca="1" si="55"/>
        <v>#VALUE!</v>
      </c>
      <c r="AB127" s="127" t="e">
        <f t="shared" ca="1" si="55"/>
        <v>#VALUE!</v>
      </c>
      <c r="AC127" s="127" t="e">
        <f t="shared" ca="1" si="55"/>
        <v>#VALUE!</v>
      </c>
      <c r="AD127" s="127" t="e">
        <f t="shared" ca="1" si="55"/>
        <v>#VALUE!</v>
      </c>
      <c r="AE127" s="127" t="e">
        <f t="shared" ca="1" si="55"/>
        <v>#VALUE!</v>
      </c>
      <c r="AF127" s="127" t="e">
        <f t="shared" ca="1" si="55"/>
        <v>#VALUE!</v>
      </c>
      <c r="AG127" s="127" t="e">
        <f t="shared" ca="1" si="55"/>
        <v>#VALUE!</v>
      </c>
      <c r="AH127" s="127" t="e">
        <f t="shared" ca="1" si="55"/>
        <v>#VALUE!</v>
      </c>
      <c r="AI127" s="127" t="e">
        <f t="shared" ca="1" si="55"/>
        <v>#VALUE!</v>
      </c>
      <c r="AJ127" s="127" t="e">
        <f t="shared" ca="1" si="55"/>
        <v>#VALUE!</v>
      </c>
      <c r="AK127" s="127" t="e">
        <f t="shared" ca="1" si="55"/>
        <v>#VALUE!</v>
      </c>
      <c r="AL127" s="127" t="e">
        <f t="shared" ca="1" si="55"/>
        <v>#VALUE!</v>
      </c>
      <c r="AM127" s="127" t="e">
        <f t="shared" ca="1" si="55"/>
        <v>#VALUE!</v>
      </c>
      <c r="AN127" s="127" t="e">
        <f t="shared" ca="1" si="55"/>
        <v>#VALUE!</v>
      </c>
      <c r="AO127" s="127" t="e">
        <f t="shared" ca="1" si="55"/>
        <v>#VALUE!</v>
      </c>
      <c r="AP127" s="127" t="e">
        <f t="shared" ca="1" si="55"/>
        <v>#VALUE!</v>
      </c>
      <c r="AQ127" s="127" t="e">
        <f t="shared" ca="1" si="55"/>
        <v>#VALUE!</v>
      </c>
      <c r="AR127" s="127" t="e">
        <f t="shared" ca="1" si="55"/>
        <v>#VALUE!</v>
      </c>
      <c r="AS127" s="127" t="e">
        <f t="shared" ca="1" si="55"/>
        <v>#VALUE!</v>
      </c>
      <c r="AT127" s="127" t="e">
        <f t="shared" ca="1" si="55"/>
        <v>#VALUE!</v>
      </c>
      <c r="AU127" s="127" t="e">
        <f t="shared" ca="1" si="55"/>
        <v>#VALUE!</v>
      </c>
    </row>
    <row r="128" spans="2:47" x14ac:dyDescent="0.25">
      <c r="B128" t="s">
        <v>472</v>
      </c>
      <c r="C128" s="127" t="e">
        <f t="shared" ref="C128" ca="1" si="56">SUM(C119:C127)</f>
        <v>#VALUE!</v>
      </c>
      <c r="D128" s="127" t="e">
        <f t="shared" ref="D128" ca="1" si="57">SUM(D119:D127)</f>
        <v>#VALUE!</v>
      </c>
      <c r="E128" s="127" t="e">
        <f t="shared" ref="E128" ca="1" si="58">SUM(E119:E127)</f>
        <v>#VALUE!</v>
      </c>
      <c r="F128" s="127" t="e">
        <f t="shared" ref="F128:K128" ca="1" si="59">SUM(F119:F127)</f>
        <v>#VALUE!</v>
      </c>
      <c r="G128" s="127" t="e">
        <f t="shared" ca="1" si="59"/>
        <v>#VALUE!</v>
      </c>
      <c r="H128" s="127" t="e">
        <f t="shared" ca="1" si="59"/>
        <v>#VALUE!</v>
      </c>
      <c r="I128" s="127" t="e">
        <f t="shared" ca="1" si="59"/>
        <v>#VALUE!</v>
      </c>
      <c r="J128" s="127" t="e">
        <f t="shared" ca="1" si="59"/>
        <v>#VALUE!</v>
      </c>
      <c r="K128" s="127" t="e">
        <f t="shared" ca="1" si="59"/>
        <v>#VALUE!</v>
      </c>
      <c r="L128" s="127" t="e">
        <f ca="1">SUM(L119:L127)</f>
        <v>#VALUE!</v>
      </c>
      <c r="M128" s="127" t="e">
        <f t="shared" ref="M128:AU128" ca="1" si="60">SUM(M119:M127)</f>
        <v>#VALUE!</v>
      </c>
      <c r="N128" s="127" t="e">
        <f t="shared" ca="1" si="60"/>
        <v>#VALUE!</v>
      </c>
      <c r="O128" s="127" t="e">
        <f t="shared" ca="1" si="60"/>
        <v>#VALUE!</v>
      </c>
      <c r="P128" s="127" t="e">
        <f t="shared" ca="1" si="60"/>
        <v>#VALUE!</v>
      </c>
      <c r="Q128" s="127" t="e">
        <f t="shared" ca="1" si="60"/>
        <v>#VALUE!</v>
      </c>
      <c r="R128" s="127" t="e">
        <f t="shared" ca="1" si="60"/>
        <v>#VALUE!</v>
      </c>
      <c r="S128" s="127" t="e">
        <f t="shared" ca="1" si="60"/>
        <v>#VALUE!</v>
      </c>
      <c r="T128" s="127" t="e">
        <f t="shared" ca="1" si="60"/>
        <v>#VALUE!</v>
      </c>
      <c r="U128" s="127" t="e">
        <f t="shared" ca="1" si="60"/>
        <v>#VALUE!</v>
      </c>
      <c r="V128" s="127" t="e">
        <f t="shared" ca="1" si="60"/>
        <v>#VALUE!</v>
      </c>
      <c r="W128" s="127" t="e">
        <f t="shared" ca="1" si="60"/>
        <v>#VALUE!</v>
      </c>
      <c r="X128" s="127" t="e">
        <f t="shared" ca="1" si="60"/>
        <v>#VALUE!</v>
      </c>
      <c r="Y128" s="127" t="e">
        <f t="shared" ca="1" si="60"/>
        <v>#VALUE!</v>
      </c>
      <c r="Z128" s="127" t="e">
        <f t="shared" ca="1" si="60"/>
        <v>#VALUE!</v>
      </c>
      <c r="AA128" s="127" t="e">
        <f t="shared" ca="1" si="60"/>
        <v>#VALUE!</v>
      </c>
      <c r="AB128" s="127" t="e">
        <f t="shared" ca="1" si="60"/>
        <v>#VALUE!</v>
      </c>
      <c r="AC128" s="127" t="e">
        <f t="shared" ca="1" si="60"/>
        <v>#VALUE!</v>
      </c>
      <c r="AD128" s="127" t="e">
        <f t="shared" ca="1" si="60"/>
        <v>#VALUE!</v>
      </c>
      <c r="AE128" s="127" t="e">
        <f t="shared" ca="1" si="60"/>
        <v>#VALUE!</v>
      </c>
      <c r="AF128" s="127" t="e">
        <f t="shared" ca="1" si="60"/>
        <v>#VALUE!</v>
      </c>
      <c r="AG128" s="127" t="e">
        <f t="shared" ca="1" si="60"/>
        <v>#VALUE!</v>
      </c>
      <c r="AH128" s="127" t="e">
        <f t="shared" ca="1" si="60"/>
        <v>#VALUE!</v>
      </c>
      <c r="AI128" s="127" t="e">
        <f t="shared" ca="1" si="60"/>
        <v>#VALUE!</v>
      </c>
      <c r="AJ128" s="127" t="e">
        <f t="shared" ca="1" si="60"/>
        <v>#VALUE!</v>
      </c>
      <c r="AK128" s="127" t="e">
        <f t="shared" ca="1" si="60"/>
        <v>#VALUE!</v>
      </c>
      <c r="AL128" s="127" t="e">
        <f t="shared" ca="1" si="60"/>
        <v>#VALUE!</v>
      </c>
      <c r="AM128" s="127" t="e">
        <f t="shared" ca="1" si="60"/>
        <v>#VALUE!</v>
      </c>
      <c r="AN128" s="127" t="e">
        <f t="shared" ca="1" si="60"/>
        <v>#VALUE!</v>
      </c>
      <c r="AO128" s="127" t="e">
        <f t="shared" ca="1" si="60"/>
        <v>#VALUE!</v>
      </c>
      <c r="AP128" s="127" t="e">
        <f t="shared" ca="1" si="60"/>
        <v>#VALUE!</v>
      </c>
      <c r="AQ128" s="127" t="e">
        <f t="shared" ca="1" si="60"/>
        <v>#VALUE!</v>
      </c>
      <c r="AR128" s="127" t="e">
        <f t="shared" ca="1" si="60"/>
        <v>#VALUE!</v>
      </c>
      <c r="AS128" s="127" t="e">
        <f t="shared" ca="1" si="60"/>
        <v>#VALUE!</v>
      </c>
      <c r="AT128" s="127" t="e">
        <f t="shared" ca="1" si="60"/>
        <v>#VALUE!</v>
      </c>
      <c r="AU128" s="127" t="e">
        <f t="shared" ca="1" si="60"/>
        <v>#VALUE!</v>
      </c>
    </row>
    <row r="129" spans="2:47" x14ac:dyDescent="0.25">
      <c r="C129" s="129" t="e">
        <f t="shared" ref="C129" ca="1" si="61">C128-C67</f>
        <v>#VALUE!</v>
      </c>
      <c r="D129" s="129" t="e">
        <f t="shared" ref="D129" ca="1" si="62">D128-D67</f>
        <v>#VALUE!</v>
      </c>
      <c r="E129" s="129" t="e">
        <f t="shared" ref="E129" ca="1" si="63">E128-E67</f>
        <v>#VALUE!</v>
      </c>
      <c r="F129" s="129" t="e">
        <f t="shared" ref="F129:K129" ca="1" si="64">F128-F67</f>
        <v>#VALUE!</v>
      </c>
      <c r="G129" s="129" t="e">
        <f t="shared" ca="1" si="64"/>
        <v>#VALUE!</v>
      </c>
      <c r="H129" s="129" t="e">
        <f t="shared" ca="1" si="64"/>
        <v>#VALUE!</v>
      </c>
      <c r="I129" s="129" t="e">
        <f t="shared" ca="1" si="64"/>
        <v>#VALUE!</v>
      </c>
      <c r="J129" s="129" t="e">
        <f t="shared" ca="1" si="64"/>
        <v>#VALUE!</v>
      </c>
      <c r="K129" s="129" t="e">
        <f t="shared" ca="1" si="64"/>
        <v>#VALUE!</v>
      </c>
      <c r="L129" s="129" t="e">
        <f ca="1">L128-L67</f>
        <v>#VALUE!</v>
      </c>
      <c r="M129" s="129" t="e">
        <f t="shared" ref="M129:AU129" ca="1" si="65">M128-M67</f>
        <v>#VALUE!</v>
      </c>
      <c r="N129" s="129" t="e">
        <f t="shared" ca="1" si="65"/>
        <v>#VALUE!</v>
      </c>
      <c r="O129" s="129" t="e">
        <f t="shared" ca="1" si="65"/>
        <v>#VALUE!</v>
      </c>
      <c r="P129" s="129" t="e">
        <f t="shared" ca="1" si="65"/>
        <v>#VALUE!</v>
      </c>
      <c r="Q129" s="129" t="e">
        <f t="shared" ca="1" si="65"/>
        <v>#VALUE!</v>
      </c>
      <c r="R129" s="129" t="e">
        <f t="shared" ca="1" si="65"/>
        <v>#VALUE!</v>
      </c>
      <c r="S129" s="129" t="e">
        <f t="shared" ca="1" si="65"/>
        <v>#VALUE!</v>
      </c>
      <c r="T129" s="129" t="e">
        <f t="shared" ca="1" si="65"/>
        <v>#VALUE!</v>
      </c>
      <c r="U129" s="129" t="e">
        <f t="shared" ca="1" si="65"/>
        <v>#VALUE!</v>
      </c>
      <c r="V129" s="129" t="e">
        <f t="shared" ca="1" si="65"/>
        <v>#VALUE!</v>
      </c>
      <c r="W129" s="129" t="e">
        <f t="shared" ca="1" si="65"/>
        <v>#VALUE!</v>
      </c>
      <c r="X129" s="129" t="e">
        <f t="shared" ca="1" si="65"/>
        <v>#VALUE!</v>
      </c>
      <c r="Y129" s="129" t="e">
        <f t="shared" ca="1" si="65"/>
        <v>#VALUE!</v>
      </c>
      <c r="Z129" s="129" t="e">
        <f t="shared" ca="1" si="65"/>
        <v>#VALUE!</v>
      </c>
      <c r="AA129" s="129" t="e">
        <f t="shared" ca="1" si="65"/>
        <v>#VALUE!</v>
      </c>
      <c r="AB129" s="129" t="e">
        <f t="shared" ca="1" si="65"/>
        <v>#VALUE!</v>
      </c>
      <c r="AC129" s="129" t="e">
        <f t="shared" ca="1" si="65"/>
        <v>#VALUE!</v>
      </c>
      <c r="AD129" s="129" t="e">
        <f t="shared" ca="1" si="65"/>
        <v>#VALUE!</v>
      </c>
      <c r="AE129" s="129" t="e">
        <f t="shared" ca="1" si="65"/>
        <v>#VALUE!</v>
      </c>
      <c r="AF129" s="129" t="e">
        <f t="shared" ca="1" si="65"/>
        <v>#VALUE!</v>
      </c>
      <c r="AG129" s="129" t="e">
        <f t="shared" ca="1" si="65"/>
        <v>#VALUE!</v>
      </c>
      <c r="AH129" s="129" t="e">
        <f t="shared" ca="1" si="65"/>
        <v>#VALUE!</v>
      </c>
      <c r="AI129" s="129" t="e">
        <f t="shared" ca="1" si="65"/>
        <v>#VALUE!</v>
      </c>
      <c r="AJ129" s="129" t="e">
        <f t="shared" ca="1" si="65"/>
        <v>#VALUE!</v>
      </c>
      <c r="AK129" s="129" t="e">
        <f t="shared" ca="1" si="65"/>
        <v>#VALUE!</v>
      </c>
      <c r="AL129" s="129" t="e">
        <f t="shared" ca="1" si="65"/>
        <v>#VALUE!</v>
      </c>
      <c r="AM129" s="129" t="e">
        <f t="shared" ca="1" si="65"/>
        <v>#VALUE!</v>
      </c>
      <c r="AN129" s="129" t="e">
        <f t="shared" ca="1" si="65"/>
        <v>#VALUE!</v>
      </c>
      <c r="AO129" s="129" t="e">
        <f t="shared" ca="1" si="65"/>
        <v>#VALUE!</v>
      </c>
      <c r="AP129" s="129" t="e">
        <f t="shared" ca="1" si="65"/>
        <v>#VALUE!</v>
      </c>
      <c r="AQ129" s="129" t="e">
        <f t="shared" ca="1" si="65"/>
        <v>#VALUE!</v>
      </c>
      <c r="AR129" s="129" t="e">
        <f t="shared" ca="1" si="65"/>
        <v>#VALUE!</v>
      </c>
      <c r="AS129" s="129" t="e">
        <f t="shared" ca="1" si="65"/>
        <v>#VALUE!</v>
      </c>
      <c r="AT129" s="129" t="e">
        <f t="shared" ca="1" si="65"/>
        <v>#VALUE!</v>
      </c>
      <c r="AU129" s="129" t="e">
        <f t="shared" ca="1" si="65"/>
        <v>#VALUE!</v>
      </c>
    </row>
    <row r="130" spans="2:47" x14ac:dyDescent="0.25">
      <c r="F130" s="129"/>
      <c r="G130" s="129"/>
      <c r="H130" s="129"/>
      <c r="I130" s="129"/>
      <c r="J130" s="129"/>
      <c r="K130" s="129"/>
      <c r="L130" s="129"/>
      <c r="M130" s="129"/>
      <c r="N130" s="129"/>
      <c r="O130" s="129"/>
      <c r="P130" s="129"/>
      <c r="Q130" s="129"/>
      <c r="R130" s="129"/>
      <c r="S130" s="129"/>
      <c r="T130" s="129"/>
      <c r="U130" s="129"/>
      <c r="V130" s="129"/>
      <c r="W130" s="129"/>
      <c r="X130" s="129"/>
      <c r="Y130" s="129"/>
      <c r="Z130" s="129"/>
      <c r="AA130" s="129"/>
      <c r="AB130" s="129"/>
      <c r="AC130" s="129"/>
      <c r="AD130" s="129"/>
      <c r="AE130" s="129"/>
      <c r="AF130" s="129"/>
      <c r="AG130" s="129"/>
      <c r="AH130" s="129"/>
      <c r="AI130" s="129"/>
      <c r="AJ130" s="129"/>
      <c r="AK130" s="129"/>
      <c r="AL130" s="129"/>
      <c r="AM130" s="129"/>
      <c r="AN130" s="129"/>
      <c r="AO130" s="129"/>
      <c r="AP130" s="129"/>
      <c r="AQ130" s="129"/>
      <c r="AR130" s="129"/>
      <c r="AS130" s="129"/>
      <c r="AT130" s="129"/>
      <c r="AU130" s="129"/>
    </row>
    <row r="131" spans="2:47" x14ac:dyDescent="0.25">
      <c r="B131" t="s">
        <v>577</v>
      </c>
      <c r="C131" s="127" t="e">
        <f t="shared" ref="C131:K131" ca="1" si="66">SUM(C109:C111)</f>
        <v>#VALUE!</v>
      </c>
      <c r="D131" s="127" t="e">
        <f t="shared" ca="1" si="66"/>
        <v>#VALUE!</v>
      </c>
      <c r="E131" s="127" t="e">
        <f t="shared" ca="1" si="66"/>
        <v>#VALUE!</v>
      </c>
      <c r="F131" s="127" t="e">
        <f t="shared" ca="1" si="66"/>
        <v>#VALUE!</v>
      </c>
      <c r="G131" s="127" t="e">
        <f t="shared" ca="1" si="66"/>
        <v>#VALUE!</v>
      </c>
      <c r="H131" s="127" t="e">
        <f t="shared" ca="1" si="66"/>
        <v>#VALUE!</v>
      </c>
      <c r="I131" s="127" t="e">
        <f t="shared" ca="1" si="66"/>
        <v>#VALUE!</v>
      </c>
      <c r="J131" s="127" t="e">
        <f t="shared" ca="1" si="66"/>
        <v>#VALUE!</v>
      </c>
      <c r="K131" s="127" t="e">
        <f t="shared" ca="1" si="66"/>
        <v>#VALUE!</v>
      </c>
      <c r="L131" s="127" t="e">
        <f ca="1">SUM(L109:L111)</f>
        <v>#VALUE!</v>
      </c>
      <c r="M131" s="127" t="e">
        <f t="shared" ref="M131:AU131" ca="1" si="67">SUM(M109:M111)</f>
        <v>#VALUE!</v>
      </c>
      <c r="N131" s="127" t="e">
        <f t="shared" ca="1" si="67"/>
        <v>#VALUE!</v>
      </c>
      <c r="O131" s="127" t="e">
        <f t="shared" ca="1" si="67"/>
        <v>#VALUE!</v>
      </c>
      <c r="P131" s="127" t="e">
        <f t="shared" ca="1" si="67"/>
        <v>#VALUE!</v>
      </c>
      <c r="Q131" s="127" t="e">
        <f t="shared" ca="1" si="67"/>
        <v>#VALUE!</v>
      </c>
      <c r="R131" s="127" t="e">
        <f t="shared" ca="1" si="67"/>
        <v>#VALUE!</v>
      </c>
      <c r="S131" s="127" t="e">
        <f t="shared" ca="1" si="67"/>
        <v>#VALUE!</v>
      </c>
      <c r="T131" s="127" t="e">
        <f t="shared" ca="1" si="67"/>
        <v>#VALUE!</v>
      </c>
      <c r="U131" s="127" t="e">
        <f t="shared" ca="1" si="67"/>
        <v>#VALUE!</v>
      </c>
      <c r="V131" s="127" t="e">
        <f t="shared" ca="1" si="67"/>
        <v>#VALUE!</v>
      </c>
      <c r="W131" s="127" t="e">
        <f t="shared" ca="1" si="67"/>
        <v>#VALUE!</v>
      </c>
      <c r="X131" s="127" t="e">
        <f t="shared" ca="1" si="67"/>
        <v>#VALUE!</v>
      </c>
      <c r="Y131" s="127" t="e">
        <f t="shared" ca="1" si="67"/>
        <v>#VALUE!</v>
      </c>
      <c r="Z131" s="127" t="e">
        <f t="shared" ca="1" si="67"/>
        <v>#VALUE!</v>
      </c>
      <c r="AA131" s="127" t="e">
        <f t="shared" ca="1" si="67"/>
        <v>#VALUE!</v>
      </c>
      <c r="AB131" s="127" t="e">
        <f t="shared" ca="1" si="67"/>
        <v>#VALUE!</v>
      </c>
      <c r="AC131" s="127" t="e">
        <f t="shared" ca="1" si="67"/>
        <v>#VALUE!</v>
      </c>
      <c r="AD131" s="127" t="e">
        <f t="shared" ca="1" si="67"/>
        <v>#VALUE!</v>
      </c>
      <c r="AE131" s="127" t="e">
        <f t="shared" ca="1" si="67"/>
        <v>#VALUE!</v>
      </c>
      <c r="AF131" s="127" t="e">
        <f t="shared" ca="1" si="67"/>
        <v>#VALUE!</v>
      </c>
      <c r="AG131" s="127" t="e">
        <f t="shared" ca="1" si="67"/>
        <v>#VALUE!</v>
      </c>
      <c r="AH131" s="127" t="e">
        <f t="shared" ca="1" si="67"/>
        <v>#VALUE!</v>
      </c>
      <c r="AI131" s="127" t="e">
        <f t="shared" ca="1" si="67"/>
        <v>#VALUE!</v>
      </c>
      <c r="AJ131" s="127" t="e">
        <f t="shared" ca="1" si="67"/>
        <v>#VALUE!</v>
      </c>
      <c r="AK131" s="127" t="e">
        <f t="shared" ca="1" si="67"/>
        <v>#VALUE!</v>
      </c>
      <c r="AL131" s="127" t="e">
        <f t="shared" ca="1" si="67"/>
        <v>#VALUE!</v>
      </c>
      <c r="AM131" s="127" t="e">
        <f t="shared" ca="1" si="67"/>
        <v>#VALUE!</v>
      </c>
      <c r="AN131" s="127" t="e">
        <f t="shared" ca="1" si="67"/>
        <v>#VALUE!</v>
      </c>
      <c r="AO131" s="127" t="e">
        <f t="shared" ca="1" si="67"/>
        <v>#VALUE!</v>
      </c>
      <c r="AP131" s="127" t="e">
        <f t="shared" ca="1" si="67"/>
        <v>#VALUE!</v>
      </c>
      <c r="AQ131" s="127" t="e">
        <f t="shared" ca="1" si="67"/>
        <v>#VALUE!</v>
      </c>
      <c r="AR131" s="127" t="e">
        <f t="shared" ca="1" si="67"/>
        <v>#VALUE!</v>
      </c>
      <c r="AS131" s="127" t="e">
        <f t="shared" ca="1" si="67"/>
        <v>#VALUE!</v>
      </c>
      <c r="AT131" s="127" t="e">
        <f t="shared" ca="1" si="67"/>
        <v>#VALUE!</v>
      </c>
      <c r="AU131" s="127" t="e">
        <f t="shared" ca="1" si="67"/>
        <v>#VALUE!</v>
      </c>
    </row>
    <row r="132" spans="2:47" x14ac:dyDescent="0.25">
      <c r="B132" t="s">
        <v>578</v>
      </c>
      <c r="C132" s="127" t="e">
        <f t="shared" ref="C132:K132" ca="1" si="68">SUM(C112:C115)</f>
        <v>#VALUE!</v>
      </c>
      <c r="D132" s="127" t="e">
        <f ca="1">SUM(D112:D115)</f>
        <v>#VALUE!</v>
      </c>
      <c r="E132" s="127" t="e">
        <f t="shared" ca="1" si="68"/>
        <v>#VALUE!</v>
      </c>
      <c r="F132" s="127" t="e">
        <f t="shared" ca="1" si="68"/>
        <v>#VALUE!</v>
      </c>
      <c r="G132" s="127" t="e">
        <f t="shared" ca="1" si="68"/>
        <v>#VALUE!</v>
      </c>
      <c r="H132" s="127" t="e">
        <f t="shared" ca="1" si="68"/>
        <v>#VALUE!</v>
      </c>
      <c r="I132" s="127" t="e">
        <f t="shared" ca="1" si="68"/>
        <v>#VALUE!</v>
      </c>
      <c r="J132" s="127" t="e">
        <f t="shared" ca="1" si="68"/>
        <v>#VALUE!</v>
      </c>
      <c r="K132" s="127" t="e">
        <f t="shared" ca="1" si="68"/>
        <v>#VALUE!</v>
      </c>
      <c r="L132" s="127" t="e">
        <f ca="1">SUM(L112:L115)</f>
        <v>#VALUE!</v>
      </c>
      <c r="M132" s="127" t="e">
        <f t="shared" ref="M132:AU132" ca="1" si="69">SUM(M112:M115)</f>
        <v>#VALUE!</v>
      </c>
      <c r="N132" s="127" t="e">
        <f t="shared" ca="1" si="69"/>
        <v>#VALUE!</v>
      </c>
      <c r="O132" s="127" t="e">
        <f t="shared" ca="1" si="69"/>
        <v>#VALUE!</v>
      </c>
      <c r="P132" s="127" t="e">
        <f t="shared" ca="1" si="69"/>
        <v>#VALUE!</v>
      </c>
      <c r="Q132" s="127" t="e">
        <f t="shared" ca="1" si="69"/>
        <v>#VALUE!</v>
      </c>
      <c r="R132" s="127" t="e">
        <f t="shared" ca="1" si="69"/>
        <v>#VALUE!</v>
      </c>
      <c r="S132" s="127" t="e">
        <f t="shared" ca="1" si="69"/>
        <v>#VALUE!</v>
      </c>
      <c r="T132" s="127" t="e">
        <f t="shared" ca="1" si="69"/>
        <v>#VALUE!</v>
      </c>
      <c r="U132" s="127" t="e">
        <f t="shared" ca="1" si="69"/>
        <v>#VALUE!</v>
      </c>
      <c r="V132" s="127" t="e">
        <f t="shared" ca="1" si="69"/>
        <v>#VALUE!</v>
      </c>
      <c r="W132" s="127" t="e">
        <f t="shared" ca="1" si="69"/>
        <v>#VALUE!</v>
      </c>
      <c r="X132" s="127" t="e">
        <f t="shared" ca="1" si="69"/>
        <v>#VALUE!</v>
      </c>
      <c r="Y132" s="127" t="e">
        <f t="shared" ca="1" si="69"/>
        <v>#VALUE!</v>
      </c>
      <c r="Z132" s="127" t="e">
        <f t="shared" ca="1" si="69"/>
        <v>#VALUE!</v>
      </c>
      <c r="AA132" s="127" t="e">
        <f t="shared" ca="1" si="69"/>
        <v>#VALUE!</v>
      </c>
      <c r="AB132" s="127" t="e">
        <f t="shared" ca="1" si="69"/>
        <v>#VALUE!</v>
      </c>
      <c r="AC132" s="127" t="e">
        <f t="shared" ca="1" si="69"/>
        <v>#VALUE!</v>
      </c>
      <c r="AD132" s="127" t="e">
        <f t="shared" ca="1" si="69"/>
        <v>#VALUE!</v>
      </c>
      <c r="AE132" s="127" t="e">
        <f t="shared" ca="1" si="69"/>
        <v>#VALUE!</v>
      </c>
      <c r="AF132" s="127" t="e">
        <f t="shared" ca="1" si="69"/>
        <v>#VALUE!</v>
      </c>
      <c r="AG132" s="127" t="e">
        <f t="shared" ca="1" si="69"/>
        <v>#VALUE!</v>
      </c>
      <c r="AH132" s="127" t="e">
        <f t="shared" ca="1" si="69"/>
        <v>#VALUE!</v>
      </c>
      <c r="AI132" s="127" t="e">
        <f t="shared" ca="1" si="69"/>
        <v>#VALUE!</v>
      </c>
      <c r="AJ132" s="127" t="e">
        <f t="shared" ca="1" si="69"/>
        <v>#VALUE!</v>
      </c>
      <c r="AK132" s="127" t="e">
        <f t="shared" ca="1" si="69"/>
        <v>#VALUE!</v>
      </c>
      <c r="AL132" s="127" t="e">
        <f t="shared" ca="1" si="69"/>
        <v>#VALUE!</v>
      </c>
      <c r="AM132" s="127" t="e">
        <f t="shared" ca="1" si="69"/>
        <v>#VALUE!</v>
      </c>
      <c r="AN132" s="127" t="e">
        <f t="shared" ca="1" si="69"/>
        <v>#VALUE!</v>
      </c>
      <c r="AO132" s="127" t="e">
        <f t="shared" ca="1" si="69"/>
        <v>#VALUE!</v>
      </c>
      <c r="AP132" s="127" t="e">
        <f t="shared" ca="1" si="69"/>
        <v>#VALUE!</v>
      </c>
      <c r="AQ132" s="127" t="e">
        <f t="shared" ca="1" si="69"/>
        <v>#VALUE!</v>
      </c>
      <c r="AR132" s="127" t="e">
        <f t="shared" ca="1" si="69"/>
        <v>#VALUE!</v>
      </c>
      <c r="AS132" s="127" t="e">
        <f t="shared" ca="1" si="69"/>
        <v>#VALUE!</v>
      </c>
      <c r="AT132" s="127" t="e">
        <f t="shared" ca="1" si="69"/>
        <v>#VALUE!</v>
      </c>
      <c r="AU132" s="127" t="e">
        <f t="shared" ca="1" si="69"/>
        <v>#VALUE!</v>
      </c>
    </row>
    <row r="133" spans="2:47" x14ac:dyDescent="0.25">
      <c r="B133" t="s">
        <v>579</v>
      </c>
      <c r="C133" s="127" t="e">
        <f t="shared" ref="C133:K133" ca="1" si="70">SUM(C82:C86)</f>
        <v>#VALUE!</v>
      </c>
      <c r="D133" s="127" t="e">
        <f t="shared" ca="1" si="70"/>
        <v>#VALUE!</v>
      </c>
      <c r="E133" s="127" t="e">
        <f t="shared" ca="1" si="70"/>
        <v>#VALUE!</v>
      </c>
      <c r="F133" s="127" t="e">
        <f t="shared" ca="1" si="70"/>
        <v>#VALUE!</v>
      </c>
      <c r="G133" s="127" t="e">
        <f t="shared" ca="1" si="70"/>
        <v>#VALUE!</v>
      </c>
      <c r="H133" s="127" t="e">
        <f t="shared" ca="1" si="70"/>
        <v>#VALUE!</v>
      </c>
      <c r="I133" s="127" t="e">
        <f t="shared" ca="1" si="70"/>
        <v>#VALUE!</v>
      </c>
      <c r="J133" s="127" t="e">
        <f t="shared" ca="1" si="70"/>
        <v>#VALUE!</v>
      </c>
      <c r="K133" s="127" t="e">
        <f t="shared" ca="1" si="70"/>
        <v>#VALUE!</v>
      </c>
      <c r="L133" s="127" t="e">
        <f ca="1">SUM(L82:L86)</f>
        <v>#VALUE!</v>
      </c>
      <c r="M133" s="127" t="e">
        <f t="shared" ref="M133:AU133" ca="1" si="71">SUM(M82:M86)</f>
        <v>#VALUE!</v>
      </c>
      <c r="N133" s="127" t="e">
        <f t="shared" ca="1" si="71"/>
        <v>#VALUE!</v>
      </c>
      <c r="O133" s="127" t="e">
        <f t="shared" ca="1" si="71"/>
        <v>#VALUE!</v>
      </c>
      <c r="P133" s="127" t="e">
        <f t="shared" ca="1" si="71"/>
        <v>#VALUE!</v>
      </c>
      <c r="Q133" s="127" t="e">
        <f t="shared" ca="1" si="71"/>
        <v>#VALUE!</v>
      </c>
      <c r="R133" s="127" t="e">
        <f t="shared" ca="1" si="71"/>
        <v>#VALUE!</v>
      </c>
      <c r="S133" s="127" t="e">
        <f t="shared" ca="1" si="71"/>
        <v>#VALUE!</v>
      </c>
      <c r="T133" s="127" t="e">
        <f t="shared" ca="1" si="71"/>
        <v>#VALUE!</v>
      </c>
      <c r="U133" s="127" t="e">
        <f t="shared" ca="1" si="71"/>
        <v>#VALUE!</v>
      </c>
      <c r="V133" s="127" t="e">
        <f t="shared" ca="1" si="71"/>
        <v>#VALUE!</v>
      </c>
      <c r="W133" s="127" t="e">
        <f t="shared" ca="1" si="71"/>
        <v>#VALUE!</v>
      </c>
      <c r="X133" s="127" t="e">
        <f t="shared" ca="1" si="71"/>
        <v>#VALUE!</v>
      </c>
      <c r="Y133" s="127" t="e">
        <f t="shared" ca="1" si="71"/>
        <v>#VALUE!</v>
      </c>
      <c r="Z133" s="127" t="e">
        <f t="shared" ca="1" si="71"/>
        <v>#VALUE!</v>
      </c>
      <c r="AA133" s="127" t="e">
        <f t="shared" ca="1" si="71"/>
        <v>#VALUE!</v>
      </c>
      <c r="AB133" s="127" t="e">
        <f t="shared" ca="1" si="71"/>
        <v>#VALUE!</v>
      </c>
      <c r="AC133" s="127" t="e">
        <f t="shared" ca="1" si="71"/>
        <v>#VALUE!</v>
      </c>
      <c r="AD133" s="127" t="e">
        <f t="shared" ca="1" si="71"/>
        <v>#VALUE!</v>
      </c>
      <c r="AE133" s="127" t="e">
        <f t="shared" ca="1" si="71"/>
        <v>#VALUE!</v>
      </c>
      <c r="AF133" s="127" t="e">
        <f t="shared" ca="1" si="71"/>
        <v>#VALUE!</v>
      </c>
      <c r="AG133" s="127" t="e">
        <f t="shared" ca="1" si="71"/>
        <v>#VALUE!</v>
      </c>
      <c r="AH133" s="127" t="e">
        <f t="shared" ca="1" si="71"/>
        <v>#VALUE!</v>
      </c>
      <c r="AI133" s="127" t="e">
        <f t="shared" ca="1" si="71"/>
        <v>#VALUE!</v>
      </c>
      <c r="AJ133" s="127" t="e">
        <f t="shared" ca="1" si="71"/>
        <v>#VALUE!</v>
      </c>
      <c r="AK133" s="127" t="e">
        <f t="shared" ca="1" si="71"/>
        <v>#VALUE!</v>
      </c>
      <c r="AL133" s="127" t="e">
        <f t="shared" ca="1" si="71"/>
        <v>#VALUE!</v>
      </c>
      <c r="AM133" s="127" t="e">
        <f t="shared" ca="1" si="71"/>
        <v>#VALUE!</v>
      </c>
      <c r="AN133" s="127" t="e">
        <f t="shared" ca="1" si="71"/>
        <v>#VALUE!</v>
      </c>
      <c r="AO133" s="127" t="e">
        <f t="shared" ca="1" si="71"/>
        <v>#VALUE!</v>
      </c>
      <c r="AP133" s="127" t="e">
        <f t="shared" ca="1" si="71"/>
        <v>#VALUE!</v>
      </c>
      <c r="AQ133" s="127" t="e">
        <f t="shared" ca="1" si="71"/>
        <v>#VALUE!</v>
      </c>
      <c r="AR133" s="127" t="e">
        <f t="shared" ca="1" si="71"/>
        <v>#VALUE!</v>
      </c>
      <c r="AS133" s="127" t="e">
        <f t="shared" ca="1" si="71"/>
        <v>#VALUE!</v>
      </c>
      <c r="AT133" s="127" t="e">
        <f t="shared" ca="1" si="71"/>
        <v>#VALUE!</v>
      </c>
      <c r="AU133" s="127" t="e">
        <f t="shared" ca="1" si="71"/>
        <v>#VALUE!</v>
      </c>
    </row>
    <row r="134" spans="2:47" x14ac:dyDescent="0.25">
      <c r="B134" t="s">
        <v>580</v>
      </c>
      <c r="C134" s="127" t="e">
        <f t="shared" ref="C134:K134" ca="1" si="72">SUM(C89:C90,C100)</f>
        <v>#VALUE!</v>
      </c>
      <c r="D134" s="127" t="e">
        <f t="shared" ca="1" si="72"/>
        <v>#VALUE!</v>
      </c>
      <c r="E134" s="127" t="e">
        <f t="shared" ca="1" si="72"/>
        <v>#VALUE!</v>
      </c>
      <c r="F134" s="127" t="e">
        <f t="shared" ca="1" si="72"/>
        <v>#VALUE!</v>
      </c>
      <c r="G134" s="127" t="e">
        <f t="shared" ca="1" si="72"/>
        <v>#VALUE!</v>
      </c>
      <c r="H134" s="127" t="e">
        <f t="shared" ca="1" si="72"/>
        <v>#VALUE!</v>
      </c>
      <c r="I134" s="127" t="e">
        <f t="shared" ca="1" si="72"/>
        <v>#VALUE!</v>
      </c>
      <c r="J134" s="127" t="e">
        <f t="shared" ca="1" si="72"/>
        <v>#VALUE!</v>
      </c>
      <c r="K134" s="127" t="e">
        <f t="shared" ca="1" si="72"/>
        <v>#VALUE!</v>
      </c>
      <c r="L134" s="127" t="e">
        <f ca="1">SUM(L89:L90,L100)</f>
        <v>#VALUE!</v>
      </c>
      <c r="M134" s="127" t="e">
        <f t="shared" ref="M134:AU134" ca="1" si="73">SUM(M89:M90,M100)</f>
        <v>#VALUE!</v>
      </c>
      <c r="N134" s="127" t="e">
        <f t="shared" ca="1" si="73"/>
        <v>#VALUE!</v>
      </c>
      <c r="O134" s="127" t="e">
        <f t="shared" ca="1" si="73"/>
        <v>#VALUE!</v>
      </c>
      <c r="P134" s="127" t="e">
        <f t="shared" ca="1" si="73"/>
        <v>#VALUE!</v>
      </c>
      <c r="Q134" s="127" t="e">
        <f t="shared" ca="1" si="73"/>
        <v>#VALUE!</v>
      </c>
      <c r="R134" s="127" t="e">
        <f t="shared" ca="1" si="73"/>
        <v>#VALUE!</v>
      </c>
      <c r="S134" s="127" t="e">
        <f t="shared" ca="1" si="73"/>
        <v>#VALUE!</v>
      </c>
      <c r="T134" s="127" t="e">
        <f t="shared" ca="1" si="73"/>
        <v>#VALUE!</v>
      </c>
      <c r="U134" s="127" t="e">
        <f t="shared" ca="1" si="73"/>
        <v>#VALUE!</v>
      </c>
      <c r="V134" s="127" t="e">
        <f t="shared" ca="1" si="73"/>
        <v>#VALUE!</v>
      </c>
      <c r="W134" s="127" t="e">
        <f t="shared" ca="1" si="73"/>
        <v>#VALUE!</v>
      </c>
      <c r="X134" s="127" t="e">
        <f t="shared" ca="1" si="73"/>
        <v>#VALUE!</v>
      </c>
      <c r="Y134" s="127" t="e">
        <f t="shared" ca="1" si="73"/>
        <v>#VALUE!</v>
      </c>
      <c r="Z134" s="127" t="e">
        <f t="shared" ca="1" si="73"/>
        <v>#VALUE!</v>
      </c>
      <c r="AA134" s="127" t="e">
        <f t="shared" ca="1" si="73"/>
        <v>#VALUE!</v>
      </c>
      <c r="AB134" s="127" t="e">
        <f t="shared" ca="1" si="73"/>
        <v>#VALUE!</v>
      </c>
      <c r="AC134" s="127" t="e">
        <f t="shared" ca="1" si="73"/>
        <v>#VALUE!</v>
      </c>
      <c r="AD134" s="127" t="e">
        <f t="shared" ca="1" si="73"/>
        <v>#VALUE!</v>
      </c>
      <c r="AE134" s="127" t="e">
        <f t="shared" ca="1" si="73"/>
        <v>#VALUE!</v>
      </c>
      <c r="AF134" s="127" t="e">
        <f t="shared" ca="1" si="73"/>
        <v>#VALUE!</v>
      </c>
      <c r="AG134" s="127" t="e">
        <f t="shared" ca="1" si="73"/>
        <v>#VALUE!</v>
      </c>
      <c r="AH134" s="127" t="e">
        <f t="shared" ca="1" si="73"/>
        <v>#VALUE!</v>
      </c>
      <c r="AI134" s="127" t="e">
        <f t="shared" ca="1" si="73"/>
        <v>#VALUE!</v>
      </c>
      <c r="AJ134" s="127" t="e">
        <f t="shared" ca="1" si="73"/>
        <v>#VALUE!</v>
      </c>
      <c r="AK134" s="127" t="e">
        <f t="shared" ca="1" si="73"/>
        <v>#VALUE!</v>
      </c>
      <c r="AL134" s="127" t="e">
        <f t="shared" ca="1" si="73"/>
        <v>#VALUE!</v>
      </c>
      <c r="AM134" s="127" t="e">
        <f t="shared" ca="1" si="73"/>
        <v>#VALUE!</v>
      </c>
      <c r="AN134" s="127" t="e">
        <f t="shared" ca="1" si="73"/>
        <v>#VALUE!</v>
      </c>
      <c r="AO134" s="127" t="e">
        <f t="shared" ca="1" si="73"/>
        <v>#VALUE!</v>
      </c>
      <c r="AP134" s="127" t="e">
        <f t="shared" ca="1" si="73"/>
        <v>#VALUE!</v>
      </c>
      <c r="AQ134" s="127" t="e">
        <f t="shared" ca="1" si="73"/>
        <v>#VALUE!</v>
      </c>
      <c r="AR134" s="127" t="e">
        <f t="shared" ca="1" si="73"/>
        <v>#VALUE!</v>
      </c>
      <c r="AS134" s="127" t="e">
        <f t="shared" ca="1" si="73"/>
        <v>#VALUE!</v>
      </c>
      <c r="AT134" s="127" t="e">
        <f t="shared" ca="1" si="73"/>
        <v>#VALUE!</v>
      </c>
      <c r="AU134" s="127" t="e">
        <f t="shared" ca="1" si="73"/>
        <v>#VALUE!</v>
      </c>
    </row>
    <row r="135" spans="2:47" x14ac:dyDescent="0.25">
      <c r="B135" t="s">
        <v>581</v>
      </c>
      <c r="C135" s="127" t="e">
        <f t="shared" ref="C135:K135" ca="1" si="74">SUM(C91,C96:C99,C101:C105)</f>
        <v>#VALUE!</v>
      </c>
      <c r="D135" s="127" t="e">
        <f t="shared" ca="1" si="74"/>
        <v>#VALUE!</v>
      </c>
      <c r="E135" s="127" t="e">
        <f t="shared" ca="1" si="74"/>
        <v>#VALUE!</v>
      </c>
      <c r="F135" s="127" t="e">
        <f t="shared" ca="1" si="74"/>
        <v>#VALUE!</v>
      </c>
      <c r="G135" s="127" t="e">
        <f t="shared" ca="1" si="74"/>
        <v>#VALUE!</v>
      </c>
      <c r="H135" s="127" t="e">
        <f t="shared" ca="1" si="74"/>
        <v>#VALUE!</v>
      </c>
      <c r="I135" s="127" t="e">
        <f t="shared" ca="1" si="74"/>
        <v>#VALUE!</v>
      </c>
      <c r="J135" s="127" t="e">
        <f t="shared" ca="1" si="74"/>
        <v>#VALUE!</v>
      </c>
      <c r="K135" s="127" t="e">
        <f t="shared" ca="1" si="74"/>
        <v>#VALUE!</v>
      </c>
      <c r="L135" s="127" t="e">
        <f ca="1">SUM(L91,L96:L99,L101:L105)</f>
        <v>#VALUE!</v>
      </c>
      <c r="M135" s="127" t="e">
        <f t="shared" ref="M135:AU135" ca="1" si="75">SUM(M91,M96:M99,M101:M105)</f>
        <v>#VALUE!</v>
      </c>
      <c r="N135" s="127" t="e">
        <f t="shared" ca="1" si="75"/>
        <v>#VALUE!</v>
      </c>
      <c r="O135" s="127" t="e">
        <f t="shared" ca="1" si="75"/>
        <v>#VALUE!</v>
      </c>
      <c r="P135" s="127" t="e">
        <f t="shared" ca="1" si="75"/>
        <v>#VALUE!</v>
      </c>
      <c r="Q135" s="127" t="e">
        <f t="shared" ca="1" si="75"/>
        <v>#VALUE!</v>
      </c>
      <c r="R135" s="127" t="e">
        <f t="shared" ca="1" si="75"/>
        <v>#VALUE!</v>
      </c>
      <c r="S135" s="127" t="e">
        <f t="shared" ca="1" si="75"/>
        <v>#VALUE!</v>
      </c>
      <c r="T135" s="127" t="e">
        <f t="shared" ca="1" si="75"/>
        <v>#VALUE!</v>
      </c>
      <c r="U135" s="127" t="e">
        <f t="shared" ca="1" si="75"/>
        <v>#VALUE!</v>
      </c>
      <c r="V135" s="127" t="e">
        <f t="shared" ca="1" si="75"/>
        <v>#VALUE!</v>
      </c>
      <c r="W135" s="127" t="e">
        <f t="shared" ca="1" si="75"/>
        <v>#VALUE!</v>
      </c>
      <c r="X135" s="127" t="e">
        <f t="shared" ca="1" si="75"/>
        <v>#VALUE!</v>
      </c>
      <c r="Y135" s="127" t="e">
        <f t="shared" ca="1" si="75"/>
        <v>#VALUE!</v>
      </c>
      <c r="Z135" s="127" t="e">
        <f t="shared" ca="1" si="75"/>
        <v>#VALUE!</v>
      </c>
      <c r="AA135" s="127" t="e">
        <f t="shared" ca="1" si="75"/>
        <v>#VALUE!</v>
      </c>
      <c r="AB135" s="127" t="e">
        <f t="shared" ca="1" si="75"/>
        <v>#VALUE!</v>
      </c>
      <c r="AC135" s="127" t="e">
        <f t="shared" ca="1" si="75"/>
        <v>#VALUE!</v>
      </c>
      <c r="AD135" s="127" t="e">
        <f t="shared" ca="1" si="75"/>
        <v>#VALUE!</v>
      </c>
      <c r="AE135" s="127" t="e">
        <f t="shared" ca="1" si="75"/>
        <v>#VALUE!</v>
      </c>
      <c r="AF135" s="127" t="e">
        <f t="shared" ca="1" si="75"/>
        <v>#VALUE!</v>
      </c>
      <c r="AG135" s="127" t="e">
        <f t="shared" ca="1" si="75"/>
        <v>#VALUE!</v>
      </c>
      <c r="AH135" s="127" t="e">
        <f t="shared" ca="1" si="75"/>
        <v>#VALUE!</v>
      </c>
      <c r="AI135" s="127" t="e">
        <f t="shared" ca="1" si="75"/>
        <v>#VALUE!</v>
      </c>
      <c r="AJ135" s="127" t="e">
        <f t="shared" ca="1" si="75"/>
        <v>#VALUE!</v>
      </c>
      <c r="AK135" s="127" t="e">
        <f t="shared" ca="1" si="75"/>
        <v>#VALUE!</v>
      </c>
      <c r="AL135" s="127" t="e">
        <f t="shared" ca="1" si="75"/>
        <v>#VALUE!</v>
      </c>
      <c r="AM135" s="127" t="e">
        <f t="shared" ca="1" si="75"/>
        <v>#VALUE!</v>
      </c>
      <c r="AN135" s="127" t="e">
        <f t="shared" ca="1" si="75"/>
        <v>#VALUE!</v>
      </c>
      <c r="AO135" s="127" t="e">
        <f t="shared" ca="1" si="75"/>
        <v>#VALUE!</v>
      </c>
      <c r="AP135" s="127" t="e">
        <f t="shared" ca="1" si="75"/>
        <v>#VALUE!</v>
      </c>
      <c r="AQ135" s="127" t="e">
        <f t="shared" ca="1" si="75"/>
        <v>#VALUE!</v>
      </c>
      <c r="AR135" s="127" t="e">
        <f t="shared" ca="1" si="75"/>
        <v>#VALUE!</v>
      </c>
      <c r="AS135" s="127" t="e">
        <f t="shared" ca="1" si="75"/>
        <v>#VALUE!</v>
      </c>
      <c r="AT135" s="127" t="e">
        <f t="shared" ca="1" si="75"/>
        <v>#VALUE!</v>
      </c>
      <c r="AU135" s="127" t="e">
        <f t="shared" ca="1" si="75"/>
        <v>#VALUE!</v>
      </c>
    </row>
    <row r="136" spans="2:47" x14ac:dyDescent="0.25">
      <c r="B136" t="s">
        <v>582</v>
      </c>
      <c r="C136" s="127" t="e">
        <f t="shared" ref="C136:K136" ca="1" si="76">C92</f>
        <v>#VALUE!</v>
      </c>
      <c r="D136" s="127" t="e">
        <f t="shared" ca="1" si="76"/>
        <v>#VALUE!</v>
      </c>
      <c r="E136" s="127" t="e">
        <f t="shared" ca="1" si="76"/>
        <v>#VALUE!</v>
      </c>
      <c r="F136" s="127" t="e">
        <f t="shared" ca="1" si="76"/>
        <v>#VALUE!</v>
      </c>
      <c r="G136" s="127" t="e">
        <f t="shared" ca="1" si="76"/>
        <v>#VALUE!</v>
      </c>
      <c r="H136" s="127" t="e">
        <f t="shared" ca="1" si="76"/>
        <v>#VALUE!</v>
      </c>
      <c r="I136" s="127" t="e">
        <f t="shared" ca="1" si="76"/>
        <v>#VALUE!</v>
      </c>
      <c r="J136" s="127" t="e">
        <f t="shared" ca="1" si="76"/>
        <v>#VALUE!</v>
      </c>
      <c r="K136" s="127" t="e">
        <f t="shared" ca="1" si="76"/>
        <v>#VALUE!</v>
      </c>
      <c r="L136" s="127" t="e">
        <f ca="1">L92</f>
        <v>#VALUE!</v>
      </c>
      <c r="M136" s="127" t="e">
        <f t="shared" ref="M136:AU136" ca="1" si="77">M92</f>
        <v>#VALUE!</v>
      </c>
      <c r="N136" s="127" t="e">
        <f t="shared" ca="1" si="77"/>
        <v>#VALUE!</v>
      </c>
      <c r="O136" s="127" t="e">
        <f t="shared" ca="1" si="77"/>
        <v>#VALUE!</v>
      </c>
      <c r="P136" s="127" t="e">
        <f t="shared" ca="1" si="77"/>
        <v>#VALUE!</v>
      </c>
      <c r="Q136" s="127" t="e">
        <f t="shared" ca="1" si="77"/>
        <v>#VALUE!</v>
      </c>
      <c r="R136" s="127" t="e">
        <f t="shared" ca="1" si="77"/>
        <v>#VALUE!</v>
      </c>
      <c r="S136" s="127" t="e">
        <f t="shared" ca="1" si="77"/>
        <v>#VALUE!</v>
      </c>
      <c r="T136" s="127" t="e">
        <f t="shared" ca="1" si="77"/>
        <v>#VALUE!</v>
      </c>
      <c r="U136" s="127" t="e">
        <f t="shared" ca="1" si="77"/>
        <v>#VALUE!</v>
      </c>
      <c r="V136" s="127" t="e">
        <f t="shared" ca="1" si="77"/>
        <v>#VALUE!</v>
      </c>
      <c r="W136" s="127" t="e">
        <f t="shared" ca="1" si="77"/>
        <v>#VALUE!</v>
      </c>
      <c r="X136" s="127" t="e">
        <f t="shared" ca="1" si="77"/>
        <v>#VALUE!</v>
      </c>
      <c r="Y136" s="127" t="e">
        <f t="shared" ca="1" si="77"/>
        <v>#VALUE!</v>
      </c>
      <c r="Z136" s="127" t="e">
        <f t="shared" ca="1" si="77"/>
        <v>#VALUE!</v>
      </c>
      <c r="AA136" s="127" t="e">
        <f t="shared" ca="1" si="77"/>
        <v>#VALUE!</v>
      </c>
      <c r="AB136" s="127" t="e">
        <f t="shared" ca="1" si="77"/>
        <v>#VALUE!</v>
      </c>
      <c r="AC136" s="127" t="e">
        <f t="shared" ca="1" si="77"/>
        <v>#VALUE!</v>
      </c>
      <c r="AD136" s="127" t="e">
        <f t="shared" ca="1" si="77"/>
        <v>#VALUE!</v>
      </c>
      <c r="AE136" s="127" t="e">
        <f t="shared" ca="1" si="77"/>
        <v>#VALUE!</v>
      </c>
      <c r="AF136" s="127" t="e">
        <f t="shared" ca="1" si="77"/>
        <v>#VALUE!</v>
      </c>
      <c r="AG136" s="127" t="e">
        <f t="shared" ca="1" si="77"/>
        <v>#VALUE!</v>
      </c>
      <c r="AH136" s="127" t="e">
        <f t="shared" ca="1" si="77"/>
        <v>#VALUE!</v>
      </c>
      <c r="AI136" s="127" t="e">
        <f t="shared" ca="1" si="77"/>
        <v>#VALUE!</v>
      </c>
      <c r="AJ136" s="127" t="e">
        <f t="shared" ca="1" si="77"/>
        <v>#VALUE!</v>
      </c>
      <c r="AK136" s="127" t="e">
        <f t="shared" ca="1" si="77"/>
        <v>#VALUE!</v>
      </c>
      <c r="AL136" s="127" t="e">
        <f t="shared" ca="1" si="77"/>
        <v>#VALUE!</v>
      </c>
      <c r="AM136" s="127" t="e">
        <f t="shared" ca="1" si="77"/>
        <v>#VALUE!</v>
      </c>
      <c r="AN136" s="127" t="e">
        <f t="shared" ca="1" si="77"/>
        <v>#VALUE!</v>
      </c>
      <c r="AO136" s="127" t="e">
        <f t="shared" ca="1" si="77"/>
        <v>#VALUE!</v>
      </c>
      <c r="AP136" s="127" t="e">
        <f t="shared" ca="1" si="77"/>
        <v>#VALUE!</v>
      </c>
      <c r="AQ136" s="127" t="e">
        <f t="shared" ca="1" si="77"/>
        <v>#VALUE!</v>
      </c>
      <c r="AR136" s="127" t="e">
        <f t="shared" ca="1" si="77"/>
        <v>#VALUE!</v>
      </c>
      <c r="AS136" s="127" t="e">
        <f t="shared" ca="1" si="77"/>
        <v>#VALUE!</v>
      </c>
      <c r="AT136" s="127" t="e">
        <f t="shared" ca="1" si="77"/>
        <v>#VALUE!</v>
      </c>
      <c r="AU136" s="127" t="e">
        <f t="shared" ca="1" si="77"/>
        <v>#VALUE!</v>
      </c>
    </row>
    <row r="137" spans="2:47" x14ac:dyDescent="0.25">
      <c r="B137" t="s">
        <v>583</v>
      </c>
      <c r="C137" s="127" t="e">
        <f t="shared" ref="C137:K137" ca="1" si="78">SUM(C93:C95)</f>
        <v>#VALUE!</v>
      </c>
      <c r="D137" s="127" t="e">
        <f t="shared" ca="1" si="78"/>
        <v>#VALUE!</v>
      </c>
      <c r="E137" s="127" t="e">
        <f t="shared" ca="1" si="78"/>
        <v>#VALUE!</v>
      </c>
      <c r="F137" s="127" t="e">
        <f t="shared" ca="1" si="78"/>
        <v>#VALUE!</v>
      </c>
      <c r="G137" s="127" t="e">
        <f t="shared" ca="1" si="78"/>
        <v>#VALUE!</v>
      </c>
      <c r="H137" s="127" t="e">
        <f t="shared" ca="1" si="78"/>
        <v>#VALUE!</v>
      </c>
      <c r="I137" s="127" t="e">
        <f t="shared" ca="1" si="78"/>
        <v>#VALUE!</v>
      </c>
      <c r="J137" s="127" t="e">
        <f t="shared" ca="1" si="78"/>
        <v>#VALUE!</v>
      </c>
      <c r="K137" s="127" t="e">
        <f t="shared" ca="1" si="78"/>
        <v>#VALUE!</v>
      </c>
      <c r="L137" s="127" t="e">
        <f ca="1">SUM(L93:L95)</f>
        <v>#VALUE!</v>
      </c>
      <c r="M137" s="127" t="e">
        <f t="shared" ref="M137:AU137" ca="1" si="79">SUM(M93:M95)</f>
        <v>#VALUE!</v>
      </c>
      <c r="N137" s="127" t="e">
        <f t="shared" ca="1" si="79"/>
        <v>#VALUE!</v>
      </c>
      <c r="O137" s="127" t="e">
        <f t="shared" ca="1" si="79"/>
        <v>#VALUE!</v>
      </c>
      <c r="P137" s="127" t="e">
        <f t="shared" ca="1" si="79"/>
        <v>#VALUE!</v>
      </c>
      <c r="Q137" s="127" t="e">
        <f t="shared" ca="1" si="79"/>
        <v>#VALUE!</v>
      </c>
      <c r="R137" s="127" t="e">
        <f t="shared" ca="1" si="79"/>
        <v>#VALUE!</v>
      </c>
      <c r="S137" s="127" t="e">
        <f t="shared" ca="1" si="79"/>
        <v>#VALUE!</v>
      </c>
      <c r="T137" s="127" t="e">
        <f t="shared" ca="1" si="79"/>
        <v>#VALUE!</v>
      </c>
      <c r="U137" s="127" t="e">
        <f t="shared" ca="1" si="79"/>
        <v>#VALUE!</v>
      </c>
      <c r="V137" s="127" t="e">
        <f t="shared" ca="1" si="79"/>
        <v>#VALUE!</v>
      </c>
      <c r="W137" s="127" t="e">
        <f t="shared" ca="1" si="79"/>
        <v>#VALUE!</v>
      </c>
      <c r="X137" s="127" t="e">
        <f t="shared" ca="1" si="79"/>
        <v>#VALUE!</v>
      </c>
      <c r="Y137" s="127" t="e">
        <f t="shared" ca="1" si="79"/>
        <v>#VALUE!</v>
      </c>
      <c r="Z137" s="127" t="e">
        <f t="shared" ca="1" si="79"/>
        <v>#VALUE!</v>
      </c>
      <c r="AA137" s="127" t="e">
        <f t="shared" ca="1" si="79"/>
        <v>#VALUE!</v>
      </c>
      <c r="AB137" s="127" t="e">
        <f t="shared" ca="1" si="79"/>
        <v>#VALUE!</v>
      </c>
      <c r="AC137" s="127" t="e">
        <f t="shared" ca="1" si="79"/>
        <v>#VALUE!</v>
      </c>
      <c r="AD137" s="127" t="e">
        <f t="shared" ca="1" si="79"/>
        <v>#VALUE!</v>
      </c>
      <c r="AE137" s="127" t="e">
        <f t="shared" ca="1" si="79"/>
        <v>#VALUE!</v>
      </c>
      <c r="AF137" s="127" t="e">
        <f t="shared" ca="1" si="79"/>
        <v>#VALUE!</v>
      </c>
      <c r="AG137" s="127" t="e">
        <f t="shared" ca="1" si="79"/>
        <v>#VALUE!</v>
      </c>
      <c r="AH137" s="127" t="e">
        <f t="shared" ca="1" si="79"/>
        <v>#VALUE!</v>
      </c>
      <c r="AI137" s="127" t="e">
        <f t="shared" ca="1" si="79"/>
        <v>#VALUE!</v>
      </c>
      <c r="AJ137" s="127" t="e">
        <f t="shared" ca="1" si="79"/>
        <v>#VALUE!</v>
      </c>
      <c r="AK137" s="127" t="e">
        <f t="shared" ca="1" si="79"/>
        <v>#VALUE!</v>
      </c>
      <c r="AL137" s="127" t="e">
        <f t="shared" ca="1" si="79"/>
        <v>#VALUE!</v>
      </c>
      <c r="AM137" s="127" t="e">
        <f t="shared" ca="1" si="79"/>
        <v>#VALUE!</v>
      </c>
      <c r="AN137" s="127" t="e">
        <f t="shared" ca="1" si="79"/>
        <v>#VALUE!</v>
      </c>
      <c r="AO137" s="127" t="e">
        <f t="shared" ca="1" si="79"/>
        <v>#VALUE!</v>
      </c>
      <c r="AP137" s="127" t="e">
        <f t="shared" ca="1" si="79"/>
        <v>#VALUE!</v>
      </c>
      <c r="AQ137" s="127" t="e">
        <f t="shared" ca="1" si="79"/>
        <v>#VALUE!</v>
      </c>
      <c r="AR137" s="127" t="e">
        <f t="shared" ca="1" si="79"/>
        <v>#VALUE!</v>
      </c>
      <c r="AS137" s="127" t="e">
        <f t="shared" ca="1" si="79"/>
        <v>#VALUE!</v>
      </c>
      <c r="AT137" s="127" t="e">
        <f t="shared" ca="1" si="79"/>
        <v>#VALUE!</v>
      </c>
      <c r="AU137" s="127" t="e">
        <f t="shared" ca="1" si="79"/>
        <v>#VALUE!</v>
      </c>
    </row>
    <row r="138" spans="2:47" x14ac:dyDescent="0.25">
      <c r="B138" t="s">
        <v>584</v>
      </c>
      <c r="C138" s="127" t="e">
        <f t="shared" ref="C138:K138" ca="1" si="80">C107</f>
        <v>#VALUE!</v>
      </c>
      <c r="D138" s="127" t="e">
        <f t="shared" ca="1" si="80"/>
        <v>#VALUE!</v>
      </c>
      <c r="E138" s="127" t="e">
        <f t="shared" ca="1" si="80"/>
        <v>#VALUE!</v>
      </c>
      <c r="F138" s="127" t="e">
        <f t="shared" ca="1" si="80"/>
        <v>#VALUE!</v>
      </c>
      <c r="G138" s="127" t="e">
        <f t="shared" ca="1" si="80"/>
        <v>#VALUE!</v>
      </c>
      <c r="H138" s="127" t="e">
        <f t="shared" ca="1" si="80"/>
        <v>#VALUE!</v>
      </c>
      <c r="I138" s="127" t="e">
        <f t="shared" ca="1" si="80"/>
        <v>#VALUE!</v>
      </c>
      <c r="J138" s="127" t="e">
        <f t="shared" ca="1" si="80"/>
        <v>#VALUE!</v>
      </c>
      <c r="K138" s="127" t="e">
        <f t="shared" ca="1" si="80"/>
        <v>#VALUE!</v>
      </c>
      <c r="L138" s="127" t="e">
        <f ca="1">L107</f>
        <v>#VALUE!</v>
      </c>
      <c r="M138" s="127" t="e">
        <f t="shared" ref="M138:AU138" ca="1" si="81">M107</f>
        <v>#VALUE!</v>
      </c>
      <c r="N138" s="127" t="e">
        <f t="shared" ca="1" si="81"/>
        <v>#VALUE!</v>
      </c>
      <c r="O138" s="127" t="e">
        <f t="shared" ca="1" si="81"/>
        <v>#VALUE!</v>
      </c>
      <c r="P138" s="127" t="e">
        <f t="shared" ca="1" si="81"/>
        <v>#VALUE!</v>
      </c>
      <c r="Q138" s="127" t="e">
        <f t="shared" ca="1" si="81"/>
        <v>#VALUE!</v>
      </c>
      <c r="R138" s="127" t="e">
        <f t="shared" ca="1" si="81"/>
        <v>#VALUE!</v>
      </c>
      <c r="S138" s="127" t="e">
        <f t="shared" ca="1" si="81"/>
        <v>#VALUE!</v>
      </c>
      <c r="T138" s="127" t="e">
        <f t="shared" ca="1" si="81"/>
        <v>#VALUE!</v>
      </c>
      <c r="U138" s="127" t="e">
        <f t="shared" ca="1" si="81"/>
        <v>#VALUE!</v>
      </c>
      <c r="V138" s="127" t="e">
        <f t="shared" ca="1" si="81"/>
        <v>#VALUE!</v>
      </c>
      <c r="W138" s="127" t="e">
        <f t="shared" ca="1" si="81"/>
        <v>#VALUE!</v>
      </c>
      <c r="X138" s="127" t="e">
        <f t="shared" ca="1" si="81"/>
        <v>#VALUE!</v>
      </c>
      <c r="Y138" s="127" t="e">
        <f t="shared" ca="1" si="81"/>
        <v>#VALUE!</v>
      </c>
      <c r="Z138" s="127" t="e">
        <f t="shared" ca="1" si="81"/>
        <v>#VALUE!</v>
      </c>
      <c r="AA138" s="127" t="e">
        <f t="shared" ca="1" si="81"/>
        <v>#VALUE!</v>
      </c>
      <c r="AB138" s="127" t="e">
        <f t="shared" ca="1" si="81"/>
        <v>#VALUE!</v>
      </c>
      <c r="AC138" s="127" t="e">
        <f t="shared" ca="1" si="81"/>
        <v>#VALUE!</v>
      </c>
      <c r="AD138" s="127" t="e">
        <f t="shared" ca="1" si="81"/>
        <v>#VALUE!</v>
      </c>
      <c r="AE138" s="127" t="e">
        <f t="shared" ca="1" si="81"/>
        <v>#VALUE!</v>
      </c>
      <c r="AF138" s="127" t="e">
        <f t="shared" ca="1" si="81"/>
        <v>#VALUE!</v>
      </c>
      <c r="AG138" s="127" t="e">
        <f t="shared" ca="1" si="81"/>
        <v>#VALUE!</v>
      </c>
      <c r="AH138" s="127" t="e">
        <f t="shared" ca="1" si="81"/>
        <v>#VALUE!</v>
      </c>
      <c r="AI138" s="127" t="e">
        <f t="shared" ca="1" si="81"/>
        <v>#VALUE!</v>
      </c>
      <c r="AJ138" s="127" t="e">
        <f t="shared" ca="1" si="81"/>
        <v>#VALUE!</v>
      </c>
      <c r="AK138" s="127" t="e">
        <f t="shared" ca="1" si="81"/>
        <v>#VALUE!</v>
      </c>
      <c r="AL138" s="127" t="e">
        <f t="shared" ca="1" si="81"/>
        <v>#VALUE!</v>
      </c>
      <c r="AM138" s="127" t="e">
        <f t="shared" ca="1" si="81"/>
        <v>#VALUE!</v>
      </c>
      <c r="AN138" s="127" t="e">
        <f t="shared" ca="1" si="81"/>
        <v>#VALUE!</v>
      </c>
      <c r="AO138" s="127" t="e">
        <f t="shared" ca="1" si="81"/>
        <v>#VALUE!</v>
      </c>
      <c r="AP138" s="127" t="e">
        <f t="shared" ca="1" si="81"/>
        <v>#VALUE!</v>
      </c>
      <c r="AQ138" s="127" t="e">
        <f t="shared" ca="1" si="81"/>
        <v>#VALUE!</v>
      </c>
      <c r="AR138" s="127" t="e">
        <f t="shared" ca="1" si="81"/>
        <v>#VALUE!</v>
      </c>
      <c r="AS138" s="127" t="e">
        <f t="shared" ca="1" si="81"/>
        <v>#VALUE!</v>
      </c>
      <c r="AT138" s="127" t="e">
        <f t="shared" ca="1" si="81"/>
        <v>#VALUE!</v>
      </c>
      <c r="AU138" s="127" t="e">
        <f t="shared" ca="1" si="81"/>
        <v>#VALUE!</v>
      </c>
    </row>
    <row r="139" spans="2:47" x14ac:dyDescent="0.25">
      <c r="B139" t="s">
        <v>585</v>
      </c>
      <c r="C139" s="127" t="e">
        <f t="shared" ref="C139:K139" ca="1" si="82">SUM(C69:C81,C87:C88,C108)</f>
        <v>#VALUE!</v>
      </c>
      <c r="D139" s="127" t="e">
        <f t="shared" ca="1" si="82"/>
        <v>#VALUE!</v>
      </c>
      <c r="E139" s="127" t="e">
        <f t="shared" ca="1" si="82"/>
        <v>#VALUE!</v>
      </c>
      <c r="F139" s="127" t="e">
        <f t="shared" ca="1" si="82"/>
        <v>#VALUE!</v>
      </c>
      <c r="G139" s="127" t="e">
        <f t="shared" ca="1" si="82"/>
        <v>#VALUE!</v>
      </c>
      <c r="H139" s="127" t="e">
        <f t="shared" ca="1" si="82"/>
        <v>#VALUE!</v>
      </c>
      <c r="I139" s="127" t="e">
        <f t="shared" ca="1" si="82"/>
        <v>#VALUE!</v>
      </c>
      <c r="J139" s="127" t="e">
        <f t="shared" ca="1" si="82"/>
        <v>#VALUE!</v>
      </c>
      <c r="K139" s="127" t="e">
        <f t="shared" ca="1" si="82"/>
        <v>#VALUE!</v>
      </c>
      <c r="L139" s="127" t="e">
        <f ca="1">SUM(L69:L81,L87:L88,L108)</f>
        <v>#VALUE!</v>
      </c>
      <c r="M139" s="127" t="e">
        <f t="shared" ref="M139:AU139" ca="1" si="83">SUM(M69:M81,M87:M88,M108)</f>
        <v>#VALUE!</v>
      </c>
      <c r="N139" s="127" t="e">
        <f t="shared" ca="1" si="83"/>
        <v>#VALUE!</v>
      </c>
      <c r="O139" s="127" t="e">
        <f t="shared" ca="1" si="83"/>
        <v>#VALUE!</v>
      </c>
      <c r="P139" s="127" t="e">
        <f t="shared" ca="1" si="83"/>
        <v>#VALUE!</v>
      </c>
      <c r="Q139" s="127" t="e">
        <f t="shared" ca="1" si="83"/>
        <v>#VALUE!</v>
      </c>
      <c r="R139" s="127" t="e">
        <f t="shared" ca="1" si="83"/>
        <v>#VALUE!</v>
      </c>
      <c r="S139" s="127" t="e">
        <f t="shared" ca="1" si="83"/>
        <v>#VALUE!</v>
      </c>
      <c r="T139" s="127" t="e">
        <f t="shared" ca="1" si="83"/>
        <v>#VALUE!</v>
      </c>
      <c r="U139" s="127" t="e">
        <f t="shared" ca="1" si="83"/>
        <v>#VALUE!</v>
      </c>
      <c r="V139" s="127" t="e">
        <f t="shared" ca="1" si="83"/>
        <v>#VALUE!</v>
      </c>
      <c r="W139" s="127" t="e">
        <f t="shared" ca="1" si="83"/>
        <v>#VALUE!</v>
      </c>
      <c r="X139" s="127" t="e">
        <f t="shared" ca="1" si="83"/>
        <v>#VALUE!</v>
      </c>
      <c r="Y139" s="127" t="e">
        <f t="shared" ca="1" si="83"/>
        <v>#VALUE!</v>
      </c>
      <c r="Z139" s="127" t="e">
        <f t="shared" ca="1" si="83"/>
        <v>#VALUE!</v>
      </c>
      <c r="AA139" s="127" t="e">
        <f t="shared" ca="1" si="83"/>
        <v>#VALUE!</v>
      </c>
      <c r="AB139" s="127" t="e">
        <f t="shared" ca="1" si="83"/>
        <v>#VALUE!</v>
      </c>
      <c r="AC139" s="127" t="e">
        <f t="shared" ca="1" si="83"/>
        <v>#VALUE!</v>
      </c>
      <c r="AD139" s="127" t="e">
        <f t="shared" ca="1" si="83"/>
        <v>#VALUE!</v>
      </c>
      <c r="AE139" s="127" t="e">
        <f t="shared" ca="1" si="83"/>
        <v>#VALUE!</v>
      </c>
      <c r="AF139" s="127" t="e">
        <f t="shared" ca="1" si="83"/>
        <v>#VALUE!</v>
      </c>
      <c r="AG139" s="127" t="e">
        <f t="shared" ca="1" si="83"/>
        <v>#VALUE!</v>
      </c>
      <c r="AH139" s="127" t="e">
        <f t="shared" ca="1" si="83"/>
        <v>#VALUE!</v>
      </c>
      <c r="AI139" s="127" t="e">
        <f t="shared" ca="1" si="83"/>
        <v>#VALUE!</v>
      </c>
      <c r="AJ139" s="127" t="e">
        <f t="shared" ca="1" si="83"/>
        <v>#VALUE!</v>
      </c>
      <c r="AK139" s="127" t="e">
        <f t="shared" ca="1" si="83"/>
        <v>#VALUE!</v>
      </c>
      <c r="AL139" s="127" t="e">
        <f t="shared" ca="1" si="83"/>
        <v>#VALUE!</v>
      </c>
      <c r="AM139" s="127" t="e">
        <f t="shared" ca="1" si="83"/>
        <v>#VALUE!</v>
      </c>
      <c r="AN139" s="127" t="e">
        <f t="shared" ca="1" si="83"/>
        <v>#VALUE!</v>
      </c>
      <c r="AO139" s="127" t="e">
        <f t="shared" ca="1" si="83"/>
        <v>#VALUE!</v>
      </c>
      <c r="AP139" s="127" t="e">
        <f t="shared" ca="1" si="83"/>
        <v>#VALUE!</v>
      </c>
      <c r="AQ139" s="127" t="e">
        <f t="shared" ca="1" si="83"/>
        <v>#VALUE!</v>
      </c>
      <c r="AR139" s="127" t="e">
        <f t="shared" ca="1" si="83"/>
        <v>#VALUE!</v>
      </c>
      <c r="AS139" s="127" t="e">
        <f t="shared" ca="1" si="83"/>
        <v>#VALUE!</v>
      </c>
      <c r="AT139" s="127" t="e">
        <f t="shared" ca="1" si="83"/>
        <v>#VALUE!</v>
      </c>
      <c r="AU139" s="127" t="e">
        <f t="shared" ca="1" si="83"/>
        <v>#VALUE!</v>
      </c>
    </row>
    <row r="140" spans="2:47" x14ac:dyDescent="0.25">
      <c r="B140" t="s">
        <v>586</v>
      </c>
      <c r="C140" s="127" t="e">
        <f t="shared" ref="C140:K140" ca="1" si="84">SUM(C131:C139)</f>
        <v>#VALUE!</v>
      </c>
      <c r="D140" s="127" t="e">
        <f t="shared" ca="1" si="84"/>
        <v>#VALUE!</v>
      </c>
      <c r="E140" s="127" t="e">
        <f t="shared" ca="1" si="84"/>
        <v>#VALUE!</v>
      </c>
      <c r="F140" s="127" t="e">
        <f t="shared" ca="1" si="84"/>
        <v>#VALUE!</v>
      </c>
      <c r="G140" s="127" t="e">
        <f t="shared" ca="1" si="84"/>
        <v>#VALUE!</v>
      </c>
      <c r="H140" s="127" t="e">
        <f t="shared" ca="1" si="84"/>
        <v>#VALUE!</v>
      </c>
      <c r="I140" s="127" t="e">
        <f t="shared" ca="1" si="84"/>
        <v>#VALUE!</v>
      </c>
      <c r="J140" s="127" t="e">
        <f t="shared" ca="1" si="84"/>
        <v>#VALUE!</v>
      </c>
      <c r="K140" s="127" t="e">
        <f t="shared" ca="1" si="84"/>
        <v>#VALUE!</v>
      </c>
      <c r="L140" s="127" t="e">
        <f ca="1">SUM(L131:L139)</f>
        <v>#VALUE!</v>
      </c>
      <c r="M140" s="127" t="e">
        <f t="shared" ref="M140:AU140" ca="1" si="85">SUM(M131:M139)</f>
        <v>#VALUE!</v>
      </c>
      <c r="N140" s="127" t="e">
        <f t="shared" ca="1" si="85"/>
        <v>#VALUE!</v>
      </c>
      <c r="O140" s="127" t="e">
        <f t="shared" ca="1" si="85"/>
        <v>#VALUE!</v>
      </c>
      <c r="P140" s="127" t="e">
        <f t="shared" ca="1" si="85"/>
        <v>#VALUE!</v>
      </c>
      <c r="Q140" s="127" t="e">
        <f t="shared" ca="1" si="85"/>
        <v>#VALUE!</v>
      </c>
      <c r="R140" s="127" t="e">
        <f t="shared" ca="1" si="85"/>
        <v>#VALUE!</v>
      </c>
      <c r="S140" s="127" t="e">
        <f t="shared" ca="1" si="85"/>
        <v>#VALUE!</v>
      </c>
      <c r="T140" s="127" t="e">
        <f t="shared" ca="1" si="85"/>
        <v>#VALUE!</v>
      </c>
      <c r="U140" s="127" t="e">
        <f t="shared" ca="1" si="85"/>
        <v>#VALUE!</v>
      </c>
      <c r="V140" s="127" t="e">
        <f t="shared" ca="1" si="85"/>
        <v>#VALUE!</v>
      </c>
      <c r="W140" s="127" t="e">
        <f t="shared" ca="1" si="85"/>
        <v>#VALUE!</v>
      </c>
      <c r="X140" s="127" t="e">
        <f t="shared" ca="1" si="85"/>
        <v>#VALUE!</v>
      </c>
      <c r="Y140" s="127" t="e">
        <f t="shared" ca="1" si="85"/>
        <v>#VALUE!</v>
      </c>
      <c r="Z140" s="127" t="e">
        <f t="shared" ca="1" si="85"/>
        <v>#VALUE!</v>
      </c>
      <c r="AA140" s="127" t="e">
        <f t="shared" ca="1" si="85"/>
        <v>#VALUE!</v>
      </c>
      <c r="AB140" s="127" t="e">
        <f t="shared" ca="1" si="85"/>
        <v>#VALUE!</v>
      </c>
      <c r="AC140" s="127" t="e">
        <f t="shared" ca="1" si="85"/>
        <v>#VALUE!</v>
      </c>
      <c r="AD140" s="127" t="e">
        <f t="shared" ca="1" si="85"/>
        <v>#VALUE!</v>
      </c>
      <c r="AE140" s="127" t="e">
        <f t="shared" ca="1" si="85"/>
        <v>#VALUE!</v>
      </c>
      <c r="AF140" s="127" t="e">
        <f t="shared" ca="1" si="85"/>
        <v>#VALUE!</v>
      </c>
      <c r="AG140" s="127" t="e">
        <f t="shared" ca="1" si="85"/>
        <v>#VALUE!</v>
      </c>
      <c r="AH140" s="127" t="e">
        <f t="shared" ca="1" si="85"/>
        <v>#VALUE!</v>
      </c>
      <c r="AI140" s="127" t="e">
        <f t="shared" ca="1" si="85"/>
        <v>#VALUE!</v>
      </c>
      <c r="AJ140" s="127" t="e">
        <f t="shared" ca="1" si="85"/>
        <v>#VALUE!</v>
      </c>
      <c r="AK140" s="127" t="e">
        <f t="shared" ca="1" si="85"/>
        <v>#VALUE!</v>
      </c>
      <c r="AL140" s="127" t="e">
        <f t="shared" ca="1" si="85"/>
        <v>#VALUE!</v>
      </c>
      <c r="AM140" s="127" t="e">
        <f t="shared" ca="1" si="85"/>
        <v>#VALUE!</v>
      </c>
      <c r="AN140" s="127" t="e">
        <f t="shared" ca="1" si="85"/>
        <v>#VALUE!</v>
      </c>
      <c r="AO140" s="127" t="e">
        <f t="shared" ca="1" si="85"/>
        <v>#VALUE!</v>
      </c>
      <c r="AP140" s="127" t="e">
        <f t="shared" ca="1" si="85"/>
        <v>#VALUE!</v>
      </c>
      <c r="AQ140" s="127" t="e">
        <f t="shared" ca="1" si="85"/>
        <v>#VALUE!</v>
      </c>
      <c r="AR140" s="127" t="e">
        <f t="shared" ca="1" si="85"/>
        <v>#VALUE!</v>
      </c>
      <c r="AS140" s="127" t="e">
        <f t="shared" ca="1" si="85"/>
        <v>#VALUE!</v>
      </c>
      <c r="AT140" s="127" t="e">
        <f t="shared" ca="1" si="85"/>
        <v>#VALUE!</v>
      </c>
      <c r="AU140" s="127" t="e">
        <f t="shared" ca="1" si="85"/>
        <v>#VALUE!</v>
      </c>
    </row>
    <row r="141" spans="2:47" x14ac:dyDescent="0.25">
      <c r="C141" s="129" t="e">
        <f t="shared" ref="C141:K141" ca="1" si="86">C140-C116</f>
        <v>#VALUE!</v>
      </c>
      <c r="D141" s="129" t="e">
        <f t="shared" ca="1" si="86"/>
        <v>#VALUE!</v>
      </c>
      <c r="E141" s="129" t="e">
        <f t="shared" ca="1" si="86"/>
        <v>#VALUE!</v>
      </c>
      <c r="F141" s="129" t="e">
        <f t="shared" ca="1" si="86"/>
        <v>#VALUE!</v>
      </c>
      <c r="G141" s="129" t="e">
        <f t="shared" ca="1" si="86"/>
        <v>#VALUE!</v>
      </c>
      <c r="H141" s="129" t="e">
        <f t="shared" ca="1" si="86"/>
        <v>#VALUE!</v>
      </c>
      <c r="I141" s="129" t="e">
        <f t="shared" ca="1" si="86"/>
        <v>#VALUE!</v>
      </c>
      <c r="J141" s="129" t="e">
        <f t="shared" ca="1" si="86"/>
        <v>#VALUE!</v>
      </c>
      <c r="K141" s="129" t="e">
        <f t="shared" ca="1" si="86"/>
        <v>#VALUE!</v>
      </c>
      <c r="L141" s="129" t="e">
        <f ca="1">L140-L116</f>
        <v>#VALUE!</v>
      </c>
      <c r="M141" s="129" t="e">
        <f t="shared" ref="M141:AU141" ca="1" si="87">M140-M116</f>
        <v>#VALUE!</v>
      </c>
      <c r="N141" s="129" t="e">
        <f t="shared" ca="1" si="87"/>
        <v>#VALUE!</v>
      </c>
      <c r="O141" s="129" t="e">
        <f t="shared" ca="1" si="87"/>
        <v>#VALUE!</v>
      </c>
      <c r="P141" s="129" t="e">
        <f t="shared" ca="1" si="87"/>
        <v>#VALUE!</v>
      </c>
      <c r="Q141" s="129" t="e">
        <f t="shared" ca="1" si="87"/>
        <v>#VALUE!</v>
      </c>
      <c r="R141" s="129" t="e">
        <f t="shared" ca="1" si="87"/>
        <v>#VALUE!</v>
      </c>
      <c r="S141" s="129" t="e">
        <f t="shared" ca="1" si="87"/>
        <v>#VALUE!</v>
      </c>
      <c r="T141" s="129" t="e">
        <f t="shared" ca="1" si="87"/>
        <v>#VALUE!</v>
      </c>
      <c r="U141" s="129" t="e">
        <f t="shared" ca="1" si="87"/>
        <v>#VALUE!</v>
      </c>
      <c r="V141" s="129" t="e">
        <f t="shared" ca="1" si="87"/>
        <v>#VALUE!</v>
      </c>
      <c r="W141" s="129" t="e">
        <f t="shared" ca="1" si="87"/>
        <v>#VALUE!</v>
      </c>
      <c r="X141" s="129" t="e">
        <f t="shared" ca="1" si="87"/>
        <v>#VALUE!</v>
      </c>
      <c r="Y141" s="129" t="e">
        <f t="shared" ca="1" si="87"/>
        <v>#VALUE!</v>
      </c>
      <c r="Z141" s="129" t="e">
        <f t="shared" ca="1" si="87"/>
        <v>#VALUE!</v>
      </c>
      <c r="AA141" s="129" t="e">
        <f t="shared" ca="1" si="87"/>
        <v>#VALUE!</v>
      </c>
      <c r="AB141" s="129" t="e">
        <f t="shared" ca="1" si="87"/>
        <v>#VALUE!</v>
      </c>
      <c r="AC141" s="129" t="e">
        <f t="shared" ca="1" si="87"/>
        <v>#VALUE!</v>
      </c>
      <c r="AD141" s="129" t="e">
        <f t="shared" ca="1" si="87"/>
        <v>#VALUE!</v>
      </c>
      <c r="AE141" s="129" t="e">
        <f t="shared" ca="1" si="87"/>
        <v>#VALUE!</v>
      </c>
      <c r="AF141" s="129" t="e">
        <f t="shared" ca="1" si="87"/>
        <v>#VALUE!</v>
      </c>
      <c r="AG141" s="129" t="e">
        <f t="shared" ca="1" si="87"/>
        <v>#VALUE!</v>
      </c>
      <c r="AH141" s="129" t="e">
        <f t="shared" ca="1" si="87"/>
        <v>#VALUE!</v>
      </c>
      <c r="AI141" s="129" t="e">
        <f t="shared" ca="1" si="87"/>
        <v>#VALUE!</v>
      </c>
      <c r="AJ141" s="129" t="e">
        <f t="shared" ca="1" si="87"/>
        <v>#VALUE!</v>
      </c>
      <c r="AK141" s="129" t="e">
        <f t="shared" ca="1" si="87"/>
        <v>#VALUE!</v>
      </c>
      <c r="AL141" s="129" t="e">
        <f t="shared" ca="1" si="87"/>
        <v>#VALUE!</v>
      </c>
      <c r="AM141" s="129" t="e">
        <f t="shared" ca="1" si="87"/>
        <v>#VALUE!</v>
      </c>
      <c r="AN141" s="129" t="e">
        <f t="shared" ca="1" si="87"/>
        <v>#VALUE!</v>
      </c>
      <c r="AO141" s="129" t="e">
        <f t="shared" ca="1" si="87"/>
        <v>#VALUE!</v>
      </c>
      <c r="AP141" s="129" t="e">
        <f t="shared" ca="1" si="87"/>
        <v>#VALUE!</v>
      </c>
      <c r="AQ141" s="129" t="e">
        <f t="shared" ca="1" si="87"/>
        <v>#VALUE!</v>
      </c>
      <c r="AR141" s="129" t="e">
        <f t="shared" ca="1" si="87"/>
        <v>#VALUE!</v>
      </c>
      <c r="AS141" s="129" t="e">
        <f t="shared" ca="1" si="87"/>
        <v>#VALUE!</v>
      </c>
      <c r="AT141" s="129" t="e">
        <f t="shared" ca="1" si="87"/>
        <v>#VALUE!</v>
      </c>
      <c r="AU141" s="129" t="e">
        <f t="shared" ca="1" si="87"/>
        <v>#VALUE!</v>
      </c>
    </row>
    <row r="143" spans="2:47" x14ac:dyDescent="0.25">
      <c r="C143" t="s">
        <v>472</v>
      </c>
      <c r="D143" t="s">
        <v>586</v>
      </c>
      <c r="F143" t="s">
        <v>587</v>
      </c>
    </row>
    <row r="144" spans="2:47" ht="52.5" customHeight="1" x14ac:dyDescent="0.25">
      <c r="B144" s="106" t="s">
        <v>577</v>
      </c>
      <c r="C144" s="127" t="e">
        <f ca="1">SUM(L119:AU119)/(2050 -2015)</f>
        <v>#VALUE!</v>
      </c>
      <c r="D144" s="127" t="e">
        <f ca="1">SUM(L131:AU131)/(2050 -2015)</f>
        <v>#VALUE!</v>
      </c>
      <c r="F144" s="127" t="e">
        <f ca="1">L119</f>
        <v>#VALUE!</v>
      </c>
    </row>
    <row r="145" spans="2:6" ht="23.1" customHeight="1" x14ac:dyDescent="0.25">
      <c r="B145" s="106" t="s">
        <v>578</v>
      </c>
      <c r="C145" s="127" t="e">
        <f t="shared" ref="C145:C152" ca="1" si="88">SUM(L120:AU120)/(2050 -2015)</f>
        <v>#VALUE!</v>
      </c>
      <c r="D145" s="127" t="e">
        <f ca="1">SUM(L132:AU132)/(2050 -2015)</f>
        <v>#VALUE!</v>
      </c>
      <c r="F145" s="127" t="e">
        <f t="shared" ref="F145:F153" ca="1" si="89">L120</f>
        <v>#VALUE!</v>
      </c>
    </row>
    <row r="146" spans="2:6" x14ac:dyDescent="0.25">
      <c r="B146" s="106" t="s">
        <v>579</v>
      </c>
      <c r="C146" s="127" t="e">
        <f t="shared" ca="1" si="88"/>
        <v>#VALUE!</v>
      </c>
      <c r="D146" s="127" t="e">
        <f ca="1">SUM(L133:AU133)/(2050 -2015)</f>
        <v>#VALUE!</v>
      </c>
      <c r="F146" s="127" t="e">
        <f t="shared" ca="1" si="89"/>
        <v>#VALUE!</v>
      </c>
    </row>
    <row r="147" spans="2:6" x14ac:dyDescent="0.25">
      <c r="B147" s="106" t="s">
        <v>580</v>
      </c>
      <c r="C147" s="127" t="e">
        <f t="shared" ca="1" si="88"/>
        <v>#VALUE!</v>
      </c>
      <c r="D147" s="127" t="e">
        <f t="shared" ref="D147:D152" ca="1" si="90">SUM(L134:AU134)/(2050 -2015)</f>
        <v>#VALUE!</v>
      </c>
      <c r="F147" s="127" t="e">
        <f ca="1">L122</f>
        <v>#VALUE!</v>
      </c>
    </row>
    <row r="148" spans="2:6" x14ac:dyDescent="0.25">
      <c r="B148" s="106" t="s">
        <v>581</v>
      </c>
      <c r="C148" s="127" t="e">
        <f t="shared" ca="1" si="88"/>
        <v>#VALUE!</v>
      </c>
      <c r="D148" s="127" t="e">
        <f t="shared" ca="1" si="90"/>
        <v>#VALUE!</v>
      </c>
      <c r="F148" s="127" t="e">
        <f t="shared" ca="1" si="89"/>
        <v>#VALUE!</v>
      </c>
    </row>
    <row r="149" spans="2:6" ht="21.6" customHeight="1" x14ac:dyDescent="0.25">
      <c r="B149" s="106" t="s">
        <v>582</v>
      </c>
      <c r="C149" s="127" t="e">
        <f t="shared" ca="1" si="88"/>
        <v>#VALUE!</v>
      </c>
      <c r="D149" s="127" t="e">
        <f t="shared" ca="1" si="90"/>
        <v>#VALUE!</v>
      </c>
      <c r="F149" s="127" t="e">
        <f t="shared" ca="1" si="89"/>
        <v>#VALUE!</v>
      </c>
    </row>
    <row r="150" spans="2:6" ht="32.450000000000003" customHeight="1" x14ac:dyDescent="0.25">
      <c r="B150" s="106" t="s">
        <v>583</v>
      </c>
      <c r="C150" s="127" t="e">
        <f t="shared" ca="1" si="88"/>
        <v>#VALUE!</v>
      </c>
      <c r="D150" s="127" t="e">
        <f t="shared" ca="1" si="90"/>
        <v>#VALUE!</v>
      </c>
      <c r="F150" s="127" t="e">
        <f t="shared" ca="1" si="89"/>
        <v>#VALUE!</v>
      </c>
    </row>
    <row r="151" spans="2:6" x14ac:dyDescent="0.25">
      <c r="B151" s="106" t="s">
        <v>584</v>
      </c>
      <c r="C151" s="127" t="e">
        <f t="shared" ca="1" si="88"/>
        <v>#VALUE!</v>
      </c>
      <c r="D151" s="127" t="e">
        <f t="shared" ca="1" si="90"/>
        <v>#VALUE!</v>
      </c>
      <c r="F151" s="127" t="e">
        <f t="shared" ca="1" si="89"/>
        <v>#VALUE!</v>
      </c>
    </row>
    <row r="152" spans="2:6" ht="27.6" customHeight="1" x14ac:dyDescent="0.25">
      <c r="B152" s="106" t="s">
        <v>585</v>
      </c>
      <c r="C152" s="127" t="e">
        <f t="shared" ca="1" si="88"/>
        <v>#VALUE!</v>
      </c>
      <c r="D152" s="127" t="e">
        <f t="shared" ca="1" si="90"/>
        <v>#VALUE!</v>
      </c>
      <c r="F152" s="127" t="e">
        <f t="shared" ca="1" si="89"/>
        <v>#VALUE!</v>
      </c>
    </row>
    <row r="153" spans="2:6" x14ac:dyDescent="0.25">
      <c r="B153" t="s">
        <v>588</v>
      </c>
      <c r="C153" s="127" t="e">
        <f ca="1">SUM(L128:AU128)/(2050 -2015)</f>
        <v>#VALUE!</v>
      </c>
      <c r="D153" s="127" t="e">
        <f ca="1">SUM(L140:AU140)/(2050 -2015)</f>
        <v>#VALUE!</v>
      </c>
      <c r="F153" s="127" t="e">
        <f t="shared" ca="1" si="89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Graphiques</vt:lpstr>
      </vt:variant>
      <vt:variant>
        <vt:i4>15</vt:i4>
      </vt:variant>
    </vt:vector>
  </HeadingPairs>
  <TitlesOfParts>
    <vt:vector size="32" baseType="lpstr">
      <vt:lpstr>resultsSheets</vt:lpstr>
      <vt:lpstr>Instructions</vt:lpstr>
      <vt:lpstr>Full example</vt:lpstr>
      <vt:lpstr>Primary energy</vt:lpstr>
      <vt:lpstr>Final energy</vt:lpstr>
      <vt:lpstr>Final energy by uses</vt:lpstr>
      <vt:lpstr>Macro impacts</vt:lpstr>
      <vt:lpstr>Value Added</vt:lpstr>
      <vt:lpstr>Investment</vt:lpstr>
      <vt:lpstr>Consumption</vt:lpstr>
      <vt:lpstr>GDP</vt:lpstr>
      <vt:lpstr>Employment</vt:lpstr>
      <vt:lpstr>Emissions</vt:lpstr>
      <vt:lpstr>Households</vt:lpstr>
      <vt:lpstr>Energy MIX</vt:lpstr>
      <vt:lpstr>output Final energy by uses</vt:lpstr>
      <vt:lpstr>Investments and other variables</vt:lpstr>
      <vt:lpstr>BAU primary energy</vt:lpstr>
      <vt:lpstr>BAU Final energy</vt:lpstr>
      <vt:lpstr>ADEMEhaut primary energy</vt:lpstr>
      <vt:lpstr>ADEMEhaut Final energy</vt:lpstr>
      <vt:lpstr>Households energy bill</vt:lpstr>
      <vt:lpstr>Disposable income</vt:lpstr>
      <vt:lpstr>Mean of investment</vt:lpstr>
      <vt:lpstr>Employment by sector</vt:lpstr>
      <vt:lpstr>Unemployment rate</vt:lpstr>
      <vt:lpstr>Trade balance</vt:lpstr>
      <vt:lpstr>GDP gap</vt:lpstr>
      <vt:lpstr>Carbon tax</vt:lpstr>
      <vt:lpstr>Energy price signal</vt:lpstr>
      <vt:lpstr>Public debt </vt:lpstr>
      <vt:lpstr>Public Balance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Saussay</dc:creator>
  <cp:lastModifiedBy>CALLONNEC Gaël</cp:lastModifiedBy>
  <dcterms:created xsi:type="dcterms:W3CDTF">2015-07-23T09:42:47Z</dcterms:created>
  <dcterms:modified xsi:type="dcterms:W3CDTF">2017-12-11T15:26:30Z</dcterms:modified>
</cp:coreProperties>
</file>