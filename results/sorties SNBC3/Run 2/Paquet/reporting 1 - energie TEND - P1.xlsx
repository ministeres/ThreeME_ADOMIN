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ma.monserand\Documents\GitHub\ThreeME\results\sorties SNBC3\Run 2\Paquet\"/>
    </mc:Choice>
  </mc:AlternateContent>
  <xr:revisionPtr revIDLastSave="0" documentId="13_ncr:1_{E8BFCB31-5A5D-4C6A-AD23-400AA257C1F8}" xr6:coauthVersionLast="47" xr6:coauthVersionMax="47" xr10:uidLastSave="{00000000-0000-0000-0000-000000000000}"/>
  <bookViews>
    <workbookView xWindow="-5160" yWindow="-16320" windowWidth="29040" windowHeight="15840" xr2:uid="{00000000-000D-0000-FFFF-FFFF00000000}"/>
  </bookViews>
  <sheets>
    <sheet name="Résultats" sheetId="2" r:id="rId1"/>
    <sheet name="T energie vecteurs" sheetId="13" r:id="rId2"/>
    <sheet name="T energie usages" sheetId="16" r:id="rId3"/>
    <sheet name="Graphique1" sheetId="27" r:id="rId4"/>
    <sheet name="Graphique2" sheetId="22" r:id="rId5"/>
    <sheet name="Graphique3" sheetId="23" r:id="rId6"/>
    <sheet name="Graphique4" sheetId="24" r:id="rId7"/>
    <sheet name="T CO2" sheetId="10" r:id="rId8"/>
    <sheet name="Graphique5" sheetId="26" r:id="rId9"/>
    <sheet name="T parc auto" sheetId="25" r:id="rId10"/>
    <sheet name="Graphique6" sheetId="19" r:id="rId11"/>
    <sheet name="T logement" sheetId="14" r:id="rId12"/>
    <sheet name="Graphique7" sheetId="20" r:id="rId13"/>
    <sheet name="Table Graphs" sheetId="28" r:id="rId14"/>
  </sheets>
  <externalReferences>
    <externalReference r:id="rId15"/>
  </externalReferences>
  <definedNames>
    <definedName name="_xlnm.Print_Area" localSheetId="9">'T parc auto'!$C$26:$AM$109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16" l="1"/>
  <c r="J58" i="16"/>
  <c r="I58" i="16"/>
  <c r="H58" i="16"/>
  <c r="K57" i="16"/>
  <c r="J57" i="16"/>
  <c r="I57" i="16"/>
  <c r="H57" i="16"/>
  <c r="K56" i="16"/>
  <c r="J56" i="16"/>
  <c r="I56" i="16"/>
  <c r="H56" i="16"/>
  <c r="K54" i="16"/>
  <c r="J54" i="16"/>
  <c r="I54" i="16"/>
  <c r="H54" i="16"/>
  <c r="K53" i="16"/>
  <c r="J53" i="16"/>
  <c r="I53" i="16"/>
  <c r="H53" i="16"/>
  <c r="K52" i="16"/>
  <c r="J52" i="16"/>
  <c r="I52" i="16"/>
  <c r="H52" i="16"/>
  <c r="K51" i="16"/>
  <c r="J51" i="16"/>
  <c r="I51" i="16"/>
  <c r="H51" i="16"/>
  <c r="K45" i="16"/>
  <c r="J45" i="16"/>
  <c r="I45" i="16"/>
  <c r="H45" i="16"/>
  <c r="K44" i="16"/>
  <c r="J44" i="16"/>
  <c r="I44" i="16"/>
  <c r="H44" i="16"/>
  <c r="K43" i="16"/>
  <c r="J43" i="16"/>
  <c r="I43" i="16"/>
  <c r="H43" i="16"/>
  <c r="K41" i="16"/>
  <c r="J41" i="16"/>
  <c r="I41" i="16"/>
  <c r="H41" i="16"/>
  <c r="K40" i="16"/>
  <c r="J40" i="16"/>
  <c r="I40" i="16"/>
  <c r="H40" i="16"/>
  <c r="K39" i="16"/>
  <c r="J39" i="16"/>
  <c r="I39" i="16"/>
  <c r="H39" i="16"/>
  <c r="K38" i="16"/>
  <c r="J38" i="16"/>
  <c r="I38" i="16"/>
  <c r="I37" i="16" s="1"/>
  <c r="H38" i="16"/>
  <c r="R58" i="16"/>
  <c r="Q58" i="16"/>
  <c r="P58" i="16"/>
  <c r="O58" i="16"/>
  <c r="R57" i="16"/>
  <c r="P57" i="16"/>
  <c r="O57" i="16"/>
  <c r="R56" i="16"/>
  <c r="Q56" i="16"/>
  <c r="Q55" i="16" s="1"/>
  <c r="P56" i="16"/>
  <c r="P55" i="16" s="1"/>
  <c r="O56" i="16"/>
  <c r="R54" i="16"/>
  <c r="Q54" i="16"/>
  <c r="P54" i="16"/>
  <c r="O54" i="16"/>
  <c r="R53" i="16"/>
  <c r="Q53" i="16"/>
  <c r="P53" i="16"/>
  <c r="O53" i="16"/>
  <c r="R50" i="16"/>
  <c r="Q50" i="16"/>
  <c r="P50" i="16"/>
  <c r="O50" i="16"/>
  <c r="R45" i="16"/>
  <c r="Q45" i="16"/>
  <c r="P45" i="16"/>
  <c r="O45" i="16"/>
  <c r="R44" i="16"/>
  <c r="P44" i="16"/>
  <c r="O44" i="16"/>
  <c r="R43" i="16"/>
  <c r="Q43" i="16"/>
  <c r="Q42" i="16" s="1"/>
  <c r="P43" i="16"/>
  <c r="O43" i="16"/>
  <c r="R41" i="16"/>
  <c r="Q41" i="16"/>
  <c r="P41" i="16"/>
  <c r="O41" i="16"/>
  <c r="R40" i="16"/>
  <c r="Q40" i="16"/>
  <c r="P40" i="16"/>
  <c r="O40" i="16"/>
  <c r="R37" i="16"/>
  <c r="Q37" i="16"/>
  <c r="P37" i="16"/>
  <c r="O37" i="16"/>
  <c r="R123" i="16"/>
  <c r="Q123" i="16"/>
  <c r="P123" i="16"/>
  <c r="O123" i="16"/>
  <c r="R122" i="16"/>
  <c r="P122" i="16"/>
  <c r="O122" i="16"/>
  <c r="R121" i="16"/>
  <c r="Q121" i="16"/>
  <c r="P121" i="16"/>
  <c r="O121" i="16"/>
  <c r="R119" i="16"/>
  <c r="Q119" i="16"/>
  <c r="P119" i="16"/>
  <c r="O119" i="16"/>
  <c r="R118" i="16"/>
  <c r="Q118" i="16"/>
  <c r="P118" i="16"/>
  <c r="O118" i="16"/>
  <c r="R115" i="16"/>
  <c r="Q115" i="16"/>
  <c r="P115" i="16"/>
  <c r="O115" i="16"/>
  <c r="R110" i="16"/>
  <c r="Q110" i="16"/>
  <c r="P110" i="16"/>
  <c r="O110" i="16"/>
  <c r="R109" i="16"/>
  <c r="P109" i="16"/>
  <c r="O109" i="16"/>
  <c r="R108" i="16"/>
  <c r="Q108" i="16"/>
  <c r="P108" i="16"/>
  <c r="O108" i="16"/>
  <c r="R106" i="16"/>
  <c r="Q106" i="16"/>
  <c r="P106" i="16"/>
  <c r="O106" i="16"/>
  <c r="R105" i="16"/>
  <c r="Q105" i="16"/>
  <c r="P105" i="16"/>
  <c r="O105" i="16"/>
  <c r="R102" i="16"/>
  <c r="Q102" i="16"/>
  <c r="P102" i="16"/>
  <c r="O102" i="16"/>
  <c r="R97" i="16"/>
  <c r="Q97" i="16"/>
  <c r="P97" i="16"/>
  <c r="O97" i="16"/>
  <c r="R96" i="16"/>
  <c r="P96" i="16"/>
  <c r="O96" i="16"/>
  <c r="R95" i="16"/>
  <c r="Q95" i="16"/>
  <c r="P95" i="16"/>
  <c r="O95" i="16"/>
  <c r="R93" i="16"/>
  <c r="Q93" i="16"/>
  <c r="P93" i="16"/>
  <c r="O93" i="16"/>
  <c r="R92" i="16"/>
  <c r="Q92" i="16"/>
  <c r="P92" i="16"/>
  <c r="O92" i="16"/>
  <c r="R89" i="16"/>
  <c r="Q89" i="16"/>
  <c r="P89" i="16"/>
  <c r="O89" i="16"/>
  <c r="R84" i="16"/>
  <c r="Q84" i="16"/>
  <c r="P84" i="16"/>
  <c r="O84" i="16"/>
  <c r="R83" i="16"/>
  <c r="P83" i="16"/>
  <c r="O83" i="16"/>
  <c r="R82" i="16"/>
  <c r="Q82" i="16"/>
  <c r="P82" i="16"/>
  <c r="O82" i="16"/>
  <c r="R80" i="16"/>
  <c r="Q80" i="16"/>
  <c r="P80" i="16"/>
  <c r="O80" i="16"/>
  <c r="R79" i="16"/>
  <c r="Q79" i="16"/>
  <c r="P79" i="16"/>
  <c r="O79" i="16"/>
  <c r="R76" i="16"/>
  <c r="Q76" i="16"/>
  <c r="P76" i="16"/>
  <c r="O76" i="16"/>
  <c r="R71" i="16"/>
  <c r="Q71" i="16"/>
  <c r="P71" i="16"/>
  <c r="O71" i="16"/>
  <c r="R70" i="16"/>
  <c r="P70" i="16"/>
  <c r="O70" i="16"/>
  <c r="R69" i="16"/>
  <c r="Q69" i="16"/>
  <c r="P69" i="16"/>
  <c r="O69" i="16"/>
  <c r="R67" i="16"/>
  <c r="Q67" i="16"/>
  <c r="P67" i="16"/>
  <c r="O67" i="16"/>
  <c r="R66" i="16"/>
  <c r="Q66" i="16"/>
  <c r="P66" i="16"/>
  <c r="O66" i="16"/>
  <c r="R63" i="16"/>
  <c r="Q63" i="16"/>
  <c r="P63" i="16"/>
  <c r="O63" i="16"/>
  <c r="R32" i="16"/>
  <c r="Q32" i="16"/>
  <c r="P32" i="16"/>
  <c r="O32" i="16"/>
  <c r="R31" i="16"/>
  <c r="P31" i="16"/>
  <c r="O31" i="16"/>
  <c r="R30" i="16"/>
  <c r="Q30" i="16"/>
  <c r="P30" i="16"/>
  <c r="O30" i="16"/>
  <c r="R28" i="16"/>
  <c r="Q28" i="16"/>
  <c r="P28" i="16"/>
  <c r="O28" i="16"/>
  <c r="R27" i="16"/>
  <c r="Q27" i="16"/>
  <c r="P27" i="16"/>
  <c r="O27" i="16"/>
  <c r="R24" i="16"/>
  <c r="Q24" i="16"/>
  <c r="P24" i="16"/>
  <c r="O24" i="16"/>
  <c r="R19" i="16"/>
  <c r="Q19" i="16"/>
  <c r="P19" i="16"/>
  <c r="O19" i="16"/>
  <c r="R18" i="16"/>
  <c r="P18" i="16"/>
  <c r="O18" i="16"/>
  <c r="R17" i="16"/>
  <c r="Q17" i="16"/>
  <c r="P17" i="16"/>
  <c r="O17" i="16"/>
  <c r="R15" i="16"/>
  <c r="Q15" i="16"/>
  <c r="P15" i="16"/>
  <c r="O15" i="16"/>
  <c r="R14" i="16"/>
  <c r="Q14" i="16"/>
  <c r="P14" i="16"/>
  <c r="O14" i="16"/>
  <c r="R11" i="16"/>
  <c r="Q11" i="16"/>
  <c r="P11" i="16"/>
  <c r="O11" i="16"/>
  <c r="K110" i="16"/>
  <c r="J110" i="16"/>
  <c r="I110" i="16"/>
  <c r="H110" i="16"/>
  <c r="K109" i="16"/>
  <c r="J109" i="16"/>
  <c r="I109" i="16"/>
  <c r="H109" i="16"/>
  <c r="K108" i="16"/>
  <c r="J108" i="16"/>
  <c r="I108" i="16"/>
  <c r="H108" i="16"/>
  <c r="K106" i="16"/>
  <c r="J106" i="16"/>
  <c r="I106" i="16"/>
  <c r="H106" i="16"/>
  <c r="K105" i="16"/>
  <c r="J105" i="16"/>
  <c r="I105" i="16"/>
  <c r="H105" i="16"/>
  <c r="K104" i="16"/>
  <c r="J104" i="16"/>
  <c r="I104" i="16"/>
  <c r="H104" i="16"/>
  <c r="K103" i="16"/>
  <c r="J103" i="16"/>
  <c r="I103" i="16"/>
  <c r="H103" i="16"/>
  <c r="I50" i="16" l="1"/>
  <c r="I55" i="16"/>
  <c r="H37" i="16"/>
  <c r="L41" i="16"/>
  <c r="L45" i="16"/>
  <c r="L53" i="16"/>
  <c r="L57" i="16"/>
  <c r="L51" i="16"/>
  <c r="L54" i="16"/>
  <c r="L58" i="16"/>
  <c r="R42" i="16"/>
  <c r="R46" i="16" s="1"/>
  <c r="Q46" i="16"/>
  <c r="S45" i="16"/>
  <c r="S54" i="16"/>
  <c r="O55" i="16"/>
  <c r="O59" i="16" s="1"/>
  <c r="S40" i="16"/>
  <c r="S44" i="16"/>
  <c r="K50" i="16"/>
  <c r="L56" i="16"/>
  <c r="L52" i="16"/>
  <c r="J55" i="16"/>
  <c r="K55" i="16"/>
  <c r="K59" i="16" s="1"/>
  <c r="H42" i="16"/>
  <c r="J37" i="16"/>
  <c r="L38" i="16"/>
  <c r="K37" i="16"/>
  <c r="L40" i="16"/>
  <c r="I42" i="16"/>
  <c r="I46" i="16" s="1"/>
  <c r="L39" i="16"/>
  <c r="J42" i="16"/>
  <c r="K42" i="16"/>
  <c r="L44" i="16"/>
  <c r="I59" i="16"/>
  <c r="J50" i="16"/>
  <c r="J59" i="16" s="1"/>
  <c r="P42" i="16"/>
  <c r="P46" i="16" s="1"/>
  <c r="S43" i="16"/>
  <c r="P59" i="16"/>
  <c r="Q59" i="16"/>
  <c r="L43" i="16"/>
  <c r="R55" i="16"/>
  <c r="S58" i="16"/>
  <c r="S53" i="16"/>
  <c r="S37" i="16"/>
  <c r="O42" i="16"/>
  <c r="S57" i="16"/>
  <c r="S41" i="16"/>
  <c r="S50" i="16"/>
  <c r="H50" i="16"/>
  <c r="S56" i="16"/>
  <c r="H55" i="16"/>
  <c r="Q16" i="16"/>
  <c r="Q120" i="16"/>
  <c r="Q107" i="16"/>
  <c r="Q94" i="16"/>
  <c r="Q81" i="16"/>
  <c r="Q68" i="16"/>
  <c r="Q29" i="16"/>
  <c r="H46" i="16" l="1"/>
  <c r="K46" i="16"/>
  <c r="L42" i="16"/>
  <c r="S55" i="16"/>
  <c r="S42" i="16"/>
  <c r="L37" i="16"/>
  <c r="L55" i="16"/>
  <c r="J46" i="16"/>
  <c r="L46" i="16" s="1"/>
  <c r="R59" i="16"/>
  <c r="O46" i="16"/>
  <c r="S46" i="16" s="1"/>
  <c r="S59" i="16"/>
  <c r="L50" i="16"/>
  <c r="H59" i="16"/>
  <c r="L59" i="16" s="1"/>
  <c r="O68" i="16"/>
  <c r="O72" i="16" s="1"/>
  <c r="P81" i="16"/>
  <c r="P85" i="16" s="1"/>
  <c r="P16" i="16"/>
  <c r="P20" i="16" s="1"/>
  <c r="P68" i="16"/>
  <c r="P72" i="16" s="1"/>
  <c r="O107" i="16"/>
  <c r="O111" i="16" s="1"/>
  <c r="P120" i="16"/>
  <c r="P124" i="16" s="1"/>
  <c r="O94" i="16"/>
  <c r="O98" i="16" s="1"/>
  <c r="P107" i="16"/>
  <c r="P111" i="16" s="1"/>
  <c r="O81" i="16"/>
  <c r="O85" i="16" s="1"/>
  <c r="P94" i="16"/>
  <c r="P98" i="16" s="1"/>
  <c r="O120" i="16"/>
  <c r="O124" i="16" s="1"/>
  <c r="S84" i="16"/>
  <c r="T84" i="16" s="1"/>
  <c r="S15" i="16"/>
  <c r="R16" i="16"/>
  <c r="R20" i="16" s="1"/>
  <c r="P29" i="16"/>
  <c r="P33" i="16" s="1"/>
  <c r="Q98" i="16"/>
  <c r="Q85" i="16"/>
  <c r="R29" i="16"/>
  <c r="R33" i="16" s="1"/>
  <c r="Q111" i="16"/>
  <c r="S119" i="16"/>
  <c r="S123" i="16"/>
  <c r="S93" i="16"/>
  <c r="S97" i="16"/>
  <c r="Q124" i="16"/>
  <c r="S106" i="16"/>
  <c r="R107" i="16"/>
  <c r="S110" i="16"/>
  <c r="S121" i="16"/>
  <c r="S109" i="16"/>
  <c r="S122" i="16"/>
  <c r="S19" i="16"/>
  <c r="S18" i="16"/>
  <c r="O16" i="16"/>
  <c r="O20" i="16" s="1"/>
  <c r="Q20" i="16"/>
  <c r="S17" i="16"/>
  <c r="S14" i="16"/>
  <c r="S11" i="16"/>
  <c r="S105" i="16"/>
  <c r="S118" i="16"/>
  <c r="S82" i="16"/>
  <c r="T82" i="16" s="1"/>
  <c r="R94" i="16"/>
  <c r="R98" i="16" s="1"/>
  <c r="S66" i="16"/>
  <c r="S67" i="16"/>
  <c r="S70" i="16"/>
  <c r="S71" i="16"/>
  <c r="S83" i="16"/>
  <c r="T83" i="16" s="1"/>
  <c r="S96" i="16"/>
  <c r="S108" i="16"/>
  <c r="R68" i="16"/>
  <c r="S80" i="16"/>
  <c r="T80" i="16" s="1"/>
  <c r="R120" i="16"/>
  <c r="R124" i="16" s="1"/>
  <c r="S115" i="16"/>
  <c r="S102" i="16"/>
  <c r="S79" i="16"/>
  <c r="T79" i="16" s="1"/>
  <c r="S92" i="16"/>
  <c r="S27" i="16"/>
  <c r="Q72" i="16"/>
  <c r="S95" i="16"/>
  <c r="S89" i="16"/>
  <c r="R81" i="16"/>
  <c r="S76" i="16"/>
  <c r="T76" i="16" s="1"/>
  <c r="S69" i="16"/>
  <c r="S63" i="16"/>
  <c r="S32" i="16"/>
  <c r="S31" i="16"/>
  <c r="O29" i="16"/>
  <c r="O33" i="16" s="1"/>
  <c r="S30" i="16"/>
  <c r="S28" i="16"/>
  <c r="Q33" i="16"/>
  <c r="S24" i="16"/>
  <c r="S68" i="16" l="1"/>
  <c r="S107" i="16"/>
  <c r="S81" i="16"/>
  <c r="S94" i="16"/>
  <c r="R111" i="16"/>
  <c r="S111" i="16" s="1"/>
  <c r="S120" i="16"/>
  <c r="S124" i="16"/>
  <c r="S20" i="16"/>
  <c r="S29" i="16"/>
  <c r="S16" i="16"/>
  <c r="S21" i="16" s="1"/>
  <c r="S98" i="16"/>
  <c r="R72" i="16"/>
  <c r="S72" i="16" s="1"/>
  <c r="R85" i="16"/>
  <c r="S85" i="16" s="1"/>
  <c r="S33" i="16"/>
  <c r="F128" i="16" l="1"/>
  <c r="D1" i="2" l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E15" i="10" l="1"/>
  <c r="G16" i="10"/>
  <c r="F15" i="10"/>
  <c r="D15" i="10"/>
  <c r="C15" i="10"/>
  <c r="B15" i="10"/>
  <c r="E13" i="10"/>
  <c r="C13" i="10"/>
  <c r="F12" i="10"/>
  <c r="E12" i="10"/>
  <c r="C12" i="10"/>
  <c r="B12" i="10"/>
  <c r="E10" i="10"/>
  <c r="C10" i="10"/>
  <c r="B10" i="10"/>
  <c r="B9" i="10"/>
  <c r="E8" i="10"/>
  <c r="C8" i="10"/>
  <c r="E28" i="10"/>
  <c r="G29" i="10"/>
  <c r="F28" i="10"/>
  <c r="D28" i="10"/>
  <c r="C28" i="10"/>
  <c r="B28" i="10"/>
  <c r="E26" i="10"/>
  <c r="C26" i="10"/>
  <c r="F25" i="10"/>
  <c r="E25" i="10"/>
  <c r="C25" i="10"/>
  <c r="B25" i="10"/>
  <c r="E23" i="10"/>
  <c r="C23" i="10"/>
  <c r="B23" i="10"/>
  <c r="B22" i="10"/>
  <c r="E21" i="10"/>
  <c r="C21" i="10"/>
  <c r="G42" i="10"/>
  <c r="F41" i="10"/>
  <c r="E41" i="10"/>
  <c r="D41" i="10"/>
  <c r="C41" i="10"/>
  <c r="B41" i="10"/>
  <c r="E39" i="10"/>
  <c r="C39" i="10"/>
  <c r="F38" i="10"/>
  <c r="E38" i="10"/>
  <c r="C38" i="10"/>
  <c r="B38" i="10"/>
  <c r="E36" i="10"/>
  <c r="C36" i="10"/>
  <c r="B36" i="10"/>
  <c r="B35" i="10"/>
  <c r="E34" i="10"/>
  <c r="C34" i="10"/>
  <c r="G55" i="10"/>
  <c r="F54" i="10"/>
  <c r="E54" i="10"/>
  <c r="D54" i="10"/>
  <c r="C54" i="10"/>
  <c r="B54" i="10"/>
  <c r="E52" i="10"/>
  <c r="C52" i="10"/>
  <c r="F51" i="10"/>
  <c r="E51" i="10"/>
  <c r="C51" i="10"/>
  <c r="B51" i="10"/>
  <c r="E49" i="10"/>
  <c r="C49" i="10"/>
  <c r="B49" i="10"/>
  <c r="B48" i="10"/>
  <c r="E47" i="10"/>
  <c r="C47" i="10"/>
  <c r="G68" i="10"/>
  <c r="F67" i="10"/>
  <c r="E67" i="10"/>
  <c r="D67" i="10"/>
  <c r="C67" i="10"/>
  <c r="B67" i="10"/>
  <c r="E65" i="10"/>
  <c r="C65" i="10"/>
  <c r="F64" i="10"/>
  <c r="E64" i="10"/>
  <c r="C64" i="10"/>
  <c r="B64" i="10"/>
  <c r="E62" i="10"/>
  <c r="C62" i="10"/>
  <c r="B62" i="10"/>
  <c r="B61" i="10"/>
  <c r="E60" i="10"/>
  <c r="C60" i="10"/>
  <c r="E80" i="10"/>
  <c r="G81" i="10"/>
  <c r="F80" i="10"/>
  <c r="D80" i="10"/>
  <c r="C80" i="10"/>
  <c r="B80" i="10"/>
  <c r="E78" i="10"/>
  <c r="C78" i="10"/>
  <c r="F77" i="10"/>
  <c r="E77" i="10"/>
  <c r="C77" i="10"/>
  <c r="B77" i="10"/>
  <c r="E75" i="10"/>
  <c r="C75" i="10"/>
  <c r="B75" i="10"/>
  <c r="B74" i="10"/>
  <c r="E73" i="10"/>
  <c r="C73" i="10"/>
  <c r="G54" i="10" l="1"/>
  <c r="B10" i="28" l="1"/>
  <c r="B9" i="28"/>
  <c r="B8" i="28"/>
  <c r="B7" i="28"/>
  <c r="B6" i="28"/>
  <c r="B5" i="28"/>
  <c r="B4" i="28"/>
  <c r="A4" i="14" l="1"/>
  <c r="A4" i="25"/>
  <c r="A26" i="25"/>
  <c r="A3" i="10"/>
  <c r="A4" i="16"/>
  <c r="A31" i="13"/>
  <c r="A4" i="13"/>
  <c r="B19" i="10" l="1"/>
  <c r="F19" i="10"/>
  <c r="B24" i="10"/>
  <c r="F24" i="10"/>
  <c r="F27" i="10" l="1"/>
  <c r="B27" i="10"/>
  <c r="E24" i="10"/>
  <c r="C24" i="10"/>
  <c r="E2" i="25" l="1"/>
  <c r="E45" i="25" l="1"/>
  <c r="E47" i="25"/>
  <c r="E49" i="25"/>
  <c r="E51" i="25"/>
  <c r="E53" i="25"/>
  <c r="E55" i="25"/>
  <c r="E57" i="25"/>
  <c r="E59" i="25"/>
  <c r="E61" i="25"/>
  <c r="E63" i="25"/>
  <c r="E65" i="25"/>
  <c r="E44" i="25"/>
  <c r="E48" i="25"/>
  <c r="E52" i="25"/>
  <c r="E56" i="25"/>
  <c r="E60" i="25"/>
  <c r="E62" i="25"/>
  <c r="E46" i="25"/>
  <c r="E50" i="25"/>
  <c r="E54" i="25"/>
  <c r="E58" i="25"/>
  <c r="E64" i="25"/>
  <c r="E26" i="25"/>
  <c r="E69" i="25" s="1"/>
  <c r="E27" i="25"/>
  <c r="E33" i="25"/>
  <c r="E36" i="25"/>
  <c r="E41" i="25"/>
  <c r="E30" i="25"/>
  <c r="E31" i="25"/>
  <c r="E38" i="25"/>
  <c r="E40" i="25"/>
  <c r="E42" i="25"/>
  <c r="E32" i="25"/>
  <c r="E34" i="25"/>
  <c r="E35" i="25"/>
  <c r="E28" i="25"/>
  <c r="E29" i="25"/>
  <c r="E39" i="25"/>
  <c r="E37" i="25"/>
  <c r="F2" i="25"/>
  <c r="E99" i="25" l="1"/>
  <c r="E103" i="25"/>
  <c r="E97" i="25"/>
  <c r="E108" i="25"/>
  <c r="E93" i="25"/>
  <c r="E100" i="25"/>
  <c r="E78" i="25"/>
  <c r="E83" i="25"/>
  <c r="E80" i="25"/>
  <c r="E102" i="25"/>
  <c r="E82" i="25"/>
  <c r="E106" i="25"/>
  <c r="E98" i="25"/>
  <c r="E84" i="25"/>
  <c r="E77" i="25"/>
  <c r="E81" i="25"/>
  <c r="E107" i="25"/>
  <c r="E95" i="25"/>
  <c r="E72" i="25"/>
  <c r="E75" i="25"/>
  <c r="E74" i="25"/>
  <c r="E76" i="25"/>
  <c r="E101" i="25"/>
  <c r="E105" i="25"/>
  <c r="E104" i="25"/>
  <c r="E96" i="25"/>
  <c r="E89" i="25"/>
  <c r="E91" i="25"/>
  <c r="E71" i="25"/>
  <c r="E85" i="25"/>
  <c r="E73" i="25"/>
  <c r="E70" i="25"/>
  <c r="E4" i="25"/>
  <c r="E92" i="25"/>
  <c r="E87" i="25"/>
  <c r="E94" i="25"/>
  <c r="E79" i="25"/>
  <c r="E90" i="25"/>
  <c r="F44" i="25"/>
  <c r="F46" i="25"/>
  <c r="F48" i="25"/>
  <c r="F50" i="25"/>
  <c r="F52" i="25"/>
  <c r="F54" i="25"/>
  <c r="F56" i="25"/>
  <c r="F58" i="25"/>
  <c r="F60" i="25"/>
  <c r="F62" i="25"/>
  <c r="F64" i="25"/>
  <c r="F45" i="25"/>
  <c r="F47" i="25"/>
  <c r="F49" i="25"/>
  <c r="F51" i="25"/>
  <c r="F53" i="25"/>
  <c r="F55" i="25"/>
  <c r="F57" i="25"/>
  <c r="F59" i="25"/>
  <c r="F61" i="25"/>
  <c r="F63" i="25"/>
  <c r="F65" i="25"/>
  <c r="F40" i="25"/>
  <c r="F28" i="25"/>
  <c r="F36" i="25"/>
  <c r="F27" i="25"/>
  <c r="F39" i="25"/>
  <c r="F30" i="25"/>
  <c r="F38" i="25"/>
  <c r="F29" i="25"/>
  <c r="G2" i="25"/>
  <c r="F26" i="25"/>
  <c r="F69" i="25" s="1"/>
  <c r="F34" i="25"/>
  <c r="F35" i="25"/>
  <c r="F37" i="25"/>
  <c r="F33" i="25"/>
  <c r="F41" i="25"/>
  <c r="F32" i="25"/>
  <c r="F42" i="25"/>
  <c r="F31" i="25"/>
  <c r="E88" i="25"/>
  <c r="E2" i="14"/>
  <c r="F2" i="14" s="1"/>
  <c r="G2" i="14" s="1"/>
  <c r="B63" i="10"/>
  <c r="B72" i="10"/>
  <c r="F63" i="10"/>
  <c r="C63" i="10"/>
  <c r="B6" i="10"/>
  <c r="F6" i="10"/>
  <c r="B32" i="10"/>
  <c r="F32" i="10"/>
  <c r="B45" i="10"/>
  <c r="F45" i="10"/>
  <c r="B58" i="10"/>
  <c r="F58" i="10"/>
  <c r="F71" i="10"/>
  <c r="F90" i="25" l="1"/>
  <c r="F89" i="25"/>
  <c r="F88" i="25"/>
  <c r="F100" i="25"/>
  <c r="F108" i="25"/>
  <c r="F104" i="25"/>
  <c r="F96" i="25"/>
  <c r="F102" i="25"/>
  <c r="F91" i="25"/>
  <c r="F106" i="25"/>
  <c r="F98" i="25"/>
  <c r="F103" i="25"/>
  <c r="F95" i="25"/>
  <c r="F74" i="25"/>
  <c r="F76" i="25"/>
  <c r="F73" i="25"/>
  <c r="F75" i="25"/>
  <c r="F78" i="25"/>
  <c r="F72" i="25"/>
  <c r="F70" i="25"/>
  <c r="F105" i="25"/>
  <c r="F97" i="25"/>
  <c r="F84" i="25"/>
  <c r="F77" i="25"/>
  <c r="F81" i="25"/>
  <c r="F79" i="25"/>
  <c r="F4" i="25"/>
  <c r="F87" i="25"/>
  <c r="F92" i="25"/>
  <c r="F101" i="25"/>
  <c r="F93" i="25"/>
  <c r="F71" i="25"/>
  <c r="F85" i="25"/>
  <c r="F80" i="25"/>
  <c r="G52" i="25"/>
  <c r="G48" i="25"/>
  <c r="G65" i="25"/>
  <c r="G51" i="25"/>
  <c r="G34" i="25"/>
  <c r="G40" i="25"/>
  <c r="G63" i="25"/>
  <c r="G39" i="25"/>
  <c r="G32" i="25"/>
  <c r="G56" i="25"/>
  <c r="G53" i="25"/>
  <c r="G59" i="25"/>
  <c r="G38" i="25"/>
  <c r="G29" i="25"/>
  <c r="G26" i="25"/>
  <c r="G69" i="25" s="1"/>
  <c r="G60" i="25"/>
  <c r="G58" i="25"/>
  <c r="G33" i="25"/>
  <c r="G31" i="25"/>
  <c r="G37" i="25"/>
  <c r="G64" i="25"/>
  <c r="G61" i="25"/>
  <c r="G30" i="25"/>
  <c r="G36" i="25"/>
  <c r="G35" i="25"/>
  <c r="G28" i="25"/>
  <c r="G41" i="25"/>
  <c r="G49" i="25"/>
  <c r="G50" i="25"/>
  <c r="G27" i="25"/>
  <c r="G55" i="25"/>
  <c r="G44" i="25"/>
  <c r="G57" i="25"/>
  <c r="G62" i="25"/>
  <c r="G42" i="25"/>
  <c r="G54" i="25"/>
  <c r="G47" i="25"/>
  <c r="G45" i="25"/>
  <c r="G46" i="25"/>
  <c r="H2" i="25"/>
  <c r="F82" i="25"/>
  <c r="F83" i="25"/>
  <c r="F94" i="25"/>
  <c r="F107" i="25"/>
  <c r="F99" i="25"/>
  <c r="H2" i="14"/>
  <c r="G11" i="14"/>
  <c r="G7" i="14"/>
  <c r="G10" i="14"/>
  <c r="G6" i="14"/>
  <c r="G9" i="14"/>
  <c r="G5" i="14"/>
  <c r="G4" i="14"/>
  <c r="G15" i="14" s="1"/>
  <c r="G8" i="14"/>
  <c r="E50" i="13"/>
  <c r="E46" i="13"/>
  <c r="E41" i="13"/>
  <c r="E37" i="13"/>
  <c r="E35" i="13"/>
  <c r="E49" i="13"/>
  <c r="E51" i="13"/>
  <c r="E47" i="13"/>
  <c r="E42" i="13"/>
  <c r="E38" i="13"/>
  <c r="E40" i="13"/>
  <c r="E52" i="13"/>
  <c r="E48" i="13"/>
  <c r="E43" i="13"/>
  <c r="E39" i="13"/>
  <c r="E44" i="13"/>
  <c r="E34" i="13"/>
  <c r="F37" i="10"/>
  <c r="C37" i="10"/>
  <c r="F11" i="10"/>
  <c r="B37" i="10"/>
  <c r="B66" i="10"/>
  <c r="B50" i="10"/>
  <c r="F66" i="10"/>
  <c r="G80" i="10"/>
  <c r="E11" i="13"/>
  <c r="B76" i="10"/>
  <c r="B71" i="10"/>
  <c r="G41" i="10"/>
  <c r="F50" i="10"/>
  <c r="E63" i="10"/>
  <c r="E15" i="13"/>
  <c r="E37" i="10"/>
  <c r="E76" i="10"/>
  <c r="E20" i="13"/>
  <c r="E24" i="13"/>
  <c r="E12" i="13"/>
  <c r="E16" i="13"/>
  <c r="E21" i="13"/>
  <c r="E25" i="13"/>
  <c r="E8" i="13"/>
  <c r="E13" i="13"/>
  <c r="E17" i="13"/>
  <c r="E22" i="13"/>
  <c r="E26" i="13"/>
  <c r="G28" i="10"/>
  <c r="F76" i="10"/>
  <c r="E11" i="10"/>
  <c r="E50" i="10"/>
  <c r="B11" i="10"/>
  <c r="E9" i="13"/>
  <c r="E14" i="13"/>
  <c r="E18" i="13"/>
  <c r="E23" i="13"/>
  <c r="G67" i="10"/>
  <c r="C76" i="10"/>
  <c r="C50" i="10"/>
  <c r="C11" i="10"/>
  <c r="F5" i="13"/>
  <c r="E5" i="14"/>
  <c r="E4" i="14"/>
  <c r="G15" i="10"/>
  <c r="G89" i="25" l="1"/>
  <c r="G88" i="25"/>
  <c r="G90" i="25"/>
  <c r="G84" i="25"/>
  <c r="G74" i="25"/>
  <c r="G85" i="25"/>
  <c r="G93" i="25"/>
  <c r="G6" i="25" s="1"/>
  <c r="G97" i="25"/>
  <c r="G73" i="25"/>
  <c r="G105" i="25"/>
  <c r="G100" i="25"/>
  <c r="G98" i="25"/>
  <c r="G70" i="25"/>
  <c r="G71" i="25"/>
  <c r="G78" i="25"/>
  <c r="G79" i="25"/>
  <c r="G104" i="25"/>
  <c r="G76" i="25"/>
  <c r="G96" i="25"/>
  <c r="G106" i="25"/>
  <c r="G108" i="25"/>
  <c r="G72" i="25"/>
  <c r="G99" i="25"/>
  <c r="G83" i="25"/>
  <c r="G91" i="25"/>
  <c r="G107" i="25"/>
  <c r="G101" i="25"/>
  <c r="G7" i="25" s="1"/>
  <c r="G81" i="25"/>
  <c r="G75" i="25"/>
  <c r="G77" i="25"/>
  <c r="G95" i="25"/>
  <c r="H47" i="25"/>
  <c r="H52" i="25"/>
  <c r="H26" i="25"/>
  <c r="H69" i="25" s="1"/>
  <c r="H42" i="25"/>
  <c r="H55" i="25"/>
  <c r="H59" i="25"/>
  <c r="H63" i="25"/>
  <c r="H31" i="25"/>
  <c r="H36" i="25"/>
  <c r="I2" i="25"/>
  <c r="H49" i="25"/>
  <c r="H54" i="25"/>
  <c r="H40" i="25"/>
  <c r="H61" i="25"/>
  <c r="H39" i="25"/>
  <c r="H51" i="25"/>
  <c r="H50" i="25"/>
  <c r="H33" i="25"/>
  <c r="H62" i="25"/>
  <c r="H27" i="25"/>
  <c r="H41" i="25"/>
  <c r="H44" i="25"/>
  <c r="H48" i="25"/>
  <c r="H53" i="25"/>
  <c r="H30" i="25"/>
  <c r="H32" i="25"/>
  <c r="H56" i="25"/>
  <c r="H60" i="25"/>
  <c r="H64" i="25"/>
  <c r="H35" i="25"/>
  <c r="H29" i="25"/>
  <c r="H45" i="25"/>
  <c r="H34" i="25"/>
  <c r="H57" i="25"/>
  <c r="H65" i="25"/>
  <c r="H37" i="25"/>
  <c r="H46" i="25"/>
  <c r="H38" i="25"/>
  <c r="H58" i="25"/>
  <c r="H28" i="25"/>
  <c r="G4" i="25"/>
  <c r="G5" i="25" s="1"/>
  <c r="G92" i="25"/>
  <c r="G87" i="25"/>
  <c r="G80" i="25"/>
  <c r="G103" i="25"/>
  <c r="G102" i="25"/>
  <c r="G82" i="25"/>
  <c r="G94" i="25"/>
  <c r="G5" i="13"/>
  <c r="G40" i="13" s="1"/>
  <c r="K14" i="16"/>
  <c r="E9" i="10" s="1"/>
  <c r="E33" i="13"/>
  <c r="G21" i="14"/>
  <c r="G16" i="14"/>
  <c r="G18" i="14"/>
  <c r="G20" i="14"/>
  <c r="G22" i="14"/>
  <c r="G19" i="14"/>
  <c r="G17" i="14"/>
  <c r="I2" i="14"/>
  <c r="H4" i="14"/>
  <c r="H15" i="14" s="1"/>
  <c r="H8" i="14"/>
  <c r="H5" i="14"/>
  <c r="H7" i="14"/>
  <c r="H11" i="14"/>
  <c r="H6" i="14"/>
  <c r="H10" i="14"/>
  <c r="H9" i="14"/>
  <c r="F51" i="13"/>
  <c r="F47" i="13"/>
  <c r="F42" i="13"/>
  <c r="F38" i="13"/>
  <c r="F41" i="13"/>
  <c r="F37" i="13"/>
  <c r="F35" i="13"/>
  <c r="F52" i="13"/>
  <c r="F48" i="13"/>
  <c r="F43" i="13"/>
  <c r="F39" i="13"/>
  <c r="F40" i="13"/>
  <c r="F34" i="13"/>
  <c r="F49" i="13"/>
  <c r="F44" i="13"/>
  <c r="F50" i="13"/>
  <c r="F46" i="13"/>
  <c r="E36" i="13"/>
  <c r="E45" i="13"/>
  <c r="F14" i="10"/>
  <c r="F40" i="10"/>
  <c r="E6" i="14"/>
  <c r="E17" i="14" s="1"/>
  <c r="E11" i="14"/>
  <c r="E22" i="14" s="1"/>
  <c r="E7" i="14"/>
  <c r="E18" i="14" s="1"/>
  <c r="E8" i="14"/>
  <c r="E19" i="14" s="1"/>
  <c r="F10" i="14"/>
  <c r="E9" i="14"/>
  <c r="E20" i="14" s="1"/>
  <c r="E10" i="14"/>
  <c r="E21" i="14" s="1"/>
  <c r="B40" i="10"/>
  <c r="J14" i="16"/>
  <c r="B53" i="10"/>
  <c r="F53" i="10"/>
  <c r="F79" i="10"/>
  <c r="H17" i="16"/>
  <c r="H14" i="16"/>
  <c r="I14" i="16"/>
  <c r="C9" i="10" s="1"/>
  <c r="K13" i="16"/>
  <c r="I17" i="16"/>
  <c r="J13" i="16"/>
  <c r="J15" i="16"/>
  <c r="K19" i="16"/>
  <c r="H19" i="16"/>
  <c r="B79" i="10"/>
  <c r="E7" i="13"/>
  <c r="E19" i="13"/>
  <c r="E10" i="13"/>
  <c r="E16" i="14"/>
  <c r="B14" i="10"/>
  <c r="E15" i="14"/>
  <c r="H13" i="16"/>
  <c r="K15" i="16"/>
  <c r="J19" i="16"/>
  <c r="H15" i="16"/>
  <c r="I19" i="16"/>
  <c r="J17" i="16"/>
  <c r="K18" i="16"/>
  <c r="I13" i="16"/>
  <c r="I12" i="16"/>
  <c r="C7" i="10" s="1"/>
  <c r="J12" i="16"/>
  <c r="K17" i="16"/>
  <c r="I18" i="16"/>
  <c r="F20" i="13"/>
  <c r="F11" i="13"/>
  <c r="H12" i="16"/>
  <c r="J18" i="16"/>
  <c r="F26" i="13"/>
  <c r="F25" i="13"/>
  <c r="F23" i="13"/>
  <c r="K12" i="16"/>
  <c r="E7" i="10" s="1"/>
  <c r="F13" i="13"/>
  <c r="F9" i="13"/>
  <c r="F12" i="13"/>
  <c r="I15" i="16"/>
  <c r="F22" i="13"/>
  <c r="F15" i="13"/>
  <c r="F8" i="13"/>
  <c r="F14" i="13"/>
  <c r="F16" i="13"/>
  <c r="H18" i="16"/>
  <c r="F24" i="13"/>
  <c r="F17" i="13"/>
  <c r="F18" i="13"/>
  <c r="F21" i="13"/>
  <c r="H108" i="25" l="1"/>
  <c r="G21" i="13"/>
  <c r="G8" i="25"/>
  <c r="H72" i="25"/>
  <c r="H91" i="25"/>
  <c r="H82" i="25"/>
  <c r="H5" i="13"/>
  <c r="H51" i="13" s="1"/>
  <c r="H88" i="25"/>
  <c r="H105" i="25"/>
  <c r="H101" i="25"/>
  <c r="H7" i="25" s="1"/>
  <c r="H99" i="25"/>
  <c r="H89" i="25"/>
  <c r="G16" i="13"/>
  <c r="G12" i="13"/>
  <c r="G25" i="13"/>
  <c r="G48" i="13"/>
  <c r="G46" i="13"/>
  <c r="G24" i="13"/>
  <c r="G20" i="13"/>
  <c r="G15" i="13"/>
  <c r="G11" i="13"/>
  <c r="G38" i="13"/>
  <c r="G39" i="13"/>
  <c r="G23" i="13"/>
  <c r="G18" i="13"/>
  <c r="G14" i="13"/>
  <c r="G9" i="13"/>
  <c r="G47" i="13"/>
  <c r="G35" i="13"/>
  <c r="G26" i="13"/>
  <c r="G22" i="13"/>
  <c r="G17" i="13"/>
  <c r="G13" i="13"/>
  <c r="G8" i="13"/>
  <c r="G37" i="13"/>
  <c r="G44" i="13"/>
  <c r="H106" i="25"/>
  <c r="G34" i="13"/>
  <c r="G42" i="13"/>
  <c r="G41" i="13"/>
  <c r="G43" i="13"/>
  <c r="G49" i="13"/>
  <c r="H81" i="25"/>
  <c r="H100" i="25"/>
  <c r="H78" i="25"/>
  <c r="H75" i="25"/>
  <c r="H4" i="25"/>
  <c r="H5" i="25" s="1"/>
  <c r="H92" i="25"/>
  <c r="H87" i="25"/>
  <c r="H76" i="25"/>
  <c r="H104" i="25"/>
  <c r="I53" i="25"/>
  <c r="I57" i="25"/>
  <c r="I61" i="25"/>
  <c r="I65" i="25"/>
  <c r="I48" i="25"/>
  <c r="I36" i="25"/>
  <c r="I35" i="25"/>
  <c r="I28" i="25"/>
  <c r="I38" i="25"/>
  <c r="I58" i="25"/>
  <c r="I45" i="25"/>
  <c r="I50" i="25"/>
  <c r="I41" i="25"/>
  <c r="J2" i="25"/>
  <c r="I51" i="25"/>
  <c r="I59" i="25"/>
  <c r="I46" i="25"/>
  <c r="I34" i="25"/>
  <c r="I37" i="25"/>
  <c r="I56" i="25"/>
  <c r="I47" i="25"/>
  <c r="I30" i="25"/>
  <c r="I44" i="25"/>
  <c r="I54" i="25"/>
  <c r="I62" i="25"/>
  <c r="I49" i="25"/>
  <c r="I39" i="25"/>
  <c r="I33" i="25"/>
  <c r="I55" i="25"/>
  <c r="I63" i="25"/>
  <c r="I27" i="25"/>
  <c r="I42" i="25"/>
  <c r="I52" i="25"/>
  <c r="I64" i="25"/>
  <c r="I31" i="25"/>
  <c r="I40" i="25"/>
  <c r="I26" i="25"/>
  <c r="I69" i="25" s="1"/>
  <c r="I60" i="25"/>
  <c r="I32" i="25"/>
  <c r="I29" i="25"/>
  <c r="H102" i="25"/>
  <c r="H95" i="25"/>
  <c r="H77" i="25"/>
  <c r="H107" i="25"/>
  <c r="H73" i="25"/>
  <c r="H84" i="25"/>
  <c r="H93" i="25"/>
  <c r="H6" i="25" s="1"/>
  <c r="H83" i="25"/>
  <c r="H79" i="25"/>
  <c r="H98" i="25"/>
  <c r="H90" i="25"/>
  <c r="G52" i="13"/>
  <c r="G51" i="13"/>
  <c r="G50" i="13"/>
  <c r="H71" i="25"/>
  <c r="H80" i="25"/>
  <c r="H103" i="25"/>
  <c r="H96" i="25"/>
  <c r="H70" i="25"/>
  <c r="H94" i="25"/>
  <c r="H97" i="25"/>
  <c r="H74" i="25"/>
  <c r="H85" i="25"/>
  <c r="H22" i="14"/>
  <c r="H20" i="14"/>
  <c r="H18" i="14"/>
  <c r="J2" i="14"/>
  <c r="I5" i="14"/>
  <c r="I9" i="14"/>
  <c r="I4" i="14"/>
  <c r="I15" i="14" s="1"/>
  <c r="I8" i="14"/>
  <c r="I7" i="14"/>
  <c r="I11" i="14"/>
  <c r="I10" i="14"/>
  <c r="I6" i="14"/>
  <c r="H21" i="14"/>
  <c r="H16" i="14"/>
  <c r="I5" i="13"/>
  <c r="K27" i="16" s="1"/>
  <c r="E22" i="10" s="1"/>
  <c r="H50" i="13"/>
  <c r="H46" i="13"/>
  <c r="H44" i="13"/>
  <c r="H40" i="13"/>
  <c r="H52" i="13"/>
  <c r="H11" i="13"/>
  <c r="H15" i="13"/>
  <c r="H20" i="13"/>
  <c r="H24" i="13"/>
  <c r="H8" i="13"/>
  <c r="H17" i="13"/>
  <c r="H22" i="13"/>
  <c r="H26" i="13"/>
  <c r="H16" i="13"/>
  <c r="H17" i="14"/>
  <c r="H19" i="14"/>
  <c r="E53" i="13"/>
  <c r="F36" i="13"/>
  <c r="F45" i="13"/>
  <c r="F33" i="13"/>
  <c r="F6" i="14"/>
  <c r="F4" i="14"/>
  <c r="F15" i="14" s="1"/>
  <c r="F8" i="14"/>
  <c r="F11" i="14"/>
  <c r="F9" i="14"/>
  <c r="F7" i="14"/>
  <c r="F5" i="14"/>
  <c r="J11" i="16"/>
  <c r="L14" i="16"/>
  <c r="K11" i="16"/>
  <c r="H16" i="16"/>
  <c r="E27" i="13"/>
  <c r="F7" i="13"/>
  <c r="I16" i="16"/>
  <c r="I11" i="16"/>
  <c r="L17" i="16"/>
  <c r="L19" i="16"/>
  <c r="L13" i="16"/>
  <c r="K16" i="16"/>
  <c r="H11" i="16"/>
  <c r="L12" i="16"/>
  <c r="F19" i="13"/>
  <c r="L15" i="16"/>
  <c r="J16" i="16"/>
  <c r="L18" i="16"/>
  <c r="F10" i="13"/>
  <c r="L16" i="16" l="1"/>
  <c r="H37" i="13"/>
  <c r="H34" i="13"/>
  <c r="H43" i="13"/>
  <c r="H21" i="13"/>
  <c r="H48" i="13"/>
  <c r="H13" i="13"/>
  <c r="H39" i="13"/>
  <c r="H41" i="13"/>
  <c r="H23" i="13"/>
  <c r="H49" i="13"/>
  <c r="H12" i="13"/>
  <c r="H18" i="13"/>
  <c r="H38" i="13"/>
  <c r="H25" i="13"/>
  <c r="H14" i="13"/>
  <c r="H42" i="13"/>
  <c r="H9" i="13"/>
  <c r="H7" i="13" s="1"/>
  <c r="H47" i="13"/>
  <c r="G7" i="13"/>
  <c r="H35" i="13"/>
  <c r="H8" i="25"/>
  <c r="I103" i="25"/>
  <c r="G19" i="13"/>
  <c r="G10" i="13"/>
  <c r="G45" i="13"/>
  <c r="G33" i="13"/>
  <c r="I90" i="25"/>
  <c r="I89" i="25"/>
  <c r="G36" i="13"/>
  <c r="I107" i="25"/>
  <c r="I106" i="25"/>
  <c r="I95" i="25"/>
  <c r="I98" i="25"/>
  <c r="I105" i="25"/>
  <c r="I84" i="25"/>
  <c r="I81" i="25"/>
  <c r="I91" i="25"/>
  <c r="I96" i="25"/>
  <c r="I72" i="25"/>
  <c r="I83" i="25"/>
  <c r="I85" i="25"/>
  <c r="I76" i="25"/>
  <c r="I97" i="25"/>
  <c r="I99" i="25"/>
  <c r="I102" i="25"/>
  <c r="I93" i="25"/>
  <c r="I71" i="25"/>
  <c r="I108" i="25"/>
  <c r="I75" i="25"/>
  <c r="I74" i="25"/>
  <c r="I70" i="25"/>
  <c r="I82" i="25"/>
  <c r="I4" i="25"/>
  <c r="I5" i="25" s="1"/>
  <c r="I92" i="25"/>
  <c r="I87" i="25"/>
  <c r="I80" i="25"/>
  <c r="I94" i="25"/>
  <c r="I88" i="25"/>
  <c r="I78" i="25"/>
  <c r="I104" i="25"/>
  <c r="I73" i="25"/>
  <c r="I77" i="25"/>
  <c r="J46" i="25"/>
  <c r="J50" i="25"/>
  <c r="J52" i="25"/>
  <c r="J56" i="25"/>
  <c r="J60" i="25"/>
  <c r="J64" i="25"/>
  <c r="J33" i="25"/>
  <c r="J36" i="25"/>
  <c r="J34" i="25"/>
  <c r="J47" i="25"/>
  <c r="J44" i="25"/>
  <c r="J53" i="25"/>
  <c r="J57" i="25"/>
  <c r="J61" i="25"/>
  <c r="J65" i="25"/>
  <c r="J37" i="25"/>
  <c r="J35" i="25"/>
  <c r="J31" i="25"/>
  <c r="J41" i="25"/>
  <c r="J28" i="25"/>
  <c r="J27" i="25"/>
  <c r="J40" i="25"/>
  <c r="J45" i="25"/>
  <c r="J88" i="25" s="1"/>
  <c r="J51" i="25"/>
  <c r="J59" i="25"/>
  <c r="J29" i="25"/>
  <c r="J32" i="25"/>
  <c r="J42" i="25"/>
  <c r="K2" i="25"/>
  <c r="J48" i="25"/>
  <c r="J26" i="25"/>
  <c r="J69" i="25" s="1"/>
  <c r="J54" i="25"/>
  <c r="J58" i="25"/>
  <c r="J62" i="25"/>
  <c r="J39" i="25"/>
  <c r="J49" i="25"/>
  <c r="J55" i="25"/>
  <c r="J63" i="25"/>
  <c r="J30" i="25"/>
  <c r="J38" i="25"/>
  <c r="I101" i="25"/>
  <c r="I79" i="25"/>
  <c r="I100" i="25"/>
  <c r="H26" i="16"/>
  <c r="J28" i="16"/>
  <c r="K31" i="16"/>
  <c r="H28" i="16"/>
  <c r="H25" i="16"/>
  <c r="J30" i="16"/>
  <c r="H30" i="16"/>
  <c r="I25" i="16"/>
  <c r="I30" i="16"/>
  <c r="K26" i="16"/>
  <c r="K25" i="16"/>
  <c r="H27" i="16"/>
  <c r="K30" i="16"/>
  <c r="I28" i="16"/>
  <c r="K32" i="16"/>
  <c r="K28" i="16"/>
  <c r="I32" i="16"/>
  <c r="J32" i="16"/>
  <c r="J26" i="16"/>
  <c r="J27" i="16"/>
  <c r="I26" i="16"/>
  <c r="J25" i="16"/>
  <c r="I21" i="14"/>
  <c r="I27" i="16"/>
  <c r="C22" i="10" s="1"/>
  <c r="H31" i="16"/>
  <c r="H32" i="16"/>
  <c r="I31" i="16"/>
  <c r="J31" i="16"/>
  <c r="I22" i="14"/>
  <c r="I17" i="14"/>
  <c r="I18" i="14"/>
  <c r="I19" i="14"/>
  <c r="K2" i="14"/>
  <c r="J6" i="14"/>
  <c r="J10" i="14"/>
  <c r="J5" i="14"/>
  <c r="J9" i="14"/>
  <c r="J4" i="14"/>
  <c r="J15" i="14" s="1"/>
  <c r="J8" i="14"/>
  <c r="J11" i="14"/>
  <c r="J7" i="14"/>
  <c r="J5" i="13"/>
  <c r="I51" i="13"/>
  <c r="I47" i="13"/>
  <c r="I42" i="13"/>
  <c r="I38" i="13"/>
  <c r="I34" i="13"/>
  <c r="I50" i="13"/>
  <c r="I46" i="13"/>
  <c r="I52" i="13"/>
  <c r="I48" i="13"/>
  <c r="I43" i="13"/>
  <c r="I39" i="13"/>
  <c r="I49" i="13"/>
  <c r="I44" i="13"/>
  <c r="I40" i="13"/>
  <c r="I35" i="13"/>
  <c r="I41" i="13"/>
  <c r="I37" i="13"/>
  <c r="I8" i="13"/>
  <c r="I9" i="13"/>
  <c r="I11" i="13"/>
  <c r="I12" i="13"/>
  <c r="I13" i="13"/>
  <c r="I14" i="13"/>
  <c r="I15" i="13"/>
  <c r="I16" i="13"/>
  <c r="I17" i="13"/>
  <c r="I18" i="13"/>
  <c r="I20" i="13"/>
  <c r="I21" i="13"/>
  <c r="I22" i="13"/>
  <c r="I23" i="13"/>
  <c r="I24" i="13"/>
  <c r="I25" i="13"/>
  <c r="I26" i="13"/>
  <c r="I20" i="14"/>
  <c r="I16" i="14"/>
  <c r="F53" i="13"/>
  <c r="F17" i="14"/>
  <c r="F22" i="14"/>
  <c r="F21" i="14"/>
  <c r="F16" i="14"/>
  <c r="F19" i="14"/>
  <c r="F18" i="14"/>
  <c r="F20" i="14"/>
  <c r="E6" i="10"/>
  <c r="E14" i="10" s="1"/>
  <c r="J20" i="16"/>
  <c r="K20" i="16"/>
  <c r="H20" i="16"/>
  <c r="L11" i="16"/>
  <c r="I20" i="16"/>
  <c r="F27" i="13"/>
  <c r="C6" i="10"/>
  <c r="H33" i="13" l="1"/>
  <c r="H45" i="13"/>
  <c r="I16" i="25"/>
  <c r="H10" i="13"/>
  <c r="H36" i="13"/>
  <c r="G53" i="13"/>
  <c r="G27" i="13"/>
  <c r="H19" i="13"/>
  <c r="J106" i="25"/>
  <c r="J91" i="25"/>
  <c r="J105" i="25"/>
  <c r="J73" i="25"/>
  <c r="J82" i="25"/>
  <c r="I17" i="25"/>
  <c r="I18" i="25"/>
  <c r="D9" i="10"/>
  <c r="D7" i="10"/>
  <c r="D13" i="10"/>
  <c r="D12" i="10"/>
  <c r="D10" i="10"/>
  <c r="D8" i="10"/>
  <c r="J104" i="25"/>
  <c r="C20" i="10"/>
  <c r="C19" i="10" s="1"/>
  <c r="C27" i="10" s="1"/>
  <c r="E20" i="10"/>
  <c r="E19" i="10" s="1"/>
  <c r="E27" i="10" s="1"/>
  <c r="J98" i="25"/>
  <c r="J101" i="25"/>
  <c r="J7" i="25" s="1"/>
  <c r="J102" i="25"/>
  <c r="J108" i="25"/>
  <c r="J95" i="25"/>
  <c r="J75" i="25"/>
  <c r="J84" i="25"/>
  <c r="J4" i="25"/>
  <c r="J5" i="25" s="1"/>
  <c r="J87" i="25"/>
  <c r="J92" i="25"/>
  <c r="J76" i="25"/>
  <c r="I13" i="25"/>
  <c r="I14" i="25"/>
  <c r="I6" i="25"/>
  <c r="J72" i="25"/>
  <c r="J83" i="25"/>
  <c r="J74" i="25"/>
  <c r="J90" i="25"/>
  <c r="J107" i="25"/>
  <c r="J93" i="25"/>
  <c r="J6" i="25" s="1"/>
  <c r="I7" i="25"/>
  <c r="I15" i="25"/>
  <c r="K45" i="25"/>
  <c r="K49" i="25"/>
  <c r="K26" i="25"/>
  <c r="K69" i="25" s="1"/>
  <c r="K54" i="25"/>
  <c r="K58" i="25"/>
  <c r="K62" i="25"/>
  <c r="K30" i="25"/>
  <c r="K29" i="25"/>
  <c r="K41" i="25"/>
  <c r="K32" i="25"/>
  <c r="L2" i="25"/>
  <c r="K31" i="25"/>
  <c r="K44" i="25"/>
  <c r="K61" i="25"/>
  <c r="K36" i="25"/>
  <c r="K46" i="25"/>
  <c r="K50" i="25"/>
  <c r="K51" i="25"/>
  <c r="K55" i="25"/>
  <c r="K59" i="25"/>
  <c r="K63" i="25"/>
  <c r="K34" i="25"/>
  <c r="K33" i="25"/>
  <c r="K39" i="25"/>
  <c r="K48" i="25"/>
  <c r="K65" i="25"/>
  <c r="K47" i="25"/>
  <c r="K27" i="25"/>
  <c r="K52" i="25"/>
  <c r="K56" i="25"/>
  <c r="K60" i="25"/>
  <c r="K64" i="25"/>
  <c r="K38" i="25"/>
  <c r="K37" i="25"/>
  <c r="K35" i="25"/>
  <c r="K42" i="25"/>
  <c r="K53" i="25"/>
  <c r="K57" i="25"/>
  <c r="K28" i="25"/>
  <c r="K40" i="25"/>
  <c r="J70" i="25"/>
  <c r="J78" i="25"/>
  <c r="J100" i="25"/>
  <c r="J77" i="25"/>
  <c r="J103" i="25"/>
  <c r="J89" i="25"/>
  <c r="J81" i="25"/>
  <c r="J97" i="25"/>
  <c r="J85" i="25"/>
  <c r="J94" i="25"/>
  <c r="J71" i="25"/>
  <c r="J80" i="25"/>
  <c r="J96" i="25"/>
  <c r="J79" i="25"/>
  <c r="J99" i="25"/>
  <c r="H24" i="16"/>
  <c r="I24" i="16"/>
  <c r="L31" i="16"/>
  <c r="J24" i="16"/>
  <c r="L28" i="16"/>
  <c r="H29" i="16"/>
  <c r="L30" i="16"/>
  <c r="L26" i="16"/>
  <c r="K29" i="16"/>
  <c r="L25" i="16"/>
  <c r="J29" i="16"/>
  <c r="I29" i="16"/>
  <c r="L32" i="16"/>
  <c r="K24" i="16"/>
  <c r="Z19" i="14"/>
  <c r="L27" i="16"/>
  <c r="Z17" i="14"/>
  <c r="J22" i="14"/>
  <c r="Z18" i="14"/>
  <c r="J19" i="14"/>
  <c r="J18" i="14"/>
  <c r="J20" i="14"/>
  <c r="J16" i="14"/>
  <c r="I7" i="13"/>
  <c r="AK34" i="13"/>
  <c r="I33" i="13"/>
  <c r="AF33" i="13" s="1"/>
  <c r="I36" i="13"/>
  <c r="AA35" i="13" s="1"/>
  <c r="I19" i="13"/>
  <c r="I10" i="13"/>
  <c r="K5" i="13"/>
  <c r="J52" i="13"/>
  <c r="J48" i="13"/>
  <c r="J43" i="13"/>
  <c r="J39" i="13"/>
  <c r="J34" i="13"/>
  <c r="J49" i="13"/>
  <c r="J44" i="13"/>
  <c r="J40" i="13"/>
  <c r="J35" i="13"/>
  <c r="J50" i="13"/>
  <c r="J46" i="13"/>
  <c r="J41" i="13"/>
  <c r="J37" i="13"/>
  <c r="J51" i="13"/>
  <c r="J47" i="13"/>
  <c r="J42" i="13"/>
  <c r="J38" i="13"/>
  <c r="J8" i="13"/>
  <c r="J9" i="13"/>
  <c r="J11" i="13"/>
  <c r="J12" i="13"/>
  <c r="J13" i="13"/>
  <c r="J14" i="13"/>
  <c r="J15" i="13"/>
  <c r="J16" i="13"/>
  <c r="J17" i="13"/>
  <c r="J18" i="13"/>
  <c r="J20" i="13"/>
  <c r="J21" i="13"/>
  <c r="J22" i="13"/>
  <c r="J23" i="13"/>
  <c r="J24" i="13"/>
  <c r="J25" i="13"/>
  <c r="J26" i="13"/>
  <c r="J21" i="14"/>
  <c r="L2" i="14"/>
  <c r="K7" i="14"/>
  <c r="K11" i="14"/>
  <c r="K6" i="14"/>
  <c r="K10" i="14"/>
  <c r="K5" i="14"/>
  <c r="K9" i="14"/>
  <c r="K4" i="14"/>
  <c r="K15" i="14" s="1"/>
  <c r="K8" i="14"/>
  <c r="AK33" i="13"/>
  <c r="I45" i="13"/>
  <c r="J17" i="14"/>
  <c r="L20" i="16"/>
  <c r="C14" i="10"/>
  <c r="K91" i="25" l="1"/>
  <c r="K108" i="25"/>
  <c r="H53" i="13"/>
  <c r="K83" i="25"/>
  <c r="K70" i="25"/>
  <c r="K100" i="25"/>
  <c r="H27" i="13"/>
  <c r="K79" i="25"/>
  <c r="K71" i="25"/>
  <c r="K96" i="25"/>
  <c r="K107" i="25"/>
  <c r="K106" i="25"/>
  <c r="K103" i="25"/>
  <c r="K98" i="25"/>
  <c r="K73" i="25"/>
  <c r="K99" i="25"/>
  <c r="K94" i="25"/>
  <c r="K105" i="25"/>
  <c r="K104" i="25"/>
  <c r="K95" i="25"/>
  <c r="K93" i="25"/>
  <c r="K6" i="25" s="1"/>
  <c r="K101" i="25"/>
  <c r="K7" i="25" s="1"/>
  <c r="I19" i="25"/>
  <c r="K81" i="25"/>
  <c r="K84" i="25"/>
  <c r="K102" i="25"/>
  <c r="J8" i="25"/>
  <c r="K85" i="25"/>
  <c r="K78" i="25"/>
  <c r="K76" i="25"/>
  <c r="K80" i="25"/>
  <c r="K90" i="25"/>
  <c r="K82" i="25"/>
  <c r="K77" i="25"/>
  <c r="K75" i="25"/>
  <c r="H33" i="16"/>
  <c r="K74" i="25"/>
  <c r="K4" i="25"/>
  <c r="K5" i="25" s="1"/>
  <c r="K87" i="25"/>
  <c r="K92" i="25"/>
  <c r="K88" i="25"/>
  <c r="K89" i="25"/>
  <c r="K72" i="25"/>
  <c r="K97" i="25"/>
  <c r="L44" i="25"/>
  <c r="L48" i="25"/>
  <c r="L31" i="25"/>
  <c r="L52" i="25"/>
  <c r="L56" i="25"/>
  <c r="L60" i="25"/>
  <c r="L64" i="25"/>
  <c r="L38" i="25"/>
  <c r="L32" i="25"/>
  <c r="L27" i="25"/>
  <c r="L40" i="25"/>
  <c r="L55" i="25"/>
  <c r="L63" i="25"/>
  <c r="L45" i="25"/>
  <c r="L49" i="25"/>
  <c r="L35" i="25"/>
  <c r="L53" i="25"/>
  <c r="L57" i="25"/>
  <c r="L61" i="25"/>
  <c r="L65" i="25"/>
  <c r="L29" i="25"/>
  <c r="L36" i="25"/>
  <c r="L33" i="25"/>
  <c r="L28" i="25"/>
  <c r="L51" i="25"/>
  <c r="L59" i="25"/>
  <c r="L42" i="25"/>
  <c r="L46" i="25"/>
  <c r="L50" i="25"/>
  <c r="L39" i="25"/>
  <c r="L54" i="25"/>
  <c r="L58" i="25"/>
  <c r="L62" i="25"/>
  <c r="L30" i="25"/>
  <c r="L37" i="25"/>
  <c r="L41" i="25"/>
  <c r="M2" i="25"/>
  <c r="L47" i="25"/>
  <c r="L34" i="25"/>
  <c r="L26" i="25"/>
  <c r="L69" i="25" s="1"/>
  <c r="I8" i="25"/>
  <c r="J33" i="16"/>
  <c r="I33" i="16"/>
  <c r="L24" i="16"/>
  <c r="K33" i="16"/>
  <c r="L29" i="16"/>
  <c r="AF34" i="13"/>
  <c r="AF35" i="13" s="1"/>
  <c r="AA36" i="13"/>
  <c r="Z20" i="14"/>
  <c r="I53" i="13"/>
  <c r="AA38" i="13"/>
  <c r="K20" i="14"/>
  <c r="K19" i="14"/>
  <c r="AK35" i="13"/>
  <c r="K16" i="14"/>
  <c r="K18" i="14"/>
  <c r="AA37" i="13"/>
  <c r="K21" i="14"/>
  <c r="I27" i="13"/>
  <c r="AA8" i="13" s="1"/>
  <c r="AA33" i="13"/>
  <c r="AA34" i="13"/>
  <c r="K22" i="14"/>
  <c r="J45" i="13"/>
  <c r="J7" i="13"/>
  <c r="M2" i="14"/>
  <c r="L4" i="14"/>
  <c r="L15" i="14" s="1"/>
  <c r="L8" i="14"/>
  <c r="L7" i="14"/>
  <c r="L11" i="14"/>
  <c r="L6" i="14"/>
  <c r="L10" i="14"/>
  <c r="L5" i="14"/>
  <c r="L9" i="14"/>
  <c r="J36" i="13"/>
  <c r="J33" i="13"/>
  <c r="K17" i="14"/>
  <c r="J19" i="13"/>
  <c r="J10" i="13"/>
  <c r="L5" i="13"/>
  <c r="K49" i="13"/>
  <c r="K44" i="13"/>
  <c r="K40" i="13"/>
  <c r="K35" i="13"/>
  <c r="K50" i="13"/>
  <c r="K46" i="13"/>
  <c r="K41" i="13"/>
  <c r="K37" i="13"/>
  <c r="K52" i="13"/>
  <c r="K48" i="13"/>
  <c r="K43" i="13"/>
  <c r="K39" i="13"/>
  <c r="K51" i="13"/>
  <c r="K47" i="13"/>
  <c r="K42" i="13"/>
  <c r="K38" i="13"/>
  <c r="K34" i="13"/>
  <c r="K8" i="13"/>
  <c r="K9" i="13"/>
  <c r="K11" i="13"/>
  <c r="K12" i="13"/>
  <c r="K13" i="13"/>
  <c r="K14" i="13"/>
  <c r="K15" i="13"/>
  <c r="K16" i="13"/>
  <c r="K17" i="13"/>
  <c r="K18" i="13"/>
  <c r="K20" i="13"/>
  <c r="K21" i="13"/>
  <c r="K22" i="13"/>
  <c r="K23" i="13"/>
  <c r="K24" i="13"/>
  <c r="K25" i="13"/>
  <c r="K26" i="13"/>
  <c r="G10" i="10"/>
  <c r="G9" i="10"/>
  <c r="G13" i="10"/>
  <c r="G12" i="10"/>
  <c r="D11" i="10"/>
  <c r="G7" i="10"/>
  <c r="D6" i="10"/>
  <c r="G8" i="10"/>
  <c r="L93" i="25" l="1"/>
  <c r="L6" i="25" s="1"/>
  <c r="K8" i="25"/>
  <c r="L105" i="25"/>
  <c r="L101" i="25"/>
  <c r="L7" i="25" s="1"/>
  <c r="L97" i="25"/>
  <c r="L104" i="25"/>
  <c r="L89" i="25"/>
  <c r="L90" i="25"/>
  <c r="L88" i="25"/>
  <c r="L102" i="25"/>
  <c r="L91" i="25"/>
  <c r="L100" i="25"/>
  <c r="L94" i="25"/>
  <c r="L108" i="25"/>
  <c r="L96" i="25"/>
  <c r="D21" i="10"/>
  <c r="G21" i="10" s="1"/>
  <c r="D26" i="10"/>
  <c r="G26" i="10" s="1"/>
  <c r="D22" i="10"/>
  <c r="G22" i="10" s="1"/>
  <c r="L9" i="10" s="1"/>
  <c r="D25" i="10"/>
  <c r="D23" i="10"/>
  <c r="G23" i="10" s="1"/>
  <c r="L10" i="10" s="1"/>
  <c r="D20" i="10"/>
  <c r="G20" i="10" s="1"/>
  <c r="M44" i="25"/>
  <c r="M54" i="25"/>
  <c r="M58" i="25"/>
  <c r="M62" i="25"/>
  <c r="M50" i="25"/>
  <c r="M36" i="25"/>
  <c r="M30" i="25"/>
  <c r="M27" i="25"/>
  <c r="M37" i="25"/>
  <c r="M28" i="25"/>
  <c r="N2" i="25"/>
  <c r="M48" i="25"/>
  <c r="M45" i="25"/>
  <c r="M57" i="25"/>
  <c r="M65" i="25"/>
  <c r="M26" i="25"/>
  <c r="M69" i="25" s="1"/>
  <c r="M51" i="25"/>
  <c r="M55" i="25"/>
  <c r="M59" i="25"/>
  <c r="M63" i="25"/>
  <c r="M46" i="25"/>
  <c r="M31" i="25"/>
  <c r="M38" i="25"/>
  <c r="M33" i="25"/>
  <c r="M42" i="25"/>
  <c r="M34" i="25"/>
  <c r="M52" i="25"/>
  <c r="M56" i="25"/>
  <c r="M60" i="25"/>
  <c r="M64" i="25"/>
  <c r="M35" i="25"/>
  <c r="M39" i="25"/>
  <c r="M40" i="25"/>
  <c r="M41" i="25"/>
  <c r="M53" i="25"/>
  <c r="M61" i="25"/>
  <c r="M32" i="25"/>
  <c r="M47" i="25"/>
  <c r="M29" i="25"/>
  <c r="M49" i="25"/>
  <c r="L72" i="25"/>
  <c r="L106" i="25"/>
  <c r="L75" i="25"/>
  <c r="L99" i="25"/>
  <c r="L4" i="25"/>
  <c r="L5" i="25" s="1"/>
  <c r="L92" i="25"/>
  <c r="L87" i="25"/>
  <c r="L84" i="25"/>
  <c r="L71" i="25"/>
  <c r="L78" i="25"/>
  <c r="L98" i="25"/>
  <c r="L81" i="25"/>
  <c r="L95" i="25"/>
  <c r="L77" i="25"/>
  <c r="L80" i="25"/>
  <c r="L85" i="25"/>
  <c r="L76" i="25"/>
  <c r="L83" i="25"/>
  <c r="L107" i="25"/>
  <c r="L74" i="25"/>
  <c r="L73" i="25"/>
  <c r="L82" i="25"/>
  <c r="L79" i="25"/>
  <c r="L70" i="25"/>
  <c r="L103" i="25"/>
  <c r="L33" i="16"/>
  <c r="L17" i="14"/>
  <c r="L21" i="14"/>
  <c r="L20" i="14"/>
  <c r="L16" i="14"/>
  <c r="L18" i="14"/>
  <c r="J53" i="13"/>
  <c r="L19" i="14"/>
  <c r="L22" i="14"/>
  <c r="AA39" i="13"/>
  <c r="K7" i="13"/>
  <c r="J27" i="13"/>
  <c r="K33" i="13"/>
  <c r="K19" i="13"/>
  <c r="K10" i="13"/>
  <c r="K36" i="13"/>
  <c r="M5" i="13"/>
  <c r="L50" i="13"/>
  <c r="L46" i="13"/>
  <c r="L41" i="13"/>
  <c r="L37" i="13"/>
  <c r="L49" i="13"/>
  <c r="L51" i="13"/>
  <c r="L47" i="13"/>
  <c r="L42" i="13"/>
  <c r="L38" i="13"/>
  <c r="L52" i="13"/>
  <c r="L48" i="13"/>
  <c r="L43" i="13"/>
  <c r="L39" i="13"/>
  <c r="L34" i="13"/>
  <c r="L44" i="13"/>
  <c r="L40" i="13"/>
  <c r="L35" i="13"/>
  <c r="L11" i="13"/>
  <c r="L15" i="13"/>
  <c r="L20" i="13"/>
  <c r="L24" i="13"/>
  <c r="L9" i="13"/>
  <c r="L14" i="13"/>
  <c r="L18" i="13"/>
  <c r="L23" i="13"/>
  <c r="L12" i="13"/>
  <c r="L16" i="13"/>
  <c r="L21" i="13"/>
  <c r="L25" i="13"/>
  <c r="L8" i="13"/>
  <c r="L13" i="13"/>
  <c r="L17" i="13"/>
  <c r="L22" i="13"/>
  <c r="L26" i="13"/>
  <c r="K45" i="13"/>
  <c r="N2" i="14"/>
  <c r="M5" i="14"/>
  <c r="M9" i="14"/>
  <c r="M4" i="14"/>
  <c r="M15" i="14" s="1"/>
  <c r="M8" i="14"/>
  <c r="M7" i="14"/>
  <c r="M11" i="14"/>
  <c r="M6" i="14"/>
  <c r="M10" i="14"/>
  <c r="D14" i="10"/>
  <c r="G6" i="10"/>
  <c r="G11" i="10"/>
  <c r="L8" i="25" l="1"/>
  <c r="M88" i="25"/>
  <c r="M90" i="25"/>
  <c r="M95" i="25"/>
  <c r="M89" i="25"/>
  <c r="M82" i="25"/>
  <c r="M76" i="25"/>
  <c r="D19" i="10"/>
  <c r="G19" i="10" s="1"/>
  <c r="L8" i="10" s="1"/>
  <c r="D24" i="10"/>
  <c r="G24" i="10" s="1"/>
  <c r="L11" i="10" s="1"/>
  <c r="M91" i="25"/>
  <c r="G25" i="10"/>
  <c r="M104" i="25"/>
  <c r="M99" i="25"/>
  <c r="M106" i="25"/>
  <c r="M70" i="25"/>
  <c r="M105" i="25"/>
  <c r="M72" i="25"/>
  <c r="M96" i="25"/>
  <c r="M78" i="25"/>
  <c r="M81" i="25"/>
  <c r="M102" i="25"/>
  <c r="M108" i="25"/>
  <c r="N53" i="25"/>
  <c r="N56" i="25"/>
  <c r="N60" i="25"/>
  <c r="N64" i="25"/>
  <c r="N33" i="25"/>
  <c r="N32" i="25"/>
  <c r="N42" i="25"/>
  <c r="N47" i="25"/>
  <c r="N50" i="25"/>
  <c r="N62" i="25"/>
  <c r="N27" i="25"/>
  <c r="N31" i="25"/>
  <c r="N34" i="25"/>
  <c r="N52" i="25"/>
  <c r="N59" i="25"/>
  <c r="N29" i="25"/>
  <c r="N40" i="25"/>
  <c r="N41" i="25"/>
  <c r="N28" i="25"/>
  <c r="N44" i="25"/>
  <c r="N26" i="25"/>
  <c r="N69" i="25" s="1"/>
  <c r="N57" i="25"/>
  <c r="N61" i="25"/>
  <c r="N65" i="25"/>
  <c r="N37" i="25"/>
  <c r="N36" i="25"/>
  <c r="N49" i="25"/>
  <c r="N30" i="25"/>
  <c r="N35" i="25"/>
  <c r="N51" i="25"/>
  <c r="N54" i="25"/>
  <c r="N58" i="25"/>
  <c r="N46" i="25"/>
  <c r="N38" i="25"/>
  <c r="N45" i="25"/>
  <c r="N55" i="25"/>
  <c r="N63" i="25"/>
  <c r="N48" i="25"/>
  <c r="N39" i="25"/>
  <c r="O2" i="25"/>
  <c r="M73" i="25"/>
  <c r="M101" i="25"/>
  <c r="M7" i="25" s="1"/>
  <c r="M84" i="25"/>
  <c r="M107" i="25"/>
  <c r="M77" i="25"/>
  <c r="M74" i="25"/>
  <c r="M98" i="25"/>
  <c r="M100" i="25"/>
  <c r="M71" i="25"/>
  <c r="M79" i="25"/>
  <c r="M97" i="25"/>
  <c r="M75" i="25"/>
  <c r="M83" i="25"/>
  <c r="M103" i="25"/>
  <c r="M85" i="25"/>
  <c r="M94" i="25"/>
  <c r="M80" i="25"/>
  <c r="M93" i="25"/>
  <c r="M6" i="25" s="1"/>
  <c r="M4" i="25"/>
  <c r="M5" i="25" s="1"/>
  <c r="M92" i="25"/>
  <c r="M87" i="25"/>
  <c r="L7" i="13"/>
  <c r="M21" i="14"/>
  <c r="M17" i="14"/>
  <c r="M22" i="14"/>
  <c r="M18" i="14"/>
  <c r="K53" i="13"/>
  <c r="K27" i="13"/>
  <c r="M19" i="14"/>
  <c r="L33" i="13"/>
  <c r="M20" i="14"/>
  <c r="L19" i="13"/>
  <c r="L36" i="13"/>
  <c r="N5" i="13"/>
  <c r="K66" i="16" s="1"/>
  <c r="E35" i="10" s="1"/>
  <c r="M51" i="13"/>
  <c r="M47" i="13"/>
  <c r="M42" i="13"/>
  <c r="M38" i="13"/>
  <c r="M41" i="13"/>
  <c r="M52" i="13"/>
  <c r="M48" i="13"/>
  <c r="M43" i="13"/>
  <c r="M39" i="13"/>
  <c r="M34" i="13"/>
  <c r="M37" i="13"/>
  <c r="M49" i="13"/>
  <c r="M44" i="13"/>
  <c r="M40" i="13"/>
  <c r="M35" i="13"/>
  <c r="M50" i="13"/>
  <c r="M46" i="13"/>
  <c r="M8" i="13"/>
  <c r="M9" i="13"/>
  <c r="M11" i="13"/>
  <c r="M12" i="13"/>
  <c r="M13" i="13"/>
  <c r="M14" i="13"/>
  <c r="M15" i="13"/>
  <c r="M16" i="13"/>
  <c r="M17" i="13"/>
  <c r="M18" i="13"/>
  <c r="M20" i="13"/>
  <c r="M21" i="13"/>
  <c r="M22" i="13"/>
  <c r="M23" i="13"/>
  <c r="M24" i="13"/>
  <c r="M25" i="13"/>
  <c r="M26" i="13"/>
  <c r="M16" i="14"/>
  <c r="O2" i="14"/>
  <c r="N6" i="14"/>
  <c r="N10" i="14"/>
  <c r="N5" i="14"/>
  <c r="N9" i="14"/>
  <c r="N4" i="14"/>
  <c r="N15" i="14" s="1"/>
  <c r="N8" i="14"/>
  <c r="N11" i="14"/>
  <c r="N7" i="14"/>
  <c r="L10" i="13"/>
  <c r="L45" i="13"/>
  <c r="G14" i="10"/>
  <c r="L12" i="10" l="1"/>
  <c r="D27" i="10"/>
  <c r="G27" i="10" s="1"/>
  <c r="N97" i="25"/>
  <c r="M8" i="25"/>
  <c r="N101" i="25"/>
  <c r="N7" i="25" s="1"/>
  <c r="N78" i="25"/>
  <c r="N106" i="25"/>
  <c r="N98" i="25"/>
  <c r="N89" i="25"/>
  <c r="N108" i="25"/>
  <c r="N93" i="25"/>
  <c r="N6" i="25" s="1"/>
  <c r="N96" i="25"/>
  <c r="N107" i="25"/>
  <c r="N77" i="25"/>
  <c r="O45" i="25"/>
  <c r="O49" i="25"/>
  <c r="O52" i="25"/>
  <c r="O28" i="25"/>
  <c r="O29" i="25"/>
  <c r="O41" i="25"/>
  <c r="O40" i="25"/>
  <c r="O57" i="25"/>
  <c r="O61" i="25"/>
  <c r="O65" i="25"/>
  <c r="P2" i="25"/>
  <c r="O26" i="25"/>
  <c r="O69" i="25" s="1"/>
  <c r="O55" i="25"/>
  <c r="O63" i="25"/>
  <c r="O106" i="25" s="1"/>
  <c r="O51" i="25"/>
  <c r="O44" i="25"/>
  <c r="O32" i="25"/>
  <c r="O56" i="25"/>
  <c r="O64" i="25"/>
  <c r="O46" i="25"/>
  <c r="O50" i="25"/>
  <c r="O53" i="25"/>
  <c r="O30" i="25"/>
  <c r="O33" i="25"/>
  <c r="O35" i="25"/>
  <c r="O54" i="25"/>
  <c r="O97" i="25" s="1"/>
  <c r="O58" i="25"/>
  <c r="O62" i="25"/>
  <c r="O36" i="25"/>
  <c r="O47" i="25"/>
  <c r="O27" i="25"/>
  <c r="O34" i="25"/>
  <c r="O37" i="25"/>
  <c r="O42" i="25"/>
  <c r="O59" i="25"/>
  <c r="O39" i="25"/>
  <c r="O48" i="25"/>
  <c r="O38" i="25"/>
  <c r="O31" i="25"/>
  <c r="O60" i="25"/>
  <c r="N73" i="25"/>
  <c r="N4" i="25"/>
  <c r="N5" i="25" s="1"/>
  <c r="N92" i="25"/>
  <c r="N87" i="25"/>
  <c r="N74" i="25"/>
  <c r="N82" i="25"/>
  <c r="N88" i="25"/>
  <c r="N104" i="25"/>
  <c r="N71" i="25"/>
  <c r="N102" i="25"/>
  <c r="N70" i="25"/>
  <c r="N85" i="25"/>
  <c r="N103" i="25"/>
  <c r="N80" i="25"/>
  <c r="N83" i="25"/>
  <c r="N76" i="25"/>
  <c r="N72" i="25"/>
  <c r="N90" i="25"/>
  <c r="N91" i="25"/>
  <c r="N81" i="25"/>
  <c r="N94" i="25"/>
  <c r="N79" i="25"/>
  <c r="N100" i="25"/>
  <c r="N84" i="25"/>
  <c r="N95" i="25"/>
  <c r="N105" i="25"/>
  <c r="N75" i="25"/>
  <c r="N99" i="25"/>
  <c r="L27" i="13"/>
  <c r="M45" i="13"/>
  <c r="M7" i="13"/>
  <c r="N18" i="14"/>
  <c r="N20" i="14"/>
  <c r="P2" i="14"/>
  <c r="O7" i="14"/>
  <c r="O11" i="14"/>
  <c r="O6" i="14"/>
  <c r="O10" i="14"/>
  <c r="O5" i="14"/>
  <c r="O9" i="14"/>
  <c r="O4" i="14"/>
  <c r="O15" i="14" s="1"/>
  <c r="O8" i="14"/>
  <c r="M19" i="13"/>
  <c r="M10" i="13"/>
  <c r="O5" i="13"/>
  <c r="N52" i="13"/>
  <c r="N48" i="13"/>
  <c r="N43" i="13"/>
  <c r="N39" i="13"/>
  <c r="N34" i="13"/>
  <c r="N49" i="13"/>
  <c r="N44" i="13"/>
  <c r="N40" i="13"/>
  <c r="N35" i="13"/>
  <c r="N51" i="13"/>
  <c r="N47" i="13"/>
  <c r="N42" i="13"/>
  <c r="N38" i="13"/>
  <c r="N50" i="13"/>
  <c r="N46" i="13"/>
  <c r="N41" i="13"/>
  <c r="N37" i="13"/>
  <c r="N8" i="13"/>
  <c r="N9" i="13"/>
  <c r="N11" i="13"/>
  <c r="N12" i="13"/>
  <c r="N13" i="13"/>
  <c r="N14" i="13"/>
  <c r="N15" i="13"/>
  <c r="N16" i="13"/>
  <c r="N17" i="13"/>
  <c r="N18" i="13"/>
  <c r="N20" i="13"/>
  <c r="N21" i="13"/>
  <c r="N22" i="13"/>
  <c r="N23" i="13"/>
  <c r="N24" i="13"/>
  <c r="N25" i="13"/>
  <c r="N26" i="13"/>
  <c r="H71" i="16"/>
  <c r="H70" i="16"/>
  <c r="I70" i="16"/>
  <c r="I69" i="16"/>
  <c r="H66" i="16"/>
  <c r="K70" i="16"/>
  <c r="K69" i="16"/>
  <c r="K65" i="16"/>
  <c r="K67" i="16"/>
  <c r="J67" i="16"/>
  <c r="J65" i="16"/>
  <c r="J66" i="16"/>
  <c r="K64" i="16"/>
  <c r="E33" i="10" s="1"/>
  <c r="J69" i="16"/>
  <c r="I71" i="16"/>
  <c r="I65" i="16"/>
  <c r="J64" i="16"/>
  <c r="H69" i="16"/>
  <c r="H67" i="16"/>
  <c r="J71" i="16"/>
  <c r="K71" i="16"/>
  <c r="I66" i="16"/>
  <c r="C35" i="10" s="1"/>
  <c r="I67" i="16"/>
  <c r="H65" i="16"/>
  <c r="H64" i="16"/>
  <c r="I64" i="16"/>
  <c r="C33" i="10" s="1"/>
  <c r="J70" i="16"/>
  <c r="N17" i="14"/>
  <c r="N22" i="14"/>
  <c r="N16" i="14"/>
  <c r="M36" i="13"/>
  <c r="L53" i="13"/>
  <c r="N19" i="14"/>
  <c r="N21" i="14"/>
  <c r="M33" i="13"/>
  <c r="O89" i="25" l="1"/>
  <c r="N8" i="25"/>
  <c r="O76" i="25"/>
  <c r="O82" i="25"/>
  <c r="O85" i="25"/>
  <c r="O77" i="25"/>
  <c r="O80" i="25"/>
  <c r="O91" i="25"/>
  <c r="O74" i="25"/>
  <c r="O81" i="25"/>
  <c r="O73" i="25"/>
  <c r="O96" i="25"/>
  <c r="O108" i="25"/>
  <c r="O70" i="25"/>
  <c r="O99" i="25"/>
  <c r="O90" i="25"/>
  <c r="O79" i="25"/>
  <c r="O78" i="25"/>
  <c r="O75" i="25"/>
  <c r="O93" i="25"/>
  <c r="O6" i="25" s="1"/>
  <c r="O98" i="25"/>
  <c r="O104" i="25"/>
  <c r="O103" i="25"/>
  <c r="O105" i="25"/>
  <c r="O100" i="25"/>
  <c r="O102" i="25"/>
  <c r="O101" i="25"/>
  <c r="O7" i="25" s="1"/>
  <c r="O107" i="25"/>
  <c r="O94" i="25"/>
  <c r="O83" i="25"/>
  <c r="O95" i="25"/>
  <c r="O84" i="25"/>
  <c r="O72" i="25"/>
  <c r="O88" i="25"/>
  <c r="P45" i="25"/>
  <c r="P49" i="25"/>
  <c r="P31" i="25"/>
  <c r="P27" i="25"/>
  <c r="P51" i="25"/>
  <c r="P36" i="25"/>
  <c r="P29" i="25"/>
  <c r="P55" i="25"/>
  <c r="P59" i="25"/>
  <c r="P63" i="25"/>
  <c r="P60" i="25"/>
  <c r="Q2" i="25"/>
  <c r="P65" i="25"/>
  <c r="P44" i="25"/>
  <c r="P38" i="25"/>
  <c r="P54" i="25"/>
  <c r="P46" i="25"/>
  <c r="P50" i="25"/>
  <c r="P35" i="25"/>
  <c r="P30" i="25"/>
  <c r="P53" i="25"/>
  <c r="P32" i="25"/>
  <c r="P37" i="25"/>
  <c r="P56" i="25"/>
  <c r="P64" i="25"/>
  <c r="P26" i="25"/>
  <c r="P69" i="25" s="1"/>
  <c r="P52" i="25"/>
  <c r="P58" i="25"/>
  <c r="P47" i="25"/>
  <c r="P28" i="25"/>
  <c r="P39" i="25"/>
  <c r="P34" i="25"/>
  <c r="P33" i="25"/>
  <c r="P41" i="25"/>
  <c r="P40" i="25"/>
  <c r="P57" i="25"/>
  <c r="P61" i="25"/>
  <c r="P48" i="25"/>
  <c r="P42" i="25"/>
  <c r="P62" i="25"/>
  <c r="O4" i="25"/>
  <c r="O5" i="25" s="1"/>
  <c r="O87" i="25"/>
  <c r="O92" i="25"/>
  <c r="O71" i="25"/>
  <c r="M27" i="13"/>
  <c r="M53" i="13"/>
  <c r="N7" i="13"/>
  <c r="N36" i="13"/>
  <c r="O19" i="14"/>
  <c r="O20" i="14"/>
  <c r="I68" i="16"/>
  <c r="O16" i="14"/>
  <c r="O18" i="14"/>
  <c r="I63" i="16"/>
  <c r="L67" i="16"/>
  <c r="K68" i="16"/>
  <c r="N33" i="13"/>
  <c r="O21" i="14"/>
  <c r="Q2" i="14"/>
  <c r="P4" i="14"/>
  <c r="P15" i="14" s="1"/>
  <c r="P8" i="14"/>
  <c r="P7" i="14"/>
  <c r="P11" i="14"/>
  <c r="P6" i="14"/>
  <c r="P10" i="14"/>
  <c r="P9" i="14"/>
  <c r="P5" i="14"/>
  <c r="L70" i="16"/>
  <c r="N19" i="13"/>
  <c r="N10" i="13"/>
  <c r="P5" i="13"/>
  <c r="O49" i="13"/>
  <c r="O44" i="13"/>
  <c r="O40" i="13"/>
  <c r="O35" i="13"/>
  <c r="O52" i="13"/>
  <c r="O48" i="13"/>
  <c r="O50" i="13"/>
  <c r="O46" i="13"/>
  <c r="O41" i="13"/>
  <c r="O37" i="13"/>
  <c r="O51" i="13"/>
  <c r="O47" i="13"/>
  <c r="O42" i="13"/>
  <c r="O38" i="13"/>
  <c r="O43" i="13"/>
  <c r="O39" i="13"/>
  <c r="O34" i="13"/>
  <c r="O8" i="13"/>
  <c r="O9" i="13"/>
  <c r="O11" i="13"/>
  <c r="O12" i="13"/>
  <c r="O13" i="13"/>
  <c r="O14" i="13"/>
  <c r="O15" i="13"/>
  <c r="O16" i="13"/>
  <c r="O17" i="13"/>
  <c r="O18" i="13"/>
  <c r="O20" i="13"/>
  <c r="O21" i="13"/>
  <c r="O22" i="13"/>
  <c r="O23" i="13"/>
  <c r="O24" i="13"/>
  <c r="O25" i="13"/>
  <c r="O26" i="13"/>
  <c r="O17" i="14"/>
  <c r="L64" i="16"/>
  <c r="H63" i="16"/>
  <c r="H68" i="16"/>
  <c r="L69" i="16"/>
  <c r="J68" i="16"/>
  <c r="L65" i="16"/>
  <c r="J63" i="16"/>
  <c r="E32" i="10"/>
  <c r="E40" i="10" s="1"/>
  <c r="K63" i="16"/>
  <c r="L66" i="16"/>
  <c r="L71" i="16"/>
  <c r="N45" i="13"/>
  <c r="O22" i="14"/>
  <c r="P91" i="25" l="1"/>
  <c r="P105" i="25"/>
  <c r="P95" i="25"/>
  <c r="P104" i="25"/>
  <c r="P100" i="25"/>
  <c r="P107" i="25"/>
  <c r="P71" i="25"/>
  <c r="P93" i="25"/>
  <c r="P6" i="25" s="1"/>
  <c r="P90" i="25"/>
  <c r="P101" i="25"/>
  <c r="P7" i="25" s="1"/>
  <c r="P97" i="25"/>
  <c r="P99" i="25"/>
  <c r="P84" i="25"/>
  <c r="P106" i="25"/>
  <c r="P96" i="25"/>
  <c r="P76" i="25"/>
  <c r="P89" i="25"/>
  <c r="P108" i="25"/>
  <c r="P102" i="25"/>
  <c r="P94" i="25"/>
  <c r="O8" i="25"/>
  <c r="P103" i="25"/>
  <c r="P98" i="25"/>
  <c r="I72" i="16"/>
  <c r="P77" i="25"/>
  <c r="P73" i="25"/>
  <c r="P70" i="25"/>
  <c r="P85" i="25"/>
  <c r="P83" i="25"/>
  <c r="P82" i="25"/>
  <c r="P80" i="25"/>
  <c r="P78" i="25"/>
  <c r="P81" i="25"/>
  <c r="Q51" i="25"/>
  <c r="Q46" i="25"/>
  <c r="Q54" i="25"/>
  <c r="Q58" i="25"/>
  <c r="Q62" i="25"/>
  <c r="Q32" i="25"/>
  <c r="Q31" i="25"/>
  <c r="Q37" i="25"/>
  <c r="Q30" i="25"/>
  <c r="Q29" i="25"/>
  <c r="R2" i="25"/>
  <c r="Q49" i="25"/>
  <c r="Q61" i="25"/>
  <c r="Q34" i="25"/>
  <c r="Q52" i="25"/>
  <c r="Q47" i="25"/>
  <c r="Q55" i="25"/>
  <c r="Q59" i="25"/>
  <c r="Q63" i="25"/>
  <c r="Q36" i="25"/>
  <c r="Q35" i="25"/>
  <c r="Q39" i="25"/>
  <c r="Q38" i="25"/>
  <c r="Q40" i="25"/>
  <c r="Q45" i="25"/>
  <c r="Q65" i="25"/>
  <c r="Q50" i="25"/>
  <c r="Q53" i="25"/>
  <c r="Q48" i="25"/>
  <c r="Q56" i="25"/>
  <c r="Q60" i="25"/>
  <c r="Q64" i="25"/>
  <c r="Q26" i="25"/>
  <c r="Q69" i="25" s="1"/>
  <c r="Q27" i="25"/>
  <c r="Q33" i="25"/>
  <c r="Q41" i="25"/>
  <c r="Q44" i="25"/>
  <c r="Q57" i="25"/>
  <c r="Q28" i="25"/>
  <c r="Q42" i="25"/>
  <c r="P72" i="25"/>
  <c r="P74" i="25"/>
  <c r="P75" i="25"/>
  <c r="P4" i="25"/>
  <c r="P5" i="25" s="1"/>
  <c r="P87" i="25"/>
  <c r="P92" i="25"/>
  <c r="P79" i="25"/>
  <c r="P88" i="25"/>
  <c r="N53" i="13"/>
  <c r="P17" i="14"/>
  <c r="K72" i="16"/>
  <c r="N27" i="13"/>
  <c r="J72" i="16"/>
  <c r="O10" i="13"/>
  <c r="L68" i="16"/>
  <c r="O7" i="13"/>
  <c r="L63" i="16"/>
  <c r="H72" i="16"/>
  <c r="P16" i="14"/>
  <c r="P22" i="14"/>
  <c r="R2" i="14"/>
  <c r="Q5" i="14"/>
  <c r="Q9" i="14"/>
  <c r="Q4" i="14"/>
  <c r="Q15" i="14" s="1"/>
  <c r="Q8" i="14"/>
  <c r="Q7" i="14"/>
  <c r="Q11" i="14"/>
  <c r="Q6" i="14"/>
  <c r="Q10" i="14"/>
  <c r="O19" i="13"/>
  <c r="O36" i="13"/>
  <c r="P20" i="14"/>
  <c r="P18" i="14"/>
  <c r="C32" i="10"/>
  <c r="O45" i="13"/>
  <c r="Q5" i="13"/>
  <c r="P50" i="13"/>
  <c r="P46" i="13"/>
  <c r="P41" i="13"/>
  <c r="P37" i="13"/>
  <c r="P44" i="13"/>
  <c r="P40" i="13"/>
  <c r="P51" i="13"/>
  <c r="P47" i="13"/>
  <c r="P42" i="13"/>
  <c r="P38" i="13"/>
  <c r="P35" i="13"/>
  <c r="P52" i="13"/>
  <c r="P48" i="13"/>
  <c r="P43" i="13"/>
  <c r="P39" i="13"/>
  <c r="P34" i="13"/>
  <c r="P49" i="13"/>
  <c r="P12" i="13"/>
  <c r="P16" i="13"/>
  <c r="P21" i="13"/>
  <c r="P25" i="13"/>
  <c r="P11" i="13"/>
  <c r="P15" i="13"/>
  <c r="P20" i="13"/>
  <c r="P24" i="13"/>
  <c r="P8" i="13"/>
  <c r="P9" i="13"/>
  <c r="P14" i="13"/>
  <c r="P18" i="13"/>
  <c r="P23" i="13"/>
  <c r="P13" i="13"/>
  <c r="P17" i="13"/>
  <c r="P22" i="13"/>
  <c r="P26" i="13"/>
  <c r="O33" i="13"/>
  <c r="P21" i="14"/>
  <c r="P19" i="14"/>
  <c r="P8" i="25" l="1"/>
  <c r="Q96" i="25"/>
  <c r="Q107" i="25"/>
  <c r="Q85" i="25"/>
  <c r="D35" i="10"/>
  <c r="G35" i="10" s="1"/>
  <c r="D36" i="10"/>
  <c r="G36" i="10" s="1"/>
  <c r="D34" i="10"/>
  <c r="G34" i="10" s="1"/>
  <c r="D33" i="10"/>
  <c r="G33" i="10" s="1"/>
  <c r="D39" i="10"/>
  <c r="G39" i="10" s="1"/>
  <c r="D38" i="10"/>
  <c r="G38" i="10" s="1"/>
  <c r="Q71" i="25"/>
  <c r="Q76" i="25"/>
  <c r="Q84" i="25"/>
  <c r="Q83" i="25"/>
  <c r="Q79" i="25"/>
  <c r="Q90" i="25"/>
  <c r="Q80" i="25"/>
  <c r="Q101" i="25"/>
  <c r="Q7" i="25" s="1"/>
  <c r="Q103" i="25"/>
  <c r="Q93" i="25"/>
  <c r="Q6" i="25" s="1"/>
  <c r="Q81" i="25"/>
  <c r="Q106" i="25"/>
  <c r="Q95" i="25"/>
  <c r="R44" i="25"/>
  <c r="R48" i="25"/>
  <c r="R54" i="25"/>
  <c r="R58" i="25"/>
  <c r="R62" i="25"/>
  <c r="R29" i="25"/>
  <c r="R36" i="25"/>
  <c r="R40" i="25"/>
  <c r="R53" i="25"/>
  <c r="R42" i="25"/>
  <c r="S2" i="25"/>
  <c r="R45" i="25"/>
  <c r="R49" i="25"/>
  <c r="R55" i="25"/>
  <c r="R59" i="25"/>
  <c r="R63" i="25"/>
  <c r="R33" i="25"/>
  <c r="R28" i="25"/>
  <c r="R52" i="25"/>
  <c r="R27" i="25"/>
  <c r="R30" i="25"/>
  <c r="R34" i="25"/>
  <c r="R41" i="25"/>
  <c r="R26" i="25"/>
  <c r="R69" i="25" s="1"/>
  <c r="R61" i="25"/>
  <c r="R32" i="25"/>
  <c r="R51" i="25"/>
  <c r="R31" i="25"/>
  <c r="R46" i="25"/>
  <c r="R50" i="25"/>
  <c r="R56" i="25"/>
  <c r="R60" i="25"/>
  <c r="R64" i="25"/>
  <c r="R37" i="25"/>
  <c r="R35" i="25"/>
  <c r="R38" i="25"/>
  <c r="R47" i="25"/>
  <c r="R57" i="25"/>
  <c r="R65" i="25"/>
  <c r="R39" i="25"/>
  <c r="Q74" i="25"/>
  <c r="Q97" i="25"/>
  <c r="Q100" i="25"/>
  <c r="Q70" i="25"/>
  <c r="Q99" i="25"/>
  <c r="Q108" i="25"/>
  <c r="Q82" i="25"/>
  <c r="Q102" i="25"/>
  <c r="Q77" i="25"/>
  <c r="Q72" i="25"/>
  <c r="Q75" i="25"/>
  <c r="Q89" i="25"/>
  <c r="Q4" i="25"/>
  <c r="Q5" i="25" s="1"/>
  <c r="Q92" i="25"/>
  <c r="Q87" i="25"/>
  <c r="Q91" i="25"/>
  <c r="Q88" i="25"/>
  <c r="Q78" i="25"/>
  <c r="Q98" i="25"/>
  <c r="Q104" i="25"/>
  <c r="Q73" i="25"/>
  <c r="Q105" i="25"/>
  <c r="Q94" i="25"/>
  <c r="Q17" i="14"/>
  <c r="L72" i="16"/>
  <c r="P7" i="13"/>
  <c r="P33" i="13"/>
  <c r="O27" i="13"/>
  <c r="O53" i="13"/>
  <c r="C40" i="10"/>
  <c r="P19" i="13"/>
  <c r="P36" i="13"/>
  <c r="R5" i="13"/>
  <c r="Q51" i="13"/>
  <c r="Q47" i="13"/>
  <c r="Q42" i="13"/>
  <c r="Q38" i="13"/>
  <c r="Q37" i="13"/>
  <c r="Q52" i="13"/>
  <c r="Q48" i="13"/>
  <c r="Q43" i="13"/>
  <c r="Q39" i="13"/>
  <c r="Q34" i="13"/>
  <c r="Q50" i="13"/>
  <c r="Q46" i="13"/>
  <c r="Q41" i="13"/>
  <c r="Q49" i="13"/>
  <c r="Q44" i="13"/>
  <c r="Q40" i="13"/>
  <c r="Q35" i="13"/>
  <c r="Q8" i="13"/>
  <c r="Q9" i="13"/>
  <c r="Q11" i="13"/>
  <c r="Q12" i="13"/>
  <c r="Q13" i="13"/>
  <c r="Q14" i="13"/>
  <c r="Q15" i="13"/>
  <c r="Q16" i="13"/>
  <c r="Q17" i="13"/>
  <c r="Q18" i="13"/>
  <c r="Q20" i="13"/>
  <c r="Q21" i="13"/>
  <c r="Q22" i="13"/>
  <c r="Q23" i="13"/>
  <c r="Q24" i="13"/>
  <c r="Q25" i="13"/>
  <c r="Q26" i="13"/>
  <c r="Q22" i="14"/>
  <c r="Q20" i="14"/>
  <c r="Q18" i="14"/>
  <c r="Q16" i="14"/>
  <c r="P10" i="13"/>
  <c r="P45" i="13"/>
  <c r="Q21" i="14"/>
  <c r="Q19" i="14"/>
  <c r="S2" i="14"/>
  <c r="R6" i="14"/>
  <c r="R10" i="14"/>
  <c r="R5" i="14"/>
  <c r="R9" i="14"/>
  <c r="R4" i="14"/>
  <c r="R15" i="14" s="1"/>
  <c r="R8" i="14"/>
  <c r="R11" i="14"/>
  <c r="R7" i="14"/>
  <c r="R90" i="25" l="1"/>
  <c r="R104" i="25"/>
  <c r="R100" i="25"/>
  <c r="R91" i="25"/>
  <c r="R82" i="25"/>
  <c r="R107" i="25"/>
  <c r="R103" i="25"/>
  <c r="R93" i="25"/>
  <c r="R6" i="25" s="1"/>
  <c r="R89" i="25"/>
  <c r="R106" i="25"/>
  <c r="R88" i="25"/>
  <c r="R108" i="25"/>
  <c r="R99" i="25"/>
  <c r="R98" i="25"/>
  <c r="R81" i="25"/>
  <c r="R74" i="25"/>
  <c r="D32" i="10"/>
  <c r="G32" i="10" s="1"/>
  <c r="R80" i="25"/>
  <c r="Q8" i="25"/>
  <c r="R75" i="25"/>
  <c r="R77" i="25"/>
  <c r="R71" i="25"/>
  <c r="R85" i="25"/>
  <c r="R72" i="25"/>
  <c r="R73" i="25"/>
  <c r="R76" i="25"/>
  <c r="R96" i="25"/>
  <c r="R105" i="25"/>
  <c r="R4" i="25"/>
  <c r="R5" i="25" s="1"/>
  <c r="R92" i="25"/>
  <c r="R87" i="25"/>
  <c r="R70" i="25"/>
  <c r="R83" i="25"/>
  <c r="R101" i="25"/>
  <c r="R7" i="25" s="1"/>
  <c r="R78" i="25"/>
  <c r="R94" i="25"/>
  <c r="R84" i="25"/>
  <c r="R95" i="25"/>
  <c r="R102" i="25"/>
  <c r="S48" i="25"/>
  <c r="S51" i="25"/>
  <c r="S26" i="25"/>
  <c r="S69" i="25" s="1"/>
  <c r="S57" i="25"/>
  <c r="S61" i="25"/>
  <c r="S65" i="25"/>
  <c r="S29" i="25"/>
  <c r="S41" i="25"/>
  <c r="S40" i="25"/>
  <c r="S44" i="25"/>
  <c r="S60" i="25"/>
  <c r="S36" i="25"/>
  <c r="T2" i="25"/>
  <c r="S45" i="25"/>
  <c r="S49" i="25"/>
  <c r="S52" i="25"/>
  <c r="S54" i="25"/>
  <c r="S58" i="25"/>
  <c r="S62" i="25"/>
  <c r="S30" i="25"/>
  <c r="S33" i="25"/>
  <c r="S28" i="25"/>
  <c r="S32" i="25"/>
  <c r="S63" i="25"/>
  <c r="S37" i="25"/>
  <c r="S31" i="25"/>
  <c r="X2" i="25"/>
  <c r="S47" i="25"/>
  <c r="S64" i="25"/>
  <c r="S39" i="25"/>
  <c r="S46" i="25"/>
  <c r="S50" i="25"/>
  <c r="S53" i="25"/>
  <c r="S55" i="25"/>
  <c r="S59" i="25"/>
  <c r="S34" i="25"/>
  <c r="S35" i="25"/>
  <c r="S27" i="25"/>
  <c r="S56" i="25"/>
  <c r="S38" i="25"/>
  <c r="S42" i="25"/>
  <c r="R79" i="25"/>
  <c r="R97" i="25"/>
  <c r="Q7" i="13"/>
  <c r="P53" i="13"/>
  <c r="P27" i="13"/>
  <c r="R22" i="14"/>
  <c r="R16" i="14"/>
  <c r="Q45" i="13"/>
  <c r="D37" i="10"/>
  <c r="G37" i="10" s="1"/>
  <c r="Q10" i="13"/>
  <c r="S5" i="13"/>
  <c r="K79" i="16" s="1"/>
  <c r="E48" i="10" s="1"/>
  <c r="R52" i="13"/>
  <c r="R48" i="13"/>
  <c r="R43" i="13"/>
  <c r="R39" i="13"/>
  <c r="R34" i="13"/>
  <c r="R51" i="13"/>
  <c r="R47" i="13"/>
  <c r="R49" i="13"/>
  <c r="R44" i="13"/>
  <c r="R40" i="13"/>
  <c r="R35" i="13"/>
  <c r="R50" i="13"/>
  <c r="R46" i="13"/>
  <c r="R41" i="13"/>
  <c r="R37" i="13"/>
  <c r="R42" i="13"/>
  <c r="R38" i="13"/>
  <c r="R8" i="13"/>
  <c r="R9" i="13"/>
  <c r="R11" i="13"/>
  <c r="R12" i="13"/>
  <c r="R13" i="13"/>
  <c r="R14" i="13"/>
  <c r="R15" i="13"/>
  <c r="R16" i="13"/>
  <c r="R17" i="13"/>
  <c r="R18" i="13"/>
  <c r="R20" i="13"/>
  <c r="R21" i="13"/>
  <c r="R22" i="13"/>
  <c r="R23" i="13"/>
  <c r="R24" i="13"/>
  <c r="R25" i="13"/>
  <c r="R26" i="13"/>
  <c r="R19" i="14"/>
  <c r="R21" i="14"/>
  <c r="R17" i="14"/>
  <c r="Q33" i="13"/>
  <c r="Q19" i="13"/>
  <c r="R18" i="14"/>
  <c r="R20" i="14"/>
  <c r="T2" i="14"/>
  <c r="S7" i="14"/>
  <c r="S11" i="14"/>
  <c r="S5" i="14"/>
  <c r="S9" i="14"/>
  <c r="S10" i="14"/>
  <c r="S4" i="14"/>
  <c r="S15" i="14" s="1"/>
  <c r="S8" i="14"/>
  <c r="S6" i="14"/>
  <c r="Q36" i="13"/>
  <c r="S99" i="25" l="1"/>
  <c r="R8" i="25"/>
  <c r="S89" i="25"/>
  <c r="S90" i="25"/>
  <c r="S102" i="25"/>
  <c r="S75" i="25"/>
  <c r="S88" i="25"/>
  <c r="S105" i="25"/>
  <c r="S72" i="25"/>
  <c r="S81" i="25"/>
  <c r="S77" i="25"/>
  <c r="S93" i="25"/>
  <c r="S6" i="25" s="1"/>
  <c r="S73" i="25"/>
  <c r="S70" i="25"/>
  <c r="S82" i="25"/>
  <c r="S85" i="25"/>
  <c r="S78" i="25"/>
  <c r="S96" i="25"/>
  <c r="S107" i="25"/>
  <c r="S80" i="25"/>
  <c r="S76" i="25"/>
  <c r="S106" i="25"/>
  <c r="S79" i="25"/>
  <c r="S84" i="25"/>
  <c r="S95" i="25"/>
  <c r="S100" i="25"/>
  <c r="S97" i="25"/>
  <c r="X50" i="25"/>
  <c r="X45" i="25"/>
  <c r="X31" i="25"/>
  <c r="X34" i="25"/>
  <c r="X42" i="25"/>
  <c r="X56" i="25"/>
  <c r="X60" i="25"/>
  <c r="X64" i="25"/>
  <c r="X46" i="25"/>
  <c r="X27" i="25"/>
  <c r="AC2" i="25"/>
  <c r="X49" i="25"/>
  <c r="X54" i="25"/>
  <c r="X58" i="25"/>
  <c r="X37" i="25"/>
  <c r="X30" i="25"/>
  <c r="X55" i="25"/>
  <c r="X63" i="25"/>
  <c r="Y2" i="25"/>
  <c r="X51" i="25"/>
  <c r="X47" i="25"/>
  <c r="X35" i="25"/>
  <c r="X38" i="25"/>
  <c r="X28" i="25"/>
  <c r="X57" i="25"/>
  <c r="X61" i="25"/>
  <c r="X65" i="25"/>
  <c r="X29" i="25"/>
  <c r="X36" i="25"/>
  <c r="X52" i="25"/>
  <c r="X39" i="25"/>
  <c r="X48" i="25"/>
  <c r="X62" i="25"/>
  <c r="X32" i="25"/>
  <c r="X33" i="25"/>
  <c r="X59" i="25"/>
  <c r="X102" i="25" s="1"/>
  <c r="X41" i="25"/>
  <c r="X40" i="25"/>
  <c r="X44" i="25"/>
  <c r="X53" i="25"/>
  <c r="X26" i="25"/>
  <c r="X69" i="25" s="1"/>
  <c r="S103" i="25"/>
  <c r="S98" i="25"/>
  <c r="S74" i="25"/>
  <c r="S71" i="25"/>
  <c r="S101" i="25"/>
  <c r="S4" i="25"/>
  <c r="S5" i="25" s="1"/>
  <c r="S87" i="25"/>
  <c r="S92" i="25"/>
  <c r="S108" i="25"/>
  <c r="S94" i="25"/>
  <c r="T44" i="25"/>
  <c r="T47" i="25"/>
  <c r="T51" i="25"/>
  <c r="T31" i="25"/>
  <c r="T55" i="25"/>
  <c r="T59" i="25"/>
  <c r="T63" i="25"/>
  <c r="T34" i="25"/>
  <c r="T37" i="25"/>
  <c r="T33" i="25"/>
  <c r="T26" i="25"/>
  <c r="T69" i="25" s="1"/>
  <c r="U2" i="25"/>
  <c r="T28" i="25"/>
  <c r="T48" i="25"/>
  <c r="T52" i="25"/>
  <c r="T35" i="25"/>
  <c r="T56" i="25"/>
  <c r="T60" i="25"/>
  <c r="T64" i="25"/>
  <c r="T38" i="25"/>
  <c r="T42" i="25"/>
  <c r="T40" i="25"/>
  <c r="T57" i="25"/>
  <c r="T61" i="25"/>
  <c r="T65" i="25"/>
  <c r="T36" i="25"/>
  <c r="T32" i="25"/>
  <c r="T45" i="25"/>
  <c r="T49" i="25"/>
  <c r="T53" i="25"/>
  <c r="T39" i="25"/>
  <c r="T46" i="25"/>
  <c r="T50" i="25"/>
  <c r="T27" i="25"/>
  <c r="T54" i="25"/>
  <c r="T58" i="25"/>
  <c r="T62" i="25"/>
  <c r="T30" i="25"/>
  <c r="T29" i="25"/>
  <c r="T41" i="25"/>
  <c r="S83" i="25"/>
  <c r="S104" i="25"/>
  <c r="S91" i="25"/>
  <c r="D40" i="10"/>
  <c r="G40" i="10" s="1"/>
  <c r="R7" i="13"/>
  <c r="Q53" i="13"/>
  <c r="Q27" i="13"/>
  <c r="S19" i="14"/>
  <c r="S16" i="14"/>
  <c r="S22" i="14"/>
  <c r="R45" i="13"/>
  <c r="R33" i="13"/>
  <c r="S21" i="14"/>
  <c r="S18" i="14"/>
  <c r="R19" i="13"/>
  <c r="R10" i="13"/>
  <c r="T5" i="13"/>
  <c r="K92" i="16" s="1"/>
  <c r="E61" i="10" s="1"/>
  <c r="S49" i="13"/>
  <c r="S44" i="13"/>
  <c r="S40" i="13"/>
  <c r="S35" i="13"/>
  <c r="S43" i="13"/>
  <c r="S39" i="13"/>
  <c r="S50" i="13"/>
  <c r="S46" i="13"/>
  <c r="S41" i="13"/>
  <c r="S37" i="13"/>
  <c r="S51" i="13"/>
  <c r="S47" i="13"/>
  <c r="S42" i="13"/>
  <c r="S38" i="13"/>
  <c r="S52" i="13"/>
  <c r="S48" i="13"/>
  <c r="S34" i="13"/>
  <c r="J78" i="16"/>
  <c r="H80" i="16"/>
  <c r="I77" i="16"/>
  <c r="C46" i="10" s="1"/>
  <c r="J77" i="16"/>
  <c r="H77" i="16"/>
  <c r="S22" i="13"/>
  <c r="J82" i="16"/>
  <c r="S11" i="13"/>
  <c r="J79" i="16"/>
  <c r="S26" i="13"/>
  <c r="S8" i="13"/>
  <c r="J83" i="16"/>
  <c r="H82" i="16"/>
  <c r="S16" i="13"/>
  <c r="S17" i="13"/>
  <c r="I84" i="16"/>
  <c r="J80" i="16"/>
  <c r="I78" i="16"/>
  <c r="I79" i="16"/>
  <c r="C48" i="10" s="1"/>
  <c r="K84" i="16"/>
  <c r="S25" i="13"/>
  <c r="K82" i="16"/>
  <c r="S9" i="13"/>
  <c r="K80" i="16"/>
  <c r="S12" i="13"/>
  <c r="S14" i="13"/>
  <c r="I80" i="16"/>
  <c r="S18" i="13"/>
  <c r="S24" i="13"/>
  <c r="H78" i="16"/>
  <c r="H83" i="16"/>
  <c r="H84" i="16"/>
  <c r="S20" i="13"/>
  <c r="K83" i="16"/>
  <c r="K78" i="16"/>
  <c r="S13" i="13"/>
  <c r="K77" i="16"/>
  <c r="E46" i="10" s="1"/>
  <c r="S15" i="13"/>
  <c r="S21" i="13"/>
  <c r="H79" i="16"/>
  <c r="J84" i="16"/>
  <c r="I82" i="16"/>
  <c r="I83" i="16"/>
  <c r="S23" i="13"/>
  <c r="S17" i="14"/>
  <c r="S20" i="14"/>
  <c r="U2" i="14"/>
  <c r="T7" i="14"/>
  <c r="T11" i="14"/>
  <c r="T4" i="14"/>
  <c r="T15" i="14" s="1"/>
  <c r="T8" i="14"/>
  <c r="T5" i="14"/>
  <c r="T10" i="14"/>
  <c r="T9" i="14"/>
  <c r="T6" i="14"/>
  <c r="R36" i="13"/>
  <c r="T89" i="25" l="1"/>
  <c r="J17" i="25"/>
  <c r="J16" i="25"/>
  <c r="X105" i="25"/>
  <c r="J13" i="25"/>
  <c r="AL34" i="13"/>
  <c r="T105" i="25"/>
  <c r="X96" i="25"/>
  <c r="T93" i="25"/>
  <c r="T6" i="25" s="1"/>
  <c r="T82" i="25"/>
  <c r="X94" i="25"/>
  <c r="J18" i="25"/>
  <c r="T72" i="25"/>
  <c r="T75" i="25"/>
  <c r="T91" i="25"/>
  <c r="T88" i="25"/>
  <c r="T96" i="25"/>
  <c r="T103" i="25"/>
  <c r="T90" i="25"/>
  <c r="X100" i="25"/>
  <c r="X98" i="25"/>
  <c r="X97" i="25"/>
  <c r="T97" i="25"/>
  <c r="T101" i="25"/>
  <c r="T7" i="25" s="1"/>
  <c r="T100" i="25"/>
  <c r="T107" i="25"/>
  <c r="J14" i="25"/>
  <c r="X108" i="25"/>
  <c r="T84" i="25"/>
  <c r="X95" i="25"/>
  <c r="X104" i="25"/>
  <c r="X106" i="25"/>
  <c r="X101" i="25"/>
  <c r="X7" i="25" s="1"/>
  <c r="T104" i="25"/>
  <c r="T81" i="25"/>
  <c r="T78" i="25"/>
  <c r="T77" i="25"/>
  <c r="T74" i="25"/>
  <c r="X76" i="25"/>
  <c r="X82" i="25"/>
  <c r="X81" i="25"/>
  <c r="X80" i="25"/>
  <c r="X103" i="25"/>
  <c r="X74" i="25"/>
  <c r="T95" i="25"/>
  <c r="T106" i="25"/>
  <c r="T94" i="25"/>
  <c r="X83" i="25"/>
  <c r="X75" i="25"/>
  <c r="X99" i="25"/>
  <c r="X4" i="25"/>
  <c r="X5" i="25" s="1"/>
  <c r="X87" i="25"/>
  <c r="X92" i="25"/>
  <c r="X78" i="25"/>
  <c r="X70" i="25"/>
  <c r="X88" i="25"/>
  <c r="U44" i="25"/>
  <c r="U45" i="25"/>
  <c r="U49" i="25"/>
  <c r="U53" i="25"/>
  <c r="U57" i="25"/>
  <c r="U61" i="25"/>
  <c r="U65" i="25"/>
  <c r="U27" i="25"/>
  <c r="U38" i="25"/>
  <c r="U29" i="25"/>
  <c r="U46" i="25"/>
  <c r="U50" i="25"/>
  <c r="U54" i="25"/>
  <c r="U58" i="25"/>
  <c r="U62" i="25"/>
  <c r="U28" i="25"/>
  <c r="U31" i="25"/>
  <c r="U41" i="25"/>
  <c r="U37" i="25"/>
  <c r="U33" i="25"/>
  <c r="V2" i="25"/>
  <c r="U56" i="25"/>
  <c r="U64" i="25"/>
  <c r="U26" i="25"/>
  <c r="U69" i="25" s="1"/>
  <c r="Z2" i="25"/>
  <c r="U47" i="25"/>
  <c r="U51" i="25"/>
  <c r="U55" i="25"/>
  <c r="U59" i="25"/>
  <c r="U63" i="25"/>
  <c r="U32" i="25"/>
  <c r="U35" i="25"/>
  <c r="U40" i="25"/>
  <c r="U42" i="25"/>
  <c r="U48" i="25"/>
  <c r="U52" i="25"/>
  <c r="U60" i="25"/>
  <c r="U36" i="25"/>
  <c r="U30" i="25"/>
  <c r="U34" i="25"/>
  <c r="U39" i="25"/>
  <c r="Y44" i="25"/>
  <c r="Y53" i="25"/>
  <c r="Y57" i="25"/>
  <c r="Y61" i="25"/>
  <c r="Y65" i="25"/>
  <c r="Y36" i="25"/>
  <c r="Y26" i="25"/>
  <c r="Y69" i="25" s="1"/>
  <c r="Y46" i="25"/>
  <c r="Y39" i="25"/>
  <c r="Y50" i="25"/>
  <c r="Y54" i="25"/>
  <c r="Y58" i="25"/>
  <c r="Y62" i="25"/>
  <c r="Y27" i="25"/>
  <c r="Y45" i="25"/>
  <c r="Y31" i="25"/>
  <c r="Y29" i="25"/>
  <c r="Y42" i="25"/>
  <c r="Y37" i="25"/>
  <c r="Y51" i="25"/>
  <c r="Y55" i="25"/>
  <c r="Y59" i="25"/>
  <c r="Y63" i="25"/>
  <c r="Y28" i="25"/>
  <c r="Y47" i="25"/>
  <c r="Y90" i="25" s="1"/>
  <c r="Y35" i="25"/>
  <c r="Y48" i="25"/>
  <c r="Y30" i="25"/>
  <c r="Y40" i="25"/>
  <c r="AD2" i="25"/>
  <c r="Y52" i="25"/>
  <c r="Y56" i="25"/>
  <c r="Y60" i="25"/>
  <c r="Y64" i="25"/>
  <c r="Y32" i="25"/>
  <c r="Y49" i="25"/>
  <c r="Y34" i="25"/>
  <c r="Y33" i="25"/>
  <c r="Y38" i="25"/>
  <c r="Y41" i="25"/>
  <c r="AC52" i="25"/>
  <c r="AC47" i="25"/>
  <c r="AC55" i="25"/>
  <c r="AC59" i="25"/>
  <c r="AC63" i="25"/>
  <c r="AC32" i="25"/>
  <c r="AC30" i="25"/>
  <c r="AC33" i="25"/>
  <c r="AC37" i="25"/>
  <c r="AC44" i="25"/>
  <c r="AC53" i="25"/>
  <c r="AC48" i="25"/>
  <c r="AC56" i="25"/>
  <c r="AC60" i="25"/>
  <c r="AC64" i="25"/>
  <c r="AC36" i="25"/>
  <c r="AC38" i="25"/>
  <c r="AC40" i="25"/>
  <c r="AC42" i="25"/>
  <c r="AC50" i="25"/>
  <c r="AC45" i="25"/>
  <c r="AC49" i="25"/>
  <c r="AC57" i="25"/>
  <c r="AC61" i="25"/>
  <c r="AC65" i="25"/>
  <c r="AC31" i="25"/>
  <c r="AC39" i="25"/>
  <c r="AC27" i="25"/>
  <c r="AC34" i="25"/>
  <c r="AH2" i="25"/>
  <c r="AC51" i="25"/>
  <c r="AC46" i="25"/>
  <c r="AC54" i="25"/>
  <c r="AC58" i="25"/>
  <c r="AC101" i="25" s="1"/>
  <c r="AC7" i="25" s="1"/>
  <c r="AC62" i="25"/>
  <c r="AC28" i="25"/>
  <c r="AC35" i="25"/>
  <c r="AC41" i="25"/>
  <c r="AC29" i="25"/>
  <c r="AC26" i="25"/>
  <c r="AC69" i="25" s="1"/>
  <c r="T73" i="25"/>
  <c r="T70" i="25"/>
  <c r="T79" i="25"/>
  <c r="T83" i="25"/>
  <c r="T76" i="25"/>
  <c r="T102" i="25"/>
  <c r="J15" i="25"/>
  <c r="S7" i="25"/>
  <c r="S8" i="25" s="1"/>
  <c r="X84" i="25"/>
  <c r="X79" i="25"/>
  <c r="X90" i="25"/>
  <c r="X89" i="25"/>
  <c r="X85" i="25"/>
  <c r="X93" i="25"/>
  <c r="X6" i="25" s="1"/>
  <c r="T108" i="25"/>
  <c r="T85" i="25"/>
  <c r="T99" i="25"/>
  <c r="T71" i="25"/>
  <c r="T80" i="25"/>
  <c r="T98" i="25"/>
  <c r="T4" i="25"/>
  <c r="T5" i="25" s="1"/>
  <c r="T87" i="25"/>
  <c r="T92" i="25"/>
  <c r="X91" i="25"/>
  <c r="X72" i="25"/>
  <c r="X71" i="25"/>
  <c r="X73" i="25"/>
  <c r="X107" i="25"/>
  <c r="X77" i="25"/>
  <c r="T20" i="14"/>
  <c r="AA17" i="14"/>
  <c r="I81" i="16"/>
  <c r="L79" i="16"/>
  <c r="S33" i="13"/>
  <c r="AG33" i="13" s="1"/>
  <c r="T21" i="14"/>
  <c r="T22" i="14"/>
  <c r="T16" i="14"/>
  <c r="T18" i="14"/>
  <c r="L84" i="16"/>
  <c r="R27" i="13"/>
  <c r="T17" i="14"/>
  <c r="AA19" i="14"/>
  <c r="H76" i="16"/>
  <c r="L77" i="16"/>
  <c r="S36" i="13"/>
  <c r="AB33" i="13" s="1"/>
  <c r="R53" i="13"/>
  <c r="T19" i="14"/>
  <c r="V2" i="14"/>
  <c r="U7" i="14"/>
  <c r="U11" i="14"/>
  <c r="U6" i="14"/>
  <c r="U4" i="14"/>
  <c r="U15" i="14" s="1"/>
  <c r="U8" i="14"/>
  <c r="U5" i="14"/>
  <c r="U9" i="14"/>
  <c r="U10" i="14"/>
  <c r="S10" i="13"/>
  <c r="J76" i="16"/>
  <c r="AA18" i="14"/>
  <c r="H81" i="16"/>
  <c r="L82" i="16"/>
  <c r="L83" i="16"/>
  <c r="S7" i="13"/>
  <c r="J81" i="16"/>
  <c r="I76" i="16"/>
  <c r="AL33" i="13"/>
  <c r="S45" i="13"/>
  <c r="U5" i="13"/>
  <c r="T44" i="13"/>
  <c r="T46" i="13"/>
  <c r="T42" i="13"/>
  <c r="T43" i="13"/>
  <c r="J97" i="16"/>
  <c r="I90" i="16"/>
  <c r="C59" i="10" s="1"/>
  <c r="J91" i="16"/>
  <c r="K93" i="16"/>
  <c r="I96" i="16"/>
  <c r="T17" i="13"/>
  <c r="H91" i="16"/>
  <c r="H90" i="16"/>
  <c r="T12" i="13"/>
  <c r="H96" i="16"/>
  <c r="T18" i="13"/>
  <c r="T15" i="13"/>
  <c r="T35" i="13"/>
  <c r="T47" i="13"/>
  <c r="I97" i="16"/>
  <c r="K91" i="16"/>
  <c r="H95" i="16"/>
  <c r="H93" i="16"/>
  <c r="H92" i="16"/>
  <c r="T13" i="13"/>
  <c r="T40" i="13"/>
  <c r="T41" i="13"/>
  <c r="T38" i="13"/>
  <c r="T52" i="13"/>
  <c r="J92" i="16"/>
  <c r="K97" i="16"/>
  <c r="K90" i="16"/>
  <c r="E59" i="10" s="1"/>
  <c r="J95" i="16"/>
  <c r="J90" i="16"/>
  <c r="T21" i="13"/>
  <c r="J96" i="16"/>
  <c r="T23" i="13"/>
  <c r="T11" i="13"/>
  <c r="T22" i="13"/>
  <c r="T25" i="13"/>
  <c r="T39" i="13"/>
  <c r="T14" i="13"/>
  <c r="T16" i="13"/>
  <c r="T34" i="13"/>
  <c r="T37" i="13"/>
  <c r="T51" i="13"/>
  <c r="T48" i="13"/>
  <c r="K95" i="16"/>
  <c r="I91" i="16"/>
  <c r="I95" i="16"/>
  <c r="I93" i="16"/>
  <c r="I92" i="16"/>
  <c r="C61" i="10" s="1"/>
  <c r="T20" i="13"/>
  <c r="H97" i="16"/>
  <c r="T26" i="13"/>
  <c r="J93" i="16"/>
  <c r="T24" i="13"/>
  <c r="T9" i="13"/>
  <c r="T49" i="13"/>
  <c r="T50" i="13"/>
  <c r="K96" i="16"/>
  <c r="T8" i="13"/>
  <c r="E45" i="10"/>
  <c r="E53" i="10" s="1"/>
  <c r="K76" i="16"/>
  <c r="S19" i="13"/>
  <c r="L78" i="16"/>
  <c r="K81" i="16"/>
  <c r="L80" i="16"/>
  <c r="AL35" i="13" l="1"/>
  <c r="Y80" i="25"/>
  <c r="T8" i="25"/>
  <c r="J102" i="16"/>
  <c r="U98" i="25"/>
  <c r="J19" i="25"/>
  <c r="X8" i="25"/>
  <c r="U105" i="25"/>
  <c r="U106" i="25"/>
  <c r="U95" i="25"/>
  <c r="U94" i="25"/>
  <c r="Y85" i="25"/>
  <c r="U107" i="25"/>
  <c r="Y83" i="25"/>
  <c r="U108" i="25"/>
  <c r="Y81" i="25"/>
  <c r="U78" i="25"/>
  <c r="Y76" i="25"/>
  <c r="Y78" i="25"/>
  <c r="Y70" i="25"/>
  <c r="U75" i="25"/>
  <c r="Y77" i="25"/>
  <c r="Y75" i="25"/>
  <c r="U77" i="25"/>
  <c r="U73" i="25"/>
  <c r="Y91" i="25"/>
  <c r="U93" i="25"/>
  <c r="U6" i="25" s="1"/>
  <c r="Y72" i="25"/>
  <c r="U79" i="25"/>
  <c r="U85" i="25"/>
  <c r="U99" i="25"/>
  <c r="U101" i="25"/>
  <c r="U7" i="25" s="1"/>
  <c r="AC89" i="25"/>
  <c r="Y84" i="25"/>
  <c r="Y73" i="25"/>
  <c r="Y71" i="25"/>
  <c r="U82" i="25"/>
  <c r="U103" i="25"/>
  <c r="U102" i="25"/>
  <c r="U97" i="25"/>
  <c r="U100" i="25"/>
  <c r="AC104" i="25"/>
  <c r="AC93" i="25"/>
  <c r="AC6" i="25" s="1"/>
  <c r="AC8" i="25" s="1"/>
  <c r="AC91" i="25"/>
  <c r="Y74" i="25"/>
  <c r="U83" i="25"/>
  <c r="U74" i="25"/>
  <c r="U81" i="25"/>
  <c r="Y88" i="25"/>
  <c r="Y79" i="25"/>
  <c r="AC71" i="25"/>
  <c r="AC102" i="25"/>
  <c r="Y89" i="25"/>
  <c r="AC70" i="25"/>
  <c r="AC79" i="25"/>
  <c r="AC76" i="25"/>
  <c r="Y94" i="25"/>
  <c r="Y101" i="25"/>
  <c r="Y7" i="25" s="1"/>
  <c r="Y104" i="25"/>
  <c r="Z45" i="25"/>
  <c r="Z49" i="25"/>
  <c r="Z52" i="25"/>
  <c r="Z56" i="25"/>
  <c r="Z60" i="25"/>
  <c r="Z64" i="25"/>
  <c r="Z37" i="25"/>
  <c r="Z36" i="25"/>
  <c r="Z30" i="25"/>
  <c r="Z42" i="25"/>
  <c r="AA2" i="25"/>
  <c r="Z34" i="25"/>
  <c r="AE2" i="25"/>
  <c r="Z50" i="25"/>
  <c r="Z93" i="25" s="1"/>
  <c r="Z6" i="25" s="1"/>
  <c r="Z46" i="25"/>
  <c r="Z26" i="25"/>
  <c r="Z69" i="25" s="1"/>
  <c r="Z53" i="25"/>
  <c r="Z57" i="25"/>
  <c r="Z61" i="25"/>
  <c r="Z65" i="25"/>
  <c r="Z27" i="25"/>
  <c r="Z44" i="25"/>
  <c r="Z38" i="25"/>
  <c r="Z47" i="25"/>
  <c r="Z48" i="25"/>
  <c r="Z51" i="25"/>
  <c r="Z55" i="25"/>
  <c r="Z59" i="25"/>
  <c r="Z63" i="25"/>
  <c r="Z33" i="25"/>
  <c r="Z32" i="25"/>
  <c r="Z40" i="25"/>
  <c r="Z39" i="25"/>
  <c r="Z54" i="25"/>
  <c r="Z28" i="25"/>
  <c r="Z35" i="25"/>
  <c r="Z58" i="25"/>
  <c r="Z62" i="25"/>
  <c r="Z105" i="25" s="1"/>
  <c r="Z31" i="25"/>
  <c r="Z29" i="25"/>
  <c r="Z41" i="25"/>
  <c r="V48" i="25"/>
  <c r="V54" i="25"/>
  <c r="V58" i="25"/>
  <c r="V62" i="25"/>
  <c r="V50" i="25"/>
  <c r="V29" i="25"/>
  <c r="V32" i="25"/>
  <c r="V42" i="25"/>
  <c r="V27" i="25"/>
  <c r="V45" i="25"/>
  <c r="V49" i="25"/>
  <c r="V55" i="25"/>
  <c r="V59" i="25"/>
  <c r="V63" i="25"/>
  <c r="V51" i="25"/>
  <c r="V33" i="25"/>
  <c r="V36" i="25"/>
  <c r="V41" i="25"/>
  <c r="V35" i="25"/>
  <c r="V46" i="25"/>
  <c r="V26" i="25"/>
  <c r="V69" i="25" s="1"/>
  <c r="V56" i="25"/>
  <c r="V60" i="25"/>
  <c r="V64" i="25"/>
  <c r="V52" i="25"/>
  <c r="V37" i="25"/>
  <c r="V31" i="25"/>
  <c r="V30" i="25"/>
  <c r="V34" i="25"/>
  <c r="V47" i="25"/>
  <c r="V44" i="25"/>
  <c r="V57" i="25"/>
  <c r="V61" i="25"/>
  <c r="V65" i="25"/>
  <c r="V53" i="25"/>
  <c r="V28" i="25"/>
  <c r="V40" i="25"/>
  <c r="V38" i="25"/>
  <c r="V39" i="25"/>
  <c r="W2" i="25"/>
  <c r="AC72" i="25"/>
  <c r="AC105" i="25"/>
  <c r="AC94" i="25"/>
  <c r="AC82" i="25"/>
  <c r="AC100" i="25"/>
  <c r="AC85" i="25"/>
  <c r="AC107" i="25"/>
  <c r="AC96" i="25"/>
  <c r="AC73" i="25"/>
  <c r="AC98" i="25"/>
  <c r="Y95" i="25"/>
  <c r="Y106" i="25"/>
  <c r="Y97" i="25"/>
  <c r="Y100" i="25"/>
  <c r="U76" i="25"/>
  <c r="U71" i="25"/>
  <c r="U70" i="25"/>
  <c r="U96" i="25"/>
  <c r="AC84" i="25"/>
  <c r="AH55" i="25"/>
  <c r="AH59" i="25"/>
  <c r="AH63" i="25"/>
  <c r="AH48" i="25"/>
  <c r="AH50" i="25"/>
  <c r="AH28" i="25"/>
  <c r="AH35" i="25"/>
  <c r="AH49" i="25"/>
  <c r="AH31" i="25"/>
  <c r="AH30" i="25"/>
  <c r="AH44" i="25"/>
  <c r="AH56" i="25"/>
  <c r="AH60" i="25"/>
  <c r="AH64" i="25"/>
  <c r="AH29" i="25"/>
  <c r="AH51" i="25"/>
  <c r="AH32" i="25"/>
  <c r="AH40" i="25"/>
  <c r="AH34" i="25"/>
  <c r="AH42" i="25"/>
  <c r="AH26" i="25"/>
  <c r="AH69" i="25" s="1"/>
  <c r="AH57" i="25"/>
  <c r="AH61" i="25"/>
  <c r="AH65" i="25"/>
  <c r="AH33" i="25"/>
  <c r="AH52" i="25"/>
  <c r="AH36" i="25"/>
  <c r="AH27" i="25"/>
  <c r="AH54" i="25"/>
  <c r="AH58" i="25"/>
  <c r="AH62" i="25"/>
  <c r="AH46" i="25"/>
  <c r="AH37" i="25"/>
  <c r="AH53" i="25"/>
  <c r="AH45" i="25"/>
  <c r="AH88" i="25" s="1"/>
  <c r="AH38" i="25"/>
  <c r="AH47" i="25"/>
  <c r="AH41" i="25"/>
  <c r="AH39" i="25"/>
  <c r="AM2" i="25"/>
  <c r="AC74" i="25"/>
  <c r="AC83" i="25"/>
  <c r="AC103" i="25"/>
  <c r="AC4" i="25"/>
  <c r="AC5" i="25" s="1"/>
  <c r="AC87" i="25"/>
  <c r="AC92" i="25"/>
  <c r="AC75" i="25"/>
  <c r="AC90" i="25"/>
  <c r="Y107" i="25"/>
  <c r="AD44" i="25"/>
  <c r="AD53" i="25"/>
  <c r="AD47" i="25"/>
  <c r="AD55" i="25"/>
  <c r="AD59" i="25"/>
  <c r="AD63" i="25"/>
  <c r="AD29" i="25"/>
  <c r="AD32" i="25"/>
  <c r="AD42" i="25"/>
  <c r="AD38" i="25"/>
  <c r="AI2" i="25"/>
  <c r="AD50" i="25"/>
  <c r="AD26" i="25"/>
  <c r="AD69" i="25" s="1"/>
  <c r="AD48" i="25"/>
  <c r="AD56" i="25"/>
  <c r="AD60" i="25"/>
  <c r="AD64" i="25"/>
  <c r="AD33" i="25"/>
  <c r="AD36" i="25"/>
  <c r="AD34" i="25"/>
  <c r="AD39" i="25"/>
  <c r="AD51" i="25"/>
  <c r="AD45" i="25"/>
  <c r="AD49" i="25"/>
  <c r="AD57" i="25"/>
  <c r="AD61" i="25"/>
  <c r="AD65" i="25"/>
  <c r="AD37" i="25"/>
  <c r="AD31" i="25"/>
  <c r="AD41" i="25"/>
  <c r="AD35" i="25"/>
  <c r="AD52" i="25"/>
  <c r="AD46" i="25"/>
  <c r="AD54" i="25"/>
  <c r="AD58" i="25"/>
  <c r="AD62" i="25"/>
  <c r="AD27" i="25"/>
  <c r="AD28" i="25"/>
  <c r="AD40" i="25"/>
  <c r="AD30" i="25"/>
  <c r="Y102" i="25"/>
  <c r="Y93" i="25"/>
  <c r="Y6" i="25" s="1"/>
  <c r="Y8" i="25" s="1"/>
  <c r="Y96" i="25"/>
  <c r="U91" i="25"/>
  <c r="U80" i="25"/>
  <c r="U89" i="25"/>
  <c r="Y99" i="25"/>
  <c r="U4" i="25"/>
  <c r="U5" i="25" s="1"/>
  <c r="U92" i="25"/>
  <c r="U87" i="25"/>
  <c r="AC78" i="25"/>
  <c r="AC97" i="25"/>
  <c r="AC77" i="25"/>
  <c r="AC108" i="25"/>
  <c r="AC88" i="25"/>
  <c r="AC81" i="25"/>
  <c r="AC99" i="25"/>
  <c r="AC80" i="25"/>
  <c r="AC106" i="25"/>
  <c r="AC95" i="25"/>
  <c r="Y103" i="25"/>
  <c r="Y98" i="25"/>
  <c r="Y105" i="25"/>
  <c r="Y82" i="25"/>
  <c r="Y108" i="25"/>
  <c r="Y4" i="25"/>
  <c r="Y5" i="25" s="1"/>
  <c r="Y92" i="25"/>
  <c r="Y87" i="25"/>
  <c r="U90" i="25"/>
  <c r="U84" i="25"/>
  <c r="U72" i="25"/>
  <c r="U104" i="25"/>
  <c r="U88" i="25"/>
  <c r="I85" i="16"/>
  <c r="AA20" i="14"/>
  <c r="AG34" i="13"/>
  <c r="AG35" i="13" s="1"/>
  <c r="U21" i="14"/>
  <c r="AB35" i="13"/>
  <c r="S27" i="13"/>
  <c r="AB8" i="13" s="1"/>
  <c r="AB37" i="13"/>
  <c r="S53" i="13"/>
  <c r="AB36" i="13"/>
  <c r="U16" i="14"/>
  <c r="U19" i="14"/>
  <c r="U20" i="14"/>
  <c r="T7" i="13"/>
  <c r="U22" i="14"/>
  <c r="U18" i="14"/>
  <c r="AB38" i="13"/>
  <c r="U17" i="14"/>
  <c r="K85" i="16"/>
  <c r="T33" i="13"/>
  <c r="AB34" i="13"/>
  <c r="L97" i="16"/>
  <c r="I94" i="16"/>
  <c r="L93" i="16"/>
  <c r="L96" i="16"/>
  <c r="L81" i="16"/>
  <c r="T19" i="13"/>
  <c r="T36" i="13"/>
  <c r="T10" i="13"/>
  <c r="J89" i="16"/>
  <c r="H94" i="16"/>
  <c r="L95" i="16"/>
  <c r="H85" i="16"/>
  <c r="L76" i="16"/>
  <c r="K94" i="16"/>
  <c r="J94" i="16"/>
  <c r="L90" i="16"/>
  <c r="H89" i="16"/>
  <c r="V5" i="13"/>
  <c r="U50" i="13"/>
  <c r="U46" i="13"/>
  <c r="U41" i="13"/>
  <c r="U37" i="13"/>
  <c r="U35" i="13"/>
  <c r="U51" i="13"/>
  <c r="U47" i="13"/>
  <c r="U42" i="13"/>
  <c r="U38" i="13"/>
  <c r="U49" i="13"/>
  <c r="U44" i="13"/>
  <c r="U40" i="13"/>
  <c r="U52" i="13"/>
  <c r="U48" i="13"/>
  <c r="U43" i="13"/>
  <c r="U39" i="13"/>
  <c r="U34" i="13"/>
  <c r="U8" i="13"/>
  <c r="U11" i="13"/>
  <c r="U13" i="13"/>
  <c r="U15" i="13"/>
  <c r="U17" i="13"/>
  <c r="U20" i="13"/>
  <c r="U22" i="13"/>
  <c r="U24" i="13"/>
  <c r="U26" i="13"/>
  <c r="U9" i="13"/>
  <c r="U12" i="13"/>
  <c r="U14" i="13"/>
  <c r="U16" i="13"/>
  <c r="U18" i="13"/>
  <c r="U21" i="13"/>
  <c r="U23" i="13"/>
  <c r="U25" i="13"/>
  <c r="W2" i="14"/>
  <c r="V4" i="14"/>
  <c r="V15" i="14" s="1"/>
  <c r="V8" i="14"/>
  <c r="V7" i="14"/>
  <c r="V5" i="14"/>
  <c r="V9" i="14"/>
  <c r="V11" i="14"/>
  <c r="V6" i="14"/>
  <c r="V10" i="14"/>
  <c r="C58" i="10"/>
  <c r="C66" i="10" s="1"/>
  <c r="I89" i="16"/>
  <c r="T45" i="13"/>
  <c r="E58" i="10"/>
  <c r="E66" i="10" s="1"/>
  <c r="K89" i="16"/>
  <c r="L92" i="16"/>
  <c r="L91" i="16"/>
  <c r="C45" i="10"/>
  <c r="J85" i="16"/>
  <c r="AH96" i="25" l="1"/>
  <c r="AH100" i="25"/>
  <c r="K107" i="16"/>
  <c r="L105" i="16"/>
  <c r="L109" i="16"/>
  <c r="L106" i="16"/>
  <c r="L108" i="16"/>
  <c r="H107" i="16"/>
  <c r="L110" i="16"/>
  <c r="L103" i="16"/>
  <c r="H102" i="16"/>
  <c r="J107" i="16"/>
  <c r="J111" i="16" s="1"/>
  <c r="I102" i="16"/>
  <c r="K102" i="16"/>
  <c r="L104" i="16"/>
  <c r="I107" i="16"/>
  <c r="AH80" i="25"/>
  <c r="K98" i="16"/>
  <c r="U33" i="13"/>
  <c r="Z98" i="25"/>
  <c r="AH101" i="25"/>
  <c r="AH7" i="25" s="1"/>
  <c r="AH108" i="25"/>
  <c r="AH99" i="25"/>
  <c r="AD105" i="25"/>
  <c r="AH76" i="25"/>
  <c r="AD70" i="25"/>
  <c r="V96" i="25"/>
  <c r="AD89" i="25"/>
  <c r="AD82" i="25"/>
  <c r="AD74" i="25"/>
  <c r="Z72" i="25"/>
  <c r="AD95" i="25"/>
  <c r="V100" i="25"/>
  <c r="Z78" i="25"/>
  <c r="V108" i="25"/>
  <c r="Z74" i="25"/>
  <c r="AH105" i="25"/>
  <c r="Z71" i="25"/>
  <c r="Z81" i="25"/>
  <c r="Z94" i="25"/>
  <c r="V77" i="25"/>
  <c r="Z97" i="25"/>
  <c r="Z82" i="25"/>
  <c r="V103" i="25"/>
  <c r="V104" i="25"/>
  <c r="AH94" i="25"/>
  <c r="V94" i="25"/>
  <c r="Z83" i="25"/>
  <c r="Z75" i="25"/>
  <c r="Z104" i="25"/>
  <c r="AH95" i="25"/>
  <c r="V83" i="25"/>
  <c r="V95" i="25"/>
  <c r="V102" i="25"/>
  <c r="Z76" i="25"/>
  <c r="Z100" i="25"/>
  <c r="Z107" i="25"/>
  <c r="Z84" i="25"/>
  <c r="U8" i="25"/>
  <c r="AD100" i="25"/>
  <c r="AH84" i="25"/>
  <c r="AD71" i="25"/>
  <c r="AH82" i="25"/>
  <c r="AD101" i="25"/>
  <c r="AD7" i="25" s="1"/>
  <c r="AH81" i="25"/>
  <c r="AH90" i="25"/>
  <c r="AH97" i="25"/>
  <c r="V107" i="25"/>
  <c r="Z101" i="25"/>
  <c r="Z7" i="25" s="1"/>
  <c r="Z8" i="25" s="1"/>
  <c r="AH89" i="25"/>
  <c r="Z102" i="25"/>
  <c r="AD73" i="25"/>
  <c r="AD80" i="25"/>
  <c r="V71" i="25"/>
  <c r="Z106" i="25"/>
  <c r="Z96" i="25"/>
  <c r="Z103" i="25"/>
  <c r="AD83" i="25"/>
  <c r="AD78" i="25"/>
  <c r="AD88" i="25"/>
  <c r="AD90" i="25"/>
  <c r="AH91" i="25"/>
  <c r="V82" i="25"/>
  <c r="Z108" i="25"/>
  <c r="D52" i="10"/>
  <c r="G52" i="10" s="1"/>
  <c r="D46" i="10"/>
  <c r="D49" i="10"/>
  <c r="G49" i="10" s="1"/>
  <c r="M10" i="10" s="1"/>
  <c r="D51" i="10"/>
  <c r="D48" i="10"/>
  <c r="D47" i="10"/>
  <c r="G47" i="10" s="1"/>
  <c r="V74" i="25"/>
  <c r="Z90" i="25"/>
  <c r="Z99" i="25"/>
  <c r="AD97" i="25"/>
  <c r="AD84" i="25"/>
  <c r="AD104" i="25"/>
  <c r="AD94" i="25"/>
  <c r="AD76" i="25"/>
  <c r="AD91" i="25"/>
  <c r="AD81" i="25"/>
  <c r="AD106" i="25"/>
  <c r="AD96" i="25"/>
  <c r="AH104" i="25"/>
  <c r="V81" i="25"/>
  <c r="V99" i="25"/>
  <c r="Z95" i="25"/>
  <c r="AD77" i="25"/>
  <c r="AH103" i="25"/>
  <c r="AH93" i="25"/>
  <c r="AH6" i="25" s="1"/>
  <c r="V73" i="25"/>
  <c r="V98" i="25"/>
  <c r="Z91" i="25"/>
  <c r="Z70" i="25"/>
  <c r="AD107" i="25"/>
  <c r="AD85" i="25"/>
  <c r="AD102" i="25"/>
  <c r="AD4" i="25"/>
  <c r="AD5" i="25" s="1"/>
  <c r="AD92" i="25"/>
  <c r="AD87" i="25"/>
  <c r="AH83" i="25"/>
  <c r="AH107" i="25"/>
  <c r="AH73" i="25"/>
  <c r="AH71" i="25"/>
  <c r="AH102" i="25"/>
  <c r="V79" i="25"/>
  <c r="V70" i="25"/>
  <c r="V93" i="25"/>
  <c r="V6" i="25" s="1"/>
  <c r="V91" i="25"/>
  <c r="Z4" i="25"/>
  <c r="Z5" i="25" s="1"/>
  <c r="Z87" i="25"/>
  <c r="Z92" i="25"/>
  <c r="Z85" i="25"/>
  <c r="AD103" i="25"/>
  <c r="AD93" i="25"/>
  <c r="AD6" i="25" s="1"/>
  <c r="AD75" i="25"/>
  <c r="AD98" i="25"/>
  <c r="AH75" i="25"/>
  <c r="AH74" i="25"/>
  <c r="AH98" i="25"/>
  <c r="W46" i="25"/>
  <c r="W44" i="25"/>
  <c r="W34" i="25"/>
  <c r="W52" i="25"/>
  <c r="W37" i="25"/>
  <c r="W57" i="25"/>
  <c r="W61" i="25"/>
  <c r="W65" i="25"/>
  <c r="W42" i="25"/>
  <c r="W36" i="25"/>
  <c r="W47" i="25"/>
  <c r="W27" i="25"/>
  <c r="W38" i="25"/>
  <c r="W53" i="25"/>
  <c r="W54" i="25"/>
  <c r="W58" i="25"/>
  <c r="W62" i="25"/>
  <c r="W32" i="25"/>
  <c r="W31" i="25"/>
  <c r="W35" i="25"/>
  <c r="AB2" i="25"/>
  <c r="W45" i="25"/>
  <c r="W30" i="25"/>
  <c r="W33" i="25"/>
  <c r="W60" i="25"/>
  <c r="W41" i="25"/>
  <c r="W63" i="25"/>
  <c r="W48" i="25"/>
  <c r="W50" i="25"/>
  <c r="W55" i="25"/>
  <c r="W49" i="25"/>
  <c r="W51" i="25"/>
  <c r="W56" i="25"/>
  <c r="W64" i="25"/>
  <c r="W28" i="25"/>
  <c r="W26" i="25"/>
  <c r="W69" i="25" s="1"/>
  <c r="W29" i="25"/>
  <c r="W59" i="25"/>
  <c r="W39" i="25"/>
  <c r="W40" i="25"/>
  <c r="V89" i="25"/>
  <c r="V76" i="25"/>
  <c r="V85" i="25"/>
  <c r="V105" i="25"/>
  <c r="AE46" i="25"/>
  <c r="AE44" i="25"/>
  <c r="AE52" i="25"/>
  <c r="AE34" i="25"/>
  <c r="AE37" i="25"/>
  <c r="AE42" i="25"/>
  <c r="AE55" i="25"/>
  <c r="AE59" i="25"/>
  <c r="AE63" i="25"/>
  <c r="AE36" i="25"/>
  <c r="AE47" i="25"/>
  <c r="AE27" i="25"/>
  <c r="AE53" i="25"/>
  <c r="AE38" i="25"/>
  <c r="AE32" i="25"/>
  <c r="AE31" i="25"/>
  <c r="AE56" i="25"/>
  <c r="AE60" i="25"/>
  <c r="AE64" i="25"/>
  <c r="AE39" i="25"/>
  <c r="AE48" i="25"/>
  <c r="AE50" i="25"/>
  <c r="AE26" i="25"/>
  <c r="AE69" i="25" s="1"/>
  <c r="AE29" i="25"/>
  <c r="AE41" i="25"/>
  <c r="AE40" i="25"/>
  <c r="AE57" i="25"/>
  <c r="AE61" i="25"/>
  <c r="AE65" i="25"/>
  <c r="AE45" i="25"/>
  <c r="AE49" i="25"/>
  <c r="AE51" i="25"/>
  <c r="AE30" i="25"/>
  <c r="AE33" i="25"/>
  <c r="AE35" i="25"/>
  <c r="AE54" i="25"/>
  <c r="AE58" i="25"/>
  <c r="AE62" i="25"/>
  <c r="AE28" i="25"/>
  <c r="AJ2" i="25"/>
  <c r="Z73" i="25"/>
  <c r="Z88" i="25"/>
  <c r="AD108" i="25"/>
  <c r="AD79" i="25"/>
  <c r="AD99" i="25"/>
  <c r="AI48" i="25"/>
  <c r="AI51" i="25"/>
  <c r="AI26" i="25"/>
  <c r="AI69" i="25" s="1"/>
  <c r="AI57" i="25"/>
  <c r="AI61" i="25"/>
  <c r="AI65" i="25"/>
  <c r="AI29" i="25"/>
  <c r="AI36" i="25"/>
  <c r="AI32" i="25"/>
  <c r="AI45" i="25"/>
  <c r="AI49" i="25"/>
  <c r="AI52" i="25"/>
  <c r="AI54" i="25"/>
  <c r="AI58" i="25"/>
  <c r="AI62" i="25"/>
  <c r="AI30" i="25"/>
  <c r="AI33" i="25"/>
  <c r="AI41" i="25"/>
  <c r="AI39" i="25"/>
  <c r="AI46" i="25"/>
  <c r="AI44" i="25"/>
  <c r="AI53" i="25"/>
  <c r="AI55" i="25"/>
  <c r="AI59" i="25"/>
  <c r="AI63" i="25"/>
  <c r="AI34" i="25"/>
  <c r="AI37" i="25"/>
  <c r="AI35" i="25"/>
  <c r="AI31" i="25"/>
  <c r="AI47" i="25"/>
  <c r="AI50" i="25"/>
  <c r="AI27" i="25"/>
  <c r="AI56" i="25"/>
  <c r="AI60" i="25"/>
  <c r="AI64" i="25"/>
  <c r="AI38" i="25"/>
  <c r="AI28" i="25"/>
  <c r="AI40" i="25"/>
  <c r="AI42" i="25"/>
  <c r="AD72" i="25"/>
  <c r="AM47" i="25"/>
  <c r="AM27" i="25"/>
  <c r="AM38" i="25"/>
  <c r="AM54" i="25"/>
  <c r="AM58" i="25"/>
  <c r="AM62" i="25"/>
  <c r="AM32" i="25"/>
  <c r="AM51" i="25"/>
  <c r="AM28" i="25"/>
  <c r="AM35" i="25"/>
  <c r="AM48" i="25"/>
  <c r="AM26" i="25"/>
  <c r="AM69" i="25" s="1"/>
  <c r="AM29" i="25"/>
  <c r="AM55" i="25"/>
  <c r="AM59" i="25"/>
  <c r="AM63" i="25"/>
  <c r="AM41" i="25"/>
  <c r="AM53" i="25"/>
  <c r="AM36" i="25"/>
  <c r="AM45" i="25"/>
  <c r="AM49" i="25"/>
  <c r="AM30" i="25"/>
  <c r="AM33" i="25"/>
  <c r="AM56" i="25"/>
  <c r="AM60" i="25"/>
  <c r="AM64" i="25"/>
  <c r="AM50" i="25"/>
  <c r="AM31" i="25"/>
  <c r="AM39" i="25"/>
  <c r="AM46" i="25"/>
  <c r="AM44" i="25"/>
  <c r="AM34" i="25"/>
  <c r="AM37" i="25"/>
  <c r="AM57" i="25"/>
  <c r="AM61" i="25"/>
  <c r="AM65" i="25"/>
  <c r="AM42" i="25"/>
  <c r="AM40" i="25"/>
  <c r="AM52" i="25"/>
  <c r="AH70" i="25"/>
  <c r="AH85" i="25"/>
  <c r="V4" i="25"/>
  <c r="V5" i="25" s="1"/>
  <c r="V87" i="25"/>
  <c r="V92" i="25"/>
  <c r="V78" i="25"/>
  <c r="V75" i="25"/>
  <c r="V101" i="25"/>
  <c r="V7" i="25" s="1"/>
  <c r="Z77" i="25"/>
  <c r="Z79" i="25"/>
  <c r="AH79" i="25"/>
  <c r="AH77" i="25"/>
  <c r="AH72" i="25"/>
  <c r="AH4" i="25"/>
  <c r="AH5" i="25" s="1"/>
  <c r="AH92" i="25"/>
  <c r="AH87" i="25"/>
  <c r="AH78" i="25"/>
  <c r="AH106" i="25"/>
  <c r="V90" i="25"/>
  <c r="V80" i="25"/>
  <c r="V84" i="25"/>
  <c r="V106" i="25"/>
  <c r="V88" i="25"/>
  <c r="V72" i="25"/>
  <c r="V97" i="25"/>
  <c r="Z89" i="25"/>
  <c r="AA45" i="25"/>
  <c r="AA49" i="25"/>
  <c r="AA55" i="25"/>
  <c r="AA59" i="25"/>
  <c r="AA63" i="25"/>
  <c r="AA34" i="25"/>
  <c r="AA37" i="25"/>
  <c r="AA36" i="25"/>
  <c r="AA44" i="25"/>
  <c r="AA53" i="25"/>
  <c r="AA46" i="25"/>
  <c r="AA27" i="25"/>
  <c r="AA56" i="25"/>
  <c r="AA60" i="25"/>
  <c r="AA64" i="25"/>
  <c r="AA38" i="25"/>
  <c r="AA50" i="25"/>
  <c r="AA41" i="25"/>
  <c r="AA35" i="25"/>
  <c r="AA32" i="25"/>
  <c r="AF2" i="25"/>
  <c r="AA47" i="25"/>
  <c r="AA48" i="25"/>
  <c r="AA54" i="25"/>
  <c r="AA58" i="25"/>
  <c r="AA62" i="25"/>
  <c r="AA30" i="25"/>
  <c r="AA33" i="25"/>
  <c r="AA28" i="25"/>
  <c r="AA39" i="25"/>
  <c r="AA51" i="25"/>
  <c r="AA26" i="25"/>
  <c r="AA69" i="25" s="1"/>
  <c r="AA29" i="25"/>
  <c r="AA42" i="25"/>
  <c r="AA57" i="25"/>
  <c r="AA52" i="25"/>
  <c r="AA61" i="25"/>
  <c r="AA31" i="25"/>
  <c r="AA65" i="25"/>
  <c r="AA40" i="25"/>
  <c r="Z80" i="25"/>
  <c r="T53" i="13"/>
  <c r="I98" i="16"/>
  <c r="AB39" i="13"/>
  <c r="T27" i="13"/>
  <c r="J98" i="16"/>
  <c r="U36" i="13"/>
  <c r="W5" i="13"/>
  <c r="V51" i="13"/>
  <c r="V47" i="13"/>
  <c r="V42" i="13"/>
  <c r="V38" i="13"/>
  <c r="V50" i="13"/>
  <c r="V46" i="13"/>
  <c r="V41" i="13"/>
  <c r="V37" i="13"/>
  <c r="V52" i="13"/>
  <c r="V48" i="13"/>
  <c r="V43" i="13"/>
  <c r="V39" i="13"/>
  <c r="V34" i="13"/>
  <c r="V49" i="13"/>
  <c r="V44" i="13"/>
  <c r="V40" i="13"/>
  <c r="V35" i="13"/>
  <c r="V8" i="13"/>
  <c r="V11" i="13"/>
  <c r="V13" i="13"/>
  <c r="V15" i="13"/>
  <c r="V17" i="13"/>
  <c r="V20" i="13"/>
  <c r="V22" i="13"/>
  <c r="V24" i="13"/>
  <c r="V26" i="13"/>
  <c r="V16" i="13"/>
  <c r="V25" i="13"/>
  <c r="V14" i="13"/>
  <c r="V9" i="13"/>
  <c r="V18" i="13"/>
  <c r="V12" i="13"/>
  <c r="V21" i="13"/>
  <c r="V23" i="13"/>
  <c r="V21" i="14"/>
  <c r="V16" i="14"/>
  <c r="W4" i="14"/>
  <c r="W15" i="14" s="1"/>
  <c r="W8" i="14"/>
  <c r="W7" i="14"/>
  <c r="W5" i="14"/>
  <c r="W9" i="14"/>
  <c r="W11" i="14"/>
  <c r="W6" i="14"/>
  <c r="W10" i="14"/>
  <c r="U19" i="13"/>
  <c r="U10" i="13"/>
  <c r="L89" i="16"/>
  <c r="H98" i="16"/>
  <c r="L94" i="16"/>
  <c r="V20" i="14"/>
  <c r="V17" i="14"/>
  <c r="V18" i="14"/>
  <c r="U7" i="13"/>
  <c r="U45" i="13"/>
  <c r="L85" i="16"/>
  <c r="C53" i="10"/>
  <c r="V22" i="14"/>
  <c r="V19" i="14"/>
  <c r="AH8" i="25" l="1"/>
  <c r="K111" i="16"/>
  <c r="I111" i="16"/>
  <c r="H111" i="16"/>
  <c r="AI78" i="25"/>
  <c r="AI73" i="25"/>
  <c r="L107" i="16"/>
  <c r="L102" i="16"/>
  <c r="AE71" i="25"/>
  <c r="AI85" i="25"/>
  <c r="AE78" i="25"/>
  <c r="AI80" i="25"/>
  <c r="AI81" i="25"/>
  <c r="AI70" i="25"/>
  <c r="AI82" i="25"/>
  <c r="AD8" i="25"/>
  <c r="AA105" i="25"/>
  <c r="K118" i="16"/>
  <c r="W91" i="25"/>
  <c r="AA72" i="25"/>
  <c r="AI90" i="25"/>
  <c r="W90" i="25"/>
  <c r="AM103" i="25"/>
  <c r="W88" i="25"/>
  <c r="AI107" i="25"/>
  <c r="AA94" i="25"/>
  <c r="AM100" i="25"/>
  <c r="AI105" i="25"/>
  <c r="AA71" i="25"/>
  <c r="AE90" i="25"/>
  <c r="AA83" i="25"/>
  <c r="AA108" i="25"/>
  <c r="AA107" i="25"/>
  <c r="AM77" i="25"/>
  <c r="AI102" i="25"/>
  <c r="AE91" i="25"/>
  <c r="L98" i="16"/>
  <c r="AI98" i="25"/>
  <c r="AE88" i="25"/>
  <c r="AA103" i="25"/>
  <c r="AA100" i="25"/>
  <c r="AM74" i="25"/>
  <c r="AI79" i="25"/>
  <c r="AA96" i="25"/>
  <c r="AI93" i="25"/>
  <c r="AI6" i="25" s="1"/>
  <c r="AE105" i="25"/>
  <c r="AE76" i="25"/>
  <c r="W102" i="25"/>
  <c r="W107" i="25"/>
  <c r="AM79" i="25"/>
  <c r="W83" i="25"/>
  <c r="U53" i="13"/>
  <c r="AA104" i="25"/>
  <c r="AA101" i="25"/>
  <c r="AA7" i="25" s="1"/>
  <c r="AA93" i="25"/>
  <c r="AA6" i="25" s="1"/>
  <c r="AM83" i="25"/>
  <c r="AI83" i="25"/>
  <c r="AI103" i="25"/>
  <c r="AI77" i="25"/>
  <c r="AI96" i="25"/>
  <c r="AI84" i="25"/>
  <c r="AM76" i="25"/>
  <c r="AI72" i="25"/>
  <c r="AA95" i="25"/>
  <c r="AM85" i="25"/>
  <c r="AM80" i="25"/>
  <c r="AM82" i="25"/>
  <c r="AI71" i="25"/>
  <c r="AI99" i="25"/>
  <c r="AI74" i="25"/>
  <c r="AI106" i="25"/>
  <c r="AI76" i="25"/>
  <c r="AI95" i="25"/>
  <c r="AA99" i="25"/>
  <c r="AA106" i="25"/>
  <c r="AM89" i="25"/>
  <c r="AM73" i="25"/>
  <c r="AM78" i="25"/>
  <c r="AM70" i="25"/>
  <c r="AI101" i="25"/>
  <c r="AI7" i="25" s="1"/>
  <c r="AI108" i="25"/>
  <c r="AI94" i="25"/>
  <c r="AA97" i="25"/>
  <c r="AA102" i="25"/>
  <c r="AM84" i="25"/>
  <c r="AM72" i="25"/>
  <c r="AM71" i="25"/>
  <c r="AI97" i="25"/>
  <c r="AI75" i="25"/>
  <c r="AI104" i="25"/>
  <c r="D64" i="10"/>
  <c r="G64" i="10" s="1"/>
  <c r="D65" i="10"/>
  <c r="G65" i="10" s="1"/>
  <c r="D62" i="10"/>
  <c r="G62" i="10" s="1"/>
  <c r="D60" i="10"/>
  <c r="G60" i="10" s="1"/>
  <c r="D59" i="10"/>
  <c r="G59" i="10" s="1"/>
  <c r="D61" i="10"/>
  <c r="G61" i="10" s="1"/>
  <c r="AE101" i="25"/>
  <c r="AE7" i="25" s="1"/>
  <c r="AE73" i="25"/>
  <c r="AE83" i="25"/>
  <c r="AA74" i="25"/>
  <c r="AA85" i="25"/>
  <c r="AA82" i="25"/>
  <c r="AA90" i="25"/>
  <c r="AA84" i="25"/>
  <c r="AA77" i="25"/>
  <c r="AM95" i="25"/>
  <c r="AM104" i="25"/>
  <c r="AM4" i="25"/>
  <c r="AM5" i="25" s="1"/>
  <c r="AM87" i="25"/>
  <c r="AM92" i="25"/>
  <c r="AM93" i="25"/>
  <c r="AM102" i="25"/>
  <c r="AM91" i="25"/>
  <c r="AM75" i="25"/>
  <c r="AM81" i="25"/>
  <c r="AJ51" i="25"/>
  <c r="AJ27" i="25"/>
  <c r="AJ48" i="25"/>
  <c r="AJ57" i="25"/>
  <c r="AJ61" i="25"/>
  <c r="AJ65" i="25"/>
  <c r="AJ26" i="25"/>
  <c r="AJ69" i="25" s="1"/>
  <c r="AJ39" i="25"/>
  <c r="AJ41" i="25"/>
  <c r="AJ32" i="25"/>
  <c r="AJ52" i="25"/>
  <c r="AJ31" i="25"/>
  <c r="AJ54" i="25"/>
  <c r="AJ58" i="25"/>
  <c r="AJ62" i="25"/>
  <c r="AJ30" i="25"/>
  <c r="AJ29" i="25"/>
  <c r="AJ45" i="25"/>
  <c r="AJ33" i="25"/>
  <c r="AJ49" i="25"/>
  <c r="AJ53" i="25"/>
  <c r="AJ35" i="25"/>
  <c r="AJ55" i="25"/>
  <c r="AJ59" i="25"/>
  <c r="AJ63" i="25"/>
  <c r="AJ34" i="25"/>
  <c r="AJ37" i="25"/>
  <c r="AJ28" i="25"/>
  <c r="AJ40" i="25"/>
  <c r="AJ46" i="25"/>
  <c r="AJ38" i="25"/>
  <c r="AJ42" i="25"/>
  <c r="AJ47" i="25"/>
  <c r="AJ50" i="25"/>
  <c r="AJ44" i="25"/>
  <c r="AJ56" i="25"/>
  <c r="AJ60" i="25"/>
  <c r="AJ64" i="25"/>
  <c r="AJ36" i="25"/>
  <c r="AE97" i="25"/>
  <c r="AE94" i="25"/>
  <c r="AE104" i="25"/>
  <c r="AE72" i="25"/>
  <c r="AE82" i="25"/>
  <c r="AE74" i="25"/>
  <c r="AE70" i="25"/>
  <c r="AE102" i="25"/>
  <c r="AE77" i="25"/>
  <c r="W94" i="25"/>
  <c r="W76" i="25"/>
  <c r="W78" i="25"/>
  <c r="W101" i="25"/>
  <c r="W7" i="25" s="1"/>
  <c r="W70" i="25"/>
  <c r="W108" i="25"/>
  <c r="W95" i="25"/>
  <c r="AF46" i="25"/>
  <c r="AF44" i="25"/>
  <c r="AF53" i="25"/>
  <c r="AF27" i="25"/>
  <c r="AF33" i="25"/>
  <c r="AF56" i="25"/>
  <c r="AF60" i="25"/>
  <c r="AF64" i="25"/>
  <c r="AF41" i="25"/>
  <c r="AF28" i="25"/>
  <c r="AF47" i="25"/>
  <c r="AF50" i="25"/>
  <c r="AF26" i="25"/>
  <c r="AF69" i="25" s="1"/>
  <c r="AF30" i="25"/>
  <c r="AF42" i="25"/>
  <c r="AF57" i="25"/>
  <c r="AF61" i="25"/>
  <c r="AF65" i="25"/>
  <c r="AF29" i="25"/>
  <c r="AF39" i="25"/>
  <c r="AK2" i="25"/>
  <c r="AF48" i="25"/>
  <c r="AF51" i="25"/>
  <c r="AF31" i="25"/>
  <c r="AF34" i="25"/>
  <c r="AF54" i="25"/>
  <c r="AF58" i="25"/>
  <c r="AF62" i="25"/>
  <c r="AF36" i="25"/>
  <c r="AF37" i="25"/>
  <c r="AF45" i="25"/>
  <c r="AF49" i="25"/>
  <c r="AF52" i="25"/>
  <c r="AF35" i="25"/>
  <c r="AF38" i="25"/>
  <c r="AF55" i="25"/>
  <c r="AF59" i="25"/>
  <c r="AF63" i="25"/>
  <c r="AF32" i="25"/>
  <c r="AF40" i="25"/>
  <c r="AA4" i="25"/>
  <c r="AA5" i="25" s="1"/>
  <c r="AA87" i="25"/>
  <c r="AA92" i="25"/>
  <c r="AA88" i="25"/>
  <c r="AM107" i="25"/>
  <c r="AM96" i="25"/>
  <c r="AM98" i="25"/>
  <c r="AM105" i="25"/>
  <c r="AI88" i="25"/>
  <c r="AE100" i="25"/>
  <c r="AE107" i="25"/>
  <c r="AE75" i="25"/>
  <c r="AE98" i="25"/>
  <c r="AE95" i="25"/>
  <c r="W82" i="25"/>
  <c r="W71" i="25"/>
  <c r="W106" i="25"/>
  <c r="W73" i="25"/>
  <c r="W74" i="25"/>
  <c r="W97" i="25"/>
  <c r="W104" i="25"/>
  <c r="W77" i="25"/>
  <c r="AA76" i="25"/>
  <c r="AA75" i="25"/>
  <c r="AA81" i="25"/>
  <c r="AA70" i="25"/>
  <c r="AA79" i="25"/>
  <c r="AM101" i="25"/>
  <c r="AM90" i="25"/>
  <c r="AI4" i="25"/>
  <c r="AI5" i="25" s="1"/>
  <c r="AI87" i="25"/>
  <c r="AI92" i="25"/>
  <c r="AI91" i="25"/>
  <c r="AE93" i="25"/>
  <c r="AE6" i="25" s="1"/>
  <c r="AE103" i="25"/>
  <c r="AE81" i="25"/>
  <c r="AE79" i="25"/>
  <c r="AE85" i="25"/>
  <c r="AE4" i="25"/>
  <c r="AE5" i="25" s="1"/>
  <c r="AE87" i="25"/>
  <c r="AE92" i="25"/>
  <c r="W98" i="25"/>
  <c r="W84" i="25"/>
  <c r="W75" i="25"/>
  <c r="W96" i="25"/>
  <c r="W79" i="25"/>
  <c r="W100" i="25"/>
  <c r="W4" i="25"/>
  <c r="W5" i="25" s="1"/>
  <c r="W92" i="25"/>
  <c r="W87" i="25"/>
  <c r="V8" i="25"/>
  <c r="AA73" i="25"/>
  <c r="AA91" i="25"/>
  <c r="AA78" i="25"/>
  <c r="AA89" i="25"/>
  <c r="AA80" i="25"/>
  <c r="AA98" i="25"/>
  <c r="AM108" i="25"/>
  <c r="AM99" i="25"/>
  <c r="AM88" i="25"/>
  <c r="AM106" i="25"/>
  <c r="AM94" i="25"/>
  <c r="AM97" i="25"/>
  <c r="AI89" i="25"/>
  <c r="AI100" i="25"/>
  <c r="AE108" i="25"/>
  <c r="AE84" i="25"/>
  <c r="AE99" i="25"/>
  <c r="AE96" i="25"/>
  <c r="AE106" i="25"/>
  <c r="AE80" i="25"/>
  <c r="AE89" i="25"/>
  <c r="W72" i="25"/>
  <c r="W99" i="25"/>
  <c r="W93" i="25"/>
  <c r="W6" i="25" s="1"/>
  <c r="W103" i="25"/>
  <c r="AB46" i="25"/>
  <c r="AB31" i="25"/>
  <c r="AB55" i="25"/>
  <c r="AB59" i="25"/>
  <c r="AB63" i="25"/>
  <c r="AB34" i="25"/>
  <c r="AB37" i="25"/>
  <c r="AB50" i="25"/>
  <c r="AB41" i="25"/>
  <c r="AB51" i="25"/>
  <c r="AB60" i="25"/>
  <c r="AB38" i="25"/>
  <c r="AB42" i="25"/>
  <c r="AB26" i="25"/>
  <c r="AB69" i="25" s="1"/>
  <c r="AB47" i="25"/>
  <c r="AB35" i="25"/>
  <c r="AB56" i="25"/>
  <c r="AB64" i="25"/>
  <c r="AB52" i="25"/>
  <c r="AB62" i="25"/>
  <c r="AB44" i="25"/>
  <c r="AB48" i="25"/>
  <c r="AB39" i="25"/>
  <c r="AB57" i="25"/>
  <c r="AB61" i="25"/>
  <c r="AB65" i="25"/>
  <c r="AB27" i="25"/>
  <c r="AB53" i="25"/>
  <c r="AB28" i="25"/>
  <c r="AB33" i="25"/>
  <c r="AG2" i="25"/>
  <c r="AB49" i="25"/>
  <c r="AB45" i="25"/>
  <c r="AB88" i="25" s="1"/>
  <c r="AB54" i="25"/>
  <c r="AB58" i="25"/>
  <c r="AB30" i="25"/>
  <c r="AB40" i="25"/>
  <c r="AB29" i="25"/>
  <c r="AB32" i="25"/>
  <c r="AB36" i="25"/>
  <c r="W105" i="25"/>
  <c r="W81" i="25"/>
  <c r="W85" i="25"/>
  <c r="W80" i="25"/>
  <c r="W89" i="25"/>
  <c r="W20" i="14"/>
  <c r="W21" i="14"/>
  <c r="W22" i="14"/>
  <c r="W19" i="14"/>
  <c r="U27" i="13"/>
  <c r="W16" i="14"/>
  <c r="W17" i="14"/>
  <c r="V36" i="13"/>
  <c r="W39" i="13"/>
  <c r="W34" i="13"/>
  <c r="W46" i="13"/>
  <c r="W51" i="13"/>
  <c r="I123" i="16"/>
  <c r="K123" i="16"/>
  <c r="K117" i="16"/>
  <c r="K122" i="16"/>
  <c r="W26" i="13"/>
  <c r="W21" i="13"/>
  <c r="W11" i="13"/>
  <c r="I119" i="16"/>
  <c r="W16" i="13"/>
  <c r="W9" i="13"/>
  <c r="W20" i="13"/>
  <c r="W23" i="13"/>
  <c r="W18" i="13"/>
  <c r="W52" i="13"/>
  <c r="W49" i="13"/>
  <c r="W41" i="13"/>
  <c r="W37" i="13"/>
  <c r="W38" i="13"/>
  <c r="H117" i="16"/>
  <c r="J123" i="16"/>
  <c r="J121" i="16"/>
  <c r="H116" i="16"/>
  <c r="W25" i="13"/>
  <c r="H123" i="16"/>
  <c r="W8" i="13"/>
  <c r="I116" i="16"/>
  <c r="W15" i="13"/>
  <c r="J118" i="16"/>
  <c r="I117" i="16"/>
  <c r="H121" i="16"/>
  <c r="I118" i="16"/>
  <c r="W14" i="13"/>
  <c r="W43" i="13"/>
  <c r="W40" i="13"/>
  <c r="W50" i="13"/>
  <c r="W42" i="13"/>
  <c r="H119" i="16"/>
  <c r="K121" i="16"/>
  <c r="W22" i="13"/>
  <c r="W17" i="13"/>
  <c r="W48" i="13"/>
  <c r="W44" i="13"/>
  <c r="W47" i="13"/>
  <c r="W35" i="13"/>
  <c r="H118" i="16"/>
  <c r="J117" i="16"/>
  <c r="K119" i="16"/>
  <c r="J116" i="16"/>
  <c r="W24" i="13"/>
  <c r="I121" i="16"/>
  <c r="J122" i="16"/>
  <c r="W13" i="13"/>
  <c r="J119" i="16"/>
  <c r="K116" i="16"/>
  <c r="I122" i="16"/>
  <c r="H122" i="16"/>
  <c r="W12" i="13"/>
  <c r="W18" i="14"/>
  <c r="G48" i="10"/>
  <c r="M9" i="10" s="1"/>
  <c r="V19" i="13"/>
  <c r="V10" i="13"/>
  <c r="D45" i="10"/>
  <c r="G45" i="10" s="1"/>
  <c r="M8" i="10" s="1"/>
  <c r="G46" i="10"/>
  <c r="D50" i="10"/>
  <c r="G50" i="10" s="1"/>
  <c r="M11" i="10" s="1"/>
  <c r="G51" i="10"/>
  <c r="V7" i="13"/>
  <c r="V45" i="13"/>
  <c r="V33" i="13"/>
  <c r="L111" i="16" l="1"/>
  <c r="Q137" i="16"/>
  <c r="J137" i="16"/>
  <c r="K136" i="16"/>
  <c r="R136" i="16"/>
  <c r="I138" i="16"/>
  <c r="P138" i="16"/>
  <c r="J132" i="16"/>
  <c r="Q132" i="16"/>
  <c r="H131" i="16"/>
  <c r="O131" i="16"/>
  <c r="E74" i="10"/>
  <c r="K133" i="16"/>
  <c r="R133" i="16"/>
  <c r="H133" i="16"/>
  <c r="O133" i="16"/>
  <c r="J136" i="16"/>
  <c r="Q136" i="16"/>
  <c r="J138" i="16"/>
  <c r="Q138" i="16"/>
  <c r="I134" i="16"/>
  <c r="P134" i="16"/>
  <c r="K138" i="16"/>
  <c r="R138" i="16"/>
  <c r="H134" i="16"/>
  <c r="O134" i="16"/>
  <c r="Q131" i="16"/>
  <c r="J131" i="16"/>
  <c r="I137" i="16"/>
  <c r="P137" i="16"/>
  <c r="C74" i="10"/>
  <c r="I133" i="16"/>
  <c r="P133" i="16"/>
  <c r="H132" i="16"/>
  <c r="O132" i="16"/>
  <c r="C72" i="10"/>
  <c r="I131" i="16"/>
  <c r="P131" i="16"/>
  <c r="H138" i="16"/>
  <c r="O138" i="16"/>
  <c r="H137" i="16"/>
  <c r="O137" i="16"/>
  <c r="E72" i="10"/>
  <c r="E71" i="10" s="1"/>
  <c r="R131" i="16"/>
  <c r="K131" i="16"/>
  <c r="H136" i="16"/>
  <c r="O136" i="16"/>
  <c r="I136" i="16"/>
  <c r="P136" i="16"/>
  <c r="K134" i="16"/>
  <c r="R134" i="16"/>
  <c r="J134" i="16"/>
  <c r="Q134" i="16"/>
  <c r="I132" i="16"/>
  <c r="P132" i="16"/>
  <c r="K132" i="16"/>
  <c r="R132" i="16"/>
  <c r="J133" i="16"/>
  <c r="Q133" i="16"/>
  <c r="K137" i="16"/>
  <c r="R137" i="16"/>
  <c r="AI8" i="25"/>
  <c r="K16" i="25"/>
  <c r="AF98" i="25"/>
  <c r="AB104" i="25"/>
  <c r="AB97" i="25"/>
  <c r="AA8" i="25"/>
  <c r="AB72" i="25"/>
  <c r="AF83" i="25"/>
  <c r="AF75" i="25"/>
  <c r="AJ93" i="25"/>
  <c r="AJ6" i="25" s="1"/>
  <c r="AF77" i="25"/>
  <c r="AF81" i="25"/>
  <c r="AF78" i="25"/>
  <c r="AF91" i="25"/>
  <c r="AJ76" i="25"/>
  <c r="W8" i="25"/>
  <c r="AJ81" i="25"/>
  <c r="AJ107" i="25"/>
  <c r="AF80" i="25"/>
  <c r="AJ103" i="25"/>
  <c r="AJ106" i="25"/>
  <c r="AF79" i="25"/>
  <c r="AJ99" i="25"/>
  <c r="AJ102" i="25"/>
  <c r="AJ79" i="25"/>
  <c r="AJ77" i="25"/>
  <c r="AJ80" i="25"/>
  <c r="AB76" i="25"/>
  <c r="AF101" i="25"/>
  <c r="AF7" i="25" s="1"/>
  <c r="AJ78" i="25"/>
  <c r="AB83" i="25"/>
  <c r="AB71" i="25"/>
  <c r="AF106" i="25"/>
  <c r="AJ83" i="25"/>
  <c r="AJ85" i="25"/>
  <c r="AJ71" i="25"/>
  <c r="AJ72" i="25"/>
  <c r="AJ89" i="25"/>
  <c r="AE8" i="25"/>
  <c r="AF88" i="25"/>
  <c r="AB101" i="25"/>
  <c r="AB7" i="25" s="1"/>
  <c r="AF74" i="25"/>
  <c r="AF82" i="25"/>
  <c r="AJ98" i="25"/>
  <c r="AJ105" i="25"/>
  <c r="AB108" i="25"/>
  <c r="AB91" i="25"/>
  <c r="AF72" i="25"/>
  <c r="AF85" i="25"/>
  <c r="AF90" i="25"/>
  <c r="AJ96" i="25"/>
  <c r="AB79" i="25"/>
  <c r="AB73" i="25"/>
  <c r="AF102" i="25"/>
  <c r="AB75" i="25"/>
  <c r="AG51" i="25"/>
  <c r="AG46" i="25"/>
  <c r="AG55" i="25"/>
  <c r="AG59" i="25"/>
  <c r="AG63" i="25"/>
  <c r="AG32" i="25"/>
  <c r="AG35" i="25"/>
  <c r="AG37" i="25"/>
  <c r="AG30" i="25"/>
  <c r="AG40" i="25"/>
  <c r="AG60" i="25"/>
  <c r="AG36" i="25"/>
  <c r="AG33" i="25"/>
  <c r="AG38" i="25"/>
  <c r="AG45" i="25"/>
  <c r="AG31" i="25"/>
  <c r="AG52" i="25"/>
  <c r="AG47" i="25"/>
  <c r="AG56" i="25"/>
  <c r="AG64" i="25"/>
  <c r="AG49" i="25"/>
  <c r="AG58" i="25"/>
  <c r="AG29" i="25"/>
  <c r="AG44" i="25"/>
  <c r="AG53" i="25"/>
  <c r="AG48" i="25"/>
  <c r="AG57" i="25"/>
  <c r="AG61" i="25"/>
  <c r="AG65" i="25"/>
  <c r="AG26" i="25"/>
  <c r="AG69" i="25" s="1"/>
  <c r="AG34" i="25"/>
  <c r="AG42" i="25"/>
  <c r="AG41" i="25"/>
  <c r="AG54" i="25"/>
  <c r="AG62" i="25"/>
  <c r="AG27" i="25"/>
  <c r="AG50" i="25"/>
  <c r="AG28" i="25"/>
  <c r="AG39" i="25"/>
  <c r="AL2" i="25"/>
  <c r="AB70" i="25"/>
  <c r="AB82" i="25"/>
  <c r="AB95" i="25"/>
  <c r="AB90" i="25"/>
  <c r="AB103" i="25"/>
  <c r="AB80" i="25"/>
  <c r="AB98" i="25"/>
  <c r="AF105" i="25"/>
  <c r="AF100" i="25"/>
  <c r="AF93" i="25"/>
  <c r="AF6" i="25" s="1"/>
  <c r="AF107" i="25"/>
  <c r="AF70" i="25"/>
  <c r="AJ4" i="25"/>
  <c r="AJ5" i="25" s="1"/>
  <c r="AJ92" i="25"/>
  <c r="AJ87" i="25"/>
  <c r="AJ95" i="25"/>
  <c r="AJ91" i="25"/>
  <c r="AM6" i="25"/>
  <c r="K14" i="25"/>
  <c r="K13" i="25"/>
  <c r="K17" i="25"/>
  <c r="AB107" i="25"/>
  <c r="AB94" i="25"/>
  <c r="AB77" i="25"/>
  <c r="AB74" i="25"/>
  <c r="AF94" i="25"/>
  <c r="AF103" i="25"/>
  <c r="AF96" i="25"/>
  <c r="AJ88" i="25"/>
  <c r="AJ101" i="25"/>
  <c r="AJ7" i="25" s="1"/>
  <c r="AJ75" i="25"/>
  <c r="AJ108" i="25"/>
  <c r="AJ70" i="25"/>
  <c r="AB4" i="25"/>
  <c r="AB5" i="25" s="1"/>
  <c r="AB87" i="25"/>
  <c r="AB92" i="25"/>
  <c r="AB99" i="25"/>
  <c r="AB85" i="25"/>
  <c r="AB84" i="25"/>
  <c r="AB106" i="25"/>
  <c r="AB89" i="25"/>
  <c r="K18" i="25"/>
  <c r="AF97" i="25"/>
  <c r="AF108" i="25"/>
  <c r="AF73" i="25"/>
  <c r="AF71" i="25"/>
  <c r="AF99" i="25"/>
  <c r="AF4" i="25"/>
  <c r="AF5" i="25" s="1"/>
  <c r="AF92" i="25"/>
  <c r="AF87" i="25"/>
  <c r="AJ90" i="25"/>
  <c r="AJ97" i="25"/>
  <c r="AJ84" i="25"/>
  <c r="AJ104" i="25"/>
  <c r="AJ94" i="25"/>
  <c r="AB96" i="25"/>
  <c r="AB100" i="25"/>
  <c r="AB105" i="25"/>
  <c r="AB78" i="25"/>
  <c r="AB81" i="25"/>
  <c r="AB93" i="25"/>
  <c r="AB6" i="25" s="1"/>
  <c r="AB102" i="25"/>
  <c r="AM7" i="25"/>
  <c r="K15" i="25"/>
  <c r="AF95" i="25"/>
  <c r="AK47" i="25"/>
  <c r="AK51" i="25"/>
  <c r="AK55" i="25"/>
  <c r="AK59" i="25"/>
  <c r="AK63" i="25"/>
  <c r="AK32" i="25"/>
  <c r="AK35" i="25"/>
  <c r="AK41" i="25"/>
  <c r="AK37" i="25"/>
  <c r="AK29" i="25"/>
  <c r="AK44" i="25"/>
  <c r="AK48" i="25"/>
  <c r="AK52" i="25"/>
  <c r="AK56" i="25"/>
  <c r="AK60" i="25"/>
  <c r="AK64" i="25"/>
  <c r="AK36" i="25"/>
  <c r="AK30" i="25"/>
  <c r="AK40" i="25"/>
  <c r="AK42" i="25"/>
  <c r="AK39" i="25"/>
  <c r="AK45" i="25"/>
  <c r="AK49" i="25"/>
  <c r="AK53" i="25"/>
  <c r="AK57" i="25"/>
  <c r="AK61" i="25"/>
  <c r="AK65" i="25"/>
  <c r="AK27" i="25"/>
  <c r="AK38" i="25"/>
  <c r="AK26" i="25"/>
  <c r="AK69" i="25" s="1"/>
  <c r="AK34" i="25"/>
  <c r="AK33" i="25"/>
  <c r="AK46" i="25"/>
  <c r="AK50" i="25"/>
  <c r="AK54" i="25"/>
  <c r="AK58" i="25"/>
  <c r="AK62" i="25"/>
  <c r="AK28" i="25"/>
  <c r="AK31" i="25"/>
  <c r="AF104" i="25"/>
  <c r="AF84" i="25"/>
  <c r="AF76" i="25"/>
  <c r="AF89" i="25"/>
  <c r="AJ73" i="25"/>
  <c r="AJ74" i="25"/>
  <c r="AJ82" i="25"/>
  <c r="AJ100" i="25"/>
  <c r="AM34" i="13"/>
  <c r="K120" i="16"/>
  <c r="I120" i="16"/>
  <c r="J120" i="16"/>
  <c r="D63" i="10"/>
  <c r="G63" i="10" s="1"/>
  <c r="AB19" i="14"/>
  <c r="AB18" i="14"/>
  <c r="D58" i="10"/>
  <c r="V27" i="13"/>
  <c r="V53" i="13"/>
  <c r="M12" i="10"/>
  <c r="L118" i="16"/>
  <c r="W7" i="13"/>
  <c r="L123" i="16"/>
  <c r="AB17" i="14"/>
  <c r="K115" i="16"/>
  <c r="L121" i="16"/>
  <c r="H120" i="16"/>
  <c r="I115" i="16"/>
  <c r="H115" i="16"/>
  <c r="L116" i="16"/>
  <c r="W33" i="13"/>
  <c r="AH33" i="13" s="1"/>
  <c r="W36" i="13"/>
  <c r="AC34" i="13" s="1"/>
  <c r="L119" i="16"/>
  <c r="D53" i="10"/>
  <c r="G53" i="10" s="1"/>
  <c r="L122" i="16"/>
  <c r="J115" i="16"/>
  <c r="L117" i="16"/>
  <c r="W19" i="13"/>
  <c r="W10" i="13"/>
  <c r="AM33" i="13"/>
  <c r="W45" i="13"/>
  <c r="AK101" i="25" l="1"/>
  <c r="AK7" i="25" s="1"/>
  <c r="AK105" i="25"/>
  <c r="AK100" i="25"/>
  <c r="H130" i="16"/>
  <c r="O130" i="16"/>
  <c r="S132" i="16"/>
  <c r="L132" i="16"/>
  <c r="E79" i="10"/>
  <c r="J135" i="16"/>
  <c r="Q135" i="16"/>
  <c r="K130" i="16"/>
  <c r="R130" i="16"/>
  <c r="J130" i="16"/>
  <c r="Q130" i="16"/>
  <c r="L137" i="16"/>
  <c r="S137" i="16"/>
  <c r="I135" i="16"/>
  <c r="P135" i="16"/>
  <c r="H135" i="16"/>
  <c r="O135" i="16"/>
  <c r="L134" i="16"/>
  <c r="S134" i="16"/>
  <c r="I130" i="16"/>
  <c r="P130" i="16"/>
  <c r="L138" i="16"/>
  <c r="S138" i="16"/>
  <c r="K135" i="16"/>
  <c r="R135" i="16"/>
  <c r="L133" i="16"/>
  <c r="S133" i="16"/>
  <c r="L136" i="16"/>
  <c r="S136" i="16"/>
  <c r="S131" i="16"/>
  <c r="L131" i="16"/>
  <c r="AJ8" i="25"/>
  <c r="AK95" i="25"/>
  <c r="AK90" i="25"/>
  <c r="K19" i="25"/>
  <c r="AG97" i="25"/>
  <c r="AK97" i="25"/>
  <c r="AK89" i="25"/>
  <c r="AK108" i="25"/>
  <c r="AG105" i="25"/>
  <c r="AG108" i="25"/>
  <c r="AG104" i="25"/>
  <c r="AB8" i="25"/>
  <c r="AG100" i="25"/>
  <c r="AF8" i="25"/>
  <c r="AG71" i="25"/>
  <c r="AG93" i="25"/>
  <c r="AG6" i="25" s="1"/>
  <c r="AG96" i="25"/>
  <c r="AK88" i="25"/>
  <c r="AK71" i="25"/>
  <c r="AM35" i="13"/>
  <c r="AG99" i="25"/>
  <c r="AG70" i="25"/>
  <c r="AG85" i="25"/>
  <c r="AG107" i="25"/>
  <c r="AG74" i="25"/>
  <c r="AG79" i="25"/>
  <c r="AG80" i="25"/>
  <c r="AG102" i="25"/>
  <c r="AK93" i="25"/>
  <c r="AK6" i="25" s="1"/>
  <c r="AK104" i="25"/>
  <c r="AK99" i="25"/>
  <c r="AK94" i="25"/>
  <c r="AG82" i="25"/>
  <c r="AG77" i="25"/>
  <c r="AG72" i="25"/>
  <c r="AG103" i="25"/>
  <c r="AG78" i="25"/>
  <c r="AG84" i="25"/>
  <c r="AK81" i="25"/>
  <c r="AK82" i="25"/>
  <c r="AK79" i="25"/>
  <c r="AK80" i="25"/>
  <c r="AK106" i="25"/>
  <c r="AG88" i="25"/>
  <c r="AG98" i="25"/>
  <c r="AK72" i="25"/>
  <c r="AK76" i="25"/>
  <c r="AK70" i="25"/>
  <c r="AK96" i="25"/>
  <c r="AK85" i="25"/>
  <c r="AK107" i="25"/>
  <c r="AK91" i="25"/>
  <c r="AK84" i="25"/>
  <c r="AK102" i="25"/>
  <c r="AM8" i="25"/>
  <c r="AG91" i="25"/>
  <c r="AG101" i="25"/>
  <c r="AG7" i="25" s="1"/>
  <c r="AG90" i="25"/>
  <c r="AG81" i="25"/>
  <c r="AG83" i="25"/>
  <c r="AG75" i="25"/>
  <c r="AG89" i="25"/>
  <c r="AK73" i="25"/>
  <c r="AK75" i="25"/>
  <c r="AL48" i="25"/>
  <c r="AL55" i="25"/>
  <c r="AL59" i="25"/>
  <c r="AL63" i="25"/>
  <c r="AL33" i="25"/>
  <c r="AL32" i="25"/>
  <c r="AL27" i="25"/>
  <c r="AL41" i="25"/>
  <c r="AL50" i="25"/>
  <c r="AL45" i="25"/>
  <c r="AL26" i="25"/>
  <c r="AL69" i="25" s="1"/>
  <c r="AL56" i="25"/>
  <c r="AL60" i="25"/>
  <c r="AL64" i="25"/>
  <c r="AL37" i="25"/>
  <c r="AL36" i="25"/>
  <c r="AL31" i="25"/>
  <c r="AL30" i="25"/>
  <c r="AL52" i="25"/>
  <c r="AL35" i="25"/>
  <c r="AL46" i="25"/>
  <c r="AL49" i="25"/>
  <c r="AL57" i="25"/>
  <c r="AL61" i="25"/>
  <c r="AL65" i="25"/>
  <c r="AL44" i="25"/>
  <c r="AL51" i="25"/>
  <c r="AL40" i="25"/>
  <c r="AL38" i="25"/>
  <c r="AL47" i="25"/>
  <c r="AL54" i="25"/>
  <c r="AL58" i="25"/>
  <c r="AL62" i="25"/>
  <c r="AL29" i="25"/>
  <c r="AL28" i="25"/>
  <c r="AL53" i="25"/>
  <c r="AL42" i="25"/>
  <c r="AL39" i="25"/>
  <c r="AL34" i="25"/>
  <c r="AG4" i="25"/>
  <c r="AG5" i="25" s="1"/>
  <c r="AG87" i="25"/>
  <c r="AG92" i="25"/>
  <c r="AK74" i="25"/>
  <c r="AK77" i="25"/>
  <c r="AK83" i="25"/>
  <c r="AK103" i="25"/>
  <c r="AK4" i="25"/>
  <c r="AK5" i="25" s="1"/>
  <c r="AK92" i="25"/>
  <c r="AK87" i="25"/>
  <c r="AK78" i="25"/>
  <c r="AK98" i="25"/>
  <c r="AG95" i="25"/>
  <c r="AG76" i="25"/>
  <c r="AG73" i="25"/>
  <c r="AG106" i="25"/>
  <c r="AG94" i="25"/>
  <c r="L115" i="16"/>
  <c r="I124" i="16"/>
  <c r="L120" i="16"/>
  <c r="AB20" i="14"/>
  <c r="K124" i="16"/>
  <c r="G58" i="10"/>
  <c r="D66" i="10"/>
  <c r="G66" i="10" s="1"/>
  <c r="W27" i="13"/>
  <c r="AC8" i="13" s="1"/>
  <c r="AC36" i="13"/>
  <c r="AC35" i="13"/>
  <c r="W53" i="13"/>
  <c r="J124" i="16"/>
  <c r="AC38" i="13"/>
  <c r="AC33" i="13"/>
  <c r="C71" i="10"/>
  <c r="AC37" i="13"/>
  <c r="AH34" i="13"/>
  <c r="AH35" i="13" s="1"/>
  <c r="H124" i="16"/>
  <c r="AK8" i="25" l="1"/>
  <c r="AL85" i="25"/>
  <c r="L135" i="16"/>
  <c r="S135" i="16"/>
  <c r="I139" i="16"/>
  <c r="P139" i="16"/>
  <c r="L130" i="16"/>
  <c r="S130" i="16"/>
  <c r="J139" i="16"/>
  <c r="Q139" i="16"/>
  <c r="K139" i="16"/>
  <c r="R139" i="16"/>
  <c r="H139" i="16"/>
  <c r="O139" i="16"/>
  <c r="AG8" i="25"/>
  <c r="AL90" i="25"/>
  <c r="AL73" i="25"/>
  <c r="AL81" i="25"/>
  <c r="AL74" i="25"/>
  <c r="AL83" i="25"/>
  <c r="AL71" i="25"/>
  <c r="AL72" i="25"/>
  <c r="AL77" i="25"/>
  <c r="AL80" i="25"/>
  <c r="AL82" i="25"/>
  <c r="AL78" i="25"/>
  <c r="AL105" i="25"/>
  <c r="AL89" i="25"/>
  <c r="AL108" i="25"/>
  <c r="AL96" i="25"/>
  <c r="AL101" i="25"/>
  <c r="AL7" i="25" s="1"/>
  <c r="AL97" i="25"/>
  <c r="AL94" i="25"/>
  <c r="D72" i="10"/>
  <c r="G72" i="10" s="1"/>
  <c r="D75" i="10"/>
  <c r="G75" i="10" s="1"/>
  <c r="N10" i="10" s="1"/>
  <c r="D74" i="10"/>
  <c r="G74" i="10" s="1"/>
  <c r="N9" i="10" s="1"/>
  <c r="D77" i="10"/>
  <c r="D78" i="10"/>
  <c r="G78" i="10" s="1"/>
  <c r="D73" i="10"/>
  <c r="G73" i="10" s="1"/>
  <c r="AL4" i="25"/>
  <c r="AL5" i="25" s="1"/>
  <c r="AL87" i="25"/>
  <c r="AL92" i="25"/>
  <c r="AL107" i="25"/>
  <c r="AL88" i="25"/>
  <c r="AL75" i="25"/>
  <c r="AL98" i="25"/>
  <c r="AL103" i="25"/>
  <c r="AL93" i="25"/>
  <c r="AL6" i="25" s="1"/>
  <c r="AL76" i="25"/>
  <c r="AL91" i="25"/>
  <c r="AL104" i="25"/>
  <c r="AL79" i="25"/>
  <c r="AL99" i="25"/>
  <c r="AL84" i="25"/>
  <c r="AL106" i="25"/>
  <c r="AL100" i="25"/>
  <c r="AL95" i="25"/>
  <c r="AL70" i="25"/>
  <c r="AL102" i="25"/>
  <c r="AC39" i="13"/>
  <c r="L124" i="16"/>
  <c r="C79" i="10"/>
  <c r="L139" i="16" l="1"/>
  <c r="S139" i="16"/>
  <c r="AL8" i="25"/>
  <c r="D76" i="10"/>
  <c r="G76" i="10" s="1"/>
  <c r="N11" i="10" s="1"/>
  <c r="D71" i="10"/>
  <c r="G71" i="10" s="1"/>
  <c r="N8" i="10" s="1"/>
  <c r="G77" i="10"/>
  <c r="N12" i="10" l="1"/>
  <c r="D79" i="10"/>
  <c r="G7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G1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2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8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sharedStrings.xml><?xml version="1.0" encoding="utf-8"?>
<sst xmlns="http://schemas.openxmlformats.org/spreadsheetml/2006/main" count="1749" uniqueCount="608">
  <si>
    <t>Refined petroleum products</t>
  </si>
  <si>
    <t>Total</t>
  </si>
  <si>
    <t>Oil</t>
  </si>
  <si>
    <t>Biofuels</t>
  </si>
  <si>
    <t>Electric power generation, transmission and distribution</t>
  </si>
  <si>
    <t>Nuclear</t>
  </si>
  <si>
    <t>Fuel</t>
  </si>
  <si>
    <t>Combined gas</t>
  </si>
  <si>
    <t>Coal</t>
  </si>
  <si>
    <t>Wind</t>
  </si>
  <si>
    <t>Solar</t>
  </si>
  <si>
    <t>Hydraulic</t>
  </si>
  <si>
    <t>Cogeneration (CHP)</t>
  </si>
  <si>
    <t>Natural gas</t>
  </si>
  <si>
    <t>Wood</t>
  </si>
  <si>
    <t>Biogas</t>
  </si>
  <si>
    <t>Waste incineration</t>
  </si>
  <si>
    <t>Geothermal</t>
  </si>
  <si>
    <t>Transport</t>
  </si>
  <si>
    <t>Personal vehicles</t>
  </si>
  <si>
    <t xml:space="preserve">Public and freight transport </t>
  </si>
  <si>
    <t>Residential</t>
  </si>
  <si>
    <t>Service</t>
  </si>
  <si>
    <t>Industry and agriculture</t>
  </si>
  <si>
    <t xml:space="preserve">Industry </t>
  </si>
  <si>
    <t>Agriculture</t>
  </si>
  <si>
    <t>Total Final Mtep</t>
  </si>
  <si>
    <t>Class A</t>
  </si>
  <si>
    <t>Class B</t>
  </si>
  <si>
    <t>Class C</t>
  </si>
  <si>
    <t>Class D</t>
  </si>
  <si>
    <t>Class E</t>
  </si>
  <si>
    <t>Class F</t>
  </si>
  <si>
    <t>Class G</t>
  </si>
  <si>
    <t>Electricity</t>
  </si>
  <si>
    <t>Gas</t>
  </si>
  <si>
    <t>coal</t>
  </si>
  <si>
    <t>oil</t>
  </si>
  <si>
    <t>elec</t>
  </si>
  <si>
    <t>gas</t>
  </si>
  <si>
    <t>decarb</t>
  </si>
  <si>
    <t>Total Final MTEC</t>
  </si>
  <si>
    <t>charbon</t>
  </si>
  <si>
    <t>Verif</t>
  </si>
  <si>
    <t>stock of housing and %</t>
  </si>
  <si>
    <t>ER_AUTO_0</t>
  </si>
  <si>
    <t>ER_AUTO_TH_A_0</t>
  </si>
  <si>
    <t>ER_AUTO_TH_B_0</t>
  </si>
  <si>
    <t>ER_AUTO_TH_C_0</t>
  </si>
  <si>
    <t>ER_AUTO_TH_D_0</t>
  </si>
  <si>
    <t>ER_AUTO_TH_E_0</t>
  </si>
  <si>
    <t>ER_AUTO_TH_F_0</t>
  </si>
  <si>
    <t>ER_AUTO_TH_G_0</t>
  </si>
  <si>
    <t>ER_AUTO_ELEC_A_0</t>
  </si>
  <si>
    <t>ER_AUTO_ELEC_B_0</t>
  </si>
  <si>
    <t>ER_AUTO_ELEC_C_0</t>
  </si>
  <si>
    <t>ER_AUTO_ELEC_D_0</t>
  </si>
  <si>
    <t>ER_AUTO_ELEC_E_0</t>
  </si>
  <si>
    <t>ER_AUTO_ELEC_F_0</t>
  </si>
  <si>
    <t>ER_AUTO_ELEC_G_0</t>
  </si>
  <si>
    <t>ER_AUTO_COAL_0</t>
  </si>
  <si>
    <t>ER_AUTO_TH_0</t>
  </si>
  <si>
    <t>ER_AUTO_ELEC_0</t>
  </si>
  <si>
    <t>ER_AUTO_GAS_0</t>
  </si>
  <si>
    <t>ER_NEWAUTO_0</t>
  </si>
  <si>
    <t>ER_NEWAUTO_TH_0</t>
  </si>
  <si>
    <t>ER_NEWAUTO_TH_A_0</t>
  </si>
  <si>
    <t>ER_NEWAUTO_TH_B_0</t>
  </si>
  <si>
    <t>ER_NEWAUTO_TH_C_0</t>
  </si>
  <si>
    <t>ER_NEWAUTO_TH_D_0</t>
  </si>
  <si>
    <t>ER_NEWAUTO_TH_E_0</t>
  </si>
  <si>
    <t>ER_NEWAUTO_TH_F_0</t>
  </si>
  <si>
    <t>ER_NEWAUTO_TH_G_0</t>
  </si>
  <si>
    <t>ER_NEWAUTO_ELEC_0</t>
  </si>
  <si>
    <t>ER_NEWAUTO_ELEC_A_0</t>
  </si>
  <si>
    <t>ER_NEWAUTO_ELEC_B_0</t>
  </si>
  <si>
    <t>ER_NEWAUTO_ELEC_C_0</t>
  </si>
  <si>
    <t>ER_NEWAUTO_ELEC_D_0</t>
  </si>
  <si>
    <t>ER_NEWAUTO_ELEC_E_0</t>
  </si>
  <si>
    <t>ER_NEWAUTO_ELEC_F_0</t>
  </si>
  <si>
    <t>ER_NEWAUTO_ELEC_G_0</t>
  </si>
  <si>
    <t>ER_BUIL_0</t>
  </si>
  <si>
    <t>ER_BUIL_A_0</t>
  </si>
  <si>
    <t>ER_BUIL_B_0</t>
  </si>
  <si>
    <t>ER_BUIL_C_0</t>
  </si>
  <si>
    <t>ER_BUIL_D_0</t>
  </si>
  <si>
    <t>ER_BUIL_E_0</t>
  </si>
  <si>
    <t>ER_BUIL_F_0</t>
  </si>
  <si>
    <t>ER_BUIL_G_0</t>
  </si>
  <si>
    <t>ER_TRANS_PRIVATE_coal_0</t>
  </si>
  <si>
    <t>ER_TRANS_PRIVATE_oil_0</t>
  </si>
  <si>
    <t>ER_TRANS_PRIVATE_elec_0</t>
  </si>
  <si>
    <t>ER_TRANS_PRIVATE_gas_0</t>
  </si>
  <si>
    <t>ER_TRANS_PUBLIC_coal_0</t>
  </si>
  <si>
    <t>ER_TRANS_PUBLIC_oil_0</t>
  </si>
  <si>
    <t>ER_TRANS_PUBLIC_elec_0</t>
  </si>
  <si>
    <t>ER_TRANS_PUBLIC_gas_0</t>
  </si>
  <si>
    <t>ER_RESIDENTIAL_coal_0</t>
  </si>
  <si>
    <t>ER_RESIDENTIAL_oil_0</t>
  </si>
  <si>
    <t>ER_RESIDENTIAL_elec_0</t>
  </si>
  <si>
    <t>ER_RESIDENTIAL_gas_0</t>
  </si>
  <si>
    <t>ER_TERTIARY_coal_0</t>
  </si>
  <si>
    <t>ER_TERTIARY_oil_0</t>
  </si>
  <si>
    <t>ER_TERTIARY_elec_0</t>
  </si>
  <si>
    <t>ER_TERTIARY_gas_0</t>
  </si>
  <si>
    <t>ER_INDUS_coal_0</t>
  </si>
  <si>
    <t>ER_INDUS_oil_0</t>
  </si>
  <si>
    <t>ER_INDUS_elec_0</t>
  </si>
  <si>
    <t>ER_INDUS_gas_0</t>
  </si>
  <si>
    <t>ER_AGRICULTURE_coal_0</t>
  </si>
  <si>
    <t>ER_AGRICULTURE_oil_0</t>
  </si>
  <si>
    <t>ER_AGRICULTURE_elec_0</t>
  </si>
  <si>
    <t>ER_AGRICULTURE_gas_0</t>
  </si>
  <si>
    <t>ER_Oil_0</t>
  </si>
  <si>
    <t>ER_elec_0</t>
  </si>
  <si>
    <t>ER_Gas_0</t>
  </si>
  <si>
    <t>ER_coal_0</t>
  </si>
  <si>
    <t>ER_Total_0</t>
  </si>
  <si>
    <t>electric</t>
  </si>
  <si>
    <t>Combustion</t>
  </si>
  <si>
    <t>ER_Elec_2301_0</t>
  </si>
  <si>
    <t>ER_elec_2302_0</t>
  </si>
  <si>
    <t>ER_Elec_2303_0</t>
  </si>
  <si>
    <t>ER_elec_2304_0</t>
  </si>
  <si>
    <t>ER_Elec_2305_0</t>
  </si>
  <si>
    <t>ER_elec_2306_0</t>
  </si>
  <si>
    <t>ER_Elec_2307_0</t>
  </si>
  <si>
    <t>ER_elec_2308_0</t>
  </si>
  <si>
    <t>ER_oil_2201_0</t>
  </si>
  <si>
    <t>ER_oil_2202_0</t>
  </si>
  <si>
    <t>ER_Gas_2401_0</t>
  </si>
  <si>
    <t>ER_Gas_2402_0</t>
  </si>
  <si>
    <t>ER_Gas_2403_0</t>
  </si>
  <si>
    <t>ER_Gas_2404_0</t>
  </si>
  <si>
    <t>ER_Gas_2405_0</t>
  </si>
  <si>
    <t>ER_Gas_2406_0</t>
  </si>
  <si>
    <t>Q_Mtep_ep_2201_0</t>
  </si>
  <si>
    <t>Q_Mtep_ep_2202_0</t>
  </si>
  <si>
    <t>Q_Mtep_ep_2301_0</t>
  </si>
  <si>
    <t>Q_Mtep_ep_2302_0</t>
  </si>
  <si>
    <t>Q_Mtep_ep_2303_0</t>
  </si>
  <si>
    <t>Q_Mtep_ep_2304_0</t>
  </si>
  <si>
    <t>Q_Mtep_ep_2305_0</t>
  </si>
  <si>
    <t>Q_Mtep_ep_2306_0</t>
  </si>
  <si>
    <t>Q_Mtep_ep_2307_0</t>
  </si>
  <si>
    <t>Q_Mtep_ep_2308_0</t>
  </si>
  <si>
    <t>Q_Mtep_ep_2401_0</t>
  </si>
  <si>
    <t>Q_Mtep_ep_2402_0</t>
  </si>
  <si>
    <t>Q_Mtep_ep_2403_0</t>
  </si>
  <si>
    <t>Q_Mtep_ep_2404_0</t>
  </si>
  <si>
    <t>Q_Mtep_ep_2405_0</t>
  </si>
  <si>
    <t>Q_Mtep_ep_2406_0</t>
  </si>
  <si>
    <t>Q_Mtep_ep_21_0</t>
  </si>
  <si>
    <t>Industry non energetic uses</t>
  </si>
  <si>
    <t>Q_Mtep_indus_21_0</t>
  </si>
  <si>
    <t>Q_Mtep_indus_22_0</t>
  </si>
  <si>
    <t>Q_Mtep_indus_23_0</t>
  </si>
  <si>
    <t>Q_Mtep_indus_24_0</t>
  </si>
  <si>
    <t>gas biogas biomass</t>
  </si>
  <si>
    <t>fuel and biofuel</t>
  </si>
  <si>
    <t>Hors bois domestique non marchand, avec consommation à double usage</t>
  </si>
  <si>
    <t>New vehicle sales</t>
  </si>
  <si>
    <t>stock of vehicles</t>
  </si>
  <si>
    <t>Gas and heat</t>
  </si>
  <si>
    <t>Basse consommation</t>
  </si>
  <si>
    <t xml:space="preserve">Consommation modérée </t>
  </si>
  <si>
    <t>Faiblement émettrices</t>
  </si>
  <si>
    <t>Modérément émettrices</t>
  </si>
  <si>
    <t>Fortement émettrices</t>
  </si>
  <si>
    <t>Electriques</t>
  </si>
  <si>
    <t>Passoires énergétiques</t>
  </si>
  <si>
    <t>nucléaire</t>
  </si>
  <si>
    <t>solaire</t>
  </si>
  <si>
    <t xml:space="preserve">éolien </t>
  </si>
  <si>
    <t>autres renouvelables</t>
  </si>
  <si>
    <t>biocarburants</t>
  </si>
  <si>
    <t>gaz naturel</t>
  </si>
  <si>
    <t>biogaz</t>
  </si>
  <si>
    <t>Energie primaire</t>
  </si>
  <si>
    <t>Automobile - synthèse</t>
  </si>
  <si>
    <t>verif</t>
  </si>
  <si>
    <t>parc automobile (milliers)</t>
  </si>
  <si>
    <t>parc automobile (M)</t>
  </si>
  <si>
    <t>parc véhicules élec (%)</t>
  </si>
  <si>
    <t>parc véhicules thermiques (%)</t>
  </si>
  <si>
    <t>TEND</t>
  </si>
  <si>
    <t>ER_AUTO_0/1000</t>
  </si>
  <si>
    <t>ER_AUTO_ELEC_0/ER_AUTO_0</t>
  </si>
  <si>
    <t>part véhicules thermiques</t>
  </si>
  <si>
    <t>Automobile - detail</t>
  </si>
  <si>
    <t>Ventes (milliers)</t>
  </si>
  <si>
    <t>Parc (milliers)</t>
  </si>
  <si>
    <t>Ventes (%)</t>
  </si>
  <si>
    <t>Parc (%)</t>
  </si>
  <si>
    <t>ER_NEWAUTO_ELEC_0/ER_NEWAUTO_0</t>
  </si>
  <si>
    <t>ER_NEWAUTO_ELEC_A_0/ER_NEWAUTO_0</t>
  </si>
  <si>
    <t>ER_NEWAUTO_ELEC_B_0/ER_NEWAUTO_0</t>
  </si>
  <si>
    <t>ER_NEWAUTO_ELEC_C_0/ER_NEWAUTO_0</t>
  </si>
  <si>
    <t>ER_NEWAUTO_ELEC_D_0/ER_NEWAUTO_0</t>
  </si>
  <si>
    <t>ER_NEWAUTO_ELEC_E_0/ER_NEWAUTO_0</t>
  </si>
  <si>
    <t>ER_NEWAUTO_ELEC_F_0/ER_NEWAUTO_0</t>
  </si>
  <si>
    <t>ER_NEWAUTO_ELEC_G_0/ER_NEWAUTO_0</t>
  </si>
  <si>
    <t>ER_NEWAUTO_TH_0/ER_NEWAUTO_0</t>
  </si>
  <si>
    <t>ER_NEWAUTO_TH_A_0/ER_NEWAUTO_0</t>
  </si>
  <si>
    <t>ER_NEWAUTO_TH_B_0/ER_NEWAUTO_0</t>
  </si>
  <si>
    <t>ER_NEWAUTO_TH_C_0/ER_NEWAUTO_0</t>
  </si>
  <si>
    <t>ER_NEWAUTO_TH_D_0/ER_NEWAUTO_0</t>
  </si>
  <si>
    <t>ER_NEWAUTO_TH_E_0/ER_NEWAUTO_0</t>
  </si>
  <si>
    <t>ER_NEWAUTO_TH_F_0/ER_NEWAUTO_0</t>
  </si>
  <si>
    <t>ER_NEWAUTO_TH_G_0/ER_NEWAUTO_0</t>
  </si>
  <si>
    <t>ER_AUTO_COAL_0/ER_AUTO_0</t>
  </si>
  <si>
    <t>ER_AUTO_TH_0/ER_AUTO_0</t>
  </si>
  <si>
    <t>ER_AUTO_GAS_0/ER_AUTO_0</t>
  </si>
  <si>
    <t>ER_AUTO_ELEC_A_0/ER_AUTO_0</t>
  </si>
  <si>
    <t>ER_AUTO_ELEC_B_0/ER_AUTO_0</t>
  </si>
  <si>
    <t>ER_AUTO_ELEC_C_0/ER_AUTO_0</t>
  </si>
  <si>
    <t>ER_AUTO_ELEC_D_0/ER_AUTO_0</t>
  </si>
  <si>
    <t>ER_AUTO_ELEC_E_0/ER_AUTO_0</t>
  </si>
  <si>
    <t>ER_AUTO_ELEC_F_0/ER_AUTO_0</t>
  </si>
  <si>
    <t>ER_AUTO_ELEC_G_0/ER_AUTO_0</t>
  </si>
  <si>
    <t>ER_AUTO_TH_A_0/ER_AUTO_0</t>
  </si>
  <si>
    <t>ER_AUTO_TH_B_0/ER_AUTO_0</t>
  </si>
  <si>
    <t>ER_AUTO_TH_C_0/ER_AUTO_0</t>
  </si>
  <si>
    <t>ER_AUTO_TH_D_0/ER_AUTO_0</t>
  </si>
  <si>
    <t>ER_AUTO_TH_E_0/ER_AUTO_0</t>
  </si>
  <si>
    <t>ER_AUTO_TH_F_0/ER_AUTO_0</t>
  </si>
  <si>
    <t>ER_AUTO_TH_G_0/ER_AUTO_0</t>
  </si>
  <si>
    <t>Energie primaire (Mtep)</t>
  </si>
  <si>
    <t>Energie finale (Mtep)</t>
  </si>
  <si>
    <t>Consos résultats de ThreeME</t>
  </si>
  <si>
    <t>Consos cibles d'Enerdata</t>
  </si>
  <si>
    <t>Hors bois domestique auto produit (8MTEP entre 2015 et 2030 4 Mtep en 2050)</t>
  </si>
  <si>
    <t>Emissions CO2 (MtCO2)</t>
  </si>
  <si>
    <t>Residentiel</t>
  </si>
  <si>
    <t>Industrie et agriculture</t>
  </si>
  <si>
    <t>Cf. onglet "G emissions"</t>
  </si>
  <si>
    <t>Cf. onglet "G énergie"</t>
  </si>
  <si>
    <t>Cf. onglet "G mix elec"</t>
  </si>
  <si>
    <t xml:space="preserve">Total </t>
  </si>
  <si>
    <t>hydraulique</t>
  </si>
  <si>
    <t>Cf. onglet "G mix carb"</t>
  </si>
  <si>
    <t>Cf. onglet "G mix gaz"</t>
  </si>
  <si>
    <t>carburants fossiles</t>
  </si>
  <si>
    <t>Energie par vecteur énergétique</t>
  </si>
  <si>
    <t>Energie par usage</t>
  </si>
  <si>
    <t>Logement</t>
  </si>
  <si>
    <t>Parc logement (m²)</t>
  </si>
  <si>
    <t>Parc logement (%)</t>
  </si>
  <si>
    <t>Cf. onglet "G parc logt"</t>
  </si>
  <si>
    <t>1) Copier-coller sorties Eviews en B2
2) veillez à ce que les données commencent en 2004
3) modifier le scénario si besoin en B1</t>
  </si>
  <si>
    <t>Différences en 2050 résultant des modifs de chocs</t>
  </si>
  <si>
    <t>Ecarts par rapport à la cible</t>
  </si>
  <si>
    <t>ER_TRANS_PRIVATE_coal_2</t>
  </si>
  <si>
    <t>ER_TRANS_PRIVATE_oil_2</t>
  </si>
  <si>
    <t>ER_TRANS_PRIVATE_elec_2</t>
  </si>
  <si>
    <t>ER_TRANS_PRIVATE_gas_2</t>
  </si>
  <si>
    <t>ER_TRANS_PUBLIC_coal_2</t>
  </si>
  <si>
    <t>ER_TRANS_PUBLIC_oil_2</t>
  </si>
  <si>
    <t>ER_TRANS_PUBLIC_elec_2</t>
  </si>
  <si>
    <t>ER_TRANS_PUBLIC_gas_2</t>
  </si>
  <si>
    <t>ER_RESIDENTIAL_coal_2</t>
  </si>
  <si>
    <t>ER_RESIDENTIAL_oil_2</t>
  </si>
  <si>
    <t>ER_RESIDENTIAL_elec_2</t>
  </si>
  <si>
    <t>ER_RESIDENTIAL_gas_2</t>
  </si>
  <si>
    <t>ER_TERTIARY_coal_2</t>
  </si>
  <si>
    <t>ER_TERTIARY_oil_2</t>
  </si>
  <si>
    <t>ER_TERTIARY_elec_2</t>
  </si>
  <si>
    <t>ER_TERTIARY_gas_2</t>
  </si>
  <si>
    <t>ER_INDUS_coal_2</t>
  </si>
  <si>
    <t>ER_INDUS_oil_2</t>
  </si>
  <si>
    <t>ER_INDUS_elec_2</t>
  </si>
  <si>
    <t>ER_INDUS_gas_2</t>
  </si>
  <si>
    <t>Q_Mtep_indus_21_2</t>
  </si>
  <si>
    <t>Q_Mtep_indus_22_2</t>
  </si>
  <si>
    <t>Q_Mtep_indus_23_2</t>
  </si>
  <si>
    <t>Q_Mtep_indus_24_2</t>
  </si>
  <si>
    <t>ER_AGRICULTURE_coal_2</t>
  </si>
  <si>
    <t>ER_AGRICULTURE_oil_2</t>
  </si>
  <si>
    <t>ER_AGRICULTURE_elec_2</t>
  </si>
  <si>
    <t>ER_AGRICULTURE_gas_2</t>
  </si>
  <si>
    <t>Industry</t>
  </si>
  <si>
    <t>Industry energetic uses</t>
  </si>
  <si>
    <t>Q_MTEP_EP_2402_2</t>
  </si>
  <si>
    <t>Q_MTEP_EP_2403_2</t>
  </si>
  <si>
    <t>Q_MTEP_EP_2404_2</t>
  </si>
  <si>
    <t>Q_MTEP_EP_2405_2</t>
  </si>
  <si>
    <t>Q_MTEP_EP_2406_2</t>
  </si>
  <si>
    <t>Q_MTEP_EP_24_2401_2</t>
  </si>
  <si>
    <t>Q_MTEP_EP_24_2402_2</t>
  </si>
  <si>
    <t>Q_MTEP_EP_24_2403_2</t>
  </si>
  <si>
    <t>Q_MTEP_EP_24_2404_2</t>
  </si>
  <si>
    <t>Q_MTEP_EP_24_2405_2</t>
  </si>
  <si>
    <t>Q_MTEP_EP_24_2406_2</t>
  </si>
  <si>
    <t>Q_MTEP_INDUS_21_2</t>
  </si>
  <si>
    <t>Q_MTEP_INDUS_22_2</t>
  </si>
  <si>
    <t>Q_MTEP_INDUS_23_2</t>
  </si>
  <si>
    <t>Q_MTEP_INDUS_24_2</t>
  </si>
  <si>
    <t>PHIY_EF_TOT_22_2201_2</t>
  </si>
  <si>
    <t>PHIY_EF_TOT_22_2202_2</t>
  </si>
  <si>
    <t>PHIY_EF_TOT_23_2301_2</t>
  </si>
  <si>
    <t>PHIY_EF_TOT_23_2302_2</t>
  </si>
  <si>
    <t>PHIY_EF_TOT_23_2303_2</t>
  </si>
  <si>
    <t>PHIY_EF_TOT_23_2304_2</t>
  </si>
  <si>
    <t>PHIY_EF_TOT_23_2305_2</t>
  </si>
  <si>
    <t>PHIY_EF_TOT_23_2306_2</t>
  </si>
  <si>
    <t>PHIY_EF_TOT_23_2307_2</t>
  </si>
  <si>
    <t>PHIY_EF_TOT_23_2308_2</t>
  </si>
  <si>
    <t>PHIY_EF_TOT_24_2401_2</t>
  </si>
  <si>
    <t>PHIY_EF_TOT_24_2402_2</t>
  </si>
  <si>
    <t>PHIY_EF_TOT_24_2403_2</t>
  </si>
  <si>
    <t>PHIY_EF_TOT_24_2404_2</t>
  </si>
  <si>
    <t>PHIY_EF_TOT_24_2405_2</t>
  </si>
  <si>
    <t>PHIY_EF_TOT_24_2406_2</t>
  </si>
  <si>
    <t>IC_HH_22_H01_2</t>
  </si>
  <si>
    <t>IC_HH_24_H01_2</t>
  </si>
  <si>
    <t>KM_AUTO_H01_2</t>
  </si>
  <si>
    <t>KM_TRAVELER_18_H01_2</t>
  </si>
  <si>
    <t>KM_TRAV_AUTO_LD_H01_2</t>
  </si>
  <si>
    <t>KM_TRAV_AUTO_CD_H01_2</t>
  </si>
  <si>
    <t>KM_TRAVELER_14_H01_2</t>
  </si>
  <si>
    <t>KM_TRAVELER_15_H01_2</t>
  </si>
  <si>
    <t>KM_TRAVELER_CD_H01_2</t>
  </si>
  <si>
    <t>KM_TRAVELER_LD_H01_2</t>
  </si>
  <si>
    <t>KM_AUTO_H01_0</t>
  </si>
  <si>
    <t>KM_TRAVELER_18_H01_0</t>
  </si>
  <si>
    <t>KM_TRAV_AUTO_LD_H01_0</t>
  </si>
  <si>
    <t>KM_TRAV_AUTO_CD_H01_0</t>
  </si>
  <si>
    <t>KM_TRAVELER_14_H01_0</t>
  </si>
  <si>
    <t>KM_TRAVELER_15_H01_0</t>
  </si>
  <si>
    <t>KM_TRAVELER_CD_H01_0</t>
  </si>
  <si>
    <t>KM_TRAVELER_LD_H01_0</t>
  </si>
  <si>
    <t>IC_HH_24_H01_0</t>
  </si>
  <si>
    <t>ER_OIL_1</t>
  </si>
  <si>
    <t>ER_OIL_2201_1</t>
  </si>
  <si>
    <t>ER_OIL_2202_1</t>
  </si>
  <si>
    <t>ER_ELEC_2301_1</t>
  </si>
  <si>
    <t>ER_ELEC_2302_1</t>
  </si>
  <si>
    <t>ER_ELEC_2303_1</t>
  </si>
  <si>
    <t>ER_ELEC_2304_1</t>
  </si>
  <si>
    <t>ER_ELEC_2305_1</t>
  </si>
  <si>
    <t>ER_ELEC_2306_1</t>
  </si>
  <si>
    <t>ER_ELEC_2307_1</t>
  </si>
  <si>
    <t>ER_ELEC_2308_1</t>
  </si>
  <si>
    <t>ER_ELEC_1</t>
  </si>
  <si>
    <t>ER_GAS_1</t>
  </si>
  <si>
    <t>ER_GAS_2401_1</t>
  </si>
  <si>
    <t>ER_GAS_2402_1</t>
  </si>
  <si>
    <t>ER_GAS_2403_1</t>
  </si>
  <si>
    <t>ER_GAS_2404_1</t>
  </si>
  <si>
    <t>ER_GAS_2405_1</t>
  </si>
  <si>
    <t>ER_GAS_2406_1</t>
  </si>
  <si>
    <t>ER_COAL_1</t>
  </si>
  <si>
    <t>ER_TOTAL_1</t>
  </si>
  <si>
    <t>ER_AGRICULTURE_1</t>
  </si>
  <si>
    <t>ER_INDUS_1</t>
  </si>
  <si>
    <t>ER_RESIDENTIAL_1</t>
  </si>
  <si>
    <t>ER_TERTIARY_1</t>
  </si>
  <si>
    <t>ER_TRANS_PRIVATE_1</t>
  </si>
  <si>
    <t>ER_TRANS_PUBLIC_1</t>
  </si>
  <si>
    <t>ER_AUTO_1</t>
  </si>
  <si>
    <t>ER_AUTO_TH_A_1</t>
  </si>
  <si>
    <t>ER_AUTO_TH_B_1</t>
  </si>
  <si>
    <t>ER_AUTO_TH_C_1</t>
  </si>
  <si>
    <t>ER_AUTO_TH_D_1</t>
  </si>
  <si>
    <t>ER_AUTO_TH_E_1</t>
  </si>
  <si>
    <t>ER_AUTO_TH_F_1</t>
  </si>
  <si>
    <t>ER_AUTO_TH_G_1</t>
  </si>
  <si>
    <t>ER_AUTO_ELEC_A_1</t>
  </si>
  <si>
    <t>ER_AUTO_ELEC_B_1</t>
  </si>
  <si>
    <t>ER_AUTO_ELEC_C_1</t>
  </si>
  <si>
    <t>ER_AUTO_ELEC_D_1</t>
  </si>
  <si>
    <t>ER_AUTO_ELEC_E_1</t>
  </si>
  <si>
    <t>ER_AUTO_ELEC_F_1</t>
  </si>
  <si>
    <t>ER_AUTO_ELEC_G_1</t>
  </si>
  <si>
    <t>ER_AUTO_COAL_1</t>
  </si>
  <si>
    <t>ER_AUTO_TH_1</t>
  </si>
  <si>
    <t>ER_AUTO_ELEC_1</t>
  </si>
  <si>
    <t>ER_AUTO_GAS_1</t>
  </si>
  <si>
    <t>ER_NEWAUTO_1</t>
  </si>
  <si>
    <t>ER_NEWAUTO_TH_1</t>
  </si>
  <si>
    <t>ER_NEWAUTO_TH_A_1</t>
  </si>
  <si>
    <t>ER_NEWAUTO_TH_B_1</t>
  </si>
  <si>
    <t>ER_NEWAUTO_TH_C_1</t>
  </si>
  <si>
    <t>ER_NEWAUTO_TH_D_1</t>
  </si>
  <si>
    <t>ER_NEWAUTO_TH_E_1</t>
  </si>
  <si>
    <t>ER_NEWAUTO_TH_F_1</t>
  </si>
  <si>
    <t>ER_NEWAUTO_TH_G_1</t>
  </si>
  <si>
    <t>ER_NEWAUTO_ELEC_1</t>
  </si>
  <si>
    <t>ER_NEWAUTO_ELEC_A_1</t>
  </si>
  <si>
    <t>ER_NEWAUTO_ELEC_B_1</t>
  </si>
  <si>
    <t>ER_NEWAUTO_ELEC_C_1</t>
  </si>
  <si>
    <t>ER_NEWAUTO_ELEC_D_1</t>
  </si>
  <si>
    <t>ER_NEWAUTO_ELEC_E_1</t>
  </si>
  <si>
    <t>ER_NEWAUTO_ELEC_F_1</t>
  </si>
  <si>
    <t>ER_NEWAUTO_ELEC_G_1</t>
  </si>
  <si>
    <t>ER_AGRICULTURE_COAL_1</t>
  </si>
  <si>
    <t>ER_INDUS_COAL_1</t>
  </si>
  <si>
    <t>ER_RESIDENTIAL_COAL_1</t>
  </si>
  <si>
    <t>ER_TERTIARY_COAL_1</t>
  </si>
  <si>
    <t>ER_TRANS_PRIVATE_COAL_1</t>
  </si>
  <si>
    <t>ER_TRANS_PUBLIC_COAL_1</t>
  </si>
  <si>
    <t>ER_AGRICULTURE_OIL_1</t>
  </si>
  <si>
    <t>ER_INDUS_OIL_1</t>
  </si>
  <si>
    <t>ER_RESIDENTIAL_OIL_1</t>
  </si>
  <si>
    <t>ER_TERTIARY_OIL_1</t>
  </si>
  <si>
    <t>ER_TRANS_PRIVATE_OIL_1</t>
  </si>
  <si>
    <t>ER_TRANS_PUBLIC_OIL_1</t>
  </si>
  <si>
    <t>ER_AGRICULTURE_ELEC_1</t>
  </si>
  <si>
    <t>ER_INDUS_ELEC_1</t>
  </si>
  <si>
    <t>ER_RESIDENTIAL_ELEC_1</t>
  </si>
  <si>
    <t>ER_TERTIARY_ELEC_1</t>
  </si>
  <si>
    <t>ER_TRANS_PRIVATE_ELEC_1</t>
  </si>
  <si>
    <t>ER_TRANS_PUBLIC_ELEC_1</t>
  </si>
  <si>
    <t>ER_AGRICULTURE_GAS_1</t>
  </si>
  <si>
    <t>ER_INDUS_GAS_1</t>
  </si>
  <si>
    <t>ER_RESIDENTIAL_GAS_1</t>
  </si>
  <si>
    <t>ER_TERTIARY_GAS_1</t>
  </si>
  <si>
    <t>ER_TRANS_PRIVATE_GAS_1</t>
  </si>
  <si>
    <t>ER_TRANS_PUBLIC_GAS_1</t>
  </si>
  <si>
    <t>ER_BUIL_1</t>
  </si>
  <si>
    <t>ER_BUIL_A_1</t>
  </si>
  <si>
    <t>ER_BUIL_B_1</t>
  </si>
  <si>
    <t>ER_BUIL_C_1</t>
  </si>
  <si>
    <t>ER_BUIL_D_1</t>
  </si>
  <si>
    <t>ER_BUIL_E_1</t>
  </si>
  <si>
    <t>ER_BUIL_F_1</t>
  </si>
  <si>
    <t>ER_BUIL_G_1</t>
  </si>
  <si>
    <t>EMS_DC_04_1</t>
  </si>
  <si>
    <t>EMS_DC_05_1</t>
  </si>
  <si>
    <t>EMS_DC_1</t>
  </si>
  <si>
    <t>EMS_HH_1</t>
  </si>
  <si>
    <t>EMS_HH_21_1</t>
  </si>
  <si>
    <t>EMS_HH_21_H01_1</t>
  </si>
  <si>
    <t>EMS_HH_22_1</t>
  </si>
  <si>
    <t>EMS_HH_22_H01_1</t>
  </si>
  <si>
    <t>EMS_HH_24_1</t>
  </si>
  <si>
    <t>EMS_HH_24_H01_1</t>
  </si>
  <si>
    <t>EMS_SEC_TOT_01_1</t>
  </si>
  <si>
    <t>EMS_SEC_TOT_02_1</t>
  </si>
  <si>
    <t>EMS_SEC_TOT_03_1</t>
  </si>
  <si>
    <t>EMS_SEC_TOT_04_1</t>
  </si>
  <si>
    <t>EMS_SEC_TOT_05_1</t>
  </si>
  <si>
    <t>EMS_SEC_TOT_06_1</t>
  </si>
  <si>
    <t>EMS_SEC_TOT_07_1</t>
  </si>
  <si>
    <t>EMS_SEC_TOT_08_1</t>
  </si>
  <si>
    <t>EMS_SEC_TOT_09_1</t>
  </si>
  <si>
    <t>EMS_SEC_TOT_10_1</t>
  </si>
  <si>
    <t>EMS_SEC_TOT_11_1</t>
  </si>
  <si>
    <t>EMS_SEC_TOT_12_1</t>
  </si>
  <si>
    <t>EMS_SEC_TOT_13_1</t>
  </si>
  <si>
    <t>EMS_SEC_TOT_14_1</t>
  </si>
  <si>
    <t>EMS_SEC_TOT_15_1</t>
  </si>
  <si>
    <t>EMS_SEC_TOT_16_1</t>
  </si>
  <si>
    <t>EMS_SEC_TOT_17_1</t>
  </si>
  <si>
    <t>EMS_SEC_TOT_18_1</t>
  </si>
  <si>
    <t>EMS_SEC_TOT_19_1</t>
  </si>
  <si>
    <t>EMS_SEC_TOT_1</t>
  </si>
  <si>
    <t>EMS_SEC_TOT_20_1</t>
  </si>
  <si>
    <t>EMS_SEC_TOT_21_05_1</t>
  </si>
  <si>
    <t>EMS_SEC_TOT_21_06_1</t>
  </si>
  <si>
    <t>EMS_SEC_TOT_21_07_1</t>
  </si>
  <si>
    <t>EMS_SEC_TOT_21_08_1</t>
  </si>
  <si>
    <t>EMS_SEC_TOT_21_10_1</t>
  </si>
  <si>
    <t>EMS_SEC_TOT_21_12_1</t>
  </si>
  <si>
    <t>EMS_SEC_TOT_21_19_1</t>
  </si>
  <si>
    <t>EMS_SEC_TOT_21_20_1</t>
  </si>
  <si>
    <t>EMS_SEC_TOT_21_2304_1</t>
  </si>
  <si>
    <t>EMS_SEC_TOT_2201_1</t>
  </si>
  <si>
    <t>EMS_SEC_TOT_22_01_1</t>
  </si>
  <si>
    <t>EMS_SEC_TOT_22_02_1</t>
  </si>
  <si>
    <t>EMS_SEC_TOT_22_03_1</t>
  </si>
  <si>
    <t>EMS_SEC_TOT_22_04_1</t>
  </si>
  <si>
    <t>EMS_SEC_TOT_22_05_1</t>
  </si>
  <si>
    <t>EMS_SEC_TOT_22_06_1</t>
  </si>
  <si>
    <t>EMS_SEC_TOT_22_07_1</t>
  </si>
  <si>
    <t>EMS_SEC_TOT_22_08_1</t>
  </si>
  <si>
    <t>EMS_SEC_TOT_22_09_1</t>
  </si>
  <si>
    <t>EMS_SEC_TOT_22_12_1</t>
  </si>
  <si>
    <t>EMS_SEC_TOT_22_13_1</t>
  </si>
  <si>
    <t>EMS_SEC_TOT_22_14_1</t>
  </si>
  <si>
    <t>EMS_SEC_TOT_22_15_1</t>
  </si>
  <si>
    <t>EMS_SEC_TOT_22_16_1</t>
  </si>
  <si>
    <t>EMS_SEC_TOT_22_17_1</t>
  </si>
  <si>
    <t>EMS_SEC_TOT_22_18_1</t>
  </si>
  <si>
    <t>EMS_SEC_TOT_22_19_1</t>
  </si>
  <si>
    <t>EMS_SEC_TOT_22_20_1</t>
  </si>
  <si>
    <t>EMS_SEC_TOT_22_2201_1</t>
  </si>
  <si>
    <t>EMS_SEC_TOT_22_2302_1</t>
  </si>
  <si>
    <t>EMS_SEC_TOT_2302_1</t>
  </si>
  <si>
    <t>EMS_SEC_TOT_2303_1</t>
  </si>
  <si>
    <t>EMS_SEC_TOT_2304_1</t>
  </si>
  <si>
    <t>EMS_SEC_TOT_2401_1</t>
  </si>
  <si>
    <t>EMS_SEC_TOT_24_01_1</t>
  </si>
  <si>
    <t>EMS_SEC_TOT_24_02_1</t>
  </si>
  <si>
    <t>EMS_SEC_TOT_24_03_1</t>
  </si>
  <si>
    <t>EMS_SEC_TOT_24_04_1</t>
  </si>
  <si>
    <t>EMS_SEC_TOT_24_05_1</t>
  </si>
  <si>
    <t>EMS_SEC_TOT_24_06_1</t>
  </si>
  <si>
    <t>EMS_SEC_TOT_24_07_1</t>
  </si>
  <si>
    <t>EMS_SEC_TOT_24_08_1</t>
  </si>
  <si>
    <t>EMS_SEC_TOT_24_09_1</t>
  </si>
  <si>
    <t>EMS_SEC_TOT_24_10_1</t>
  </si>
  <si>
    <t>EMS_SEC_TOT_24_11_1</t>
  </si>
  <si>
    <t>EMS_SEC_TOT_24_12_1</t>
  </si>
  <si>
    <t>EMS_SEC_TOT_24_13_1</t>
  </si>
  <si>
    <t>EMS_SEC_TOT_24_14_1</t>
  </si>
  <si>
    <t>EMS_SEC_TOT_24_15_1</t>
  </si>
  <si>
    <t>EMS_SEC_TOT_24_16_1</t>
  </si>
  <si>
    <t>EMS_SEC_TOT_24_17_1</t>
  </si>
  <si>
    <t>EMS_SEC_TOT_24_18_1</t>
  </si>
  <si>
    <t>EMS_SEC_TOT_24_19_1</t>
  </si>
  <si>
    <t>EMS_SEC_TOT_24_20_1</t>
  </si>
  <si>
    <t>EMS_SEC_TOT_24_2201_1</t>
  </si>
  <si>
    <t>EMS_SEC_TOT_24_2303_1</t>
  </si>
  <si>
    <t>EMS_SEC_TOT_24_2401_1</t>
  </si>
  <si>
    <t>EMS_SECSOU_1</t>
  </si>
  <si>
    <t>EMS_SECSOU_21_1</t>
  </si>
  <si>
    <t>EMS_SECSOU_22_1</t>
  </si>
  <si>
    <t>EMS_SECSOU_24_1</t>
  </si>
  <si>
    <t>EMS_SOU_1</t>
  </si>
  <si>
    <t>EMS_SOU_21_1</t>
  </si>
  <si>
    <t>EMS_SOU_22_1</t>
  </si>
  <si>
    <t>EMS_SOU_24_1</t>
  </si>
  <si>
    <t>EMS_TOT_1</t>
  </si>
  <si>
    <t>Q_MTEP_EP_1</t>
  </si>
  <si>
    <t>Q_MTEP_EP_21_1</t>
  </si>
  <si>
    <t>Q_MTEP_EP_21_21_1</t>
  </si>
  <si>
    <t>Q_MTEP_EP_2201_1</t>
  </si>
  <si>
    <t>Q_MTEP_EP_2202_1</t>
  </si>
  <si>
    <t>Q_MTEP_EP_22_2201_1</t>
  </si>
  <si>
    <t>Q_MTEP_EP_22_2202_1</t>
  </si>
  <si>
    <t>Q_MTEP_EP_2301_1</t>
  </si>
  <si>
    <t>Q_MTEP_EP_2302_1</t>
  </si>
  <si>
    <t>Q_MTEP_EP_2303_1</t>
  </si>
  <si>
    <t>Q_MTEP_EP_2304_1</t>
  </si>
  <si>
    <t>Q_MTEP_EP_2305_1</t>
  </si>
  <si>
    <t>Q_MTEP_EP_2306_1</t>
  </si>
  <si>
    <t>Q_MTEP_EP_2307_1</t>
  </si>
  <si>
    <t>Q_MTEP_EP_2308_1</t>
  </si>
  <si>
    <t>Q_MTEP_EP_23_2301_1</t>
  </si>
  <si>
    <t>Q_MTEP_EP_23_2302_1</t>
  </si>
  <si>
    <t>Q_MTEP_EP_23_2303_1</t>
  </si>
  <si>
    <t>Q_MTEP_EP_23_2304_1</t>
  </si>
  <si>
    <t>Q_MTEP_EP_23_2305_1</t>
  </si>
  <si>
    <t>Q_MTEP_EP_23_2306_1</t>
  </si>
  <si>
    <t>Q_MTEP_EP_23_2307_1</t>
  </si>
  <si>
    <t>Q_MTEP_EP_23_2308_1</t>
  </si>
  <si>
    <t>Q_MTEP_EP_2401_1</t>
  </si>
  <si>
    <t>Q_MTEP_EP_2402_1</t>
  </si>
  <si>
    <t>Q_MTEP_EP_2403_1</t>
  </si>
  <si>
    <t>Q_MTEP_EP_2404_1</t>
  </si>
  <si>
    <t>Q_MTEP_EP_2405_1</t>
  </si>
  <si>
    <t>Q_MTEP_EP_2406_1</t>
  </si>
  <si>
    <t>Q_MTEP_EP_24_2401_1</t>
  </si>
  <si>
    <t>Q_MTEP_EP_24_2402_1</t>
  </si>
  <si>
    <t>Q_MTEP_EP_24_2403_1</t>
  </si>
  <si>
    <t>Q_MTEP_EP_24_2404_1</t>
  </si>
  <si>
    <t>Q_MTEP_EP_24_2405_1</t>
  </si>
  <si>
    <t>Q_MTEP_EP_24_2406_1</t>
  </si>
  <si>
    <t>Q_MTEP_INDUS_21_1</t>
  </si>
  <si>
    <t>Q_MTEP_INDUS_22_1</t>
  </si>
  <si>
    <t>Q_MTEP_INDUS_23_1</t>
  </si>
  <si>
    <t>Q_MTEP_INDUS_24_1</t>
  </si>
  <si>
    <t>PHIY_EF_TOT_22_2201_1</t>
  </si>
  <si>
    <t>PHIY_EF_TOT_22_2202_1</t>
  </si>
  <si>
    <t>PHIY_EF_TOT_23_2301_1</t>
  </si>
  <si>
    <t>PHIY_EF_TOT_23_2302_1</t>
  </si>
  <si>
    <t>PHIY_EF_TOT_23_2303_1</t>
  </si>
  <si>
    <t>PHIY_EF_TOT_23_2304_1</t>
  </si>
  <si>
    <t>PHIY_EF_TOT_23_2305_1</t>
  </si>
  <si>
    <t>PHIY_EF_TOT_23_2306_1</t>
  </si>
  <si>
    <t>PHIY_EF_TOT_23_2307_1</t>
  </si>
  <si>
    <t>PHIY_EF_TOT_23_2308_1</t>
  </si>
  <si>
    <t>PHIY_EF_TOT_24_2401_1</t>
  </si>
  <si>
    <t>PHIY_EF_TOT_24_2402_1</t>
  </si>
  <si>
    <t>PHIY_EF_TOT_24_2403_1</t>
  </si>
  <si>
    <t>PHIY_EF_TOT_24_2404_1</t>
  </si>
  <si>
    <t>PHIY_EF_TOT_24_2405_1</t>
  </si>
  <si>
    <t>PHIY_EF_TOT_24_2406_1</t>
  </si>
  <si>
    <t>IC_HH_22_H01_1</t>
  </si>
  <si>
    <t>ER_TRANS_PRIVATE_coal_1</t>
  </si>
  <si>
    <t>ER_TRANS_PRIVATE_oil_1</t>
  </si>
  <si>
    <t>ER_TRANS_PRIVATE_elec_1</t>
  </si>
  <si>
    <t>ER_TRANS_PRIVATE_gas_1</t>
  </si>
  <si>
    <t>ER_TRANS_PUBLIC_coal_1</t>
  </si>
  <si>
    <t>ER_TRANS_PUBLIC_oil_1</t>
  </si>
  <si>
    <t>ER_TRANS_PUBLIC_elec_1</t>
  </si>
  <si>
    <t>ER_TRANS_PUBLIC_gas_1</t>
  </si>
  <si>
    <t>ER_RESIDENTIAL_coal_1</t>
  </si>
  <si>
    <t>ER_RESIDENTIAL_oil_1</t>
  </si>
  <si>
    <t>ER_RESIDENTIAL_elec_1</t>
  </si>
  <si>
    <t>ER_RESIDENTIAL_gas_1</t>
  </si>
  <si>
    <t>ER_TERTIARY_coal_1</t>
  </si>
  <si>
    <t>ER_TERTIARY_oil_1</t>
  </si>
  <si>
    <t>ER_TERTIARY_elec_1</t>
  </si>
  <si>
    <t>ER_TERTIARY_gas_1</t>
  </si>
  <si>
    <t>ER_INDUS_coal_1</t>
  </si>
  <si>
    <t>ER_INDUS_oil_1</t>
  </si>
  <si>
    <t>ER_INDUS_elec_1</t>
  </si>
  <si>
    <t>ER_INDUS_gas_1</t>
  </si>
  <si>
    <t>Q_Mtep_indus_21_1</t>
  </si>
  <si>
    <t>Q_Mtep_indus_22_1</t>
  </si>
  <si>
    <t>Q_Mtep_indus_23_1</t>
  </si>
  <si>
    <t>Q_Mtep_indus_24_1</t>
  </si>
  <si>
    <t>ER_AGRICULTURE_coal_1</t>
  </si>
  <si>
    <t>ER_AGRICULTURE_oil_1</t>
  </si>
  <si>
    <t>ER_AGRICULTURE_elec_1</t>
  </si>
  <si>
    <t>ER_AGRICULTURE_gas_1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</si>
</sst>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/>
  </cellStyleXfs>
  <cellXfs count="275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3" borderId="3" xfId="0" applyNumberFormat="1" applyFont="1" applyFill="1" applyBorder="1" applyAlignment="1">
      <alignment horizontal="right"/>
    </xf>
    <xf numFmtId="0" fontId="0" fillId="2" borderId="3" xfId="0" applyFill="1" applyBorder="1"/>
    <xf numFmtId="1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7" fillId="0" borderId="0" xfId="0" applyFont="1" applyAlignment="1">
      <alignment horizontal="left" indent="2"/>
    </xf>
    <xf numFmtId="0" fontId="9" fillId="0" borderId="0" xfId="0" applyFont="1"/>
    <xf numFmtId="0" fontId="10" fillId="0" borderId="0" xfId="0" applyFont="1"/>
    <xf numFmtId="1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1" fontId="0" fillId="2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3" fontId="0" fillId="0" borderId="0" xfId="0" applyNumberFormat="1"/>
    <xf numFmtId="3" fontId="2" fillId="3" borderId="3" xfId="0" applyNumberFormat="1" applyFont="1" applyFill="1" applyBorder="1" applyAlignment="1">
      <alignment horizontal="right"/>
    </xf>
    <xf numFmtId="0" fontId="2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" fontId="0" fillId="2" borderId="5" xfId="0" applyNumberFormat="1" applyFill="1" applyBorder="1" applyAlignment="1">
      <alignment horizontal="right"/>
    </xf>
    <xf numFmtId="1" fontId="2" fillId="4" borderId="4" xfId="0" applyNumberFormat="1" applyFont="1" applyFill="1" applyBorder="1"/>
    <xf numFmtId="0" fontId="6" fillId="0" borderId="1" xfId="0" applyFont="1" applyBorder="1"/>
    <xf numFmtId="3" fontId="0" fillId="2" borderId="0" xfId="0" applyNumberFormat="1" applyFill="1" applyAlignment="1">
      <alignment horizontal="right"/>
    </xf>
    <xf numFmtId="0" fontId="10" fillId="0" borderId="3" xfId="0" applyFont="1" applyBorder="1"/>
    <xf numFmtId="1" fontId="2" fillId="2" borderId="1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1" fontId="11" fillId="5" borderId="4" xfId="0" applyNumberFormat="1" applyFont="1" applyFill="1" applyBorder="1" applyAlignment="1">
      <alignment horizontal="right"/>
    </xf>
    <xf numFmtId="1" fontId="16" fillId="2" borderId="0" xfId="0" applyNumberFormat="1" applyFont="1" applyFill="1" applyAlignment="1">
      <alignment horizontal="right"/>
    </xf>
    <xf numFmtId="1" fontId="11" fillId="6" borderId="1" xfId="0" applyNumberFormat="1" applyFont="1" applyFill="1" applyBorder="1"/>
    <xf numFmtId="164" fontId="0" fillId="0" borderId="0" xfId="0" applyNumberFormat="1"/>
    <xf numFmtId="1" fontId="11" fillId="6" borderId="4" xfId="0" applyNumberFormat="1" applyFont="1" applyFill="1" applyBorder="1"/>
    <xf numFmtId="1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11" fillId="0" borderId="0" xfId="0" applyNumberFormat="1" applyFont="1"/>
    <xf numFmtId="1" fontId="2" fillId="0" borderId="0" xfId="0" applyNumberFormat="1" applyFont="1"/>
    <xf numFmtId="164" fontId="14" fillId="0" borderId="0" xfId="0" applyNumberFormat="1" applyFont="1"/>
    <xf numFmtId="1" fontId="13" fillId="0" borderId="0" xfId="0" applyNumberFormat="1" applyFont="1"/>
    <xf numFmtId="2" fontId="2" fillId="0" borderId="0" xfId="0" applyNumberFormat="1" applyFont="1"/>
    <xf numFmtId="165" fontId="2" fillId="0" borderId="0" xfId="1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165" fontId="2" fillId="0" borderId="0" xfId="1" applyNumberFormat="1" applyFont="1" applyFill="1" applyBorder="1"/>
    <xf numFmtId="164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 indent="2"/>
    </xf>
    <xf numFmtId="1" fontId="2" fillId="7" borderId="1" xfId="0" applyNumberFormat="1" applyFont="1" applyFill="1" applyBorder="1" applyAlignment="1">
      <alignment horizontal="right"/>
    </xf>
    <xf numFmtId="1" fontId="2" fillId="8" borderId="1" xfId="0" applyNumberFormat="1" applyFont="1" applyFill="1" applyBorder="1"/>
    <xf numFmtId="2" fontId="0" fillId="2" borderId="0" xfId="0" applyNumberFormat="1" applyFill="1" applyAlignment="1">
      <alignment horizontal="right"/>
    </xf>
    <xf numFmtId="164" fontId="2" fillId="8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0" fontId="19" fillId="0" borderId="0" xfId="3" applyFill="1"/>
    <xf numFmtId="2" fontId="2" fillId="2" borderId="3" xfId="0" applyNumberFormat="1" applyFont="1" applyFill="1" applyBorder="1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6" fillId="2" borderId="3" xfId="0" applyFont="1" applyFill="1" applyBorder="1"/>
    <xf numFmtId="0" fontId="6" fillId="2" borderId="0" xfId="0" applyFont="1" applyFill="1"/>
    <xf numFmtId="1" fontId="0" fillId="2" borderId="0" xfId="0" applyNumberFormat="1" applyFill="1"/>
    <xf numFmtId="0" fontId="3" fillId="2" borderId="0" xfId="0" applyFont="1" applyFill="1"/>
    <xf numFmtId="164" fontId="0" fillId="2" borderId="0" xfId="0" applyNumberFormat="1" applyFill="1"/>
    <xf numFmtId="1" fontId="2" fillId="8" borderId="4" xfId="0" applyNumberFormat="1" applyFont="1" applyFill="1" applyBorder="1"/>
    <xf numFmtId="0" fontId="6" fillId="2" borderId="1" xfId="0" applyFont="1" applyFill="1" applyBorder="1"/>
    <xf numFmtId="0" fontId="8" fillId="2" borderId="2" xfId="0" applyFont="1" applyFill="1" applyBorder="1"/>
    <xf numFmtId="3" fontId="2" fillId="9" borderId="11" xfId="0" applyNumberFormat="1" applyFont="1" applyFill="1" applyBorder="1" applyAlignment="1">
      <alignment horizontal="right"/>
    </xf>
    <xf numFmtId="0" fontId="0" fillId="2" borderId="12" xfId="0" applyFill="1" applyBorder="1"/>
    <xf numFmtId="3" fontId="2" fillId="3" borderId="13" xfId="0" applyNumberFormat="1" applyFont="1" applyFill="1" applyBorder="1" applyAlignment="1">
      <alignment horizontal="right"/>
    </xf>
    <xf numFmtId="0" fontId="10" fillId="2" borderId="0" xfId="0" applyFont="1" applyFill="1"/>
    <xf numFmtId="3" fontId="0" fillId="2" borderId="13" xfId="0" applyNumberFormat="1" applyFill="1" applyBorder="1" applyAlignment="1">
      <alignment horizontal="right"/>
    </xf>
    <xf numFmtId="0" fontId="7" fillId="2" borderId="3" xfId="0" applyFont="1" applyFill="1" applyBorder="1" applyAlignment="1">
      <alignment horizontal="left" indent="2"/>
    </xf>
    <xf numFmtId="3" fontId="0" fillId="2" borderId="3" xfId="0" applyNumberFormat="1" applyFill="1" applyBorder="1" applyAlignment="1">
      <alignment horizontal="right"/>
    </xf>
    <xf numFmtId="0" fontId="2" fillId="2" borderId="11" xfId="0" applyFont="1" applyFill="1" applyBorder="1"/>
    <xf numFmtId="3" fontId="2" fillId="9" borderId="2" xfId="0" applyNumberFormat="1" applyFont="1" applyFill="1" applyBorder="1" applyAlignment="1">
      <alignment horizontal="right"/>
    </xf>
    <xf numFmtId="0" fontId="2" fillId="2" borderId="0" xfId="0" applyFont="1" applyFill="1"/>
    <xf numFmtId="3" fontId="2" fillId="3" borderId="12" xfId="0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left" indent="2"/>
    </xf>
    <xf numFmtId="0" fontId="10" fillId="2" borderId="14" xfId="0" applyFont="1" applyFill="1" applyBorder="1"/>
    <xf numFmtId="0" fontId="2" fillId="2" borderId="12" xfId="0" applyFont="1" applyFill="1" applyBorder="1"/>
    <xf numFmtId="3" fontId="0" fillId="2" borderId="0" xfId="1" applyNumberFormat="1" applyFont="1" applyFill="1" applyBorder="1" applyAlignment="1">
      <alignment horizontal="right"/>
    </xf>
    <xf numFmtId="0" fontId="10" fillId="2" borderId="3" xfId="0" applyFont="1" applyFill="1" applyBorder="1"/>
    <xf numFmtId="165" fontId="2" fillId="3" borderId="13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165" fontId="0" fillId="2" borderId="13" xfId="0" applyNumberFormat="1" applyFill="1" applyBorder="1" applyAlignment="1">
      <alignment horizontal="right"/>
    </xf>
    <xf numFmtId="165" fontId="0" fillId="2" borderId="3" xfId="0" applyNumberFormat="1" applyFill="1" applyBorder="1" applyAlignment="1">
      <alignment horizontal="right"/>
    </xf>
    <xf numFmtId="165" fontId="2" fillId="3" borderId="12" xfId="0" applyNumberFormat="1" applyFont="1" applyFill="1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65" fontId="0" fillId="2" borderId="3" xfId="1" applyNumberFormat="1" applyFon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11" fontId="0" fillId="0" borderId="0" xfId="0" applyNumberFormat="1"/>
    <xf numFmtId="0" fontId="2" fillId="2" borderId="1" xfId="0" applyFont="1" applyFill="1" applyBorder="1" applyAlignment="1">
      <alignment horizontal="right" wrapText="1" shrinkToFit="1"/>
    </xf>
    <xf numFmtId="3" fontId="0" fillId="0" borderId="0" xfId="0" applyNumberFormat="1" applyAlignment="1">
      <alignment horizontal="right"/>
    </xf>
    <xf numFmtId="164" fontId="20" fillId="2" borderId="0" xfId="0" applyNumberFormat="1" applyFont="1" applyFill="1"/>
    <xf numFmtId="1" fontId="20" fillId="2" borderId="0" xfId="0" applyNumberFormat="1" applyFont="1" applyFill="1"/>
    <xf numFmtId="1" fontId="2" fillId="2" borderId="0" xfId="0" applyNumberFormat="1" applyFont="1" applyFill="1"/>
    <xf numFmtId="1" fontId="11" fillId="2" borderId="0" xfId="0" applyNumberFormat="1" applyFont="1" applyFill="1"/>
    <xf numFmtId="0" fontId="16" fillId="2" borderId="0" xfId="0" applyFont="1" applyFill="1"/>
    <xf numFmtId="1" fontId="2" fillId="2" borderId="16" xfId="0" applyNumberFormat="1" applyFont="1" applyFill="1" applyBorder="1" applyAlignment="1">
      <alignment horizontal="right"/>
    </xf>
    <xf numFmtId="1" fontId="2" fillId="3" borderId="9" xfId="0" applyNumberFormat="1" applyFont="1" applyFill="1" applyBorder="1" applyAlignment="1">
      <alignment horizontal="right"/>
    </xf>
    <xf numFmtId="1" fontId="2" fillId="3" borderId="10" xfId="0" applyNumberFormat="1" applyFont="1" applyFill="1" applyBorder="1" applyAlignment="1">
      <alignment horizontal="right"/>
    </xf>
    <xf numFmtId="1" fontId="0" fillId="2" borderId="6" xfId="0" applyNumberFormat="1" applyFill="1" applyBorder="1" applyAlignment="1">
      <alignment horizontal="right"/>
    </xf>
    <xf numFmtId="1" fontId="2" fillId="3" borderId="16" xfId="0" applyNumberFormat="1" applyFont="1" applyFill="1" applyBorder="1" applyAlignment="1">
      <alignment horizontal="right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1" fontId="2" fillId="4" borderId="16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" fontId="2" fillId="3" borderId="17" xfId="0" applyNumberFormat="1" applyFont="1" applyFill="1" applyBorder="1" applyAlignment="1">
      <alignment horizontal="right"/>
    </xf>
    <xf numFmtId="1" fontId="0" fillId="2" borderId="18" xfId="0" applyNumberFormat="1" applyFill="1" applyBorder="1" applyAlignment="1">
      <alignment horizontal="right"/>
    </xf>
    <xf numFmtId="1" fontId="2" fillId="3" borderId="15" xfId="0" applyNumberFormat="1" applyFont="1" applyFill="1" applyBorder="1" applyAlignment="1">
      <alignment horizontal="right"/>
    </xf>
    <xf numFmtId="1" fontId="0" fillId="2" borderId="17" xfId="0" applyNumberFormat="1" applyFill="1" applyBorder="1" applyAlignment="1">
      <alignment horizontal="right"/>
    </xf>
    <xf numFmtId="1" fontId="2" fillId="4" borderId="15" xfId="0" applyNumberFormat="1" applyFont="1" applyFill="1" applyBorder="1"/>
    <xf numFmtId="3" fontId="2" fillId="9" borderId="19" xfId="0" applyNumberFormat="1" applyFont="1" applyFill="1" applyBorder="1" applyAlignment="1">
      <alignment horizontal="right"/>
    </xf>
    <xf numFmtId="3" fontId="2" fillId="9" borderId="20" xfId="0" applyNumberFormat="1" applyFont="1" applyFill="1" applyBorder="1" applyAlignment="1">
      <alignment horizontal="right"/>
    </xf>
    <xf numFmtId="3" fontId="0" fillId="2" borderId="5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2" fillId="9" borderId="7" xfId="0" applyNumberFormat="1" applyFont="1" applyFill="1" applyBorder="1" applyAlignment="1">
      <alignment horizontal="right"/>
    </xf>
    <xf numFmtId="3" fontId="2" fillId="9" borderId="25" xfId="0" applyNumberFormat="1" applyFont="1" applyFill="1" applyBorder="1" applyAlignment="1">
      <alignment horizontal="right"/>
    </xf>
    <xf numFmtId="3" fontId="0" fillId="2" borderId="18" xfId="0" applyNumberForma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165" fontId="0" fillId="2" borderId="8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right"/>
    </xf>
    <xf numFmtId="165" fontId="0" fillId="2" borderId="5" xfId="0" applyNumberFormat="1" applyFill="1" applyBorder="1" applyAlignment="1">
      <alignment horizontal="right"/>
    </xf>
    <xf numFmtId="165" fontId="0" fillId="2" borderId="6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right"/>
    </xf>
    <xf numFmtId="165" fontId="0" fillId="2" borderId="10" xfId="0" applyNumberForma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165" fontId="0" fillId="2" borderId="27" xfId="0" applyNumberFormat="1" applyFill="1" applyBorder="1" applyAlignment="1">
      <alignment horizontal="right"/>
    </xf>
    <xf numFmtId="165" fontId="0" fillId="2" borderId="18" xfId="0" applyNumberFormat="1" applyFill="1" applyBorder="1" applyAlignment="1">
      <alignment horizontal="right"/>
    </xf>
    <xf numFmtId="165" fontId="0" fillId="2" borderId="17" xfId="0" applyNumberFormat="1" applyFill="1" applyBorder="1" applyAlignment="1">
      <alignment horizontal="right"/>
    </xf>
    <xf numFmtId="165" fontId="2" fillId="3" borderId="26" xfId="0" applyNumberFormat="1" applyFont="1" applyFill="1" applyBorder="1" applyAlignment="1">
      <alignment horizontal="right"/>
    </xf>
    <xf numFmtId="165" fontId="0" fillId="2" borderId="26" xfId="0" applyNumberFormat="1" applyFill="1" applyBorder="1" applyAlignment="1">
      <alignment horizontal="right"/>
    </xf>
    <xf numFmtId="165" fontId="2" fillId="3" borderId="28" xfId="0" applyNumberFormat="1" applyFont="1" applyFill="1" applyBorder="1" applyAlignment="1">
      <alignment horizontal="right"/>
    </xf>
    <xf numFmtId="165" fontId="0" fillId="2" borderId="18" xfId="1" applyNumberFormat="1" applyFont="1" applyFill="1" applyBorder="1" applyAlignment="1">
      <alignment horizontal="right"/>
    </xf>
    <xf numFmtId="165" fontId="0" fillId="2" borderId="17" xfId="1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22" xfId="0" applyNumberFormat="1" applyFont="1" applyFill="1" applyBorder="1" applyAlignment="1">
      <alignment horizontal="right"/>
    </xf>
    <xf numFmtId="165" fontId="0" fillId="2" borderId="21" xfId="0" applyNumberFormat="1" applyFill="1" applyBorder="1" applyAlignment="1">
      <alignment horizontal="right"/>
    </xf>
    <xf numFmtId="165" fontId="0" fillId="2" borderId="22" xfId="0" applyNumberForma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165" fontId="0" fillId="2" borderId="5" xfId="1" applyNumberFormat="1" applyFont="1" applyFill="1" applyBorder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165" fontId="0" fillId="2" borderId="9" xfId="1" applyNumberFormat="1" applyFon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165" fontId="0" fillId="0" borderId="33" xfId="0" applyNumberFormat="1" applyBorder="1"/>
    <xf numFmtId="0" fontId="0" fillId="0" borderId="34" xfId="0" applyBorder="1"/>
    <xf numFmtId="165" fontId="0" fillId="0" borderId="35" xfId="0" applyNumberFormat="1" applyBorder="1"/>
    <xf numFmtId="165" fontId="0" fillId="0" borderId="36" xfId="0" applyNumberFormat="1" applyBorder="1"/>
    <xf numFmtId="165" fontId="2" fillId="3" borderId="21" xfId="0" applyNumberFormat="1" applyFont="1" applyFill="1" applyBorder="1" applyAlignment="1">
      <alignment horizontal="center"/>
    </xf>
    <xf numFmtId="165" fontId="2" fillId="3" borderId="26" xfId="0" applyNumberFormat="1" applyFont="1" applyFill="1" applyBorder="1" applyAlignment="1">
      <alignment horizontal="center"/>
    </xf>
    <xf numFmtId="1" fontId="21" fillId="2" borderId="0" xfId="0" applyNumberFormat="1" applyFont="1" applyFill="1" applyAlignment="1">
      <alignment horizontal="right"/>
    </xf>
    <xf numFmtId="0" fontId="2" fillId="2" borderId="4" xfId="0" applyFont="1" applyFill="1" applyBorder="1" applyAlignment="1">
      <alignment horizontal="right" wrapText="1" shrinkToFit="1"/>
    </xf>
    <xf numFmtId="1" fontId="11" fillId="5" borderId="1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" fontId="11" fillId="6" borderId="15" xfId="0" applyNumberFormat="1" applyFont="1" applyFill="1" applyBorder="1"/>
    <xf numFmtId="0" fontId="12" fillId="2" borderId="4" xfId="0" applyFont="1" applyFill="1" applyBorder="1"/>
    <xf numFmtId="0" fontId="0" fillId="0" borderId="2" xfId="0" applyBorder="1"/>
    <xf numFmtId="1" fontId="2" fillId="3" borderId="4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indent="2"/>
    </xf>
    <xf numFmtId="1" fontId="2" fillId="5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/>
    <xf numFmtId="0" fontId="2" fillId="10" borderId="0" xfId="0" applyFont="1" applyFill="1"/>
    <xf numFmtId="0" fontId="22" fillId="2" borderId="0" xfId="4" applyFill="1" applyBorder="1"/>
    <xf numFmtId="9" fontId="22" fillId="0" borderId="0" xfId="4" applyNumberFormat="1"/>
    <xf numFmtId="166" fontId="2" fillId="9" borderId="2" xfId="0" applyNumberFormat="1" applyFont="1" applyFill="1" applyBorder="1" applyAlignment="1">
      <alignment horizontal="right"/>
    </xf>
    <xf numFmtId="9" fontId="2" fillId="3" borderId="23" xfId="0" applyNumberFormat="1" applyFont="1" applyFill="1" applyBorder="1" applyAlignment="1">
      <alignment horizontal="right"/>
    </xf>
    <xf numFmtId="0" fontId="5" fillId="0" borderId="4" xfId="0" applyFont="1" applyBorder="1"/>
    <xf numFmtId="0" fontId="2" fillId="2" borderId="5" xfId="0" applyFont="1" applyFill="1" applyBorder="1"/>
    <xf numFmtId="0" fontId="7" fillId="2" borderId="38" xfId="0" applyFont="1" applyFill="1" applyBorder="1" applyAlignment="1">
      <alignment vertical="center"/>
    </xf>
    <xf numFmtId="165" fontId="0" fillId="2" borderId="18" xfId="0" applyNumberFormat="1" applyFill="1" applyBorder="1" applyAlignment="1">
      <alignment vertical="center"/>
    </xf>
    <xf numFmtId="165" fontId="0" fillId="2" borderId="37" xfId="0" applyNumberForma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22" fillId="0" borderId="9" xfId="4" applyBorder="1"/>
    <xf numFmtId="165" fontId="22" fillId="2" borderId="17" xfId="4" applyNumberFormat="1" applyFill="1" applyBorder="1" applyAlignment="1">
      <alignment vertical="center"/>
    </xf>
    <xf numFmtId="0" fontId="3" fillId="10" borderId="0" xfId="0" applyFont="1" applyFill="1"/>
    <xf numFmtId="1" fontId="2" fillId="7" borderId="4" xfId="0" applyNumberFormat="1" applyFont="1" applyFill="1" applyBorder="1" applyAlignment="1">
      <alignment horizontal="left"/>
    </xf>
    <xf numFmtId="1" fontId="2" fillId="7" borderId="15" xfId="0" applyNumberFormat="1" applyFont="1" applyFill="1" applyBorder="1" applyAlignment="1">
      <alignment horizontal="right"/>
    </xf>
    <xf numFmtId="164" fontId="2" fillId="8" borderId="15" xfId="0" applyNumberFormat="1" applyFont="1" applyFill="1" applyBorder="1"/>
    <xf numFmtId="0" fontId="22" fillId="2" borderId="0" xfId="4" applyFill="1"/>
    <xf numFmtId="2" fontId="22" fillId="2" borderId="0" xfId="4" applyNumberFormat="1" applyFill="1" applyBorder="1" applyAlignment="1">
      <alignment horizontal="right"/>
    </xf>
    <xf numFmtId="164" fontId="22" fillId="2" borderId="0" xfId="4" applyNumberFormat="1" applyFill="1"/>
    <xf numFmtId="1" fontId="22" fillId="2" borderId="0" xfId="4" applyNumberFormat="1" applyFill="1"/>
    <xf numFmtId="164" fontId="22" fillId="2" borderId="0" xfId="4" applyNumberFormat="1" applyFill="1" applyBorder="1"/>
    <xf numFmtId="2" fontId="2" fillId="2" borderId="0" xfId="0" applyNumberFormat="1" applyFont="1" applyFill="1"/>
    <xf numFmtId="1" fontId="2" fillId="8" borderId="15" xfId="0" applyNumberFormat="1" applyFont="1" applyFill="1" applyBorder="1"/>
    <xf numFmtId="0" fontId="0" fillId="2" borderId="4" xfId="0" applyFill="1" applyBorder="1"/>
    <xf numFmtId="0" fontId="2" fillId="2" borderId="4" xfId="0" applyFont="1" applyFill="1" applyBorder="1"/>
    <xf numFmtId="0" fontId="23" fillId="2" borderId="4" xfId="0" applyFont="1" applyFill="1" applyBorder="1" applyAlignment="1">
      <alignment horizontal="left" vertical="center" wrapText="1"/>
    </xf>
    <xf numFmtId="2" fontId="2" fillId="0" borderId="8" xfId="0" applyNumberFormat="1" applyFont="1" applyBorder="1"/>
    <xf numFmtId="1" fontId="2" fillId="0" borderId="2" xfId="0" applyNumberFormat="1" applyFont="1" applyBorder="1"/>
    <xf numFmtId="1" fontId="2" fillId="0" borderId="7" xfId="0" applyNumberFormat="1" applyFont="1" applyBorder="1"/>
    <xf numFmtId="2" fontId="2" fillId="0" borderId="5" xfId="0" applyNumberFormat="1" applyFont="1" applyBorder="1"/>
    <xf numFmtId="0" fontId="2" fillId="0" borderId="5" xfId="0" applyFont="1" applyBorder="1"/>
    <xf numFmtId="2" fontId="2" fillId="0" borderId="9" xfId="0" applyNumberFormat="1" applyFont="1" applyBorder="1"/>
    <xf numFmtId="1" fontId="0" fillId="0" borderId="6" xfId="0" applyNumberFormat="1" applyBorder="1" applyAlignment="1">
      <alignment horizontal="right"/>
    </xf>
    <xf numFmtId="1" fontId="0" fillId="0" borderId="3" xfId="0" applyNumberFormat="1" applyBorder="1"/>
    <xf numFmtId="1" fontId="0" fillId="0" borderId="10" xfId="0" applyNumberFormat="1" applyBorder="1" applyAlignment="1">
      <alignment horizontal="right"/>
    </xf>
    <xf numFmtId="2" fontId="22" fillId="0" borderId="0" xfId="4" applyNumberFormat="1" applyFill="1" applyBorder="1"/>
    <xf numFmtId="1" fontId="22" fillId="0" borderId="0" xfId="4" applyNumberFormat="1" applyFill="1" applyBorder="1"/>
    <xf numFmtId="1" fontId="22" fillId="0" borderId="0" xfId="4" applyNumberFormat="1" applyFill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6" xfId="0" applyNumberFormat="1" applyBorder="1" applyAlignment="1">
      <alignment horizontal="right"/>
    </xf>
    <xf numFmtId="9" fontId="0" fillId="0" borderId="3" xfId="0" applyNumberFormat="1" applyBorder="1" applyAlignment="1">
      <alignment horizontal="right"/>
    </xf>
    <xf numFmtId="9" fontId="0" fillId="0" borderId="10" xfId="0" applyNumberFormat="1" applyBorder="1" applyAlignment="1">
      <alignment horizontal="right"/>
    </xf>
    <xf numFmtId="9" fontId="22" fillId="0" borderId="0" xfId="4" applyNumberFormat="1" applyFill="1" applyBorder="1" applyAlignment="1">
      <alignment horizontal="right"/>
    </xf>
    <xf numFmtId="0" fontId="24" fillId="2" borderId="0" xfId="0" applyFont="1" applyFill="1"/>
    <xf numFmtId="0" fontId="25" fillId="2" borderId="0" xfId="0" applyFont="1" applyFill="1"/>
    <xf numFmtId="0" fontId="22" fillId="0" borderId="0" xfId="4" applyFill="1" applyBorder="1"/>
    <xf numFmtId="9" fontId="22" fillId="0" borderId="0" xfId="4" applyNumberFormat="1" applyFill="1" applyBorder="1"/>
    <xf numFmtId="0" fontId="0" fillId="0" borderId="8" xfId="0" applyBorder="1"/>
    <xf numFmtId="0" fontId="0" fillId="0" borderId="5" xfId="0" applyBorder="1"/>
    <xf numFmtId="0" fontId="2" fillId="2" borderId="19" xfId="0" applyFont="1" applyFill="1" applyBorder="1"/>
    <xf numFmtId="166" fontId="2" fillId="9" borderId="7" xfId="0" applyNumberFormat="1" applyFont="1" applyFill="1" applyBorder="1" applyAlignment="1">
      <alignment horizontal="right"/>
    </xf>
    <xf numFmtId="9" fontId="2" fillId="3" borderId="28" xfId="0" applyNumberFormat="1" applyFont="1" applyFill="1" applyBorder="1" applyAlignment="1">
      <alignment horizontal="right"/>
    </xf>
    <xf numFmtId="0" fontId="2" fillId="2" borderId="9" xfId="0" applyFont="1" applyFill="1" applyBorder="1"/>
    <xf numFmtId="9" fontId="2" fillId="3" borderId="39" xfId="0" applyNumberFormat="1" applyFont="1" applyFill="1" applyBorder="1" applyAlignment="1">
      <alignment horizontal="right"/>
    </xf>
    <xf numFmtId="9" fontId="2" fillId="3" borderId="40" xfId="0" applyNumberFormat="1" applyFont="1" applyFill="1" applyBorder="1" applyAlignment="1">
      <alignment horizontal="right"/>
    </xf>
    <xf numFmtId="1" fontId="26" fillId="10" borderId="0" xfId="5" applyNumberFormat="1" applyFont="1" applyFill="1" applyAlignment="1">
      <alignment horizontal="left" vertical="center" wrapText="1"/>
    </xf>
    <xf numFmtId="0" fontId="27" fillId="11" borderId="0" xfId="0" applyFont="1" applyFill="1"/>
    <xf numFmtId="0" fontId="2" fillId="0" borderId="6" xfId="0" applyFont="1" applyBorder="1"/>
    <xf numFmtId="0" fontId="9" fillId="2" borderId="0" xfId="0" applyFont="1" applyFill="1"/>
    <xf numFmtId="0" fontId="0" fillId="2" borderId="6" xfId="0" applyFill="1" applyBorder="1"/>
    <xf numFmtId="0" fontId="2" fillId="2" borderId="6" xfId="0" applyFont="1" applyFill="1" applyBorder="1"/>
    <xf numFmtId="0" fontId="2" fillId="5" borderId="41" xfId="0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right"/>
    </xf>
    <xf numFmtId="164" fontId="21" fillId="2" borderId="0" xfId="0" applyNumberFormat="1" applyFont="1" applyFill="1" applyAlignment="1">
      <alignment horizontal="right"/>
    </xf>
    <xf numFmtId="0" fontId="10" fillId="10" borderId="0" xfId="0" applyFont="1" applyFill="1"/>
    <xf numFmtId="0" fontId="16" fillId="0" borderId="0" xfId="0" applyFont="1"/>
    <xf numFmtId="1" fontId="2" fillId="12" borderId="4" xfId="0" applyNumberFormat="1" applyFont="1" applyFill="1" applyBorder="1" applyAlignment="1">
      <alignment horizontal="left"/>
    </xf>
    <xf numFmtId="0" fontId="0" fillId="12" borderId="0" xfId="0" applyFill="1"/>
    <xf numFmtId="164" fontId="11" fillId="12" borderId="4" xfId="0" quotePrefix="1" applyNumberFormat="1" applyFont="1" applyFill="1" applyBorder="1" applyAlignment="1">
      <alignment horizontal="right"/>
    </xf>
    <xf numFmtId="164" fontId="11" fillId="12" borderId="1" xfId="0" applyNumberFormat="1" applyFont="1" applyFill="1" applyBorder="1" applyAlignment="1">
      <alignment horizontal="right"/>
    </xf>
    <xf numFmtId="164" fontId="11" fillId="12" borderId="15" xfId="0" applyNumberFormat="1" applyFont="1" applyFill="1" applyBorder="1" applyAlignment="1">
      <alignment horizontal="right"/>
    </xf>
    <xf numFmtId="164" fontId="16" fillId="2" borderId="5" xfId="0" applyNumberFormat="1" applyFont="1" applyFill="1" applyBorder="1" applyAlignment="1">
      <alignment horizontal="right"/>
    </xf>
    <xf numFmtId="164" fontId="0" fillId="2" borderId="18" xfId="0" applyNumberFormat="1" applyFill="1" applyBorder="1" applyAlignment="1">
      <alignment horizontal="right"/>
    </xf>
    <xf numFmtId="164" fontId="11" fillId="12" borderId="4" xfId="0" applyNumberFormat="1" applyFont="1" applyFill="1" applyBorder="1" applyAlignment="1">
      <alignment horizontal="right"/>
    </xf>
    <xf numFmtId="164" fontId="16" fillId="2" borderId="0" xfId="0" applyNumberFormat="1" applyFont="1" applyFill="1" applyAlignment="1">
      <alignment horizontal="right"/>
    </xf>
    <xf numFmtId="164" fontId="0" fillId="2" borderId="5" xfId="0" applyNumberFormat="1" applyFill="1" applyBorder="1" applyAlignment="1">
      <alignment horizontal="right"/>
    </xf>
    <xf numFmtId="1" fontId="2" fillId="13" borderId="4" xfId="0" applyNumberFormat="1" applyFont="1" applyFill="1" applyBorder="1"/>
    <xf numFmtId="0" fontId="0" fillId="13" borderId="3" xfId="0" applyFill="1" applyBorder="1"/>
    <xf numFmtId="164" fontId="11" fillId="13" borderId="4" xfId="0" applyNumberFormat="1" applyFont="1" applyFill="1" applyBorder="1"/>
    <xf numFmtId="164" fontId="11" fillId="13" borderId="1" xfId="0" applyNumberFormat="1" applyFont="1" applyFill="1" applyBorder="1"/>
    <xf numFmtId="164" fontId="11" fillId="13" borderId="15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164" fontId="2" fillId="3" borderId="15" xfId="0" applyNumberFormat="1" applyFont="1" applyFill="1" applyBorder="1" applyAlignment="1">
      <alignment horizontal="right"/>
    </xf>
    <xf numFmtId="2" fontId="16" fillId="2" borderId="0" xfId="0" applyNumberFormat="1" applyFont="1" applyFill="1" applyAlignment="1">
      <alignment horizontal="right"/>
    </xf>
    <xf numFmtId="1" fontId="16" fillId="2" borderId="18" xfId="0" applyNumberFormat="1" applyFont="1" applyFill="1" applyBorder="1" applyAlignment="1">
      <alignment horizontal="right"/>
    </xf>
    <xf numFmtId="1" fontId="11" fillId="3" borderId="1" xfId="0" applyNumberFormat="1" applyFont="1" applyFill="1" applyBorder="1" applyAlignment="1">
      <alignment horizontal="right"/>
    </xf>
    <xf numFmtId="1" fontId="11" fillId="3" borderId="15" xfId="0" applyNumberFormat="1" applyFont="1" applyFill="1" applyBorder="1" applyAlignment="1">
      <alignment horizontal="right"/>
    </xf>
    <xf numFmtId="1" fontId="11" fillId="4" borderId="1" xfId="0" applyNumberFormat="1" applyFont="1" applyFill="1" applyBorder="1"/>
    <xf numFmtId="1" fontId="11" fillId="4" borderId="15" xfId="0" applyNumberFormat="1" applyFont="1" applyFill="1" applyBorder="1"/>
    <xf numFmtId="2" fontId="2" fillId="3" borderId="1" xfId="0" applyNumberFormat="1" applyFont="1" applyFill="1" applyBorder="1" applyAlignment="1">
      <alignment horizontal="right"/>
    </xf>
    <xf numFmtId="0" fontId="23" fillId="2" borderId="8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</cellXfs>
  <cellStyles count="6">
    <cellStyle name="Lien hypertexte" xfId="3" builtinId="8"/>
    <cellStyle name="Motif 2 2" xfId="2" xr:uid="{00000000-0005-0000-0000-000001000000}"/>
    <cellStyle name="Normal" xfId="0" builtinId="0"/>
    <cellStyle name="Normal 2" xfId="5" xr:uid="{00000000-0005-0000-0000-000003000000}"/>
    <cellStyle name="Pourcentage" xfId="1" builtinId="5"/>
    <cellStyle name="Texte explicatif" xfId="4" builtinId="53"/>
  </cellStyles>
  <dxfs count="0"/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5" Type="http://schemas.openxmlformats.org/officeDocument/2006/relationships/chartsheet" Target="chartsheets/sheet2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5.xml"/><Relationship Id="rId19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Graphs'!$B$4</c:f>
          <c:strCache>
            <c:ptCount val="1"/>
            <c:pt idx="0">
              <c:v>TEND : Energie finale par usage et énergie primaire (Mtep)</c:v>
            </c:pt>
          </c:strCache>
        </c:strRef>
      </c:tx>
      <c:layout>
        <c:manualLayout>
          <c:xMode val="edge"/>
          <c:yMode val="edge"/>
          <c:x val="4.565027119818825E-2"/>
          <c:y val="1.8790840800072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E4B-4528-ADD6-F8FC9A686728}"/>
            </c:ext>
          </c:extLst>
        </c:ser>
        <c:ser>
          <c:idx val="0"/>
          <c:order val="1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4B-4528-ADD6-F8FC9A686728}"/>
            </c:ext>
          </c:extLst>
        </c:ser>
        <c:ser>
          <c:idx val="2"/>
          <c:order val="2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E4B-4528-ADD6-F8FC9A686728}"/>
            </c:ext>
          </c:extLst>
        </c:ser>
        <c:ser>
          <c:idx val="3"/>
          <c:order val="3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E4B-4528-ADD6-F8FC9A6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vecteurs'!$Z$8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4B-4528-ADD6-F8FC9A686728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B-4528-ADD6-F8FC9A686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vecteurs'!$AA$8:$AC$8</c:f>
              <c:numCache>
                <c:formatCode>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E4B-4528-ADD6-F8FC9A686728}"/>
            </c:ext>
          </c:extLst>
        </c:ser>
        <c:ser>
          <c:idx val="5"/>
          <c:order val="5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19613166221479E-17"/>
                  <c:y val="-4.3887147335423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BD-40DB-A16C-DFF8C658DFE3}"/>
                </c:ext>
              </c:extLst>
            </c:dLbl>
            <c:dLbl>
              <c:idx val="1"/>
              <c:layout>
                <c:manualLayout>
                  <c:x val="-1.3647219379051519E-3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BD-40DB-A16C-DFF8C658DFE3}"/>
                </c:ext>
              </c:extLst>
            </c:dLbl>
            <c:dLbl>
              <c:idx val="2"/>
              <c:layout>
                <c:manualLayout>
                  <c:x val="0"/>
                  <c:y val="-5.0156739811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BD-40DB-A16C-DFF8C658DFE3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4BD-40DB-A16C-DFF8C658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34802754671340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vecteurs'!$Z$33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E-4ECA-9D5C-5B4727E02E74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E-4ECA-9D5C-5B4727E02E74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vecteurs'!$AA$33:$AC$33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ECA-9D5C-5B4727E02E74}"/>
            </c:ext>
          </c:extLst>
        </c:ser>
        <c:ser>
          <c:idx val="1"/>
          <c:order val="1"/>
          <c:tx>
            <c:strRef>
              <c:f>'T energie vecteurs'!$Z$34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vecteurs'!$AA$34:$AC$34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E-4ECA-9D5C-5B4727E02E74}"/>
            </c:ext>
          </c:extLst>
        </c:ser>
        <c:ser>
          <c:idx val="2"/>
          <c:order val="2"/>
          <c:tx>
            <c:strRef>
              <c:f>'T energie vecteurs'!$Z$35</c:f>
              <c:strCache>
                <c:ptCount val="1"/>
                <c:pt idx="0">
                  <c:v>hydraulique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vecteurs'!$AA$35:$AC$35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E-4ECA-9D5C-5B4727E02E74}"/>
            </c:ext>
          </c:extLst>
        </c:ser>
        <c:ser>
          <c:idx val="3"/>
          <c:order val="3"/>
          <c:tx>
            <c:strRef>
              <c:f>'T energie vecteurs'!$Z$36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ECA-9D5C-5B4727E02E7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vecteurs'!$AA$36:$AC$36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6E-4ECA-9D5C-5B4727E02E74}"/>
            </c:ext>
          </c:extLst>
        </c:ser>
        <c:ser>
          <c:idx val="4"/>
          <c:order val="4"/>
          <c:tx>
            <c:strRef>
              <c:f>'T energie vecteurs'!$Z$37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vecteurs'!$AA$37:$AC$37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E-4ECA-9D5C-5B4727E02E74}"/>
            </c:ext>
          </c:extLst>
        </c:ser>
        <c:ser>
          <c:idx val="5"/>
          <c:order val="5"/>
          <c:tx>
            <c:strRef>
              <c:f>'T energie vecteurs'!$Z$38</c:f>
              <c:strCache>
                <c:ptCount val="1"/>
                <c:pt idx="0">
                  <c:v>autres renouvelables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vecteurs'!$AA$38:$AC$38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E-4ECA-9D5C-5B4727E0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Graphs'!$B$5</c:f>
              <c:strCache>
                <c:ptCount val="1"/>
                <c:pt idx="0">
                  <c:v>TEND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558547377074E-2"/>
              <c:y val="5.2149515793284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vecteurs'!$AE$33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44-4744-9C62-05D9B6E91931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44-4744-9C62-05D9B6E91931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4-4744-9C62-05D9B6E91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vecteurs'!$AF$33:$AH$33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44-9C62-05D9B6E91931}"/>
            </c:ext>
          </c:extLst>
        </c:ser>
        <c:ser>
          <c:idx val="1"/>
          <c:order val="1"/>
          <c:tx>
            <c:strRef>
              <c:f>'T energie vecteurs'!$AE$34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vecteurs'!$AF$34:$AH$34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44-9C62-05D9B6E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Graphs'!$B$6</c:f>
              <c:strCache>
                <c:ptCount val="1"/>
                <c:pt idx="0">
                  <c:v>TEND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vecteurs'!$AJ$33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A-429A-8A28-44CA5ABCCE0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A-429A-8A28-44CA5ABCCE07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vecteurs'!$AK$33:$AM$33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A-429A-8A28-44CA5ABCCE07}"/>
            </c:ext>
          </c:extLst>
        </c:ser>
        <c:ser>
          <c:idx val="1"/>
          <c:order val="1"/>
          <c:tx>
            <c:strRef>
              <c:f>'T energie vecteurs'!$AJ$34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A-429A-8A28-44CA5ABCCE07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A-429A-8A28-44CA5ABCCE07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vecteurs'!$AK$34:$AM$34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A-429A-8A28-44CA5AB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Graphs'!$B$7</c:f>
              <c:strCache>
                <c:ptCount val="1"/>
                <c:pt idx="0">
                  <c:v>TEND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26833710782E-2"/>
              <c:y val="4.67846534857123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54.964057902017686</c:v>
                </c:pt>
                <c:pt idx="1">
                  <c:v>45.310525387538121</c:v>
                </c:pt>
                <c:pt idx="2">
                  <c:v>39.110074900213398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09C-BDBE-F99B69B3F72E}"/>
            </c:ext>
          </c:extLst>
        </c:ser>
        <c:ser>
          <c:idx val="0"/>
          <c:order val="1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126.95565515017762</c:v>
                </c:pt>
                <c:pt idx="1">
                  <c:v>113.8327552596751</c:v>
                </c:pt>
                <c:pt idx="2">
                  <c:v>95.700988793477194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09C-BDBE-F99B69B3F72E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26.808207262582762</c:v>
                </c:pt>
                <c:pt idx="1">
                  <c:v>21.154626779179694</c:v>
                </c:pt>
                <c:pt idx="2">
                  <c:v>16.752541162318174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F-409C-BDBE-F99B69B3F72E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96.100582331488113</c:v>
                </c:pt>
                <c:pt idx="1">
                  <c:v>105.86991681638756</c:v>
                </c:pt>
                <c:pt idx="2">
                  <c:v>124.47345580669756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F-409C-BDBE-F99B69B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TEND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Graphs'!$B$9</c:f>
          <c:strCache>
            <c:ptCount val="1"/>
            <c:pt idx="0">
              <c:v>TEND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parc auto'!$C$18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2-44F6-A16A-C8BCAA28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auto'!$I$18:$K$18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2-44F6-A16A-C8BCAA280A45}"/>
            </c:ext>
          </c:extLst>
        </c:ser>
        <c:ser>
          <c:idx val="2"/>
          <c:order val="1"/>
          <c:tx>
            <c:strRef>
              <c:f>'T parc auto'!$C$17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auto'!$I$17:$K$17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2-44F6-A16A-C8BCAA280A45}"/>
            </c:ext>
          </c:extLst>
        </c:ser>
        <c:ser>
          <c:idx val="1"/>
          <c:order val="2"/>
          <c:tx>
            <c:strRef>
              <c:f>'T parc auto'!$C$16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auto'!$I$16:$K$16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2-44F6-A16A-C8BCAA280A45}"/>
            </c:ext>
          </c:extLst>
        </c:ser>
        <c:ser>
          <c:idx val="0"/>
          <c:order val="3"/>
          <c:tx>
            <c:strRef>
              <c:f>'T parc auto'!$C$14</c:f>
              <c:strCache>
                <c:ptCount val="1"/>
                <c:pt idx="0">
                  <c:v>Electriques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auto'!$I$14:$K$14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2-44F6-A16A-C8BCAA28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77254186433814"/>
          <c:h val="0.68854991088357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Graphs'!$B$10</c:f>
          <c:strCache>
            <c:ptCount val="1"/>
            <c:pt idx="0">
              <c:v>TEND : Ventilation du parc de logements (%)</c:v>
            </c:pt>
          </c:strCache>
        </c:strRef>
      </c:tx>
      <c:layout>
        <c:manualLayout>
          <c:xMode val="edge"/>
          <c:yMode val="edge"/>
          <c:x val="7.517898543132466E-2"/>
          <c:y val="1.671710315207464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logement'!$Y$19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logement'!$Z$19:$AB$19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D-4A1E-817A-62C204FE9217}"/>
            </c:ext>
          </c:extLst>
        </c:ser>
        <c:ser>
          <c:idx val="1"/>
          <c:order val="1"/>
          <c:tx>
            <c:strRef>
              <c:f>'T logement'!$Y$18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logement'!$Z$18:$AB$18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A1E-817A-62C204FE9217}"/>
            </c:ext>
          </c:extLst>
        </c:ser>
        <c:ser>
          <c:idx val="0"/>
          <c:order val="2"/>
          <c:tx>
            <c:strRef>
              <c:f>'T logement'!$Y$17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logement'!$Z$17:$AB$17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D-4A1E-817A-62C204FE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ma.monserand\Documents\GitHub\ThreeME\data\shocks\Bilan%20&#233;nergie%20-%20AMErun2%20-%20AMSrun2.xlsx" TargetMode="External"/><Relationship Id="rId1" Type="http://schemas.openxmlformats.org/officeDocument/2006/relationships/externalLinkPath" Target="/Users/alma.monserand/Documents/GitHub/ThreeME/data/shocks/Bilan%20&#233;nergie%20-%20AMErun2%20-%20AMSrun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bles THREEME"/>
      <sheetName val="Cibles THREEME AMS"/>
      <sheetName val="Cibles ThreeME v2 "/>
      <sheetName val="Cibles ThreeME v2 AMS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2 réel"/>
      <sheetName val="Bilan 2023 réel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KP_réel_2022"/>
      <sheetName val="Bilan_E_KP_réel_2023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_2023"/>
      <sheetName val="Bilan_E_KP_AMS_2025"/>
      <sheetName val="Bilan_E_KP_AMS_2028"/>
      <sheetName val="Bilan_E_KP_AMS_2030"/>
      <sheetName val="Bilan_E_KP_AMS_2033"/>
      <sheetName val="Bilan_E_KP_AMS_2035"/>
      <sheetName val="Bilan_E_KP_AMS_2038"/>
      <sheetName val="Bilan_E_KP_AMS_2040"/>
      <sheetName val="Bilan_E_KP_AMS_2043"/>
      <sheetName val="Bilan_E_KP_AMS_2045"/>
      <sheetName val="Bilan_E_KP_AMS_2050"/>
      <sheetName val="Bilan_E_KP_AMS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">
          <cell r="T13">
            <v>0.74651762682717104</v>
          </cell>
          <cell r="U13">
            <v>10.069552160228</v>
          </cell>
          <cell r="V13">
            <v>13.6203670581426</v>
          </cell>
          <cell r="W13">
            <v>12.701365476499801</v>
          </cell>
          <cell r="X13">
            <v>0.94471195184866696</v>
          </cell>
        </row>
        <row r="22">
          <cell r="T22">
            <v>0.20215430661253031</v>
          </cell>
          <cell r="U22">
            <v>10.298005677194096</v>
          </cell>
          <cell r="V22">
            <v>11.912749680464922</v>
          </cell>
          <cell r="W22">
            <v>7.2062454679408585</v>
          </cell>
          <cell r="X22">
            <v>7.267406707154804E-2</v>
          </cell>
        </row>
        <row r="30">
          <cell r="T30">
            <v>6.4536710533781398E-3</v>
          </cell>
          <cell r="U30">
            <v>1.2504899941046146</v>
          </cell>
          <cell r="V30">
            <v>1.21184436300186</v>
          </cell>
          <cell r="W30">
            <v>0.710753475039681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2.9897922514510483E-2</v>
          </cell>
          <cell r="U37">
            <v>1.1062928918353545</v>
          </cell>
          <cell r="V37">
            <v>6.0818806018488383</v>
          </cell>
          <cell r="W37">
            <v>0.31568062817324566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5.1467736003962539E-3</v>
          </cell>
          <cell r="U39">
            <v>2.5010085858689085E-5</v>
          </cell>
          <cell r="V39">
            <v>0.10956763115778498</v>
          </cell>
          <cell r="W39">
            <v>7.4926332712814264E-2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2.5168214298503164</v>
          </cell>
          <cell r="W40">
            <v>0.43850634072353678</v>
          </cell>
          <cell r="X40">
            <v>0</v>
          </cell>
        </row>
        <row r="41">
          <cell r="T41">
            <v>0.12266677554967495</v>
          </cell>
          <cell r="U41">
            <v>5.6111288464125664E-2</v>
          </cell>
          <cell r="V41">
            <v>0</v>
          </cell>
          <cell r="W41">
            <v>0</v>
          </cell>
          <cell r="X41">
            <v>2.9416967808253762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39.807000000000002</v>
          </cell>
        </row>
        <row r="43">
          <cell r="T43">
            <v>3.371</v>
          </cell>
          <cell r="U43">
            <v>2.3566094604778201</v>
          </cell>
          <cell r="V43">
            <v>6.6752954110546101</v>
          </cell>
          <cell r="W43">
            <v>3.01546564464017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2.2137192704974398E-3</v>
          </cell>
          <cell r="U46">
            <v>1.0493092649428299</v>
          </cell>
          <cell r="V46">
            <v>3.6764196608413298E-2</v>
          </cell>
          <cell r="W46">
            <v>4.3073392295861899E-2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3.2143188055943388</v>
          </cell>
        </row>
        <row r="53">
          <cell r="E53">
            <v>1.1015862413247299</v>
          </cell>
        </row>
        <row r="54">
          <cell r="E54">
            <v>12.452999999999999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9">
        <row r="13">
          <cell r="T13">
            <v>8.0414155849497</v>
          </cell>
          <cell r="U13">
            <v>105.150592236873</v>
          </cell>
          <cell r="V13">
            <v>158.3858485003</v>
          </cell>
          <cell r="W13">
            <v>124.730012203676</v>
          </cell>
          <cell r="X13">
            <v>8.3371990700000005</v>
          </cell>
        </row>
        <row r="22">
          <cell r="T22">
            <v>2.7076685555555562</v>
          </cell>
          <cell r="U22">
            <v>116.5874281388889</v>
          </cell>
          <cell r="V22">
            <v>125.05981224999999</v>
          </cell>
          <cell r="W22">
            <v>66.374696373468396</v>
          </cell>
          <cell r="X22">
            <v>2.2477144999999998</v>
          </cell>
        </row>
        <row r="30">
          <cell r="T30">
            <v>0.189373333333333</v>
          </cell>
          <cell r="U30">
            <v>22.254054739303911</v>
          </cell>
          <cell r="V30">
            <v>14.411899999999999</v>
          </cell>
          <cell r="W30">
            <v>9.5887644444444504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1.69047944444444</v>
          </cell>
          <cell r="U37">
            <v>15.5648575</v>
          </cell>
          <cell r="V37">
            <v>69.4067088888889</v>
          </cell>
          <cell r="W37">
            <v>2.8232277777777801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0.29232166666666698</v>
          </cell>
          <cell r="U39">
            <v>1.51127777777778E-2</v>
          </cell>
          <cell r="V39">
            <v>1.04480216638667</v>
          </cell>
          <cell r="W39">
            <v>0.354625058755556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27.426589444444399</v>
          </cell>
          <cell r="W40">
            <v>4.4857555555555599</v>
          </cell>
          <cell r="X40">
            <v>0</v>
          </cell>
        </row>
        <row r="41">
          <cell r="T41">
            <v>1.93666726391606</v>
          </cell>
          <cell r="U41">
            <v>1.0434102222764099</v>
          </cell>
          <cell r="V41">
            <v>0</v>
          </cell>
          <cell r="W41">
            <v>0</v>
          </cell>
          <cell r="X41">
            <v>30.751352031352699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384.06791201745</v>
          </cell>
        </row>
        <row r="43">
          <cell r="T43">
            <v>37.008579624305803</v>
          </cell>
          <cell r="U43">
            <v>30.361762354379302</v>
          </cell>
          <cell r="V43">
            <v>49.863308104442503</v>
          </cell>
          <cell r="W43">
            <v>31.480497483360899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1.5371382629999999E-2</v>
          </cell>
          <cell r="U46">
            <v>8.9862670625500005</v>
          </cell>
          <cell r="V46">
            <v>0.24074954805000001</v>
          </cell>
          <cell r="W46">
            <v>0.35525487623000002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27.795210764186699</v>
          </cell>
        </row>
        <row r="53">
          <cell r="E53">
            <v>12.027936499999999</v>
          </cell>
        </row>
        <row r="54">
          <cell r="E54">
            <v>130.484119421548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0"/>
      <sheetData sheetId="11">
        <row r="13">
          <cell r="T13">
            <v>7.8260000000000005</v>
          </cell>
          <cell r="U13">
            <v>107.64707300000001</v>
          </cell>
          <cell r="V13">
            <v>155.36990600000001</v>
          </cell>
          <cell r="W13">
            <v>133.03417000000002</v>
          </cell>
          <cell r="X13">
            <v>10.823198000000001</v>
          </cell>
        </row>
        <row r="22">
          <cell r="T22">
            <v>2.7474958333333332</v>
          </cell>
          <cell r="U22">
            <v>108.57266219444446</v>
          </cell>
          <cell r="V22">
            <v>110.55954550000001</v>
          </cell>
          <cell r="W22">
            <v>67.887248027777787</v>
          </cell>
          <cell r="X22">
            <v>3.7083049999999997</v>
          </cell>
        </row>
        <row r="30">
          <cell r="T30">
            <v>0.23347250000000003</v>
          </cell>
          <cell r="U30">
            <v>26.203729444444445</v>
          </cell>
          <cell r="V30">
            <v>14.53032638888889</v>
          </cell>
          <cell r="W30">
            <v>9.7167455555555549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1.8437186111111112</v>
          </cell>
          <cell r="U37">
            <v>15.531573611111112</v>
          </cell>
          <cell r="V37">
            <v>69.611392402361105</v>
          </cell>
          <cell r="W37">
            <v>3.2420080555555599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0.29211333333333334</v>
          </cell>
          <cell r="U39">
            <v>2.4585833333333335E-2</v>
          </cell>
          <cell r="V39">
            <v>2.5257802777777778</v>
          </cell>
          <cell r="W39">
            <v>0.34678083333333298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39.547388055555558</v>
          </cell>
          <cell r="W40">
            <v>4.8885494444444442</v>
          </cell>
          <cell r="X40">
            <v>0</v>
          </cell>
        </row>
        <row r="41">
          <cell r="T41">
            <v>2.0636319502888534</v>
          </cell>
          <cell r="U41">
            <v>0.8896092618446092</v>
          </cell>
          <cell r="V41">
            <v>0</v>
          </cell>
          <cell r="W41">
            <v>0</v>
          </cell>
          <cell r="X41">
            <v>35.98692255406236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468.70719657595708</v>
          </cell>
        </row>
        <row r="43">
          <cell r="T43">
            <v>39.452873847389007</v>
          </cell>
          <cell r="U43">
            <v>27.924680978677003</v>
          </cell>
          <cell r="V43">
            <v>40.712038874909005</v>
          </cell>
          <cell r="W43">
            <v>24.208682698433005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1.9208852320000001E-2</v>
          </cell>
          <cell r="U46">
            <v>7.3736578567600004</v>
          </cell>
          <cell r="V46">
            <v>0.30791956671000004</v>
          </cell>
          <cell r="W46">
            <v>0.38187951663999997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44.997299641464451</v>
          </cell>
        </row>
        <row r="53">
          <cell r="E53">
            <v>10.145451250000001</v>
          </cell>
        </row>
        <row r="54">
          <cell r="E54">
            <v>107.81117013444999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2">
        <row r="13">
          <cell r="T13">
            <v>7.6348390000000004</v>
          </cell>
          <cell r="U13">
            <v>103.14419500000001</v>
          </cell>
          <cell r="V13">
            <v>151.42570800000004</v>
          </cell>
          <cell r="W13">
            <v>130.260345</v>
          </cell>
          <cell r="X13">
            <v>10.543191</v>
          </cell>
        </row>
        <row r="22">
          <cell r="T22">
            <v>2.7313033333333334</v>
          </cell>
          <cell r="U22">
            <v>100.79992327777778</v>
          </cell>
          <cell r="V22">
            <v>103.59429425</v>
          </cell>
          <cell r="W22">
            <v>63.657246916666658</v>
          </cell>
          <cell r="X22">
            <v>3.7083049999999997</v>
          </cell>
        </row>
        <row r="30">
          <cell r="T30">
            <v>0.26707805555555558</v>
          </cell>
          <cell r="U30">
            <v>25.961824722222225</v>
          </cell>
          <cell r="V30">
            <v>15.629575833333334</v>
          </cell>
          <cell r="W30">
            <v>9.8594538888888898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1.8475597222222224</v>
          </cell>
          <cell r="U37">
            <v>14.497804722222222</v>
          </cell>
          <cell r="V37">
            <v>70.150979653888882</v>
          </cell>
          <cell r="W37">
            <v>3.2188041666666698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0.29294666666666669</v>
          </cell>
          <cell r="U39">
            <v>2.5632777777777779E-2</v>
          </cell>
          <cell r="V39">
            <v>2.6333313888888892</v>
          </cell>
          <cell r="W39">
            <v>0.353265833333333</v>
          </cell>
          <cell r="X39">
            <v>0</v>
          </cell>
        </row>
        <row r="40">
          <cell r="T40">
            <v>0</v>
          </cell>
          <cell r="U40">
            <v>2.6356574892997744E-4</v>
          </cell>
          <cell r="V40">
            <v>44.439514166666662</v>
          </cell>
          <cell r="W40">
            <v>5.0584755555555549</v>
          </cell>
          <cell r="X40">
            <v>0</v>
          </cell>
        </row>
        <row r="41">
          <cell r="T41">
            <v>2.0636319502888525</v>
          </cell>
          <cell r="U41">
            <v>0.89176663588059402</v>
          </cell>
          <cell r="V41">
            <v>0</v>
          </cell>
          <cell r="W41">
            <v>4.4999999999999929E-2</v>
          </cell>
          <cell r="X41">
            <v>37.735735445533919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452.34819647075807</v>
          </cell>
        </row>
        <row r="43">
          <cell r="T43">
            <v>37.704445299680003</v>
          </cell>
          <cell r="U43">
            <v>26.970422859407002</v>
          </cell>
          <cell r="V43">
            <v>35.382495305294</v>
          </cell>
          <cell r="W43">
            <v>23.957943117617006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1.4204347020000001E-2</v>
          </cell>
          <cell r="U46">
            <v>6.7561224064300012</v>
          </cell>
          <cell r="V46">
            <v>0.23010017802000002</v>
          </cell>
          <cell r="W46">
            <v>0.34274047288000004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37.544340114489998</v>
          </cell>
        </row>
        <row r="53">
          <cell r="E53">
            <v>10.01566775</v>
          </cell>
        </row>
        <row r="54">
          <cell r="E54">
            <v>113.10061663207698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3"/>
      <sheetData sheetId="14">
        <row r="13">
          <cell r="T13">
            <v>8.2455072704191767</v>
          </cell>
          <cell r="U13">
            <v>110.31623789955354</v>
          </cell>
          <cell r="V13">
            <v>168.17343522041736</v>
          </cell>
          <cell r="W13">
            <v>131.53831129097264</v>
          </cell>
          <cell r="X13">
            <v>17.908429224736064</v>
          </cell>
        </row>
        <row r="22">
          <cell r="T22">
            <v>2.4899238027122088</v>
          </cell>
          <cell r="U22">
            <v>112.28992403957399</v>
          </cell>
          <cell r="V22">
            <v>122.23887735132044</v>
          </cell>
          <cell r="W22">
            <v>68.197827273818135</v>
          </cell>
          <cell r="X22">
            <v>6.7841435265203538</v>
          </cell>
        </row>
        <row r="30">
          <cell r="T30">
            <v>0</v>
          </cell>
          <cell r="U30">
            <v>18.717898630882576</v>
          </cell>
          <cell r="V30">
            <v>15.992572069761611</v>
          </cell>
          <cell r="W30">
            <v>5.3259859771970728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0.70706396927287185</v>
          </cell>
          <cell r="U37">
            <v>17.593885172405454</v>
          </cell>
          <cell r="V37">
            <v>72.996556103181632</v>
          </cell>
          <cell r="W37">
            <v>3.9976752731894716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9.0201671928645533E-2</v>
          </cell>
          <cell r="U39">
            <v>3.8289980908217579E-4</v>
          </cell>
          <cell r="V39">
            <v>1.4994987295121316</v>
          </cell>
          <cell r="W39">
            <v>0.94378280475996701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32.811205728954405</v>
          </cell>
          <cell r="W40">
            <v>6.5080361221152287</v>
          </cell>
          <cell r="X40">
            <v>0</v>
          </cell>
        </row>
        <row r="41">
          <cell r="T41">
            <v>2.2606527751608563</v>
          </cell>
          <cell r="U41">
            <v>0.83302892187499988</v>
          </cell>
          <cell r="V41">
            <v>0</v>
          </cell>
          <cell r="W41">
            <v>0</v>
          </cell>
          <cell r="X41">
            <v>39.656272012198485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408.63289173322238</v>
          </cell>
        </row>
        <row r="43">
          <cell r="T43">
            <v>34.492480565946664</v>
          </cell>
          <cell r="U43">
            <v>27.107499244386606</v>
          </cell>
          <cell r="V43">
            <v>41.084750674599483</v>
          </cell>
          <cell r="W43">
            <v>21.278250753083572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7.0843993210285721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41.900781249999994</v>
          </cell>
        </row>
        <row r="53">
          <cell r="E53">
            <v>12.538633041459809</v>
          </cell>
        </row>
        <row r="54">
          <cell r="E54">
            <v>127.25135409198229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5"/>
      <sheetData sheetId="16">
        <row r="5">
          <cell r="T5">
            <v>47.147872325239078</v>
          </cell>
          <cell r="U5">
            <v>286.13549908159888</v>
          </cell>
          <cell r="V5">
            <v>451.18068007383562</v>
          </cell>
          <cell r="W5">
            <v>224.79720476317669</v>
          </cell>
          <cell r="X5">
            <v>423.21303469152963</v>
          </cell>
        </row>
        <row r="13">
          <cell r="T13">
            <v>7.7746258142900144</v>
          </cell>
          <cell r="U13">
            <v>109.51907717242362</v>
          </cell>
          <cell r="V13">
            <v>175.94122104806229</v>
          </cell>
          <cell r="W13">
            <v>131.24016316985416</v>
          </cell>
          <cell r="X13">
            <v>30.235692409435519</v>
          </cell>
        </row>
        <row r="22">
          <cell r="T22">
            <v>2.2065468915632476</v>
          </cell>
          <cell r="U22">
            <v>107.57006290409642</v>
          </cell>
          <cell r="V22">
            <v>105.84038447625139</v>
          </cell>
          <cell r="W22">
            <v>63.626820842219111</v>
          </cell>
          <cell r="X22">
            <v>15.340301507466149</v>
          </cell>
        </row>
        <row r="30">
          <cell r="T30">
            <v>0</v>
          </cell>
          <cell r="U30">
            <v>18.104889666565256</v>
          </cell>
          <cell r="V30">
            <v>15.783130887728015</v>
          </cell>
          <cell r="W30">
            <v>4.3528828563662758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1.4487991994826963</v>
          </cell>
          <cell r="U37">
            <v>18.534460646102772</v>
          </cell>
          <cell r="V37">
            <v>78.735270640359559</v>
          </cell>
          <cell r="W37">
            <v>3.5803203712753549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8.4265288301735436E-2</v>
          </cell>
          <cell r="U39">
            <v>3.8267455312152764E-4</v>
          </cell>
          <cell r="V39">
            <v>1.9317269815068459</v>
          </cell>
          <cell r="W39">
            <v>0.83294326034961275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41.43976216997369</v>
          </cell>
          <cell r="W40">
            <v>8.0745890957481183</v>
          </cell>
          <cell r="X40">
            <v>0</v>
          </cell>
        </row>
        <row r="41">
          <cell r="T41">
            <v>2.4657875210358444</v>
          </cell>
          <cell r="U41">
            <v>0.85092246484375</v>
          </cell>
          <cell r="V41">
            <v>0</v>
          </cell>
          <cell r="W41">
            <v>0</v>
          </cell>
          <cell r="X41">
            <v>33.466916874810835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344.1701238998171</v>
          </cell>
        </row>
        <row r="43">
          <cell r="T43">
            <v>33.167847610565538</v>
          </cell>
          <cell r="U43">
            <v>25.052429385041094</v>
          </cell>
          <cell r="V43">
            <v>31.509183869953784</v>
          </cell>
          <cell r="W43">
            <v>13.089485167364064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6.5032741679727843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39.843501953124999</v>
          </cell>
        </row>
        <row r="53">
          <cell r="E53">
            <v>12.411293173801123</v>
          </cell>
        </row>
        <row r="54">
          <cell r="E54">
            <v>120.50577840542185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7"/>
      <sheetData sheetId="18">
        <row r="13">
          <cell r="T13">
            <v>7.1029233048090266</v>
          </cell>
          <cell r="U13">
            <v>109.99437284793218</v>
          </cell>
          <cell r="V13">
            <v>183.08170703950353</v>
          </cell>
          <cell r="W13">
            <v>134.9475862077569</v>
          </cell>
          <cell r="X13">
            <v>46.654707564142761</v>
          </cell>
        </row>
        <row r="22">
          <cell r="T22">
            <v>1.7974129621234143</v>
          </cell>
          <cell r="U22">
            <v>103.53986201693733</v>
          </cell>
          <cell r="V22">
            <v>90.643497547790304</v>
          </cell>
          <cell r="W22">
            <v>64.079034982937259</v>
          </cell>
          <cell r="X22">
            <v>25.624578872483603</v>
          </cell>
        </row>
        <row r="30">
          <cell r="T30">
            <v>0</v>
          </cell>
          <cell r="U30">
            <v>17.877746900135776</v>
          </cell>
          <cell r="V30">
            <v>15.629207143582217</v>
          </cell>
          <cell r="W30">
            <v>3.8620862063760555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2.5129576329044134</v>
          </cell>
          <cell r="U37">
            <v>19.565687098295676</v>
          </cell>
          <cell r="V37">
            <v>86.298448588028648</v>
          </cell>
          <cell r="W37">
            <v>3.3792389882828151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7.8328904674825409E-2</v>
          </cell>
          <cell r="U39">
            <v>3.8067188808088001E-4</v>
          </cell>
          <cell r="V39">
            <v>1.9759423218950023</v>
          </cell>
          <cell r="W39">
            <v>0.77988306826531983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49.305914152356948</v>
          </cell>
          <cell r="W40">
            <v>8.5204805498073064</v>
          </cell>
          <cell r="X40">
            <v>0</v>
          </cell>
        </row>
        <row r="41">
          <cell r="T41">
            <v>2.7366524531426237</v>
          </cell>
          <cell r="U41">
            <v>0.87520713476562495</v>
          </cell>
          <cell r="V41">
            <v>0</v>
          </cell>
          <cell r="W41">
            <v>0</v>
          </cell>
          <cell r="X41">
            <v>28.280041762715456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291.38745921478562</v>
          </cell>
        </row>
        <row r="43">
          <cell r="T43">
            <v>31.378359933180146</v>
          </cell>
          <cell r="U43">
            <v>23.255205938178186</v>
          </cell>
          <cell r="V43">
            <v>24.366054746482678</v>
          </cell>
          <cell r="W43">
            <v>9.1434406229634497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6.2002081056415257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39.800271484375003</v>
          </cell>
        </row>
        <row r="53">
          <cell r="E53">
            <v>12.028714359769619</v>
          </cell>
        </row>
        <row r="54">
          <cell r="E54">
            <v>114.78425758185857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0.87448992412119186</v>
          </cell>
        </row>
      </sheetData>
      <sheetData sheetId="19"/>
      <sheetData sheetId="20">
        <row r="13">
          <cell r="T13">
            <v>6.3643203530837074</v>
          </cell>
          <cell r="U13">
            <v>111.80433548215856</v>
          </cell>
          <cell r="V13">
            <v>187.24843332836184</v>
          </cell>
          <cell r="W13">
            <v>138.68432478978596</v>
          </cell>
          <cell r="X13">
            <v>62.086065361885787</v>
          </cell>
        </row>
        <row r="22">
          <cell r="T22">
            <v>1.3434836260904512</v>
          </cell>
          <cell r="U22">
            <v>100.27567229981769</v>
          </cell>
          <cell r="V22">
            <v>84.522095564657249</v>
          </cell>
          <cell r="W22">
            <v>64.55833796318565</v>
          </cell>
          <cell r="X22">
            <v>32.444304612937295</v>
          </cell>
        </row>
        <row r="30">
          <cell r="T30">
            <v>0</v>
          </cell>
          <cell r="U30">
            <v>17.844652835962791</v>
          </cell>
          <cell r="V30">
            <v>15.504434202631401</v>
          </cell>
          <cell r="W30">
            <v>3.5758270456804375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3.6844952632387193</v>
          </cell>
          <cell r="U37">
            <v>20.699069714826329</v>
          </cell>
          <cell r="V37">
            <v>87.012401530952616</v>
          </cell>
          <cell r="W37">
            <v>3.243340348024236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7.2392521047915395E-2</v>
          </cell>
          <cell r="U39">
            <v>3.7866244598879411E-4</v>
          </cell>
          <cell r="V39">
            <v>2.0231633432731213</v>
          </cell>
          <cell r="W39">
            <v>0.74318365128395913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54.219025663639314</v>
          </cell>
          <cell r="W40">
            <v>8.6788063603893928</v>
          </cell>
          <cell r="X40">
            <v>0</v>
          </cell>
        </row>
        <row r="41">
          <cell r="T41">
            <v>3.0029030850571363</v>
          </cell>
          <cell r="U41">
            <v>0.9136629082031249</v>
          </cell>
          <cell r="V41">
            <v>0</v>
          </cell>
          <cell r="W41">
            <v>0</v>
          </cell>
          <cell r="X41">
            <v>24.125777410294155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249.23385066161848</v>
          </cell>
        </row>
        <row r="43">
          <cell r="T43">
            <v>29.471786733039881</v>
          </cell>
          <cell r="U43">
            <v>21.83935294215906</v>
          </cell>
          <cell r="V43">
            <v>17.698191750553285</v>
          </cell>
          <cell r="W43">
            <v>5.759525486283259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5.4657298257742912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39.745125000000002</v>
          </cell>
        </row>
        <row r="53">
          <cell r="E53">
            <v>11.766175832538266</v>
          </cell>
        </row>
        <row r="54">
          <cell r="E54">
            <v>109.69308299672531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1.8135973700674786</v>
          </cell>
        </row>
      </sheetData>
      <sheetData sheetId="21"/>
      <sheetData sheetId="22">
        <row r="13">
          <cell r="T13">
            <v>5.5235547180923223</v>
          </cell>
          <cell r="U13">
            <v>114.99790196708234</v>
          </cell>
          <cell r="V13">
            <v>194.47767196350526</v>
          </cell>
          <cell r="W13">
            <v>146.08879967332064</v>
          </cell>
          <cell r="X13">
            <v>80.819270278256823</v>
          </cell>
        </row>
        <row r="22">
          <cell r="T22">
            <v>0.82724150114229067</v>
          </cell>
          <cell r="U22">
            <v>93.244653189496177</v>
          </cell>
          <cell r="V22">
            <v>69.950393796181032</v>
          </cell>
          <cell r="W22">
            <v>63.855416891592903</v>
          </cell>
          <cell r="X22">
            <v>36.333214039569555</v>
          </cell>
        </row>
        <row r="30">
          <cell r="T30">
            <v>0</v>
          </cell>
          <cell r="U30">
            <v>17.911870236140274</v>
          </cell>
          <cell r="V30">
            <v>15.182773802844931</v>
          </cell>
          <cell r="W30">
            <v>3.3506823845440552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5.0054618408177598</v>
          </cell>
          <cell r="U37">
            <v>22.791437377983073</v>
          </cell>
          <cell r="V37">
            <v>86.155325304334795</v>
          </cell>
          <cell r="W37">
            <v>3.0090868580403627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6.051975379409523E-2</v>
          </cell>
          <cell r="U39">
            <v>3.7093504340600874E-4</v>
          </cell>
          <cell r="V39">
            <v>2.1206229173139883</v>
          </cell>
          <cell r="W39">
            <v>0.68093940948821108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66.478227859390046</v>
          </cell>
          <cell r="W40">
            <v>8.6055350400994808</v>
          </cell>
          <cell r="X40">
            <v>0</v>
          </cell>
        </row>
        <row r="41">
          <cell r="T41">
            <v>3.2629555410385191</v>
          </cell>
          <cell r="U41">
            <v>1.007010953125</v>
          </cell>
          <cell r="V41">
            <v>0</v>
          </cell>
          <cell r="W41">
            <v>0</v>
          </cell>
          <cell r="X41">
            <v>20.896591906701669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216.8751541495462</v>
          </cell>
        </row>
        <row r="43">
          <cell r="T43">
            <v>27.219719362233906</v>
          </cell>
          <cell r="U43">
            <v>19.397200033553816</v>
          </cell>
          <cell r="V43">
            <v>5.2094674308398901</v>
          </cell>
          <cell r="W43">
            <v>2.3181271880740835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3.6733927919712848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39.599712890625</v>
          </cell>
        </row>
        <row r="53">
          <cell r="E53">
            <v>11.196954266678716</v>
          </cell>
        </row>
        <row r="54">
          <cell r="E54">
            <v>100.05515171814793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3.9154347726113912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0"/>
  <sheetViews>
    <sheetView tabSelected="1" zoomScale="110" zoomScaleNormal="110" workbookViewId="0">
      <pane xSplit="2" ySplit="1" topLeftCell="AR2" activePane="bottomRight" state="frozen"/>
      <selection pane="topRight" activeCell="B1" sqref="B1"/>
      <selection pane="bottomLeft" activeCell="A2" sqref="A2"/>
      <selection pane="bottomRight" activeCell="B2" sqref="B2:AW251"/>
    </sheetView>
  </sheetViews>
  <sheetFormatPr baseColWidth="10" defaultColWidth="11.42578125" defaultRowHeight="15" x14ac:dyDescent="0.25"/>
  <cols>
    <col min="1" max="1" width="39.28515625" customWidth="1"/>
    <col min="2" max="2" width="65.42578125" customWidth="1"/>
    <col min="45" max="50" width="11.7109375" customWidth="1"/>
  </cols>
  <sheetData>
    <row r="1" spans="1:49" ht="51.75" thickBot="1" x14ac:dyDescent="0.3">
      <c r="A1" s="237" t="s">
        <v>249</v>
      </c>
      <c r="B1" s="243" t="s">
        <v>185</v>
      </c>
      <c r="C1" s="238">
        <v>2</v>
      </c>
      <c r="D1" s="238">
        <f>C1+1</f>
        <v>3</v>
      </c>
      <c r="E1" s="238">
        <f t="shared" ref="E1:AS1" si="0">D1+1</f>
        <v>4</v>
      </c>
      <c r="F1" s="238">
        <f t="shared" si="0"/>
        <v>5</v>
      </c>
      <c r="G1" s="238">
        <f t="shared" si="0"/>
        <v>6</v>
      </c>
      <c r="H1" s="238">
        <f t="shared" si="0"/>
        <v>7</v>
      </c>
      <c r="I1" s="238">
        <f t="shared" si="0"/>
        <v>8</v>
      </c>
      <c r="J1" s="238">
        <f t="shared" si="0"/>
        <v>9</v>
      </c>
      <c r="K1" s="238">
        <f t="shared" si="0"/>
        <v>10</v>
      </c>
      <c r="L1" s="238">
        <f t="shared" si="0"/>
        <v>11</v>
      </c>
      <c r="M1" s="238">
        <f t="shared" si="0"/>
        <v>12</v>
      </c>
      <c r="N1" s="238">
        <f t="shared" si="0"/>
        <v>13</v>
      </c>
      <c r="O1" s="238">
        <f>N1+1</f>
        <v>14</v>
      </c>
      <c r="P1" s="238">
        <f t="shared" si="0"/>
        <v>15</v>
      </c>
      <c r="Q1" s="238">
        <f t="shared" si="0"/>
        <v>16</v>
      </c>
      <c r="R1" s="238">
        <f t="shared" si="0"/>
        <v>17</v>
      </c>
      <c r="S1" s="238">
        <f t="shared" si="0"/>
        <v>18</v>
      </c>
      <c r="T1" s="238">
        <f t="shared" si="0"/>
        <v>19</v>
      </c>
      <c r="U1" s="238">
        <f t="shared" si="0"/>
        <v>20</v>
      </c>
      <c r="V1" s="238">
        <f t="shared" si="0"/>
        <v>21</v>
      </c>
      <c r="W1" s="238">
        <f t="shared" si="0"/>
        <v>22</v>
      </c>
      <c r="X1" s="238">
        <f t="shared" si="0"/>
        <v>23</v>
      </c>
      <c r="Y1" s="238">
        <f t="shared" si="0"/>
        <v>24</v>
      </c>
      <c r="Z1" s="238">
        <f t="shared" si="0"/>
        <v>25</v>
      </c>
      <c r="AA1" s="238">
        <f t="shared" si="0"/>
        <v>26</v>
      </c>
      <c r="AB1" s="238">
        <f t="shared" si="0"/>
        <v>27</v>
      </c>
      <c r="AC1" s="238">
        <f t="shared" si="0"/>
        <v>28</v>
      </c>
      <c r="AD1" s="238">
        <f t="shared" si="0"/>
        <v>29</v>
      </c>
      <c r="AE1" s="238">
        <f t="shared" si="0"/>
        <v>30</v>
      </c>
      <c r="AF1" s="238">
        <f t="shared" si="0"/>
        <v>31</v>
      </c>
      <c r="AG1" s="238">
        <f t="shared" si="0"/>
        <v>32</v>
      </c>
      <c r="AH1" s="238">
        <f t="shared" si="0"/>
        <v>33</v>
      </c>
      <c r="AI1" s="238">
        <f t="shared" si="0"/>
        <v>34</v>
      </c>
      <c r="AJ1" s="238">
        <f t="shared" si="0"/>
        <v>35</v>
      </c>
      <c r="AK1" s="238">
        <f t="shared" si="0"/>
        <v>36</v>
      </c>
      <c r="AL1" s="238">
        <f t="shared" si="0"/>
        <v>37</v>
      </c>
      <c r="AM1" s="238">
        <f t="shared" si="0"/>
        <v>38</v>
      </c>
      <c r="AN1" s="238">
        <f t="shared" si="0"/>
        <v>39</v>
      </c>
      <c r="AO1" s="238">
        <f t="shared" si="0"/>
        <v>40</v>
      </c>
      <c r="AP1" s="238">
        <f t="shared" si="0"/>
        <v>41</v>
      </c>
      <c r="AQ1" s="238">
        <f t="shared" si="0"/>
        <v>42</v>
      </c>
      <c r="AR1" s="238">
        <f t="shared" si="0"/>
        <v>43</v>
      </c>
      <c r="AS1" s="238">
        <f t="shared" si="0"/>
        <v>44</v>
      </c>
      <c r="AT1" s="238">
        <f>AS1+1</f>
        <v>45</v>
      </c>
      <c r="AU1" s="238">
        <f>AT1+1</f>
        <v>46</v>
      </c>
      <c r="AV1" s="238">
        <f t="shared" ref="AV1:AW1" si="1">AU1+1</f>
        <v>47</v>
      </c>
      <c r="AW1" s="238">
        <f t="shared" si="1"/>
        <v>48</v>
      </c>
    </row>
    <row r="2" spans="1:49" x14ac:dyDescent="0.25">
      <c r="B2" s="246"/>
      <c r="C2">
        <v>2004</v>
      </c>
      <c r="D2">
        <v>2005</v>
      </c>
      <c r="E2">
        <v>2006</v>
      </c>
      <c r="F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  <c r="AD2">
        <v>2031</v>
      </c>
      <c r="AE2">
        <v>2032</v>
      </c>
      <c r="AF2">
        <v>2033</v>
      </c>
      <c r="AG2">
        <v>2034</v>
      </c>
      <c r="AH2">
        <v>2035</v>
      </c>
      <c r="AI2">
        <v>2036</v>
      </c>
      <c r="AJ2">
        <v>2037</v>
      </c>
      <c r="AK2">
        <v>2038</v>
      </c>
      <c r="AL2">
        <v>2039</v>
      </c>
      <c r="AM2">
        <v>2040</v>
      </c>
      <c r="AN2">
        <v>2041</v>
      </c>
      <c r="AO2">
        <v>2042</v>
      </c>
      <c r="AP2">
        <v>2043</v>
      </c>
      <c r="AQ2">
        <v>2044</v>
      </c>
      <c r="AR2">
        <v>2045</v>
      </c>
      <c r="AS2">
        <v>2046</v>
      </c>
      <c r="AT2">
        <v>2047</v>
      </c>
      <c r="AU2">
        <v>2048</v>
      </c>
      <c r="AV2">
        <v>2049</v>
      </c>
      <c r="AW2">
        <v>2050</v>
      </c>
    </row>
    <row r="3" spans="1:49" x14ac:dyDescent="0.25">
      <c r="B3" s="16" t="s">
        <v>332</v>
      </c>
      <c r="C3">
        <v>78.155731330970795</v>
      </c>
      <c r="D3">
        <v>79.410546877677106</v>
      </c>
      <c r="E3">
        <v>80.67120285</v>
      </c>
      <c r="F3">
        <v>81.230879150000007</v>
      </c>
      <c r="G3">
        <v>78.337043120000004</v>
      </c>
      <c r="H3">
        <v>76.358189719999999</v>
      </c>
      <c r="I3">
        <v>75.168413650000005</v>
      </c>
      <c r="J3">
        <v>73.713688000000005</v>
      </c>
      <c r="K3">
        <v>71.891901340000004</v>
      </c>
      <c r="L3">
        <v>70.627817429999894</v>
      </c>
      <c r="M3">
        <v>70.711585020000001</v>
      </c>
      <c r="N3">
        <v>71.498433730000002</v>
      </c>
      <c r="O3">
        <v>70.101705469999999</v>
      </c>
      <c r="P3">
        <v>68.524865480000003</v>
      </c>
      <c r="Q3">
        <v>66.192345649999893</v>
      </c>
      <c r="R3">
        <v>64.95936202</v>
      </c>
      <c r="S3">
        <v>63.373762970000001</v>
      </c>
      <c r="T3">
        <v>62.700539409999998</v>
      </c>
      <c r="U3">
        <v>61.965190919999998</v>
      </c>
      <c r="V3">
        <v>61.382813679999998</v>
      </c>
      <c r="W3">
        <v>60.625151279999997</v>
      </c>
      <c r="X3">
        <v>59.534731999999998</v>
      </c>
      <c r="Y3">
        <v>58.91550221</v>
      </c>
      <c r="Z3">
        <v>58.538521619999997</v>
      </c>
      <c r="AA3">
        <v>58.275218469999999</v>
      </c>
      <c r="AB3">
        <v>58.080124820000002</v>
      </c>
      <c r="AC3">
        <v>57.959791359999997</v>
      </c>
      <c r="AD3">
        <v>57.424111660000001</v>
      </c>
      <c r="AE3">
        <v>56.88265182</v>
      </c>
      <c r="AF3">
        <v>56.344899859999998</v>
      </c>
      <c r="AG3">
        <v>55.827496660000001</v>
      </c>
      <c r="AH3">
        <v>55.317662849999998</v>
      </c>
      <c r="AI3">
        <v>54.931604249999999</v>
      </c>
      <c r="AJ3">
        <v>54.577973999999998</v>
      </c>
      <c r="AK3">
        <v>54.253462399999997</v>
      </c>
      <c r="AL3">
        <v>53.953523250000003</v>
      </c>
      <c r="AM3">
        <v>53.670863349999998</v>
      </c>
      <c r="AN3">
        <v>53.373498550000001</v>
      </c>
      <c r="AO3">
        <v>53.070489330000001</v>
      </c>
      <c r="AP3">
        <v>52.76107889</v>
      </c>
      <c r="AQ3">
        <v>52.459196429999999</v>
      </c>
      <c r="AR3">
        <v>52.154720570000002</v>
      </c>
      <c r="AS3">
        <v>52.046120219999999</v>
      </c>
      <c r="AT3">
        <v>51.962465860000002</v>
      </c>
      <c r="AU3">
        <v>51.897642830000002</v>
      </c>
      <c r="AV3">
        <v>51.841848900000002</v>
      </c>
      <c r="AW3">
        <v>51.814350820000001</v>
      </c>
    </row>
    <row r="4" spans="1:49" x14ac:dyDescent="0.25">
      <c r="B4" s="16" t="s">
        <v>333</v>
      </c>
      <c r="C4">
        <v>77.477678819662401</v>
      </c>
      <c r="D4">
        <v>78.721608013977402</v>
      </c>
      <c r="E4">
        <v>80.003737470000004</v>
      </c>
      <c r="F4">
        <v>80.228085859999894</v>
      </c>
      <c r="G4">
        <v>77.052367160000003</v>
      </c>
      <c r="H4">
        <v>74.797652499999998</v>
      </c>
      <c r="I4">
        <v>73.329928699999996</v>
      </c>
      <c r="J4">
        <v>71.615586239999999</v>
      </c>
      <c r="K4">
        <v>69.558933479999894</v>
      </c>
      <c r="L4">
        <v>68.055348780000003</v>
      </c>
      <c r="M4">
        <v>67.856363900000005</v>
      </c>
      <c r="N4">
        <v>68.329788050000005</v>
      </c>
      <c r="O4">
        <v>66.944968340000003</v>
      </c>
      <c r="P4">
        <v>65.387162500000002</v>
      </c>
      <c r="Q4">
        <v>63.107948729999997</v>
      </c>
      <c r="R4">
        <v>61.876354329999998</v>
      </c>
      <c r="S4">
        <v>60.30747023</v>
      </c>
      <c r="T4">
        <v>59.50687842</v>
      </c>
      <c r="U4">
        <v>58.656049289999999</v>
      </c>
      <c r="V4">
        <v>57.958113009999998</v>
      </c>
      <c r="W4">
        <v>57.092524210000001</v>
      </c>
      <c r="X4">
        <v>55.911925830000001</v>
      </c>
      <c r="Y4">
        <v>55.33055675</v>
      </c>
      <c r="Z4">
        <v>54.976703780000001</v>
      </c>
      <c r="AA4">
        <v>54.729620879999999</v>
      </c>
      <c r="AB4">
        <v>54.545532440000002</v>
      </c>
      <c r="AC4">
        <v>54.43160297</v>
      </c>
      <c r="AD4">
        <v>53.931457930000001</v>
      </c>
      <c r="AE4">
        <v>53.425987300000003</v>
      </c>
      <c r="AF4">
        <v>52.924110749999997</v>
      </c>
      <c r="AG4">
        <v>52.440996910000003</v>
      </c>
      <c r="AH4">
        <v>51.965109699999999</v>
      </c>
      <c r="AI4">
        <v>51.601013299999998</v>
      </c>
      <c r="AJ4">
        <v>51.267324899999998</v>
      </c>
      <c r="AK4">
        <v>50.960928629999998</v>
      </c>
      <c r="AL4">
        <v>50.678106589999999</v>
      </c>
      <c r="AM4">
        <v>50.411466230000002</v>
      </c>
      <c r="AN4">
        <v>50.120482389999999</v>
      </c>
      <c r="AO4">
        <v>49.823881419999999</v>
      </c>
      <c r="AP4">
        <v>49.520938229999999</v>
      </c>
      <c r="AQ4">
        <v>49.224707780000003</v>
      </c>
      <c r="AR4">
        <v>48.92566798</v>
      </c>
      <c r="AS4">
        <v>48.808095989999998</v>
      </c>
      <c r="AT4">
        <v>48.713630070000001</v>
      </c>
      <c r="AU4">
        <v>48.636506830000002</v>
      </c>
      <c r="AV4">
        <v>48.567514600000003</v>
      </c>
      <c r="AW4">
        <v>48.524676739999997</v>
      </c>
    </row>
    <row r="5" spans="1:49" x14ac:dyDescent="0.25">
      <c r="B5" s="16" t="s">
        <v>334</v>
      </c>
      <c r="C5">
        <v>0.67805251130835598</v>
      </c>
      <c r="D5">
        <v>0.68893886369971102</v>
      </c>
      <c r="E5">
        <v>0.66746537549999996</v>
      </c>
      <c r="F5">
        <v>1.002793284</v>
      </c>
      <c r="G5">
        <v>1.2846759560000001</v>
      </c>
      <c r="H5">
        <v>1.5605372200000001</v>
      </c>
      <c r="I5">
        <v>1.838484945</v>
      </c>
      <c r="J5">
        <v>2.0981017569999998</v>
      </c>
      <c r="K5">
        <v>2.3329678660000002</v>
      </c>
      <c r="L5">
        <v>2.5724686440000002</v>
      </c>
      <c r="M5">
        <v>2.8552211239999998</v>
      </c>
      <c r="N5">
        <v>3.1686456810000001</v>
      </c>
      <c r="O5">
        <v>3.1567371280000001</v>
      </c>
      <c r="P5">
        <v>3.1377029790000002</v>
      </c>
      <c r="Q5">
        <v>3.084396919</v>
      </c>
      <c r="R5">
        <v>3.083007694</v>
      </c>
      <c r="S5">
        <v>3.0662927359999999</v>
      </c>
      <c r="T5">
        <v>3.1936609929999999</v>
      </c>
      <c r="U5">
        <v>3.3091416339999999</v>
      </c>
      <c r="V5">
        <v>3.4247006670000002</v>
      </c>
      <c r="W5">
        <v>3.5326270759999998</v>
      </c>
      <c r="X5">
        <v>3.6228061720000002</v>
      </c>
      <c r="Y5">
        <v>3.5849454650000001</v>
      </c>
      <c r="Z5">
        <v>3.5618178380000001</v>
      </c>
      <c r="AA5">
        <v>3.5455975880000001</v>
      </c>
      <c r="AB5">
        <v>3.5345923770000001</v>
      </c>
      <c r="AC5">
        <v>3.5281883980000002</v>
      </c>
      <c r="AD5">
        <v>3.4926537249999998</v>
      </c>
      <c r="AE5">
        <v>3.456664516</v>
      </c>
      <c r="AF5">
        <v>3.4207891140000002</v>
      </c>
      <c r="AG5">
        <v>3.3864997520000002</v>
      </c>
      <c r="AH5">
        <v>3.3525531480000001</v>
      </c>
      <c r="AI5">
        <v>3.3305909489999999</v>
      </c>
      <c r="AJ5">
        <v>3.3106490960000001</v>
      </c>
      <c r="AK5">
        <v>3.2925337699999999</v>
      </c>
      <c r="AL5">
        <v>3.2754166630000001</v>
      </c>
      <c r="AM5">
        <v>3.2593971229999998</v>
      </c>
      <c r="AN5">
        <v>3.2530161610000001</v>
      </c>
      <c r="AO5">
        <v>3.2466079090000002</v>
      </c>
      <c r="AP5">
        <v>3.2401406640000001</v>
      </c>
      <c r="AQ5">
        <v>3.2344886590000002</v>
      </c>
      <c r="AR5">
        <v>3.2290525969999999</v>
      </c>
      <c r="AS5">
        <v>3.2380242290000001</v>
      </c>
      <c r="AT5">
        <v>3.2488357859999999</v>
      </c>
      <c r="AU5">
        <v>3.261136</v>
      </c>
      <c r="AV5">
        <v>3.2743343029999998</v>
      </c>
      <c r="AW5">
        <v>3.2896740869999999</v>
      </c>
    </row>
    <row r="6" spans="1:49" x14ac:dyDescent="0.25">
      <c r="B6" s="16" t="s">
        <v>335</v>
      </c>
      <c r="C6">
        <v>28.634797354551999</v>
      </c>
      <c r="D6">
        <v>29.094538288267</v>
      </c>
      <c r="E6">
        <v>29.720948660000001</v>
      </c>
      <c r="F6">
        <v>30.551325519999999</v>
      </c>
      <c r="G6">
        <v>31.26822641</v>
      </c>
      <c r="H6">
        <v>29.125055280000002</v>
      </c>
      <c r="I6">
        <v>30.256845890000001</v>
      </c>
      <c r="J6">
        <v>31.32300377</v>
      </c>
      <c r="K6">
        <v>31.689898079999999</v>
      </c>
      <c r="L6">
        <v>31.571324730000001</v>
      </c>
      <c r="M6">
        <v>31.46597757</v>
      </c>
      <c r="N6">
        <v>30.94722003</v>
      </c>
      <c r="O6">
        <v>29.332225019999999</v>
      </c>
      <c r="P6">
        <v>28.892747119999999</v>
      </c>
      <c r="Q6">
        <v>28.821975479999999</v>
      </c>
      <c r="R6">
        <v>27.862190479999999</v>
      </c>
      <c r="S6">
        <v>26.892231070000001</v>
      </c>
      <c r="T6">
        <v>26.743234449999999</v>
      </c>
      <c r="U6">
        <v>26.690278289999998</v>
      </c>
      <c r="V6">
        <v>26.733146269999999</v>
      </c>
      <c r="W6">
        <v>27.64965509</v>
      </c>
      <c r="X6">
        <v>28.60833654</v>
      </c>
      <c r="Y6">
        <v>28.696213440000001</v>
      </c>
      <c r="Z6">
        <v>28.81589065</v>
      </c>
      <c r="AA6">
        <v>28.95420665</v>
      </c>
      <c r="AB6">
        <v>29.177097700000001</v>
      </c>
      <c r="AC6">
        <v>29.42335439</v>
      </c>
      <c r="AD6">
        <v>29.12738349</v>
      </c>
      <c r="AE6">
        <v>28.834691110000001</v>
      </c>
      <c r="AF6">
        <v>28.546026260000001</v>
      </c>
      <c r="AG6">
        <v>28.233271429999999</v>
      </c>
      <c r="AH6">
        <v>27.92747847</v>
      </c>
      <c r="AI6">
        <v>27.527310379999999</v>
      </c>
      <c r="AJ6">
        <v>27.120948760000001</v>
      </c>
      <c r="AK6">
        <v>26.71048339</v>
      </c>
      <c r="AL6">
        <v>26.265913959999999</v>
      </c>
      <c r="AM6">
        <v>25.813849829999999</v>
      </c>
      <c r="AN6">
        <v>25.331184530000002</v>
      </c>
      <c r="AO6">
        <v>24.841388930000001</v>
      </c>
      <c r="AP6">
        <v>24.344858850000001</v>
      </c>
      <c r="AQ6">
        <v>23.846982220000001</v>
      </c>
      <c r="AR6">
        <v>23.345350920000001</v>
      </c>
      <c r="AS6">
        <v>22.720492230000001</v>
      </c>
      <c r="AT6">
        <v>22.087836899999999</v>
      </c>
      <c r="AU6">
        <v>21.459070539999999</v>
      </c>
      <c r="AV6">
        <v>20.8260559</v>
      </c>
      <c r="AW6">
        <v>20.19880178</v>
      </c>
    </row>
    <row r="7" spans="1:49" x14ac:dyDescent="0.25">
      <c r="B7" s="16" t="s">
        <v>336</v>
      </c>
      <c r="C7">
        <v>0.36749349586970598</v>
      </c>
      <c r="D7">
        <v>0.37339372281503302</v>
      </c>
      <c r="E7">
        <v>0.38143295329999999</v>
      </c>
      <c r="F7">
        <v>0.37148642879999999</v>
      </c>
      <c r="G7">
        <v>0.36022470559999997</v>
      </c>
      <c r="H7">
        <v>0.31790280329999998</v>
      </c>
      <c r="I7">
        <v>0.31290219130000002</v>
      </c>
      <c r="J7">
        <v>0.30690623119999999</v>
      </c>
      <c r="K7">
        <v>0.29418498160000001</v>
      </c>
      <c r="L7">
        <v>0.27768333249999999</v>
      </c>
      <c r="M7">
        <v>0.26221382650000002</v>
      </c>
      <c r="N7">
        <v>0.2443393163</v>
      </c>
      <c r="O7">
        <v>0.21316768010000001</v>
      </c>
      <c r="P7">
        <v>0.19039124439999999</v>
      </c>
      <c r="Q7">
        <v>0.16877833140000001</v>
      </c>
      <c r="R7">
        <v>0.14095614400000001</v>
      </c>
      <c r="S7">
        <v>0.11269291770000001</v>
      </c>
      <c r="T7">
        <v>0.14899317249999999</v>
      </c>
      <c r="U7">
        <v>0.186747265</v>
      </c>
      <c r="V7">
        <v>0.22641641530000001</v>
      </c>
      <c r="W7">
        <v>0.23767877439999999</v>
      </c>
      <c r="X7">
        <v>0.24915704350000001</v>
      </c>
      <c r="Y7">
        <v>0.24838802800000001</v>
      </c>
      <c r="Z7">
        <v>0.24787086329999999</v>
      </c>
      <c r="AA7">
        <v>0.2474876063</v>
      </c>
      <c r="AB7">
        <v>0.2478054767</v>
      </c>
      <c r="AC7">
        <v>0.2482913246</v>
      </c>
      <c r="AD7">
        <v>0.25379467430000002</v>
      </c>
      <c r="AE7">
        <v>0.2593192312</v>
      </c>
      <c r="AF7">
        <v>0.26487450959999997</v>
      </c>
      <c r="AG7">
        <v>0.27064268499999999</v>
      </c>
      <c r="AH7">
        <v>0.27648164759999999</v>
      </c>
      <c r="AI7">
        <v>0.27604891450000002</v>
      </c>
      <c r="AJ7">
        <v>0.27556120639999998</v>
      </c>
      <c r="AK7">
        <v>0.27503789010000002</v>
      </c>
      <c r="AL7">
        <v>0.27433539070000001</v>
      </c>
      <c r="AM7">
        <v>0.273559836</v>
      </c>
      <c r="AN7">
        <v>0.2784387545</v>
      </c>
      <c r="AO7">
        <v>0.28324656580000002</v>
      </c>
      <c r="AP7">
        <v>0.28797944170000001</v>
      </c>
      <c r="AQ7">
        <v>0.29269482270000002</v>
      </c>
      <c r="AR7">
        <v>0.29736010149999997</v>
      </c>
      <c r="AS7">
        <v>0.29901273699999997</v>
      </c>
      <c r="AT7">
        <v>0.30055516459999998</v>
      </c>
      <c r="AU7">
        <v>0.3021405056</v>
      </c>
      <c r="AV7">
        <v>0.30365489979999999</v>
      </c>
      <c r="AW7">
        <v>0.30524199959999998</v>
      </c>
    </row>
    <row r="8" spans="1:49" x14ac:dyDescent="0.25">
      <c r="B8" t="s">
        <v>337</v>
      </c>
      <c r="C8">
        <v>1.4676116307532601</v>
      </c>
      <c r="D8">
        <v>1.4911746101974399</v>
      </c>
      <c r="E8">
        <v>1.5232798540000001</v>
      </c>
      <c r="F8">
        <v>1.5681163890000001</v>
      </c>
      <c r="G8">
        <v>1.6072472440000001</v>
      </c>
      <c r="H8">
        <v>1.4992615579999999</v>
      </c>
      <c r="I8">
        <v>1.5597877520000001</v>
      </c>
      <c r="J8">
        <v>1.617098449</v>
      </c>
      <c r="K8">
        <v>1.6384194910000001</v>
      </c>
      <c r="L8">
        <v>1.634663156</v>
      </c>
      <c r="M8">
        <v>1.6315782329999999</v>
      </c>
      <c r="N8">
        <v>1.6070134890000001</v>
      </c>
      <c r="O8">
        <v>1.7058575600000001</v>
      </c>
      <c r="P8">
        <v>1.874530477</v>
      </c>
      <c r="Q8">
        <v>2.0796825569999999</v>
      </c>
      <c r="R8">
        <v>2.2306382600000001</v>
      </c>
      <c r="S8">
        <v>2.3846433419999999</v>
      </c>
      <c r="T8">
        <v>2.2924331910000002</v>
      </c>
      <c r="U8">
        <v>2.2064899809999998</v>
      </c>
      <c r="V8">
        <v>2.1258058379999998</v>
      </c>
      <c r="W8">
        <v>1.409250879</v>
      </c>
      <c r="X8">
        <v>0.72791373619999999</v>
      </c>
      <c r="Y8">
        <v>0.73111690439999999</v>
      </c>
      <c r="Z8">
        <v>0.73514502989999997</v>
      </c>
      <c r="AA8">
        <v>0.73966531899999999</v>
      </c>
      <c r="AB8">
        <v>0.74633435159999995</v>
      </c>
      <c r="AC8">
        <v>0.75361978210000002</v>
      </c>
      <c r="AD8">
        <v>0.76145495929999996</v>
      </c>
      <c r="AE8">
        <v>0.7693616647</v>
      </c>
      <c r="AF8">
        <v>0.77736523599999996</v>
      </c>
      <c r="AG8">
        <v>0.78555932949999996</v>
      </c>
      <c r="AH8">
        <v>0.79395493760000002</v>
      </c>
      <c r="AI8">
        <v>0.80192168139999997</v>
      </c>
      <c r="AJ8">
        <v>0.8097471047</v>
      </c>
      <c r="AK8">
        <v>0.81748337230000001</v>
      </c>
      <c r="AL8">
        <v>0.82511210729999995</v>
      </c>
      <c r="AM8">
        <v>0.83253402720000003</v>
      </c>
      <c r="AN8">
        <v>0.83824611989999998</v>
      </c>
      <c r="AO8">
        <v>0.84373773669999996</v>
      </c>
      <c r="AP8">
        <v>0.84900456089999998</v>
      </c>
      <c r="AQ8">
        <v>0.85422109069999996</v>
      </c>
      <c r="AR8">
        <v>0.85929456979999996</v>
      </c>
      <c r="AS8">
        <v>1.180008385</v>
      </c>
      <c r="AT8">
        <v>1.5000454860000001</v>
      </c>
      <c r="AU8">
        <v>1.819988929</v>
      </c>
      <c r="AV8">
        <v>2.1391740029999999</v>
      </c>
      <c r="AW8">
        <v>2.4585471910000001</v>
      </c>
    </row>
    <row r="9" spans="1:49" x14ac:dyDescent="0.25">
      <c r="B9" t="s">
        <v>338</v>
      </c>
      <c r="C9">
        <v>1.4643633957556199</v>
      </c>
      <c r="D9">
        <v>1.4878742237362399</v>
      </c>
      <c r="E9">
        <v>1.5199084089999999</v>
      </c>
      <c r="F9">
        <v>1.438671206</v>
      </c>
      <c r="G9">
        <v>1.3558495020000001</v>
      </c>
      <c r="H9">
        <v>1.162925089</v>
      </c>
      <c r="I9">
        <v>1.112462496</v>
      </c>
      <c r="J9">
        <v>1.06047851</v>
      </c>
      <c r="K9">
        <v>0.98795247939999997</v>
      </c>
      <c r="L9">
        <v>0.90632667440000003</v>
      </c>
      <c r="M9">
        <v>0.83178278800000005</v>
      </c>
      <c r="N9">
        <v>0.75329847289999996</v>
      </c>
      <c r="O9">
        <v>0.63402697220000004</v>
      </c>
      <c r="P9">
        <v>0.53952358060000005</v>
      </c>
      <c r="Q9">
        <v>0.4464092912</v>
      </c>
      <c r="R9">
        <v>0.3351703593</v>
      </c>
      <c r="S9">
        <v>0.2221180096</v>
      </c>
      <c r="T9">
        <v>0.2134018641</v>
      </c>
      <c r="U9">
        <v>0.20526583139999999</v>
      </c>
      <c r="V9">
        <v>0.19761444119999999</v>
      </c>
      <c r="W9">
        <v>0.12974487009999999</v>
      </c>
      <c r="X9">
        <v>6.5199948100000002E-2</v>
      </c>
      <c r="Y9">
        <v>6.54636673E-2</v>
      </c>
      <c r="Z9">
        <v>6.5800899199999999E-2</v>
      </c>
      <c r="AA9">
        <v>6.6181785199999996E-2</v>
      </c>
      <c r="AB9">
        <v>6.6754627600000005E-2</v>
      </c>
      <c r="AC9">
        <v>6.7382145199999896E-2</v>
      </c>
      <c r="AD9">
        <v>6.8065543800000003E-2</v>
      </c>
      <c r="AE9">
        <v>6.8755351800000003E-2</v>
      </c>
      <c r="AF9">
        <v>6.9453827600000004E-2</v>
      </c>
      <c r="AG9">
        <v>7.0168098299999995E-2</v>
      </c>
      <c r="AH9">
        <v>7.0900360499999995E-2</v>
      </c>
      <c r="AI9">
        <v>7.1608579000000006E-2</v>
      </c>
      <c r="AJ9">
        <v>7.2304171799999997E-2</v>
      </c>
      <c r="AK9">
        <v>7.2991798400000002E-2</v>
      </c>
      <c r="AL9">
        <v>7.3669658700000001E-2</v>
      </c>
      <c r="AM9">
        <v>7.4329049300000005E-2</v>
      </c>
      <c r="AN9">
        <v>7.4835945700000003E-2</v>
      </c>
      <c r="AO9">
        <v>7.5323156599999996E-2</v>
      </c>
      <c r="AP9">
        <v>7.5790299000000005E-2</v>
      </c>
      <c r="AQ9">
        <v>7.6252951999999999E-2</v>
      </c>
      <c r="AR9">
        <v>7.6702836600000004E-2</v>
      </c>
      <c r="AS9">
        <v>7.6861242499999996E-2</v>
      </c>
      <c r="AT9">
        <v>7.6991524500000005E-2</v>
      </c>
      <c r="AU9">
        <v>7.71330603E-2</v>
      </c>
      <c r="AV9">
        <v>7.7256764899999997E-2</v>
      </c>
      <c r="AW9">
        <v>7.7399242300000004E-2</v>
      </c>
    </row>
    <row r="10" spans="1:49" x14ac:dyDescent="0.25">
      <c r="B10" t="s">
        <v>339</v>
      </c>
      <c r="C10">
        <v>0.29584764130791702</v>
      </c>
      <c r="D10">
        <v>0.300597570883747</v>
      </c>
      <c r="E10">
        <v>0.30706948779999999</v>
      </c>
      <c r="F10">
        <v>0.65529597470000001</v>
      </c>
      <c r="G10">
        <v>0.99168065679999995</v>
      </c>
      <c r="H10">
        <v>1.1960421130000001</v>
      </c>
      <c r="I10">
        <v>1.494809488</v>
      </c>
      <c r="J10">
        <v>1.772659582</v>
      </c>
      <c r="K10">
        <v>1.9787877629999999</v>
      </c>
      <c r="L10">
        <v>2.1055700960000001</v>
      </c>
      <c r="M10">
        <v>2.1709373420000002</v>
      </c>
      <c r="N10">
        <v>2.1314551910000001</v>
      </c>
      <c r="O10">
        <v>2.279174619</v>
      </c>
      <c r="P10">
        <v>2.5203104569999999</v>
      </c>
      <c r="Q10">
        <v>2.8114067999999999</v>
      </c>
      <c r="R10">
        <v>3.029889464</v>
      </c>
      <c r="S10">
        <v>3.2527420679999999</v>
      </c>
      <c r="T10">
        <v>3.4385807289999999</v>
      </c>
      <c r="U10">
        <v>3.6418405749999998</v>
      </c>
      <c r="V10">
        <v>3.8650468359999999</v>
      </c>
      <c r="W10">
        <v>4.2783072740000003</v>
      </c>
      <c r="X10">
        <v>4.6863328559999999</v>
      </c>
      <c r="Y10">
        <v>5.0325319229999996</v>
      </c>
      <c r="Z10">
        <v>5.3893693899999997</v>
      </c>
      <c r="AA10">
        <v>5.7554063070000003</v>
      </c>
      <c r="AB10">
        <v>6.0315438090000004</v>
      </c>
      <c r="AC10">
        <v>6.3169618239999998</v>
      </c>
      <c r="AD10">
        <v>6.6954235640000004</v>
      </c>
      <c r="AE10">
        <v>7.0742323699999998</v>
      </c>
      <c r="AF10">
        <v>7.4537254759999998</v>
      </c>
      <c r="AG10">
        <v>7.8509575319999998</v>
      </c>
      <c r="AH10">
        <v>8.2503492739999995</v>
      </c>
      <c r="AI10">
        <v>8.6623532440000002</v>
      </c>
      <c r="AJ10">
        <v>9.0734802390000002</v>
      </c>
      <c r="AK10">
        <v>9.4841489960000001</v>
      </c>
      <c r="AL10">
        <v>9.9082188099999904</v>
      </c>
      <c r="AM10">
        <v>10.330245769999999</v>
      </c>
      <c r="AN10">
        <v>10.74756021</v>
      </c>
      <c r="AO10">
        <v>11.16229339</v>
      </c>
      <c r="AP10">
        <v>11.57411364</v>
      </c>
      <c r="AQ10">
        <v>11.985198029999999</v>
      </c>
      <c r="AR10">
        <v>12.39414994</v>
      </c>
      <c r="AS10">
        <v>12.771478220000001</v>
      </c>
      <c r="AT10">
        <v>13.14386322</v>
      </c>
      <c r="AU10">
        <v>13.51782438</v>
      </c>
      <c r="AV10">
        <v>13.8882882</v>
      </c>
      <c r="AW10">
        <v>14.261760969999999</v>
      </c>
    </row>
    <row r="11" spans="1:49" x14ac:dyDescent="0.25">
      <c r="B11" t="s">
        <v>340</v>
      </c>
      <c r="C11">
        <v>6.65657192942814E-2</v>
      </c>
      <c r="D11">
        <v>6.7634453448843099E-2</v>
      </c>
      <c r="E11">
        <v>6.9090634799999995E-2</v>
      </c>
      <c r="F11">
        <v>9.4486438399999997E-2</v>
      </c>
      <c r="G11">
        <v>0.12865467589999999</v>
      </c>
      <c r="H11">
        <v>0.15943071410000001</v>
      </c>
      <c r="I11">
        <v>0.22034935929999999</v>
      </c>
      <c r="J11">
        <v>0.30348305520000002</v>
      </c>
      <c r="K11">
        <v>0.40848375819999999</v>
      </c>
      <c r="L11">
        <v>0.5414142247</v>
      </c>
      <c r="M11">
        <v>0.71789510359999997</v>
      </c>
      <c r="N11">
        <v>0.93934323310000001</v>
      </c>
      <c r="O11">
        <v>1.0044439430000001</v>
      </c>
      <c r="P11">
        <v>1.110713743</v>
      </c>
      <c r="Q11">
        <v>1.239001394</v>
      </c>
      <c r="R11">
        <v>1.335287825</v>
      </c>
      <c r="S11">
        <v>1.43350011</v>
      </c>
      <c r="T11">
        <v>1.4945726459999999</v>
      </c>
      <c r="U11">
        <v>1.562729754</v>
      </c>
      <c r="V11">
        <v>1.63882365</v>
      </c>
      <c r="W11">
        <v>1.776335142</v>
      </c>
      <c r="X11">
        <v>1.9131493260000001</v>
      </c>
      <c r="Y11">
        <v>2.067521154</v>
      </c>
      <c r="Z11">
        <v>2.2264493650000001</v>
      </c>
      <c r="AA11">
        <v>2.3893746990000002</v>
      </c>
      <c r="AB11">
        <v>2.560817353</v>
      </c>
      <c r="AC11">
        <v>2.737248744</v>
      </c>
      <c r="AD11">
        <v>3.0927489920000002</v>
      </c>
      <c r="AE11">
        <v>3.4482450359999999</v>
      </c>
      <c r="AF11">
        <v>3.803959447</v>
      </c>
      <c r="AG11">
        <v>4.1769408280000002</v>
      </c>
      <c r="AH11">
        <v>4.5511459270000003</v>
      </c>
      <c r="AI11">
        <v>4.9396056760000002</v>
      </c>
      <c r="AJ11">
        <v>5.3278712840000004</v>
      </c>
      <c r="AK11">
        <v>5.716113354</v>
      </c>
      <c r="AL11">
        <v>6.1186653050000004</v>
      </c>
      <c r="AM11">
        <v>6.5201421740000001</v>
      </c>
      <c r="AN11">
        <v>6.9252124469999998</v>
      </c>
      <c r="AO11">
        <v>7.3287166719999997</v>
      </c>
      <c r="AP11">
        <v>7.7303317610000004</v>
      </c>
      <c r="AQ11">
        <v>8.1314366880000009</v>
      </c>
      <c r="AR11">
        <v>8.5310494630000004</v>
      </c>
      <c r="AS11">
        <v>8.7395854439999905</v>
      </c>
      <c r="AT11">
        <v>8.9447769390000005</v>
      </c>
      <c r="AU11">
        <v>9.1510885829999999</v>
      </c>
      <c r="AV11">
        <v>9.3550826160000007</v>
      </c>
      <c r="AW11">
        <v>9.5611513059999904</v>
      </c>
    </row>
    <row r="12" spans="1:49" x14ac:dyDescent="0.25">
      <c r="B12" t="s">
        <v>341</v>
      </c>
      <c r="C12">
        <v>3.32767453113023</v>
      </c>
      <c r="D12">
        <v>3.3811014220943498</v>
      </c>
      <c r="E12">
        <v>3.4538971119999999</v>
      </c>
      <c r="F12">
        <v>3.4253583989999998</v>
      </c>
      <c r="G12">
        <v>3.3822713119999999</v>
      </c>
      <c r="H12">
        <v>3.0394932629999998</v>
      </c>
      <c r="I12">
        <v>3.0464027069999999</v>
      </c>
      <c r="J12">
        <v>3.0426801050000001</v>
      </c>
      <c r="K12">
        <v>2.9699078010000002</v>
      </c>
      <c r="L12">
        <v>2.8545927770000001</v>
      </c>
      <c r="M12">
        <v>2.7448702410000001</v>
      </c>
      <c r="N12">
        <v>2.6045426009999999</v>
      </c>
      <c r="O12">
        <v>2.785049114</v>
      </c>
      <c r="P12">
        <v>3.0797062880000001</v>
      </c>
      <c r="Q12">
        <v>3.435412957</v>
      </c>
      <c r="R12">
        <v>3.7023889680000002</v>
      </c>
      <c r="S12">
        <v>3.9747048509999998</v>
      </c>
      <c r="T12">
        <v>4.1820071009999999</v>
      </c>
      <c r="U12">
        <v>4.4100339279999998</v>
      </c>
      <c r="V12">
        <v>4.6616234439999999</v>
      </c>
      <c r="W12">
        <v>4.5662560379999997</v>
      </c>
      <c r="X12">
        <v>4.4885426490000002</v>
      </c>
      <c r="Y12">
        <v>4.5062424190000003</v>
      </c>
      <c r="Z12">
        <v>4.5289955580000001</v>
      </c>
      <c r="AA12">
        <v>4.5547455210000001</v>
      </c>
      <c r="AB12">
        <v>4.5945455490000002</v>
      </c>
      <c r="AC12">
        <v>4.6381159270000003</v>
      </c>
      <c r="AD12">
        <v>4.6830885650000003</v>
      </c>
      <c r="AE12">
        <v>4.728504042</v>
      </c>
      <c r="AF12">
        <v>4.7745170010000004</v>
      </c>
      <c r="AG12">
        <v>4.8219030009999999</v>
      </c>
      <c r="AH12">
        <v>4.8705245880000003</v>
      </c>
      <c r="AI12">
        <v>4.9177167949999996</v>
      </c>
      <c r="AJ12">
        <v>4.9640390510000003</v>
      </c>
      <c r="AK12">
        <v>5.0098119910000003</v>
      </c>
      <c r="AL12">
        <v>5.055083271</v>
      </c>
      <c r="AM12">
        <v>5.0990855460000004</v>
      </c>
      <c r="AN12">
        <v>5.1327740549999996</v>
      </c>
      <c r="AO12">
        <v>5.1651116190000002</v>
      </c>
      <c r="AP12">
        <v>5.1960728420000004</v>
      </c>
      <c r="AQ12">
        <v>5.2267264410000003</v>
      </c>
      <c r="AR12">
        <v>5.2565052249999997</v>
      </c>
      <c r="AS12">
        <v>5.2669325430000002</v>
      </c>
      <c r="AT12">
        <v>5.2754329899999997</v>
      </c>
      <c r="AU12">
        <v>5.284704971</v>
      </c>
      <c r="AV12">
        <v>5.2927557140000001</v>
      </c>
      <c r="AW12">
        <v>5.3020929969999999</v>
      </c>
    </row>
    <row r="13" spans="1:49" x14ac:dyDescent="0.25">
      <c r="B13" t="s">
        <v>342</v>
      </c>
      <c r="C13">
        <v>0.21556468620722</v>
      </c>
      <c r="D13">
        <v>0.21902564697065</v>
      </c>
      <c r="E13">
        <v>0.22374130649999999</v>
      </c>
      <c r="F13">
        <v>0.25780654390000002</v>
      </c>
      <c r="G13">
        <v>0.29576549359999998</v>
      </c>
      <c r="H13">
        <v>0.30881002590000001</v>
      </c>
      <c r="I13">
        <v>0.35960743630000003</v>
      </c>
      <c r="J13">
        <v>0.41730038990000001</v>
      </c>
      <c r="K13">
        <v>0.47324562450000002</v>
      </c>
      <c r="L13">
        <v>0.52849264439999999</v>
      </c>
      <c r="M13">
        <v>0.59042909129999999</v>
      </c>
      <c r="N13">
        <v>0.65092138330000004</v>
      </c>
      <c r="O13">
        <v>0.59972682629999996</v>
      </c>
      <c r="P13">
        <v>0.57242877869999997</v>
      </c>
      <c r="Q13">
        <v>0.55125163150000001</v>
      </c>
      <c r="R13">
        <v>0.51213290089999997</v>
      </c>
      <c r="S13">
        <v>0.47246285630000001</v>
      </c>
      <c r="T13">
        <v>0.4998806006</v>
      </c>
      <c r="U13">
        <v>0.52984087170000005</v>
      </c>
      <c r="V13">
        <v>0.56271577480000001</v>
      </c>
      <c r="W13">
        <v>0.75873686299999998</v>
      </c>
      <c r="X13">
        <v>0.94851227339999999</v>
      </c>
      <c r="Y13">
        <v>0.99290419510000005</v>
      </c>
      <c r="Z13">
        <v>1.0390291549999999</v>
      </c>
      <c r="AA13">
        <v>1.0865404169999999</v>
      </c>
      <c r="AB13">
        <v>1.1367266810000001</v>
      </c>
      <c r="AC13">
        <v>1.1886260879999999</v>
      </c>
      <c r="AD13">
        <v>1.210166128</v>
      </c>
      <c r="AE13">
        <v>1.231811572</v>
      </c>
      <c r="AF13">
        <v>1.2536060469999999</v>
      </c>
      <c r="AG13">
        <v>1.2763514789999999</v>
      </c>
      <c r="AH13">
        <v>1.299428684</v>
      </c>
      <c r="AI13">
        <v>1.3857640659999999</v>
      </c>
      <c r="AJ13">
        <v>1.4719998560000001</v>
      </c>
      <c r="AK13">
        <v>1.5581939739999999</v>
      </c>
      <c r="AL13">
        <v>1.6477091210000001</v>
      </c>
      <c r="AM13">
        <v>1.736909721</v>
      </c>
      <c r="AN13">
        <v>1.76271026</v>
      </c>
      <c r="AO13">
        <v>1.7880570119999999</v>
      </c>
      <c r="AP13">
        <v>1.8129298250000001</v>
      </c>
      <c r="AQ13">
        <v>1.8376932290000001</v>
      </c>
      <c r="AR13">
        <v>1.8621438610000001</v>
      </c>
      <c r="AS13">
        <v>1.8875679190000001</v>
      </c>
      <c r="AT13">
        <v>1.9122847329999999</v>
      </c>
      <c r="AU13">
        <v>1.9372598969999999</v>
      </c>
      <c r="AV13">
        <v>1.9617643709999999</v>
      </c>
      <c r="AW13">
        <v>1.986723096</v>
      </c>
    </row>
    <row r="14" spans="1:49" x14ac:dyDescent="0.25">
      <c r="B14" t="s">
        <v>343</v>
      </c>
      <c r="C14">
        <v>35.839918454870201</v>
      </c>
      <c r="D14">
        <v>36.415339938413297</v>
      </c>
      <c r="E14">
        <v>37.199368419999999</v>
      </c>
      <c r="F14">
        <v>38.362546899999998</v>
      </c>
      <c r="G14">
        <v>39.389919999999996</v>
      </c>
      <c r="H14">
        <v>36.80892085</v>
      </c>
      <c r="I14">
        <v>38.363167320000002</v>
      </c>
      <c r="J14">
        <v>39.843610089999999</v>
      </c>
      <c r="K14">
        <v>40.440879979999998</v>
      </c>
      <c r="L14">
        <v>40.420067629999998</v>
      </c>
      <c r="M14">
        <v>40.41568419</v>
      </c>
      <c r="N14">
        <v>39.87813371</v>
      </c>
      <c r="O14">
        <v>38.553671729999998</v>
      </c>
      <c r="P14">
        <v>38.780351690000003</v>
      </c>
      <c r="Q14">
        <v>39.553918449999998</v>
      </c>
      <c r="R14">
        <v>39.148654399999998</v>
      </c>
      <c r="S14">
        <v>38.745095220000003</v>
      </c>
      <c r="T14">
        <v>39.01310376</v>
      </c>
      <c r="U14">
        <v>39.433226500000004</v>
      </c>
      <c r="V14">
        <v>40.01119267</v>
      </c>
      <c r="W14">
        <v>40.805964930000002</v>
      </c>
      <c r="X14">
        <v>41.687144369999999</v>
      </c>
      <c r="Y14">
        <v>42.340381729999997</v>
      </c>
      <c r="Z14">
        <v>43.048550910000003</v>
      </c>
      <c r="AA14">
        <v>43.793608310000003</v>
      </c>
      <c r="AB14">
        <v>44.561625550000002</v>
      </c>
      <c r="AC14">
        <v>45.373600230000001</v>
      </c>
      <c r="AD14">
        <v>45.892125919999998</v>
      </c>
      <c r="AE14">
        <v>46.414920379999998</v>
      </c>
      <c r="AF14">
        <v>46.943527799999998</v>
      </c>
      <c r="AG14">
        <v>47.485794380000002</v>
      </c>
      <c r="AH14">
        <v>48.040263889999999</v>
      </c>
      <c r="AI14">
        <v>48.582329340000001</v>
      </c>
      <c r="AJ14">
        <v>49.115951680000002</v>
      </c>
      <c r="AK14">
        <v>49.644264769999999</v>
      </c>
      <c r="AL14">
        <v>50.168707619999999</v>
      </c>
      <c r="AM14">
        <v>50.680655950000002</v>
      </c>
      <c r="AN14">
        <v>51.090962320000003</v>
      </c>
      <c r="AO14">
        <v>51.487875080000002</v>
      </c>
      <c r="AP14">
        <v>51.87108121</v>
      </c>
      <c r="AQ14">
        <v>52.251205480000003</v>
      </c>
      <c r="AR14">
        <v>52.622556920000001</v>
      </c>
      <c r="AS14">
        <v>52.941938729999997</v>
      </c>
      <c r="AT14">
        <v>53.24178697</v>
      </c>
      <c r="AU14">
        <v>53.549210870000003</v>
      </c>
      <c r="AV14">
        <v>53.844032460000001</v>
      </c>
      <c r="AW14">
        <v>54.151718580000001</v>
      </c>
    </row>
    <row r="15" spans="1:49" x14ac:dyDescent="0.25">
      <c r="B15" t="s">
        <v>344</v>
      </c>
      <c r="C15">
        <v>36.006525643363197</v>
      </c>
      <c r="D15">
        <v>36.584622059208101</v>
      </c>
      <c r="E15">
        <v>37.372061909999999</v>
      </c>
      <c r="F15">
        <v>38.333548049999997</v>
      </c>
      <c r="G15">
        <v>37.892585339999997</v>
      </c>
      <c r="H15">
        <v>36.785032319999999</v>
      </c>
      <c r="I15">
        <v>38.052602270000001</v>
      </c>
      <c r="J15">
        <v>38.397234050000002</v>
      </c>
      <c r="K15">
        <v>37.34564744</v>
      </c>
      <c r="L15">
        <v>36.983671299999997</v>
      </c>
      <c r="M15">
        <v>37.436756199999998</v>
      </c>
      <c r="N15">
        <v>38.392087570000001</v>
      </c>
      <c r="O15">
        <v>38.830790200000003</v>
      </c>
      <c r="P15">
        <v>38.637125429999998</v>
      </c>
      <c r="Q15">
        <v>36.823643629999999</v>
      </c>
      <c r="R15">
        <v>35.518229159999997</v>
      </c>
      <c r="S15">
        <v>35.017304230000001</v>
      </c>
      <c r="T15">
        <v>34.68175531</v>
      </c>
      <c r="U15">
        <v>34.430776000000002</v>
      </c>
      <c r="V15">
        <v>34.224126490000003</v>
      </c>
      <c r="W15">
        <v>34.28542839</v>
      </c>
      <c r="X15">
        <v>34.465970239999997</v>
      </c>
      <c r="Y15">
        <v>34.675446379999997</v>
      </c>
      <c r="Z15">
        <v>34.967398279999998</v>
      </c>
      <c r="AA15">
        <v>35.316820749999998</v>
      </c>
      <c r="AB15">
        <v>35.723580200000001</v>
      </c>
      <c r="AC15">
        <v>36.196115650000003</v>
      </c>
      <c r="AD15">
        <v>36.369185950000002</v>
      </c>
      <c r="AE15">
        <v>36.561559090000003</v>
      </c>
      <c r="AF15">
        <v>36.767410929999997</v>
      </c>
      <c r="AG15">
        <v>36.944562099999999</v>
      </c>
      <c r="AH15">
        <v>37.154270940000004</v>
      </c>
      <c r="AI15">
        <v>37.327529859999999</v>
      </c>
      <c r="AJ15">
        <v>37.52322556</v>
      </c>
      <c r="AK15">
        <v>37.732540989999997</v>
      </c>
      <c r="AL15">
        <v>37.952242460000001</v>
      </c>
      <c r="AM15">
        <v>38.178979699999999</v>
      </c>
      <c r="AN15">
        <v>38.212738950000002</v>
      </c>
      <c r="AO15">
        <v>38.251373059999999</v>
      </c>
      <c r="AP15">
        <v>38.279181010000002</v>
      </c>
      <c r="AQ15">
        <v>38.302179520000003</v>
      </c>
      <c r="AR15">
        <v>38.31419176</v>
      </c>
      <c r="AS15">
        <v>38.309440729999999</v>
      </c>
      <c r="AT15">
        <v>38.309118089999998</v>
      </c>
      <c r="AU15">
        <v>38.271474920000003</v>
      </c>
      <c r="AV15">
        <v>38.25251918</v>
      </c>
      <c r="AW15">
        <v>38.24931583</v>
      </c>
    </row>
    <row r="16" spans="1:49" x14ac:dyDescent="0.25">
      <c r="B16" t="s">
        <v>345</v>
      </c>
      <c r="C16">
        <v>33.108335480742298</v>
      </c>
      <c r="D16">
        <v>33.639900516080203</v>
      </c>
      <c r="E16">
        <v>34.363958789999998</v>
      </c>
      <c r="F16">
        <v>34.191593099999999</v>
      </c>
      <c r="G16">
        <v>32.785268430000002</v>
      </c>
      <c r="H16">
        <v>30.873071360000001</v>
      </c>
      <c r="I16">
        <v>30.979702639999999</v>
      </c>
      <c r="J16">
        <v>30.323338379999999</v>
      </c>
      <c r="K16">
        <v>28.60890611</v>
      </c>
      <c r="L16">
        <v>27.482451380000001</v>
      </c>
      <c r="M16">
        <v>26.985337080000001</v>
      </c>
      <c r="N16">
        <v>26.844514369999999</v>
      </c>
      <c r="O16">
        <v>27.03592952</v>
      </c>
      <c r="P16">
        <v>26.786538279999998</v>
      </c>
      <c r="Q16">
        <v>25.420299889999999</v>
      </c>
      <c r="R16">
        <v>24.414212970000001</v>
      </c>
      <c r="S16">
        <v>23.966631459999999</v>
      </c>
      <c r="T16">
        <v>22.777154240000002</v>
      </c>
      <c r="U16">
        <v>21.636651560000001</v>
      </c>
      <c r="V16">
        <v>20.513489239999998</v>
      </c>
      <c r="W16">
        <v>21.638359940000001</v>
      </c>
      <c r="X16">
        <v>22.79002925</v>
      </c>
      <c r="Y16">
        <v>22.692875999999998</v>
      </c>
      <c r="Z16">
        <v>22.645921649999998</v>
      </c>
      <c r="AA16">
        <v>22.631448259999999</v>
      </c>
      <c r="AB16">
        <v>22.641991470000001</v>
      </c>
      <c r="AC16">
        <v>22.687784690000001</v>
      </c>
      <c r="AD16">
        <v>22.57518765</v>
      </c>
      <c r="AE16">
        <v>22.473827740000001</v>
      </c>
      <c r="AF16">
        <v>22.379818780000001</v>
      </c>
      <c r="AG16">
        <v>22.262301019999999</v>
      </c>
      <c r="AH16">
        <v>22.163584270000001</v>
      </c>
      <c r="AI16">
        <v>22.164462969999999</v>
      </c>
      <c r="AJ16">
        <v>22.178112370000001</v>
      </c>
      <c r="AK16">
        <v>22.199165260000001</v>
      </c>
      <c r="AL16">
        <v>22.223302570000001</v>
      </c>
      <c r="AM16">
        <v>22.250780500000001</v>
      </c>
      <c r="AN16">
        <v>22.13680037</v>
      </c>
      <c r="AO16">
        <v>22.02554134</v>
      </c>
      <c r="AP16">
        <v>21.907966519999999</v>
      </c>
      <c r="AQ16">
        <v>21.787611850000001</v>
      </c>
      <c r="AR16">
        <v>21.661035529999999</v>
      </c>
      <c r="AS16">
        <v>21.52145063</v>
      </c>
      <c r="AT16">
        <v>21.383860479999999</v>
      </c>
      <c r="AU16">
        <v>21.22506095</v>
      </c>
      <c r="AV16">
        <v>21.076312940000001</v>
      </c>
      <c r="AW16">
        <v>20.935805219999999</v>
      </c>
    </row>
    <row r="17" spans="2:49" x14ac:dyDescent="0.25">
      <c r="B17" t="s">
        <v>346</v>
      </c>
      <c r="C17">
        <v>1.54983431156195</v>
      </c>
      <c r="D17">
        <v>1.57471740274219</v>
      </c>
      <c r="E17">
        <v>1.608611295</v>
      </c>
      <c r="F17">
        <v>2.629014518</v>
      </c>
      <c r="G17">
        <v>3.5019673889999998</v>
      </c>
      <c r="H17">
        <v>4.2061982760000003</v>
      </c>
      <c r="I17">
        <v>5.102617553</v>
      </c>
      <c r="J17">
        <v>5.809892327</v>
      </c>
      <c r="K17">
        <v>6.1820149469999999</v>
      </c>
      <c r="L17">
        <v>6.5155482500000002</v>
      </c>
      <c r="M17">
        <v>6.8306419350000001</v>
      </c>
      <c r="N17">
        <v>7.0411191799999999</v>
      </c>
      <c r="O17">
        <v>7.2040504160000003</v>
      </c>
      <c r="P17">
        <v>7.2500345709999996</v>
      </c>
      <c r="Q17">
        <v>6.9876733169999996</v>
      </c>
      <c r="R17">
        <v>6.8149874099999996</v>
      </c>
      <c r="S17">
        <v>6.792712377</v>
      </c>
      <c r="T17">
        <v>6.906570576</v>
      </c>
      <c r="U17">
        <v>7.0384943040000003</v>
      </c>
      <c r="V17">
        <v>7.1814409030000004</v>
      </c>
      <c r="W17">
        <v>7.2645463609999998</v>
      </c>
      <c r="X17">
        <v>7.3697888709999999</v>
      </c>
      <c r="Y17">
        <v>7.5060299029999999</v>
      </c>
      <c r="Z17">
        <v>7.6615894349999998</v>
      </c>
      <c r="AA17">
        <v>7.8315799730000002</v>
      </c>
      <c r="AB17">
        <v>8.0170212369999998</v>
      </c>
      <c r="AC17">
        <v>8.2196759670000006</v>
      </c>
      <c r="AD17">
        <v>8.362840856</v>
      </c>
      <c r="AE17">
        <v>8.5107941070000006</v>
      </c>
      <c r="AF17">
        <v>8.6623238180000008</v>
      </c>
      <c r="AG17">
        <v>8.8076099509999999</v>
      </c>
      <c r="AH17">
        <v>8.9610336490000009</v>
      </c>
      <c r="AI17">
        <v>9.0219616079999998</v>
      </c>
      <c r="AJ17">
        <v>9.0884155599999996</v>
      </c>
      <c r="AK17">
        <v>9.1582890559999903</v>
      </c>
      <c r="AL17">
        <v>9.2302142150000002</v>
      </c>
      <c r="AM17">
        <v>9.3039883920000008</v>
      </c>
      <c r="AN17">
        <v>9.3528518980000008</v>
      </c>
      <c r="AO17">
        <v>9.4029398519999994</v>
      </c>
      <c r="AP17">
        <v>9.4503914469999994</v>
      </c>
      <c r="AQ17">
        <v>9.4966639920000002</v>
      </c>
      <c r="AR17">
        <v>9.5402041569999998</v>
      </c>
      <c r="AS17">
        <v>9.5407360590000003</v>
      </c>
      <c r="AT17">
        <v>9.5423770030000004</v>
      </c>
      <c r="AU17">
        <v>9.5347265429999997</v>
      </c>
      <c r="AV17">
        <v>9.5317356689999997</v>
      </c>
      <c r="AW17">
        <v>9.5326754630000003</v>
      </c>
    </row>
    <row r="18" spans="2:49" x14ac:dyDescent="0.25">
      <c r="B18" t="s">
        <v>347</v>
      </c>
      <c r="C18">
        <v>0.19372928894524399</v>
      </c>
      <c r="D18">
        <v>0.196839675342774</v>
      </c>
      <c r="E18">
        <v>0.2010764119</v>
      </c>
      <c r="F18">
        <v>0.1939909869</v>
      </c>
      <c r="G18">
        <v>0.18036208140000001</v>
      </c>
      <c r="H18">
        <v>0.16468369769999999</v>
      </c>
      <c r="I18">
        <v>0.16023312279999999</v>
      </c>
      <c r="J18">
        <v>0.1520744809</v>
      </c>
      <c r="K18">
        <v>0.13911849209999999</v>
      </c>
      <c r="L18">
        <v>0.12958160539999999</v>
      </c>
      <c r="M18">
        <v>0.1233729683</v>
      </c>
      <c r="N18">
        <v>0.1190013798</v>
      </c>
      <c r="O18">
        <v>0.18075843529999999</v>
      </c>
      <c r="P18">
        <v>0.2398444914</v>
      </c>
      <c r="Q18">
        <v>0.2856559971</v>
      </c>
      <c r="R18">
        <v>0.33047600440000002</v>
      </c>
      <c r="S18">
        <v>0.37988941679999999</v>
      </c>
      <c r="T18">
        <v>0.58598982619999995</v>
      </c>
      <c r="U18">
        <v>0.79495402140000004</v>
      </c>
      <c r="V18">
        <v>1.0072398929999999</v>
      </c>
      <c r="W18">
        <v>0.73459983470000001</v>
      </c>
      <c r="X18">
        <v>0.47673618909999999</v>
      </c>
      <c r="Y18">
        <v>0.47926912970000002</v>
      </c>
      <c r="Z18">
        <v>0.48293617360000002</v>
      </c>
      <c r="AA18">
        <v>0.48738961539999998</v>
      </c>
      <c r="AB18">
        <v>0.49249934839999998</v>
      </c>
      <c r="AC18">
        <v>0.49850292540000002</v>
      </c>
      <c r="AD18">
        <v>0.51952341179999995</v>
      </c>
      <c r="AE18">
        <v>0.54088240229999995</v>
      </c>
      <c r="AF18">
        <v>0.56251954689999994</v>
      </c>
      <c r="AG18">
        <v>0.58391944849999999</v>
      </c>
      <c r="AH18">
        <v>0.60590176009999996</v>
      </c>
      <c r="AI18">
        <v>0.63223790099999999</v>
      </c>
      <c r="AJ18">
        <v>0.65908068620000004</v>
      </c>
      <c r="AK18">
        <v>0.68631100700000003</v>
      </c>
      <c r="AL18">
        <v>0.71431572789999997</v>
      </c>
      <c r="AM18">
        <v>0.74263084349999997</v>
      </c>
      <c r="AN18">
        <v>0.76507637449999999</v>
      </c>
      <c r="AO18">
        <v>0.78763628460000001</v>
      </c>
      <c r="AP18">
        <v>0.80998663699999995</v>
      </c>
      <c r="AQ18">
        <v>0.83223967509999996</v>
      </c>
      <c r="AR18">
        <v>0.85424947799999995</v>
      </c>
      <c r="AS18">
        <v>0.87190462820000003</v>
      </c>
      <c r="AT18">
        <v>0.88972453100000004</v>
      </c>
      <c r="AU18">
        <v>0.9067266249</v>
      </c>
      <c r="AV18">
        <v>0.92421198859999998</v>
      </c>
      <c r="AW18">
        <v>0.94213488990000005</v>
      </c>
    </row>
    <row r="19" spans="2:49" x14ac:dyDescent="0.25">
      <c r="B19" t="s">
        <v>348</v>
      </c>
      <c r="C19">
        <v>0.57343869527792402</v>
      </c>
      <c r="D19">
        <v>0.58264543901461296</v>
      </c>
      <c r="E19">
        <v>0.59518617910000005</v>
      </c>
      <c r="F19">
        <v>0.58591547190000004</v>
      </c>
      <c r="G19">
        <v>0.55585351350000001</v>
      </c>
      <c r="H19">
        <v>0.51787796119999996</v>
      </c>
      <c r="I19">
        <v>0.51415115909999998</v>
      </c>
      <c r="J19">
        <v>0.49791655730000001</v>
      </c>
      <c r="K19">
        <v>0.4647793133</v>
      </c>
      <c r="L19">
        <v>0.44174026500000002</v>
      </c>
      <c r="M19">
        <v>0.42914627550000001</v>
      </c>
      <c r="N19">
        <v>0.42237580629999999</v>
      </c>
      <c r="O19">
        <v>0.6261886874</v>
      </c>
      <c r="P19">
        <v>0.82070236559999998</v>
      </c>
      <c r="Q19">
        <v>0.97020249349999999</v>
      </c>
      <c r="R19">
        <v>1.116837122</v>
      </c>
      <c r="S19">
        <v>1.2792404550000001</v>
      </c>
      <c r="T19">
        <v>1.3200622980000001</v>
      </c>
      <c r="U19">
        <v>1.3644661730000001</v>
      </c>
      <c r="V19">
        <v>1.4112084140000001</v>
      </c>
      <c r="W19">
        <v>1.107020181</v>
      </c>
      <c r="X19">
        <v>0.82034071710000001</v>
      </c>
      <c r="Y19">
        <v>0.82601105630000005</v>
      </c>
      <c r="Z19">
        <v>0.8336570365</v>
      </c>
      <c r="AA19">
        <v>0.8426869347</v>
      </c>
      <c r="AB19">
        <v>0.8525555977</v>
      </c>
      <c r="AC19">
        <v>0.86399822589999997</v>
      </c>
      <c r="AD19">
        <v>0.86238519960000004</v>
      </c>
      <c r="AE19">
        <v>0.86121053550000004</v>
      </c>
      <c r="AF19">
        <v>0.86032909000000002</v>
      </c>
      <c r="AG19">
        <v>0.85861709340000003</v>
      </c>
      <c r="AH19">
        <v>0.85764050270000003</v>
      </c>
      <c r="AI19">
        <v>0.85855839199999995</v>
      </c>
      <c r="AJ19">
        <v>0.8599757468</v>
      </c>
      <c r="AK19">
        <v>0.86168580620000002</v>
      </c>
      <c r="AL19">
        <v>0.86357373859999997</v>
      </c>
      <c r="AM19">
        <v>0.86559856710000005</v>
      </c>
      <c r="AN19">
        <v>0.86508237430000001</v>
      </c>
      <c r="AO19">
        <v>0.86467555460000001</v>
      </c>
      <c r="AP19">
        <v>0.86402322259999997</v>
      </c>
      <c r="AQ19">
        <v>0.86326207190000004</v>
      </c>
      <c r="AR19">
        <v>0.86225357619999998</v>
      </c>
      <c r="AS19">
        <v>0.86346000440000004</v>
      </c>
      <c r="AT19">
        <v>0.86477097449999996</v>
      </c>
      <c r="AU19">
        <v>0.86524310950000005</v>
      </c>
      <c r="AV19">
        <v>0.86614072740000003</v>
      </c>
      <c r="AW19">
        <v>0.86739923320000001</v>
      </c>
    </row>
    <row r="20" spans="2:49" x14ac:dyDescent="0.25">
      <c r="B20" t="s">
        <v>349</v>
      </c>
      <c r="C20">
        <v>0.19372928894524399</v>
      </c>
      <c r="D20">
        <v>0.196839675342774</v>
      </c>
      <c r="E20">
        <v>0.2010764119</v>
      </c>
      <c r="F20">
        <v>0.20577319290000001</v>
      </c>
      <c r="G20">
        <v>0.20293629469999999</v>
      </c>
      <c r="H20">
        <v>0.19654968049999999</v>
      </c>
      <c r="I20">
        <v>0.2028529244</v>
      </c>
      <c r="J20">
        <v>0.2042173156</v>
      </c>
      <c r="K20">
        <v>0.1981656272</v>
      </c>
      <c r="L20">
        <v>0.19579160430000001</v>
      </c>
      <c r="M20">
        <v>0.19773245859999999</v>
      </c>
      <c r="N20">
        <v>0.20230992719999999</v>
      </c>
      <c r="O20">
        <v>0.23749790109999999</v>
      </c>
      <c r="P20">
        <v>0.26896660639999997</v>
      </c>
      <c r="Q20">
        <v>0.2874068005</v>
      </c>
      <c r="R20">
        <v>0.30712736019999998</v>
      </c>
      <c r="S20">
        <v>0.33223021740000003</v>
      </c>
      <c r="T20">
        <v>0.39156071780000001</v>
      </c>
      <c r="U20">
        <v>0.45227369020000002</v>
      </c>
      <c r="V20">
        <v>0.51425394609999997</v>
      </c>
      <c r="W20">
        <v>0.40744755389999998</v>
      </c>
      <c r="X20">
        <v>0.3068555402</v>
      </c>
      <c r="Y20">
        <v>0.31221037439999999</v>
      </c>
      <c r="Z20">
        <v>0.31836372340000002</v>
      </c>
      <c r="AA20">
        <v>0.3251104903</v>
      </c>
      <c r="AB20">
        <v>0.33236494630000002</v>
      </c>
      <c r="AC20">
        <v>0.34032173939999999</v>
      </c>
      <c r="AD20">
        <v>0.33996261500000002</v>
      </c>
      <c r="AE20">
        <v>0.33977723479999999</v>
      </c>
      <c r="AF20">
        <v>0.33970872219999998</v>
      </c>
      <c r="AG20">
        <v>0.33933236020000002</v>
      </c>
      <c r="AH20">
        <v>0.33924773139999997</v>
      </c>
      <c r="AI20">
        <v>0.33984027220000002</v>
      </c>
      <c r="AJ20">
        <v>0.34063175489999997</v>
      </c>
      <c r="AK20">
        <v>0.34154063429999998</v>
      </c>
      <c r="AL20">
        <v>0.34255188619999999</v>
      </c>
      <c r="AM20">
        <v>0.34361939650000001</v>
      </c>
      <c r="AN20">
        <v>0.34377633899999999</v>
      </c>
      <c r="AO20">
        <v>0.3439770244</v>
      </c>
      <c r="AP20">
        <v>0.344080265</v>
      </c>
      <c r="AQ20">
        <v>0.34414024500000001</v>
      </c>
      <c r="AR20">
        <v>0.34410154510000002</v>
      </c>
      <c r="AS20">
        <v>0.34473839919999999</v>
      </c>
      <c r="AT20">
        <v>0.34541755060000001</v>
      </c>
      <c r="AU20">
        <v>0.34576207120000002</v>
      </c>
      <c r="AV20">
        <v>0.3462769732</v>
      </c>
      <c r="AW20">
        <v>0.34693665070000002</v>
      </c>
    </row>
    <row r="21" spans="2:49" x14ac:dyDescent="0.25">
      <c r="B21" t="s">
        <v>350</v>
      </c>
      <c r="C21">
        <v>0.38745857789048899</v>
      </c>
      <c r="D21">
        <v>0.39367935068554899</v>
      </c>
      <c r="E21">
        <v>0.4021528237</v>
      </c>
      <c r="F21">
        <v>0.52726078610000005</v>
      </c>
      <c r="G21">
        <v>0.66619763030000001</v>
      </c>
      <c r="H21">
        <v>0.82665135099999998</v>
      </c>
      <c r="I21">
        <v>1.093044873</v>
      </c>
      <c r="J21">
        <v>1.409794988</v>
      </c>
      <c r="K21">
        <v>1.7526629490000001</v>
      </c>
      <c r="L21">
        <v>2.218558195</v>
      </c>
      <c r="M21">
        <v>2.8705254870000001</v>
      </c>
      <c r="N21">
        <v>3.7627669030000002</v>
      </c>
      <c r="O21">
        <v>3.5463652360000002</v>
      </c>
      <c r="P21">
        <v>3.2710391190000001</v>
      </c>
      <c r="Q21">
        <v>2.8724051309999998</v>
      </c>
      <c r="R21">
        <v>2.5345882909999999</v>
      </c>
      <c r="S21">
        <v>2.2666002999999999</v>
      </c>
      <c r="T21">
        <v>2.7004176489999998</v>
      </c>
      <c r="U21">
        <v>3.1439362470000001</v>
      </c>
      <c r="V21">
        <v>3.5964940840000001</v>
      </c>
      <c r="W21">
        <v>3.133454521</v>
      </c>
      <c r="X21">
        <v>2.7022196759999999</v>
      </c>
      <c r="Y21">
        <v>2.8590499149999999</v>
      </c>
      <c r="Z21">
        <v>3.0249302660000001</v>
      </c>
      <c r="AA21">
        <v>3.1986054780000002</v>
      </c>
      <c r="AB21">
        <v>3.387147599</v>
      </c>
      <c r="AC21">
        <v>3.5858321069999999</v>
      </c>
      <c r="AD21">
        <v>3.7092862200000001</v>
      </c>
      <c r="AE21">
        <v>3.8350670710000001</v>
      </c>
      <c r="AF21">
        <v>3.9627109740000002</v>
      </c>
      <c r="AG21">
        <v>4.0927822249999997</v>
      </c>
      <c r="AH21">
        <v>4.226863024</v>
      </c>
      <c r="AI21">
        <v>4.3104687149999998</v>
      </c>
      <c r="AJ21">
        <v>4.3970094509999997</v>
      </c>
      <c r="AK21">
        <v>4.4855492220000004</v>
      </c>
      <c r="AL21">
        <v>4.5782843230000001</v>
      </c>
      <c r="AM21">
        <v>4.6723619919999999</v>
      </c>
      <c r="AN21">
        <v>4.7491515939999998</v>
      </c>
      <c r="AO21">
        <v>4.8266029990000003</v>
      </c>
      <c r="AP21">
        <v>4.9027329120000003</v>
      </c>
      <c r="AQ21">
        <v>4.9782616910000002</v>
      </c>
      <c r="AR21">
        <v>5.0523474650000004</v>
      </c>
      <c r="AS21">
        <v>5.1671510029999999</v>
      </c>
      <c r="AT21">
        <v>5.2829675470000002</v>
      </c>
      <c r="AU21">
        <v>5.3939556209999999</v>
      </c>
      <c r="AV21">
        <v>5.5078408789999997</v>
      </c>
      <c r="AW21">
        <v>5.6243643680000002</v>
      </c>
    </row>
    <row r="22" spans="2:49" x14ac:dyDescent="0.25">
      <c r="B22" t="s">
        <v>351</v>
      </c>
      <c r="C22">
        <v>5.5705789795526002</v>
      </c>
      <c r="D22">
        <v>5.6600164269241402</v>
      </c>
      <c r="E22">
        <v>5.7508898210000003</v>
      </c>
      <c r="F22">
        <v>5.7944176909999996</v>
      </c>
      <c r="G22">
        <v>4.8282380570000001</v>
      </c>
      <c r="H22">
        <v>4.2261073830000004</v>
      </c>
      <c r="I22">
        <v>4.0941823670000002</v>
      </c>
      <c r="J22">
        <v>3.9114818040000001</v>
      </c>
      <c r="K22">
        <v>3.7754585340000002</v>
      </c>
      <c r="L22">
        <v>4.0194348240000002</v>
      </c>
      <c r="M22">
        <v>4.1198388450000003</v>
      </c>
      <c r="N22">
        <v>4.1903269859999996</v>
      </c>
      <c r="O22">
        <v>3.2922486470000001</v>
      </c>
      <c r="P22">
        <v>2.775817188</v>
      </c>
      <c r="Q22">
        <v>2.4425633360000001</v>
      </c>
      <c r="R22">
        <v>2.229243114</v>
      </c>
      <c r="S22">
        <v>2.052617036</v>
      </c>
      <c r="T22">
        <v>2.0139272940000001</v>
      </c>
      <c r="U22">
        <v>1.9885553650000001</v>
      </c>
      <c r="V22">
        <v>1.971892379</v>
      </c>
      <c r="W22">
        <v>1.938862525</v>
      </c>
      <c r="X22">
        <v>1.888370294</v>
      </c>
      <c r="Y22">
        <v>1.8872724059999999</v>
      </c>
      <c r="Z22">
        <v>1.90572732</v>
      </c>
      <c r="AA22">
        <v>1.9293093450000001</v>
      </c>
      <c r="AB22">
        <v>1.955692682</v>
      </c>
      <c r="AC22">
        <v>1.9853539309999999</v>
      </c>
      <c r="AD22">
        <v>1.9921387340000001</v>
      </c>
      <c r="AE22">
        <v>2.0013144459999999</v>
      </c>
      <c r="AF22">
        <v>2.0109560229999999</v>
      </c>
      <c r="AG22">
        <v>2.021945364</v>
      </c>
      <c r="AH22">
        <v>2.0352559719999999</v>
      </c>
      <c r="AI22">
        <v>2.0498912730000001</v>
      </c>
      <c r="AJ22">
        <v>2.0658045629999999</v>
      </c>
      <c r="AK22">
        <v>2.0832654800000001</v>
      </c>
      <c r="AL22">
        <v>2.1017911730000001</v>
      </c>
      <c r="AM22">
        <v>2.1209250179999999</v>
      </c>
      <c r="AN22">
        <v>2.1137994720000002</v>
      </c>
      <c r="AO22">
        <v>2.1022157369999999</v>
      </c>
      <c r="AP22">
        <v>2.087798421</v>
      </c>
      <c r="AQ22">
        <v>2.0719383100000002</v>
      </c>
      <c r="AR22">
        <v>2.0538205999999999</v>
      </c>
      <c r="AS22">
        <v>2.052168209</v>
      </c>
      <c r="AT22">
        <v>2.0528046230000001</v>
      </c>
      <c r="AU22">
        <v>2.0535877720000002</v>
      </c>
      <c r="AV22">
        <v>2.0539754000000001</v>
      </c>
      <c r="AW22">
        <v>2.054935339</v>
      </c>
    </row>
    <row r="23" spans="2:49" x14ac:dyDescent="0.25">
      <c r="B23" t="s">
        <v>352</v>
      </c>
      <c r="C23">
        <v>155.572754408756</v>
      </c>
      <c r="D23">
        <v>158.07052530222199</v>
      </c>
      <c r="E23">
        <v>160.99352300000001</v>
      </c>
      <c r="F23">
        <v>163.72139179999999</v>
      </c>
      <c r="G23">
        <v>160.44778650000001</v>
      </c>
      <c r="H23">
        <v>154.1782503</v>
      </c>
      <c r="I23">
        <v>155.67836560000001</v>
      </c>
      <c r="J23">
        <v>155.86601390000001</v>
      </c>
      <c r="K23">
        <v>153.45388729999999</v>
      </c>
      <c r="L23">
        <v>152.0509912</v>
      </c>
      <c r="M23">
        <v>152.68386430000001</v>
      </c>
      <c r="N23">
        <v>153.95898199999999</v>
      </c>
      <c r="O23">
        <v>150.77841599999999</v>
      </c>
      <c r="P23">
        <v>148.7181598</v>
      </c>
      <c r="Q23">
        <v>145.0124711</v>
      </c>
      <c r="R23">
        <v>141.8554887</v>
      </c>
      <c r="S23">
        <v>139.18877950000001</v>
      </c>
      <c r="T23">
        <v>138.4093258</v>
      </c>
      <c r="U23">
        <v>137.8177488</v>
      </c>
      <c r="V23">
        <v>137.59002520000001</v>
      </c>
      <c r="W23">
        <v>137.65540709999999</v>
      </c>
      <c r="X23">
        <v>137.57621689999999</v>
      </c>
      <c r="Y23">
        <v>137.81860270000001</v>
      </c>
      <c r="Z23">
        <v>138.46019810000001</v>
      </c>
      <c r="AA23">
        <v>139.3149569</v>
      </c>
      <c r="AB23">
        <v>140.32102320000001</v>
      </c>
      <c r="AC23">
        <v>141.51486120000001</v>
      </c>
      <c r="AD23">
        <v>141.67756230000001</v>
      </c>
      <c r="AE23">
        <v>141.86044570000001</v>
      </c>
      <c r="AF23">
        <v>142.06679460000001</v>
      </c>
      <c r="AG23">
        <v>142.2797985</v>
      </c>
      <c r="AH23">
        <v>142.54745360000001</v>
      </c>
      <c r="AI23">
        <v>142.89135469999999</v>
      </c>
      <c r="AJ23">
        <v>143.2829558</v>
      </c>
      <c r="AK23">
        <v>143.71353360000001</v>
      </c>
      <c r="AL23">
        <v>144.1762645</v>
      </c>
      <c r="AM23">
        <v>144.65142399999999</v>
      </c>
      <c r="AN23">
        <v>144.79099930000001</v>
      </c>
      <c r="AO23">
        <v>144.9119532</v>
      </c>
      <c r="AP23">
        <v>144.99913950000001</v>
      </c>
      <c r="AQ23">
        <v>145.08451969999999</v>
      </c>
      <c r="AR23">
        <v>145.14528989999999</v>
      </c>
      <c r="AS23">
        <v>145.34966789999999</v>
      </c>
      <c r="AT23">
        <v>145.56617550000001</v>
      </c>
      <c r="AU23">
        <v>145.77191640000001</v>
      </c>
      <c r="AV23">
        <v>145.99237590000001</v>
      </c>
      <c r="AW23">
        <v>146.27032059999999</v>
      </c>
    </row>
    <row r="24" spans="2:49" x14ac:dyDescent="0.25">
      <c r="B24" t="s">
        <v>353</v>
      </c>
      <c r="C24">
        <v>2.7703288319169999</v>
      </c>
      <c r="D24">
        <v>2.8148073574016701</v>
      </c>
      <c r="E24">
        <v>2.86</v>
      </c>
      <c r="F24">
        <v>2.9566524890000001</v>
      </c>
      <c r="G24">
        <v>2.8464310070000001</v>
      </c>
      <c r="H24">
        <v>2.9640681510000002</v>
      </c>
      <c r="I24">
        <v>3.0706524549999998</v>
      </c>
      <c r="J24">
        <v>2.9386903559999999</v>
      </c>
      <c r="K24">
        <v>2.8534857370000002</v>
      </c>
      <c r="L24">
        <v>2.7760941730000002</v>
      </c>
      <c r="M24">
        <v>2.9562386859999998</v>
      </c>
      <c r="N24">
        <v>3.1130460769999999</v>
      </c>
      <c r="O24">
        <v>3.1845099490000002</v>
      </c>
      <c r="P24">
        <v>3.2050812610000001</v>
      </c>
      <c r="Q24">
        <v>3.0074016430000001</v>
      </c>
      <c r="R24">
        <v>2.9981704329999999</v>
      </c>
      <c r="S24">
        <v>3.023019997</v>
      </c>
      <c r="T24">
        <v>3.0500528139999998</v>
      </c>
      <c r="U24">
        <v>3.0748048940000001</v>
      </c>
      <c r="V24">
        <v>3.126336158</v>
      </c>
      <c r="W24">
        <v>3.1542577629999999</v>
      </c>
      <c r="X24">
        <v>3.1651802469999999</v>
      </c>
      <c r="Y24">
        <v>3.1954782069999998</v>
      </c>
      <c r="Z24">
        <v>3.2354928310000002</v>
      </c>
      <c r="AA24">
        <v>3.2814412650000002</v>
      </c>
      <c r="AB24">
        <v>3.3286881620000002</v>
      </c>
      <c r="AC24">
        <v>3.378578144</v>
      </c>
      <c r="AD24">
        <v>3.4243474869999999</v>
      </c>
      <c r="AE24">
        <v>3.4745479129999999</v>
      </c>
      <c r="AF24">
        <v>3.5266297070000001</v>
      </c>
      <c r="AG24">
        <v>3.580312239</v>
      </c>
      <c r="AH24">
        <v>3.6407215939999999</v>
      </c>
      <c r="AI24">
        <v>3.7014050580000002</v>
      </c>
      <c r="AJ24">
        <v>3.766414331</v>
      </c>
      <c r="AK24">
        <v>3.8327330810000002</v>
      </c>
      <c r="AL24">
        <v>3.90111527</v>
      </c>
      <c r="AM24">
        <v>3.9706220339999998</v>
      </c>
      <c r="AN24">
        <v>4.0376040230000001</v>
      </c>
      <c r="AO24">
        <v>4.105340086</v>
      </c>
      <c r="AP24">
        <v>4.1717110589999997</v>
      </c>
      <c r="AQ24">
        <v>4.2380221200000001</v>
      </c>
      <c r="AR24">
        <v>4.3037395150000002</v>
      </c>
      <c r="AS24">
        <v>4.368687714</v>
      </c>
      <c r="AT24">
        <v>4.4340380440000002</v>
      </c>
      <c r="AU24">
        <v>4.4998480939999999</v>
      </c>
      <c r="AV24">
        <v>4.5665880999999997</v>
      </c>
      <c r="AW24">
        <v>4.6345822190000003</v>
      </c>
    </row>
    <row r="25" spans="2:49" x14ac:dyDescent="0.25">
      <c r="B25" t="s">
        <v>354</v>
      </c>
      <c r="C25">
        <v>46.663857241186399</v>
      </c>
      <c r="D25">
        <v>47.413060563046002</v>
      </c>
      <c r="E25">
        <v>48.17429259</v>
      </c>
      <c r="F25">
        <v>49.048197350000002</v>
      </c>
      <c r="G25">
        <v>46.466225899999998</v>
      </c>
      <c r="H25">
        <v>42.367196970000002</v>
      </c>
      <c r="I25">
        <v>42.267296989999998</v>
      </c>
      <c r="J25">
        <v>42.677468140000002</v>
      </c>
      <c r="K25">
        <v>40.605956599999999</v>
      </c>
      <c r="L25">
        <v>40.124753859999998</v>
      </c>
      <c r="M25">
        <v>40.542876870000001</v>
      </c>
      <c r="N25">
        <v>41.253338100000001</v>
      </c>
      <c r="O25">
        <v>38.980856299999999</v>
      </c>
      <c r="P25">
        <v>37.280576910000001</v>
      </c>
      <c r="Q25">
        <v>35.154537519999998</v>
      </c>
      <c r="R25">
        <v>33.588657040000001</v>
      </c>
      <c r="S25">
        <v>32.476135329999998</v>
      </c>
      <c r="T25">
        <v>32.447352870000003</v>
      </c>
      <c r="U25">
        <v>32.539808059999999</v>
      </c>
      <c r="V25">
        <v>32.897815029999997</v>
      </c>
      <c r="W25">
        <v>33.245292319999997</v>
      </c>
      <c r="X25">
        <v>33.44320244</v>
      </c>
      <c r="Y25">
        <v>33.928618710000002</v>
      </c>
      <c r="Z25">
        <v>34.709834710000003</v>
      </c>
      <c r="AA25">
        <v>35.654572569999999</v>
      </c>
      <c r="AB25">
        <v>36.736941760000001</v>
      </c>
      <c r="AC25">
        <v>37.99748357</v>
      </c>
      <c r="AD25">
        <v>38.341900600000002</v>
      </c>
      <c r="AE25">
        <v>38.73819847</v>
      </c>
      <c r="AF25">
        <v>39.157032690000001</v>
      </c>
      <c r="AG25">
        <v>39.597296450000002</v>
      </c>
      <c r="AH25">
        <v>40.100053150000001</v>
      </c>
      <c r="AI25">
        <v>40.625865830000002</v>
      </c>
      <c r="AJ25">
        <v>41.178622539999999</v>
      </c>
      <c r="AK25">
        <v>41.758269040000002</v>
      </c>
      <c r="AL25">
        <v>42.359316300000003</v>
      </c>
      <c r="AM25">
        <v>42.970010930000001</v>
      </c>
      <c r="AN25">
        <v>43.385139090000003</v>
      </c>
      <c r="AO25">
        <v>43.797692269999999</v>
      </c>
      <c r="AP25">
        <v>44.192891379999999</v>
      </c>
      <c r="AQ25">
        <v>44.591613989999999</v>
      </c>
      <c r="AR25">
        <v>44.975883330000002</v>
      </c>
      <c r="AS25">
        <v>45.486665770000002</v>
      </c>
      <c r="AT25">
        <v>46.016917790000001</v>
      </c>
      <c r="AU25">
        <v>46.551423079999999</v>
      </c>
      <c r="AV25">
        <v>47.094967279999999</v>
      </c>
      <c r="AW25">
        <v>47.66988344</v>
      </c>
    </row>
    <row r="26" spans="2:49" x14ac:dyDescent="0.25">
      <c r="B26" t="s">
        <v>355</v>
      </c>
      <c r="C26">
        <v>39.525714811669303</v>
      </c>
      <c r="D26">
        <v>40.160312947925298</v>
      </c>
      <c r="E26">
        <v>40.805099759999997</v>
      </c>
      <c r="F26">
        <v>40.565937329999997</v>
      </c>
      <c r="G26">
        <v>40.038979599999998</v>
      </c>
      <c r="H26">
        <v>39.790061000000001</v>
      </c>
      <c r="I26">
        <v>39.627342040000002</v>
      </c>
      <c r="J26">
        <v>39.241998950000003</v>
      </c>
      <c r="K26">
        <v>38.643868980000001</v>
      </c>
      <c r="L26">
        <v>38.161680330000003</v>
      </c>
      <c r="M26">
        <v>37.800621030000002</v>
      </c>
      <c r="N26">
        <v>37.598777140000003</v>
      </c>
      <c r="O26">
        <v>37.585568719999998</v>
      </c>
      <c r="P26">
        <v>37.377440020000002</v>
      </c>
      <c r="Q26">
        <v>36.799912409999997</v>
      </c>
      <c r="R26">
        <v>36.228535180000002</v>
      </c>
      <c r="S26">
        <v>35.72572504</v>
      </c>
      <c r="T26">
        <v>35.094052069999996</v>
      </c>
      <c r="U26">
        <v>34.721126040000001</v>
      </c>
      <c r="V26">
        <v>34.317152909999997</v>
      </c>
      <c r="W26">
        <v>34.031646119999998</v>
      </c>
      <c r="X26">
        <v>33.788185949999999</v>
      </c>
      <c r="Y26">
        <v>33.623990200000001</v>
      </c>
      <c r="Z26">
        <v>33.518961140000002</v>
      </c>
      <c r="AA26">
        <v>33.445639970000002</v>
      </c>
      <c r="AB26">
        <v>33.391653869999999</v>
      </c>
      <c r="AC26">
        <v>33.345998780000002</v>
      </c>
      <c r="AD26">
        <v>33.309152830000002</v>
      </c>
      <c r="AE26">
        <v>33.277635089999997</v>
      </c>
      <c r="AF26">
        <v>33.248745300000003</v>
      </c>
      <c r="AG26">
        <v>33.213013179999997</v>
      </c>
      <c r="AH26">
        <v>33.181747559999998</v>
      </c>
      <c r="AI26">
        <v>33.150499410000002</v>
      </c>
      <c r="AJ26">
        <v>33.119847290000003</v>
      </c>
      <c r="AK26">
        <v>33.088035359999999</v>
      </c>
      <c r="AL26">
        <v>33.053406959999997</v>
      </c>
      <c r="AM26">
        <v>33.015404699999998</v>
      </c>
      <c r="AN26">
        <v>32.961257619999998</v>
      </c>
      <c r="AO26">
        <v>32.894824409999998</v>
      </c>
      <c r="AP26">
        <v>32.811358370000001</v>
      </c>
      <c r="AQ26">
        <v>32.711305160000002</v>
      </c>
      <c r="AR26">
        <v>32.59390183</v>
      </c>
      <c r="AS26">
        <v>32.456406110000003</v>
      </c>
      <c r="AT26">
        <v>32.301607869999998</v>
      </c>
      <c r="AU26">
        <v>32.12059507</v>
      </c>
      <c r="AV26">
        <v>31.92702658</v>
      </c>
      <c r="AW26">
        <v>31.734912120000001</v>
      </c>
    </row>
    <row r="27" spans="2:49" x14ac:dyDescent="0.25">
      <c r="B27" t="s">
        <v>356</v>
      </c>
      <c r="C27">
        <v>21.072806770403201</v>
      </c>
      <c r="D27">
        <v>21.411137499294501</v>
      </c>
      <c r="E27">
        <v>21.754900240000001</v>
      </c>
      <c r="F27">
        <v>23.09950504</v>
      </c>
      <c r="G27">
        <v>23.843956259999999</v>
      </c>
      <c r="H27">
        <v>23.344165289999999</v>
      </c>
      <c r="I27">
        <v>24.421680139999999</v>
      </c>
      <c r="J27">
        <v>25.172815480000001</v>
      </c>
      <c r="K27">
        <v>25.435765839999998</v>
      </c>
      <c r="L27">
        <v>25.763822730000001</v>
      </c>
      <c r="M27">
        <v>26.426136660000001</v>
      </c>
      <c r="N27">
        <v>27.313174490000002</v>
      </c>
      <c r="O27">
        <v>26.742733779999998</v>
      </c>
      <c r="P27">
        <v>26.30859487</v>
      </c>
      <c r="Q27">
        <v>25.682848709999998</v>
      </c>
      <c r="R27">
        <v>24.752632420000001</v>
      </c>
      <c r="S27">
        <v>24.02819551</v>
      </c>
      <c r="T27">
        <v>24.054299910000001</v>
      </c>
      <c r="U27">
        <v>24.013810209999999</v>
      </c>
      <c r="V27">
        <v>23.976539639999999</v>
      </c>
      <c r="W27">
        <v>24.2116756</v>
      </c>
      <c r="X27">
        <v>24.514863439999999</v>
      </c>
      <c r="Y27">
        <v>24.69650094</v>
      </c>
      <c r="Z27">
        <v>24.821334220000001</v>
      </c>
      <c r="AA27">
        <v>24.908577560000001</v>
      </c>
      <c r="AB27">
        <v>24.964533809999999</v>
      </c>
      <c r="AC27">
        <v>24.994616279999999</v>
      </c>
      <c r="AD27">
        <v>25.003294799999999</v>
      </c>
      <c r="AE27">
        <v>24.991483819999999</v>
      </c>
      <c r="AF27">
        <v>24.966511830000002</v>
      </c>
      <c r="AG27">
        <v>24.92016885</v>
      </c>
      <c r="AH27">
        <v>24.862419379999999</v>
      </c>
      <c r="AI27">
        <v>24.790125150000001</v>
      </c>
      <c r="AJ27">
        <v>24.704842849999999</v>
      </c>
      <c r="AK27">
        <v>24.60730852</v>
      </c>
      <c r="AL27">
        <v>24.49898881</v>
      </c>
      <c r="AM27">
        <v>24.380112069999999</v>
      </c>
      <c r="AN27">
        <v>24.11404276</v>
      </c>
      <c r="AO27">
        <v>23.82116139</v>
      </c>
      <c r="AP27">
        <v>23.523658040000001</v>
      </c>
      <c r="AQ27">
        <v>23.226307120000001</v>
      </c>
      <c r="AR27">
        <v>22.93040044</v>
      </c>
      <c r="AS27">
        <v>22.637314159999999</v>
      </c>
      <c r="AT27">
        <v>22.34579986</v>
      </c>
      <c r="AU27">
        <v>22.052843190000001</v>
      </c>
      <c r="AV27">
        <v>21.764587160000001</v>
      </c>
      <c r="AW27">
        <v>21.479256979999999</v>
      </c>
    </row>
    <row r="28" spans="2:49" x14ac:dyDescent="0.25">
      <c r="B28" t="s">
        <v>357</v>
      </c>
      <c r="C28">
        <v>23.690458989791001</v>
      </c>
      <c r="D28">
        <v>24.070816971768199</v>
      </c>
      <c r="E28">
        <v>24.457281720000001</v>
      </c>
      <c r="F28">
        <v>24.570710630000001</v>
      </c>
      <c r="G28">
        <v>24.626864829999999</v>
      </c>
      <c r="H28">
        <v>24.812491080000001</v>
      </c>
      <c r="I28">
        <v>24.951279660000001</v>
      </c>
      <c r="J28">
        <v>25.032299200000001</v>
      </c>
      <c r="K28">
        <v>24.898070229999998</v>
      </c>
      <c r="L28">
        <v>24.693563919999999</v>
      </c>
      <c r="M28">
        <v>24.49737326</v>
      </c>
      <c r="N28">
        <v>24.231443609999999</v>
      </c>
      <c r="O28">
        <v>24.031558820000001</v>
      </c>
      <c r="P28">
        <v>24.0220205</v>
      </c>
      <c r="Q28">
        <v>24.017653360000001</v>
      </c>
      <c r="R28">
        <v>24.013331959999999</v>
      </c>
      <c r="S28">
        <v>23.80823607</v>
      </c>
      <c r="T28">
        <v>23.491541999999999</v>
      </c>
      <c r="U28">
        <v>23.024407289999999</v>
      </c>
      <c r="V28">
        <v>22.516924639999999</v>
      </c>
      <c r="W28">
        <v>22.017334420000001</v>
      </c>
      <c r="X28">
        <v>21.516110749999999</v>
      </c>
      <c r="Y28">
        <v>21.109723599999999</v>
      </c>
      <c r="Z28">
        <v>20.742787440000001</v>
      </c>
      <c r="AA28">
        <v>20.396694750000002</v>
      </c>
      <c r="AB28">
        <v>20.060271060000002</v>
      </c>
      <c r="AC28">
        <v>19.727536319999999</v>
      </c>
      <c r="AD28">
        <v>19.397604730000001</v>
      </c>
      <c r="AE28">
        <v>19.039167389999999</v>
      </c>
      <c r="AF28">
        <v>18.671932940000001</v>
      </c>
      <c r="AG28">
        <v>18.305364229999999</v>
      </c>
      <c r="AH28">
        <v>17.91895796</v>
      </c>
      <c r="AI28">
        <v>17.553935320000001</v>
      </c>
      <c r="AJ28">
        <v>17.207696250000001</v>
      </c>
      <c r="AK28">
        <v>16.8758801</v>
      </c>
      <c r="AL28">
        <v>16.556861380000001</v>
      </c>
      <c r="AM28">
        <v>16.2494479</v>
      </c>
      <c r="AN28">
        <v>15.94476959</v>
      </c>
      <c r="AO28">
        <v>15.644890459999999</v>
      </c>
      <c r="AP28">
        <v>15.352049060000001</v>
      </c>
      <c r="AQ28">
        <v>15.067172940000001</v>
      </c>
      <c r="AR28">
        <v>14.79070321</v>
      </c>
      <c r="AS28">
        <v>14.52153197</v>
      </c>
      <c r="AT28">
        <v>14.260133120000001</v>
      </c>
      <c r="AU28">
        <v>14.00719222</v>
      </c>
      <c r="AV28">
        <v>13.762757969999999</v>
      </c>
      <c r="AW28">
        <v>13.5273355</v>
      </c>
    </row>
    <row r="29" spans="2:49" x14ac:dyDescent="0.25">
      <c r="B29" t="s">
        <v>358</v>
      </c>
      <c r="C29">
        <v>22.212930412666701</v>
      </c>
      <c r="D29">
        <v>22.569566195417998</v>
      </c>
      <c r="E29">
        <v>22.941948679999999</v>
      </c>
      <c r="F29">
        <v>23.480388949999998</v>
      </c>
      <c r="G29">
        <v>22.62532891</v>
      </c>
      <c r="H29">
        <v>20.900267790000001</v>
      </c>
      <c r="I29">
        <v>21.340114329999999</v>
      </c>
      <c r="J29">
        <v>20.802741820000001</v>
      </c>
      <c r="K29">
        <v>21.016739909999998</v>
      </c>
      <c r="L29">
        <v>20.531076179999999</v>
      </c>
      <c r="M29">
        <v>20.460617760000002</v>
      </c>
      <c r="N29">
        <v>20.449202580000001</v>
      </c>
      <c r="O29">
        <v>20.253188470000001</v>
      </c>
      <c r="P29">
        <v>20.524446229999999</v>
      </c>
      <c r="Q29">
        <v>20.35011742</v>
      </c>
      <c r="R29">
        <v>20.274161660000001</v>
      </c>
      <c r="S29">
        <v>20.127467509999999</v>
      </c>
      <c r="T29">
        <v>20.272026100000001</v>
      </c>
      <c r="U29">
        <v>20.443792290000001</v>
      </c>
      <c r="V29">
        <v>20.755256840000001</v>
      </c>
      <c r="W29">
        <v>20.9952009</v>
      </c>
      <c r="X29">
        <v>21.14867409</v>
      </c>
      <c r="Y29">
        <v>21.264291069999999</v>
      </c>
      <c r="Z29">
        <v>21.431787799999999</v>
      </c>
      <c r="AA29">
        <v>21.628030760000001</v>
      </c>
      <c r="AB29">
        <v>21.83893458</v>
      </c>
      <c r="AC29">
        <v>22.070648070000001</v>
      </c>
      <c r="AD29">
        <v>22.201261819999999</v>
      </c>
      <c r="AE29">
        <v>22.339413059999998</v>
      </c>
      <c r="AF29">
        <v>22.49594214</v>
      </c>
      <c r="AG29">
        <v>22.663643570000001</v>
      </c>
      <c r="AH29">
        <v>22.843554009999998</v>
      </c>
      <c r="AI29">
        <v>23.069523960000001</v>
      </c>
      <c r="AJ29">
        <v>23.305532540000002</v>
      </c>
      <c r="AK29">
        <v>23.55130754</v>
      </c>
      <c r="AL29">
        <v>23.806575779999999</v>
      </c>
      <c r="AM29">
        <v>24.065826390000002</v>
      </c>
      <c r="AN29">
        <v>24.348186210000001</v>
      </c>
      <c r="AO29">
        <v>24.648044590000001</v>
      </c>
      <c r="AP29">
        <v>24.947471620000002</v>
      </c>
      <c r="AQ29">
        <v>25.25009841</v>
      </c>
      <c r="AR29">
        <v>25.55066154</v>
      </c>
      <c r="AS29">
        <v>25.879062170000001</v>
      </c>
      <c r="AT29">
        <v>26.207678850000001</v>
      </c>
      <c r="AU29">
        <v>26.54001474</v>
      </c>
      <c r="AV29">
        <v>26.876448839999998</v>
      </c>
      <c r="AW29">
        <v>27.224350319999999</v>
      </c>
    </row>
    <row r="30" spans="2:49" x14ac:dyDescent="0.25">
      <c r="B30" t="s">
        <v>359</v>
      </c>
      <c r="C30">
        <v>30998.430217312201</v>
      </c>
      <c r="D30">
        <v>31496.120041177499</v>
      </c>
      <c r="E30">
        <v>32001.800439999999</v>
      </c>
      <c r="F30">
        <v>32688.379000000001</v>
      </c>
      <c r="G30">
        <v>33314.794710000002</v>
      </c>
      <c r="H30">
        <v>34142.844949999999</v>
      </c>
      <c r="I30">
        <v>34863.837440000003</v>
      </c>
      <c r="J30">
        <v>35489.148800000003</v>
      </c>
      <c r="K30">
        <v>35731.31351</v>
      </c>
      <c r="L30">
        <v>35839.916219999999</v>
      </c>
      <c r="M30">
        <v>35948.063869999998</v>
      </c>
      <c r="N30">
        <v>35911.307350000003</v>
      </c>
      <c r="O30">
        <v>35978.501450000003</v>
      </c>
      <c r="P30">
        <v>36321.204380000003</v>
      </c>
      <c r="Q30">
        <v>36708.886160000002</v>
      </c>
      <c r="R30">
        <v>37113.743849999999</v>
      </c>
      <c r="S30">
        <v>37188.885329999997</v>
      </c>
      <c r="T30">
        <v>37050.595860000001</v>
      </c>
      <c r="U30">
        <v>36712.619359999997</v>
      </c>
      <c r="V30">
        <v>36342.058920000003</v>
      </c>
      <c r="W30">
        <v>35984.997929999998</v>
      </c>
      <c r="X30">
        <v>35621.934300000001</v>
      </c>
      <c r="Y30">
        <v>35479.905919999997</v>
      </c>
      <c r="Z30">
        <v>35434.030930000001</v>
      </c>
      <c r="AA30">
        <v>35444.193659999997</v>
      </c>
      <c r="AB30">
        <v>35484.269050000003</v>
      </c>
      <c r="AC30">
        <v>35538.254509999999</v>
      </c>
      <c r="AD30">
        <v>35601.335189999998</v>
      </c>
      <c r="AE30">
        <v>35571.764710000003</v>
      </c>
      <c r="AF30">
        <v>35507.49379</v>
      </c>
      <c r="AG30">
        <v>35430.105450000003</v>
      </c>
      <c r="AH30">
        <v>35255.517769999999</v>
      </c>
      <c r="AI30">
        <v>35140.35269</v>
      </c>
      <c r="AJ30">
        <v>35055.447039999999</v>
      </c>
      <c r="AK30">
        <v>34986.803720000004</v>
      </c>
      <c r="AL30">
        <v>34928.585590000002</v>
      </c>
      <c r="AM30">
        <v>34876.352579999999</v>
      </c>
      <c r="AN30">
        <v>34802.70091</v>
      </c>
      <c r="AO30">
        <v>34718.439290000002</v>
      </c>
      <c r="AP30">
        <v>34629.479169999999</v>
      </c>
      <c r="AQ30">
        <v>34538.040549999998</v>
      </c>
      <c r="AR30">
        <v>34445.092250000002</v>
      </c>
      <c r="AS30">
        <v>34342.051359999998</v>
      </c>
      <c r="AT30">
        <v>34234.840510000002</v>
      </c>
      <c r="AU30">
        <v>34125.78613</v>
      </c>
      <c r="AV30">
        <v>34015.27231</v>
      </c>
      <c r="AW30">
        <v>33905.334269999999</v>
      </c>
    </row>
    <row r="31" spans="2:49" x14ac:dyDescent="0.25">
      <c r="B31" t="s">
        <v>360</v>
      </c>
      <c r="C31">
        <v>17.998489648965599</v>
      </c>
      <c r="D31">
        <v>18.287461222056098</v>
      </c>
      <c r="E31">
        <v>18.581072330000001</v>
      </c>
      <c r="F31">
        <v>17.559113350000001</v>
      </c>
      <c r="G31">
        <v>48.90596103</v>
      </c>
      <c r="H31">
        <v>80.190236069999997</v>
      </c>
      <c r="I31">
        <v>110.5081892</v>
      </c>
      <c r="J31">
        <v>152.48214050000001</v>
      </c>
      <c r="K31">
        <v>194.2664766</v>
      </c>
      <c r="L31">
        <v>232.9611146</v>
      </c>
      <c r="M31">
        <v>270.68708429999998</v>
      </c>
      <c r="N31">
        <v>295.34810540000001</v>
      </c>
      <c r="O31">
        <v>317.8593975</v>
      </c>
      <c r="P31">
        <v>335.92328839999999</v>
      </c>
      <c r="Q31">
        <v>373.90997979999997</v>
      </c>
      <c r="R31">
        <v>414.6795338</v>
      </c>
      <c r="S31">
        <v>467.1058941</v>
      </c>
      <c r="T31">
        <v>504.44035209999998</v>
      </c>
      <c r="U31">
        <v>560.93890839999995</v>
      </c>
      <c r="V31">
        <v>627.60251730000004</v>
      </c>
      <c r="W31">
        <v>692.20427729999994</v>
      </c>
      <c r="X31">
        <v>753.30100430000005</v>
      </c>
      <c r="Y31">
        <v>822.02782549999995</v>
      </c>
      <c r="Z31">
        <v>890.90081889999999</v>
      </c>
      <c r="AA31">
        <v>957.54312649999997</v>
      </c>
      <c r="AB31">
        <v>1020.5056499999999</v>
      </c>
      <c r="AC31">
        <v>1079.020158</v>
      </c>
      <c r="AD31">
        <v>1133.028601</v>
      </c>
      <c r="AE31">
        <v>1177.3622109999999</v>
      </c>
      <c r="AF31">
        <v>1215.506318</v>
      </c>
      <c r="AG31">
        <v>1249.0755220000001</v>
      </c>
      <c r="AH31">
        <v>1274.0880649999999</v>
      </c>
      <c r="AI31">
        <v>1298.9097280000001</v>
      </c>
      <c r="AJ31">
        <v>1322.423043</v>
      </c>
      <c r="AK31">
        <v>1344.078315</v>
      </c>
      <c r="AL31">
        <v>1363.8308609999999</v>
      </c>
      <c r="AM31">
        <v>1381.6821259999999</v>
      </c>
      <c r="AN31">
        <v>1397.6448809999999</v>
      </c>
      <c r="AO31">
        <v>1412.3711490000001</v>
      </c>
      <c r="AP31">
        <v>1426.233258</v>
      </c>
      <c r="AQ31">
        <v>1439.4317679999999</v>
      </c>
      <c r="AR31">
        <v>1452.109052</v>
      </c>
      <c r="AS31">
        <v>1464.0076959999999</v>
      </c>
      <c r="AT31">
        <v>1475.495355</v>
      </c>
      <c r="AU31">
        <v>1486.752195</v>
      </c>
      <c r="AV31">
        <v>1497.8520860000001</v>
      </c>
      <c r="AW31">
        <v>1508.954763</v>
      </c>
    </row>
    <row r="32" spans="2:49" x14ac:dyDescent="0.25">
      <c r="B32" t="s">
        <v>361</v>
      </c>
      <c r="C32">
        <v>1571.8931047778699</v>
      </c>
      <c r="D32">
        <v>1597.13035701831</v>
      </c>
      <c r="E32">
        <v>1622.772802</v>
      </c>
      <c r="F32">
        <v>1972.771356</v>
      </c>
      <c r="G32">
        <v>2311.6524989999998</v>
      </c>
      <c r="H32">
        <v>2680.3209780000002</v>
      </c>
      <c r="I32">
        <v>3014.4125739999999</v>
      </c>
      <c r="J32">
        <v>3322.1584790000002</v>
      </c>
      <c r="K32">
        <v>3548.5576430000001</v>
      </c>
      <c r="L32">
        <v>3740.5518619999998</v>
      </c>
      <c r="M32">
        <v>3923.6350480000001</v>
      </c>
      <c r="N32">
        <v>4073.5224579999999</v>
      </c>
      <c r="O32">
        <v>4233.3322369999996</v>
      </c>
      <c r="P32">
        <v>4416.1513940000004</v>
      </c>
      <c r="Q32">
        <v>4604.4583810000004</v>
      </c>
      <c r="R32">
        <v>4787.2975640000004</v>
      </c>
      <c r="S32">
        <v>4911.8373099999999</v>
      </c>
      <c r="T32">
        <v>4978.6477050000003</v>
      </c>
      <c r="U32">
        <v>5020.2061890000004</v>
      </c>
      <c r="V32">
        <v>5051.756018</v>
      </c>
      <c r="W32">
        <v>5070.837203</v>
      </c>
      <c r="X32">
        <v>5074.0054410000002</v>
      </c>
      <c r="Y32">
        <v>5099.648682</v>
      </c>
      <c r="Z32">
        <v>5125.6048840000003</v>
      </c>
      <c r="AA32">
        <v>5145.2709489999997</v>
      </c>
      <c r="AB32">
        <v>5155.084957</v>
      </c>
      <c r="AC32">
        <v>5153.5855179999999</v>
      </c>
      <c r="AD32">
        <v>5141.2435720000003</v>
      </c>
      <c r="AE32">
        <v>5106.1238160000003</v>
      </c>
      <c r="AF32">
        <v>5057.730321</v>
      </c>
      <c r="AG32">
        <v>5000.2860430000001</v>
      </c>
      <c r="AH32">
        <v>4925.4337439999999</v>
      </c>
      <c r="AI32">
        <v>4852.3941960000002</v>
      </c>
      <c r="AJ32">
        <v>4778.5759980000003</v>
      </c>
      <c r="AK32">
        <v>4703.1357099999996</v>
      </c>
      <c r="AL32">
        <v>4626.1392089999999</v>
      </c>
      <c r="AM32">
        <v>4547.7584740000002</v>
      </c>
      <c r="AN32">
        <v>4465.6122020000003</v>
      </c>
      <c r="AO32">
        <v>4381.293533</v>
      </c>
      <c r="AP32">
        <v>4295.8017390000005</v>
      </c>
      <c r="AQ32">
        <v>4209.724741</v>
      </c>
      <c r="AR32">
        <v>4123.4773910000004</v>
      </c>
      <c r="AS32">
        <v>4036.6133030000001</v>
      </c>
      <c r="AT32">
        <v>3949.8921570000002</v>
      </c>
      <c r="AU32">
        <v>3863.7197040000001</v>
      </c>
      <c r="AV32">
        <v>3778.3076110000002</v>
      </c>
      <c r="AW32">
        <v>3693.961237</v>
      </c>
    </row>
    <row r="33" spans="2:49" x14ac:dyDescent="0.25">
      <c r="B33" t="s">
        <v>362</v>
      </c>
      <c r="C33">
        <v>3720.5673609549599</v>
      </c>
      <c r="D33">
        <v>3780.3022733867101</v>
      </c>
      <c r="E33">
        <v>3840.9962489999998</v>
      </c>
      <c r="F33">
        <v>4323.674677</v>
      </c>
      <c r="G33">
        <v>4769.7642960000003</v>
      </c>
      <c r="H33">
        <v>5259.5512220000001</v>
      </c>
      <c r="I33">
        <v>5702.8884459999999</v>
      </c>
      <c r="J33">
        <v>6104.548358</v>
      </c>
      <c r="K33">
        <v>6384.070318</v>
      </c>
      <c r="L33">
        <v>6612.9132440000003</v>
      </c>
      <c r="M33">
        <v>6829.0612739999997</v>
      </c>
      <c r="N33">
        <v>7004.6758049999999</v>
      </c>
      <c r="O33">
        <v>7196.9475560000001</v>
      </c>
      <c r="P33">
        <v>7437.4263600000004</v>
      </c>
      <c r="Q33">
        <v>7677.7033819999997</v>
      </c>
      <c r="R33">
        <v>7909.8433679999998</v>
      </c>
      <c r="S33">
        <v>8043.0971760000002</v>
      </c>
      <c r="T33">
        <v>8101.3640740000001</v>
      </c>
      <c r="U33">
        <v>8103.7328360000001</v>
      </c>
      <c r="V33">
        <v>8083.7259770000001</v>
      </c>
      <c r="W33">
        <v>8047.9122550000002</v>
      </c>
      <c r="X33">
        <v>7991.6528060000001</v>
      </c>
      <c r="Y33">
        <v>7968.0196089999999</v>
      </c>
      <c r="Z33">
        <v>7946.2788909999999</v>
      </c>
      <c r="AA33">
        <v>7917.2909499999996</v>
      </c>
      <c r="AB33">
        <v>7876.183685</v>
      </c>
      <c r="AC33">
        <v>7821.0149890000002</v>
      </c>
      <c r="AD33">
        <v>7752.4790329999996</v>
      </c>
      <c r="AE33">
        <v>7654.6346709999998</v>
      </c>
      <c r="AF33">
        <v>7540.4214949999996</v>
      </c>
      <c r="AG33">
        <v>7415.5048850000003</v>
      </c>
      <c r="AH33">
        <v>7268.9199170000002</v>
      </c>
      <c r="AI33">
        <v>7126.1584469999998</v>
      </c>
      <c r="AJ33">
        <v>6983.7017269999997</v>
      </c>
      <c r="AK33">
        <v>6840.4924149999997</v>
      </c>
      <c r="AL33">
        <v>6696.6085940000003</v>
      </c>
      <c r="AM33">
        <v>6552.2694490000003</v>
      </c>
      <c r="AN33">
        <v>6403.8025909999997</v>
      </c>
      <c r="AO33">
        <v>6253.3236390000002</v>
      </c>
      <c r="AP33">
        <v>6102.1785609999997</v>
      </c>
      <c r="AQ33">
        <v>5951.159498</v>
      </c>
      <c r="AR33">
        <v>5800.8280459999996</v>
      </c>
      <c r="AS33">
        <v>5650.6721900000002</v>
      </c>
      <c r="AT33">
        <v>5501.6662829999996</v>
      </c>
      <c r="AU33">
        <v>5354.335043</v>
      </c>
      <c r="AV33">
        <v>5208.958267</v>
      </c>
      <c r="AW33">
        <v>5065.9212319999997</v>
      </c>
    </row>
    <row r="34" spans="2:49" x14ac:dyDescent="0.25">
      <c r="B34" t="s">
        <v>363</v>
      </c>
      <c r="C34">
        <v>5208.7853750706299</v>
      </c>
      <c r="D34">
        <v>5292.4141090967596</v>
      </c>
      <c r="E34">
        <v>5377.3855290000001</v>
      </c>
      <c r="F34">
        <v>5766.1231580000003</v>
      </c>
      <c r="G34">
        <v>6121.354722</v>
      </c>
      <c r="H34">
        <v>6522.9187730000003</v>
      </c>
      <c r="I34">
        <v>6883.6249369999996</v>
      </c>
      <c r="J34">
        <v>7205.2242980000001</v>
      </c>
      <c r="K34">
        <v>7409.8925310000004</v>
      </c>
      <c r="L34">
        <v>7568.0867230000003</v>
      </c>
      <c r="M34">
        <v>7716.7728710000001</v>
      </c>
      <c r="N34">
        <v>7819.8114809999997</v>
      </c>
      <c r="O34">
        <v>7942.5852590000004</v>
      </c>
      <c r="P34">
        <v>8122.4856820000005</v>
      </c>
      <c r="Q34">
        <v>8297.1232720000007</v>
      </c>
      <c r="R34">
        <v>8468.411795</v>
      </c>
      <c r="S34">
        <v>8536.6393559999997</v>
      </c>
      <c r="T34">
        <v>8550.0502209999995</v>
      </c>
      <c r="U34">
        <v>8499.59405899999</v>
      </c>
      <c r="V34">
        <v>8424.1780469999994</v>
      </c>
      <c r="W34">
        <v>8336.2346469999902</v>
      </c>
      <c r="X34">
        <v>8231.4527789999902</v>
      </c>
      <c r="Y34">
        <v>8158.9000820000001</v>
      </c>
      <c r="Z34">
        <v>8090.058935</v>
      </c>
      <c r="AA34">
        <v>8016.4116729999996</v>
      </c>
      <c r="AB34">
        <v>7933.4196220000003</v>
      </c>
      <c r="AC34">
        <v>7839.2675429999999</v>
      </c>
      <c r="AD34">
        <v>7734.562449</v>
      </c>
      <c r="AE34">
        <v>7604.8038630000001</v>
      </c>
      <c r="AF34">
        <v>7461.7932170000004</v>
      </c>
      <c r="AG34">
        <v>7310.6314510000002</v>
      </c>
      <c r="AH34">
        <v>7141.435649</v>
      </c>
      <c r="AI34">
        <v>6977.1747759999998</v>
      </c>
      <c r="AJ34">
        <v>6814.5933109999996</v>
      </c>
      <c r="AK34">
        <v>6652.7287669999996</v>
      </c>
      <c r="AL34">
        <v>6491.6117009999998</v>
      </c>
      <c r="AM34">
        <v>6331.4023299999999</v>
      </c>
      <c r="AN34">
        <v>6168.4331000000002</v>
      </c>
      <c r="AO34">
        <v>6004.5979719999996</v>
      </c>
      <c r="AP34">
        <v>5841.1048620000001</v>
      </c>
      <c r="AQ34">
        <v>5678.6589869999998</v>
      </c>
      <c r="AR34">
        <v>5517.7569789999998</v>
      </c>
      <c r="AS34">
        <v>5357.9553400000004</v>
      </c>
      <c r="AT34">
        <v>5200.1037669999996</v>
      </c>
      <c r="AU34">
        <v>5044.6561879999999</v>
      </c>
      <c r="AV34">
        <v>4891.8519130000004</v>
      </c>
      <c r="AW34">
        <v>4742.0169669999996</v>
      </c>
    </row>
    <row r="35" spans="2:49" x14ac:dyDescent="0.25">
      <c r="B35" t="s">
        <v>364</v>
      </c>
      <c r="C35">
        <v>13521.9613593495</v>
      </c>
      <c r="D35">
        <v>13739.0608227762</v>
      </c>
      <c r="E35">
        <v>13959.64589</v>
      </c>
      <c r="F35">
        <v>13632.51072</v>
      </c>
      <c r="G35">
        <v>13305.809240000001</v>
      </c>
      <c r="H35">
        <v>13035.343629999999</v>
      </c>
      <c r="I35">
        <v>12769.16632</v>
      </c>
      <c r="J35">
        <v>12501.812320000001</v>
      </c>
      <c r="K35">
        <v>12185.448829999999</v>
      </c>
      <c r="L35">
        <v>11868.58475</v>
      </c>
      <c r="M35">
        <v>11567.202869999999</v>
      </c>
      <c r="N35">
        <v>11249.14604</v>
      </c>
      <c r="O35">
        <v>10963.9719</v>
      </c>
      <c r="P35">
        <v>10760.665650000001</v>
      </c>
      <c r="Q35">
        <v>10562.837729999999</v>
      </c>
      <c r="R35">
        <v>10371.297049999999</v>
      </c>
      <c r="S35">
        <v>10118.124019999999</v>
      </c>
      <c r="T35">
        <v>9862.4326980000005</v>
      </c>
      <c r="U35">
        <v>9534.7479509999994</v>
      </c>
      <c r="V35">
        <v>9187.8967030000003</v>
      </c>
      <c r="W35">
        <v>8851.2506950000006</v>
      </c>
      <c r="X35">
        <v>8521.89889699999</v>
      </c>
      <c r="Y35">
        <v>8223.3722770000004</v>
      </c>
      <c r="Z35">
        <v>7940.6997529999999</v>
      </c>
      <c r="AA35">
        <v>7668.9256800000003</v>
      </c>
      <c r="AB35">
        <v>7405.1518690000003</v>
      </c>
      <c r="AC35">
        <v>7147.8844360000003</v>
      </c>
      <c r="AD35">
        <v>6896.8402120000001</v>
      </c>
      <c r="AE35">
        <v>6644.6314810000003</v>
      </c>
      <c r="AF35">
        <v>6396.4108960000003</v>
      </c>
      <c r="AG35">
        <v>6154.0717089999998</v>
      </c>
      <c r="AH35">
        <v>5912.6019399999996</v>
      </c>
      <c r="AI35">
        <v>5682.2135520000002</v>
      </c>
      <c r="AJ35">
        <v>5460.9082509999998</v>
      </c>
      <c r="AK35">
        <v>5247.8574779999999</v>
      </c>
      <c r="AL35">
        <v>5042.6766969999999</v>
      </c>
      <c r="AM35">
        <v>4845.062731</v>
      </c>
      <c r="AN35">
        <v>4652.1444460000002</v>
      </c>
      <c r="AO35">
        <v>4464.5796449999998</v>
      </c>
      <c r="AP35">
        <v>4282.722299</v>
      </c>
      <c r="AQ35">
        <v>4106.6963169999999</v>
      </c>
      <c r="AR35">
        <v>3936.5347929999998</v>
      </c>
      <c r="AS35">
        <v>3771.8719350000001</v>
      </c>
      <c r="AT35">
        <v>3612.8962590000001</v>
      </c>
      <c r="AU35">
        <v>3459.6280569999999</v>
      </c>
      <c r="AV35">
        <v>3311.9991319999999</v>
      </c>
      <c r="AW35">
        <v>3169.9798249999999</v>
      </c>
    </row>
    <row r="36" spans="2:49" x14ac:dyDescent="0.25">
      <c r="B36" t="s">
        <v>365</v>
      </c>
      <c r="C36">
        <v>4769.5635809194901</v>
      </c>
      <c r="D36">
        <v>4846.1404669702097</v>
      </c>
      <c r="E36">
        <v>4923.9468200000001</v>
      </c>
      <c r="F36">
        <v>4800.6468329999998</v>
      </c>
      <c r="G36">
        <v>4668.4929679999996</v>
      </c>
      <c r="H36">
        <v>4552.4182540000002</v>
      </c>
      <c r="I36">
        <v>4440.6159369999996</v>
      </c>
      <c r="J36">
        <v>4326.4197329999997</v>
      </c>
      <c r="K36">
        <v>4197.4339220000002</v>
      </c>
      <c r="L36">
        <v>4066.252383</v>
      </c>
      <c r="M36">
        <v>3940.2710109999998</v>
      </c>
      <c r="N36">
        <v>3807.2207469999998</v>
      </c>
      <c r="O36">
        <v>3684.3393040000001</v>
      </c>
      <c r="P36">
        <v>3596.9702219999999</v>
      </c>
      <c r="Q36">
        <v>3509.1237249999999</v>
      </c>
      <c r="R36">
        <v>3421.7870360000002</v>
      </c>
      <c r="S36">
        <v>3312.0870100000002</v>
      </c>
      <c r="T36">
        <v>3185.8056670000001</v>
      </c>
      <c r="U36">
        <v>3035.4260119999999</v>
      </c>
      <c r="V36">
        <v>2879.591414</v>
      </c>
      <c r="W36">
        <v>2731.0426630000002</v>
      </c>
      <c r="X36">
        <v>2589.2416159999998</v>
      </c>
      <c r="Y36">
        <v>2456.2377369999999</v>
      </c>
      <c r="Z36">
        <v>2330.2618269999998</v>
      </c>
      <c r="AA36">
        <v>2210.5670530000002</v>
      </c>
      <c r="AB36">
        <v>2096.6395659999998</v>
      </c>
      <c r="AC36">
        <v>1988.1201249999999</v>
      </c>
      <c r="AD36">
        <v>1884.766934</v>
      </c>
      <c r="AE36">
        <v>1785.794339</v>
      </c>
      <c r="AF36">
        <v>1691.4335590000001</v>
      </c>
      <c r="AG36">
        <v>1601.6245140000001</v>
      </c>
      <c r="AH36">
        <v>1515.8306689999999</v>
      </c>
      <c r="AI36">
        <v>1434.592515</v>
      </c>
      <c r="AJ36">
        <v>1357.567086</v>
      </c>
      <c r="AK36">
        <v>1284.529724</v>
      </c>
      <c r="AL36">
        <v>1215.2827580000001</v>
      </c>
      <c r="AM36">
        <v>1149.642083</v>
      </c>
      <c r="AN36">
        <v>1086.92707</v>
      </c>
      <c r="AO36">
        <v>1027.08824</v>
      </c>
      <c r="AP36">
        <v>970.0575824</v>
      </c>
      <c r="AQ36">
        <v>915.75139349999995</v>
      </c>
      <c r="AR36">
        <v>864.08080559999996</v>
      </c>
      <c r="AS36">
        <v>814.93791580000004</v>
      </c>
      <c r="AT36">
        <v>768.24261209999997</v>
      </c>
      <c r="AU36">
        <v>723.90746079999997</v>
      </c>
      <c r="AV36">
        <v>681.84221290000005</v>
      </c>
      <c r="AW36">
        <v>641.95960249999996</v>
      </c>
    </row>
    <row r="37" spans="2:49" x14ac:dyDescent="0.25">
      <c r="B37" t="s">
        <v>366</v>
      </c>
      <c r="C37">
        <v>2185.3248924602099</v>
      </c>
      <c r="D37">
        <v>2220.4109904720199</v>
      </c>
      <c r="E37">
        <v>2256.0604069999999</v>
      </c>
      <c r="F37">
        <v>2169.2670149999999</v>
      </c>
      <c r="G37">
        <v>2077.5964899999999</v>
      </c>
      <c r="H37">
        <v>1992.345624</v>
      </c>
      <c r="I37">
        <v>1911.3332720000001</v>
      </c>
      <c r="J37">
        <v>1829.7847810000001</v>
      </c>
      <c r="K37">
        <v>1747.0205100000001</v>
      </c>
      <c r="L37">
        <v>1663.4159279999999</v>
      </c>
      <c r="M37">
        <v>1583.5379740000001</v>
      </c>
      <c r="N37">
        <v>1509.0406519999999</v>
      </c>
      <c r="O37">
        <v>1437.9896510000001</v>
      </c>
      <c r="P37">
        <v>1382.804807</v>
      </c>
      <c r="Q37">
        <v>1326.5124020000001</v>
      </c>
      <c r="R37">
        <v>1269.622292</v>
      </c>
      <c r="S37">
        <v>1210.3032370000001</v>
      </c>
      <c r="T37">
        <v>1149.7880749999999</v>
      </c>
      <c r="U37">
        <v>1085.9109599999999</v>
      </c>
      <c r="V37">
        <v>1022.033845</v>
      </c>
      <c r="W37">
        <v>961.91420670000002</v>
      </c>
      <c r="X37">
        <v>905.33101810000005</v>
      </c>
      <c r="Y37">
        <v>852.07625229999996</v>
      </c>
      <c r="Z37">
        <v>801.95411979999994</v>
      </c>
      <c r="AA37">
        <v>754.78034809999997</v>
      </c>
      <c r="AB37">
        <v>710.38150410000003</v>
      </c>
      <c r="AC37">
        <v>668.59435680000001</v>
      </c>
      <c r="AD37">
        <v>629.26527699999997</v>
      </c>
      <c r="AE37">
        <v>592.24967240000001</v>
      </c>
      <c r="AF37">
        <v>557.41145640000002</v>
      </c>
      <c r="AG37">
        <v>524.62254719999999</v>
      </c>
      <c r="AH37">
        <v>493.7623974</v>
      </c>
      <c r="AI37">
        <v>464.71755050000002</v>
      </c>
      <c r="AJ37">
        <v>437.38122399999997</v>
      </c>
      <c r="AK37">
        <v>411.65291669999999</v>
      </c>
      <c r="AL37">
        <v>387.43803919999999</v>
      </c>
      <c r="AM37">
        <v>364.64756629999999</v>
      </c>
      <c r="AN37">
        <v>343.07078730000001</v>
      </c>
      <c r="AO37">
        <v>322.64990710000001</v>
      </c>
      <c r="AP37">
        <v>303.32955329999999</v>
      </c>
      <c r="AQ37">
        <v>285.0566887</v>
      </c>
      <c r="AR37">
        <v>267.7805257</v>
      </c>
      <c r="AS37">
        <v>251.45244489999999</v>
      </c>
      <c r="AT37">
        <v>236.0259145</v>
      </c>
      <c r="AU37">
        <v>221.45641359999999</v>
      </c>
      <c r="AV37">
        <v>207.70135690000001</v>
      </c>
      <c r="AW37">
        <v>194.72002209999999</v>
      </c>
    </row>
    <row r="38" spans="2:49" x14ac:dyDescent="0.25">
      <c r="B38" t="s">
        <v>367</v>
      </c>
      <c r="C38">
        <v>6.9573204344700098E-3</v>
      </c>
      <c r="D38">
        <v>7.06902246445449E-3</v>
      </c>
      <c r="E38">
        <v>7.1825179100000001E-3</v>
      </c>
      <c r="F38">
        <v>2.22022911E-2</v>
      </c>
      <c r="G38">
        <v>5.5931396500000001E-2</v>
      </c>
      <c r="H38">
        <v>0.12647004849999999</v>
      </c>
      <c r="I38">
        <v>0.22576430920000001</v>
      </c>
      <c r="J38">
        <v>0.37399294859999999</v>
      </c>
      <c r="K38">
        <v>0.56906384129999998</v>
      </c>
      <c r="L38">
        <v>0.85277130599999995</v>
      </c>
      <c r="M38">
        <v>1.297088945</v>
      </c>
      <c r="N38">
        <v>1.9095318100000001</v>
      </c>
      <c r="O38">
        <v>2.833586532</v>
      </c>
      <c r="P38">
        <v>3.5745854700000002</v>
      </c>
      <c r="Q38">
        <v>4.7242301610000004</v>
      </c>
      <c r="R38">
        <v>6.4316900029999999</v>
      </c>
      <c r="S38">
        <v>8.5161044159999904</v>
      </c>
      <c r="T38">
        <v>11.032591849999999</v>
      </c>
      <c r="U38">
        <v>16.25618317</v>
      </c>
      <c r="V38">
        <v>24.487701099999999</v>
      </c>
      <c r="W38">
        <v>34.558816960000001</v>
      </c>
      <c r="X38">
        <v>46.554624130000001</v>
      </c>
      <c r="Y38">
        <v>62.819059170000003</v>
      </c>
      <c r="Z38">
        <v>82.862275710000006</v>
      </c>
      <c r="AA38">
        <v>106.63292970000001</v>
      </c>
      <c r="AB38">
        <v>134.01445609999999</v>
      </c>
      <c r="AC38">
        <v>164.85340550000001</v>
      </c>
      <c r="AD38">
        <v>199.06957019999999</v>
      </c>
      <c r="AE38">
        <v>234.3086912</v>
      </c>
      <c r="AF38">
        <v>271.4624364</v>
      </c>
      <c r="AG38">
        <v>310.8161776</v>
      </c>
      <c r="AH38">
        <v>349.64162420000002</v>
      </c>
      <c r="AI38">
        <v>392.36561879999999</v>
      </c>
      <c r="AJ38">
        <v>438.11013309999998</v>
      </c>
      <c r="AK38">
        <v>486.35932589999999</v>
      </c>
      <c r="AL38">
        <v>536.82874179999999</v>
      </c>
      <c r="AM38">
        <v>589.26098049999996</v>
      </c>
      <c r="AN38">
        <v>643.51478829999996</v>
      </c>
      <c r="AO38">
        <v>699.9009241</v>
      </c>
      <c r="AP38">
        <v>758.57702800000004</v>
      </c>
      <c r="AQ38">
        <v>819.55842110000003</v>
      </c>
      <c r="AR38">
        <v>882.8141339</v>
      </c>
      <c r="AS38">
        <v>947.75934749999999</v>
      </c>
      <c r="AT38">
        <v>1014.640673</v>
      </c>
      <c r="AU38">
        <v>1083.528112</v>
      </c>
      <c r="AV38">
        <v>1154.3823190000001</v>
      </c>
      <c r="AW38">
        <v>1227.29828</v>
      </c>
    </row>
    <row r="39" spans="2:49" x14ac:dyDescent="0.25">
      <c r="B39" t="s">
        <v>368</v>
      </c>
      <c r="C39">
        <v>1.59483191497851E-2</v>
      </c>
      <c r="D39">
        <v>1.6204374572364899E-2</v>
      </c>
      <c r="E39">
        <v>1.6464540999999999E-2</v>
      </c>
      <c r="F39">
        <v>4.3109634000000001E-2</v>
      </c>
      <c r="G39">
        <v>9.2030668299999896E-2</v>
      </c>
      <c r="H39">
        <v>0.18106148750000001</v>
      </c>
      <c r="I39">
        <v>0.30401057040000001</v>
      </c>
      <c r="J39">
        <v>0.4788309315</v>
      </c>
      <c r="K39">
        <v>0.69709123949999996</v>
      </c>
      <c r="L39">
        <v>0.99712555570000005</v>
      </c>
      <c r="M39">
        <v>1.4392628380000001</v>
      </c>
      <c r="N39">
        <v>2.0214072559999998</v>
      </c>
      <c r="O39">
        <v>2.874524836</v>
      </c>
      <c r="P39">
        <v>3.700246071</v>
      </c>
      <c r="Q39">
        <v>4.9017502850000003</v>
      </c>
      <c r="R39">
        <v>6.5967692500000004</v>
      </c>
      <c r="S39">
        <v>8.5649463860000008</v>
      </c>
      <c r="T39">
        <v>10.86227105</v>
      </c>
      <c r="U39">
        <v>15.00684324</v>
      </c>
      <c r="V39">
        <v>21.214941320000001</v>
      </c>
      <c r="W39">
        <v>28.746456779999999</v>
      </c>
      <c r="X39">
        <v>37.634192740000003</v>
      </c>
      <c r="Y39">
        <v>49.595497360000003</v>
      </c>
      <c r="Z39">
        <v>64.201798600000004</v>
      </c>
      <c r="AA39">
        <v>81.359009240000006</v>
      </c>
      <c r="AB39">
        <v>100.9290898</v>
      </c>
      <c r="AC39">
        <v>122.7515585</v>
      </c>
      <c r="AD39">
        <v>146.72203260000001</v>
      </c>
      <c r="AE39">
        <v>171.13765129999999</v>
      </c>
      <c r="AF39">
        <v>196.6055863</v>
      </c>
      <c r="AG39">
        <v>223.29664489999999</v>
      </c>
      <c r="AH39">
        <v>249.31058469999999</v>
      </c>
      <c r="AI39">
        <v>277.65957359999999</v>
      </c>
      <c r="AJ39">
        <v>307.70256369999998</v>
      </c>
      <c r="AK39">
        <v>339.05597189999997</v>
      </c>
      <c r="AL39">
        <v>371.49839859999997</v>
      </c>
      <c r="AM39">
        <v>404.83090659999999</v>
      </c>
      <c r="AN39">
        <v>438.78124120000001</v>
      </c>
      <c r="AO39">
        <v>473.51606950000001</v>
      </c>
      <c r="AP39">
        <v>509.0971217</v>
      </c>
      <c r="AQ39">
        <v>545.49220409999998</v>
      </c>
      <c r="AR39">
        <v>582.63876919999996</v>
      </c>
      <c r="AS39">
        <v>620.13304670000002</v>
      </c>
      <c r="AT39">
        <v>658.08774540000002</v>
      </c>
      <c r="AU39">
        <v>696.50286070000004</v>
      </c>
      <c r="AV39">
        <v>735.31106030000001</v>
      </c>
      <c r="AW39">
        <v>774.5218552</v>
      </c>
    </row>
    <row r="40" spans="2:49" x14ac:dyDescent="0.25">
      <c r="B40" t="s">
        <v>369</v>
      </c>
      <c r="C40">
        <v>6.5291776385026298E-2</v>
      </c>
      <c r="D40">
        <v>6.63400569741113E-2</v>
      </c>
      <c r="E40">
        <v>6.7405168000000001E-2</v>
      </c>
      <c r="F40">
        <v>0.1642445042</v>
      </c>
      <c r="G40">
        <v>0.32000981000000001</v>
      </c>
      <c r="H40">
        <v>0.57100305730000001</v>
      </c>
      <c r="I40">
        <v>0.91099546119999997</v>
      </c>
      <c r="J40">
        <v>1.369711933</v>
      </c>
      <c r="K40">
        <v>1.90750668</v>
      </c>
      <c r="L40">
        <v>2.5930869649999999</v>
      </c>
      <c r="M40">
        <v>3.5140344309999998</v>
      </c>
      <c r="N40">
        <v>4.6348780290000002</v>
      </c>
      <c r="O40">
        <v>6.1905526000000002</v>
      </c>
      <c r="P40">
        <v>8.214114704</v>
      </c>
      <c r="Q40">
        <v>10.91364025</v>
      </c>
      <c r="R40">
        <v>14.43200948</v>
      </c>
      <c r="S40">
        <v>18.177902190000001</v>
      </c>
      <c r="T40">
        <v>22.27697057</v>
      </c>
      <c r="U40">
        <v>27.575823669999998</v>
      </c>
      <c r="V40">
        <v>34.431821380000002</v>
      </c>
      <c r="W40">
        <v>42.557480900000002</v>
      </c>
      <c r="X40">
        <v>51.89443043</v>
      </c>
      <c r="Y40">
        <v>64.214179479999999</v>
      </c>
      <c r="Z40">
        <v>78.864912529999998</v>
      </c>
      <c r="AA40">
        <v>95.58901797</v>
      </c>
      <c r="AB40">
        <v>114.10296099999999</v>
      </c>
      <c r="AC40">
        <v>134.12074179999999</v>
      </c>
      <c r="AD40">
        <v>155.4274364</v>
      </c>
      <c r="AE40">
        <v>176.36544689999999</v>
      </c>
      <c r="AF40">
        <v>197.45581279999999</v>
      </c>
      <c r="AG40">
        <v>218.79864029999999</v>
      </c>
      <c r="AH40">
        <v>238.74731270000001</v>
      </c>
      <c r="AI40">
        <v>259.79614020000002</v>
      </c>
      <c r="AJ40">
        <v>281.33686899999998</v>
      </c>
      <c r="AK40">
        <v>303.00444720000002</v>
      </c>
      <c r="AL40">
        <v>324.58165880000001</v>
      </c>
      <c r="AM40">
        <v>345.88220030000002</v>
      </c>
      <c r="AN40">
        <v>366.325062</v>
      </c>
      <c r="AO40">
        <v>386.0038381</v>
      </c>
      <c r="AP40">
        <v>404.92937710000001</v>
      </c>
      <c r="AQ40">
        <v>423.0469769</v>
      </c>
      <c r="AR40">
        <v>440.28388639999997</v>
      </c>
      <c r="AS40">
        <v>456.36903289999998</v>
      </c>
      <c r="AT40">
        <v>471.34922769999997</v>
      </c>
      <c r="AU40">
        <v>485.20003910000003</v>
      </c>
      <c r="AV40">
        <v>497.8606193</v>
      </c>
      <c r="AW40">
        <v>509.30805170000002</v>
      </c>
    </row>
    <row r="41" spans="2:49" x14ac:dyDescent="0.25">
      <c r="B41" t="s">
        <v>370</v>
      </c>
      <c r="C41">
        <v>1.5338215665531501</v>
      </c>
      <c r="D41">
        <v>1.55844756793281</v>
      </c>
      <c r="E41">
        <v>1.5834689479999999</v>
      </c>
      <c r="F41">
        <v>3.8253580380000001</v>
      </c>
      <c r="G41">
        <v>7.365850547</v>
      </c>
      <c r="H41">
        <v>12.963408599999999</v>
      </c>
      <c r="I41">
        <v>20.521586710000001</v>
      </c>
      <c r="J41">
        <v>30.62753038</v>
      </c>
      <c r="K41">
        <v>42.341545379999999</v>
      </c>
      <c r="L41">
        <v>57.059789240000001</v>
      </c>
      <c r="M41">
        <v>76.457914540000004</v>
      </c>
      <c r="N41">
        <v>99.662075259999995</v>
      </c>
      <c r="O41">
        <v>131.47172080000001</v>
      </c>
      <c r="P41">
        <v>175.49809490000001</v>
      </c>
      <c r="Q41">
        <v>233.26186139999999</v>
      </c>
      <c r="R41">
        <v>307.32972919999997</v>
      </c>
      <c r="S41">
        <v>384.69600910000003</v>
      </c>
      <c r="T41">
        <v>468.09702770000001</v>
      </c>
      <c r="U41">
        <v>566.95162849999997</v>
      </c>
      <c r="V41">
        <v>690.05045310000003</v>
      </c>
      <c r="W41">
        <v>835.32656250000002</v>
      </c>
      <c r="X41">
        <v>1001.413063</v>
      </c>
      <c r="Y41">
        <v>1220.0418910000001</v>
      </c>
      <c r="Z41">
        <v>1478.8956700000001</v>
      </c>
      <c r="AA41">
        <v>1772.982542</v>
      </c>
      <c r="AB41">
        <v>2096.999014</v>
      </c>
      <c r="AC41">
        <v>2445.7403519999998</v>
      </c>
      <c r="AD41">
        <v>2815.3808300000001</v>
      </c>
      <c r="AE41">
        <v>3176.9156400000002</v>
      </c>
      <c r="AF41">
        <v>3539.7360140000001</v>
      </c>
      <c r="AG41">
        <v>3905.8419819999999</v>
      </c>
      <c r="AH41">
        <v>4246.8777959999998</v>
      </c>
      <c r="AI41">
        <v>4606.5668230000001</v>
      </c>
      <c r="AJ41">
        <v>4974.6725040000001</v>
      </c>
      <c r="AK41">
        <v>5345.2503040000001</v>
      </c>
      <c r="AL41">
        <v>5714.9621669999997</v>
      </c>
      <c r="AM41">
        <v>6081.0328099999997</v>
      </c>
      <c r="AN41">
        <v>6434.3208400000003</v>
      </c>
      <c r="AO41">
        <v>6777.2953360000001</v>
      </c>
      <c r="AP41">
        <v>7111.0268050000004</v>
      </c>
      <c r="AQ41">
        <v>7435.4720569999999</v>
      </c>
      <c r="AR41">
        <v>7750.2931710000003</v>
      </c>
      <c r="AS41">
        <v>8051.5944939999999</v>
      </c>
      <c r="AT41">
        <v>8341.1623199999995</v>
      </c>
      <c r="AU41">
        <v>8619.538724</v>
      </c>
      <c r="AV41">
        <v>8886.6066480000009</v>
      </c>
      <c r="AW41">
        <v>9142.9904459999998</v>
      </c>
    </row>
    <row r="42" spans="2:49" x14ac:dyDescent="0.25">
      <c r="B42" t="s">
        <v>371</v>
      </c>
      <c r="C42">
        <v>0.60453762790594801</v>
      </c>
      <c r="D42">
        <v>0.61424367506521405</v>
      </c>
      <c r="E42">
        <v>0.62410555599999995</v>
      </c>
      <c r="F42">
        <v>1.505098166</v>
      </c>
      <c r="G42">
        <v>2.8909839860000002</v>
      </c>
      <c r="H42">
        <v>5.072754658</v>
      </c>
      <c r="I42">
        <v>8.0165232179999997</v>
      </c>
      <c r="J42">
        <v>11.944206899999999</v>
      </c>
      <c r="K42" s="100">
        <v>16.484242739999999</v>
      </c>
      <c r="L42" s="100">
        <v>22.167665759999998</v>
      </c>
      <c r="M42" s="100">
        <v>29.61996487</v>
      </c>
      <c r="N42" s="100">
        <v>38.490475199999999</v>
      </c>
      <c r="O42" s="100">
        <v>50.60482502</v>
      </c>
      <c r="P42">
        <v>67.663995200000002</v>
      </c>
      <c r="Q42">
        <v>89.949685020000004</v>
      </c>
      <c r="R42">
        <v>118.3988475</v>
      </c>
      <c r="S42">
        <v>147.95145539999999</v>
      </c>
      <c r="T42">
        <v>179.6629342</v>
      </c>
      <c r="U42">
        <v>216.04067190000001</v>
      </c>
      <c r="V42">
        <v>260.42318119999999</v>
      </c>
      <c r="W42">
        <v>312.61674390000002</v>
      </c>
      <c r="X42">
        <v>372.03761050000003</v>
      </c>
      <c r="Y42">
        <v>450.01662909999999</v>
      </c>
      <c r="Z42">
        <v>541.94169739999995</v>
      </c>
      <c r="AA42">
        <v>645.87130920000004</v>
      </c>
      <c r="AB42">
        <v>759.77644369999996</v>
      </c>
      <c r="AC42">
        <v>881.68797040000004</v>
      </c>
      <c r="AD42">
        <v>1010.145726</v>
      </c>
      <c r="AE42">
        <v>1134.909987</v>
      </c>
      <c r="AF42">
        <v>1259.244277</v>
      </c>
      <c r="AG42">
        <v>1383.805558</v>
      </c>
      <c r="AH42">
        <v>1498.7967200000001</v>
      </c>
      <c r="AI42">
        <v>1619.2495489999999</v>
      </c>
      <c r="AJ42">
        <v>1741.5871709999999</v>
      </c>
      <c r="AK42">
        <v>1863.743389</v>
      </c>
      <c r="AL42">
        <v>1984.564396</v>
      </c>
      <c r="AM42">
        <v>2103.1052140000002</v>
      </c>
      <c r="AN42">
        <v>2215.9053690000001</v>
      </c>
      <c r="AO42">
        <v>2323.8228060000001</v>
      </c>
      <c r="AP42">
        <v>2427.2439169999998</v>
      </c>
      <c r="AQ42">
        <v>2526.189241</v>
      </c>
      <c r="AR42">
        <v>2620.5885579999999</v>
      </c>
      <c r="AS42">
        <v>2709.2359700000002</v>
      </c>
      <c r="AT42">
        <v>2792.7683350000002</v>
      </c>
      <c r="AU42">
        <v>2871.4204319999999</v>
      </c>
      <c r="AV42">
        <v>2945.2212610000001</v>
      </c>
      <c r="AW42">
        <v>3014.4333099999999</v>
      </c>
    </row>
    <row r="43" spans="2:49" x14ac:dyDescent="0.25">
      <c r="B43" t="s">
        <v>372</v>
      </c>
      <c r="C43">
        <v>8.2417488223721705E-3</v>
      </c>
      <c r="D43">
        <v>8.3740727655845504E-3</v>
      </c>
      <c r="E43">
        <v>8.5085212099999998E-3</v>
      </c>
      <c r="F43">
        <v>1.68648975E-2</v>
      </c>
      <c r="G43">
        <v>2.25244229E-2</v>
      </c>
      <c r="H43">
        <v>3.04285374E-2</v>
      </c>
      <c r="I43">
        <v>4.1353337800000001E-2</v>
      </c>
      <c r="J43">
        <v>5.6191818400000003E-2</v>
      </c>
      <c r="K43">
        <v>7.3511514799999997E-2</v>
      </c>
      <c r="L43">
        <v>9.5438962200000005E-2</v>
      </c>
      <c r="M43">
        <v>0.1245289983</v>
      </c>
      <c r="N43">
        <v>0.15945208289999999</v>
      </c>
      <c r="O43">
        <v>0.20752487950000001</v>
      </c>
      <c r="P43">
        <v>0.27423258490000002</v>
      </c>
      <c r="Q43">
        <v>0.36189747700000002</v>
      </c>
      <c r="R43">
        <v>0.47443909169999998</v>
      </c>
      <c r="S43">
        <v>0.59205258579999998</v>
      </c>
      <c r="T43">
        <v>0.71891032529999999</v>
      </c>
      <c r="U43">
        <v>0.86968150560000002</v>
      </c>
      <c r="V43">
        <v>1.0579264150000001</v>
      </c>
      <c r="W43">
        <v>1.2802766539999999</v>
      </c>
      <c r="X43">
        <v>1.534694096</v>
      </c>
      <c r="Y43">
        <v>1.8698833459999999</v>
      </c>
      <c r="Z43">
        <v>2.2670821409999999</v>
      </c>
      <c r="AA43">
        <v>2.7187460680000002</v>
      </c>
      <c r="AB43">
        <v>3.2168452909999998</v>
      </c>
      <c r="AC43">
        <v>3.7534925819999998</v>
      </c>
      <c r="AD43">
        <v>4.3229124969999999</v>
      </c>
      <c r="AE43">
        <v>4.8805419509999997</v>
      </c>
      <c r="AF43">
        <v>5.4408923419999997</v>
      </c>
      <c r="AG43">
        <v>6.0071138619999997</v>
      </c>
      <c r="AH43">
        <v>6.5354775060000003</v>
      </c>
      <c r="AI43">
        <v>7.093575747</v>
      </c>
      <c r="AJ43">
        <v>7.6656904680000002</v>
      </c>
      <c r="AK43">
        <v>8.2427066849999999</v>
      </c>
      <c r="AL43">
        <v>8.8195242510000007</v>
      </c>
      <c r="AM43">
        <v>9.3919000690000001</v>
      </c>
      <c r="AN43">
        <v>9.9461441609999994</v>
      </c>
      <c r="AO43">
        <v>10.486160760000001</v>
      </c>
      <c r="AP43">
        <v>11.01368884</v>
      </c>
      <c r="AQ43">
        <v>11.528732679999999</v>
      </c>
      <c r="AR43">
        <v>12.03083283</v>
      </c>
      <c r="AS43">
        <v>12.513931769999999</v>
      </c>
      <c r="AT43">
        <v>12.980880579999999</v>
      </c>
      <c r="AU43">
        <v>13.432581170000001</v>
      </c>
      <c r="AV43">
        <v>13.86889255</v>
      </c>
      <c r="AW43">
        <v>14.29084999</v>
      </c>
    </row>
    <row r="44" spans="2:49" x14ac:dyDescent="0.25">
      <c r="B44" t="s">
        <v>373</v>
      </c>
      <c r="C44">
        <v>0.101255771246286</v>
      </c>
      <c r="D44">
        <v>0.10288146540575301</v>
      </c>
      <c r="E44">
        <v>0.1045332606</v>
      </c>
      <c r="F44">
        <v>0.24925381730000001</v>
      </c>
      <c r="G44">
        <v>0.471205284</v>
      </c>
      <c r="H44">
        <v>0.8111054365</v>
      </c>
      <c r="I44">
        <v>1.2675322570000001</v>
      </c>
      <c r="J44">
        <v>1.8682243569999999</v>
      </c>
      <c r="K44">
        <v>2.5503144500000001</v>
      </c>
      <c r="L44">
        <v>3.384336813</v>
      </c>
      <c r="M44">
        <v>4.4429419179999998</v>
      </c>
      <c r="N44">
        <v>5.6642500470000003</v>
      </c>
      <c r="O44">
        <v>7.2934052640000004</v>
      </c>
      <c r="P44">
        <v>9.8517012420000007</v>
      </c>
      <c r="Q44">
        <v>13.104224670000001</v>
      </c>
      <c r="R44">
        <v>17.14172984</v>
      </c>
      <c r="S44">
        <v>21.192864220000001</v>
      </c>
      <c r="T44">
        <v>25.41636462</v>
      </c>
      <c r="U44">
        <v>29.361614800000002</v>
      </c>
      <c r="V44">
        <v>33.608373569999998</v>
      </c>
      <c r="W44">
        <v>38.515640339999997</v>
      </c>
      <c r="X44">
        <v>43.982128240000002</v>
      </c>
      <c r="Y44">
        <v>51.066313700000002</v>
      </c>
      <c r="Z44">
        <v>59.238262280000001</v>
      </c>
      <c r="AA44">
        <v>68.250322800000006</v>
      </c>
      <c r="AB44">
        <v>77.863390039999999</v>
      </c>
      <c r="AC44">
        <v>87.859862399999997</v>
      </c>
      <c r="AD44">
        <v>98.080607569999998</v>
      </c>
      <c r="AE44">
        <v>107.6467042</v>
      </c>
      <c r="AF44">
        <v>116.8415074</v>
      </c>
      <c r="AG44">
        <v>125.7226624</v>
      </c>
      <c r="AH44">
        <v>133.53586799999999</v>
      </c>
      <c r="AI44">
        <v>141.4606406</v>
      </c>
      <c r="AJ44">
        <v>149.2214692</v>
      </c>
      <c r="AK44">
        <v>156.67225350000001</v>
      </c>
      <c r="AL44">
        <v>163.74284270000001</v>
      </c>
      <c r="AM44">
        <v>170.38380789999999</v>
      </c>
      <c r="AN44">
        <v>176.27238489999999</v>
      </c>
      <c r="AO44">
        <v>181.51007250000001</v>
      </c>
      <c r="AP44">
        <v>186.16337590000001</v>
      </c>
      <c r="AQ44">
        <v>190.2735261</v>
      </c>
      <c r="AR44">
        <v>193.87530910000001</v>
      </c>
      <c r="AS44">
        <v>196.93471109999999</v>
      </c>
      <c r="AT44">
        <v>199.52897849999999</v>
      </c>
      <c r="AU44">
        <v>201.7083202</v>
      </c>
      <c r="AV44">
        <v>203.50893149999999</v>
      </c>
      <c r="AW44">
        <v>204.97782530000001</v>
      </c>
    </row>
    <row r="45" spans="2:49" x14ac:dyDescent="0.25">
      <c r="B45" t="s">
        <v>374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 t="s">
        <v>375</v>
      </c>
      <c r="C46">
        <v>30996.0941631817</v>
      </c>
      <c r="D46">
        <v>31493.7464809423</v>
      </c>
      <c r="E46">
        <v>31999.388770000001</v>
      </c>
      <c r="F46">
        <v>32682.55287</v>
      </c>
      <c r="G46">
        <v>33303.57617</v>
      </c>
      <c r="H46">
        <v>34123.088710000004</v>
      </c>
      <c r="I46">
        <v>34832.549679999996</v>
      </c>
      <c r="J46">
        <v>35442.430110000001</v>
      </c>
      <c r="K46">
        <v>35666.69023</v>
      </c>
      <c r="L46">
        <v>35752.766000000003</v>
      </c>
      <c r="M46">
        <v>35831.168129999998</v>
      </c>
      <c r="N46">
        <v>35758.76528</v>
      </c>
      <c r="O46">
        <v>35777.025309999997</v>
      </c>
      <c r="P46">
        <v>36052.427409999997</v>
      </c>
      <c r="Q46">
        <v>36351.668870000001</v>
      </c>
      <c r="R46">
        <v>36642.938629999997</v>
      </c>
      <c r="S46">
        <v>36599.194000000003</v>
      </c>
      <c r="T46">
        <v>36332.528789999997</v>
      </c>
      <c r="U46">
        <v>35840.556920000003</v>
      </c>
      <c r="V46">
        <v>35276.784520000001</v>
      </c>
      <c r="W46">
        <v>34691.395949999998</v>
      </c>
      <c r="X46">
        <v>34066.883560000002</v>
      </c>
      <c r="Y46">
        <v>33580.282460000002</v>
      </c>
      <c r="Z46">
        <v>33125.759230000003</v>
      </c>
      <c r="AA46">
        <v>32670.789779999999</v>
      </c>
      <c r="AB46">
        <v>32197.366849999999</v>
      </c>
      <c r="AC46">
        <v>31697.487130000001</v>
      </c>
      <c r="AD46">
        <v>31172.186079999999</v>
      </c>
      <c r="AE46">
        <v>30565.600050000001</v>
      </c>
      <c r="AF46">
        <v>29920.707259999999</v>
      </c>
      <c r="AG46">
        <v>29255.81667</v>
      </c>
      <c r="AH46">
        <v>28532.072380000001</v>
      </c>
      <c r="AI46">
        <v>27836.160759999999</v>
      </c>
      <c r="AJ46">
        <v>27155.15064</v>
      </c>
      <c r="AK46" s="100">
        <v>26484.475330000001</v>
      </c>
      <c r="AL46" s="100">
        <v>25823.58786</v>
      </c>
      <c r="AM46" s="100">
        <v>25172.464759999999</v>
      </c>
      <c r="AN46" s="100">
        <v>24517.63508</v>
      </c>
      <c r="AO46" s="100">
        <v>23865.90409</v>
      </c>
      <c r="AP46" s="100">
        <v>23221.42786</v>
      </c>
      <c r="AQ46" s="100">
        <v>22586.47939</v>
      </c>
      <c r="AR46" s="100">
        <v>21962.567589999999</v>
      </c>
      <c r="AS46" s="100">
        <v>21347.510829999999</v>
      </c>
      <c r="AT46" s="100">
        <v>20744.322349999999</v>
      </c>
      <c r="AU46" s="100">
        <v>20154.45506</v>
      </c>
      <c r="AV46" s="100">
        <v>19578.512579999999</v>
      </c>
      <c r="AW46">
        <v>19017.513650000001</v>
      </c>
    </row>
    <row r="47" spans="2:49" x14ac:dyDescent="0.25">
      <c r="B47" t="s">
        <v>376</v>
      </c>
      <c r="C47">
        <v>2.3360541304970401</v>
      </c>
      <c r="D47" s="100">
        <v>2.3735602351802898</v>
      </c>
      <c r="E47" s="100">
        <v>2.411668513</v>
      </c>
      <c r="F47">
        <v>5.8261313479999997</v>
      </c>
      <c r="G47">
        <v>11.218536110000001</v>
      </c>
      <c r="H47">
        <v>19.756231830000001</v>
      </c>
      <c r="I47">
        <v>31.28776586</v>
      </c>
      <c r="J47">
        <v>46.718689269999999</v>
      </c>
      <c r="K47">
        <v>64.623275840000005</v>
      </c>
      <c r="L47">
        <v>87.150214610000006</v>
      </c>
      <c r="M47">
        <v>116.8957365</v>
      </c>
      <c r="N47" s="100">
        <v>152.54206970000001</v>
      </c>
      <c r="O47" s="100">
        <v>201.47613999999999</v>
      </c>
      <c r="P47" s="100">
        <v>268.77697019999999</v>
      </c>
      <c r="Q47" s="100">
        <v>357.21728919999998</v>
      </c>
      <c r="R47" s="100">
        <v>470.80521440000001</v>
      </c>
      <c r="S47" s="100">
        <v>589.69133429999999</v>
      </c>
      <c r="T47" s="100">
        <v>718.06707040000003</v>
      </c>
      <c r="U47" s="100">
        <v>872.06244679999998</v>
      </c>
      <c r="V47" s="100">
        <v>1065.274398</v>
      </c>
      <c r="W47" s="100">
        <v>1293.6019779999999</v>
      </c>
      <c r="X47" s="100">
        <v>1555.050743</v>
      </c>
      <c r="Y47" s="100">
        <v>1899.6234529999999</v>
      </c>
      <c r="Z47" s="100">
        <v>2308.2716989999999</v>
      </c>
      <c r="AA47" s="100">
        <v>2773.4038770000002</v>
      </c>
      <c r="AB47" s="100">
        <v>3286.9022</v>
      </c>
      <c r="AC47" s="100">
        <v>3840.7673829999999</v>
      </c>
      <c r="AD47" s="100">
        <v>4429.1491150000002</v>
      </c>
      <c r="AE47" s="100">
        <v>5006.1646620000001</v>
      </c>
      <c r="AF47" s="100">
        <v>5586.7865270000002</v>
      </c>
      <c r="AG47">
        <v>6174.2887799999999</v>
      </c>
      <c r="AH47">
        <v>6723.4453830000002</v>
      </c>
      <c r="AI47">
        <v>7304.1919209999996</v>
      </c>
      <c r="AJ47">
        <v>7900.2964009999996</v>
      </c>
      <c r="AK47">
        <v>8502.3283979999997</v>
      </c>
      <c r="AL47">
        <v>9104.9977290000006</v>
      </c>
      <c r="AM47">
        <v>9703.8878199999999</v>
      </c>
      <c r="AN47">
        <v>10285.06583</v>
      </c>
      <c r="AO47">
        <v>10852.53521</v>
      </c>
      <c r="AP47">
        <v>11408.051310000001</v>
      </c>
      <c r="AQ47">
        <v>11951.561159999999</v>
      </c>
      <c r="AR47">
        <v>12482.524659999999</v>
      </c>
      <c r="AS47">
        <v>12994.54053</v>
      </c>
      <c r="AT47">
        <v>13490.51816</v>
      </c>
      <c r="AU47">
        <v>13971.33107</v>
      </c>
      <c r="AV47">
        <v>14436.75973</v>
      </c>
      <c r="AW47">
        <v>14887.82062</v>
      </c>
    </row>
    <row r="48" spans="2:49" x14ac:dyDescent="0.25">
      <c r="B48" t="s">
        <v>377</v>
      </c>
      <c r="C48">
        <v>2.1906436884240502E-2</v>
      </c>
      <c r="D48" s="100">
        <v>2.2258151814254699E-2</v>
      </c>
      <c r="E48" s="100">
        <v>2.2615513600000001E-2</v>
      </c>
      <c r="F48">
        <v>2.1810911400000001E-2</v>
      </c>
      <c r="G48">
        <v>5.75652002E-2</v>
      </c>
      <c r="H48">
        <v>9.3278582200000001E-2</v>
      </c>
      <c r="I48" s="100">
        <v>0.12786564480000001</v>
      </c>
      <c r="J48" s="100">
        <v>0.17559521140000001</v>
      </c>
      <c r="K48" s="100">
        <v>0.22302920579999999</v>
      </c>
      <c r="L48" s="100">
        <v>0.26693807990000001</v>
      </c>
      <c r="M48" s="100">
        <v>0.3097436496</v>
      </c>
      <c r="N48" s="100">
        <v>0.33775535340000001</v>
      </c>
      <c r="O48" s="100">
        <v>0.36334823360000001</v>
      </c>
      <c r="P48" s="100">
        <v>0.38393948630000002</v>
      </c>
      <c r="Q48" s="100">
        <v>0.42704484100000001</v>
      </c>
      <c r="R48" s="100">
        <v>0.47328878289999998</v>
      </c>
      <c r="S48" s="100">
        <v>0.53264418810000003</v>
      </c>
      <c r="T48" s="100">
        <v>0.57489115830000004</v>
      </c>
      <c r="U48" s="100">
        <v>0.63876431550000001</v>
      </c>
      <c r="V48" s="100">
        <v>0.71411185570000002</v>
      </c>
      <c r="W48" s="100">
        <v>0.7871174675</v>
      </c>
      <c r="X48" s="100">
        <v>0.8561472094</v>
      </c>
      <c r="Y48" s="100">
        <v>0.93381984309999999</v>
      </c>
      <c r="Z48" s="100">
        <v>1.011657934</v>
      </c>
      <c r="AA48" s="100">
        <v>1.0869695239999999</v>
      </c>
      <c r="AB48" s="100">
        <v>1.1581138740000001</v>
      </c>
      <c r="AC48" s="100">
        <v>1.2242215780000001</v>
      </c>
      <c r="AD48" s="100">
        <v>1.285227525</v>
      </c>
      <c r="AE48" s="100">
        <v>1.3352801489999999</v>
      </c>
      <c r="AF48" s="100">
        <v>1.37832665</v>
      </c>
      <c r="AG48" s="100">
        <v>1.4161954130000001</v>
      </c>
      <c r="AH48" s="100">
        <v>1.4443795239999999</v>
      </c>
      <c r="AI48" s="100">
        <v>1.472349793</v>
      </c>
      <c r="AJ48" s="100">
        <v>1.4988411210000001</v>
      </c>
      <c r="AK48" s="100">
        <v>1.523231628</v>
      </c>
      <c r="AL48">
        <v>1.545470892</v>
      </c>
      <c r="AM48">
        <v>1.5655607229999999</v>
      </c>
      <c r="AN48">
        <v>1.5835131650000001</v>
      </c>
      <c r="AO48">
        <v>1.6000664609999999</v>
      </c>
      <c r="AP48">
        <v>1.6156422640000001</v>
      </c>
      <c r="AQ48">
        <v>1.6304677540000001</v>
      </c>
      <c r="AR48">
        <v>1.644704197</v>
      </c>
      <c r="AS48">
        <v>1.6580603220000001</v>
      </c>
      <c r="AT48">
        <v>1.6709522619999999</v>
      </c>
      <c r="AU48">
        <v>1.683583973</v>
      </c>
      <c r="AV48">
        <v>1.696039125</v>
      </c>
      <c r="AW48">
        <v>1.7084984910000001</v>
      </c>
    </row>
    <row r="49" spans="2:49" x14ac:dyDescent="0.25">
      <c r="B49" t="s">
        <v>378</v>
      </c>
      <c r="C49">
        <v>2298.5980133353301</v>
      </c>
      <c r="D49">
        <v>2335.5027479420201</v>
      </c>
      <c r="E49">
        <v>2373</v>
      </c>
      <c r="F49">
        <v>2446.6775899999998</v>
      </c>
      <c r="G49">
        <v>2424.2765530000001</v>
      </c>
      <c r="H49">
        <v>2660.3639440000002</v>
      </c>
      <c r="I49">
        <v>2598.8489709999999</v>
      </c>
      <c r="J49">
        <v>2542.822412</v>
      </c>
      <c r="K49">
        <v>2194.0678939999998</v>
      </c>
      <c r="L49">
        <v>2073.8249529999998</v>
      </c>
      <c r="M49">
        <v>2079.3430400000002</v>
      </c>
      <c r="N49">
        <v>1940.3869999999999</v>
      </c>
      <c r="O49">
        <v>2042.316</v>
      </c>
      <c r="P49">
        <v>2141.6280000000002</v>
      </c>
      <c r="Q49">
        <v>2203.7420000000002</v>
      </c>
      <c r="R49">
        <v>2240.3020000000001</v>
      </c>
      <c r="S49">
        <v>1930.8286780000001</v>
      </c>
      <c r="T49">
        <v>1721.154794</v>
      </c>
      <c r="U49">
        <v>1720.3899369999999</v>
      </c>
      <c r="V49">
        <v>1789.0054009999999</v>
      </c>
      <c r="W49">
        <v>1780.7071780000001</v>
      </c>
      <c r="X49">
        <v>1753.700963</v>
      </c>
      <c r="Y49">
        <v>1953.3795130000001</v>
      </c>
      <c r="Z49">
        <v>2041.178298</v>
      </c>
      <c r="AA49">
        <v>2094.5174900000002</v>
      </c>
      <c r="AB49">
        <v>2125.0279639999999</v>
      </c>
      <c r="AC49">
        <v>2141.2954009999999</v>
      </c>
      <c r="AD49">
        <v>2153.5662419999999</v>
      </c>
      <c r="AE49">
        <v>2064.6257099999998</v>
      </c>
      <c r="AF49">
        <v>2028.1858219999999</v>
      </c>
      <c r="AG49">
        <v>2011.2877679999999</v>
      </c>
      <c r="AH49">
        <v>1909.5361640000001</v>
      </c>
      <c r="AI49">
        <v>1958.688907</v>
      </c>
      <c r="AJ49">
        <v>1982.1739239999999</v>
      </c>
      <c r="AK49">
        <v>1993.441804</v>
      </c>
      <c r="AL49">
        <v>1999.8291409999999</v>
      </c>
      <c r="AM49">
        <v>2002.389674</v>
      </c>
      <c r="AN49">
        <v>1990.037828</v>
      </c>
      <c r="AO49">
        <v>1987.3277250000001</v>
      </c>
      <c r="AP49">
        <v>1989.9883380000001</v>
      </c>
      <c r="AQ49">
        <v>1994.6745860000001</v>
      </c>
      <c r="AR49">
        <v>2000.2662809999999</v>
      </c>
      <c r="AS49">
        <v>1997.2696089999999</v>
      </c>
      <c r="AT49">
        <v>1999.6634650000001</v>
      </c>
      <c r="AU49">
        <v>2004.2073820000001</v>
      </c>
      <c r="AV49">
        <v>2009.1002249999999</v>
      </c>
      <c r="AW49">
        <v>2016.0164749999999</v>
      </c>
    </row>
    <row r="50" spans="2:49" x14ac:dyDescent="0.25">
      <c r="B50" t="s">
        <v>379</v>
      </c>
      <c r="C50">
        <v>2297.4487143286601</v>
      </c>
      <c r="D50">
        <v>2334.33499656805</v>
      </c>
      <c r="E50">
        <v>2370.8204660000001</v>
      </c>
      <c r="F50">
        <v>2443.130486</v>
      </c>
      <c r="G50">
        <v>2418.5637109999998</v>
      </c>
      <c r="H50">
        <v>2651.2092280000002</v>
      </c>
      <c r="I50">
        <v>2586.2308440000002</v>
      </c>
      <c r="J50">
        <v>2525.6706610000001</v>
      </c>
      <c r="K50">
        <v>2173.5937800000002</v>
      </c>
      <c r="L50">
        <v>2047.7437339999999</v>
      </c>
      <c r="M50">
        <v>2044.804257</v>
      </c>
      <c r="N50">
        <v>1898.3114009999999</v>
      </c>
      <c r="O50">
        <v>1984.9921159999999</v>
      </c>
      <c r="P50">
        <v>2064.2533629999998</v>
      </c>
      <c r="Q50">
        <v>2101.8628319999998</v>
      </c>
      <c r="R50">
        <v>2108.8532100000002</v>
      </c>
      <c r="S50">
        <v>1788.4022970000001</v>
      </c>
      <c r="T50">
        <v>1563.294492</v>
      </c>
      <c r="U50">
        <v>1526.5019460000001</v>
      </c>
      <c r="V50">
        <v>1544.4956589999999</v>
      </c>
      <c r="W50">
        <v>1489.716398</v>
      </c>
      <c r="X50">
        <v>1416.157964</v>
      </c>
      <c r="Y50">
        <v>1517.33323</v>
      </c>
      <c r="Z50">
        <v>1520.7874959999999</v>
      </c>
      <c r="AA50">
        <v>1493.6046240000001</v>
      </c>
      <c r="AB50">
        <v>1448.3882369999999</v>
      </c>
      <c r="AC50">
        <v>1394.0830289999999</v>
      </c>
      <c r="AD50">
        <v>1339.257018</v>
      </c>
      <c r="AE50">
        <v>1227.0719799999999</v>
      </c>
      <c r="AF50">
        <v>1153.0836830000001</v>
      </c>
      <c r="AG50">
        <v>1095.1510129999999</v>
      </c>
      <c r="AH50">
        <v>997.186103</v>
      </c>
      <c r="AI50">
        <v>982.44558159999997</v>
      </c>
      <c r="AJ50">
        <v>956.41109600000004</v>
      </c>
      <c r="AK50">
        <v>926.68648870000004</v>
      </c>
      <c r="AL50">
        <v>897.02284659999998</v>
      </c>
      <c r="AM50">
        <v>867.91148129999999</v>
      </c>
      <c r="AN50">
        <v>834.66527350000001</v>
      </c>
      <c r="AO50">
        <v>807.65204800000004</v>
      </c>
      <c r="AP50" s="100">
        <v>784.61982360000002</v>
      </c>
      <c r="AQ50" s="100">
        <v>763.93273320000003</v>
      </c>
      <c r="AR50" s="100">
        <v>744.96573999999998</v>
      </c>
      <c r="AS50" s="100">
        <v>724.12418260000004</v>
      </c>
      <c r="AT50" s="100">
        <v>706.47476370000004</v>
      </c>
      <c r="AU50">
        <v>690.64643739999997</v>
      </c>
      <c r="AV50">
        <v>675.88702490000003</v>
      </c>
      <c r="AW50">
        <v>662.6581046</v>
      </c>
    </row>
    <row r="51" spans="2:49" x14ac:dyDescent="0.25">
      <c r="B51" t="s">
        <v>380</v>
      </c>
      <c r="C51" s="100">
        <v>1.1492990066676601</v>
      </c>
      <c r="D51" s="100">
        <v>1.1677513739710099</v>
      </c>
      <c r="E51" s="100">
        <v>1.186003235</v>
      </c>
      <c r="F51" s="100">
        <v>0</v>
      </c>
      <c r="G51" s="100">
        <v>32.312598919999999</v>
      </c>
      <c r="H51" s="100">
        <v>33.974102899999998</v>
      </c>
      <c r="I51" s="100">
        <v>34.728416080000002</v>
      </c>
      <c r="J51" s="100">
        <v>48.051901690000001</v>
      </c>
      <c r="K51" s="100">
        <v>50.170853889999997</v>
      </c>
      <c r="L51" s="100">
        <v>49.379294229999999</v>
      </c>
      <c r="M51">
        <v>50.538831010000003</v>
      </c>
      <c r="N51">
        <v>39.548810699999997</v>
      </c>
      <c r="O51">
        <v>38.755437890000003</v>
      </c>
      <c r="P51">
        <v>33.956860759999998</v>
      </c>
      <c r="Q51">
        <v>54.782855869999999</v>
      </c>
      <c r="R51">
        <v>59.465052980000003</v>
      </c>
      <c r="S51">
        <v>73.160336939999894</v>
      </c>
      <c r="T51">
        <v>60.6897527</v>
      </c>
      <c r="U51">
        <v>84.523020380000006</v>
      </c>
      <c r="V51">
        <v>99.660015220000005</v>
      </c>
      <c r="W51">
        <v>101.51955510000001</v>
      </c>
      <c r="X51">
        <v>101.81462569999999</v>
      </c>
      <c r="Y51">
        <v>113.038645</v>
      </c>
      <c r="Z51">
        <v>117.22757129999999</v>
      </c>
      <c r="AA51">
        <v>119.04823810000001</v>
      </c>
      <c r="AB51">
        <v>119.28859009999999</v>
      </c>
      <c r="AC51">
        <v>118.5442522</v>
      </c>
      <c r="AD51">
        <v>117.4802163</v>
      </c>
      <c r="AE51">
        <v>110.9823516</v>
      </c>
      <c r="AF51">
        <v>107.40070729999999</v>
      </c>
      <c r="AG51">
        <v>105.0695755</v>
      </c>
      <c r="AH51">
        <v>98.487573949999998</v>
      </c>
      <c r="AI51">
        <v>99.76802017</v>
      </c>
      <c r="AJ51">
        <v>99.919768970000007</v>
      </c>
      <c r="AK51">
        <v>99.444863220000002</v>
      </c>
      <c r="AL51">
        <v>98.815975649999999</v>
      </c>
      <c r="AM51">
        <v>98.076610500000001</v>
      </c>
      <c r="AN51" s="100">
        <v>97.719093970000003</v>
      </c>
      <c r="AO51" s="100">
        <v>97.919415509999894</v>
      </c>
      <c r="AP51" s="100">
        <v>98.435231659999999</v>
      </c>
      <c r="AQ51" s="100">
        <v>99.116175850000005</v>
      </c>
      <c r="AR51" s="100">
        <v>99.915573300000005</v>
      </c>
      <c r="AS51" s="100">
        <v>100.44187890000001</v>
      </c>
      <c r="AT51">
        <v>101.3040823</v>
      </c>
      <c r="AU51">
        <v>102.3367997</v>
      </c>
      <c r="AV51">
        <v>103.4447476</v>
      </c>
      <c r="AW51">
        <v>104.7184323</v>
      </c>
    </row>
    <row r="52" spans="2:49" x14ac:dyDescent="0.25">
      <c r="B52" t="s">
        <v>381</v>
      </c>
      <c r="C52">
        <v>413.74764240035898</v>
      </c>
      <c r="D52">
        <v>420.39049462956399</v>
      </c>
      <c r="E52">
        <v>426.9611645</v>
      </c>
      <c r="F52">
        <v>439.251059</v>
      </c>
      <c r="G52">
        <v>447.38356720000002</v>
      </c>
      <c r="H52">
        <v>495.80936650000001</v>
      </c>
      <c r="I52">
        <v>481.5092497</v>
      </c>
      <c r="J52">
        <v>473.53859619999997</v>
      </c>
      <c r="K52">
        <v>409.1178802</v>
      </c>
      <c r="L52">
        <v>387.16488989999999</v>
      </c>
      <c r="M52">
        <v>388.81353860000002</v>
      </c>
      <c r="N52">
        <v>365.6873372</v>
      </c>
      <c r="O52">
        <v>383.85351450000002</v>
      </c>
      <c r="P52">
        <v>394.48576859999997</v>
      </c>
      <c r="Q52">
        <v>409.1145568</v>
      </c>
      <c r="R52">
        <v>413.06210220000003</v>
      </c>
      <c r="S52">
        <v>363.90462359999998</v>
      </c>
      <c r="T52">
        <v>312.40226109999998</v>
      </c>
      <c r="U52">
        <v>318.15002290000001</v>
      </c>
      <c r="V52">
        <v>326.85607540000001</v>
      </c>
      <c r="W52">
        <v>316.24330359999999</v>
      </c>
      <c r="X52">
        <v>301.45277950000002</v>
      </c>
      <c r="Y52">
        <v>324.11414919999999</v>
      </c>
      <c r="Z52">
        <v>325.93553639999999</v>
      </c>
      <c r="AA52">
        <v>321.1722345</v>
      </c>
      <c r="AB52">
        <v>312.47700459999999</v>
      </c>
      <c r="AC52">
        <v>301.74085259999998</v>
      </c>
      <c r="AD52">
        <v>290.81014320000003</v>
      </c>
      <c r="AE52">
        <v>267.30633649999999</v>
      </c>
      <c r="AF52">
        <v>251.9667293</v>
      </c>
      <c r="AG52">
        <v>240.06927110000001</v>
      </c>
      <c r="AH52">
        <v>219.28217330000001</v>
      </c>
      <c r="AI52">
        <v>216.69184910000001</v>
      </c>
      <c r="AJ52">
        <v>211.61675439999999</v>
      </c>
      <c r="AK52">
        <v>205.65241760000001</v>
      </c>
      <c r="AL52">
        <v>199.65854089999999</v>
      </c>
      <c r="AM52">
        <v>193.74510090000001</v>
      </c>
      <c r="AN52">
        <v>186.9518625</v>
      </c>
      <c r="AO52" s="100">
        <v>181.4915809</v>
      </c>
      <c r="AP52" s="100">
        <v>176.86111249999999</v>
      </c>
      <c r="AQ52" s="100">
        <v>172.70623979999999</v>
      </c>
      <c r="AR52" s="100">
        <v>168.88748290000001</v>
      </c>
      <c r="AS52" s="100">
        <v>164.56746010000001</v>
      </c>
      <c r="AT52">
        <v>160.9238417</v>
      </c>
      <c r="AU52">
        <v>157.6480502</v>
      </c>
      <c r="AV52">
        <v>154.57049739999999</v>
      </c>
      <c r="AW52">
        <v>151.79785140000001</v>
      </c>
    </row>
    <row r="53" spans="2:49" x14ac:dyDescent="0.25">
      <c r="B53" t="s">
        <v>382</v>
      </c>
      <c r="C53">
        <v>652.80183578723302</v>
      </c>
      <c r="D53">
        <v>663.28278041553403</v>
      </c>
      <c r="E53">
        <v>673.64983729999994</v>
      </c>
      <c r="F53">
        <v>693.93322139999998</v>
      </c>
      <c r="G53">
        <v>683.89172589999998</v>
      </c>
      <c r="H53">
        <v>752.12396290000004</v>
      </c>
      <c r="I53">
        <v>732.61254110000004</v>
      </c>
      <c r="J53">
        <v>715.31877669999994</v>
      </c>
      <c r="K53">
        <v>615.27211899999998</v>
      </c>
      <c r="L53">
        <v>579.96679410000002</v>
      </c>
      <c r="M53">
        <v>579.85825869999996</v>
      </c>
      <c r="N53">
        <v>551.21290050000005</v>
      </c>
      <c r="O53">
        <v>577.52892050000003</v>
      </c>
      <c r="P53">
        <v>600.32618149999996</v>
      </c>
      <c r="Q53">
        <v>612.14834020000001</v>
      </c>
      <c r="R53">
        <v>616.02515559999995</v>
      </c>
      <c r="S53">
        <v>528.74597559999995</v>
      </c>
      <c r="T53">
        <v>460.42175680000003</v>
      </c>
      <c r="U53">
        <v>452.4445442</v>
      </c>
      <c r="V53">
        <v>456.68330750000001</v>
      </c>
      <c r="W53">
        <v>439.6995713</v>
      </c>
      <c r="X53">
        <v>417.14715339999998</v>
      </c>
      <c r="Y53">
        <v>446.46402690000002</v>
      </c>
      <c r="Z53">
        <v>446.96631789999998</v>
      </c>
      <c r="AA53">
        <v>438.44022940000002</v>
      </c>
      <c r="AB53">
        <v>424.6157316</v>
      </c>
      <c r="AC53">
        <v>408.13622750000002</v>
      </c>
      <c r="AD53">
        <v>391.52374909999997</v>
      </c>
      <c r="AE53">
        <v>358.18381599999998</v>
      </c>
      <c r="AF53">
        <v>336.05945170000001</v>
      </c>
      <c r="AG53">
        <v>318.6375961</v>
      </c>
      <c r="AH53">
        <v>289.62120179999999</v>
      </c>
      <c r="AI53">
        <v>284.8220536</v>
      </c>
      <c r="AJ53">
        <v>276.72907149999998</v>
      </c>
      <c r="AK53">
        <v>267.59667200000001</v>
      </c>
      <c r="AL53">
        <v>258.49808580000001</v>
      </c>
      <c r="AM53">
        <v>249.57900739999999</v>
      </c>
      <c r="AN53">
        <v>239.24139360000001</v>
      </c>
      <c r="AO53" s="100">
        <v>230.6997738</v>
      </c>
      <c r="AP53" s="100">
        <v>223.30543940000001</v>
      </c>
      <c r="AQ53" s="100">
        <v>216.58205430000001</v>
      </c>
      <c r="AR53" s="100">
        <v>210.34488200000001</v>
      </c>
      <c r="AS53" s="100">
        <v>203.55317109999999</v>
      </c>
      <c r="AT53">
        <v>197.6610986</v>
      </c>
      <c r="AU53">
        <v>192.27778979999999</v>
      </c>
      <c r="AV53">
        <v>187.19061819999999</v>
      </c>
      <c r="AW53">
        <v>182.52285610000001</v>
      </c>
    </row>
    <row r="54" spans="2:49" x14ac:dyDescent="0.25">
      <c r="B54" t="s">
        <v>383</v>
      </c>
      <c r="C54">
        <v>643.60744373389196</v>
      </c>
      <c r="D54">
        <v>653.94076942376603</v>
      </c>
      <c r="E54">
        <v>664.16181140000003</v>
      </c>
      <c r="F54">
        <v>684.49383250000005</v>
      </c>
      <c r="G54">
        <v>672.36833809999996</v>
      </c>
      <c r="H54">
        <v>738.23856009999997</v>
      </c>
      <c r="I54">
        <v>719.46669689999999</v>
      </c>
      <c r="J54">
        <v>700.19873259999997</v>
      </c>
      <c r="K54">
        <v>600.95556939999994</v>
      </c>
      <c r="L54">
        <v>565.73828149999997</v>
      </c>
      <c r="M54">
        <v>564.9309174</v>
      </c>
      <c r="N54">
        <v>527.46111800000006</v>
      </c>
      <c r="O54">
        <v>552.86340929999994</v>
      </c>
      <c r="P54">
        <v>577.02968629999998</v>
      </c>
      <c r="Q54">
        <v>580.76187400000003</v>
      </c>
      <c r="R54">
        <v>586.1446866</v>
      </c>
      <c r="S54">
        <v>491.64815069999997</v>
      </c>
      <c r="T54">
        <v>440.24283320000001</v>
      </c>
      <c r="U54">
        <v>424.5466275</v>
      </c>
      <c r="V54">
        <v>424.56010959999998</v>
      </c>
      <c r="W54">
        <v>407.59648520000002</v>
      </c>
      <c r="X54">
        <v>385.58487609999997</v>
      </c>
      <c r="Y54">
        <v>411.65040679999998</v>
      </c>
      <c r="Z54">
        <v>411.09415189999999</v>
      </c>
      <c r="AA54">
        <v>402.23855789999999</v>
      </c>
      <c r="AB54">
        <v>388.56157680000001</v>
      </c>
      <c r="AC54">
        <v>372.5196641</v>
      </c>
      <c r="AD54">
        <v>356.42829110000002</v>
      </c>
      <c r="AE54">
        <v>325.2156751</v>
      </c>
      <c r="AF54">
        <v>304.330758</v>
      </c>
      <c r="AG54">
        <v>287.76724619999999</v>
      </c>
      <c r="AH54">
        <v>260.84134269999998</v>
      </c>
      <c r="AI54">
        <v>255.82357669999999</v>
      </c>
      <c r="AJ54">
        <v>247.84058039999999</v>
      </c>
      <c r="AK54">
        <v>238.9938861</v>
      </c>
      <c r="AL54">
        <v>230.21992059999999</v>
      </c>
      <c r="AM54">
        <v>221.6501409</v>
      </c>
      <c r="AN54">
        <v>211.669961</v>
      </c>
      <c r="AO54" s="100">
        <v>203.33350849999999</v>
      </c>
      <c r="AP54" s="100">
        <v>196.06365550000001</v>
      </c>
      <c r="AQ54" s="100">
        <v>189.42791099999999</v>
      </c>
      <c r="AR54" s="100">
        <v>183.25914359999999</v>
      </c>
      <c r="AS54" s="100">
        <v>176.6469572</v>
      </c>
      <c r="AT54">
        <v>170.8573428</v>
      </c>
      <c r="AU54">
        <v>165.54648069999999</v>
      </c>
      <c r="AV54">
        <v>160.52840789999999</v>
      </c>
      <c r="AW54">
        <v>155.90579840000001</v>
      </c>
    </row>
    <row r="55" spans="2:49" x14ac:dyDescent="0.25">
      <c r="B55" t="s">
        <v>384</v>
      </c>
      <c r="C55">
        <v>413.74764240035898</v>
      </c>
      <c r="D55">
        <v>420.39049462956399</v>
      </c>
      <c r="E55">
        <v>426.9611645</v>
      </c>
      <c r="F55">
        <v>440.64535430000001</v>
      </c>
      <c r="G55">
        <v>423.08660980000002</v>
      </c>
      <c r="H55">
        <v>461.35389529999998</v>
      </c>
      <c r="I55">
        <v>450.76659489999997</v>
      </c>
      <c r="J55">
        <v>434.95014259999999</v>
      </c>
      <c r="K55">
        <v>371.23619170000001</v>
      </c>
      <c r="L55">
        <v>353.335601</v>
      </c>
      <c r="M55">
        <v>351.39028029999997</v>
      </c>
      <c r="N55">
        <v>318.13932729999999</v>
      </c>
      <c r="O55">
        <v>333.52890070000001</v>
      </c>
      <c r="P55">
        <v>344.89234320000003</v>
      </c>
      <c r="Q55">
        <v>340.20535580000001</v>
      </c>
      <c r="R55">
        <v>336.6012063</v>
      </c>
      <c r="S55">
        <v>265.39182549999998</v>
      </c>
      <c r="T55">
        <v>250.21487999999999</v>
      </c>
      <c r="U55">
        <v>220.22818150000001</v>
      </c>
      <c r="V55">
        <v>214.016278</v>
      </c>
      <c r="W55">
        <v>203.8185039</v>
      </c>
      <c r="X55">
        <v>191.3100077</v>
      </c>
      <c r="Y55">
        <v>202.7615509</v>
      </c>
      <c r="Z55">
        <v>201.0552567</v>
      </c>
      <c r="AA55">
        <v>195.3259127</v>
      </c>
      <c r="AB55">
        <v>187.3394643</v>
      </c>
      <c r="AC55">
        <v>178.32973530000001</v>
      </c>
      <c r="AD55">
        <v>169.41956619999999</v>
      </c>
      <c r="AE55">
        <v>153.48775209999999</v>
      </c>
      <c r="AF55">
        <v>142.64009110000001</v>
      </c>
      <c r="AG55">
        <v>133.920277</v>
      </c>
      <c r="AH55">
        <v>120.5344492</v>
      </c>
      <c r="AI55">
        <v>117.4117263</v>
      </c>
      <c r="AJ55">
        <v>112.94255459999999</v>
      </c>
      <c r="AK55">
        <v>108.1791242</v>
      </c>
      <c r="AL55">
        <v>103.51671810000001</v>
      </c>
      <c r="AM55">
        <v>99.014075020000007</v>
      </c>
      <c r="AN55" s="100">
        <v>93.771817040000002</v>
      </c>
      <c r="AO55" s="100">
        <v>89.348558980000007</v>
      </c>
      <c r="AP55" s="100">
        <v>85.48275271</v>
      </c>
      <c r="AQ55" s="100">
        <v>81.969337280000005</v>
      </c>
      <c r="AR55" s="100">
        <v>78.729161730000001</v>
      </c>
      <c r="AS55" s="100">
        <v>75.369751140000005</v>
      </c>
      <c r="AT55">
        <v>72.427510729999995</v>
      </c>
      <c r="AU55">
        <v>69.750084889999997</v>
      </c>
      <c r="AV55">
        <v>67.25480537</v>
      </c>
      <c r="AW55">
        <v>64.980638459999994</v>
      </c>
    </row>
    <row r="56" spans="2:49" x14ac:dyDescent="0.25">
      <c r="B56" t="s">
        <v>385</v>
      </c>
      <c r="C56">
        <v>137.915880800119</v>
      </c>
      <c r="D56">
        <v>140.13016487652101</v>
      </c>
      <c r="E56">
        <v>142.3203882</v>
      </c>
      <c r="F56">
        <v>147.5170881</v>
      </c>
      <c r="G56">
        <v>131.88171059999999</v>
      </c>
      <c r="H56">
        <v>140.69239959999999</v>
      </c>
      <c r="I56">
        <v>138.58068739999999</v>
      </c>
      <c r="J56">
        <v>130.03767260000001</v>
      </c>
      <c r="K56">
        <v>108.9672739</v>
      </c>
      <c r="L56">
        <v>99.677327070000004</v>
      </c>
      <c r="M56">
        <v>97.662509130000004</v>
      </c>
      <c r="N56">
        <v>83.664641149999994</v>
      </c>
      <c r="O56">
        <v>86.515698119999996</v>
      </c>
      <c r="P56">
        <v>96.847883359999997</v>
      </c>
      <c r="Q56">
        <v>92.002014419999995</v>
      </c>
      <c r="R56">
        <v>88.119497019999997</v>
      </c>
      <c r="S56">
        <v>61.389325190000001</v>
      </c>
      <c r="T56">
        <v>39.323007789999998</v>
      </c>
      <c r="U56">
        <v>26.609549040000001</v>
      </c>
      <c r="V56">
        <v>22.719872760000001</v>
      </c>
      <c r="W56">
        <v>20.838979219999999</v>
      </c>
      <c r="X56">
        <v>18.848521900000001</v>
      </c>
      <c r="Y56">
        <v>19.304451700000001</v>
      </c>
      <c r="Z56">
        <v>18.508662009999998</v>
      </c>
      <c r="AA56">
        <v>17.379451029999998</v>
      </c>
      <c r="AB56">
        <v>16.105869720000001</v>
      </c>
      <c r="AC56">
        <v>14.812297409999999</v>
      </c>
      <c r="AD56">
        <v>13.59505169</v>
      </c>
      <c r="AE56">
        <v>11.896048260000001</v>
      </c>
      <c r="AF56">
        <v>10.68594566</v>
      </c>
      <c r="AG56">
        <v>9.6870472519999904</v>
      </c>
      <c r="AH56">
        <v>8.4193619529999904</v>
      </c>
      <c r="AI56">
        <v>7.9283556429999997</v>
      </c>
      <c r="AJ56">
        <v>7.3623660839999996</v>
      </c>
      <c r="AK56">
        <v>6.8195256249999998</v>
      </c>
      <c r="AL56">
        <v>6.31360557</v>
      </c>
      <c r="AM56" s="100">
        <v>5.8465466060000004</v>
      </c>
      <c r="AN56" s="100">
        <v>5.311145314</v>
      </c>
      <c r="AO56" s="100">
        <v>4.8592103560000002</v>
      </c>
      <c r="AP56" s="100">
        <v>4.4716318050000003</v>
      </c>
      <c r="AQ56" s="100">
        <v>4.1310148949999999</v>
      </c>
      <c r="AR56" s="100">
        <v>3.8294965310000002</v>
      </c>
      <c r="AS56">
        <v>3.54496418</v>
      </c>
      <c r="AT56">
        <v>3.300887479</v>
      </c>
      <c r="AU56">
        <v>3.0872321650000001</v>
      </c>
      <c r="AV56">
        <v>2.8979484310000001</v>
      </c>
      <c r="AW56">
        <v>2.7325278810000002</v>
      </c>
    </row>
    <row r="57" spans="2:49" x14ac:dyDescent="0.25">
      <c r="B57" t="s">
        <v>386</v>
      </c>
      <c r="C57">
        <v>34.478970200029899</v>
      </c>
      <c r="D57">
        <v>35.032541219130302</v>
      </c>
      <c r="E57">
        <v>35.580097039999998</v>
      </c>
      <c r="F57">
        <v>37.289930320000003</v>
      </c>
      <c r="G57">
        <v>27.639160650000001</v>
      </c>
      <c r="H57" s="100">
        <v>29.01694118</v>
      </c>
      <c r="I57">
        <v>28.56665769</v>
      </c>
      <c r="J57">
        <v>23.57483852</v>
      </c>
      <c r="K57">
        <v>17.87389181</v>
      </c>
      <c r="L57">
        <v>12.48154656</v>
      </c>
      <c r="M57">
        <v>11.60992162</v>
      </c>
      <c r="N57">
        <v>12.597266469999999</v>
      </c>
      <c r="O57">
        <v>11.946234860000001</v>
      </c>
      <c r="P57">
        <v>16.71463907</v>
      </c>
      <c r="Q57">
        <v>12.84783528</v>
      </c>
      <c r="R57">
        <v>9.4355096879999998</v>
      </c>
      <c r="S57">
        <v>4.1620597930000001</v>
      </c>
      <c r="T57" s="100">
        <v>1.7118550200000002E-8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2:49" x14ac:dyDescent="0.25">
      <c r="B58" t="s">
        <v>387</v>
      </c>
      <c r="C58" s="100">
        <v>1.1492990066676601</v>
      </c>
      <c r="D58" s="100">
        <v>1.1677513739710099</v>
      </c>
      <c r="E58" s="100">
        <v>2.1795339579999999</v>
      </c>
      <c r="F58" s="100">
        <v>3.5471046039999998</v>
      </c>
      <c r="G58" s="100">
        <v>5.7128419910000003</v>
      </c>
      <c r="H58" s="100">
        <v>9.1547151979999999</v>
      </c>
      <c r="I58">
        <v>12.618126780000001</v>
      </c>
      <c r="J58">
        <v>17.151750530000001</v>
      </c>
      <c r="K58" s="100">
        <v>20.474114480000001</v>
      </c>
      <c r="L58" s="100">
        <v>26.081218939999999</v>
      </c>
      <c r="M58">
        <v>34.53878374</v>
      </c>
      <c r="N58">
        <v>42.075598640000003</v>
      </c>
      <c r="O58">
        <v>57.323884120000002</v>
      </c>
      <c r="P58">
        <v>77.374637230000005</v>
      </c>
      <c r="Q58">
        <v>101.8791676</v>
      </c>
      <c r="R58">
        <v>131.4487896</v>
      </c>
      <c r="S58">
        <v>142.42638070000001</v>
      </c>
      <c r="T58">
        <v>157.8603028</v>
      </c>
      <c r="U58">
        <v>193.8879915</v>
      </c>
      <c r="V58">
        <v>244.5097423</v>
      </c>
      <c r="W58">
        <v>290.99077979999998</v>
      </c>
      <c r="X58">
        <v>337.54299909999997</v>
      </c>
      <c r="Y58">
        <v>436.04628300000002</v>
      </c>
      <c r="Z58">
        <v>520.39080200000001</v>
      </c>
      <c r="AA58">
        <v>600.91286649999995</v>
      </c>
      <c r="AB58">
        <v>676.63972699999999</v>
      </c>
      <c r="AC58">
        <v>747.21237169999995</v>
      </c>
      <c r="AD58">
        <v>814.3092249</v>
      </c>
      <c r="AE58">
        <v>837.55373039999995</v>
      </c>
      <c r="AF58">
        <v>875.10213880000003</v>
      </c>
      <c r="AG58">
        <v>916.13675469999998</v>
      </c>
      <c r="AH58">
        <v>912.35006109999995</v>
      </c>
      <c r="AI58">
        <v>976.24332500000003</v>
      </c>
      <c r="AJ58">
        <v>1025.7628279999999</v>
      </c>
      <c r="AK58">
        <v>1066.7553150000001</v>
      </c>
      <c r="AL58">
        <v>1102.8062950000001</v>
      </c>
      <c r="AM58">
        <v>1134.4781929999999</v>
      </c>
      <c r="AN58">
        <v>1155.3725549999999</v>
      </c>
      <c r="AO58">
        <v>1179.675677</v>
      </c>
      <c r="AP58">
        <v>1205.3685149999999</v>
      </c>
      <c r="AQ58">
        <v>1230.741853</v>
      </c>
      <c r="AR58">
        <v>1255.3005410000001</v>
      </c>
      <c r="AS58">
        <v>1273.145426</v>
      </c>
      <c r="AT58">
        <v>1293.188701</v>
      </c>
      <c r="AU58">
        <v>1313.5609449999999</v>
      </c>
      <c r="AV58">
        <v>1333.2131999999999</v>
      </c>
      <c r="AW58">
        <v>1353.3583699999999</v>
      </c>
    </row>
    <row r="59" spans="2:49" x14ac:dyDescent="0.25">
      <c r="B59" t="s">
        <v>388</v>
      </c>
      <c r="C59" s="100">
        <v>3.4228836395600501E-3</v>
      </c>
      <c r="D59" s="100">
        <v>3.4778391435562701E-3</v>
      </c>
      <c r="E59" s="100">
        <v>6.4911664299999996E-3</v>
      </c>
      <c r="F59" s="100">
        <v>1.5414811699999999E-2</v>
      </c>
      <c r="G59" s="100">
        <v>3.4950231399999997E-2</v>
      </c>
      <c r="H59" s="100">
        <v>7.3614878800000005E-2</v>
      </c>
      <c r="I59" s="100">
        <v>0.1062501134</v>
      </c>
      <c r="J59" s="100">
        <v>0.16064567630000001</v>
      </c>
      <c r="K59" s="100">
        <v>0.2156405049</v>
      </c>
      <c r="L59" s="100">
        <v>0.31500597600000002</v>
      </c>
      <c r="M59">
        <v>0.49122006109999999</v>
      </c>
      <c r="N59">
        <v>0.68378275669999999</v>
      </c>
      <c r="O59">
        <v>1.029078972</v>
      </c>
      <c r="P59">
        <v>0.88267826449999998</v>
      </c>
      <c r="Q59">
        <v>1.3283739640000001</v>
      </c>
      <c r="R59">
        <v>1.94367135</v>
      </c>
      <c r="S59">
        <v>2.405998914</v>
      </c>
      <c r="T59">
        <v>2.9422926519999999</v>
      </c>
      <c r="U59">
        <v>5.8365130880000002</v>
      </c>
      <c r="V59">
        <v>9.1877640039999999</v>
      </c>
      <c r="W59">
        <v>11.51156887</v>
      </c>
      <c r="X59">
        <v>14.02867876</v>
      </c>
      <c r="Y59">
        <v>19.002942340000001</v>
      </c>
      <c r="Z59">
        <v>23.738455309999999</v>
      </c>
      <c r="AA59">
        <v>28.644905479999998</v>
      </c>
      <c r="AB59">
        <v>33.654051729999999</v>
      </c>
      <c r="AC59">
        <v>38.722152719999997</v>
      </c>
      <c r="AD59">
        <v>43.913423809999998</v>
      </c>
      <c r="AE59">
        <v>46.94909569</v>
      </c>
      <c r="AF59">
        <v>50.936609439999998</v>
      </c>
      <c r="AG59">
        <v>55.32211976</v>
      </c>
      <c r="AH59">
        <v>57.1087512</v>
      </c>
      <c r="AI59">
        <v>63.291148909999997</v>
      </c>
      <c r="AJ59">
        <v>68.824844839999997</v>
      </c>
      <c r="AK59">
        <v>74.02037713</v>
      </c>
      <c r="AL59">
        <v>79.078788000000003</v>
      </c>
      <c r="AM59">
        <v>84.010399960000001</v>
      </c>
      <c r="AN59">
        <v>89.121321469999998</v>
      </c>
      <c r="AO59">
        <v>94.690587449999995</v>
      </c>
      <c r="AP59">
        <v>100.5863389</v>
      </c>
      <c r="AQ59">
        <v>106.6788044</v>
      </c>
      <c r="AR59">
        <v>112.92592019999999</v>
      </c>
      <c r="AS59">
        <v>118.7753436</v>
      </c>
      <c r="AT59">
        <v>125.0260706</v>
      </c>
      <c r="AU59">
        <v>131.5195798</v>
      </c>
      <c r="AV59">
        <v>138.15408930000001</v>
      </c>
      <c r="AW59">
        <v>145.0648564</v>
      </c>
    </row>
    <row r="60" spans="2:49" x14ac:dyDescent="0.25">
      <c r="B60" t="s">
        <v>389</v>
      </c>
      <c r="C60" s="100">
        <v>7.8463024968376607E-3</v>
      </c>
      <c r="D60" s="100">
        <v>7.9722774213828399E-3</v>
      </c>
      <c r="E60" s="100">
        <v>1.48797507E-2</v>
      </c>
      <c r="F60" s="100">
        <v>2.7550642699999999E-2</v>
      </c>
      <c r="G60" s="100">
        <v>5.1292064200000001E-2</v>
      </c>
      <c r="H60" s="100">
        <v>9.4092506000000006E-2</v>
      </c>
      <c r="I60" s="100">
        <v>0.13290746470000001</v>
      </c>
      <c r="J60" s="100">
        <v>0.19154094250000001</v>
      </c>
      <c r="K60" s="100">
        <v>0.2445960093</v>
      </c>
      <c r="L60" s="100">
        <v>0.33837433439999998</v>
      </c>
      <c r="M60">
        <v>0.4969791878</v>
      </c>
      <c r="N60">
        <v>0.66130387420000003</v>
      </c>
      <c r="O60">
        <v>0.96429497900000005</v>
      </c>
      <c r="P60">
        <v>0.96944747659999997</v>
      </c>
      <c r="Q60">
        <v>1.3865165180000001</v>
      </c>
      <c r="R60">
        <v>1.940106479</v>
      </c>
      <c r="S60">
        <v>2.2980155980000001</v>
      </c>
      <c r="T60">
        <v>2.725571988</v>
      </c>
      <c r="U60">
        <v>4.7480316910000004</v>
      </c>
      <c r="V60">
        <v>7.0908535659999998</v>
      </c>
      <c r="W60">
        <v>8.7794531760000005</v>
      </c>
      <c r="X60">
        <v>10.578704009999999</v>
      </c>
      <c r="Y60">
        <v>14.17508067</v>
      </c>
      <c r="Z60">
        <v>17.523683439999999</v>
      </c>
      <c r="AA60">
        <v>20.933787030000001</v>
      </c>
      <c r="AB60">
        <v>24.355904580000001</v>
      </c>
      <c r="AC60">
        <v>27.75947403</v>
      </c>
      <c r="AD60">
        <v>31.191154050000002</v>
      </c>
      <c r="AE60">
        <v>33.046326460000003</v>
      </c>
      <c r="AF60">
        <v>35.534855710000002</v>
      </c>
      <c r="AG60">
        <v>38.256093069999999</v>
      </c>
      <c r="AH60">
        <v>39.149036549999998</v>
      </c>
      <c r="AI60">
        <v>43.01431745</v>
      </c>
      <c r="AJ60">
        <v>46.375906190000002</v>
      </c>
      <c r="AK60">
        <v>49.453559009999999</v>
      </c>
      <c r="AL60">
        <v>52.386895600000003</v>
      </c>
      <c r="AM60">
        <v>55.185355010000002</v>
      </c>
      <c r="AN60">
        <v>57.90482609</v>
      </c>
      <c r="AO60">
        <v>60.852759290000002</v>
      </c>
      <c r="AP60">
        <v>63.93530784</v>
      </c>
      <c r="AQ60">
        <v>67.06358376</v>
      </c>
      <c r="AR60">
        <v>70.206698680000002</v>
      </c>
      <c r="AS60">
        <v>73.021031730000004</v>
      </c>
      <c r="AT60">
        <v>75.999670890000004</v>
      </c>
      <c r="AU60">
        <v>79.037815600000002</v>
      </c>
      <c r="AV60">
        <v>82.069246899999996</v>
      </c>
      <c r="AW60">
        <v>85.167736169999998</v>
      </c>
    </row>
    <row r="61" spans="2:49" x14ac:dyDescent="0.25">
      <c r="B61" t="s">
        <v>390</v>
      </c>
      <c r="C61" s="100">
        <v>3.2122446463563603E-2</v>
      </c>
      <c r="D61" s="100">
        <v>3.2638182731835802E-2</v>
      </c>
      <c r="E61" s="100">
        <v>6.0917100299999999E-2</v>
      </c>
      <c r="F61" s="100">
        <v>0.10054662039999999</v>
      </c>
      <c r="G61" s="100">
        <v>0.16479875350000001</v>
      </c>
      <c r="H61" s="100">
        <v>0.26859378690000002</v>
      </c>
      <c r="I61" s="100">
        <v>0.37139757200000001</v>
      </c>
      <c r="J61" s="100">
        <v>0.50882122220000003</v>
      </c>
      <c r="K61" s="100">
        <v>0.61312890330000003</v>
      </c>
      <c r="L61" s="100">
        <v>0.7904931529</v>
      </c>
      <c r="M61">
        <v>1.0635672490000001</v>
      </c>
      <c r="N61">
        <v>1.314115492</v>
      </c>
      <c r="O61">
        <v>1.810592862</v>
      </c>
      <c r="P61">
        <v>2.3330897340000001</v>
      </c>
      <c r="Q61">
        <v>3.1102312780000001</v>
      </c>
      <c r="R61">
        <v>4.064051246</v>
      </c>
      <c r="S61">
        <v>4.467493181</v>
      </c>
      <c r="T61">
        <v>5.0079634899999999</v>
      </c>
      <c r="U61">
        <v>6.5364625780000001</v>
      </c>
      <c r="V61">
        <v>8.4781049819999996</v>
      </c>
      <c r="W61">
        <v>10.15106078</v>
      </c>
      <c r="X61">
        <v>11.840330760000001</v>
      </c>
      <c r="Y61">
        <v>15.37236261</v>
      </c>
      <c r="Z61" s="100">
        <v>18.42803773</v>
      </c>
      <c r="AA61">
        <v>21.363217939999998</v>
      </c>
      <c r="AB61">
        <v>24.136826419999998</v>
      </c>
      <c r="AC61">
        <v>26.72971974</v>
      </c>
      <c r="AD61">
        <v>29.196149949999999</v>
      </c>
      <c r="AE61">
        <v>30.080800870000001</v>
      </c>
      <c r="AF61">
        <v>31.464803960000001</v>
      </c>
      <c r="AG61">
        <v>32.957875299999998</v>
      </c>
      <c r="AH61">
        <v>32.819180680000002</v>
      </c>
      <c r="AI61">
        <v>35.092787049999998</v>
      </c>
      <c r="AJ61">
        <v>36.822854710000001</v>
      </c>
      <c r="AK61">
        <v>38.216805829999998</v>
      </c>
      <c r="AL61">
        <v>39.40100254</v>
      </c>
      <c r="AM61">
        <v>40.393580309999997</v>
      </c>
      <c r="AN61">
        <v>40.909264010000001</v>
      </c>
      <c r="AO61">
        <v>41.483839359999997</v>
      </c>
      <c r="AP61">
        <v>42.039541239999998</v>
      </c>
      <c r="AQ61">
        <v>42.510935770000003</v>
      </c>
      <c r="AR61">
        <v>42.876120239999999</v>
      </c>
      <c r="AS61">
        <v>42.931724920000001</v>
      </c>
      <c r="AT61">
        <v>42.978294980000001</v>
      </c>
      <c r="AU61">
        <v>42.946442810000001</v>
      </c>
      <c r="AV61">
        <v>42.797228509999997</v>
      </c>
      <c r="AW61">
        <v>42.56372116</v>
      </c>
    </row>
    <row r="62" spans="2:49" x14ac:dyDescent="0.25">
      <c r="B62" t="s">
        <v>391</v>
      </c>
      <c r="C62" s="100">
        <v>0.75461419315223899</v>
      </c>
      <c r="D62" s="100">
        <v>0.76672976811017601</v>
      </c>
      <c r="E62" s="100">
        <v>1.431052537</v>
      </c>
      <c r="F62" s="100">
        <v>2.3289798830000001</v>
      </c>
      <c r="G62" s="100">
        <v>3.7508872009999998</v>
      </c>
      <c r="H62" s="100">
        <v>6.0026798350000004</v>
      </c>
      <c r="I62">
        <v>8.2711655779999997</v>
      </c>
      <c r="J62">
        <v>11.23463095</v>
      </c>
      <c r="K62" s="100">
        <v>13.398529160000001</v>
      </c>
      <c r="L62" s="100">
        <v>17.047028860000001</v>
      </c>
      <c r="M62">
        <v>22.536413710000001</v>
      </c>
      <c r="N62">
        <v>27.40934601</v>
      </c>
      <c r="O62">
        <v>37.291059730000001</v>
      </c>
      <c r="P62">
        <v>50.599960129999999</v>
      </c>
      <c r="Q62">
        <v>66.538671199999996</v>
      </c>
      <c r="R62">
        <v>85.730960850000002</v>
      </c>
      <c r="S62">
        <v>92.732766380000001</v>
      </c>
      <c r="T62">
        <v>102.63581910000001</v>
      </c>
      <c r="U62">
        <v>124.8599912</v>
      </c>
      <c r="V62">
        <v>156.44892039999999</v>
      </c>
      <c r="W62">
        <v>185.8673125</v>
      </c>
      <c r="X62">
        <v>215.22335709999999</v>
      </c>
      <c r="Y62">
        <v>277.53547859999998</v>
      </c>
      <c r="Z62">
        <v>330.62094949999999</v>
      </c>
      <c r="AA62">
        <v>381.08073489999998</v>
      </c>
      <c r="AB62">
        <v>428.30956220000002</v>
      </c>
      <c r="AC62">
        <v>472.09422119999999</v>
      </c>
      <c r="AD62">
        <v>513.50755770000001</v>
      </c>
      <c r="AE62">
        <v>527.14544709999996</v>
      </c>
      <c r="AF62">
        <v>549.69776449999995</v>
      </c>
      <c r="AG62">
        <v>574.32573409999998</v>
      </c>
      <c r="AH62">
        <v>570.79122400000006</v>
      </c>
      <c r="AI62">
        <v>609.50536810000006</v>
      </c>
      <c r="AJ62">
        <v>639.08019990000003</v>
      </c>
      <c r="AK62">
        <v>663.20559419999995</v>
      </c>
      <c r="AL62">
        <v>684.1383515</v>
      </c>
      <c r="AM62">
        <v>702.24488880000001</v>
      </c>
      <c r="AN62">
        <v>713.11245580000002</v>
      </c>
      <c r="AO62">
        <v>725.96978409999997</v>
      </c>
      <c r="AP62">
        <v>739.55753790000006</v>
      </c>
      <c r="AQ62">
        <v>752.82036029999995</v>
      </c>
      <c r="AR62">
        <v>765.45578390000003</v>
      </c>
      <c r="AS62">
        <v>773.88017530000002</v>
      </c>
      <c r="AT62">
        <v>783.53067780000003</v>
      </c>
      <c r="AU62">
        <v>793.26296760000002</v>
      </c>
      <c r="AV62">
        <v>802.44299999999998</v>
      </c>
      <c r="AW62">
        <v>811.79671289999999</v>
      </c>
    </row>
    <row r="63" spans="2:49" x14ac:dyDescent="0.25">
      <c r="B63" t="s">
        <v>392</v>
      </c>
      <c r="C63" s="100">
        <v>0.29742225840361802</v>
      </c>
      <c r="D63" s="100">
        <v>0.302197468966243</v>
      </c>
      <c r="E63" s="100">
        <v>0.56403243039999995</v>
      </c>
      <c r="F63" s="100">
        <v>0.91531841570000005</v>
      </c>
      <c r="G63" s="100">
        <v>1.4686662189999999</v>
      </c>
      <c r="H63" s="100">
        <v>2.3407747909999999</v>
      </c>
      <c r="I63" s="100">
        <v>3.2227700659999998</v>
      </c>
      <c r="J63" s="100">
        <v>4.3685924570000001</v>
      </c>
      <c r="K63" s="100">
        <v>5.1969672180000002</v>
      </c>
      <c r="L63" s="100">
        <v>6.5900563769999998</v>
      </c>
      <c r="M63">
        <v>8.6715207289999903</v>
      </c>
      <c r="N63">
        <v>10.499608390000001</v>
      </c>
      <c r="O63">
        <v>14.23132595</v>
      </c>
      <c r="P63">
        <v>19.589411429999998</v>
      </c>
      <c r="Q63">
        <v>25.668889579999998</v>
      </c>
      <c r="R63">
        <v>32.946646780000002</v>
      </c>
      <c r="S63">
        <v>35.472550269999999</v>
      </c>
      <c r="T63">
        <v>39.109051559999997</v>
      </c>
      <c r="U63">
        <v>46.359011809999998</v>
      </c>
      <c r="V63">
        <v>57.090784149999998</v>
      </c>
      <c r="W63">
        <v>67.512573329999995</v>
      </c>
      <c r="X63">
        <v>77.810086859999998</v>
      </c>
      <c r="Y63">
        <v>99.863583879999894</v>
      </c>
      <c r="Z63">
        <v>118.39663470000001</v>
      </c>
      <c r="AA63">
        <v>135.80853529999999</v>
      </c>
      <c r="AB63">
        <v>151.89756439999999</v>
      </c>
      <c r="AC63">
        <v>166.6042587</v>
      </c>
      <c r="AD63">
        <v>180.32175340000001</v>
      </c>
      <c r="AE63">
        <v>184.18459780000001</v>
      </c>
      <c r="AF63">
        <v>191.09370190000001</v>
      </c>
      <c r="AG63">
        <v>198.6344737</v>
      </c>
      <c r="AH63">
        <v>196.3914891</v>
      </c>
      <c r="AI63">
        <v>208.6173417</v>
      </c>
      <c r="AJ63">
        <v>217.5875958</v>
      </c>
      <c r="AK63">
        <v>224.60252209999999</v>
      </c>
      <c r="AL63">
        <v>230.4529703</v>
      </c>
      <c r="AM63">
        <v>235.27990009999999</v>
      </c>
      <c r="AN63">
        <v>237.24425049999999</v>
      </c>
      <c r="AO63">
        <v>239.81656630000001</v>
      </c>
      <c r="AP63">
        <v>242.57217689999999</v>
      </c>
      <c r="AQ63">
        <v>245.16483790000001</v>
      </c>
      <c r="AR63">
        <v>247.50169539999999</v>
      </c>
      <c r="AS63">
        <v>248.43939710000001</v>
      </c>
      <c r="AT63">
        <v>249.7431608</v>
      </c>
      <c r="AU63">
        <v>251.04520400000001</v>
      </c>
      <c r="AV63">
        <v>252.14992359999999</v>
      </c>
      <c r="AW63">
        <v>253.28837809999999</v>
      </c>
    </row>
    <row r="64" spans="2:49" x14ac:dyDescent="0.25">
      <c r="B64" t="s">
        <v>393</v>
      </c>
      <c r="C64" s="100">
        <v>4.0548006191711396E-3</v>
      </c>
      <c r="D64">
        <v>4.1199017546743504E-3</v>
      </c>
      <c r="E64">
        <v>7.6895356100000001E-3</v>
      </c>
      <c r="F64">
        <v>8.8243449599999906E-3</v>
      </c>
      <c r="G64">
        <v>6.5870947600000004E-3</v>
      </c>
      <c r="H64" s="100">
        <v>9.1429577499999998E-3</v>
      </c>
      <c r="I64">
        <v>1.2598369999999999E-2</v>
      </c>
      <c r="J64">
        <v>1.7112914100000001E-2</v>
      </c>
      <c r="K64">
        <v>2.0410246399999998E-2</v>
      </c>
      <c r="L64">
        <v>2.59705808E-2</v>
      </c>
      <c r="M64">
        <v>3.4339178999999997E-2</v>
      </c>
      <c r="N64">
        <v>4.1772179499999999E-2</v>
      </c>
      <c r="O64" s="100">
        <v>5.6842661099999997E-2</v>
      </c>
      <c r="P64">
        <v>7.7083949400000004E-2</v>
      </c>
      <c r="Q64" s="100">
        <v>0.1013765214</v>
      </c>
      <c r="R64" s="100">
        <v>0.13063648850000001</v>
      </c>
      <c r="S64" s="100">
        <v>0.1413354486</v>
      </c>
      <c r="T64">
        <v>0.1564603688</v>
      </c>
      <c r="U64">
        <v>0.1907106429</v>
      </c>
      <c r="V64">
        <v>0.23940264529999999</v>
      </c>
      <c r="W64">
        <v>0.28458120469999998</v>
      </c>
      <c r="X64">
        <v>0.32972783280000001</v>
      </c>
      <c r="Y64">
        <v>0.4254653739</v>
      </c>
      <c r="Z64">
        <v>0.50719193250000005</v>
      </c>
      <c r="AA64">
        <v>0.58502170009999999</v>
      </c>
      <c r="AB64">
        <v>0.65802546260000006</v>
      </c>
      <c r="AC64">
        <v>0.72587348409999997</v>
      </c>
      <c r="AD64">
        <v>0.79021359670000002</v>
      </c>
      <c r="AE64">
        <v>0.81191842410000004</v>
      </c>
      <c r="AF64">
        <v>0.84744109410000001</v>
      </c>
      <c r="AG64">
        <v>0.88627401120000004</v>
      </c>
      <c r="AH64">
        <v>0.8817232827</v>
      </c>
      <c r="AI64">
        <v>0.94253809389999998</v>
      </c>
      <c r="AJ64">
        <v>0.98938388320000004</v>
      </c>
      <c r="AK64">
        <v>1.027939186</v>
      </c>
      <c r="AL64">
        <v>1.061682665</v>
      </c>
      <c r="AM64">
        <v>1.0911713620000001</v>
      </c>
      <c r="AN64">
        <v>1.109977824</v>
      </c>
      <c r="AO64">
        <v>1.1320489869999999</v>
      </c>
      <c r="AP64">
        <v>1.1554418980000001</v>
      </c>
      <c r="AQ64">
        <v>1.178519074</v>
      </c>
      <c r="AR64">
        <v>1.2008112209999999</v>
      </c>
      <c r="AS64">
        <v>1.21668631</v>
      </c>
      <c r="AT64">
        <v>1.234674687</v>
      </c>
      <c r="AU64">
        <v>1.252989506</v>
      </c>
      <c r="AV64">
        <v>1.2706331909999999</v>
      </c>
      <c r="AW64">
        <v>1.288763224</v>
      </c>
    </row>
    <row r="65" spans="2:49" x14ac:dyDescent="0.25">
      <c r="B65" t="s">
        <v>394</v>
      </c>
      <c r="C65" s="100">
        <v>4.9816121892674002E-2</v>
      </c>
      <c r="D65" s="100">
        <v>5.0615935843142099E-2</v>
      </c>
      <c r="E65" s="100">
        <v>9.4471437500000005E-2</v>
      </c>
      <c r="F65" s="100">
        <v>0.150469886</v>
      </c>
      <c r="G65" s="100">
        <v>0.23566042670000001</v>
      </c>
      <c r="H65" s="100">
        <v>0.3658164431</v>
      </c>
      <c r="I65" s="100">
        <v>0.50103761960000004</v>
      </c>
      <c r="J65" s="100">
        <v>0.6704063737</v>
      </c>
      <c r="K65" s="100">
        <v>0.78484243269999998</v>
      </c>
      <c r="L65" s="100">
        <v>0.97428965810000001</v>
      </c>
      <c r="M65" s="100">
        <v>1.2447436300000001</v>
      </c>
      <c r="N65" s="100">
        <v>1.465669935</v>
      </c>
      <c r="O65" s="100">
        <v>1.940688969</v>
      </c>
      <c r="P65" s="100">
        <v>2.9229662410000001</v>
      </c>
      <c r="Q65" s="100">
        <v>3.7451084899999998</v>
      </c>
      <c r="R65" s="100">
        <v>4.6927164049999996</v>
      </c>
      <c r="S65" s="100">
        <v>4.9082208730000003</v>
      </c>
      <c r="T65" s="100">
        <v>5.2831436119999999</v>
      </c>
      <c r="U65" s="100">
        <v>5.3572704340000001</v>
      </c>
      <c r="V65" s="100">
        <v>5.9739125790000003</v>
      </c>
      <c r="W65" s="100">
        <v>6.8842299230000004</v>
      </c>
      <c r="X65" s="100">
        <v>7.732113805</v>
      </c>
      <c r="Y65" s="100">
        <v>9.6713694690000001</v>
      </c>
      <c r="Z65" s="100">
        <v>11.17584939</v>
      </c>
      <c r="AA65" s="100">
        <v>12.49666418</v>
      </c>
      <c r="AB65" s="100">
        <v>13.62779211</v>
      </c>
      <c r="AC65" s="100">
        <v>14.57667178</v>
      </c>
      <c r="AD65" s="100">
        <v>15.388972369999999</v>
      </c>
      <c r="AE65" s="100">
        <v>15.33554414</v>
      </c>
      <c r="AF65" s="100">
        <v>15.526962279999999</v>
      </c>
      <c r="AG65" s="100">
        <v>15.754184840000001</v>
      </c>
      <c r="AH65" s="100">
        <v>15.20865628</v>
      </c>
      <c r="AI65" s="100">
        <v>15.77982372</v>
      </c>
      <c r="AJ65" s="100">
        <v>16.082042770000001</v>
      </c>
      <c r="AK65" s="100">
        <v>16.228517759999999</v>
      </c>
      <c r="AL65" s="100">
        <v>16.286604109999999</v>
      </c>
      <c r="AM65" s="100">
        <v>16.27289713</v>
      </c>
      <c r="AN65" s="100">
        <v>15.970459119999999</v>
      </c>
      <c r="AO65" s="100">
        <v>15.730091420000001</v>
      </c>
      <c r="AP65" s="100">
        <v>15.5221701</v>
      </c>
      <c r="AQ65" s="100">
        <v>15.32481142</v>
      </c>
      <c r="AR65" s="100">
        <v>15.133511840000001</v>
      </c>
      <c r="AS65" s="100">
        <v>14.8810672</v>
      </c>
      <c r="AT65" s="100">
        <v>14.676151450000001</v>
      </c>
      <c r="AU65" s="100">
        <v>14.495945300000001</v>
      </c>
      <c r="AV65" s="100">
        <v>14.329078429999999</v>
      </c>
      <c r="AW65">
        <v>14.188201980000001</v>
      </c>
    </row>
    <row r="66" spans="2:49" x14ac:dyDescent="0.25">
      <c r="B66" t="s">
        <v>395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2:49" x14ac:dyDescent="0.25">
      <c r="B67" t="s">
        <v>396</v>
      </c>
      <c r="C67">
        <v>5.2121797950038999</v>
      </c>
      <c r="D67">
        <v>5.29586302754001</v>
      </c>
      <c r="E67">
        <v>5.3808898210000002</v>
      </c>
      <c r="F67">
        <v>5.4333735259999996</v>
      </c>
      <c r="G67">
        <v>4.4765585049999999</v>
      </c>
      <c r="H67">
        <v>3.8835830950000001</v>
      </c>
      <c r="I67">
        <v>3.7590803529999999</v>
      </c>
      <c r="J67">
        <v>3.5837179539999999</v>
      </c>
      <c r="K67">
        <v>3.455909809</v>
      </c>
      <c r="L67">
        <v>3.7090351789999998</v>
      </c>
      <c r="M67">
        <v>3.8184024750000001</v>
      </c>
      <c r="N67">
        <v>3.896642425</v>
      </c>
      <c r="O67">
        <v>3.004026809</v>
      </c>
      <c r="P67">
        <v>2.4920615640000001</v>
      </c>
      <c r="Q67">
        <v>2.1638498080000002</v>
      </c>
      <c r="R67">
        <v>1.958080042</v>
      </c>
      <c r="S67">
        <v>1.7896973410000001</v>
      </c>
      <c r="T67">
        <v>1.760025102</v>
      </c>
      <c r="U67">
        <v>1.7434572429999999</v>
      </c>
      <c r="V67">
        <v>1.7357094930000001</v>
      </c>
      <c r="W67">
        <v>1.7107903680000001</v>
      </c>
      <c r="X67">
        <v>1.6678686629999999</v>
      </c>
      <c r="Y67">
        <v>1.6731578309999999</v>
      </c>
      <c r="Z67">
        <v>1.6970816769999999</v>
      </c>
      <c r="AA67">
        <v>1.7255817899999999</v>
      </c>
      <c r="AB67">
        <v>1.7564906330000001</v>
      </c>
      <c r="AC67">
        <v>1.7903860789999999</v>
      </c>
      <c r="AD67">
        <v>1.8011666669999999</v>
      </c>
      <c r="AE67">
        <v>1.8141428369999999</v>
      </c>
      <c r="AF67">
        <v>1.8274211010000001</v>
      </c>
      <c r="AG67">
        <v>1.8419036280000001</v>
      </c>
      <c r="AH67">
        <v>1.8585838830000001</v>
      </c>
      <c r="AI67">
        <v>1.876483358</v>
      </c>
      <c r="AJ67">
        <v>1.895566283</v>
      </c>
      <c r="AK67">
        <v>1.916107512</v>
      </c>
      <c r="AL67">
        <v>1.9376314080000001</v>
      </c>
      <c r="AM67">
        <v>1.9596871899999999</v>
      </c>
      <c r="AN67">
        <v>1.9554316279999999</v>
      </c>
      <c r="AO67">
        <v>1.9467182409999999</v>
      </c>
      <c r="AP67">
        <v>1.935189856</v>
      </c>
      <c r="AQ67">
        <v>1.9222383329999999</v>
      </c>
      <c r="AR67">
        <v>1.907046953</v>
      </c>
      <c r="AS67">
        <v>1.9083362230000001</v>
      </c>
      <c r="AT67">
        <v>1.911933573</v>
      </c>
      <c r="AU67">
        <v>1.9156972670000001</v>
      </c>
      <c r="AV67">
        <v>1.919083332</v>
      </c>
      <c r="AW67">
        <v>1.923006072</v>
      </c>
    </row>
    <row r="68" spans="2:49" x14ac:dyDescent="0.25">
      <c r="B68" t="s">
        <v>397</v>
      </c>
      <c r="C68">
        <v>0.35839918454870201</v>
      </c>
      <c r="D68">
        <v>0.36415339938413299</v>
      </c>
      <c r="E68">
        <v>0.37</v>
      </c>
      <c r="F68">
        <v>0.36104416519999999</v>
      </c>
      <c r="G68">
        <v>0.35167955210000001</v>
      </c>
      <c r="H68">
        <v>0.34252428820000003</v>
      </c>
      <c r="I68">
        <v>0.3351020139</v>
      </c>
      <c r="J68">
        <v>0.32776384949999998</v>
      </c>
      <c r="K68">
        <v>0.31954872499999998</v>
      </c>
      <c r="L68">
        <v>0.31039964549999999</v>
      </c>
      <c r="M68">
        <v>0.30143637070000001</v>
      </c>
      <c r="N68" s="100">
        <v>0.29368456009999999</v>
      </c>
      <c r="O68" s="100">
        <v>0.28822183829999998</v>
      </c>
      <c r="P68" s="100">
        <v>0.2837556242</v>
      </c>
      <c r="Q68" s="100">
        <v>0.27871352729999999</v>
      </c>
      <c r="R68" s="100">
        <v>0.27116307210000001</v>
      </c>
      <c r="S68" s="100">
        <v>0.26291969450000002</v>
      </c>
      <c r="T68" s="100">
        <v>0.25390219250000001</v>
      </c>
      <c r="U68" s="100">
        <v>0.24509812180000001</v>
      </c>
      <c r="V68" s="100">
        <v>0.23618288600000001</v>
      </c>
      <c r="W68" s="100">
        <v>0.22807215729999999</v>
      </c>
      <c r="X68" s="100">
        <v>0.2205016316</v>
      </c>
      <c r="Y68" s="100">
        <v>0.2141145747</v>
      </c>
      <c r="Z68" s="100">
        <v>0.2086456424</v>
      </c>
      <c r="AA68" s="100">
        <v>0.20372755440000001</v>
      </c>
      <c r="AB68" s="100">
        <v>0.19920204899999999</v>
      </c>
      <c r="AC68" s="100">
        <v>0.19496785119999999</v>
      </c>
      <c r="AD68">
        <v>0.19097206680000001</v>
      </c>
      <c r="AE68">
        <v>0.1871716095</v>
      </c>
      <c r="AF68">
        <v>0.18353492199999999</v>
      </c>
      <c r="AG68">
        <v>0.1800417356</v>
      </c>
      <c r="AH68">
        <v>0.17667208879999999</v>
      </c>
      <c r="AI68">
        <v>0.17340791550000001</v>
      </c>
      <c r="AJ68">
        <v>0.17023828020000001</v>
      </c>
      <c r="AK68">
        <v>0.16715796799999999</v>
      </c>
      <c r="AL68">
        <v>0.1641597652</v>
      </c>
      <c r="AM68">
        <v>0.16123782819999999</v>
      </c>
      <c r="AN68">
        <v>0.1583678442</v>
      </c>
      <c r="AO68" s="100">
        <v>0.1554974959</v>
      </c>
      <c r="AP68" s="100">
        <v>0.15260856419999999</v>
      </c>
      <c r="AQ68" s="100">
        <v>0.14969997639999999</v>
      </c>
      <c r="AR68" s="100">
        <v>0.1467736472</v>
      </c>
      <c r="AS68" s="100">
        <v>0.143831986</v>
      </c>
      <c r="AT68" s="100">
        <v>0.1408710507</v>
      </c>
      <c r="AU68" s="100">
        <v>0.1378905051</v>
      </c>
      <c r="AV68" s="100">
        <v>0.1348920676</v>
      </c>
      <c r="AW68" s="100">
        <v>0.13192926769999999</v>
      </c>
    </row>
    <row r="69" spans="2:49" x14ac:dyDescent="0.25">
      <c r="B69" t="s">
        <v>398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100">
        <v>0</v>
      </c>
      <c r="O69" s="100">
        <v>0</v>
      </c>
      <c r="P69" s="100">
        <v>0</v>
      </c>
      <c r="Q69" s="100">
        <v>0</v>
      </c>
      <c r="R69" s="100">
        <v>0</v>
      </c>
      <c r="S69" s="100">
        <v>0</v>
      </c>
      <c r="T69" s="100">
        <v>0</v>
      </c>
      <c r="U69" s="100">
        <v>0</v>
      </c>
      <c r="V69" s="100">
        <v>0</v>
      </c>
      <c r="W69" s="100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2:49" x14ac:dyDescent="0.25">
      <c r="B70" t="s">
        <v>399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2:49" x14ac:dyDescent="0.25">
      <c r="B71" t="s">
        <v>400</v>
      </c>
      <c r="C71" s="100">
        <v>0</v>
      </c>
      <c r="D71" s="100">
        <v>0</v>
      </c>
      <c r="E71" s="100">
        <v>0</v>
      </c>
      <c r="F71" s="100">
        <v>0</v>
      </c>
      <c r="G71" s="100">
        <v>0</v>
      </c>
      <c r="H71" s="100">
        <v>0</v>
      </c>
      <c r="I71" s="100">
        <v>0</v>
      </c>
      <c r="J71" s="100">
        <v>0</v>
      </c>
      <c r="K71" s="100">
        <v>0</v>
      </c>
      <c r="L71" s="100">
        <v>0</v>
      </c>
      <c r="M71" s="100">
        <v>0</v>
      </c>
      <c r="N71" s="100">
        <v>0</v>
      </c>
      <c r="O71" s="100">
        <v>0</v>
      </c>
      <c r="P71" s="100">
        <v>0</v>
      </c>
      <c r="Q71" s="100">
        <v>0</v>
      </c>
      <c r="R71" s="100">
        <v>0</v>
      </c>
      <c r="S71" s="100">
        <v>0</v>
      </c>
      <c r="T71" s="100">
        <v>0</v>
      </c>
      <c r="U71" s="100">
        <v>0</v>
      </c>
      <c r="V71" s="100">
        <v>0</v>
      </c>
      <c r="W71" s="100">
        <v>0</v>
      </c>
      <c r="X71" s="100">
        <v>0</v>
      </c>
      <c r="Y71" s="100">
        <v>0</v>
      </c>
      <c r="Z71" s="100">
        <v>0</v>
      </c>
      <c r="AA71" s="100">
        <v>0</v>
      </c>
      <c r="AB71" s="100">
        <v>0</v>
      </c>
      <c r="AC71" s="100">
        <v>0</v>
      </c>
      <c r="AD71" s="100">
        <v>0</v>
      </c>
      <c r="AE71" s="100">
        <v>0</v>
      </c>
      <c r="AF71" s="100">
        <v>0</v>
      </c>
      <c r="AG71" s="100">
        <v>0</v>
      </c>
      <c r="AH71" s="100">
        <v>0</v>
      </c>
      <c r="AI71" s="100">
        <v>0</v>
      </c>
      <c r="AJ71" s="100">
        <v>0</v>
      </c>
      <c r="AK71" s="100">
        <v>0</v>
      </c>
      <c r="AL71" s="100">
        <v>0</v>
      </c>
      <c r="AM71" s="100">
        <v>0</v>
      </c>
      <c r="AN71" s="100">
        <v>0</v>
      </c>
      <c r="AO71" s="100">
        <v>0</v>
      </c>
      <c r="AP71" s="100">
        <v>0</v>
      </c>
      <c r="AQ71" s="100">
        <v>0</v>
      </c>
      <c r="AR71" s="100">
        <v>0</v>
      </c>
      <c r="AS71" s="100">
        <v>0</v>
      </c>
      <c r="AT71" s="100">
        <v>0</v>
      </c>
      <c r="AU71" s="100">
        <v>0</v>
      </c>
      <c r="AV71" s="100">
        <v>0</v>
      </c>
      <c r="AW71">
        <v>0</v>
      </c>
    </row>
    <row r="72" spans="2:49" x14ac:dyDescent="0.25">
      <c r="B72" t="s">
        <v>401</v>
      </c>
      <c r="C72">
        <v>2.1503951072922098</v>
      </c>
      <c r="D72">
        <v>2.1849203963048001</v>
      </c>
      <c r="E72">
        <v>2.2200000000000002</v>
      </c>
      <c r="F72">
        <v>2.2910498669999999</v>
      </c>
      <c r="G72">
        <v>2.1881597089999998</v>
      </c>
      <c r="H72">
        <v>2.3131563270000002</v>
      </c>
      <c r="I72">
        <v>2.3834038319999999</v>
      </c>
      <c r="J72">
        <v>2.2556878469999999</v>
      </c>
      <c r="K72">
        <v>2.1717798419999998</v>
      </c>
      <c r="L72">
        <v>2.1170983649999999</v>
      </c>
      <c r="M72">
        <v>2.2705745909999999</v>
      </c>
      <c r="N72">
        <v>2.4325525049999999</v>
      </c>
      <c r="O72">
        <v>2.5218308650000001</v>
      </c>
      <c r="P72">
        <v>2.5355813669999998</v>
      </c>
      <c r="Q72">
        <v>2.358517242</v>
      </c>
      <c r="R72">
        <v>2.3616340870000001</v>
      </c>
      <c r="S72">
        <v>2.3810507140000001</v>
      </c>
      <c r="T72">
        <v>2.3993895460000001</v>
      </c>
      <c r="U72">
        <v>2.4153703850000001</v>
      </c>
      <c r="V72">
        <v>2.4514626439999998</v>
      </c>
      <c r="W72">
        <v>2.468782354</v>
      </c>
      <c r="X72">
        <v>2.4704039560000002</v>
      </c>
      <c r="Y72">
        <v>2.4946969280000002</v>
      </c>
      <c r="Z72">
        <v>2.5284094189999999</v>
      </c>
      <c r="AA72">
        <v>2.5672024109999998</v>
      </c>
      <c r="AB72">
        <v>2.6071581799999999</v>
      </c>
      <c r="AC72">
        <v>2.6492024320000001</v>
      </c>
      <c r="AD72">
        <v>2.6878910029999998</v>
      </c>
      <c r="AE72">
        <v>2.7300710119999998</v>
      </c>
      <c r="AF72">
        <v>2.7733599180000001</v>
      </c>
      <c r="AG72">
        <v>2.8182090400000002</v>
      </c>
      <c r="AH72">
        <v>2.8681351410000002</v>
      </c>
      <c r="AI72">
        <v>2.9183141340000001</v>
      </c>
      <c r="AJ72">
        <v>2.9719612299999998</v>
      </c>
      <c r="AK72">
        <v>3.0267202960000001</v>
      </c>
      <c r="AL72">
        <v>3.083126568</v>
      </c>
      <c r="AM72">
        <v>3.14055281</v>
      </c>
      <c r="AN72">
        <v>3.1946998500000001</v>
      </c>
      <c r="AO72">
        <v>3.2491507959999999</v>
      </c>
      <c r="AP72">
        <v>3.3025263360000001</v>
      </c>
      <c r="AQ72">
        <v>3.3559001529999999</v>
      </c>
      <c r="AR72">
        <v>3.4087973950000001</v>
      </c>
      <c r="AS72">
        <v>3.4607426710000002</v>
      </c>
      <c r="AT72">
        <v>3.512998574</v>
      </c>
      <c r="AU72">
        <v>3.5660207349999999</v>
      </c>
      <c r="AV72">
        <v>3.619503114</v>
      </c>
      <c r="AW72">
        <v>3.6738586990000002</v>
      </c>
    </row>
    <row r="73" spans="2:49" x14ac:dyDescent="0.25">
      <c r="B73" t="s">
        <v>402</v>
      </c>
      <c r="C73">
        <v>17.283948650263198</v>
      </c>
      <c r="D73">
        <v>17.561448036494799</v>
      </c>
      <c r="E73">
        <v>17.843402770000001</v>
      </c>
      <c r="F73">
        <v>18.09939073</v>
      </c>
      <c r="G73">
        <v>16.94071907</v>
      </c>
      <c r="H73">
        <v>16.01818098</v>
      </c>
      <c r="I73">
        <v>14.925751379999999</v>
      </c>
      <c r="J73">
        <v>14.842106100000001</v>
      </c>
      <c r="K73">
        <v>13.696087110000001</v>
      </c>
      <c r="L73">
        <v>13.42595912</v>
      </c>
      <c r="M73">
        <v>13.72414317</v>
      </c>
      <c r="N73">
        <v>14.380357419999999</v>
      </c>
      <c r="O73">
        <v>13.525700970000001</v>
      </c>
      <c r="P73">
        <v>12.288308750000001</v>
      </c>
      <c r="Q73">
        <v>10.948094530000001</v>
      </c>
      <c r="R73">
        <v>10.09991583</v>
      </c>
      <c r="S73">
        <v>9.3519631719999996</v>
      </c>
      <c r="T73">
        <v>9.1116783550000005</v>
      </c>
      <c r="U73">
        <v>8.9250259599999904</v>
      </c>
      <c r="V73">
        <v>8.8019764219999903</v>
      </c>
      <c r="W73">
        <v>8.6699173320000007</v>
      </c>
      <c r="X73">
        <v>8.4629118049999903</v>
      </c>
      <c r="Y73">
        <v>8.5608023630000005</v>
      </c>
      <c r="Z73">
        <v>8.7883562879999904</v>
      </c>
      <c r="AA73">
        <v>9.0752565609999998</v>
      </c>
      <c r="AB73">
        <v>9.4061381449999999</v>
      </c>
      <c r="AC73">
        <v>9.7902504330000006</v>
      </c>
      <c r="AD73">
        <v>9.9059251279999998</v>
      </c>
      <c r="AE73">
        <v>10.03272816</v>
      </c>
      <c r="AF73">
        <v>10.160886680000001</v>
      </c>
      <c r="AG73">
        <v>10.29789491</v>
      </c>
      <c r="AH73">
        <v>10.44965841</v>
      </c>
      <c r="AI73">
        <v>10.6039683</v>
      </c>
      <c r="AJ73">
        <v>10.7639289</v>
      </c>
      <c r="AK73">
        <v>10.932214180000001</v>
      </c>
      <c r="AL73">
        <v>11.10578158</v>
      </c>
      <c r="AM73">
        <v>11.282176359999999</v>
      </c>
      <c r="AN73">
        <v>11.289422650000001</v>
      </c>
      <c r="AO73">
        <v>11.269557430000001</v>
      </c>
      <c r="AP73">
        <v>11.23949655</v>
      </c>
      <c r="AQ73">
        <v>11.209375469999999</v>
      </c>
      <c r="AR73">
        <v>11.17382578</v>
      </c>
      <c r="AS73">
        <v>11.228317479999999</v>
      </c>
      <c r="AT73">
        <v>11.299098369999999</v>
      </c>
      <c r="AU73">
        <v>11.37576524</v>
      </c>
      <c r="AV73">
        <v>11.45137317</v>
      </c>
      <c r="AW73">
        <v>11.535884830000001</v>
      </c>
    </row>
    <row r="74" spans="2:49" x14ac:dyDescent="0.25">
      <c r="B74" t="s">
        <v>403</v>
      </c>
      <c r="C74">
        <v>9.6518912203120095</v>
      </c>
      <c r="D74">
        <v>9.8068554558467902</v>
      </c>
      <c r="E74">
        <v>9.9643076920000002</v>
      </c>
      <c r="F74">
        <v>9.517511034</v>
      </c>
      <c r="G74">
        <v>8.8361318460000007</v>
      </c>
      <c r="H74">
        <v>9.0463648120000002</v>
      </c>
      <c r="I74">
        <v>8.4198485030000008</v>
      </c>
      <c r="J74">
        <v>7.8379351130000003</v>
      </c>
      <c r="K74">
        <v>7.4119266750000001</v>
      </c>
      <c r="L74">
        <v>7.2287033799999998</v>
      </c>
      <c r="M74">
        <v>7.0924019749999996</v>
      </c>
      <c r="N74">
        <v>7.174767203</v>
      </c>
      <c r="O74">
        <v>7.1602441690000003</v>
      </c>
      <c r="P74">
        <v>6.8967414180000004</v>
      </c>
      <c r="Q74">
        <v>6.5669774519999997</v>
      </c>
      <c r="R74">
        <v>6.5159331680000001</v>
      </c>
      <c r="S74">
        <v>6.2714561150000003</v>
      </c>
      <c r="T74">
        <v>6.0993810249999996</v>
      </c>
      <c r="U74">
        <v>5.9260819339999999</v>
      </c>
      <c r="V74">
        <v>5.7342240950000001</v>
      </c>
      <c r="W74">
        <v>5.5542096729999999</v>
      </c>
      <c r="X74">
        <v>5.3591721469999998</v>
      </c>
      <c r="Y74">
        <v>5.2659688249999999</v>
      </c>
      <c r="Z74">
        <v>5.1905740729999996</v>
      </c>
      <c r="AA74">
        <v>5.1247058550000002</v>
      </c>
      <c r="AB74">
        <v>5.0659278700000003</v>
      </c>
      <c r="AC74">
        <v>5.0112821780000001</v>
      </c>
      <c r="AD74">
        <v>4.9591504579999999</v>
      </c>
      <c r="AE74">
        <v>4.9098893529999996</v>
      </c>
      <c r="AF74">
        <v>4.8602248919999997</v>
      </c>
      <c r="AG74">
        <v>4.814608851</v>
      </c>
      <c r="AH74">
        <v>4.7686168110000002</v>
      </c>
      <c r="AI74">
        <v>4.7256105530000001</v>
      </c>
      <c r="AJ74">
        <v>4.6846376799999998</v>
      </c>
      <c r="AK74">
        <v>4.6457804070000002</v>
      </c>
      <c r="AL74">
        <v>4.6086204359999998</v>
      </c>
      <c r="AM74">
        <v>4.5737219119999999</v>
      </c>
      <c r="AN74">
        <v>4.5218518459999997</v>
      </c>
      <c r="AO74">
        <v>4.4687181650000003</v>
      </c>
      <c r="AP74">
        <v>4.4141937530000002</v>
      </c>
      <c r="AQ74">
        <v>4.358145081</v>
      </c>
      <c r="AR74">
        <v>4.2999694780000004</v>
      </c>
      <c r="AS74">
        <v>4.2368174139999999</v>
      </c>
      <c r="AT74">
        <v>4.1724380209999996</v>
      </c>
      <c r="AU74">
        <v>4.1071393609999998</v>
      </c>
      <c r="AV74">
        <v>4.0386135960000002</v>
      </c>
      <c r="AW74">
        <v>3.9697326749999999</v>
      </c>
    </row>
    <row r="75" spans="2:49" x14ac:dyDescent="0.25">
      <c r="B75" t="s">
        <v>404</v>
      </c>
      <c r="C75">
        <v>4.6065844460580001</v>
      </c>
      <c r="D75">
        <v>4.68054464938142</v>
      </c>
      <c r="E75">
        <v>4.7556923080000004</v>
      </c>
      <c r="F75">
        <v>4.8593875850000003</v>
      </c>
      <c r="G75">
        <v>4.6774654099999999</v>
      </c>
      <c r="H75">
        <v>4.6213727310000001</v>
      </c>
      <c r="I75">
        <v>4.5570436560000003</v>
      </c>
      <c r="J75" s="42">
        <v>4.3654949719999996</v>
      </c>
      <c r="K75">
        <v>4.1563463809999996</v>
      </c>
      <c r="L75">
        <v>4.0894768810000004</v>
      </c>
      <c r="M75">
        <v>4.1227220950000003</v>
      </c>
      <c r="N75">
        <v>4.2755145710000004</v>
      </c>
      <c r="O75">
        <v>4.0470276299999997</v>
      </c>
      <c r="P75">
        <v>3.7767108540000001</v>
      </c>
      <c r="Q75">
        <v>3.5229146469999999</v>
      </c>
      <c r="R75">
        <v>3.3331093269999998</v>
      </c>
      <c r="S75">
        <v>3.1173306090000001</v>
      </c>
      <c r="T75">
        <v>3.1102965010000001</v>
      </c>
      <c r="U75">
        <v>3.1162613220000002</v>
      </c>
      <c r="V75">
        <v>3.1213910880000002</v>
      </c>
      <c r="W75">
        <v>3.018070775</v>
      </c>
      <c r="X75">
        <v>2.9027526360000002</v>
      </c>
      <c r="Y75">
        <v>2.8093346829999999</v>
      </c>
      <c r="Z75">
        <v>2.726383835</v>
      </c>
      <c r="AA75">
        <v>2.6505897250000001</v>
      </c>
      <c r="AB75">
        <v>2.580853507</v>
      </c>
      <c r="AC75">
        <v>2.516092811</v>
      </c>
      <c r="AD75">
        <v>2.455384644</v>
      </c>
      <c r="AE75">
        <v>2.3985819089999998</v>
      </c>
      <c r="AF75">
        <v>2.3443373209999998</v>
      </c>
      <c r="AG75">
        <v>2.2938653869999999</v>
      </c>
      <c r="AH75">
        <v>2.2456288780000002</v>
      </c>
      <c r="AI75">
        <v>2.2002308899999998</v>
      </c>
      <c r="AJ75">
        <v>2.1574164499999999</v>
      </c>
      <c r="AK75">
        <v>2.1169727420000002</v>
      </c>
      <c r="AL75">
        <v>2.0785965339999999</v>
      </c>
      <c r="AM75">
        <v>2.042253476</v>
      </c>
      <c r="AN75">
        <v>2.0333019999999999</v>
      </c>
      <c r="AO75">
        <v>2.0294648180000001</v>
      </c>
      <c r="AP75">
        <v>2.026557178</v>
      </c>
      <c r="AQ75">
        <v>2.0236720969999999</v>
      </c>
      <c r="AR75">
        <v>2.020569509</v>
      </c>
      <c r="AS75">
        <v>2.0170034299999999</v>
      </c>
      <c r="AT75">
        <v>2.0132308499999998</v>
      </c>
      <c r="AU75">
        <v>2.009549888</v>
      </c>
      <c r="AV75">
        <v>2.0051537330000002</v>
      </c>
      <c r="AW75">
        <v>2.0002851530000001</v>
      </c>
    </row>
    <row r="76" spans="2:49" x14ac:dyDescent="0.25">
      <c r="B76" t="s">
        <v>405</v>
      </c>
      <c r="C76">
        <v>23.690015269078899</v>
      </c>
      <c r="D76">
        <v>24.070366126976499</v>
      </c>
      <c r="E76">
        <v>24.45682364</v>
      </c>
      <c r="F76">
        <v>24.569569619999999</v>
      </c>
      <c r="G76">
        <v>24.624710100000001</v>
      </c>
      <c r="H76">
        <v>24.808703179999998</v>
      </c>
      <c r="I76">
        <v>24.945291640000001</v>
      </c>
      <c r="J76">
        <v>25.023434380000001</v>
      </c>
      <c r="K76">
        <v>24.885860709999999</v>
      </c>
      <c r="L76">
        <v>24.677117899999999</v>
      </c>
      <c r="M76">
        <v>24.47528484</v>
      </c>
      <c r="N76">
        <v>24.202573730000001</v>
      </c>
      <c r="O76">
        <v>23.993328120000001</v>
      </c>
      <c r="P76">
        <v>23.971571839999999</v>
      </c>
      <c r="Q76">
        <v>23.95145935</v>
      </c>
      <c r="R76">
        <v>23.927119609999998</v>
      </c>
      <c r="S76">
        <v>23.698841340000001</v>
      </c>
      <c r="T76">
        <v>23.356612169999998</v>
      </c>
      <c r="U76">
        <v>22.858451039999998</v>
      </c>
      <c r="V76">
        <v>22.311646750000001</v>
      </c>
      <c r="W76">
        <v>21.76495787</v>
      </c>
      <c r="X76">
        <v>21.208999760000001</v>
      </c>
      <c r="Y76">
        <v>20.734595219999999</v>
      </c>
      <c r="Z76">
        <v>20.287001050000001</v>
      </c>
      <c r="AA76">
        <v>19.849111629999999</v>
      </c>
      <c r="AB76">
        <v>19.411357760000001</v>
      </c>
      <c r="AC76">
        <v>18.969340720000002</v>
      </c>
      <c r="AD76">
        <v>18.52326197</v>
      </c>
      <c r="AE76">
        <v>18.044976080000001</v>
      </c>
      <c r="AF76">
        <v>17.555802310000001</v>
      </c>
      <c r="AG76">
        <v>17.064532620000001</v>
      </c>
      <c r="AH76">
        <v>16.551796899999999</v>
      </c>
      <c r="AI76">
        <v>16.06010208</v>
      </c>
      <c r="AJ76">
        <v>15.582666850000001</v>
      </c>
      <c r="AK76">
        <v>15.11702721</v>
      </c>
      <c r="AL76">
        <v>14.66263734</v>
      </c>
      <c r="AM76">
        <v>14.219226799999999</v>
      </c>
      <c r="AN76">
        <v>13.77870296</v>
      </c>
      <c r="AO76">
        <v>13.344273319999999</v>
      </c>
      <c r="AP76">
        <v>12.91785889</v>
      </c>
      <c r="AQ76">
        <v>12.500448280000001</v>
      </c>
      <c r="AR76">
        <v>12.09264924</v>
      </c>
      <c r="AS76">
        <v>11.69329271</v>
      </c>
      <c r="AT76">
        <v>11.30368532</v>
      </c>
      <c r="AU76">
        <v>10.924392149999999</v>
      </c>
      <c r="AV76">
        <v>10.555578990000001</v>
      </c>
      <c r="AW76">
        <v>10.197592930000001</v>
      </c>
    </row>
    <row r="77" spans="2:49" x14ac:dyDescent="0.25">
      <c r="B77" t="s">
        <v>406</v>
      </c>
      <c r="C77">
        <v>20.7498358478441</v>
      </c>
      <c r="D77">
        <v>21.0829811741058</v>
      </c>
      <c r="E77">
        <v>21.430976439999998</v>
      </c>
      <c r="F77">
        <v>21.89397031</v>
      </c>
      <c r="G77">
        <v>21.069856980000001</v>
      </c>
      <c r="H77">
        <v>19.550411700000002</v>
      </c>
      <c r="I77">
        <v>19.937074639999999</v>
      </c>
      <c r="J77">
        <v>19.38902959</v>
      </c>
      <c r="K77">
        <v>19.569900619999999</v>
      </c>
      <c r="L77">
        <v>19.089461780000001</v>
      </c>
      <c r="M77">
        <v>19.026458349999999</v>
      </c>
      <c r="N77">
        <v>19.032668300000001</v>
      </c>
      <c r="O77">
        <v>18.853573709999999</v>
      </c>
      <c r="P77">
        <v>19.055951260000001</v>
      </c>
      <c r="Q77">
        <v>18.84438243</v>
      </c>
      <c r="R77">
        <v>18.72165</v>
      </c>
      <c r="S77">
        <v>18.553121019999999</v>
      </c>
      <c r="T77">
        <v>18.623181809999998</v>
      </c>
      <c r="U77">
        <v>18.724000279999998</v>
      </c>
      <c r="V77">
        <v>18.962112680000001</v>
      </c>
      <c r="W77">
        <v>19.149213280000001</v>
      </c>
      <c r="X77">
        <v>19.130491689999999</v>
      </c>
      <c r="Y77">
        <v>19.050104189999999</v>
      </c>
      <c r="Z77">
        <v>19.017796959999998</v>
      </c>
      <c r="AA77">
        <v>19.008352290000001</v>
      </c>
      <c r="AB77">
        <v>19.008689360000002</v>
      </c>
      <c r="AC77">
        <v>19.023622799999998</v>
      </c>
      <c r="AD77">
        <v>18.892498459999999</v>
      </c>
      <c r="AE77">
        <v>18.76640531</v>
      </c>
      <c r="AF77">
        <v>18.650288750000001</v>
      </c>
      <c r="AG77">
        <v>18.538385860000002</v>
      </c>
      <c r="AH77">
        <v>18.433826700000001</v>
      </c>
      <c r="AI77">
        <v>18.423378289999999</v>
      </c>
      <c r="AJ77">
        <v>18.417362879999999</v>
      </c>
      <c r="AK77">
        <v>18.414747559999999</v>
      </c>
      <c r="AL77">
        <v>18.414760789999999</v>
      </c>
      <c r="AM77">
        <v>18.412931990000001</v>
      </c>
      <c r="AN77">
        <v>18.555519239999999</v>
      </c>
      <c r="AO77">
        <v>18.70932479</v>
      </c>
      <c r="AP77">
        <v>18.86044618</v>
      </c>
      <c r="AQ77">
        <v>19.011655350000002</v>
      </c>
      <c r="AR77">
        <v>19.158909170000001</v>
      </c>
      <c r="AS77">
        <v>19.409946519999998</v>
      </c>
      <c r="AT77">
        <v>19.661014720000001</v>
      </c>
      <c r="AU77">
        <v>19.914775460000001</v>
      </c>
      <c r="AV77">
        <v>20.1716263</v>
      </c>
      <c r="AW77">
        <v>20.436996539999999</v>
      </c>
    </row>
    <row r="78" spans="2:49" x14ac:dyDescent="0.25">
      <c r="B78" t="s">
        <v>407</v>
      </c>
      <c r="C78">
        <v>0.28090746897060398</v>
      </c>
      <c r="D78">
        <v>0.28541752924702302</v>
      </c>
      <c r="E78">
        <v>0.28999999999999998</v>
      </c>
      <c r="F78">
        <v>0.30086265629999998</v>
      </c>
      <c r="G78">
        <v>0.303040431</v>
      </c>
      <c r="H78">
        <v>0.2949822184</v>
      </c>
      <c r="I78">
        <v>0.31062466589999999</v>
      </c>
      <c r="J78">
        <v>0.31350884979999999</v>
      </c>
      <c r="K78">
        <v>0.3204779666</v>
      </c>
      <c r="L78">
        <v>0.31185894310000001</v>
      </c>
      <c r="M78">
        <v>0.32329433419999998</v>
      </c>
      <c r="N78">
        <v>0.31578115810000001</v>
      </c>
      <c r="O78">
        <v>0.30271696520000002</v>
      </c>
      <c r="P78">
        <v>0.30828261439999999</v>
      </c>
      <c r="Q78">
        <v>0.30964533589999998</v>
      </c>
      <c r="R78">
        <v>0.30791722230000002</v>
      </c>
      <c r="S78">
        <v>0.31148359060000003</v>
      </c>
      <c r="T78">
        <v>0.31633573659999997</v>
      </c>
      <c r="U78">
        <v>0.3211921049</v>
      </c>
      <c r="V78">
        <v>0.32967227589999998</v>
      </c>
      <c r="W78">
        <v>0.33482911970000001</v>
      </c>
      <c r="X78">
        <v>0.33922344700000001</v>
      </c>
      <c r="Y78">
        <v>0.34183615569999998</v>
      </c>
      <c r="Z78">
        <v>0.34487635230000002</v>
      </c>
      <c r="AA78">
        <v>0.34843362410000001</v>
      </c>
      <c r="AB78">
        <v>0.35203517899999998</v>
      </c>
      <c r="AC78">
        <v>0.35592402750000002</v>
      </c>
      <c r="AD78">
        <v>0.35953624909999998</v>
      </c>
      <c r="AE78">
        <v>0.36364611050000001</v>
      </c>
      <c r="AF78">
        <v>0.368191608</v>
      </c>
      <c r="AG78">
        <v>0.37303784179999999</v>
      </c>
      <c r="AH78">
        <v>0.37872187829999998</v>
      </c>
      <c r="AI78">
        <v>0.38437623189999998</v>
      </c>
      <c r="AJ78">
        <v>0.390347738</v>
      </c>
      <c r="AK78">
        <v>0.39637961929999999</v>
      </c>
      <c r="AL78">
        <v>0.40261078210000001</v>
      </c>
      <c r="AM78">
        <v>0.4088634229</v>
      </c>
      <c r="AN78">
        <v>0.41554525209999998</v>
      </c>
      <c r="AO78">
        <v>0.42234764499999999</v>
      </c>
      <c r="AP78">
        <v>0.42896124209999997</v>
      </c>
      <c r="AQ78">
        <v>0.43552680760000001</v>
      </c>
      <c r="AR78">
        <v>0.44201607609999999</v>
      </c>
      <c r="AS78">
        <v>0.44854879949999998</v>
      </c>
      <c r="AT78">
        <v>0.45504106420000001</v>
      </c>
      <c r="AU78">
        <v>0.46167636969999998</v>
      </c>
      <c r="AV78">
        <v>0.46839288680000002</v>
      </c>
      <c r="AW78">
        <v>0.4752556215</v>
      </c>
    </row>
    <row r="79" spans="2:49" x14ac:dyDescent="0.25">
      <c r="B79" t="s">
        <v>408</v>
      </c>
      <c r="C79">
        <v>11.323476938849501</v>
      </c>
      <c r="D79">
        <v>11.5052790237851</v>
      </c>
      <c r="E79">
        <v>11.69</v>
      </c>
      <c r="F79">
        <v>11.904773280000001</v>
      </c>
      <c r="G79">
        <v>11.90253308</v>
      </c>
      <c r="H79">
        <v>10.439356889999999</v>
      </c>
      <c r="I79">
        <v>11.08076</v>
      </c>
      <c r="J79">
        <v>11.56822444</v>
      </c>
      <c r="K79">
        <v>11.425135859999999</v>
      </c>
      <c r="L79">
        <v>11.250561250000001</v>
      </c>
      <c r="M79">
        <v>11.19800541</v>
      </c>
      <c r="N79">
        <v>11.010772510000001</v>
      </c>
      <c r="O79">
        <v>10.29849317</v>
      </c>
      <c r="P79">
        <v>10.112607390000001</v>
      </c>
      <c r="Q79">
        <v>9.9815233689999996</v>
      </c>
      <c r="R79">
        <v>9.625087594</v>
      </c>
      <c r="S79">
        <v>9.3345402859999904</v>
      </c>
      <c r="T79">
        <v>9.4701094710000007</v>
      </c>
      <c r="U79">
        <v>9.6873318850000008</v>
      </c>
      <c r="V79">
        <v>10.01653067</v>
      </c>
      <c r="W79">
        <v>10.368522670000001</v>
      </c>
      <c r="X79">
        <v>10.72241586</v>
      </c>
      <c r="Y79">
        <v>10.94261597</v>
      </c>
      <c r="Z79">
        <v>11.217692899999999</v>
      </c>
      <c r="AA79">
        <v>11.540120630000001</v>
      </c>
      <c r="AB79">
        <v>11.904947440000001</v>
      </c>
      <c r="AC79">
        <v>12.32894387</v>
      </c>
      <c r="AD79">
        <v>12.45183364</v>
      </c>
      <c r="AE79">
        <v>12.59410111</v>
      </c>
      <c r="AF79">
        <v>12.74752677</v>
      </c>
      <c r="AG79">
        <v>12.916076289999999</v>
      </c>
      <c r="AH79">
        <v>13.10612512</v>
      </c>
      <c r="AI79">
        <v>13.308344119999999</v>
      </c>
      <c r="AJ79">
        <v>13.51806227</v>
      </c>
      <c r="AK79">
        <v>13.73503346</v>
      </c>
      <c r="AL79">
        <v>13.959297429999999</v>
      </c>
      <c r="AM79">
        <v>14.185976459999999</v>
      </c>
      <c r="AN79">
        <v>14.45967628</v>
      </c>
      <c r="AO79">
        <v>14.756942909999999</v>
      </c>
      <c r="AP79">
        <v>15.05765381</v>
      </c>
      <c r="AQ79">
        <v>15.36605322</v>
      </c>
      <c r="AR79">
        <v>15.6765531</v>
      </c>
      <c r="AS79">
        <v>15.966371110000001</v>
      </c>
      <c r="AT79">
        <v>16.250166350000001</v>
      </c>
      <c r="AU79">
        <v>16.543327949999998</v>
      </c>
      <c r="AV79">
        <v>16.838499559999999</v>
      </c>
      <c r="AW79">
        <v>17.1440895</v>
      </c>
    </row>
    <row r="80" spans="2:49" x14ac:dyDescent="0.25">
      <c r="B80" t="s">
        <v>409</v>
      </c>
      <c r="C80">
        <v>12.401465507675301</v>
      </c>
      <c r="D80">
        <v>12.6005750477687</v>
      </c>
      <c r="E80">
        <v>12.802881360000001</v>
      </c>
      <c r="F80">
        <v>12.979877220000001</v>
      </c>
      <c r="G80">
        <v>13.40611071</v>
      </c>
      <c r="H80">
        <v>13.15479509</v>
      </c>
      <c r="I80">
        <v>13.458592960000001</v>
      </c>
      <c r="J80">
        <v>13.849528279999999</v>
      </c>
      <c r="K80">
        <v>14.197373219999999</v>
      </c>
      <c r="L80">
        <v>14.26200624</v>
      </c>
      <c r="M80">
        <v>14.225634790000001</v>
      </c>
      <c r="N80">
        <v>14.024228150000001</v>
      </c>
      <c r="O80">
        <v>13.94650521</v>
      </c>
      <c r="P80">
        <v>14.181504459999999</v>
      </c>
      <c r="Q80">
        <v>14.610951119999999</v>
      </c>
      <c r="R80">
        <v>14.647023669999999</v>
      </c>
      <c r="S80">
        <v>14.695407400000001</v>
      </c>
      <c r="T80">
        <v>14.685056080000001</v>
      </c>
      <c r="U80">
        <v>14.79150267</v>
      </c>
      <c r="V80">
        <v>14.912745579999999</v>
      </c>
      <c r="W80">
        <v>15.01159457</v>
      </c>
      <c r="X80">
        <v>15.12564456</v>
      </c>
      <c r="Y80">
        <v>15.21504028</v>
      </c>
      <c r="Z80">
        <v>15.32552387</v>
      </c>
      <c r="AA80">
        <v>15.43924794</v>
      </c>
      <c r="AB80">
        <v>15.549865110000001</v>
      </c>
      <c r="AC80">
        <v>15.65703897</v>
      </c>
      <c r="AD80">
        <v>15.76434325</v>
      </c>
      <c r="AE80">
        <v>15.869805019999999</v>
      </c>
      <c r="AF80">
        <v>15.97495556</v>
      </c>
      <c r="AG80">
        <v>16.08159075</v>
      </c>
      <c r="AH80">
        <v>16.186967549999999</v>
      </c>
      <c r="AI80">
        <v>16.28752412</v>
      </c>
      <c r="AJ80">
        <v>16.381319619999999</v>
      </c>
      <c r="AK80">
        <v>16.470593449999999</v>
      </c>
      <c r="AL80">
        <v>16.555155280000001</v>
      </c>
      <c r="AM80">
        <v>16.63329521</v>
      </c>
      <c r="AN80">
        <v>16.720359299999998</v>
      </c>
      <c r="AO80">
        <v>16.79634046</v>
      </c>
      <c r="AP80">
        <v>16.861983670000001</v>
      </c>
      <c r="AQ80">
        <v>16.918517130000001</v>
      </c>
      <c r="AR80">
        <v>16.965295009999998</v>
      </c>
      <c r="AS80">
        <v>17.006403679999998</v>
      </c>
      <c r="AT80">
        <v>17.037587599999998</v>
      </c>
      <c r="AU80">
        <v>17.06338354</v>
      </c>
      <c r="AV80">
        <v>17.077110709999999</v>
      </c>
      <c r="AW80">
        <v>17.093452039999999</v>
      </c>
    </row>
    <row r="81" spans="2:49" x14ac:dyDescent="0.25">
      <c r="B81" t="s">
        <v>410</v>
      </c>
      <c r="C81">
        <v>10.826676236859401</v>
      </c>
      <c r="D81">
        <v>11.000502025829901</v>
      </c>
      <c r="E81">
        <v>11.17711864</v>
      </c>
      <c r="F81">
        <v>11.890026260000001</v>
      </c>
      <c r="G81">
        <v>12.51207323</v>
      </c>
      <c r="H81">
        <v>11.803011</v>
      </c>
      <c r="I81">
        <v>12.341002939999999</v>
      </c>
      <c r="J81">
        <v>12.921196500000001</v>
      </c>
      <c r="K81">
        <v>13.287962650000001</v>
      </c>
      <c r="L81">
        <v>13.381846899999999</v>
      </c>
      <c r="M81">
        <v>13.44844245</v>
      </c>
      <c r="N81">
        <v>13.311592879999999</v>
      </c>
      <c r="O81">
        <v>12.78583087</v>
      </c>
      <c r="P81">
        <v>12.8827547</v>
      </c>
      <c r="Q81">
        <v>13.309422469999999</v>
      </c>
      <c r="R81">
        <v>13.16857005</v>
      </c>
      <c r="S81">
        <v>12.975211910000001</v>
      </c>
      <c r="T81">
        <v>13.07153737</v>
      </c>
      <c r="U81">
        <v>13.110018159999999</v>
      </c>
      <c r="V81">
        <v>13.159087230000001</v>
      </c>
      <c r="W81">
        <v>13.43022264</v>
      </c>
      <c r="X81">
        <v>13.74261547</v>
      </c>
      <c r="Y81">
        <v>13.962426779999999</v>
      </c>
      <c r="Z81">
        <v>14.148641700000001</v>
      </c>
      <c r="AA81">
        <v>14.307640299999999</v>
      </c>
      <c r="AB81">
        <v>14.4397243</v>
      </c>
      <c r="AC81">
        <v>14.550137640000001</v>
      </c>
      <c r="AD81">
        <v>14.64472649</v>
      </c>
      <c r="AE81">
        <v>14.72256234</v>
      </c>
      <c r="AF81">
        <v>14.789098600000001</v>
      </c>
      <c r="AG81">
        <v>14.846966399999999</v>
      </c>
      <c r="AH81">
        <v>14.89394826</v>
      </c>
      <c r="AI81">
        <v>14.9257788</v>
      </c>
      <c r="AJ81">
        <v>14.94210685</v>
      </c>
      <c r="AK81">
        <v>14.945860789999999</v>
      </c>
      <c r="AL81">
        <v>14.939161820000001</v>
      </c>
      <c r="AM81">
        <v>14.92160631</v>
      </c>
      <c r="AN81">
        <v>14.77939267</v>
      </c>
      <c r="AO81">
        <v>14.60995434</v>
      </c>
      <c r="AP81">
        <v>14.43405239</v>
      </c>
      <c r="AQ81">
        <v>14.25649276</v>
      </c>
      <c r="AR81">
        <v>14.07844699</v>
      </c>
      <c r="AS81">
        <v>13.90063823</v>
      </c>
      <c r="AT81">
        <v>13.72122545</v>
      </c>
      <c r="AU81">
        <v>13.54659292</v>
      </c>
      <c r="AV81">
        <v>13.370940790000001</v>
      </c>
      <c r="AW81">
        <v>13.19566777</v>
      </c>
    </row>
    <row r="82" spans="2:49" x14ac:dyDescent="0.25">
      <c r="B82" t="s">
        <v>411</v>
      </c>
      <c r="C82">
        <v>4.42659733299524E-4</v>
      </c>
      <c r="D82">
        <v>4.4976677849999601E-4</v>
      </c>
      <c r="E82">
        <v>4.5698792999999998E-4</v>
      </c>
      <c r="F82">
        <v>1.13983208E-3</v>
      </c>
      <c r="G82">
        <v>2.1524777499999999E-3</v>
      </c>
      <c r="H82">
        <v>3.7845566500000001E-3</v>
      </c>
      <c r="I82">
        <v>5.9836367000000003E-3</v>
      </c>
      <c r="J82">
        <v>8.8590273299999998E-3</v>
      </c>
      <c r="K82">
        <v>1.2202362600000001E-2</v>
      </c>
      <c r="L82">
        <v>1.6437613399999999E-2</v>
      </c>
      <c r="M82">
        <v>2.2078781499999998E-2</v>
      </c>
      <c r="N82">
        <v>2.8859426000000001E-2</v>
      </c>
      <c r="O82">
        <v>3.8219499300000001E-2</v>
      </c>
      <c r="P82">
        <v>5.0436848999999999E-2</v>
      </c>
      <c r="Q82">
        <v>6.6180953900000006E-2</v>
      </c>
      <c r="R82">
        <v>8.6197971200000001E-2</v>
      </c>
      <c r="S82">
        <v>0.1093786896</v>
      </c>
      <c r="T82">
        <v>0.1349126131</v>
      </c>
      <c r="U82">
        <v>0.16593726440000001</v>
      </c>
      <c r="V82">
        <v>0.20525683450000001</v>
      </c>
      <c r="W82">
        <v>0.25235348670000002</v>
      </c>
      <c r="X82">
        <v>0.30708602670000001</v>
      </c>
      <c r="Y82">
        <v>0.37510128679999999</v>
      </c>
      <c r="Z82">
        <v>0.4557571561</v>
      </c>
      <c r="AA82">
        <v>0.54755181610000003</v>
      </c>
      <c r="AB82">
        <v>0.64888004779999997</v>
      </c>
      <c r="AC82">
        <v>0.75816053390000004</v>
      </c>
      <c r="AD82">
        <v>0.87430602339999997</v>
      </c>
      <c r="AE82">
        <v>0.9941532059</v>
      </c>
      <c r="AF82">
        <v>1.1160913699999999</v>
      </c>
      <c r="AG82">
        <v>1.2407913260000001</v>
      </c>
      <c r="AH82">
        <v>1.367120018</v>
      </c>
      <c r="AI82">
        <v>1.4937914480000001</v>
      </c>
      <c r="AJ82">
        <v>1.624986907</v>
      </c>
      <c r="AK82">
        <v>1.7588097490000001</v>
      </c>
      <c r="AL82">
        <v>1.894180317</v>
      </c>
      <c r="AM82">
        <v>2.0301768550000001</v>
      </c>
      <c r="AN82">
        <v>2.1660219120000002</v>
      </c>
      <c r="AO82">
        <v>2.3005719870000001</v>
      </c>
      <c r="AP82">
        <v>2.4341446219999998</v>
      </c>
      <c r="AQ82">
        <v>2.5666787339999999</v>
      </c>
      <c r="AR82">
        <v>2.6980076670000002</v>
      </c>
      <c r="AS82">
        <v>2.8281926209999999</v>
      </c>
      <c r="AT82">
        <v>2.9564008340000001</v>
      </c>
      <c r="AU82">
        <v>3.0827527880000001</v>
      </c>
      <c r="AV82">
        <v>3.2071313849999998</v>
      </c>
      <c r="AW82">
        <v>3.329694645</v>
      </c>
    </row>
    <row r="83" spans="2:49" x14ac:dyDescent="0.25">
      <c r="B83" t="s">
        <v>412</v>
      </c>
      <c r="C83">
        <v>1.1996237928359601</v>
      </c>
      <c r="D83">
        <v>1.2188841408592499</v>
      </c>
      <c r="E83">
        <v>1.2389114290000001</v>
      </c>
      <c r="F83">
        <v>1.2858676469999999</v>
      </c>
      <c r="G83">
        <v>1.264010056</v>
      </c>
      <c r="H83">
        <v>1.1129910890000001</v>
      </c>
      <c r="I83">
        <v>1.1662031150000001</v>
      </c>
      <c r="J83">
        <v>1.1822929929999999</v>
      </c>
      <c r="K83">
        <v>1.197727921</v>
      </c>
      <c r="L83">
        <v>1.19735668</v>
      </c>
      <c r="M83">
        <v>1.198228428</v>
      </c>
      <c r="N83">
        <v>1.1868995920000001</v>
      </c>
      <c r="O83">
        <v>1.18190602</v>
      </c>
      <c r="P83">
        <v>1.244765678</v>
      </c>
      <c r="Q83">
        <v>1.2761952059999999</v>
      </c>
      <c r="R83">
        <v>1.3138578949999999</v>
      </c>
      <c r="S83">
        <v>1.319073347</v>
      </c>
      <c r="T83">
        <v>1.3351524889999999</v>
      </c>
      <c r="U83">
        <v>1.3572444130000001</v>
      </c>
      <c r="V83">
        <v>1.387900081</v>
      </c>
      <c r="W83">
        <v>1.408442443</v>
      </c>
      <c r="X83">
        <v>1.450159014</v>
      </c>
      <c r="Y83">
        <v>1.50336125</v>
      </c>
      <c r="Z83">
        <v>1.5560589279999999</v>
      </c>
      <c r="AA83">
        <v>1.610613997</v>
      </c>
      <c r="AB83">
        <v>1.6661734699999999</v>
      </c>
      <c r="AC83">
        <v>1.7233951830000001</v>
      </c>
      <c r="AD83">
        <v>1.7973802699999999</v>
      </c>
      <c r="AE83">
        <v>1.8706525890000001</v>
      </c>
      <c r="AF83">
        <v>1.947663886</v>
      </c>
      <c r="AG83">
        <v>2.0273317820000001</v>
      </c>
      <c r="AH83">
        <v>2.1073810750000002</v>
      </c>
      <c r="AI83">
        <v>2.1825146119999999</v>
      </c>
      <c r="AJ83">
        <v>2.259128279</v>
      </c>
      <c r="AK83">
        <v>2.3375876990000002</v>
      </c>
      <c r="AL83">
        <v>2.4183019959999998</v>
      </c>
      <c r="AM83">
        <v>2.5007376909999999</v>
      </c>
      <c r="AN83">
        <v>2.5499668959999999</v>
      </c>
      <c r="AO83">
        <v>2.6017177459999998</v>
      </c>
      <c r="AP83">
        <v>2.65428548</v>
      </c>
      <c r="AQ83">
        <v>2.7079368220000002</v>
      </c>
      <c r="AR83">
        <v>2.7622380799999999</v>
      </c>
      <c r="AS83">
        <v>2.7917842849999999</v>
      </c>
      <c r="AT83">
        <v>2.8213656669999998</v>
      </c>
      <c r="AU83">
        <v>2.8514773029999998</v>
      </c>
      <c r="AV83">
        <v>2.8819571370000001</v>
      </c>
      <c r="AW83">
        <v>2.9135590050000002</v>
      </c>
    </row>
    <row r="84" spans="2:49" x14ac:dyDescent="0.25">
      <c r="B84" t="s">
        <v>413</v>
      </c>
      <c r="C84">
        <v>0.33902625565417799</v>
      </c>
      <c r="D84">
        <v>0.34446943184985501</v>
      </c>
      <c r="E84">
        <v>0.35</v>
      </c>
      <c r="F84">
        <v>0.36473996580000001</v>
      </c>
      <c r="G84">
        <v>0.3552308669</v>
      </c>
      <c r="H84">
        <v>0.35592960550000002</v>
      </c>
      <c r="I84">
        <v>0.3766239575</v>
      </c>
      <c r="J84">
        <v>0.36949365890000002</v>
      </c>
      <c r="K84">
        <v>0.361227929</v>
      </c>
      <c r="L84">
        <v>0.34713686490000001</v>
      </c>
      <c r="M84">
        <v>0.36236976030000001</v>
      </c>
      <c r="N84">
        <v>0.36471241319999997</v>
      </c>
      <c r="O84">
        <v>0.35996211909999998</v>
      </c>
      <c r="P84">
        <v>0.36121727980000001</v>
      </c>
      <c r="Q84">
        <v>0.33923906520000002</v>
      </c>
      <c r="R84">
        <v>0.3286191229</v>
      </c>
      <c r="S84">
        <v>0.33048569189999999</v>
      </c>
      <c r="T84">
        <v>0.3343275309</v>
      </c>
      <c r="U84">
        <v>0.33824240350000001</v>
      </c>
      <c r="V84">
        <v>0.34520123819999998</v>
      </c>
      <c r="W84">
        <v>0.35064628889999999</v>
      </c>
      <c r="X84">
        <v>0.35555284390000003</v>
      </c>
      <c r="Y84">
        <v>0.35894512379999999</v>
      </c>
      <c r="Z84">
        <v>0.362207059</v>
      </c>
      <c r="AA84">
        <v>0.36580522989999997</v>
      </c>
      <c r="AB84">
        <v>0.36949480270000001</v>
      </c>
      <c r="AC84">
        <v>0.37345168519999999</v>
      </c>
      <c r="AD84">
        <v>0.37692023470000002</v>
      </c>
      <c r="AE84">
        <v>0.38083079069999998</v>
      </c>
      <c r="AF84">
        <v>0.38507818090000001</v>
      </c>
      <c r="AG84">
        <v>0.38906535739999998</v>
      </c>
      <c r="AH84">
        <v>0.39386457419999998</v>
      </c>
      <c r="AI84">
        <v>0.39871469180000002</v>
      </c>
      <c r="AJ84">
        <v>0.40410536359999999</v>
      </c>
      <c r="AK84">
        <v>0.40963316589999998</v>
      </c>
      <c r="AL84">
        <v>0.41537792000000001</v>
      </c>
      <c r="AM84">
        <v>0.42120580089999998</v>
      </c>
      <c r="AN84">
        <v>0.42735892069999998</v>
      </c>
      <c r="AO84">
        <v>0.43384164460000002</v>
      </c>
      <c r="AP84">
        <v>0.44022348010000001</v>
      </c>
      <c r="AQ84">
        <v>0.44659515970000002</v>
      </c>
      <c r="AR84">
        <v>0.45292604440000001</v>
      </c>
      <c r="AS84">
        <v>0.45939624289999997</v>
      </c>
      <c r="AT84">
        <v>0.46599840660000003</v>
      </c>
      <c r="AU84">
        <v>0.47215098979999998</v>
      </c>
      <c r="AV84">
        <v>0.47869209899999998</v>
      </c>
      <c r="AW84">
        <v>0.4854678986</v>
      </c>
    </row>
    <row r="85" spans="2:49" x14ac:dyDescent="0.25">
      <c r="B85" t="s">
        <v>414</v>
      </c>
      <c r="C85">
        <v>12.8442518570697</v>
      </c>
      <c r="D85">
        <v>13.0504704752259</v>
      </c>
      <c r="E85">
        <v>13.26</v>
      </c>
      <c r="F85">
        <v>13.61065982</v>
      </c>
      <c r="G85">
        <v>13.14641524</v>
      </c>
      <c r="H85">
        <v>12.026076010000001</v>
      </c>
      <c r="I85">
        <v>12.501705250000001</v>
      </c>
      <c r="J85">
        <v>12.683419649999999</v>
      </c>
      <c r="K85">
        <v>12.02882382</v>
      </c>
      <c r="L85">
        <v>11.7391983</v>
      </c>
      <c r="M85">
        <v>11.802325809999999</v>
      </c>
      <c r="N85">
        <v>11.96556575</v>
      </c>
      <c r="O85">
        <v>12.152635350000001</v>
      </c>
      <c r="P85">
        <v>12.3875992</v>
      </c>
      <c r="Q85">
        <v>12.061069809999999</v>
      </c>
      <c r="R85">
        <v>11.90557357</v>
      </c>
      <c r="S85">
        <v>11.999934530000001</v>
      </c>
      <c r="T85">
        <v>12.105539950000001</v>
      </c>
      <c r="U85">
        <v>12.18399297</v>
      </c>
      <c r="V85">
        <v>12.343598439999999</v>
      </c>
      <c r="W85">
        <v>12.49606195</v>
      </c>
      <c r="X85">
        <v>12.590006109999999</v>
      </c>
      <c r="Y85">
        <v>12.75204254</v>
      </c>
      <c r="Z85">
        <v>13.00670384</v>
      </c>
      <c r="AA85">
        <v>13.313613589999999</v>
      </c>
      <c r="AB85">
        <v>13.66936555</v>
      </c>
      <c r="AC85">
        <v>14.08790319</v>
      </c>
      <c r="AD85">
        <v>14.182975170000001</v>
      </c>
      <c r="AE85" s="100">
        <v>14.29722636</v>
      </c>
      <c r="AF85" s="100">
        <v>14.421198130000001</v>
      </c>
      <c r="AG85">
        <v>14.54142163</v>
      </c>
      <c r="AH85">
        <v>14.685685729999999</v>
      </c>
      <c r="AI85">
        <v>14.837070049999999</v>
      </c>
      <c r="AJ85" s="100">
        <v>15.00106508</v>
      </c>
      <c r="AK85">
        <v>15.174913889999999</v>
      </c>
      <c r="AL85">
        <v>15.35660588</v>
      </c>
      <c r="AM85">
        <v>15.54217092</v>
      </c>
      <c r="AN85">
        <v>15.68060852</v>
      </c>
      <c r="AO85">
        <v>15.82447369</v>
      </c>
      <c r="AP85">
        <v>15.96055117</v>
      </c>
      <c r="AQ85">
        <v>16.09394696</v>
      </c>
      <c r="AR85">
        <v>16.2184575</v>
      </c>
      <c r="AS85">
        <v>16.383640960000001</v>
      </c>
      <c r="AT85">
        <v>16.555719490000001</v>
      </c>
      <c r="AU85">
        <v>16.716632629999999</v>
      </c>
      <c r="AV85">
        <v>16.88601122</v>
      </c>
      <c r="AW85">
        <v>17.06690304</v>
      </c>
    </row>
    <row r="86" spans="2:49" x14ac:dyDescent="0.25">
      <c r="B86" t="s">
        <v>415</v>
      </c>
      <c r="C86" s="100">
        <v>17.113958899133198</v>
      </c>
      <c r="D86">
        <v>17.388729044925601</v>
      </c>
      <c r="E86">
        <v>17.667910710000001</v>
      </c>
      <c r="F86">
        <v>17.707504910000001</v>
      </c>
      <c r="G86" s="100">
        <v>17.44505749</v>
      </c>
      <c r="H86">
        <v>17.246376810000001</v>
      </c>
      <c r="I86">
        <v>17.41379856</v>
      </c>
      <c r="J86">
        <v>17.226771719999999</v>
      </c>
      <c r="K86" s="100">
        <v>16.71502036</v>
      </c>
      <c r="L86" s="100">
        <v>16.360571069999999</v>
      </c>
      <c r="M86" s="100">
        <v>16.181147889999998</v>
      </c>
      <c r="N86">
        <v>16.106097219999999</v>
      </c>
      <c r="O86">
        <v>16.19059751</v>
      </c>
      <c r="P86">
        <v>16.01543852</v>
      </c>
      <c r="Q86">
        <v>15.34327032</v>
      </c>
      <c r="R86">
        <v>14.794415280000001</v>
      </c>
      <c r="S86">
        <v>14.49594183</v>
      </c>
      <c r="T86">
        <v>14.05571277</v>
      </c>
      <c r="U86">
        <v>13.758443310000001</v>
      </c>
      <c r="V86">
        <v>13.43400035</v>
      </c>
      <c r="W86">
        <v>13.237769719999999</v>
      </c>
      <c r="X86">
        <v>13.08286762</v>
      </c>
      <c r="Y86">
        <v>12.92886652</v>
      </c>
      <c r="Z86">
        <v>12.794217550000001</v>
      </c>
      <c r="AA86">
        <v>12.67795862</v>
      </c>
      <c r="AB86">
        <v>12.57665884</v>
      </c>
      <c r="AC86">
        <v>12.48270978</v>
      </c>
      <c r="AD86">
        <v>12.39468705</v>
      </c>
      <c r="AE86">
        <v>12.310769110000001</v>
      </c>
      <c r="AF86">
        <v>12.230029930000001</v>
      </c>
      <c r="AG86">
        <v>12.13677184</v>
      </c>
      <c r="AH86">
        <v>12.04949111</v>
      </c>
      <c r="AI86">
        <v>11.96395682</v>
      </c>
      <c r="AJ86">
        <v>11.883651710000001</v>
      </c>
      <c r="AK86">
        <v>11.804503540000001</v>
      </c>
      <c r="AL86">
        <v>11.72547148</v>
      </c>
      <c r="AM86">
        <v>11.647149750000001</v>
      </c>
      <c r="AN86">
        <v>11.56067863</v>
      </c>
      <c r="AO86">
        <v>11.4742683</v>
      </c>
      <c r="AP86">
        <v>11.382572379999999</v>
      </c>
      <c r="AQ86">
        <v>11.284942969999999</v>
      </c>
      <c r="AR86">
        <v>11.18186369</v>
      </c>
      <c r="AS86">
        <v>11.069353019999999</v>
      </c>
      <c r="AT86">
        <v>10.950711200000001</v>
      </c>
      <c r="AU86">
        <v>10.81218166</v>
      </c>
      <c r="AV86">
        <v>10.67641021</v>
      </c>
      <c r="AW86">
        <v>10.53979814</v>
      </c>
    </row>
    <row r="87" spans="2:49" x14ac:dyDescent="0.25">
      <c r="B87" t="s">
        <v>416</v>
      </c>
      <c r="C87" s="100">
        <v>5.6395460874857797</v>
      </c>
      <c r="D87" s="100">
        <v>5.7300908240832298</v>
      </c>
      <c r="E87" s="100">
        <v>5.8220892859999998</v>
      </c>
      <c r="F87">
        <v>6.3500911929999999</v>
      </c>
      <c r="G87">
        <v>6.6544176100000003</v>
      </c>
      <c r="H87">
        <v>6.9197815570000003</v>
      </c>
      <c r="I87">
        <v>7.5236335390000004</v>
      </c>
      <c r="J87">
        <v>7.8861240019999999</v>
      </c>
      <c r="K87">
        <v>7.9914568109999999</v>
      </c>
      <c r="L87">
        <v>8.2924989409999998</v>
      </c>
      <c r="M87">
        <v>8.8549721110000004</v>
      </c>
      <c r="N87">
        <v>9.7260670430000005</v>
      </c>
      <c r="O87">
        <v>9.9098752860000001</v>
      </c>
      <c r="P87">
        <v>9.649129318</v>
      </c>
      <c r="Q87">
        <v>8.8505115930000002</v>
      </c>
      <c r="R87">
        <v>8.2509530410000007</v>
      </c>
      <c r="S87">
        <v>7.9356529910000004</v>
      </c>
      <c r="T87">
        <v>7.8724660430000002</v>
      </c>
      <c r="U87">
        <v>7.7875307349999998</v>
      </c>
      <c r="V87">
        <v>7.6960613200000001</v>
      </c>
      <c r="W87">
        <v>7.7633821850000002</v>
      </c>
      <c r="X87">
        <v>7.869495336</v>
      </c>
      <c r="Y87">
        <v>7.9247394729999998</v>
      </c>
      <c r="Z87">
        <v>7.9463086880000002</v>
      </c>
      <c r="AA87">
        <v>7.9503475249999997</v>
      </c>
      <c r="AB87">
        <v>7.9439560030000003</v>
      </c>
      <c r="AC87">
        <v>7.9283858360000004</v>
      </c>
      <c r="AD87">
        <v>7.9031836660000003</v>
      </c>
      <c r="AE87">
        <v>7.8703395690000004</v>
      </c>
      <c r="AF87">
        <v>7.8330759089999997</v>
      </c>
      <c r="AG87">
        <v>7.7793370639999999</v>
      </c>
      <c r="AH87">
        <v>7.7228422490000002</v>
      </c>
      <c r="AI87">
        <v>7.6641154519999999</v>
      </c>
      <c r="AJ87">
        <v>7.6053195450000004</v>
      </c>
      <c r="AK87">
        <v>7.5444749890000002</v>
      </c>
      <c r="AL87">
        <v>7.4812304569999997</v>
      </c>
      <c r="AM87">
        <v>7.416252278</v>
      </c>
      <c r="AN87">
        <v>7.3013480819999996</v>
      </c>
      <c r="AO87">
        <v>7.1817422310000003</v>
      </c>
      <c r="AP87">
        <v>7.0630484740000004</v>
      </c>
      <c r="AQ87">
        <v>6.9461422610000003</v>
      </c>
      <c r="AR87">
        <v>6.831383937</v>
      </c>
      <c r="AS87">
        <v>6.7196724989999996</v>
      </c>
      <c r="AT87">
        <v>6.6113435620000001</v>
      </c>
      <c r="AU87" s="100">
        <v>6.4967003800000001</v>
      </c>
      <c r="AV87" s="100">
        <v>6.3884926430000002</v>
      </c>
      <c r="AW87">
        <v>6.283304051</v>
      </c>
    </row>
    <row r="88" spans="2:49" x14ac:dyDescent="0.25">
      <c r="B88" t="s">
        <v>417</v>
      </c>
      <c r="C88" s="100">
        <v>1.0609788529198101E-6</v>
      </c>
      <c r="D88" s="100">
        <v>1.0780132115867701E-6</v>
      </c>
      <c r="E88" s="100">
        <v>1.0953210600000001E-6</v>
      </c>
      <c r="F88" s="100">
        <v>1.1757854899999999E-6</v>
      </c>
      <c r="G88" s="100">
        <v>2.2552129800000001E-6</v>
      </c>
      <c r="H88" s="100">
        <v>3.34224438E-6</v>
      </c>
      <c r="I88" s="100">
        <v>4.3882707699999996E-6</v>
      </c>
      <c r="J88" s="100">
        <v>5.7868664700000002E-6</v>
      </c>
      <c r="K88" s="100">
        <v>7.1535312999999998E-6</v>
      </c>
      <c r="L88" s="100">
        <v>8.4134811400000006E-6</v>
      </c>
      <c r="M88" s="100">
        <v>9.6405749499999996E-6</v>
      </c>
      <c r="N88" s="100">
        <v>1.04523884E-5</v>
      </c>
      <c r="O88" s="100">
        <v>1.1200799E-5</v>
      </c>
      <c r="P88" s="100">
        <v>1.18188358E-5</v>
      </c>
      <c r="Q88" s="100">
        <v>1.3055677999999999E-5</v>
      </c>
      <c r="R88" s="100">
        <v>1.4376959300000001E-5</v>
      </c>
      <c r="S88" s="100">
        <v>1.6040599099999999E-5</v>
      </c>
      <c r="T88" s="100">
        <v>1.72183209E-5</v>
      </c>
      <c r="U88" s="100">
        <v>1.8981502700000001E-5</v>
      </c>
      <c r="V88" s="100">
        <v>2.10563097E-5</v>
      </c>
      <c r="W88" s="100">
        <v>2.30632631E-5</v>
      </c>
      <c r="X88" s="100">
        <v>2.4956561499999999E-5</v>
      </c>
      <c r="Y88" s="100">
        <v>2.7093378099999999E-5</v>
      </c>
      <c r="Z88" s="100">
        <v>2.9234822099999998E-5</v>
      </c>
      <c r="AA88" s="100">
        <v>3.1305162599999999E-5</v>
      </c>
      <c r="AB88" s="100">
        <v>3.3258377100000002E-5</v>
      </c>
      <c r="AC88" s="100">
        <v>3.5070203999999999E-5</v>
      </c>
      <c r="AD88" s="100">
        <v>3.6738995999999997E-5</v>
      </c>
      <c r="AE88" s="100">
        <v>3.8100843399999997E-5</v>
      </c>
      <c r="AF88" s="100">
        <v>3.9266737800000002E-5</v>
      </c>
      <c r="AG88" s="100">
        <v>4.0288039399999998E-5</v>
      </c>
      <c r="AH88" s="100">
        <v>4.1038748400000002E-5</v>
      </c>
      <c r="AI88" s="100">
        <v>4.1784126100000001E-5</v>
      </c>
      <c r="AJ88" s="100">
        <v>4.2488732300000001E-5</v>
      </c>
      <c r="AK88" s="100">
        <v>4.31352718E-5</v>
      </c>
      <c r="AL88" s="100">
        <v>4.3722381599999998E-5</v>
      </c>
      <c r="AM88" s="100">
        <v>4.42501617E-5</v>
      </c>
      <c r="AN88" s="100">
        <v>4.4718244700000003E-5</v>
      </c>
      <c r="AO88" s="100">
        <v>4.5147335500000001E-5</v>
      </c>
      <c r="AP88" s="100">
        <v>4.55492858E-5</v>
      </c>
      <c r="AQ88" s="100">
        <v>4.5930495699999998E-5</v>
      </c>
      <c r="AR88" s="100">
        <v>4.6295507699999998E-5</v>
      </c>
      <c r="AS88" s="100">
        <v>4.6636206100000001E-5</v>
      </c>
      <c r="AT88" s="100">
        <v>4.6964221299999999E-5</v>
      </c>
      <c r="AU88" s="100">
        <v>4.7285263399999998E-5</v>
      </c>
      <c r="AV88" s="100">
        <v>4.7601688000000003E-5</v>
      </c>
      <c r="AW88" s="100">
        <v>4.7918540300000003E-5</v>
      </c>
    </row>
    <row r="89" spans="2:49" x14ac:dyDescent="0.25">
      <c r="B89" t="s">
        <v>418</v>
      </c>
      <c r="C89">
        <v>0.26347077198670499</v>
      </c>
      <c r="D89">
        <v>0.26770088045298701</v>
      </c>
      <c r="E89">
        <v>0.2720608135</v>
      </c>
      <c r="F89">
        <v>0.30055099330000001</v>
      </c>
      <c r="G89">
        <v>0.29146188090000003</v>
      </c>
      <c r="H89">
        <v>0.23686500150000001</v>
      </c>
      <c r="I89">
        <v>0.2368365744</v>
      </c>
      <c r="J89">
        <v>0.23141923580000001</v>
      </c>
      <c r="K89">
        <v>0.24911136919999999</v>
      </c>
      <c r="L89">
        <v>0.24425771499999999</v>
      </c>
      <c r="M89">
        <v>0.2359309809</v>
      </c>
      <c r="N89">
        <v>0.22963468870000001</v>
      </c>
      <c r="O89">
        <v>0.21770873630000001</v>
      </c>
      <c r="P89">
        <v>0.2237292957</v>
      </c>
      <c r="Q89">
        <v>0.2295397854</v>
      </c>
      <c r="R89">
        <v>0.23865376760000001</v>
      </c>
      <c r="S89">
        <v>0.25527314309999999</v>
      </c>
      <c r="T89">
        <v>0.3136917998</v>
      </c>
      <c r="U89">
        <v>0.36254760079999998</v>
      </c>
      <c r="V89">
        <v>0.40524408239999998</v>
      </c>
      <c r="W89">
        <v>0.43754518019999999</v>
      </c>
      <c r="X89">
        <v>0.56802338399999996</v>
      </c>
      <c r="Y89">
        <v>0.71082562800000004</v>
      </c>
      <c r="Z89">
        <v>0.85793191729999996</v>
      </c>
      <c r="AA89">
        <v>1.0090644790000001</v>
      </c>
      <c r="AB89">
        <v>1.16407175</v>
      </c>
      <c r="AC89">
        <v>1.323630095</v>
      </c>
      <c r="AD89">
        <v>1.511383089</v>
      </c>
      <c r="AE89">
        <v>1.7023551610000001</v>
      </c>
      <c r="AF89">
        <v>1.897989508</v>
      </c>
      <c r="AG89">
        <v>2.0979259269999999</v>
      </c>
      <c r="AH89">
        <v>2.3023462289999999</v>
      </c>
      <c r="AI89">
        <v>2.4636310629999998</v>
      </c>
      <c r="AJ89">
        <v>2.629041381</v>
      </c>
      <c r="AK89">
        <v>2.7989722760000002</v>
      </c>
      <c r="AL89">
        <v>2.9735129950000001</v>
      </c>
      <c r="AM89">
        <v>3.152156701</v>
      </c>
      <c r="AN89">
        <v>3.2427000700000002</v>
      </c>
      <c r="AO89">
        <v>3.3370020509999998</v>
      </c>
      <c r="AP89">
        <v>3.432739953</v>
      </c>
      <c r="AQ89">
        <v>3.5305062399999998</v>
      </c>
      <c r="AR89">
        <v>3.6295142880000002</v>
      </c>
      <c r="AS89">
        <v>3.6773313660000002</v>
      </c>
      <c r="AT89">
        <v>3.725298462</v>
      </c>
      <c r="AU89">
        <v>3.7737619769999999</v>
      </c>
      <c r="AV89">
        <v>3.8228654020000001</v>
      </c>
      <c r="AW89">
        <v>3.8737947780000002</v>
      </c>
    </row>
    <row r="90" spans="2:49" x14ac:dyDescent="0.25">
      <c r="B90" t="s">
        <v>419</v>
      </c>
      <c r="C90">
        <v>2318131524.4374599</v>
      </c>
      <c r="D90">
        <v>2355349875.8831902</v>
      </c>
      <c r="E90" s="100">
        <v>2393165780</v>
      </c>
      <c r="F90" s="100">
        <v>2417743066</v>
      </c>
      <c r="G90" s="100">
        <v>2442572755</v>
      </c>
      <c r="H90">
        <v>2467657440</v>
      </c>
      <c r="I90" s="100">
        <v>2492999739</v>
      </c>
      <c r="J90" s="100">
        <v>2518602297</v>
      </c>
      <c r="K90" s="100">
        <v>2544467789</v>
      </c>
      <c r="L90" s="100">
        <v>2570598913</v>
      </c>
      <c r="M90" s="100">
        <v>2596998398</v>
      </c>
      <c r="N90">
        <v>2623669000</v>
      </c>
      <c r="O90">
        <v>2653988446</v>
      </c>
      <c r="P90">
        <v>2684658267</v>
      </c>
      <c r="Q90">
        <v>2715682513</v>
      </c>
      <c r="R90">
        <v>2745467125</v>
      </c>
      <c r="S90">
        <v>2775151740</v>
      </c>
      <c r="T90">
        <v>2804229571</v>
      </c>
      <c r="U90">
        <v>2833057577</v>
      </c>
      <c r="V90">
        <v>2863783189</v>
      </c>
      <c r="W90">
        <v>2894524521</v>
      </c>
      <c r="X90" s="100">
        <v>2924411523</v>
      </c>
      <c r="Y90">
        <v>2953544095</v>
      </c>
      <c r="Z90">
        <v>2981851909</v>
      </c>
      <c r="AA90">
        <v>3009484025</v>
      </c>
      <c r="AB90">
        <v>3036284686</v>
      </c>
      <c r="AC90">
        <v>3062184172</v>
      </c>
      <c r="AD90">
        <v>3087964217</v>
      </c>
      <c r="AE90">
        <v>3113483048</v>
      </c>
      <c r="AF90">
        <v>3138686341</v>
      </c>
      <c r="AG90">
        <v>3163564425</v>
      </c>
      <c r="AH90">
        <v>3188384924</v>
      </c>
      <c r="AI90">
        <v>3212818008</v>
      </c>
      <c r="AJ90">
        <v>3236712515</v>
      </c>
      <c r="AK90">
        <v>3260337894</v>
      </c>
      <c r="AL90">
        <v>3283638812</v>
      </c>
      <c r="AM90">
        <v>3306510935</v>
      </c>
      <c r="AN90">
        <v>3328474335</v>
      </c>
      <c r="AO90">
        <v>3349315510</v>
      </c>
      <c r="AP90">
        <v>3369011741</v>
      </c>
      <c r="AQ90">
        <v>3387834688</v>
      </c>
      <c r="AR90">
        <v>3405571666</v>
      </c>
      <c r="AS90">
        <v>3422253727</v>
      </c>
      <c r="AT90">
        <v>3438013091</v>
      </c>
      <c r="AU90">
        <v>3452736286</v>
      </c>
      <c r="AV90">
        <v>3466409026</v>
      </c>
      <c r="AW90">
        <v>3479017918</v>
      </c>
    </row>
    <row r="91" spans="2:49" x14ac:dyDescent="0.25">
      <c r="B91" t="s">
        <v>420</v>
      </c>
      <c r="C91" s="100">
        <v>640398.31806251395</v>
      </c>
      <c r="D91">
        <v>650680.12020171306</v>
      </c>
      <c r="E91">
        <v>661127</v>
      </c>
      <c r="F91">
        <v>1308886.115</v>
      </c>
      <c r="G91" s="100">
        <v>7437583.9869999997</v>
      </c>
      <c r="H91">
        <v>16210135.720000001</v>
      </c>
      <c r="I91">
        <v>25817886.460000001</v>
      </c>
      <c r="J91">
        <v>35748094.789999999</v>
      </c>
      <c r="K91" s="100">
        <v>46263741.509999998</v>
      </c>
      <c r="L91" s="100">
        <v>57280492.350000001</v>
      </c>
      <c r="M91">
        <v>69253499.079999998</v>
      </c>
      <c r="N91" s="100">
        <v>82163611.590000004</v>
      </c>
      <c r="O91">
        <v>96803709.25</v>
      </c>
      <c r="P91">
        <v>112433095.3</v>
      </c>
      <c r="Q91">
        <v>129771220.90000001</v>
      </c>
      <c r="R91">
        <v>149005807</v>
      </c>
      <c r="S91">
        <v>171831907.40000001</v>
      </c>
      <c r="T91">
        <v>196262163.30000001</v>
      </c>
      <c r="U91">
        <v>223918610.09999999</v>
      </c>
      <c r="V91">
        <v>252334827.59999999</v>
      </c>
      <c r="W91">
        <v>281730894.10000002</v>
      </c>
      <c r="X91">
        <v>309893824.69999999</v>
      </c>
      <c r="Y91">
        <v>338058564.80000001</v>
      </c>
      <c r="Z91">
        <v>364669685.89999998</v>
      </c>
      <c r="AA91">
        <v>390660627</v>
      </c>
      <c r="AB91">
        <v>416495779.39999998</v>
      </c>
      <c r="AC91">
        <v>442548627.89999998</v>
      </c>
      <c r="AD91">
        <v>469083643.60000002</v>
      </c>
      <c r="AE91">
        <v>496198790.39999998</v>
      </c>
      <c r="AF91">
        <v>523906033.5</v>
      </c>
      <c r="AG91">
        <v>552184229.70000005</v>
      </c>
      <c r="AH91">
        <v>581027484.79999995</v>
      </c>
      <c r="AI91" s="100">
        <v>610401251.89999998</v>
      </c>
      <c r="AJ91">
        <v>640280963.60000002</v>
      </c>
      <c r="AK91">
        <v>670703067.60000002</v>
      </c>
      <c r="AL91" s="100">
        <v>701705869.79999995</v>
      </c>
      <c r="AM91">
        <v>733319384</v>
      </c>
      <c r="AN91">
        <v>765505044.89999998</v>
      </c>
      <c r="AO91">
        <v>798223372.70000005</v>
      </c>
      <c r="AP91">
        <v>831461891.10000002</v>
      </c>
      <c r="AQ91">
        <v>865268226.89999998</v>
      </c>
      <c r="AR91" s="100">
        <v>899623205</v>
      </c>
      <c r="AS91">
        <v>934518736.70000005</v>
      </c>
      <c r="AT91">
        <v>969971150.39999998</v>
      </c>
      <c r="AU91">
        <v>1005953795</v>
      </c>
      <c r="AV91">
        <v>1042436821</v>
      </c>
      <c r="AW91">
        <v>1079371642</v>
      </c>
    </row>
    <row r="92" spans="2:49" x14ac:dyDescent="0.25">
      <c r="B92" t="s">
        <v>421</v>
      </c>
      <c r="C92" s="100">
        <v>41062689.603059798</v>
      </c>
      <c r="D92">
        <v>41721964.366740197</v>
      </c>
      <c r="E92">
        <v>42391824</v>
      </c>
      <c r="F92">
        <v>45375151.369999997</v>
      </c>
      <c r="G92" s="100">
        <v>44883522.770000003</v>
      </c>
      <c r="H92">
        <v>42712260.289999999</v>
      </c>
      <c r="I92">
        <v>40482986.119999997</v>
      </c>
      <c r="J92">
        <v>40115119.640000001</v>
      </c>
      <c r="K92" s="100">
        <v>41722256.759999998</v>
      </c>
      <c r="L92" s="100">
        <v>44898421.829999998</v>
      </c>
      <c r="M92">
        <v>48521268.909999996</v>
      </c>
      <c r="N92">
        <v>51589588.729999997</v>
      </c>
      <c r="O92">
        <v>52137330.350000001</v>
      </c>
      <c r="P92">
        <v>53051851.93</v>
      </c>
      <c r="Q92">
        <v>54658395.390000001</v>
      </c>
      <c r="R92">
        <v>59753383.57</v>
      </c>
      <c r="S92">
        <v>64165524.649999999</v>
      </c>
      <c r="T92">
        <v>69257488.25</v>
      </c>
      <c r="U92">
        <v>72512964.019999996</v>
      </c>
      <c r="V92">
        <v>76616066.079999998</v>
      </c>
      <c r="W92">
        <v>78376751.090000004</v>
      </c>
      <c r="X92">
        <v>80044136.150000006</v>
      </c>
      <c r="Y92">
        <v>79143680.159999996</v>
      </c>
      <c r="Z92">
        <v>77926863.090000004</v>
      </c>
      <c r="AA92">
        <v>77898503.950000003</v>
      </c>
      <c r="AB92">
        <v>78783405.260000005</v>
      </c>
      <c r="AC92">
        <v>80134241.810000002</v>
      </c>
      <c r="AD92">
        <v>81683799.359999999</v>
      </c>
      <c r="AE92">
        <v>83201729.230000004</v>
      </c>
      <c r="AF92">
        <v>84622095.659999996</v>
      </c>
      <c r="AG92">
        <v>85915718.200000003</v>
      </c>
      <c r="AH92">
        <v>87166102.239999995</v>
      </c>
      <c r="AI92">
        <v>88354715.819999903</v>
      </c>
      <c r="AJ92">
        <v>89514120.700000003</v>
      </c>
      <c r="AK92">
        <v>90752588.709999904</v>
      </c>
      <c r="AL92">
        <v>92068568.629999995</v>
      </c>
      <c r="AM92">
        <v>93430232.379999995</v>
      </c>
      <c r="AN92">
        <v>94750910.079999998</v>
      </c>
      <c r="AO92">
        <v>96046767.769999996</v>
      </c>
      <c r="AP92">
        <v>97343132.659999996</v>
      </c>
      <c r="AQ92">
        <v>98711109.950000003</v>
      </c>
      <c r="AR92">
        <v>100055441.59999999</v>
      </c>
      <c r="AS92">
        <v>101374337.3</v>
      </c>
      <c r="AT92">
        <v>102718020.90000001</v>
      </c>
      <c r="AU92">
        <v>104028745.2</v>
      </c>
      <c r="AV92">
        <v>105271670.90000001</v>
      </c>
      <c r="AW92">
        <v>106397852.59999999</v>
      </c>
    </row>
    <row r="93" spans="2:49" x14ac:dyDescent="0.25">
      <c r="B93" t="s">
        <v>422</v>
      </c>
      <c r="C93" s="100">
        <v>291506404.18067801</v>
      </c>
      <c r="D93" s="100">
        <v>296186633.79021603</v>
      </c>
      <c r="E93" s="100">
        <v>300942006</v>
      </c>
      <c r="F93" s="100">
        <v>326322345.19999999</v>
      </c>
      <c r="G93">
        <v>351533567.19999999</v>
      </c>
      <c r="H93">
        <v>375383798.69999999</v>
      </c>
      <c r="I93">
        <v>394397278.19999999</v>
      </c>
      <c r="J93">
        <v>412122733</v>
      </c>
      <c r="K93" s="100">
        <v>430863487.5</v>
      </c>
      <c r="L93" s="100">
        <v>451562771.10000002</v>
      </c>
      <c r="M93">
        <v>472172671.5</v>
      </c>
      <c r="N93">
        <v>490687426.89999998</v>
      </c>
      <c r="O93">
        <v>505949613.69999999</v>
      </c>
      <c r="P93">
        <v>519205841.19999999</v>
      </c>
      <c r="Q93">
        <v>533779045.30000001</v>
      </c>
      <c r="R93">
        <v>554001722.20000005</v>
      </c>
      <c r="S93">
        <v>575617397.60000002</v>
      </c>
      <c r="T93">
        <v>600124871.20000005</v>
      </c>
      <c r="U93">
        <v>623649635.39999998</v>
      </c>
      <c r="V93">
        <v>649121632</v>
      </c>
      <c r="W93">
        <v>672880774.39999998</v>
      </c>
      <c r="X93">
        <v>695982811.89999998</v>
      </c>
      <c r="Y93">
        <v>715533283.39999998</v>
      </c>
      <c r="Z93">
        <v>732695025.20000005</v>
      </c>
      <c r="AA93">
        <v>747455515</v>
      </c>
      <c r="AB93">
        <v>760372970.60000002</v>
      </c>
      <c r="AC93">
        <v>771935909.79999995</v>
      </c>
      <c r="AD93">
        <v>782779743.89999998</v>
      </c>
      <c r="AE93">
        <v>793055926.29999995</v>
      </c>
      <c r="AF93">
        <v>802845056.10000002</v>
      </c>
      <c r="AG93">
        <v>812177443.70000005</v>
      </c>
      <c r="AH93">
        <v>821164959.10000002</v>
      </c>
      <c r="AI93">
        <v>829688356.60000002</v>
      </c>
      <c r="AJ93">
        <v>837678094.79999995</v>
      </c>
      <c r="AK93">
        <v>845210010.29999995</v>
      </c>
      <c r="AL93">
        <v>852256419.29999995</v>
      </c>
      <c r="AM93">
        <v>858775881.89999998</v>
      </c>
      <c r="AN93">
        <v>864651388.79999995</v>
      </c>
      <c r="AO93">
        <v>869957731.39999998</v>
      </c>
      <c r="AP93">
        <v>874726368.29999995</v>
      </c>
      <c r="AQ93">
        <v>879035791.89999998</v>
      </c>
      <c r="AR93">
        <v>882791999.10000002</v>
      </c>
      <c r="AS93">
        <v>885981538.60000002</v>
      </c>
      <c r="AT93">
        <v>888641309.89999998</v>
      </c>
      <c r="AU93">
        <v>890717584.89999998</v>
      </c>
      <c r="AV93">
        <v>892186966.79999995</v>
      </c>
      <c r="AW93">
        <v>893009662.29999995</v>
      </c>
    </row>
    <row r="94" spans="2:49" x14ac:dyDescent="0.25">
      <c r="B94" t="s">
        <v>423</v>
      </c>
      <c r="C94" s="100">
        <v>640671991.67983496</v>
      </c>
      <c r="D94" s="100">
        <v>650958187.73748195</v>
      </c>
      <c r="E94" s="100">
        <v>661409532</v>
      </c>
      <c r="F94" s="100">
        <v>682074145.5</v>
      </c>
      <c r="G94" s="100">
        <v>703298653.10000002</v>
      </c>
      <c r="H94" s="100">
        <v>724719282.29999995</v>
      </c>
      <c r="I94" s="100">
        <v>743964222.5</v>
      </c>
      <c r="J94" s="100">
        <v>762766472.89999998</v>
      </c>
      <c r="K94" s="100">
        <v>782328765.10000002</v>
      </c>
      <c r="L94" s="100">
        <v>802439020.29999995</v>
      </c>
      <c r="M94" s="100">
        <v>821385586.89999998</v>
      </c>
      <c r="N94" s="100">
        <v>837870844.29999995</v>
      </c>
      <c r="O94" s="100">
        <v>852995906.89999998</v>
      </c>
      <c r="P94" s="100">
        <v>865142258.10000002</v>
      </c>
      <c r="Q94" s="100">
        <v>876874593.70000005</v>
      </c>
      <c r="R94" s="100">
        <v>887444678.70000005</v>
      </c>
      <c r="S94">
        <v>897114094.20000005</v>
      </c>
      <c r="T94">
        <v>904970057.60000002</v>
      </c>
      <c r="U94">
        <v>911898062.60000002</v>
      </c>
      <c r="V94">
        <v>918447483</v>
      </c>
      <c r="W94">
        <v>925236431.20000005</v>
      </c>
      <c r="X94">
        <v>931157809.5</v>
      </c>
      <c r="Y94">
        <v>937761040.10000002</v>
      </c>
      <c r="Z94">
        <v>943899662.89999998</v>
      </c>
      <c r="AA94" s="100">
        <v>949044695</v>
      </c>
      <c r="AB94" s="100">
        <v>952930682.89999998</v>
      </c>
      <c r="AC94" s="100">
        <v>955487943.39999998</v>
      </c>
      <c r="AD94" s="100">
        <v>957131771</v>
      </c>
      <c r="AE94" s="100">
        <v>957865080.5</v>
      </c>
      <c r="AF94" s="100">
        <v>957726221.20000005</v>
      </c>
      <c r="AG94" s="100">
        <v>956799880.20000005</v>
      </c>
      <c r="AH94" s="100">
        <v>955252733</v>
      </c>
      <c r="AI94" s="100">
        <v>952972154.29999995</v>
      </c>
      <c r="AJ94" s="100">
        <v>949891676.5</v>
      </c>
      <c r="AK94" s="100">
        <v>946080769.70000005</v>
      </c>
      <c r="AL94" s="100">
        <v>941487343.29999995</v>
      </c>
      <c r="AM94" s="100">
        <v>936056245.89999998</v>
      </c>
      <c r="AN94" s="100">
        <v>929629469.5</v>
      </c>
      <c r="AO94" s="100">
        <v>922179226.79999995</v>
      </c>
      <c r="AP94" s="100">
        <v>913722234.79999995</v>
      </c>
      <c r="AQ94" s="100">
        <v>904344966.39999998</v>
      </c>
      <c r="AR94" s="100">
        <v>894022601.39999998</v>
      </c>
      <c r="AS94" s="100">
        <v>882797456.10000002</v>
      </c>
      <c r="AT94" s="100">
        <v>870720293.39999998</v>
      </c>
      <c r="AU94" s="100">
        <v>857813965.79999995</v>
      </c>
      <c r="AV94" s="100">
        <v>844145162.60000002</v>
      </c>
      <c r="AW94">
        <v>831222505.60000002</v>
      </c>
    </row>
    <row r="95" spans="2:49" x14ac:dyDescent="0.25">
      <c r="B95" t="s">
        <v>424</v>
      </c>
      <c r="C95">
        <v>762047427.55376601</v>
      </c>
      <c r="D95">
        <v>774282345.494367</v>
      </c>
      <c r="E95">
        <v>786713699</v>
      </c>
      <c r="F95">
        <v>775671468.79999995</v>
      </c>
      <c r="G95" s="100">
        <v>763668620.5</v>
      </c>
      <c r="H95" s="100">
        <v>752041335.89999998</v>
      </c>
      <c r="I95" s="100">
        <v>743898624.60000002</v>
      </c>
      <c r="J95" s="100">
        <v>735562860</v>
      </c>
      <c r="K95" s="100">
        <v>725016030.20000005</v>
      </c>
      <c r="L95" s="100">
        <v>712031828.10000002</v>
      </c>
      <c r="M95" s="100">
        <v>698938282.29999995</v>
      </c>
      <c r="N95">
        <v>688091765</v>
      </c>
      <c r="O95">
        <v>682191874.79999995</v>
      </c>
      <c r="P95">
        <v>678311002.20000005</v>
      </c>
      <c r="Q95">
        <v>672611590.79999995</v>
      </c>
      <c r="R95">
        <v>660323893.70000005</v>
      </c>
      <c r="S95">
        <v>645949269.10000002</v>
      </c>
      <c r="T95">
        <v>628962392.70000005</v>
      </c>
      <c r="U95">
        <v>612057619.79999995</v>
      </c>
      <c r="V95">
        <v>594132583.39999998</v>
      </c>
      <c r="W95">
        <v>577759861.10000002</v>
      </c>
      <c r="X95">
        <v>562463626.89999998</v>
      </c>
      <c r="Y95">
        <v>549866814.79999995</v>
      </c>
      <c r="Z95">
        <v>539538001.5</v>
      </c>
      <c r="AA95">
        <v>530342886.89999998</v>
      </c>
      <c r="AB95">
        <v>521901195</v>
      </c>
      <c r="AC95">
        <v>513971411.89999998</v>
      </c>
      <c r="AD95">
        <v>506404498.69999999</v>
      </c>
      <c r="AE95">
        <v>499114750.80000001</v>
      </c>
      <c r="AF95">
        <v>492042887.10000002</v>
      </c>
      <c r="AG95" s="100">
        <v>485156840.80000001</v>
      </c>
      <c r="AH95" s="100">
        <v>478414053.80000001</v>
      </c>
      <c r="AI95">
        <v>471796635.19999999</v>
      </c>
      <c r="AJ95" s="100">
        <v>465297373.80000001</v>
      </c>
      <c r="AK95" s="100">
        <v>458908836</v>
      </c>
      <c r="AL95">
        <v>452628383.30000001</v>
      </c>
      <c r="AM95">
        <v>446456495.10000002</v>
      </c>
      <c r="AN95" s="100">
        <v>440349063.69999999</v>
      </c>
      <c r="AO95" s="100">
        <v>434167327.10000002</v>
      </c>
      <c r="AP95" s="100">
        <v>427863669</v>
      </c>
      <c r="AQ95" s="100">
        <v>421433141.80000001</v>
      </c>
      <c r="AR95" s="100">
        <v>414890460.10000002</v>
      </c>
      <c r="AS95">
        <v>408244896.5</v>
      </c>
      <c r="AT95">
        <v>401484456.60000002</v>
      </c>
      <c r="AU95">
        <v>394611452.60000002</v>
      </c>
      <c r="AV95">
        <v>387631744.30000001</v>
      </c>
      <c r="AW95">
        <v>380578286.89999998</v>
      </c>
    </row>
    <row r="96" spans="2:49" x14ac:dyDescent="0.25">
      <c r="B96" t="s">
        <v>425</v>
      </c>
      <c r="C96">
        <v>399231640.45290101</v>
      </c>
      <c r="D96">
        <v>405641433.57550502</v>
      </c>
      <c r="E96">
        <v>412154138</v>
      </c>
      <c r="F96">
        <v>406636351.10000002</v>
      </c>
      <c r="G96" s="100">
        <v>399947568.69999999</v>
      </c>
      <c r="H96" s="100">
        <v>393077986.5</v>
      </c>
      <c r="I96" s="100">
        <v>388073553.69999999</v>
      </c>
      <c r="J96" s="100">
        <v>382848156</v>
      </c>
      <c r="K96" s="100">
        <v>376062459.60000002</v>
      </c>
      <c r="L96" s="100">
        <v>367749165.80000001</v>
      </c>
      <c r="M96">
        <v>359349951.60000002</v>
      </c>
      <c r="N96">
        <v>352311583.80000001</v>
      </c>
      <c r="O96">
        <v>348096202.30000001</v>
      </c>
      <c r="P96">
        <v>345206877</v>
      </c>
      <c r="Q96">
        <v>341307848.39999998</v>
      </c>
      <c r="R96">
        <v>333908639.60000002</v>
      </c>
      <c r="S96">
        <v>325213772.19999999</v>
      </c>
      <c r="T96">
        <v>315305855.39999998</v>
      </c>
      <c r="U96">
        <v>305252288.60000002</v>
      </c>
      <c r="V96">
        <v>294800232.5</v>
      </c>
      <c r="W96">
        <v>285126482.30000001</v>
      </c>
      <c r="X96">
        <v>275999977.60000002</v>
      </c>
      <c r="Y96">
        <v>268220241</v>
      </c>
      <c r="Z96">
        <v>261606322.09999999</v>
      </c>
      <c r="AA96">
        <v>255660579.30000001</v>
      </c>
      <c r="AB96">
        <v>250201228.69999999</v>
      </c>
      <c r="AC96">
        <v>245105766.90000001</v>
      </c>
      <c r="AD96">
        <v>240291953.5</v>
      </c>
      <c r="AE96">
        <v>235706192</v>
      </c>
      <c r="AF96">
        <v>231307536.69999999</v>
      </c>
      <c r="AG96">
        <v>227068526.80000001</v>
      </c>
      <c r="AH96">
        <v>222958307</v>
      </c>
      <c r="AI96">
        <v>218959647.5</v>
      </c>
      <c r="AJ96">
        <v>215063551.09999999</v>
      </c>
      <c r="AK96">
        <v>211262623.80000001</v>
      </c>
      <c r="AL96">
        <v>207552236.90000001</v>
      </c>
      <c r="AM96">
        <v>203930500.5</v>
      </c>
      <c r="AN96">
        <v>200371115.80000001</v>
      </c>
      <c r="AO96">
        <v>196794400</v>
      </c>
      <c r="AP96">
        <v>193171453.80000001</v>
      </c>
      <c r="AQ96">
        <v>189497728.5</v>
      </c>
      <c r="AR96">
        <v>185779645.59999999</v>
      </c>
      <c r="AS96">
        <v>182021047.30000001</v>
      </c>
      <c r="AT96">
        <v>178214768.69999999</v>
      </c>
      <c r="AU96">
        <v>174362129.90000001</v>
      </c>
      <c r="AV96">
        <v>170466517</v>
      </c>
      <c r="AW96">
        <v>166544590.09999999</v>
      </c>
    </row>
    <row r="97" spans="2:49" x14ac:dyDescent="0.25">
      <c r="B97" t="s">
        <v>426</v>
      </c>
      <c r="C97">
        <v>182970972.649156</v>
      </c>
      <c r="D97" s="100">
        <v>185908630.79867601</v>
      </c>
      <c r="E97" s="100">
        <v>188893454</v>
      </c>
      <c r="F97" s="100">
        <v>180354717.80000001</v>
      </c>
      <c r="G97">
        <v>171803238.80000001</v>
      </c>
      <c r="H97">
        <v>163512640.40000001</v>
      </c>
      <c r="I97" s="100">
        <v>156365187.09999999</v>
      </c>
      <c r="J97" s="100">
        <v>149438861.09999999</v>
      </c>
      <c r="K97" s="100">
        <v>142211047.90000001</v>
      </c>
      <c r="L97" s="100">
        <v>134637213.40000001</v>
      </c>
      <c r="M97">
        <v>127377137.7</v>
      </c>
      <c r="N97">
        <v>120954179.8</v>
      </c>
      <c r="O97" s="100">
        <v>115813808.59999999</v>
      </c>
      <c r="P97">
        <v>111307341.40000001</v>
      </c>
      <c r="Q97">
        <v>106679818.3</v>
      </c>
      <c r="R97">
        <v>101029000.5</v>
      </c>
      <c r="S97">
        <v>95259774.459999904</v>
      </c>
      <c r="T97">
        <v>89346742.890000001</v>
      </c>
      <c r="U97">
        <v>83768396.439999998</v>
      </c>
      <c r="V97">
        <v>78330364.920000002</v>
      </c>
      <c r="W97">
        <v>73413326.840000004</v>
      </c>
      <c r="X97">
        <v>68869335.939999998</v>
      </c>
      <c r="Y97">
        <v>64960470.850000001</v>
      </c>
      <c r="Z97">
        <v>61516348.719999999</v>
      </c>
      <c r="AA97">
        <v>58421217.909999996</v>
      </c>
      <c r="AB97">
        <v>55599424.280000001</v>
      </c>
      <c r="AC97">
        <v>53000270.5</v>
      </c>
      <c r="AD97">
        <v>50588807.200000003</v>
      </c>
      <c r="AE97">
        <v>48340578.25</v>
      </c>
      <c r="AF97">
        <v>46236510.939999998</v>
      </c>
      <c r="AG97">
        <v>44261785.469999999</v>
      </c>
      <c r="AH97">
        <v>42401284.43</v>
      </c>
      <c r="AI97">
        <v>40645246.920000002</v>
      </c>
      <c r="AJ97">
        <v>38986734.710000001</v>
      </c>
      <c r="AK97">
        <v>37419997.530000001</v>
      </c>
      <c r="AL97">
        <v>35939990.880000003</v>
      </c>
      <c r="AM97">
        <v>34542194.890000001</v>
      </c>
      <c r="AN97">
        <v>33217342.280000001</v>
      </c>
      <c r="AO97">
        <v>31946684.030000001</v>
      </c>
      <c r="AP97">
        <v>30722991.010000002</v>
      </c>
      <c r="AQ97">
        <v>29543722.370000001</v>
      </c>
      <c r="AR97">
        <v>28408313.280000001</v>
      </c>
      <c r="AS97">
        <v>27315714.949999999</v>
      </c>
      <c r="AT97">
        <v>26263090.690000001</v>
      </c>
      <c r="AU97">
        <v>25248612.16</v>
      </c>
      <c r="AV97">
        <v>24270142.940000001</v>
      </c>
      <c r="AW97">
        <v>23328979.09</v>
      </c>
    </row>
    <row r="98" spans="2:49" x14ac:dyDescent="0.25">
      <c r="B98" s="62" t="s">
        <v>427</v>
      </c>
      <c r="C98">
        <v>651205.12405279896</v>
      </c>
      <c r="D98">
        <v>661660.432957732</v>
      </c>
      <c r="E98">
        <v>672283.60519999999</v>
      </c>
      <c r="F98">
        <v>690924.66559999995</v>
      </c>
      <c r="G98">
        <v>678581.71100000001</v>
      </c>
      <c r="H98">
        <v>619435.65870000003</v>
      </c>
      <c r="I98">
        <v>636180.69220000005</v>
      </c>
      <c r="J98">
        <v>653802.57869999995</v>
      </c>
      <c r="K98">
        <v>644454.95090000005</v>
      </c>
      <c r="L98">
        <v>636957.33299999998</v>
      </c>
      <c r="M98">
        <v>640329.71609999996</v>
      </c>
      <c r="N98">
        <v>649163.82010000001</v>
      </c>
      <c r="O98">
        <v>659683.12349999999</v>
      </c>
      <c r="P98">
        <v>687399.4203</v>
      </c>
      <c r="Q98">
        <v>700150.70160000003</v>
      </c>
      <c r="R98">
        <v>714944.25320000004</v>
      </c>
      <c r="S98">
        <v>718610.7794</v>
      </c>
      <c r="T98">
        <v>730887.62580000004</v>
      </c>
      <c r="U98">
        <v>739482.66500000004</v>
      </c>
      <c r="V98">
        <v>753571.03740000003</v>
      </c>
      <c r="W98">
        <v>805539.49280000001</v>
      </c>
      <c r="X98">
        <v>864570.27249999996</v>
      </c>
      <c r="Y98">
        <v>931937.09510000004</v>
      </c>
      <c r="Z98">
        <v>1014959.438</v>
      </c>
      <c r="AA98">
        <v>1114252.885</v>
      </c>
      <c r="AB98">
        <v>1231807.477</v>
      </c>
      <c r="AC98">
        <v>1371137.2109999999</v>
      </c>
      <c r="AD98">
        <v>1382389.0490000001</v>
      </c>
      <c r="AE98">
        <v>1395604.064</v>
      </c>
      <c r="AF98">
        <v>1409536.054</v>
      </c>
      <c r="AG98">
        <v>1424281.858</v>
      </c>
      <c r="AH98">
        <v>1441099.1240000001</v>
      </c>
      <c r="AI98">
        <v>1458709.7139999999</v>
      </c>
      <c r="AJ98">
        <v>1477467.094</v>
      </c>
      <c r="AK98">
        <v>1497174.517</v>
      </c>
      <c r="AL98">
        <v>1517670.9879999999</v>
      </c>
      <c r="AM98">
        <v>1538592.2849999999</v>
      </c>
      <c r="AN98">
        <v>1559757.3470000001</v>
      </c>
      <c r="AO98">
        <v>1582030.5449999999</v>
      </c>
      <c r="AP98">
        <v>1604238.2180000001</v>
      </c>
      <c r="AQ98">
        <v>1626661.071</v>
      </c>
      <c r="AR98">
        <v>1648870.095</v>
      </c>
      <c r="AS98">
        <v>1671469.699</v>
      </c>
      <c r="AT98">
        <v>1694047.273</v>
      </c>
      <c r="AU98">
        <v>1716890.2660000001</v>
      </c>
      <c r="AV98">
        <v>1739960.014</v>
      </c>
      <c r="AW98">
        <v>1763784.24</v>
      </c>
    </row>
    <row r="99" spans="2:49" x14ac:dyDescent="0.25">
      <c r="B99" t="s">
        <v>428</v>
      </c>
      <c r="C99">
        <v>11699515.674308199</v>
      </c>
      <c r="D99">
        <v>11887355.182774801</v>
      </c>
      <c r="E99">
        <v>12078210.52</v>
      </c>
      <c r="F99">
        <v>12394208.23</v>
      </c>
      <c r="G99">
        <v>12130936.02</v>
      </c>
      <c r="H99">
        <v>11018218.310000001</v>
      </c>
      <c r="I99">
        <v>11233802.220000001</v>
      </c>
      <c r="J99">
        <v>11656711.98</v>
      </c>
      <c r="K99">
        <v>11446952.24</v>
      </c>
      <c r="L99">
        <v>11263843.59</v>
      </c>
      <c r="M99">
        <v>11300821.92</v>
      </c>
      <c r="N99">
        <v>11409654.07</v>
      </c>
      <c r="O99">
        <v>11619492.98</v>
      </c>
      <c r="P99">
        <v>12136393.41</v>
      </c>
      <c r="Q99">
        <v>12362443.25</v>
      </c>
      <c r="R99">
        <v>12640256.91</v>
      </c>
      <c r="S99">
        <v>12773049.789999999</v>
      </c>
      <c r="T99">
        <v>13043589.380000001</v>
      </c>
      <c r="U99">
        <v>13151091.24</v>
      </c>
      <c r="V99">
        <v>13478758.42</v>
      </c>
      <c r="W99">
        <v>13539672.85</v>
      </c>
      <c r="X99">
        <v>13542410.9</v>
      </c>
      <c r="Y99">
        <v>13409041.59</v>
      </c>
      <c r="Z99">
        <v>13377174.310000001</v>
      </c>
      <c r="AA99">
        <v>13393585.5</v>
      </c>
      <c r="AB99">
        <v>13430527.67</v>
      </c>
      <c r="AC99">
        <v>13491527.98</v>
      </c>
      <c r="AD99">
        <v>13548807.23</v>
      </c>
      <c r="AE99" s="100">
        <v>13617052.99</v>
      </c>
      <c r="AF99" s="100">
        <v>13689048.189999999</v>
      </c>
      <c r="AG99">
        <v>13766039.970000001</v>
      </c>
      <c r="AH99">
        <v>13871672.039999999</v>
      </c>
      <c r="AI99">
        <v>13971452.18</v>
      </c>
      <c r="AJ99" s="100">
        <v>14067568.029999999</v>
      </c>
      <c r="AK99">
        <v>14184432.539999999</v>
      </c>
      <c r="AL99">
        <v>14304543.800000001</v>
      </c>
      <c r="AM99">
        <v>14422134.16</v>
      </c>
      <c r="AN99">
        <v>14519314.460000001</v>
      </c>
      <c r="AO99">
        <v>14623590.25</v>
      </c>
      <c r="AP99">
        <v>14726873.49</v>
      </c>
      <c r="AQ99">
        <v>14845284.42</v>
      </c>
      <c r="AR99">
        <v>14950729.460000001</v>
      </c>
      <c r="AS99">
        <v>15063920.33</v>
      </c>
      <c r="AT99">
        <v>15178902.539999999</v>
      </c>
      <c r="AU99">
        <v>15289663.57</v>
      </c>
      <c r="AV99">
        <v>15400714.93</v>
      </c>
      <c r="AW99">
        <v>15566352.970000001</v>
      </c>
    </row>
    <row r="100" spans="2:49" x14ac:dyDescent="0.25">
      <c r="B100" t="s">
        <v>429</v>
      </c>
      <c r="C100">
        <v>12350720.798361</v>
      </c>
      <c r="D100">
        <v>12549015.615732601</v>
      </c>
      <c r="E100">
        <v>12750494.119999999</v>
      </c>
      <c r="F100">
        <v>13085132.9</v>
      </c>
      <c r="G100" s="100">
        <v>12809517.73</v>
      </c>
      <c r="H100">
        <v>11637653.970000001</v>
      </c>
      <c r="I100">
        <v>11869982.91</v>
      </c>
      <c r="J100">
        <v>12310514.560000001</v>
      </c>
      <c r="K100" s="100">
        <v>12091407.189999999</v>
      </c>
      <c r="L100" s="100">
        <v>11900800.92</v>
      </c>
      <c r="M100" s="100">
        <v>11941151.640000001</v>
      </c>
      <c r="N100">
        <v>12058817.890000001</v>
      </c>
      <c r="O100">
        <v>12279176.1</v>
      </c>
      <c r="P100">
        <v>12823792.83</v>
      </c>
      <c r="Q100">
        <v>13062593.949999999</v>
      </c>
      <c r="R100">
        <v>13355201.16</v>
      </c>
      <c r="S100">
        <v>13491660.57</v>
      </c>
      <c r="T100">
        <v>13774477</v>
      </c>
      <c r="U100">
        <v>13890573.91</v>
      </c>
      <c r="V100">
        <v>14232329.460000001</v>
      </c>
      <c r="W100">
        <v>14345212.34</v>
      </c>
      <c r="X100">
        <v>14406981.17</v>
      </c>
      <c r="Y100">
        <v>14340978.68</v>
      </c>
      <c r="Z100">
        <v>14392133.75</v>
      </c>
      <c r="AA100">
        <v>14507838.380000001</v>
      </c>
      <c r="AB100">
        <v>14662335.15</v>
      </c>
      <c r="AC100">
        <v>14862665.189999999</v>
      </c>
      <c r="AD100">
        <v>14931196.279999999</v>
      </c>
      <c r="AE100">
        <v>15012657.050000001</v>
      </c>
      <c r="AF100">
        <v>15098584.25</v>
      </c>
      <c r="AG100">
        <v>15190321.83</v>
      </c>
      <c r="AH100">
        <v>15312771.17</v>
      </c>
      <c r="AI100">
        <v>15430161.9</v>
      </c>
      <c r="AJ100">
        <v>15545035.119999999</v>
      </c>
      <c r="AK100">
        <v>15681607.060000001</v>
      </c>
      <c r="AL100">
        <v>15822214.789999999</v>
      </c>
      <c r="AM100">
        <v>15960726.449999999</v>
      </c>
      <c r="AN100">
        <v>16079071.810000001</v>
      </c>
      <c r="AO100">
        <v>16205620.789999999</v>
      </c>
      <c r="AP100">
        <v>16331111.710000001</v>
      </c>
      <c r="AQ100">
        <v>16471945.49</v>
      </c>
      <c r="AR100">
        <v>16599599.550000001</v>
      </c>
      <c r="AS100">
        <v>16735390.029999999</v>
      </c>
      <c r="AT100">
        <v>16872949.809999999</v>
      </c>
      <c r="AU100">
        <v>17006553.829999998</v>
      </c>
      <c r="AV100">
        <v>17140674.940000001</v>
      </c>
      <c r="AW100">
        <v>17330137.210000001</v>
      </c>
    </row>
    <row r="101" spans="2:49" x14ac:dyDescent="0.25">
      <c r="B101" t="s">
        <v>430</v>
      </c>
      <c r="C101" s="100">
        <v>144913116.15770999</v>
      </c>
      <c r="D101" s="100">
        <v>147239743.11109701</v>
      </c>
      <c r="E101" s="100">
        <v>149603724.80000001</v>
      </c>
      <c r="F101">
        <v>146982394.30000001</v>
      </c>
      <c r="G101">
        <v>142850141.19999999</v>
      </c>
      <c r="H101">
        <v>142133273.19999999</v>
      </c>
      <c r="I101">
        <v>139426949.5</v>
      </c>
      <c r="J101">
        <v>136028972.5</v>
      </c>
      <c r="K101">
        <v>131909952.09999999</v>
      </c>
      <c r="L101">
        <v>128701546</v>
      </c>
      <c r="M101">
        <v>126040694</v>
      </c>
      <c r="N101">
        <v>124066949.59999999</v>
      </c>
      <c r="O101">
        <v>123320836.09999999</v>
      </c>
      <c r="P101">
        <v>121951433.7</v>
      </c>
      <c r="Q101">
        <v>119555050.40000001</v>
      </c>
      <c r="R101">
        <v>118198815.5</v>
      </c>
      <c r="S101">
        <v>116045332.3</v>
      </c>
      <c r="T101">
        <v>112545772.09999999</v>
      </c>
      <c r="U101">
        <v>108840209.09999999</v>
      </c>
      <c r="V101">
        <v>104927923.3</v>
      </c>
      <c r="W101">
        <v>103218638.09999999</v>
      </c>
      <c r="X101">
        <v>101425240.40000001</v>
      </c>
      <c r="Y101">
        <v>99241719.989999995</v>
      </c>
      <c r="Z101">
        <v>97230130.219999999</v>
      </c>
      <c r="AA101">
        <v>95310573.370000005</v>
      </c>
      <c r="AB101">
        <v>93433612.650000006</v>
      </c>
      <c r="AC101">
        <v>91571416.579999998</v>
      </c>
      <c r="AD101">
        <v>89750206.689999998</v>
      </c>
      <c r="AE101">
        <v>87851272.939999998</v>
      </c>
      <c r="AF101">
        <v>85927203.599999994</v>
      </c>
      <c r="AG101">
        <v>83990067.379999995</v>
      </c>
      <c r="AH101">
        <v>82000187.620000005</v>
      </c>
      <c r="AI101">
        <v>80177927.540000007</v>
      </c>
      <c r="AJ101">
        <v>78413899.359999999</v>
      </c>
      <c r="AK101">
        <v>76695030.299999997</v>
      </c>
      <c r="AL101">
        <v>75015805.959999904</v>
      </c>
      <c r="AM101">
        <v>73379022.409999996</v>
      </c>
      <c r="AN101">
        <v>71657552.569999903</v>
      </c>
      <c r="AO101">
        <v>69952462.420000002</v>
      </c>
      <c r="AP101">
        <v>68261707.519999996</v>
      </c>
      <c r="AQ101">
        <v>66587092.990000002</v>
      </c>
      <c r="AR101">
        <v>64929440.740000002</v>
      </c>
      <c r="AS101">
        <v>63267086.420000002</v>
      </c>
      <c r="AT101">
        <v>61624151.979999997</v>
      </c>
      <c r="AU101" s="100">
        <v>59985024.600000001</v>
      </c>
      <c r="AV101" s="100">
        <v>58373885.159999996</v>
      </c>
      <c r="AW101">
        <v>56795737.270000003</v>
      </c>
    </row>
    <row r="102" spans="2:49" x14ac:dyDescent="0.25">
      <c r="B102" t="s">
        <v>431</v>
      </c>
      <c r="C102" s="100">
        <v>1098851.8998263199</v>
      </c>
      <c r="D102" s="100">
        <v>1116494.32251175</v>
      </c>
      <c r="E102" s="100">
        <v>1134420</v>
      </c>
      <c r="F102" s="100">
        <v>1106961.4110000001</v>
      </c>
      <c r="G102" s="100">
        <v>1078249.507</v>
      </c>
      <c r="H102" s="100">
        <v>1050179.4680000001</v>
      </c>
      <c r="I102">
        <v>1027422.775</v>
      </c>
      <c r="J102" s="100">
        <v>1004923.963</v>
      </c>
      <c r="K102" s="100">
        <v>979736.39080000005</v>
      </c>
      <c r="L102" s="100">
        <v>951685.31299999997</v>
      </c>
      <c r="M102" s="100">
        <v>924203.91240000003</v>
      </c>
      <c r="N102" s="100">
        <v>900436.86140000005</v>
      </c>
      <c r="O102">
        <v>883688.15619999997</v>
      </c>
      <c r="P102">
        <v>869994.74369999999</v>
      </c>
      <c r="Q102">
        <v>854535.67469999997</v>
      </c>
      <c r="R102">
        <v>831385.97900000005</v>
      </c>
      <c r="S102">
        <v>806111.78319999995</v>
      </c>
      <c r="T102">
        <v>778464.12219999998</v>
      </c>
      <c r="U102">
        <v>751470.84140000003</v>
      </c>
      <c r="V102">
        <v>724136.72829999996</v>
      </c>
      <c r="W102">
        <v>699269.23430000001</v>
      </c>
      <c r="X102">
        <v>676058.00249999994</v>
      </c>
      <c r="Y102">
        <v>656475.28610000003</v>
      </c>
      <c r="Z102">
        <v>639707.53969999996</v>
      </c>
      <c r="AA102">
        <v>624628.68189999997</v>
      </c>
      <c r="AB102">
        <v>610753.48219999997</v>
      </c>
      <c r="AC102">
        <v>597771.43169999996</v>
      </c>
      <c r="AD102">
        <v>585520.3567</v>
      </c>
      <c r="AE102">
        <v>573868.15460000001</v>
      </c>
      <c r="AF102">
        <v>562718.07090000005</v>
      </c>
      <c r="AG102">
        <v>552007.96140000003</v>
      </c>
      <c r="AH102">
        <v>541676.62430000002</v>
      </c>
      <c r="AI102">
        <v>531668.66899999999</v>
      </c>
      <c r="AJ102">
        <v>521950.56709999999</v>
      </c>
      <c r="AK102">
        <v>512506.33</v>
      </c>
      <c r="AL102">
        <v>503313.84</v>
      </c>
      <c r="AM102">
        <v>494355.18119999999</v>
      </c>
      <c r="AN102">
        <v>485555.81040000002</v>
      </c>
      <c r="AO102">
        <v>476755.3223</v>
      </c>
      <c r="AP102">
        <v>467897.8579</v>
      </c>
      <c r="AQ102">
        <v>458980.12780000002</v>
      </c>
      <c r="AR102">
        <v>450008.00229999999</v>
      </c>
      <c r="AS102">
        <v>440988.86900000001</v>
      </c>
      <c r="AT102">
        <v>431910.64130000002</v>
      </c>
      <c r="AU102">
        <v>422772.28860000003</v>
      </c>
      <c r="AV102">
        <v>413579.07939999999</v>
      </c>
      <c r="AW102">
        <v>404495.13459999999</v>
      </c>
    </row>
    <row r="103" spans="2:49" x14ac:dyDescent="0.25">
      <c r="B103" t="s">
        <v>432</v>
      </c>
      <c r="C103">
        <v>1098851.8998263199</v>
      </c>
      <c r="D103">
        <v>1116494.32251175</v>
      </c>
      <c r="E103">
        <v>1134420</v>
      </c>
      <c r="F103">
        <v>1106961.4110000001</v>
      </c>
      <c r="G103">
        <v>1078249.507</v>
      </c>
      <c r="H103">
        <v>1050179.4680000001</v>
      </c>
      <c r="I103">
        <v>1027422.775</v>
      </c>
      <c r="J103">
        <v>1004923.963</v>
      </c>
      <c r="K103">
        <v>979736.39080000005</v>
      </c>
      <c r="L103">
        <v>951685.31299999997</v>
      </c>
      <c r="M103">
        <v>924203.91240000003</v>
      </c>
      <c r="N103">
        <v>900436.86140000005</v>
      </c>
      <c r="O103">
        <v>883688.15619999997</v>
      </c>
      <c r="P103">
        <v>869994.74369999999</v>
      </c>
      <c r="Q103">
        <v>854535.67469999997</v>
      </c>
      <c r="R103">
        <v>831385.97900000005</v>
      </c>
      <c r="S103">
        <v>806111.78319999995</v>
      </c>
      <c r="T103">
        <v>778464.12219999998</v>
      </c>
      <c r="U103">
        <v>751470.84140000003</v>
      </c>
      <c r="V103">
        <v>724136.72829999996</v>
      </c>
      <c r="W103">
        <v>699269.23430000001</v>
      </c>
      <c r="X103">
        <v>676058.00249999994</v>
      </c>
      <c r="Y103">
        <v>656475.28610000003</v>
      </c>
      <c r="Z103">
        <v>639707.53969999996</v>
      </c>
      <c r="AA103">
        <v>624628.68189999997</v>
      </c>
      <c r="AB103">
        <v>610753.48219999997</v>
      </c>
      <c r="AC103">
        <v>597771.43169999996</v>
      </c>
      <c r="AD103">
        <v>585520.3567</v>
      </c>
      <c r="AE103">
        <v>573868.15460000001</v>
      </c>
      <c r="AF103">
        <v>562718.07090000005</v>
      </c>
      <c r="AG103">
        <v>552007.96140000003</v>
      </c>
      <c r="AH103">
        <v>541676.62430000002</v>
      </c>
      <c r="AI103">
        <v>531668.66899999999</v>
      </c>
      <c r="AJ103">
        <v>521950.56709999999</v>
      </c>
      <c r="AK103">
        <v>512506.33</v>
      </c>
      <c r="AL103">
        <v>503313.84</v>
      </c>
      <c r="AM103">
        <v>494355.18119999999</v>
      </c>
      <c r="AN103">
        <v>485555.81040000002</v>
      </c>
      <c r="AO103">
        <v>476755.3223</v>
      </c>
      <c r="AP103">
        <v>467897.8579</v>
      </c>
      <c r="AQ103">
        <v>458980.12780000002</v>
      </c>
      <c r="AR103">
        <v>450008.00229999999</v>
      </c>
      <c r="AS103">
        <v>440988.86900000001</v>
      </c>
      <c r="AT103">
        <v>431910.64130000002</v>
      </c>
      <c r="AU103">
        <v>422772.28860000003</v>
      </c>
      <c r="AV103">
        <v>413579.07939999999</v>
      </c>
      <c r="AW103">
        <v>404495.13459999999</v>
      </c>
    </row>
    <row r="104" spans="2:49" x14ac:dyDescent="0.25">
      <c r="B104" t="s">
        <v>433</v>
      </c>
      <c r="C104" s="100">
        <v>105875266.531468</v>
      </c>
      <c r="D104">
        <v>107575128.18195701</v>
      </c>
      <c r="E104">
        <v>109302281.7</v>
      </c>
      <c r="F104">
        <v>107797187.3</v>
      </c>
      <c r="G104" s="100">
        <v>105382384</v>
      </c>
      <c r="H104">
        <v>106186273.09999999</v>
      </c>
      <c r="I104">
        <v>104220025.5</v>
      </c>
      <c r="J104">
        <v>102225069.40000001</v>
      </c>
      <c r="K104" s="100">
        <v>100059438.2</v>
      </c>
      <c r="L104" s="100">
        <v>98439352.969999999</v>
      </c>
      <c r="M104">
        <v>96996288.180000007</v>
      </c>
      <c r="N104" s="100">
        <v>96015649.950000003</v>
      </c>
      <c r="O104">
        <v>95259775.519999996</v>
      </c>
      <c r="P104">
        <v>94312561.989999995</v>
      </c>
      <c r="Q104">
        <v>93164599.480000004</v>
      </c>
      <c r="R104">
        <v>92850342.780000001</v>
      </c>
      <c r="S104">
        <v>91319812.950000003</v>
      </c>
      <c r="T104">
        <v>89512133.099999994</v>
      </c>
      <c r="U104">
        <v>87244196.549999997</v>
      </c>
      <c r="V104">
        <v>84790797.340000004</v>
      </c>
      <c r="W104">
        <v>82377046.099999994</v>
      </c>
      <c r="X104">
        <v>79892877.799999997</v>
      </c>
      <c r="Y104">
        <v>78186283.439999998</v>
      </c>
      <c r="Z104">
        <v>76613866.75</v>
      </c>
      <c r="AA104">
        <v>75099285.790000007</v>
      </c>
      <c r="AB104">
        <v>73604987.629999995</v>
      </c>
      <c r="AC104">
        <v>72110268.769999996</v>
      </c>
      <c r="AD104">
        <v>70615970.25</v>
      </c>
      <c r="AE104">
        <v>69033487.989999995</v>
      </c>
      <c r="AF104">
        <v>67417081.370000005</v>
      </c>
      <c r="AG104">
        <v>65805986.68</v>
      </c>
      <c r="AH104">
        <v>64129225.82</v>
      </c>
      <c r="AI104" s="100">
        <v>62519170.950000003</v>
      </c>
      <c r="AJ104">
        <v>60958122.710000001</v>
      </c>
      <c r="AK104">
        <v>59438913.289999999</v>
      </c>
      <c r="AL104" s="100">
        <v>57959279.109999999</v>
      </c>
      <c r="AM104">
        <v>56519462.119999997</v>
      </c>
      <c r="AN104">
        <v>55025775.420000002</v>
      </c>
      <c r="AO104">
        <v>53546818.18</v>
      </c>
      <c r="AP104">
        <v>52087982.939999998</v>
      </c>
      <c r="AQ104">
        <v>50651836</v>
      </c>
      <c r="AR104" s="100">
        <v>49238387.57</v>
      </c>
      <c r="AS104">
        <v>47833771.82</v>
      </c>
      <c r="AT104">
        <v>46455299.890000001</v>
      </c>
      <c r="AU104">
        <v>45105584.840000004</v>
      </c>
      <c r="AV104">
        <v>43778191.259999998</v>
      </c>
      <c r="AW104">
        <v>42482768.299999997</v>
      </c>
    </row>
    <row r="105" spans="2:49" x14ac:dyDescent="0.25">
      <c r="B105" t="s">
        <v>434</v>
      </c>
      <c r="C105" s="100">
        <v>105875266.531468</v>
      </c>
      <c r="D105">
        <v>107575128.18195701</v>
      </c>
      <c r="E105">
        <v>109302281.7</v>
      </c>
      <c r="F105">
        <v>107797187.3</v>
      </c>
      <c r="G105" s="100">
        <v>105382384</v>
      </c>
      <c r="H105">
        <v>106186273.09999999</v>
      </c>
      <c r="I105">
        <v>104220025.5</v>
      </c>
      <c r="J105">
        <v>102225069.40000001</v>
      </c>
      <c r="K105" s="100">
        <v>100059438.2</v>
      </c>
      <c r="L105" s="100">
        <v>98439352.969999999</v>
      </c>
      <c r="M105">
        <v>96996288.180000007</v>
      </c>
      <c r="N105">
        <v>96015649.950000003</v>
      </c>
      <c r="O105">
        <v>95259775.519999996</v>
      </c>
      <c r="P105">
        <v>94312561.989999995</v>
      </c>
      <c r="Q105">
        <v>93164599.480000004</v>
      </c>
      <c r="R105">
        <v>92850342.780000001</v>
      </c>
      <c r="S105">
        <v>91319812.950000003</v>
      </c>
      <c r="T105">
        <v>89512133.099999994</v>
      </c>
      <c r="U105">
        <v>87244196.549999997</v>
      </c>
      <c r="V105">
        <v>84790797.340000004</v>
      </c>
      <c r="W105">
        <v>82377046.099999994</v>
      </c>
      <c r="X105">
        <v>79892877.799999997</v>
      </c>
      <c r="Y105">
        <v>78186283.439999998</v>
      </c>
      <c r="Z105">
        <v>76613866.75</v>
      </c>
      <c r="AA105">
        <v>75099285.790000007</v>
      </c>
      <c r="AB105">
        <v>73604987.629999995</v>
      </c>
      <c r="AC105">
        <v>72110268.769999996</v>
      </c>
      <c r="AD105">
        <v>70615970.25</v>
      </c>
      <c r="AE105">
        <v>69033487.989999995</v>
      </c>
      <c r="AF105">
        <v>67417081.370000005</v>
      </c>
      <c r="AG105">
        <v>65805986.68</v>
      </c>
      <c r="AH105">
        <v>64129225.82</v>
      </c>
      <c r="AI105">
        <v>62519170.950000003</v>
      </c>
      <c r="AJ105">
        <v>60958122.710000001</v>
      </c>
      <c r="AK105">
        <v>59438913.289999999</v>
      </c>
      <c r="AL105">
        <v>57959279.109999999</v>
      </c>
      <c r="AM105">
        <v>56519462.119999997</v>
      </c>
      <c r="AN105">
        <v>55025775.420000002</v>
      </c>
      <c r="AO105">
        <v>53546818.18</v>
      </c>
      <c r="AP105">
        <v>52087982.939999998</v>
      </c>
      <c r="AQ105">
        <v>50651836</v>
      </c>
      <c r="AR105">
        <v>49238387.57</v>
      </c>
      <c r="AS105">
        <v>47833771.82</v>
      </c>
      <c r="AT105">
        <v>46455299.890000001</v>
      </c>
      <c r="AU105">
        <v>45105584.840000004</v>
      </c>
      <c r="AV105">
        <v>43778191.259999998</v>
      </c>
      <c r="AW105">
        <v>42482768.299999997</v>
      </c>
    </row>
    <row r="106" spans="2:49" x14ac:dyDescent="0.25">
      <c r="B106" t="s">
        <v>435</v>
      </c>
      <c r="C106">
        <v>37938997.726415001</v>
      </c>
      <c r="D106">
        <v>38548120.6066292</v>
      </c>
      <c r="E106">
        <v>39167023.149999999</v>
      </c>
      <c r="F106">
        <v>38078245.530000001</v>
      </c>
      <c r="G106">
        <v>36389507.649999999</v>
      </c>
      <c r="H106">
        <v>34896820.649999999</v>
      </c>
      <c r="I106">
        <v>34179501.219999999</v>
      </c>
      <c r="J106">
        <v>32798979.23</v>
      </c>
      <c r="K106" s="100">
        <v>30870777.489999998</v>
      </c>
      <c r="L106" s="100">
        <v>29310507.75</v>
      </c>
      <c r="M106">
        <v>28120201.870000001</v>
      </c>
      <c r="N106">
        <v>27150862.75</v>
      </c>
      <c r="O106">
        <v>27177372.449999999</v>
      </c>
      <c r="P106">
        <v>26768876.93</v>
      </c>
      <c r="Q106">
        <v>25535915.280000001</v>
      </c>
      <c r="R106">
        <v>24517086.710000001</v>
      </c>
      <c r="S106">
        <v>23919407.539999999</v>
      </c>
      <c r="T106">
        <v>22255174.84</v>
      </c>
      <c r="U106">
        <v>20844541.66</v>
      </c>
      <c r="V106">
        <v>19412989.23</v>
      </c>
      <c r="W106">
        <v>20142322.77</v>
      </c>
      <c r="X106">
        <v>20856304.609999999</v>
      </c>
      <c r="Y106">
        <v>20398961.260000002</v>
      </c>
      <c r="Z106">
        <v>19976555.93</v>
      </c>
      <c r="AA106">
        <v>19586658.899999999</v>
      </c>
      <c r="AB106">
        <v>19217871.539999999</v>
      </c>
      <c r="AC106">
        <v>18863376.379999999</v>
      </c>
      <c r="AD106">
        <v>18548716.079999998</v>
      </c>
      <c r="AE106">
        <v>18243916.800000001</v>
      </c>
      <c r="AF106">
        <v>17947404.16</v>
      </c>
      <c r="AG106">
        <v>17632072.739999998</v>
      </c>
      <c r="AH106">
        <v>17329285.170000002</v>
      </c>
      <c r="AI106">
        <v>17127087.920000002</v>
      </c>
      <c r="AJ106">
        <v>16933826.079999998</v>
      </c>
      <c r="AK106">
        <v>16743610.689999999</v>
      </c>
      <c r="AL106">
        <v>16553213.01</v>
      </c>
      <c r="AM106">
        <v>16365205.109999999</v>
      </c>
      <c r="AN106">
        <v>16146221.34</v>
      </c>
      <c r="AO106">
        <v>15928888.92</v>
      </c>
      <c r="AP106">
        <v>15705826.73</v>
      </c>
      <c r="AQ106">
        <v>15476276.869999999</v>
      </c>
      <c r="AR106">
        <v>15241045.18</v>
      </c>
      <c r="AS106">
        <v>14992325.73</v>
      </c>
      <c r="AT106">
        <v>14736941.449999999</v>
      </c>
      <c r="AU106">
        <v>14456667.470000001</v>
      </c>
      <c r="AV106">
        <v>14182114.82</v>
      </c>
      <c r="AW106">
        <v>13908473.83</v>
      </c>
    </row>
    <row r="107" spans="2:49" x14ac:dyDescent="0.25">
      <c r="B107" t="s">
        <v>436</v>
      </c>
      <c r="C107" s="100">
        <v>37938997.726415001</v>
      </c>
      <c r="D107" s="100">
        <v>38548120.6066292</v>
      </c>
      <c r="E107" s="100">
        <v>39167023.149999999</v>
      </c>
      <c r="F107" s="100">
        <v>38078245.530000001</v>
      </c>
      <c r="G107" s="100">
        <v>36389507.649999999</v>
      </c>
      <c r="H107">
        <v>34896820.649999999</v>
      </c>
      <c r="I107">
        <v>34179501.219999999</v>
      </c>
      <c r="J107">
        <v>32798979.23</v>
      </c>
      <c r="K107" s="100">
        <v>30870777.489999998</v>
      </c>
      <c r="L107" s="100">
        <v>29310507.75</v>
      </c>
      <c r="M107">
        <v>28120201.870000001</v>
      </c>
      <c r="N107">
        <v>27150862.75</v>
      </c>
      <c r="O107">
        <v>27177372.449999999</v>
      </c>
      <c r="P107">
        <v>26768876.93</v>
      </c>
      <c r="Q107">
        <v>25535915.280000001</v>
      </c>
      <c r="R107">
        <v>24517086.710000001</v>
      </c>
      <c r="S107">
        <v>23919407.539999999</v>
      </c>
      <c r="T107">
        <v>22255174.84</v>
      </c>
      <c r="U107">
        <v>20844541.66</v>
      </c>
      <c r="V107">
        <v>19412989.23</v>
      </c>
      <c r="W107">
        <v>20142322.77</v>
      </c>
      <c r="X107">
        <v>20856304.609999999</v>
      </c>
      <c r="Y107">
        <v>20398961.260000002</v>
      </c>
      <c r="Z107">
        <v>19976555.93</v>
      </c>
      <c r="AA107">
        <v>19586658.899999999</v>
      </c>
      <c r="AB107">
        <v>19217871.539999999</v>
      </c>
      <c r="AC107">
        <v>18863376.379999999</v>
      </c>
      <c r="AD107">
        <v>18548716.079999998</v>
      </c>
      <c r="AE107">
        <v>18243916.800000001</v>
      </c>
      <c r="AF107">
        <v>17947404.16</v>
      </c>
      <c r="AG107">
        <v>17632072.739999998</v>
      </c>
      <c r="AH107">
        <v>17329285.170000002</v>
      </c>
      <c r="AI107">
        <v>17127087.920000002</v>
      </c>
      <c r="AJ107">
        <v>16933826.079999998</v>
      </c>
      <c r="AK107">
        <v>16743610.689999999</v>
      </c>
      <c r="AL107">
        <v>16553213.01</v>
      </c>
      <c r="AM107">
        <v>16365205.109999999</v>
      </c>
      <c r="AN107">
        <v>16146221.34</v>
      </c>
      <c r="AO107">
        <v>15928888.92</v>
      </c>
      <c r="AP107">
        <v>15705826.73</v>
      </c>
      <c r="AQ107">
        <v>15476276.869999999</v>
      </c>
      <c r="AR107">
        <v>15241045.18</v>
      </c>
      <c r="AS107">
        <v>14992325.73</v>
      </c>
      <c r="AT107">
        <v>14736941.449999999</v>
      </c>
      <c r="AU107">
        <v>14456667.470000001</v>
      </c>
      <c r="AV107">
        <v>14182114.82</v>
      </c>
      <c r="AW107">
        <v>13908473.83</v>
      </c>
    </row>
    <row r="108" spans="2:49" x14ac:dyDescent="0.25">
      <c r="B108" t="s">
        <v>437</v>
      </c>
      <c r="C108">
        <v>7249974.6999914004</v>
      </c>
      <c r="D108">
        <v>7366375.3888705196</v>
      </c>
      <c r="E108">
        <v>7487365.2489999998</v>
      </c>
      <c r="F108">
        <v>7682230.2829999998</v>
      </c>
      <c r="G108" s="100">
        <v>7302083.1270000003</v>
      </c>
      <c r="H108">
        <v>7627882.7640000004</v>
      </c>
      <c r="I108">
        <v>7827474.2000000002</v>
      </c>
      <c r="J108">
        <v>7384345.8650000002</v>
      </c>
      <c r="K108" s="100">
        <v>7073106.1720000003</v>
      </c>
      <c r="L108" s="100">
        <v>6841057.1869999999</v>
      </c>
      <c r="M108">
        <v>7272513.9859999996</v>
      </c>
      <c r="N108">
        <v>7702513.6229999997</v>
      </c>
      <c r="O108">
        <v>7946722.3339999998</v>
      </c>
      <c r="P108">
        <v>7980434.4790000003</v>
      </c>
      <c r="Q108">
        <v>7420324.5140000004</v>
      </c>
      <c r="R108">
        <v>7403246.4000000004</v>
      </c>
      <c r="S108">
        <v>7453688.7029999997</v>
      </c>
      <c r="T108">
        <v>7472352.7039999999</v>
      </c>
      <c r="U108">
        <v>7483596.432</v>
      </c>
      <c r="V108">
        <v>7556384.4560000002</v>
      </c>
      <c r="W108">
        <v>7622148.773</v>
      </c>
      <c r="X108">
        <v>7640476.3880000003</v>
      </c>
      <c r="Y108">
        <v>7709612.9589999998</v>
      </c>
      <c r="Z108">
        <v>7805410.4139999999</v>
      </c>
      <c r="AA108">
        <v>7916164.0870000003</v>
      </c>
      <c r="AB108">
        <v>8029961.9069999997</v>
      </c>
      <c r="AC108">
        <v>8150001.5020000003</v>
      </c>
      <c r="AD108">
        <v>8260955.3439999996</v>
      </c>
      <c r="AE108">
        <v>8382533.7970000003</v>
      </c>
      <c r="AF108">
        <v>8507743.9629999995</v>
      </c>
      <c r="AG108">
        <v>8636801.12099999</v>
      </c>
      <c r="AH108">
        <v>8781530.41599999</v>
      </c>
      <c r="AI108">
        <v>8929385.1370000001</v>
      </c>
      <c r="AJ108">
        <v>9087870.5209999997</v>
      </c>
      <c r="AK108">
        <v>9249654.0950000007</v>
      </c>
      <c r="AL108">
        <v>9416413.6300000008</v>
      </c>
      <c r="AM108">
        <v>9586129.4670000002</v>
      </c>
      <c r="AN108">
        <v>9744135.7919999994</v>
      </c>
      <c r="AO108">
        <v>9903212.6730000004</v>
      </c>
      <c r="AP108">
        <v>10058802.279999999</v>
      </c>
      <c r="AQ108">
        <v>10214096.449999999</v>
      </c>
      <c r="AR108">
        <v>10367684.73</v>
      </c>
      <c r="AS108">
        <v>10517964.74</v>
      </c>
      <c r="AT108">
        <v>10669016.939999999</v>
      </c>
      <c r="AU108">
        <v>10821359.02</v>
      </c>
      <c r="AV108">
        <v>10975227.640000001</v>
      </c>
      <c r="AW108">
        <v>11131581.960000001</v>
      </c>
    </row>
    <row r="109" spans="2:49" x14ac:dyDescent="0.25">
      <c r="B109" t="s">
        <v>438</v>
      </c>
      <c r="C109">
        <v>11428306.3019633</v>
      </c>
      <c r="D109">
        <v>11611791.4562317</v>
      </c>
      <c r="E109">
        <v>11800890.689999999</v>
      </c>
      <c r="F109">
        <v>11961559.960000001</v>
      </c>
      <c r="G109" s="100">
        <v>11250190.550000001</v>
      </c>
      <c r="H109" s="100">
        <v>11366164.23</v>
      </c>
      <c r="I109" s="100">
        <v>11193329.34</v>
      </c>
      <c r="J109" s="100">
        <v>10836881.41</v>
      </c>
      <c r="K109" s="100">
        <v>10122109.460000001</v>
      </c>
      <c r="L109" s="100">
        <v>9816901.3149999995</v>
      </c>
      <c r="M109">
        <v>9885245.9240000006</v>
      </c>
      <c r="N109">
        <v>10014155.67</v>
      </c>
      <c r="O109">
        <v>9302198.0199999996</v>
      </c>
      <c r="P109">
        <v>8559795.4539999999</v>
      </c>
      <c r="Q109">
        <v>7679257.6059999997</v>
      </c>
      <c r="R109">
        <v>7138535.6409999998</v>
      </c>
      <c r="S109">
        <v>6883114.4539999999</v>
      </c>
      <c r="T109">
        <v>6729713.3870000001</v>
      </c>
      <c r="U109">
        <v>6664787.7699999996</v>
      </c>
      <c r="V109">
        <v>6642384.7010000004</v>
      </c>
      <c r="W109">
        <v>6901859.3969999999</v>
      </c>
      <c r="X109">
        <v>7120215.3030000003</v>
      </c>
      <c r="Y109">
        <v>7171922.0530000003</v>
      </c>
      <c r="Z109">
        <v>7232002.4390000002</v>
      </c>
      <c r="AA109">
        <v>7300688.3710000003</v>
      </c>
      <c r="AB109">
        <v>7371561.909</v>
      </c>
      <c r="AC109">
        <v>7447496.6179999998</v>
      </c>
      <c r="AD109">
        <v>7524814.352</v>
      </c>
      <c r="AE109">
        <v>7613167.8700000001</v>
      </c>
      <c r="AF109">
        <v>7705824.9539999999</v>
      </c>
      <c r="AG109">
        <v>7800990.9139999999</v>
      </c>
      <c r="AH109">
        <v>7910184.727</v>
      </c>
      <c r="AI109">
        <v>8040706.3459999999</v>
      </c>
      <c r="AJ109">
        <v>8181466.6579999998</v>
      </c>
      <c r="AK109">
        <v>8326538.3789999997</v>
      </c>
      <c r="AL109">
        <v>8476626.08699999</v>
      </c>
      <c r="AM109">
        <v>8630530.8129999898</v>
      </c>
      <c r="AN109">
        <v>8780103.6779999901</v>
      </c>
      <c r="AO109">
        <v>8933549.3200000003</v>
      </c>
      <c r="AP109">
        <v>9086129.7630000003</v>
      </c>
      <c r="AQ109">
        <v>9239145.8230000008</v>
      </c>
      <c r="AR109">
        <v>9391950.4309999999</v>
      </c>
      <c r="AS109">
        <v>9544849.5280000009</v>
      </c>
      <c r="AT109">
        <v>9700010.1649999898</v>
      </c>
      <c r="AU109">
        <v>9855922.9120000005</v>
      </c>
      <c r="AV109">
        <v>10014348.529999999</v>
      </c>
      <c r="AW109">
        <v>10174712.949999999</v>
      </c>
    </row>
    <row r="110" spans="2:49" x14ac:dyDescent="0.25">
      <c r="B110" t="s">
        <v>439</v>
      </c>
      <c r="C110">
        <v>1153294.1412084801</v>
      </c>
      <c r="D110" s="100">
        <v>1171810.6516891399</v>
      </c>
      <c r="E110" s="100">
        <v>1190798.162</v>
      </c>
      <c r="F110" s="100">
        <v>1168959.175</v>
      </c>
      <c r="G110">
        <v>1084804.8189999999</v>
      </c>
      <c r="H110">
        <v>980773.28650000005</v>
      </c>
      <c r="I110" s="100">
        <v>1036437.331</v>
      </c>
      <c r="J110" s="100">
        <v>988480.80610000005</v>
      </c>
      <c r="K110" s="100">
        <v>917779.02130000002</v>
      </c>
      <c r="L110" s="100">
        <v>887672.1814</v>
      </c>
      <c r="M110">
        <v>902325.87399999995</v>
      </c>
      <c r="N110">
        <v>947813.33810000005</v>
      </c>
      <c r="O110">
        <v>883348.04229999997</v>
      </c>
      <c r="P110">
        <v>821343.9669</v>
      </c>
      <c r="Q110">
        <v>727183.13430000003</v>
      </c>
      <c r="R110">
        <v>674506.94220000005</v>
      </c>
      <c r="S110">
        <v>602884.45290000003</v>
      </c>
      <c r="T110">
        <v>589857.66410000005</v>
      </c>
      <c r="U110">
        <v>580009.25760000001</v>
      </c>
      <c r="V110">
        <v>572742.71880000003</v>
      </c>
      <c r="W110">
        <v>595743.41680000001</v>
      </c>
      <c r="X110">
        <v>614921.96</v>
      </c>
      <c r="Y110">
        <v>612352.96109999996</v>
      </c>
      <c r="Z110">
        <v>611813.35549999995</v>
      </c>
      <c r="AA110">
        <v>611602.39930000005</v>
      </c>
      <c r="AB110">
        <v>611311.73380000005</v>
      </c>
      <c r="AC110">
        <v>611660.47279999999</v>
      </c>
      <c r="AD110">
        <v>611969.00540000002</v>
      </c>
      <c r="AE110">
        <v>614169.79740000004</v>
      </c>
      <c r="AF110">
        <v>616983.17830000003</v>
      </c>
      <c r="AG110">
        <v>620001.04449999996</v>
      </c>
      <c r="AH110">
        <v>624504.52899999998</v>
      </c>
      <c r="AI110">
        <v>631703.12089999998</v>
      </c>
      <c r="AJ110">
        <v>639924.76359999995</v>
      </c>
      <c r="AK110">
        <v>648475.4976</v>
      </c>
      <c r="AL110">
        <v>657493.00069999998</v>
      </c>
      <c r="AM110">
        <v>666808.92079999996</v>
      </c>
      <c r="AN110">
        <v>675598.29760000005</v>
      </c>
      <c r="AO110">
        <v>685182.35739999998</v>
      </c>
      <c r="AP110">
        <v>694508.6446</v>
      </c>
      <c r="AQ110">
        <v>703920.71250000002</v>
      </c>
      <c r="AR110">
        <v>713282.23549999995</v>
      </c>
      <c r="AS110">
        <v>722832.95530000003</v>
      </c>
      <c r="AT110">
        <v>732477.28500000003</v>
      </c>
      <c r="AU110">
        <v>741931.76560000004</v>
      </c>
      <c r="AV110">
        <v>751755.7206</v>
      </c>
      <c r="AW110">
        <v>761986.34459999995</v>
      </c>
    </row>
    <row r="111" spans="2:49" x14ac:dyDescent="0.25">
      <c r="B111" t="s">
        <v>440</v>
      </c>
      <c r="C111">
        <v>6211298.5004764497</v>
      </c>
      <c r="D111">
        <v>6311022.9070030199</v>
      </c>
      <c r="E111">
        <v>6414338.9579999996</v>
      </c>
      <c r="F111">
        <v>6440605.3449999997</v>
      </c>
      <c r="G111">
        <v>5827506.2939999998</v>
      </c>
      <c r="H111">
        <v>5209993.9409999996</v>
      </c>
      <c r="I111">
        <v>4573806.88</v>
      </c>
      <c r="J111">
        <v>4803985.3789999997</v>
      </c>
      <c r="K111">
        <v>4295656.2740000002</v>
      </c>
      <c r="L111">
        <v>4095863.2930000001</v>
      </c>
      <c r="M111">
        <v>4170464.4640000002</v>
      </c>
      <c r="N111">
        <v>4247855.898</v>
      </c>
      <c r="O111">
        <v>4056503.4380000001</v>
      </c>
      <c r="P111">
        <v>3769002.0589999999</v>
      </c>
      <c r="Q111">
        <v>3406149.0159999998</v>
      </c>
      <c r="R111">
        <v>3127762.852</v>
      </c>
      <c r="S111" s="100">
        <v>2889570.5839999998</v>
      </c>
      <c r="T111" s="100">
        <v>2729192.1269999999</v>
      </c>
      <c r="U111" s="100">
        <v>2580319.5989999999</v>
      </c>
      <c r="V111" s="100">
        <v>2438458.0830000001</v>
      </c>
      <c r="W111">
        <v>2528544.128</v>
      </c>
      <c r="X111">
        <v>2607386.8840000001</v>
      </c>
      <c r="Y111">
        <v>2798399.1570000001</v>
      </c>
      <c r="Z111">
        <v>3062558.5210000002</v>
      </c>
      <c r="AA111">
        <v>3379460.1970000002</v>
      </c>
      <c r="AB111">
        <v>3749766.2489999998</v>
      </c>
      <c r="AC111">
        <v>4182954.7209999999</v>
      </c>
      <c r="AD111">
        <v>4205568.42</v>
      </c>
      <c r="AE111">
        <v>4232403.4210000001</v>
      </c>
      <c r="AF111">
        <v>4259603.5970000001</v>
      </c>
      <c r="AG111">
        <v>4288414.3109999998</v>
      </c>
      <c r="AH111">
        <v>4322607.2920000004</v>
      </c>
      <c r="AI111">
        <v>4365246.9510000004</v>
      </c>
      <c r="AJ111">
        <v>4410967.2740000002</v>
      </c>
      <c r="AK111">
        <v>4458845.432</v>
      </c>
      <c r="AL111">
        <v>4508439.6960000005</v>
      </c>
      <c r="AM111">
        <v>4559023.2860000003</v>
      </c>
      <c r="AN111">
        <v>4508770.3689999999</v>
      </c>
      <c r="AO111">
        <v>4439782.92</v>
      </c>
      <c r="AP111">
        <v>4363792.591</v>
      </c>
      <c r="AQ111">
        <v>4284845.3329999996</v>
      </c>
      <c r="AR111">
        <v>4202658.4230000004</v>
      </c>
      <c r="AS111">
        <v>4174374.5320000001</v>
      </c>
      <c r="AT111">
        <v>4155189.3339999998</v>
      </c>
      <c r="AU111">
        <v>4136747.6519999998</v>
      </c>
      <c r="AV111">
        <v>4117508.628</v>
      </c>
      <c r="AW111">
        <v>4098320.9470000002</v>
      </c>
    </row>
    <row r="112" spans="2:49" x14ac:dyDescent="0.25">
      <c r="B112" t="s">
        <v>441</v>
      </c>
      <c r="C112" s="100">
        <v>19068539.7330263</v>
      </c>
      <c r="D112">
        <v>19374691.306334</v>
      </c>
      <c r="E112">
        <v>19692663.129999999</v>
      </c>
      <c r="F112">
        <v>19853007.699999999</v>
      </c>
      <c r="G112" s="100">
        <v>18046289.41</v>
      </c>
      <c r="H112">
        <v>16071548.140000001</v>
      </c>
      <c r="I112">
        <v>14802427.59</v>
      </c>
      <c r="J112">
        <v>15832897.84</v>
      </c>
      <c r="K112">
        <v>14190399.82</v>
      </c>
      <c r="L112">
        <v>13583855.470000001</v>
      </c>
      <c r="M112">
        <v>13875451.84</v>
      </c>
      <c r="N112">
        <v>14116631.470000001</v>
      </c>
      <c r="O112">
        <v>13581884.029999999</v>
      </c>
      <c r="P112">
        <v>12702811.810000001</v>
      </c>
      <c r="Q112">
        <v>11524350.380000001</v>
      </c>
      <c r="R112">
        <v>10676800.82</v>
      </c>
      <c r="S112" s="100">
        <v>9947057.0109999999</v>
      </c>
      <c r="T112" s="100">
        <v>9605883.1349999998</v>
      </c>
      <c r="U112" s="100">
        <v>9240856.693</v>
      </c>
      <c r="V112" s="100">
        <v>8979147.8010000009</v>
      </c>
      <c r="W112">
        <v>8605836.0250000004</v>
      </c>
      <c r="X112">
        <v>8140019.9759999998</v>
      </c>
      <c r="Y112">
        <v>7975541.8640000001</v>
      </c>
      <c r="Z112">
        <v>7955511.6749999998</v>
      </c>
      <c r="AA112">
        <v>7980459.4160000002</v>
      </c>
      <c r="AB112">
        <v>8019850.8509999998</v>
      </c>
      <c r="AC112">
        <v>8074412.4009999996</v>
      </c>
      <c r="AD112">
        <v>8115445.8899999997</v>
      </c>
      <c r="AE112">
        <v>8160834.9210000001</v>
      </c>
      <c r="AF112">
        <v>8205623.5120000001</v>
      </c>
      <c r="AG112">
        <v>8254296.4239999996</v>
      </c>
      <c r="AH112">
        <v>8319151.3509999998</v>
      </c>
      <c r="AI112">
        <v>8382347.7189999996</v>
      </c>
      <c r="AJ112">
        <v>8442667.7029999997</v>
      </c>
      <c r="AK112">
        <v>8513802.8660000004</v>
      </c>
      <c r="AL112">
        <v>8586046.4649999999</v>
      </c>
      <c r="AM112">
        <v>8656253.3839999996</v>
      </c>
      <c r="AN112">
        <v>8527555.38199999</v>
      </c>
      <c r="AO112">
        <v>8362085.4500000002</v>
      </c>
      <c r="AP112">
        <v>8182440.9100000001</v>
      </c>
      <c r="AQ112">
        <v>8003661.8260000004</v>
      </c>
      <c r="AR112">
        <v>7811948.0750000002</v>
      </c>
      <c r="AS112">
        <v>7724487.6320000002</v>
      </c>
      <c r="AT112">
        <v>7654917.2709999997</v>
      </c>
      <c r="AU112">
        <v>7585101.7039999999</v>
      </c>
      <c r="AV112">
        <v>7512817.0369999995</v>
      </c>
      <c r="AW112">
        <v>7464620.057</v>
      </c>
    </row>
    <row r="113" spans="2:49" x14ac:dyDescent="0.25">
      <c r="B113" t="s">
        <v>442</v>
      </c>
      <c r="C113">
        <v>14426006.8404216</v>
      </c>
      <c r="D113">
        <v>14657621.046468699</v>
      </c>
      <c r="E113">
        <v>14897820.91</v>
      </c>
      <c r="F113">
        <v>14864739.34</v>
      </c>
      <c r="G113">
        <v>13698510.41</v>
      </c>
      <c r="H113">
        <v>12761573.26</v>
      </c>
      <c r="I113">
        <v>11164478.52</v>
      </c>
      <c r="J113">
        <v>10075870.34</v>
      </c>
      <c r="K113">
        <v>9169272.0840000007</v>
      </c>
      <c r="L113">
        <v>9047829.8269999996</v>
      </c>
      <c r="M113">
        <v>8979363.4399999995</v>
      </c>
      <c r="N113">
        <v>9306305.1449999996</v>
      </c>
      <c r="O113">
        <v>8591015.102</v>
      </c>
      <c r="P113">
        <v>7719396.2529999996</v>
      </c>
      <c r="Q113">
        <v>6931071.3210000005</v>
      </c>
      <c r="R113">
        <v>6267712.1399999997</v>
      </c>
      <c r="S113">
        <v>5826046.8949999996</v>
      </c>
      <c r="T113">
        <v>5485853.2209999999</v>
      </c>
      <c r="U113" s="100">
        <v>5154977.3640000001</v>
      </c>
      <c r="V113">
        <v>4832606.8969999999</v>
      </c>
      <c r="W113">
        <v>4873948.4359999998</v>
      </c>
      <c r="X113">
        <v>4875817.2949999999</v>
      </c>
      <c r="Y113">
        <v>5119808.4809999997</v>
      </c>
      <c r="Z113">
        <v>5489550.8389999997</v>
      </c>
      <c r="AA113">
        <v>5936160.8229999999</v>
      </c>
      <c r="AB113">
        <v>6462409.3099999996</v>
      </c>
      <c r="AC113">
        <v>7090074.6969999997</v>
      </c>
      <c r="AD113">
        <v>7094756.7800000003</v>
      </c>
      <c r="AE113">
        <v>7107113.676</v>
      </c>
      <c r="AF113">
        <v>7120101.585</v>
      </c>
      <c r="AG113">
        <v>7136296.4460000005</v>
      </c>
      <c r="AH113">
        <v>7160069.3059999999</v>
      </c>
      <c r="AI113">
        <v>7196183.8590000002</v>
      </c>
      <c r="AJ113">
        <v>7236160.1090000002</v>
      </c>
      <c r="AK113">
        <v>7279971.2620000001</v>
      </c>
      <c r="AL113">
        <v>7326458.3710000003</v>
      </c>
      <c r="AM113">
        <v>7374445.0939999996</v>
      </c>
      <c r="AN113">
        <v>7240386.6339999996</v>
      </c>
      <c r="AO113">
        <v>7076163.7280000001</v>
      </c>
      <c r="AP113">
        <v>6903616.3499999996</v>
      </c>
      <c r="AQ113">
        <v>6729831.9460000005</v>
      </c>
      <c r="AR113">
        <v>6554356.9139999999</v>
      </c>
      <c r="AS113">
        <v>6473966.6090000002</v>
      </c>
      <c r="AT113">
        <v>6410224.3039999995</v>
      </c>
      <c r="AU113">
        <v>6349196.4910000004</v>
      </c>
      <c r="AV113">
        <v>6287971.7259999998</v>
      </c>
      <c r="AW113">
        <v>6227225.9029999999</v>
      </c>
    </row>
    <row r="114" spans="2:49" x14ac:dyDescent="0.25">
      <c r="B114" t="s">
        <v>443</v>
      </c>
      <c r="C114">
        <v>9279692.21316991</v>
      </c>
      <c r="D114">
        <v>9428680.6732538398</v>
      </c>
      <c r="E114">
        <v>9581386.1769999899</v>
      </c>
      <c r="F114">
        <v>9538081.09799999</v>
      </c>
      <c r="G114">
        <v>9129626.4649999999</v>
      </c>
      <c r="H114">
        <v>8570285.9279999901</v>
      </c>
      <c r="I114">
        <v>8193019.6169999996</v>
      </c>
      <c r="J114">
        <v>7935009.943</v>
      </c>
      <c r="K114">
        <v>7524297.8590000002</v>
      </c>
      <c r="L114">
        <v>7442587.0449999999</v>
      </c>
      <c r="M114">
        <v>7399249.6100000003</v>
      </c>
      <c r="N114">
        <v>7640011.7980000004</v>
      </c>
      <c r="O114">
        <v>7470790.2050000001</v>
      </c>
      <c r="P114">
        <v>7208776.6940000001</v>
      </c>
      <c r="Q114">
        <v>6847510.8830000004</v>
      </c>
      <c r="R114">
        <v>6708764.7819999997</v>
      </c>
      <c r="S114">
        <v>6512096.5269999998</v>
      </c>
      <c r="T114">
        <v>6305481.3300000001</v>
      </c>
      <c r="U114">
        <v>6099129.182</v>
      </c>
      <c r="V114">
        <v>5912047.5</v>
      </c>
      <c r="W114">
        <v>6020327.8530000001</v>
      </c>
      <c r="X114">
        <v>6068953.898</v>
      </c>
      <c r="Y114">
        <v>6076266.1330000004</v>
      </c>
      <c r="Z114">
        <v>6158277.0939999996</v>
      </c>
      <c r="AA114">
        <v>6276463.8370000003</v>
      </c>
      <c r="AB114">
        <v>6422290.6349999998</v>
      </c>
      <c r="AC114">
        <v>6603313.3039999995</v>
      </c>
      <c r="AD114">
        <v>6654794.1610000003</v>
      </c>
      <c r="AE114">
        <v>6713506.1840000004</v>
      </c>
      <c r="AF114">
        <v>6774139.0020000003</v>
      </c>
      <c r="AG114">
        <v>6836224.852</v>
      </c>
      <c r="AH114">
        <v>6906395.7189999996</v>
      </c>
      <c r="AI114">
        <v>7000753.716</v>
      </c>
      <c r="AJ114">
        <v>7100349.1459999997</v>
      </c>
      <c r="AK114">
        <v>7205040.6189999999</v>
      </c>
      <c r="AL114">
        <v>7313315.0630000001</v>
      </c>
      <c r="AM114">
        <v>7423938.3669999996</v>
      </c>
      <c r="AN114">
        <v>7451890.3360000001</v>
      </c>
      <c r="AO114">
        <v>7466920.0750000002</v>
      </c>
      <c r="AP114">
        <v>7472563.4340000004</v>
      </c>
      <c r="AQ114">
        <v>7472735.4029999999</v>
      </c>
      <c r="AR114">
        <v>7464917.1699999999</v>
      </c>
      <c r="AS114">
        <v>7505475.9560000002</v>
      </c>
      <c r="AT114">
        <v>7553736.5219999999</v>
      </c>
      <c r="AU114">
        <v>7601537.3289999999</v>
      </c>
      <c r="AV114">
        <v>7648624.9309999999</v>
      </c>
      <c r="AW114">
        <v>7694924.7699999996</v>
      </c>
    </row>
    <row r="115" spans="2:49" x14ac:dyDescent="0.25">
      <c r="B115" t="s">
        <v>444</v>
      </c>
      <c r="C115">
        <v>10783636.5742715</v>
      </c>
      <c r="D115">
        <v>10956771.347537501</v>
      </c>
      <c r="E115">
        <v>11150440.109999999</v>
      </c>
      <c r="F115">
        <v>11152273.060000001</v>
      </c>
      <c r="G115">
        <v>11091495.27</v>
      </c>
      <c r="H115">
        <v>10283588.439999999</v>
      </c>
      <c r="I115">
        <v>10608814.27</v>
      </c>
      <c r="J115">
        <v>10678534.75</v>
      </c>
      <c r="K115">
        <v>10431415.67</v>
      </c>
      <c r="L115">
        <v>10371436.26</v>
      </c>
      <c r="M115">
        <v>10362920.68</v>
      </c>
      <c r="N115">
        <v>10644767.609999999</v>
      </c>
      <c r="O115">
        <v>10705527.689999999</v>
      </c>
      <c r="P115">
        <v>10833801.199999999</v>
      </c>
      <c r="Q115">
        <v>10771349.42</v>
      </c>
      <c r="R115">
        <v>10949818.220000001</v>
      </c>
      <c r="S115">
        <v>10918836.449999999</v>
      </c>
      <c r="T115">
        <v>10761542.09</v>
      </c>
      <c r="U115">
        <v>10704152.77</v>
      </c>
      <c r="V115">
        <v>10697494.609999999</v>
      </c>
      <c r="W115">
        <v>11004051.07</v>
      </c>
      <c r="X115">
        <v>11261042.630000001</v>
      </c>
      <c r="Y115">
        <v>11355403.529999999</v>
      </c>
      <c r="Z115">
        <v>11469738.34</v>
      </c>
      <c r="AA115">
        <v>11645562.35</v>
      </c>
      <c r="AB115">
        <v>11845871.18</v>
      </c>
      <c r="AC115">
        <v>12079573.359999999</v>
      </c>
      <c r="AD115">
        <v>12151334.960000001</v>
      </c>
      <c r="AE115">
        <v>12231594.970000001</v>
      </c>
      <c r="AF115">
        <v>12318116.529999999</v>
      </c>
      <c r="AG115">
        <v>12411229.630000001</v>
      </c>
      <c r="AH115">
        <v>12518278.550000001</v>
      </c>
      <c r="AI115">
        <v>12657281.33</v>
      </c>
      <c r="AJ115">
        <v>12809545.27</v>
      </c>
      <c r="AK115">
        <v>12968761.91</v>
      </c>
      <c r="AL115">
        <v>13133948.33</v>
      </c>
      <c r="AM115">
        <v>13302537.960000001</v>
      </c>
      <c r="AN115">
        <v>13464189.130000001</v>
      </c>
      <c r="AO115">
        <v>13632821</v>
      </c>
      <c r="AP115">
        <v>13799868.060000001</v>
      </c>
      <c r="AQ115">
        <v>13968179.49</v>
      </c>
      <c r="AR115">
        <v>14134491.550000001</v>
      </c>
      <c r="AS115">
        <v>14302145.960000001</v>
      </c>
      <c r="AT115">
        <v>14480423.23</v>
      </c>
      <c r="AU115">
        <v>14663868.65</v>
      </c>
      <c r="AV115">
        <v>14848836.33</v>
      </c>
      <c r="AW115">
        <v>15034808.039999999</v>
      </c>
    </row>
    <row r="116" spans="2:49" x14ac:dyDescent="0.25">
      <c r="B116" t="s">
        <v>445</v>
      </c>
      <c r="C116">
        <v>584010.86634464201</v>
      </c>
      <c r="D116">
        <v>593387.34970747295</v>
      </c>
      <c r="E116">
        <v>603045.05370000005</v>
      </c>
      <c r="F116">
        <v>618390.54110000003</v>
      </c>
      <c r="G116">
        <v>584797.79960000003</v>
      </c>
      <c r="H116">
        <v>504032.61229999998</v>
      </c>
      <c r="I116">
        <v>520650.6409</v>
      </c>
      <c r="J116">
        <v>520268.20520000003</v>
      </c>
      <c r="K116">
        <v>477719.7757</v>
      </c>
      <c r="L116">
        <v>445226.7279</v>
      </c>
      <c r="M116">
        <v>434348.88520000002</v>
      </c>
      <c r="N116">
        <v>454427.03200000001</v>
      </c>
      <c r="O116">
        <v>431127.12060000002</v>
      </c>
      <c r="P116">
        <v>411535.75589999999</v>
      </c>
      <c r="Q116">
        <v>380344.20909999998</v>
      </c>
      <c r="R116">
        <v>350768.06829999998</v>
      </c>
      <c r="S116">
        <v>335521.96260000003</v>
      </c>
      <c r="T116">
        <v>329075.48599999998</v>
      </c>
      <c r="U116">
        <v>323910.348</v>
      </c>
      <c r="V116">
        <v>321670.34450000001</v>
      </c>
      <c r="W116">
        <v>331287.87339999998</v>
      </c>
      <c r="X116">
        <v>338900.06300000002</v>
      </c>
      <c r="Y116">
        <v>341879.03940000001</v>
      </c>
      <c r="Z116">
        <v>347984.44140000001</v>
      </c>
      <c r="AA116">
        <v>355839.18060000002</v>
      </c>
      <c r="AB116">
        <v>365124.53769999999</v>
      </c>
      <c r="AC116">
        <v>376209.12640000001</v>
      </c>
      <c r="AD116">
        <v>378636.609</v>
      </c>
      <c r="AE116">
        <v>381604.55570000003</v>
      </c>
      <c r="AF116">
        <v>384777.94429999997</v>
      </c>
      <c r="AG116">
        <v>388026.5257</v>
      </c>
      <c r="AH116">
        <v>391909.69339999999</v>
      </c>
      <c r="AI116">
        <v>396819.4167</v>
      </c>
      <c r="AJ116">
        <v>402046.54969999997</v>
      </c>
      <c r="AK116">
        <v>407493.9264</v>
      </c>
      <c r="AL116">
        <v>413118.77110000001</v>
      </c>
      <c r="AM116">
        <v>418820.85379999998</v>
      </c>
      <c r="AN116">
        <v>422778.53450000001</v>
      </c>
      <c r="AO116">
        <v>426693.39309999999</v>
      </c>
      <c r="AP116">
        <v>430284.88189999998</v>
      </c>
      <c r="AQ116">
        <v>433807.08899999998</v>
      </c>
      <c r="AR116">
        <v>437037.75089999998</v>
      </c>
      <c r="AS116">
        <v>441288.65130000003</v>
      </c>
      <c r="AT116">
        <v>445678.73950000003</v>
      </c>
      <c r="AU116">
        <v>449964.6336</v>
      </c>
      <c r="AV116">
        <v>454302.54710000003</v>
      </c>
      <c r="AW116">
        <v>458885.54979999998</v>
      </c>
    </row>
    <row r="117" spans="2:49" x14ac:dyDescent="0.25">
      <c r="B117" t="s">
        <v>446</v>
      </c>
      <c r="C117">
        <v>22712835.5539211</v>
      </c>
      <c r="D117">
        <v>23077497.475414101</v>
      </c>
      <c r="E117">
        <v>23460123.120000001</v>
      </c>
      <c r="F117">
        <v>23538248.199999999</v>
      </c>
      <c r="G117">
        <v>19968117.57</v>
      </c>
      <c r="H117">
        <v>16614128.23</v>
      </c>
      <c r="I117">
        <v>17057597.84</v>
      </c>
      <c r="J117">
        <v>16645331.109999999</v>
      </c>
      <c r="K117">
        <v>15760903.869999999</v>
      </c>
      <c r="L117">
        <v>16399570.74</v>
      </c>
      <c r="M117">
        <v>16750474.5</v>
      </c>
      <c r="N117">
        <v>17079832</v>
      </c>
      <c r="O117">
        <v>14331572.390000001</v>
      </c>
      <c r="P117">
        <v>13031263.279999999</v>
      </c>
      <c r="Q117">
        <v>11919309.5</v>
      </c>
      <c r="R117">
        <v>10989806.220000001</v>
      </c>
      <c r="S117">
        <v>10390970.220000001</v>
      </c>
      <c r="T117">
        <v>10289052.77</v>
      </c>
      <c r="U117">
        <v>10218125.51</v>
      </c>
      <c r="V117">
        <v>10205433.630000001</v>
      </c>
      <c r="W117">
        <v>10182033.26</v>
      </c>
      <c r="X117">
        <v>10061568.689999999</v>
      </c>
      <c r="Y117">
        <v>10059959.41</v>
      </c>
      <c r="Z117">
        <v>10149947.970000001</v>
      </c>
      <c r="AA117">
        <v>10258537.689999999</v>
      </c>
      <c r="AB117">
        <v>10374146.6</v>
      </c>
      <c r="AC117">
        <v>10499361.210000001</v>
      </c>
      <c r="AD117">
        <v>10510883.189999999</v>
      </c>
      <c r="AE117">
        <v>10535491.800000001</v>
      </c>
      <c r="AF117">
        <v>10563226.130000001</v>
      </c>
      <c r="AG117">
        <v>10596614.109999999</v>
      </c>
      <c r="AH117">
        <v>10643270.52</v>
      </c>
      <c r="AI117">
        <v>10702176.99</v>
      </c>
      <c r="AJ117">
        <v>10767271.449999999</v>
      </c>
      <c r="AK117">
        <v>10840186.02</v>
      </c>
      <c r="AL117">
        <v>10917839.09</v>
      </c>
      <c r="AM117">
        <v>10997568.939999999</v>
      </c>
      <c r="AN117">
        <v>10972132.439999999</v>
      </c>
      <c r="AO117">
        <v>10932147.92</v>
      </c>
      <c r="AP117">
        <v>10879854.09</v>
      </c>
      <c r="AQ117">
        <v>10821930.49</v>
      </c>
      <c r="AR117">
        <v>10752951.279999999</v>
      </c>
      <c r="AS117">
        <v>10750493.16</v>
      </c>
      <c r="AT117">
        <v>10755987.699999999</v>
      </c>
      <c r="AU117">
        <v>10760812.4</v>
      </c>
      <c r="AV117">
        <v>10764414.039999999</v>
      </c>
      <c r="AW117">
        <v>10772016.449999999</v>
      </c>
    </row>
    <row r="118" spans="2:49" x14ac:dyDescent="0.25">
      <c r="B118" t="s">
        <v>447</v>
      </c>
      <c r="C118">
        <v>611949.61832884501</v>
      </c>
      <c r="D118">
        <v>621774.66739182698</v>
      </c>
      <c r="E118">
        <v>631757.4608</v>
      </c>
      <c r="F118">
        <v>618688.21050000004</v>
      </c>
      <c r="G118">
        <v>554271.20039999997</v>
      </c>
      <c r="H118">
        <v>462187.0465</v>
      </c>
      <c r="I118">
        <v>491832.29259999999</v>
      </c>
      <c r="J118">
        <v>472107.42379999999</v>
      </c>
      <c r="K118">
        <v>422790.19189999998</v>
      </c>
      <c r="L118">
        <v>397800.2464</v>
      </c>
      <c r="M118">
        <v>392305.91210000002</v>
      </c>
      <c r="N118">
        <v>387850.29460000002</v>
      </c>
      <c r="O118">
        <v>355814.2733</v>
      </c>
      <c r="P118">
        <v>341475.12180000002</v>
      </c>
      <c r="Q118">
        <v>302481.95529999997</v>
      </c>
      <c r="R118">
        <v>276416.67619999999</v>
      </c>
      <c r="S118">
        <v>268300.69870000001</v>
      </c>
      <c r="T118">
        <v>261743.3126</v>
      </c>
      <c r="U118">
        <v>253498.35019999999</v>
      </c>
      <c r="V118">
        <v>247495.23050000001</v>
      </c>
      <c r="W118">
        <v>271352.62540000002</v>
      </c>
      <c r="X118">
        <v>295554.14769999997</v>
      </c>
      <c r="Y118">
        <v>303464.96789999999</v>
      </c>
      <c r="Z118">
        <v>314808.08730000001</v>
      </c>
      <c r="AA118">
        <v>327989.60700000002</v>
      </c>
      <c r="AB118">
        <v>343018.37589999998</v>
      </c>
      <c r="AC118">
        <v>360542.18469999998</v>
      </c>
      <c r="AD118">
        <v>359512.01439999999</v>
      </c>
      <c r="AE118">
        <v>358970.1923</v>
      </c>
      <c r="AF118">
        <v>358603.0147</v>
      </c>
      <c r="AG118">
        <v>357982.43310000002</v>
      </c>
      <c r="AH118">
        <v>357866.46730000002</v>
      </c>
      <c r="AI118">
        <v>360091.7377</v>
      </c>
      <c r="AJ118">
        <v>362555.57530000003</v>
      </c>
      <c r="AK118">
        <v>365204.5269</v>
      </c>
      <c r="AL118">
        <v>367944.85399999999</v>
      </c>
      <c r="AM118">
        <v>370705.09629999998</v>
      </c>
      <c r="AN118">
        <v>372746.68979999999</v>
      </c>
      <c r="AO118">
        <v>375340.27830000001</v>
      </c>
      <c r="AP118">
        <v>377831.69290000002</v>
      </c>
      <c r="AQ118">
        <v>380403.48680000001</v>
      </c>
      <c r="AR118">
        <v>382821.67879999999</v>
      </c>
      <c r="AS118">
        <v>385407.02789999999</v>
      </c>
      <c r="AT118">
        <v>387912.88010000001</v>
      </c>
      <c r="AU118">
        <v>389999.92430000001</v>
      </c>
      <c r="AV118">
        <v>392282.4008</v>
      </c>
      <c r="AW118">
        <v>394749.88339999999</v>
      </c>
    </row>
    <row r="119" spans="2:49" x14ac:dyDescent="0.25">
      <c r="B119" t="s">
        <v>448</v>
      </c>
      <c r="C119">
        <v>18604230.451297902</v>
      </c>
      <c r="D119">
        <v>18902927.3889024</v>
      </c>
      <c r="E119">
        <v>19209702.579999998</v>
      </c>
      <c r="F119">
        <v>19501682.780000001</v>
      </c>
      <c r="G119">
        <v>18268185.190000001</v>
      </c>
      <c r="H119">
        <v>16754047.32</v>
      </c>
      <c r="I119">
        <v>16831094.16</v>
      </c>
      <c r="J119">
        <v>16333404.630000001</v>
      </c>
      <c r="K119">
        <v>15405619.470000001</v>
      </c>
      <c r="L119">
        <v>15036643.529999999</v>
      </c>
      <c r="M119">
        <v>15032490.17</v>
      </c>
      <c r="N119">
        <v>15345113.23</v>
      </c>
      <c r="O119">
        <v>14492268.550000001</v>
      </c>
      <c r="P119">
        <v>13650614.949999999</v>
      </c>
      <c r="Q119">
        <v>12622324.99</v>
      </c>
      <c r="R119">
        <v>12273390.949999999</v>
      </c>
      <c r="S119">
        <v>11972440.359999999</v>
      </c>
      <c r="T119">
        <v>11830360.630000001</v>
      </c>
      <c r="U119">
        <v>11698809.529999999</v>
      </c>
      <c r="V119">
        <v>11645517.27</v>
      </c>
      <c r="W119">
        <v>12104788.58</v>
      </c>
      <c r="X119">
        <v>12496021.9</v>
      </c>
      <c r="Y119">
        <v>12508532.5</v>
      </c>
      <c r="Z119">
        <v>12594873.91</v>
      </c>
      <c r="AA119">
        <v>12694470.539999999</v>
      </c>
      <c r="AB119">
        <v>12798037.98</v>
      </c>
      <c r="AC119">
        <v>12912286.529999999</v>
      </c>
      <c r="AD119">
        <v>13001494.119999999</v>
      </c>
      <c r="AE119">
        <v>13111712.050000001</v>
      </c>
      <c r="AF119">
        <v>13229971.9</v>
      </c>
      <c r="AG119">
        <v>13349371.689999999</v>
      </c>
      <c r="AH119">
        <v>13487680.609999999</v>
      </c>
      <c r="AI119">
        <v>13676143.449999999</v>
      </c>
      <c r="AJ119">
        <v>13874638.210000001</v>
      </c>
      <c r="AK119">
        <v>14081116.9</v>
      </c>
      <c r="AL119">
        <v>14295033.34</v>
      </c>
      <c r="AM119">
        <v>14513551.09</v>
      </c>
      <c r="AN119">
        <v>14712215.73</v>
      </c>
      <c r="AO119">
        <v>14929609.289999999</v>
      </c>
      <c r="AP119">
        <v>15145119.119999999</v>
      </c>
      <c r="AQ119">
        <v>15362429.470000001</v>
      </c>
      <c r="AR119">
        <v>15577440.029999999</v>
      </c>
      <c r="AS119">
        <v>15798692.32</v>
      </c>
      <c r="AT119">
        <v>16017557.33</v>
      </c>
      <c r="AU119">
        <v>16233073.25</v>
      </c>
      <c r="AV119">
        <v>16453679.85</v>
      </c>
      <c r="AW119">
        <v>16682152.880000001</v>
      </c>
    </row>
    <row r="120" spans="2:49" x14ac:dyDescent="0.25">
      <c r="B120" t="s">
        <v>449</v>
      </c>
      <c r="C120">
        <v>583438.22926562198</v>
      </c>
      <c r="D120">
        <v>592805.51875492395</v>
      </c>
      <c r="E120">
        <v>602323.20449999999</v>
      </c>
      <c r="F120">
        <v>627994.20109999995</v>
      </c>
      <c r="G120">
        <v>611287.38569999998</v>
      </c>
      <c r="H120">
        <v>526381.87340000004</v>
      </c>
      <c r="I120">
        <v>520046.93479999999</v>
      </c>
      <c r="J120">
        <v>524995.40980000002</v>
      </c>
      <c r="K120">
        <v>497595.01819999999</v>
      </c>
      <c r="L120">
        <v>477585.8725</v>
      </c>
      <c r="M120">
        <v>439540.03320000001</v>
      </c>
      <c r="N120">
        <v>396753.89480000001</v>
      </c>
      <c r="O120">
        <v>379263.58850000001</v>
      </c>
      <c r="P120">
        <v>377036.99410000001</v>
      </c>
      <c r="Q120">
        <v>363134.79229999997</v>
      </c>
      <c r="R120">
        <v>361179.13419999997</v>
      </c>
      <c r="S120">
        <v>363575.47649999999</v>
      </c>
      <c r="T120">
        <v>359279.83510000003</v>
      </c>
      <c r="U120">
        <v>349797.32770000002</v>
      </c>
      <c r="V120">
        <v>346559.18560000003</v>
      </c>
      <c r="W120">
        <v>368327.6079</v>
      </c>
      <c r="X120">
        <v>388171.60340000002</v>
      </c>
      <c r="Y120">
        <v>380755.42920000001</v>
      </c>
      <c r="Z120">
        <v>375779.1508</v>
      </c>
      <c r="AA120">
        <v>371930.51130000001</v>
      </c>
      <c r="AB120">
        <v>368156.4069</v>
      </c>
      <c r="AC120">
        <v>364601.54800000001</v>
      </c>
      <c r="AD120">
        <v>363008.07160000002</v>
      </c>
      <c r="AE120">
        <v>361556.29060000001</v>
      </c>
      <c r="AF120">
        <v>360269.65210000001</v>
      </c>
      <c r="AG120">
        <v>358594.92509999999</v>
      </c>
      <c r="AH120">
        <v>357887.33519999997</v>
      </c>
      <c r="AI120">
        <v>358677.39529999997</v>
      </c>
      <c r="AJ120">
        <v>359303.58689999999</v>
      </c>
      <c r="AK120">
        <v>360534.28139999998</v>
      </c>
      <c r="AL120">
        <v>361760.8762</v>
      </c>
      <c r="AM120">
        <v>362822.8751</v>
      </c>
      <c r="AN120">
        <v>362683.4645</v>
      </c>
      <c r="AO120">
        <v>362839.76130000001</v>
      </c>
      <c r="AP120">
        <v>362939.80410000001</v>
      </c>
      <c r="AQ120">
        <v>363492.97149999999</v>
      </c>
      <c r="AR120">
        <v>363592.70760000002</v>
      </c>
      <c r="AS120">
        <v>363986.91149999999</v>
      </c>
      <c r="AT120">
        <v>364509.33309999999</v>
      </c>
      <c r="AU120">
        <v>364452.72600000002</v>
      </c>
      <c r="AV120">
        <v>364583.21460000001</v>
      </c>
      <c r="AW120">
        <v>367432.53460000001</v>
      </c>
    </row>
    <row r="121" spans="2:49" x14ac:dyDescent="0.25">
      <c r="B121" t="s">
        <v>450</v>
      </c>
      <c r="C121">
        <v>640997.091904014</v>
      </c>
      <c r="D121">
        <v>651288.50755091803</v>
      </c>
      <c r="E121">
        <v>661996.35600000003</v>
      </c>
      <c r="F121">
        <v>673887.5601</v>
      </c>
      <c r="G121">
        <v>633185.24730000005</v>
      </c>
      <c r="H121">
        <v>621013.58360000001</v>
      </c>
      <c r="I121">
        <v>629037.65079999994</v>
      </c>
      <c r="J121">
        <v>603246.63419999997</v>
      </c>
      <c r="K121">
        <v>567543.2561</v>
      </c>
      <c r="L121">
        <v>571595.39150000003</v>
      </c>
      <c r="M121">
        <v>581061.13910000003</v>
      </c>
      <c r="N121">
        <v>611453.20360000001</v>
      </c>
      <c r="O121">
        <v>647493.61380000005</v>
      </c>
      <c r="P121">
        <v>661375.27170000004</v>
      </c>
      <c r="Q121">
        <v>615796.22109999997</v>
      </c>
      <c r="R121">
        <v>633459.85309999995</v>
      </c>
      <c r="S121">
        <v>632004.09669999999</v>
      </c>
      <c r="T121">
        <v>627287.85939999996</v>
      </c>
      <c r="U121">
        <v>625541.58369999996</v>
      </c>
      <c r="V121">
        <v>627675.94090000005</v>
      </c>
      <c r="W121">
        <v>628766.90529999998</v>
      </c>
      <c r="X121">
        <v>625762.35239999997</v>
      </c>
      <c r="Y121">
        <v>631589.66749999998</v>
      </c>
      <c r="Z121">
        <v>637656.07880000002</v>
      </c>
      <c r="AA121">
        <v>644231.59530000004</v>
      </c>
      <c r="AB121">
        <v>650801.04390000005</v>
      </c>
      <c r="AC121">
        <v>657435.41379999998</v>
      </c>
      <c r="AD121">
        <v>662921.99380000005</v>
      </c>
      <c r="AE121">
        <v>667173.18070000003</v>
      </c>
      <c r="AF121">
        <v>672011.00749999995</v>
      </c>
      <c r="AG121">
        <v>677160.55350000004</v>
      </c>
      <c r="AH121">
        <v>681142.13659999997</v>
      </c>
      <c r="AI121">
        <v>688076.04669999995</v>
      </c>
      <c r="AJ121">
        <v>694960.90040000004</v>
      </c>
      <c r="AK121">
        <v>701950.83860000002</v>
      </c>
      <c r="AL121">
        <v>709145.40469999996</v>
      </c>
      <c r="AM121">
        <v>716512.10919999995</v>
      </c>
      <c r="AN121">
        <v>722571.42590000003</v>
      </c>
      <c r="AO121">
        <v>729013.69839999999</v>
      </c>
      <c r="AP121">
        <v>735599.76</v>
      </c>
      <c r="AQ121">
        <v>742370.29940000002</v>
      </c>
      <c r="AR121">
        <v>749180.14969999995</v>
      </c>
      <c r="AS121">
        <v>755643.05229999998</v>
      </c>
      <c r="AT121">
        <v>762270.86419999995</v>
      </c>
      <c r="AU121">
        <v>768975.30669999996</v>
      </c>
      <c r="AV121">
        <v>775681.24670000002</v>
      </c>
      <c r="AW121">
        <v>782576.89170000004</v>
      </c>
    </row>
    <row r="122" spans="2:49" x14ac:dyDescent="0.25">
      <c r="B122" t="s">
        <v>451</v>
      </c>
      <c r="C122">
        <v>2194958.1052306499</v>
      </c>
      <c r="D122">
        <v>2230198.86758945</v>
      </c>
      <c r="E122">
        <v>2254498.4330000002</v>
      </c>
      <c r="F122">
        <v>2243121.7059999998</v>
      </c>
      <c r="G122">
        <v>2234431.2089999998</v>
      </c>
      <c r="H122">
        <v>2230678.7930000001</v>
      </c>
      <c r="I122">
        <v>2237604.2250000001</v>
      </c>
      <c r="J122">
        <v>2251886.1690000002</v>
      </c>
      <c r="K122">
        <v>2253943.9569999999</v>
      </c>
      <c r="L122">
        <v>2252349.29</v>
      </c>
      <c r="M122">
        <v>2267127.031</v>
      </c>
      <c r="N122">
        <v>2246072.9530000002</v>
      </c>
      <c r="O122">
        <v>2273940.5129999998</v>
      </c>
      <c r="P122">
        <v>2296429.4989999998</v>
      </c>
      <c r="Q122">
        <v>2325359.8659999999</v>
      </c>
      <c r="R122">
        <v>2354900.148</v>
      </c>
      <c r="S122">
        <v>2339243.327</v>
      </c>
      <c r="T122">
        <v>2302754.6549999998</v>
      </c>
      <c r="U122">
        <v>2287859.085</v>
      </c>
      <c r="V122">
        <v>2284164.824</v>
      </c>
      <c r="W122">
        <v>2287657.926</v>
      </c>
      <c r="X122">
        <v>2262408.477</v>
      </c>
      <c r="Y122">
        <v>2249398.29</v>
      </c>
      <c r="Z122">
        <v>2229287.8199999998</v>
      </c>
      <c r="AA122">
        <v>2207821.0720000002</v>
      </c>
      <c r="AB122">
        <v>2184665.1140000001</v>
      </c>
      <c r="AC122">
        <v>2160092.3659999999</v>
      </c>
      <c r="AD122">
        <v>2132803.517</v>
      </c>
      <c r="AE122">
        <v>2098795.9279999998</v>
      </c>
      <c r="AF122">
        <v>2067547.0959999999</v>
      </c>
      <c r="AG122">
        <v>2037012.088</v>
      </c>
      <c r="AH122">
        <v>2000850.9739999999</v>
      </c>
      <c r="AI122">
        <v>1989173.2109999999</v>
      </c>
      <c r="AJ122">
        <v>1976436.426</v>
      </c>
      <c r="AK122">
        <v>1963146.074</v>
      </c>
      <c r="AL122">
        <v>1949677.68</v>
      </c>
      <c r="AM122">
        <v>1935848.06</v>
      </c>
      <c r="AN122">
        <v>1935751.558</v>
      </c>
      <c r="AO122">
        <v>1936307.192</v>
      </c>
      <c r="AP122">
        <v>1937045.297</v>
      </c>
      <c r="AQ122">
        <v>1937773.6939999999</v>
      </c>
      <c r="AR122">
        <v>1938299.1129999999</v>
      </c>
      <c r="AS122">
        <v>1946259.9310000001</v>
      </c>
      <c r="AT122">
        <v>1954499.69</v>
      </c>
      <c r="AU122">
        <v>1962870.7849999999</v>
      </c>
      <c r="AV122">
        <v>1971243.4240000001</v>
      </c>
      <c r="AW122">
        <v>1980027.327</v>
      </c>
    </row>
    <row r="123" spans="2:49" x14ac:dyDescent="0.25">
      <c r="B123" t="s">
        <v>452</v>
      </c>
      <c r="C123">
        <v>48301536.741083004</v>
      </c>
      <c r="D123">
        <v>49077033.537035801</v>
      </c>
      <c r="E123">
        <v>49926445.490000002</v>
      </c>
      <c r="F123">
        <v>49626665.899999999</v>
      </c>
      <c r="G123">
        <v>48651356.520000003</v>
      </c>
      <c r="H123">
        <v>46895272.380000003</v>
      </c>
      <c r="I123">
        <v>46506650.32</v>
      </c>
      <c r="J123">
        <v>46209085.140000001</v>
      </c>
      <c r="K123">
        <v>45625912.159999996</v>
      </c>
      <c r="L123">
        <v>44771778.920000002</v>
      </c>
      <c r="M123">
        <v>44298971.909999996</v>
      </c>
      <c r="N123">
        <v>43764749.719999999</v>
      </c>
      <c r="O123">
        <v>43713829.039999999</v>
      </c>
      <c r="P123">
        <v>43876200.740000002</v>
      </c>
      <c r="Q123">
        <v>43273354.5</v>
      </c>
      <c r="R123">
        <v>42687727.149999999</v>
      </c>
      <c r="S123">
        <v>42228852.119999997</v>
      </c>
      <c r="T123">
        <v>42573908.079999998</v>
      </c>
      <c r="U123">
        <v>42794192.420000002</v>
      </c>
      <c r="V123">
        <v>43323205.219999999</v>
      </c>
      <c r="W123">
        <v>43736953.340000004</v>
      </c>
      <c r="X123">
        <v>43786276.939999998</v>
      </c>
      <c r="Y123">
        <v>43717976.649999999</v>
      </c>
      <c r="Z123">
        <v>43778223.289999999</v>
      </c>
      <c r="AA123">
        <v>43891232.049999997</v>
      </c>
      <c r="AB123">
        <v>44028035.039999999</v>
      </c>
      <c r="AC123">
        <v>44203643.380000003</v>
      </c>
      <c r="AD123">
        <v>44014861.270000003</v>
      </c>
      <c r="AE123">
        <v>43843355.049999997</v>
      </c>
      <c r="AF123">
        <v>43689650.32</v>
      </c>
      <c r="AG123">
        <v>43538691.990000002</v>
      </c>
      <c r="AH123">
        <v>43407252.090000004</v>
      </c>
      <c r="AI123">
        <v>43449830.619999997</v>
      </c>
      <c r="AJ123">
        <v>43499500.119999997</v>
      </c>
      <c r="AK123">
        <v>43558613.119999997</v>
      </c>
      <c r="AL123">
        <v>43622896.520000003</v>
      </c>
      <c r="AM123">
        <v>43681542.100000001</v>
      </c>
      <c r="AN123">
        <v>44009546.18</v>
      </c>
      <c r="AO123">
        <v>44367615.189999998</v>
      </c>
      <c r="AP123">
        <v>44718400.469999999</v>
      </c>
      <c r="AQ123">
        <v>45070651.960000001</v>
      </c>
      <c r="AR123">
        <v>45412866.479999997</v>
      </c>
      <c r="AS123">
        <v>45968323.07</v>
      </c>
      <c r="AT123">
        <v>46520405.5</v>
      </c>
      <c r="AU123">
        <v>47076531.75</v>
      </c>
      <c r="AV123">
        <v>47637874.649999999</v>
      </c>
      <c r="AW123">
        <v>48220359.549999997</v>
      </c>
    </row>
    <row r="124" spans="2:49" x14ac:dyDescent="0.25">
      <c r="B124" t="s">
        <v>453</v>
      </c>
      <c r="C124">
        <v>9397840.0105028208</v>
      </c>
      <c r="D124">
        <v>9548725.3716889191</v>
      </c>
      <c r="E124">
        <v>9705874.77999999</v>
      </c>
      <c r="F124">
        <v>11067078.470000001</v>
      </c>
      <c r="G124">
        <v>9331171.8059999999</v>
      </c>
      <c r="H124">
        <v>6712903.0010000002</v>
      </c>
      <c r="I124">
        <v>7959886.2630000003</v>
      </c>
      <c r="J124">
        <v>6266893.9119999995</v>
      </c>
      <c r="K124">
        <v>7262145.2630000003</v>
      </c>
      <c r="L124">
        <v>6513499.625</v>
      </c>
      <c r="M124">
        <v>6524818.96</v>
      </c>
      <c r="N124">
        <v>6686717.1430000002</v>
      </c>
      <c r="O124">
        <v>6093980.5999999996</v>
      </c>
      <c r="P124">
        <v>6454252.6859999998</v>
      </c>
      <c r="Q124">
        <v>6341783.5310000004</v>
      </c>
      <c r="R124">
        <v>6453785.3130000001</v>
      </c>
      <c r="S124">
        <v>6447590.3159999996</v>
      </c>
      <c r="T124">
        <v>6332348.7680000002</v>
      </c>
      <c r="U124">
        <v>6369270.2400000002</v>
      </c>
      <c r="V124">
        <v>6448348.8839999996</v>
      </c>
      <c r="W124">
        <v>6502717.0420000004</v>
      </c>
      <c r="X124">
        <v>6529466.2029999997</v>
      </c>
      <c r="Y124">
        <v>6582997.7470000004</v>
      </c>
      <c r="Z124">
        <v>6648271.324</v>
      </c>
      <c r="AA124">
        <v>6720521.875</v>
      </c>
      <c r="AB124">
        <v>6795134.5329999998</v>
      </c>
      <c r="AC124">
        <v>6874279.2170000002</v>
      </c>
      <c r="AD124">
        <v>6948162.8830000004</v>
      </c>
      <c r="AE124">
        <v>7024703.943</v>
      </c>
      <c r="AF124">
        <v>7106586.0729999999</v>
      </c>
      <c r="AG124">
        <v>7193971.8219999997</v>
      </c>
      <c r="AH124">
        <v>7287854.9720000001</v>
      </c>
      <c r="AI124">
        <v>7392315.6150000002</v>
      </c>
      <c r="AJ124">
        <v>7504318.5350000001</v>
      </c>
      <c r="AK124">
        <v>7620098.9670000002</v>
      </c>
      <c r="AL124">
        <v>7740375.9720000001</v>
      </c>
      <c r="AM124">
        <v>7863515.1279999996</v>
      </c>
      <c r="AN124">
        <v>7983376.3760000002</v>
      </c>
      <c r="AO124">
        <v>8108329.6239999998</v>
      </c>
      <c r="AP124">
        <v>8233168.3650000002</v>
      </c>
      <c r="AQ124">
        <v>8357813.4160000002</v>
      </c>
      <c r="AR124">
        <v>8481671.7180000003</v>
      </c>
      <c r="AS124">
        <v>8604619.0889999997</v>
      </c>
      <c r="AT124">
        <v>8728145.6329999994</v>
      </c>
      <c r="AU124">
        <v>8853449.6600000001</v>
      </c>
      <c r="AV124">
        <v>8979924.6390000004</v>
      </c>
      <c r="AW124">
        <v>9109762.71199999</v>
      </c>
    </row>
    <row r="125" spans="2:49" x14ac:dyDescent="0.25">
      <c r="B125" t="s">
        <v>454</v>
      </c>
      <c r="C125">
        <v>2784044.1169573502</v>
      </c>
      <c r="D125">
        <v>2828742.8457796802</v>
      </c>
      <c r="E125">
        <v>2875233.8760000002</v>
      </c>
      <c r="F125">
        <v>2984883.3640000001</v>
      </c>
      <c r="G125">
        <v>2964272.952</v>
      </c>
      <c r="H125">
        <v>2427363.7659999998</v>
      </c>
      <c r="I125">
        <v>2450399.264</v>
      </c>
      <c r="J125">
        <v>2560853.1510000001</v>
      </c>
      <c r="K125">
        <v>2499708.0430000001</v>
      </c>
      <c r="L125">
        <v>2428608.085</v>
      </c>
      <c r="M125">
        <v>2423687.5109999999</v>
      </c>
      <c r="N125">
        <v>2553375.6039999998</v>
      </c>
      <c r="O125">
        <v>2548522.128</v>
      </c>
      <c r="P125">
        <v>2543351.0299999998</v>
      </c>
      <c r="Q125">
        <v>2621161.8859999999</v>
      </c>
      <c r="R125">
        <v>2654818.0720000002</v>
      </c>
      <c r="S125">
        <v>2620723.35</v>
      </c>
      <c r="T125">
        <v>2565692.1889999998</v>
      </c>
      <c r="U125">
        <v>2528363.5499999998</v>
      </c>
      <c r="V125">
        <v>2507275.6460000002</v>
      </c>
      <c r="W125">
        <v>2508489.2889999999</v>
      </c>
      <c r="X125">
        <v>2494924.159</v>
      </c>
      <c r="Y125">
        <v>2501817.4369999999</v>
      </c>
      <c r="Z125">
        <v>2515023.6529999999</v>
      </c>
      <c r="AA125">
        <v>2536197.298</v>
      </c>
      <c r="AB125">
        <v>2560303.6269999999</v>
      </c>
      <c r="AC125">
        <v>2585789.341</v>
      </c>
      <c r="AD125">
        <v>2610233.94</v>
      </c>
      <c r="AE125">
        <v>2636665.483</v>
      </c>
      <c r="AF125">
        <v>2666777.4700000002</v>
      </c>
      <c r="AG125">
        <v>2699431.503</v>
      </c>
      <c r="AH125">
        <v>2734836.0989999999</v>
      </c>
      <c r="AI125">
        <v>2775810.7540000002</v>
      </c>
      <c r="AJ125">
        <v>2819690.9939999999</v>
      </c>
      <c r="AK125">
        <v>2864753.9270000001</v>
      </c>
      <c r="AL125">
        <v>2912058.6409999998</v>
      </c>
      <c r="AM125">
        <v>2960496.952</v>
      </c>
      <c r="AN125">
        <v>3002191.5159999998</v>
      </c>
      <c r="AO125">
        <v>3042850.429</v>
      </c>
      <c r="AP125">
        <v>3082592.949</v>
      </c>
      <c r="AQ125">
        <v>3121570.6030000001</v>
      </c>
      <c r="AR125">
        <v>3159487.0759999999</v>
      </c>
      <c r="AS125">
        <v>3200408.0690000001</v>
      </c>
      <c r="AT125">
        <v>3242168.9380000001</v>
      </c>
      <c r="AU125">
        <v>3284420.267</v>
      </c>
      <c r="AV125">
        <v>3328070.1060000001</v>
      </c>
      <c r="AW125">
        <v>3371405.9210000001</v>
      </c>
    </row>
    <row r="126" spans="2:49" x14ac:dyDescent="0.25">
      <c r="B126" t="s">
        <v>455</v>
      </c>
      <c r="C126">
        <v>20640520.667746101</v>
      </c>
      <c r="D126">
        <v>20971910.903432399</v>
      </c>
      <c r="E126">
        <v>21313932.760000002</v>
      </c>
      <c r="F126">
        <v>22187989.690000001</v>
      </c>
      <c r="G126">
        <v>21880443.760000002</v>
      </c>
      <c r="H126">
        <v>21532361.98</v>
      </c>
      <c r="I126">
        <v>21977937</v>
      </c>
      <c r="J126">
        <v>21697474.829999998</v>
      </c>
      <c r="K126">
        <v>20950062.73</v>
      </c>
      <c r="L126">
        <v>20809436.399999999</v>
      </c>
      <c r="M126">
        <v>21292118.690000001</v>
      </c>
      <c r="N126">
        <v>22420871.550000001</v>
      </c>
      <c r="O126">
        <v>22030149.050000001</v>
      </c>
      <c r="P126">
        <v>21040048.940000001</v>
      </c>
      <c r="Q126">
        <v>19465238.850000001</v>
      </c>
      <c r="R126">
        <v>18262406.07</v>
      </c>
      <c r="S126">
        <v>17330938.27</v>
      </c>
      <c r="T126">
        <v>16861640.199999999</v>
      </c>
      <c r="U126" s="100">
        <v>16393632.02</v>
      </c>
      <c r="V126">
        <v>15917612.84</v>
      </c>
      <c r="W126">
        <v>16143410.199999999</v>
      </c>
      <c r="X126">
        <v>16378711.65</v>
      </c>
      <c r="Y126">
        <v>16148828.050000001</v>
      </c>
      <c r="Z126">
        <v>15900796.619999999</v>
      </c>
      <c r="AA126">
        <v>15646678.609999999</v>
      </c>
      <c r="AB126">
        <v>15390259.73</v>
      </c>
      <c r="AC126">
        <v>15133626.01</v>
      </c>
      <c r="AD126">
        <v>14887816.42</v>
      </c>
      <c r="AE126">
        <v>14642628.210000001</v>
      </c>
      <c r="AF126">
        <v>14398879.279999999</v>
      </c>
      <c r="AG126">
        <v>14144782.960000001</v>
      </c>
      <c r="AH126">
        <v>13893823.1</v>
      </c>
      <c r="AI126">
        <v>13690412.789999999</v>
      </c>
      <c r="AJ126">
        <v>13493020.65</v>
      </c>
      <c r="AK126">
        <v>13299182.859999999</v>
      </c>
      <c r="AL126">
        <v>13107208.380000001</v>
      </c>
      <c r="AM126">
        <v>12918503.27</v>
      </c>
      <c r="AN126">
        <v>12728929.66</v>
      </c>
      <c r="AO126">
        <v>12547291.6</v>
      </c>
      <c r="AP126">
        <v>12370179.210000001</v>
      </c>
      <c r="AQ126">
        <v>12196454.42</v>
      </c>
      <c r="AR126">
        <v>12025902.529999999</v>
      </c>
      <c r="AS126">
        <v>11857528.65</v>
      </c>
      <c r="AT126">
        <v>11693312.310000001</v>
      </c>
      <c r="AU126">
        <v>11524453.41</v>
      </c>
      <c r="AV126">
        <v>11361554.16</v>
      </c>
      <c r="AW126">
        <v>11201759.42</v>
      </c>
    </row>
    <row r="127" spans="2:49" x14ac:dyDescent="0.25">
      <c r="B127" t="s">
        <v>456</v>
      </c>
      <c r="C127">
        <v>261855678.291933</v>
      </c>
      <c r="D127">
        <v>266059855.90652901</v>
      </c>
      <c r="E127">
        <v>270446411.19999999</v>
      </c>
      <c r="F127">
        <v>272018682.60000002</v>
      </c>
      <c r="G127">
        <v>256453275.40000001</v>
      </c>
      <c r="H127">
        <v>237902840.19999999</v>
      </c>
      <c r="I127">
        <v>234619219.40000001</v>
      </c>
      <c r="J127">
        <v>227771890.40000001</v>
      </c>
      <c r="K127">
        <v>217536697.59999999</v>
      </c>
      <c r="L127">
        <v>211383410.90000001</v>
      </c>
      <c r="M127">
        <v>210068629.90000001</v>
      </c>
      <c r="N127">
        <v>211183130.5</v>
      </c>
      <c r="O127">
        <v>202121465</v>
      </c>
      <c r="P127">
        <v>194496729.59999999</v>
      </c>
      <c r="Q127">
        <v>183610325.59999999</v>
      </c>
      <c r="R127">
        <v>176052601.40000001</v>
      </c>
      <c r="S127">
        <v>169557344.59999999</v>
      </c>
      <c r="T127">
        <v>167439746.19999999</v>
      </c>
      <c r="U127">
        <v>165718131.30000001</v>
      </c>
      <c r="V127">
        <v>164883898.09999999</v>
      </c>
      <c r="W127">
        <v>165531996.19999999</v>
      </c>
      <c r="X127">
        <v>164686065.19999999</v>
      </c>
      <c r="Y127">
        <v>164718139.90000001</v>
      </c>
      <c r="Z127">
        <v>165770466.80000001</v>
      </c>
      <c r="AA127">
        <v>167255657.80000001</v>
      </c>
      <c r="AB127">
        <v>169037681.80000001</v>
      </c>
      <c r="AC127">
        <v>171162336.19999999</v>
      </c>
      <c r="AD127">
        <v>171347034.09999999</v>
      </c>
      <c r="AE127">
        <v>171636143.09999999</v>
      </c>
      <c r="AF127">
        <v>171984092.5</v>
      </c>
      <c r="AG127">
        <v>172391011.19999999</v>
      </c>
      <c r="AH127">
        <v>172940029.69999999</v>
      </c>
      <c r="AI127">
        <v>173891353.19999999</v>
      </c>
      <c r="AJ127">
        <v>174925093.59999999</v>
      </c>
      <c r="AK127">
        <v>176033608.69999999</v>
      </c>
      <c r="AL127">
        <v>177222421.40000001</v>
      </c>
      <c r="AM127">
        <v>178433549.40000001</v>
      </c>
      <c r="AN127">
        <v>179157580.5</v>
      </c>
      <c r="AO127">
        <v>179846394.80000001</v>
      </c>
      <c r="AP127">
        <v>180468080</v>
      </c>
      <c r="AQ127">
        <v>181082714.80000001</v>
      </c>
      <c r="AR127">
        <v>181641061.90000001</v>
      </c>
      <c r="AS127">
        <v>183604159.09999999</v>
      </c>
      <c r="AT127">
        <v>185744777.59999999</v>
      </c>
      <c r="AU127">
        <v>187896169.59999999</v>
      </c>
      <c r="AV127">
        <v>190056679.69999999</v>
      </c>
      <c r="AW127">
        <v>192285294.69999999</v>
      </c>
    </row>
    <row r="128" spans="2:49" x14ac:dyDescent="0.25">
      <c r="B128" t="s">
        <v>457</v>
      </c>
      <c r="C128">
        <v>5733144.4507061103</v>
      </c>
      <c r="D128">
        <v>5825191.9393003099</v>
      </c>
      <c r="E128">
        <v>5919233.7230000002</v>
      </c>
      <c r="F128">
        <v>6043683.1339999996</v>
      </c>
      <c r="G128">
        <v>5969887.7910000002</v>
      </c>
      <c r="H128">
        <v>6213141.2850000001</v>
      </c>
      <c r="I128">
        <v>6281590.1040000003</v>
      </c>
      <c r="J128">
        <v>6185235.8490000004</v>
      </c>
      <c r="K128">
        <v>6008009.716</v>
      </c>
      <c r="L128">
        <v>5998281.5120000001</v>
      </c>
      <c r="M128">
        <v>6093370.8459999999</v>
      </c>
      <c r="N128">
        <v>6363115.7779999999</v>
      </c>
      <c r="O128">
        <v>6316846.8899999997</v>
      </c>
      <c r="P128">
        <v>6006505.2759999996</v>
      </c>
      <c r="Q128">
        <v>5442327.0149999997</v>
      </c>
      <c r="R128">
        <v>5032618.9819999998</v>
      </c>
      <c r="S128">
        <v>4752104.3880000003</v>
      </c>
      <c r="T128">
        <v>4550105.4979999997</v>
      </c>
      <c r="U128">
        <v>4348422.1749999998</v>
      </c>
      <c r="V128">
        <v>4142473.767</v>
      </c>
      <c r="W128">
        <v>4284501.7539999997</v>
      </c>
      <c r="X128">
        <v>4424501.0920000002</v>
      </c>
      <c r="Y128">
        <v>4345232.4960000003</v>
      </c>
      <c r="Z128">
        <v>4259748.4050000003</v>
      </c>
      <c r="AA128">
        <v>4172983.358</v>
      </c>
      <c r="AB128">
        <v>4086216.4670000002</v>
      </c>
      <c r="AC128">
        <v>4000172.9449999998</v>
      </c>
      <c r="AD128">
        <v>3919264.452</v>
      </c>
      <c r="AE128">
        <v>3839149.0630000001</v>
      </c>
      <c r="AF128">
        <v>3760173.8089999999</v>
      </c>
      <c r="AG128">
        <v>3677650.827</v>
      </c>
      <c r="AH128">
        <v>3596798.4819999998</v>
      </c>
      <c r="AI128">
        <v>3535387.2960000001</v>
      </c>
      <c r="AJ128">
        <v>3476258.2579999999</v>
      </c>
      <c r="AK128">
        <v>3418464.236</v>
      </c>
      <c r="AL128">
        <v>3361335.0469999998</v>
      </c>
      <c r="AM128">
        <v>3305387.9079999998</v>
      </c>
      <c r="AN128">
        <v>3245951.0950000002</v>
      </c>
      <c r="AO128">
        <v>3188682.3160000001</v>
      </c>
      <c r="AP128">
        <v>3132824.0320000001</v>
      </c>
      <c r="AQ128">
        <v>3078082.2590000001</v>
      </c>
      <c r="AR128">
        <v>3024422.1140000001</v>
      </c>
      <c r="AS128">
        <v>2971531.7069999999</v>
      </c>
      <c r="AT128">
        <v>2920094.9580000001</v>
      </c>
      <c r="AU128">
        <v>2866778.8569999998</v>
      </c>
      <c r="AV128">
        <v>2815707.4909999999</v>
      </c>
      <c r="AW128">
        <v>2765784.4939999999</v>
      </c>
    </row>
    <row r="129" spans="2:49" x14ac:dyDescent="0.25">
      <c r="B129" t="s">
        <v>458</v>
      </c>
      <c r="C129">
        <v>746221.21464997705</v>
      </c>
      <c r="D129">
        <v>758202.03762327298</v>
      </c>
      <c r="E129">
        <v>770375.21660000004</v>
      </c>
      <c r="F129">
        <v>784864.38020000001</v>
      </c>
      <c r="G129">
        <v>646032.04810000001</v>
      </c>
      <c r="H129">
        <v>574427.74600000004</v>
      </c>
      <c r="I129">
        <v>367019.56689999998</v>
      </c>
      <c r="J129">
        <v>369945.48200000002</v>
      </c>
      <c r="K129">
        <v>341443.3996</v>
      </c>
      <c r="L129">
        <v>336842.74560000002</v>
      </c>
      <c r="M129">
        <v>340330.54239999998</v>
      </c>
      <c r="N129">
        <v>330185.41399999999</v>
      </c>
      <c r="O129">
        <v>281259.51160000003</v>
      </c>
      <c r="P129">
        <v>242305.92019999999</v>
      </c>
      <c r="Q129">
        <v>213274.9834</v>
      </c>
      <c r="R129">
        <v>191144.32089999999</v>
      </c>
      <c r="S129">
        <v>171270.54300000001</v>
      </c>
      <c r="T129">
        <v>160660.69779999999</v>
      </c>
      <c r="U129">
        <v>150240.84239999999</v>
      </c>
      <c r="V129">
        <v>142057.3242</v>
      </c>
      <c r="W129">
        <v>130812.6393</v>
      </c>
      <c r="X129">
        <v>119163.90609999999</v>
      </c>
      <c r="Y129">
        <v>116193.5512</v>
      </c>
      <c r="Z129">
        <v>115926.72629999999</v>
      </c>
      <c r="AA129">
        <v>116421.71829999999</v>
      </c>
      <c r="AB129">
        <v>117148.05409999999</v>
      </c>
      <c r="AC129">
        <v>118097.5434</v>
      </c>
      <c r="AD129">
        <v>118762.7789</v>
      </c>
      <c r="AE129">
        <v>119484.0873</v>
      </c>
      <c r="AF129">
        <v>120192.29459999999</v>
      </c>
      <c r="AG129">
        <v>120983.0818</v>
      </c>
      <c r="AH129">
        <v>122007.8336</v>
      </c>
      <c r="AI129">
        <v>122888.9531</v>
      </c>
      <c r="AJ129">
        <v>123714.4372</v>
      </c>
      <c r="AK129">
        <v>124692.5143</v>
      </c>
      <c r="AL129">
        <v>125686.3365</v>
      </c>
      <c r="AM129">
        <v>126646.16</v>
      </c>
      <c r="AN129">
        <v>123841.8943</v>
      </c>
      <c r="AO129">
        <v>120404.323</v>
      </c>
      <c r="AP129">
        <v>116830.85219999999</v>
      </c>
      <c r="AQ129">
        <v>113366.7044</v>
      </c>
      <c r="AR129">
        <v>109821.04120000001</v>
      </c>
      <c r="AS129">
        <v>108200.39840000001</v>
      </c>
      <c r="AT129">
        <v>106928.1473</v>
      </c>
      <c r="AU129">
        <v>105703.6795</v>
      </c>
      <c r="AV129">
        <v>104456.0949</v>
      </c>
      <c r="AW129">
        <v>103556.185</v>
      </c>
    </row>
    <row r="130" spans="2:49" x14ac:dyDescent="0.25">
      <c r="B130" t="s">
        <v>459</v>
      </c>
      <c r="C130">
        <v>480333.66960581898</v>
      </c>
      <c r="D130">
        <v>488045.58203966799</v>
      </c>
      <c r="E130">
        <v>495881.31170000002</v>
      </c>
      <c r="F130">
        <v>501001.76419999998</v>
      </c>
      <c r="G130">
        <v>417662.10840000003</v>
      </c>
      <c r="H130">
        <v>386836.65659999999</v>
      </c>
      <c r="I130">
        <v>350207.57980000001</v>
      </c>
      <c r="J130">
        <v>314441.89889999997</v>
      </c>
      <c r="K130">
        <v>303560.20909999998</v>
      </c>
      <c r="L130">
        <v>325422.59240000002</v>
      </c>
      <c r="M130">
        <v>326911.00069999998</v>
      </c>
      <c r="N130">
        <v>328443.57339999999</v>
      </c>
      <c r="O130">
        <v>246573.37059999999</v>
      </c>
      <c r="P130">
        <v>190457.3463</v>
      </c>
      <c r="Q130">
        <v>161810.3131</v>
      </c>
      <c r="R130">
        <v>144173.02710000001</v>
      </c>
      <c r="S130">
        <v>129551.0698</v>
      </c>
      <c r="T130">
        <v>126154.4822</v>
      </c>
      <c r="U130">
        <v>124243.7966</v>
      </c>
      <c r="V130">
        <v>122538.5432</v>
      </c>
      <c r="W130">
        <v>126224.4838</v>
      </c>
      <c r="X130">
        <v>128618.7228</v>
      </c>
      <c r="Y130">
        <v>136863.07879999999</v>
      </c>
      <c r="Z130">
        <v>148056.53969999999</v>
      </c>
      <c r="AA130">
        <v>161363.0833</v>
      </c>
      <c r="AB130">
        <v>177009.16759999999</v>
      </c>
      <c r="AC130">
        <v>195666.63930000001</v>
      </c>
      <c r="AD130">
        <v>197361.77179999999</v>
      </c>
      <c r="AE130">
        <v>199306.08619999999</v>
      </c>
      <c r="AF130">
        <v>201271.86910000001</v>
      </c>
      <c r="AG130">
        <v>203431.65530000001</v>
      </c>
      <c r="AH130">
        <v>205800.42290000001</v>
      </c>
      <c r="AI130">
        <v>208253.84460000001</v>
      </c>
      <c r="AJ130">
        <v>210810.38010000001</v>
      </c>
      <c r="AK130">
        <v>213478.85159999999</v>
      </c>
      <c r="AL130">
        <v>216237.891</v>
      </c>
      <c r="AM130">
        <v>219041.38080000001</v>
      </c>
      <c r="AN130">
        <v>217726.6361</v>
      </c>
      <c r="AO130">
        <v>215514.41029999999</v>
      </c>
      <c r="AP130">
        <v>212850.4106</v>
      </c>
      <c r="AQ130">
        <v>209913.9902</v>
      </c>
      <c r="AR130">
        <v>206688.32980000001</v>
      </c>
      <c r="AS130">
        <v>205870.8394</v>
      </c>
      <c r="AT130">
        <v>205401.29130000001</v>
      </c>
      <c r="AU130">
        <v>205006.02720000001</v>
      </c>
      <c r="AV130">
        <v>204495.80859999999</v>
      </c>
      <c r="AW130">
        <v>203927.03030000001</v>
      </c>
    </row>
    <row r="131" spans="2:49" x14ac:dyDescent="0.25">
      <c r="B131" t="s">
        <v>460</v>
      </c>
      <c r="C131">
        <v>1469582.3108926199</v>
      </c>
      <c r="D131">
        <v>1493176.93024387</v>
      </c>
      <c r="E131">
        <v>1517150.3689999999</v>
      </c>
      <c r="F131">
        <v>1534774.851</v>
      </c>
      <c r="G131">
        <v>1325534.852</v>
      </c>
      <c r="H131">
        <v>1278018.5249999999</v>
      </c>
      <c r="I131">
        <v>980008.80859999999</v>
      </c>
      <c r="J131">
        <v>906773.03830000001</v>
      </c>
      <c r="K131">
        <v>905929.77</v>
      </c>
      <c r="L131">
        <v>964071.33940000006</v>
      </c>
      <c r="M131">
        <v>970142.98259999999</v>
      </c>
      <c r="N131">
        <v>980577.39430000004</v>
      </c>
      <c r="O131">
        <v>757349.85660000006</v>
      </c>
      <c r="P131">
        <v>597555.75230000005</v>
      </c>
      <c r="Q131">
        <v>510612.54060000001</v>
      </c>
      <c r="R131">
        <v>465947.35859999998</v>
      </c>
      <c r="S131">
        <v>413048.95809999999</v>
      </c>
      <c r="T131">
        <v>395791.39240000001</v>
      </c>
      <c r="U131">
        <v>382381.17800000001</v>
      </c>
      <c r="V131">
        <v>369873.19919999997</v>
      </c>
      <c r="W131">
        <v>355875.2525</v>
      </c>
      <c r="X131">
        <v>339473.65429999999</v>
      </c>
      <c r="Y131">
        <v>340746.44829999999</v>
      </c>
      <c r="Z131">
        <v>348087.25099999999</v>
      </c>
      <c r="AA131">
        <v>357937.1458</v>
      </c>
      <c r="AB131">
        <v>369602.87219999998</v>
      </c>
      <c r="AC131">
        <v>383480.86229999998</v>
      </c>
      <c r="AD131">
        <v>389486.45250000001</v>
      </c>
      <c r="AE131">
        <v>395937.5318</v>
      </c>
      <c r="AF131">
        <v>402444.14039999997</v>
      </c>
      <c r="AG131">
        <v>409411.88339999999</v>
      </c>
      <c r="AH131">
        <v>416841.03220000002</v>
      </c>
      <c r="AI131">
        <v>424550.0894</v>
      </c>
      <c r="AJ131">
        <v>432532.00910000002</v>
      </c>
      <c r="AK131">
        <v>440831.49670000002</v>
      </c>
      <c r="AL131">
        <v>449392.66759999999</v>
      </c>
      <c r="AM131">
        <v>458113.47529999999</v>
      </c>
      <c r="AN131">
        <v>456658.72080000001</v>
      </c>
      <c r="AO131">
        <v>453161.75030000001</v>
      </c>
      <c r="AP131">
        <v>448848.08289999998</v>
      </c>
      <c r="AQ131">
        <v>444191.06099999999</v>
      </c>
      <c r="AR131">
        <v>439119.51699999999</v>
      </c>
      <c r="AS131">
        <v>439772.625</v>
      </c>
      <c r="AT131">
        <v>441369.67540000001</v>
      </c>
      <c r="AU131">
        <v>443259.03470000002</v>
      </c>
      <c r="AV131">
        <v>444950.42729999998</v>
      </c>
      <c r="AW131">
        <v>446522.99249999999</v>
      </c>
    </row>
    <row r="132" spans="2:49" x14ac:dyDescent="0.25">
      <c r="B132" t="s">
        <v>461</v>
      </c>
      <c r="C132">
        <v>225722.47732836599</v>
      </c>
      <c r="D132">
        <v>229346.52471387701</v>
      </c>
      <c r="E132">
        <v>233028.7574</v>
      </c>
      <c r="F132">
        <v>236552.79759999999</v>
      </c>
      <c r="G132">
        <v>214093.95740000001</v>
      </c>
      <c r="H132">
        <v>204123.3406</v>
      </c>
      <c r="I132">
        <v>186676.56469999999</v>
      </c>
      <c r="J132">
        <v>180632.63200000001</v>
      </c>
      <c r="K132">
        <v>182766.4204</v>
      </c>
      <c r="L132">
        <v>194600.18179999999</v>
      </c>
      <c r="M132">
        <v>198252.10320000001</v>
      </c>
      <c r="N132">
        <v>202605.87419999999</v>
      </c>
      <c r="O132">
        <v>169690.45319999999</v>
      </c>
      <c r="P132">
        <v>147814.20499999999</v>
      </c>
      <c r="Q132">
        <v>135877.52069999999</v>
      </c>
      <c r="R132">
        <v>132085.74660000001</v>
      </c>
      <c r="S132">
        <v>124687.3991</v>
      </c>
      <c r="T132">
        <v>121301.9967</v>
      </c>
      <c r="U132">
        <v>119331.4869</v>
      </c>
      <c r="V132">
        <v>117429.87420000001</v>
      </c>
      <c r="W132">
        <v>114532.27069999999</v>
      </c>
      <c r="X132">
        <v>110429.8174</v>
      </c>
      <c r="Y132">
        <v>110891.7209</v>
      </c>
      <c r="Z132">
        <v>112352.08010000001</v>
      </c>
      <c r="AA132">
        <v>114572.42</v>
      </c>
      <c r="AB132">
        <v>117093.00750000001</v>
      </c>
      <c r="AC132">
        <v>119967.1391</v>
      </c>
      <c r="AD132">
        <v>121072.89659999999</v>
      </c>
      <c r="AE132">
        <v>122243.4733</v>
      </c>
      <c r="AF132">
        <v>123443.9473</v>
      </c>
      <c r="AG132">
        <v>124732.769</v>
      </c>
      <c r="AH132">
        <v>126145.2726</v>
      </c>
      <c r="AI132">
        <v>127612.8852</v>
      </c>
      <c r="AJ132">
        <v>129197.3288</v>
      </c>
      <c r="AK132">
        <v>130846.89230000001</v>
      </c>
      <c r="AL132">
        <v>132556.2671</v>
      </c>
      <c r="AM132">
        <v>134297.34099999999</v>
      </c>
      <c r="AN132">
        <v>133870.55530000001</v>
      </c>
      <c r="AO132">
        <v>132947.10920000001</v>
      </c>
      <c r="AP132">
        <v>131783.12539999999</v>
      </c>
      <c r="AQ132">
        <v>130478.72289999999</v>
      </c>
      <c r="AR132">
        <v>129026.9477</v>
      </c>
      <c r="AS132">
        <v>128911.34600000001</v>
      </c>
      <c r="AT132">
        <v>129109.35550000001</v>
      </c>
      <c r="AU132">
        <v>129370.60649999999</v>
      </c>
      <c r="AV132">
        <v>129588.7962</v>
      </c>
      <c r="AW132">
        <v>129757.895</v>
      </c>
    </row>
    <row r="133" spans="2:49" x14ac:dyDescent="0.25">
      <c r="B133" t="s">
        <v>462</v>
      </c>
      <c r="C133">
        <v>20679763.666016001</v>
      </c>
      <c r="D133">
        <v>21011783.9607329</v>
      </c>
      <c r="E133">
        <v>21361243.91</v>
      </c>
      <c r="F133">
        <v>21487264.75</v>
      </c>
      <c r="G133">
        <v>18162349.440000001</v>
      </c>
      <c r="H133">
        <v>15169202.720000001</v>
      </c>
      <c r="I133">
        <v>15551180.83</v>
      </c>
      <c r="J133">
        <v>15180996</v>
      </c>
      <c r="K133">
        <v>14441635.460000001</v>
      </c>
      <c r="L133">
        <v>15120283.01</v>
      </c>
      <c r="M133">
        <v>15487189.84</v>
      </c>
      <c r="N133">
        <v>15815334.109999999</v>
      </c>
      <c r="O133">
        <v>13101754.220000001</v>
      </c>
      <c r="P133">
        <v>11769211.66</v>
      </c>
      <c r="Q133">
        <v>10699681.48</v>
      </c>
      <c r="R133">
        <v>9834234.9179999996</v>
      </c>
      <c r="S133">
        <v>9251161.773</v>
      </c>
      <c r="T133">
        <v>9199433.4839999899</v>
      </c>
      <c r="U133">
        <v>9185266.875</v>
      </c>
      <c r="V133">
        <v>9225585.3000000007</v>
      </c>
      <c r="W133">
        <v>9168137.193</v>
      </c>
      <c r="X133">
        <v>9029350.034</v>
      </c>
      <c r="Y133">
        <v>9042390.159</v>
      </c>
      <c r="Z133">
        <v>9136552.0859999899</v>
      </c>
      <c r="AA133">
        <v>9247379.523</v>
      </c>
      <c r="AB133">
        <v>9364835.1640000008</v>
      </c>
      <c r="AC133">
        <v>9491157.0160000008</v>
      </c>
      <c r="AD133">
        <v>9513719.4780000001</v>
      </c>
      <c r="AE133">
        <v>9548077.5089999996</v>
      </c>
      <c r="AF133">
        <v>9585130.8430000003</v>
      </c>
      <c r="AG133">
        <v>9627945.6500000004</v>
      </c>
      <c r="AH133">
        <v>9682671.6740000006</v>
      </c>
      <c r="AI133">
        <v>9743913.6439999994</v>
      </c>
      <c r="AJ133">
        <v>9810658.6789999995</v>
      </c>
      <c r="AK133">
        <v>9884472.2599999998</v>
      </c>
      <c r="AL133">
        <v>9962673.3320000004</v>
      </c>
      <c r="AM133">
        <v>10042730.17</v>
      </c>
      <c r="AN133">
        <v>10029161.33</v>
      </c>
      <c r="AO133">
        <v>10002367.949999999</v>
      </c>
      <c r="AP133">
        <v>9964284.3719999995</v>
      </c>
      <c r="AQ133">
        <v>9921016.4030000009</v>
      </c>
      <c r="AR133">
        <v>9867590.9900000002</v>
      </c>
      <c r="AS133">
        <v>9873980.93899999</v>
      </c>
      <c r="AT133">
        <v>9887285.2080000006</v>
      </c>
      <c r="AU133">
        <v>9900224.5240000002</v>
      </c>
      <c r="AV133">
        <v>9911813.7219999898</v>
      </c>
      <c r="AW133">
        <v>9927022.46199999</v>
      </c>
    </row>
    <row r="134" spans="2:49" x14ac:dyDescent="0.25">
      <c r="B134" t="s">
        <v>463</v>
      </c>
      <c r="C134">
        <v>2009388.6600685499</v>
      </c>
      <c r="D134">
        <v>2041650.04496113</v>
      </c>
      <c r="E134">
        <v>2074429.3970000001</v>
      </c>
      <c r="F134">
        <v>2143760.25</v>
      </c>
      <c r="G134">
        <v>1718023.5819999999</v>
      </c>
      <c r="H134">
        <v>1633907.0090000001</v>
      </c>
      <c r="I134">
        <v>1646627.656</v>
      </c>
      <c r="J134">
        <v>1523583.3049999999</v>
      </c>
      <c r="K134">
        <v>1564145.7450000001</v>
      </c>
      <c r="L134">
        <v>1798392.787</v>
      </c>
      <c r="M134">
        <v>1878047.8319999999</v>
      </c>
      <c r="N134">
        <v>1892999.317</v>
      </c>
      <c r="O134">
        <v>1209135.554</v>
      </c>
      <c r="P134">
        <v>837290.23609999998</v>
      </c>
      <c r="Q134">
        <v>676632.2561</v>
      </c>
      <c r="R134">
        <v>615121.98730000004</v>
      </c>
      <c r="S134">
        <v>542125.20070000004</v>
      </c>
      <c r="T134">
        <v>539418.25309999997</v>
      </c>
      <c r="U134">
        <v>547659.81960000005</v>
      </c>
      <c r="V134">
        <v>562306.51899999997</v>
      </c>
      <c r="W134">
        <v>574350.92790000001</v>
      </c>
      <c r="X134">
        <v>582864.83750000002</v>
      </c>
      <c r="Y134">
        <v>592729.49159999995</v>
      </c>
      <c r="Z134">
        <v>606121.62439999997</v>
      </c>
      <c r="AA134">
        <v>620174.09829999995</v>
      </c>
      <c r="AB134">
        <v>634647.07590000005</v>
      </c>
      <c r="AC134">
        <v>649874.85120000003</v>
      </c>
      <c r="AD134">
        <v>663644.24930000002</v>
      </c>
      <c r="AE134">
        <v>678721.06079999998</v>
      </c>
      <c r="AF134">
        <v>694299.85959999997</v>
      </c>
      <c r="AG134">
        <v>710752.45090000005</v>
      </c>
      <c r="AH134">
        <v>728363.48690000002</v>
      </c>
      <c r="AI134">
        <v>747202.97979999997</v>
      </c>
      <c r="AJ134">
        <v>766840.20270000002</v>
      </c>
      <c r="AK134">
        <v>787255.0834</v>
      </c>
      <c r="AL134">
        <v>808497.82339999999</v>
      </c>
      <c r="AM134">
        <v>830365.8138</v>
      </c>
      <c r="AN134">
        <v>852240.41059999994</v>
      </c>
      <c r="AO134">
        <v>875516.77980000002</v>
      </c>
      <c r="AP134">
        <v>899129.91449999996</v>
      </c>
      <c r="AQ134">
        <v>923307.47690000001</v>
      </c>
      <c r="AR134">
        <v>947820.26240000001</v>
      </c>
      <c r="AS134">
        <v>973515.59169999999</v>
      </c>
      <c r="AT134">
        <v>999554.24670000002</v>
      </c>
      <c r="AU134">
        <v>1026443.034</v>
      </c>
      <c r="AV134">
        <v>1053834.8559999999</v>
      </c>
      <c r="AW134">
        <v>1082166.44</v>
      </c>
    </row>
    <row r="135" spans="2:49" x14ac:dyDescent="0.25">
      <c r="B135" t="s">
        <v>464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2:49" x14ac:dyDescent="0.25">
      <c r="B136" t="s">
        <v>465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2:49" x14ac:dyDescent="0.25">
      <c r="B137" t="s">
        <v>466</v>
      </c>
      <c r="C137">
        <v>20174774.421468802</v>
      </c>
      <c r="D137">
        <v>20498686.950521201</v>
      </c>
      <c r="E137">
        <v>20827800</v>
      </c>
      <c r="F137">
        <v>19746362.690000001</v>
      </c>
      <c r="G137">
        <v>18579206.66</v>
      </c>
      <c r="H137">
        <v>16390218.619999999</v>
      </c>
      <c r="I137">
        <v>15332247.359999999</v>
      </c>
      <c r="J137">
        <v>14481440.77</v>
      </c>
      <c r="K137">
        <v>13516858.43</v>
      </c>
      <c r="L137">
        <v>12418197.539999999</v>
      </c>
      <c r="M137">
        <v>11374155.32</v>
      </c>
      <c r="N137">
        <v>10295168.1</v>
      </c>
      <c r="O137">
        <v>8748180.2400000002</v>
      </c>
      <c r="P137">
        <v>7408412.3930000002</v>
      </c>
      <c r="Q137">
        <v>6118703.4550000001</v>
      </c>
      <c r="R137">
        <v>4633326.3219999997</v>
      </c>
      <c r="S137">
        <v>3102331.8769999999</v>
      </c>
      <c r="T137">
        <v>2843895.3360000001</v>
      </c>
      <c r="U137">
        <v>2697066.7220000001</v>
      </c>
      <c r="V137">
        <v>2567946.2960000001</v>
      </c>
      <c r="W137">
        <v>1767346.98</v>
      </c>
      <c r="X137">
        <v>918518.97919999994</v>
      </c>
      <c r="Y137">
        <v>860860.14740000002</v>
      </c>
      <c r="Z137">
        <v>859789.29989999998</v>
      </c>
      <c r="AA137">
        <v>864641.11930000002</v>
      </c>
      <c r="AB137">
        <v>870897.91599999997</v>
      </c>
      <c r="AC137">
        <v>877466.72349999996</v>
      </c>
      <c r="AD137">
        <v>883061.45799999998</v>
      </c>
      <c r="AE137">
        <v>888372.10490000003</v>
      </c>
      <c r="AF137">
        <v>893650.26740000001</v>
      </c>
      <c r="AG137">
        <v>899058.17720000003</v>
      </c>
      <c r="AH137">
        <v>904618.27960000001</v>
      </c>
      <c r="AI137">
        <v>910094.9632</v>
      </c>
      <c r="AJ137">
        <v>915356.24529999995</v>
      </c>
      <c r="AK137">
        <v>920469.03410000005</v>
      </c>
      <c r="AL137">
        <v>925458.89709999994</v>
      </c>
      <c r="AM137">
        <v>930194.75589999999</v>
      </c>
      <c r="AN137">
        <v>934454.38470000005</v>
      </c>
      <c r="AO137">
        <v>938332.43590000004</v>
      </c>
      <c r="AP137">
        <v>941837.4436</v>
      </c>
      <c r="AQ137">
        <v>945149.30039999995</v>
      </c>
      <c r="AR137">
        <v>948198.02220000001</v>
      </c>
      <c r="AS137">
        <v>950939.49280000001</v>
      </c>
      <c r="AT137">
        <v>953543.01269999996</v>
      </c>
      <c r="AU137">
        <v>956167.93909999996</v>
      </c>
      <c r="AV137">
        <v>958504.55160000001</v>
      </c>
      <c r="AW137">
        <v>961017.56960000005</v>
      </c>
    </row>
    <row r="138" spans="2:49" x14ac:dyDescent="0.25">
      <c r="B138" t="s">
        <v>467</v>
      </c>
      <c r="C138">
        <v>16278956.881142</v>
      </c>
      <c r="D138">
        <v>16540320.799446501</v>
      </c>
      <c r="E138">
        <v>16805881</v>
      </c>
      <c r="F138">
        <v>16652727.390000001</v>
      </c>
      <c r="G138">
        <v>15803484.76</v>
      </c>
      <c r="H138">
        <v>15158728.640000001</v>
      </c>
      <c r="I138">
        <v>14684663.800000001</v>
      </c>
      <c r="J138">
        <v>12871408.18</v>
      </c>
      <c r="K138">
        <v>11220370.380000001</v>
      </c>
      <c r="L138">
        <v>9852633.0749999899</v>
      </c>
      <c r="M138">
        <v>8816909.7709999997</v>
      </c>
      <c r="N138">
        <v>7968409.6550000003</v>
      </c>
      <c r="O138">
        <v>7233851.9460000005</v>
      </c>
      <c r="P138">
        <v>6505791.4759999998</v>
      </c>
      <c r="Q138">
        <v>5738799.2369999997</v>
      </c>
      <c r="R138">
        <v>5097126.8830000004</v>
      </c>
      <c r="S138">
        <v>4451642.6780000003</v>
      </c>
      <c r="T138">
        <v>5206668.4349999996</v>
      </c>
      <c r="U138">
        <v>5934705.2580000004</v>
      </c>
      <c r="V138">
        <v>6657022.6030000001</v>
      </c>
      <c r="W138">
        <v>8069674.8720000004</v>
      </c>
      <c r="X138">
        <v>9383610.023</v>
      </c>
      <c r="Y138">
        <v>9498581.9670000002</v>
      </c>
      <c r="Z138">
        <v>9649019.057</v>
      </c>
      <c r="AA138">
        <v>9815887.08699999</v>
      </c>
      <c r="AB138">
        <v>10027351.210000001</v>
      </c>
      <c r="AC138">
        <v>10250377.199999999</v>
      </c>
      <c r="AD138">
        <v>10360096.550000001</v>
      </c>
      <c r="AE138">
        <v>10464990.810000001</v>
      </c>
      <c r="AF138">
        <v>10566780.470000001</v>
      </c>
      <c r="AG138">
        <v>10698512.869999999</v>
      </c>
      <c r="AH138">
        <v>10827546.609999999</v>
      </c>
      <c r="AI138">
        <v>10949151.189999999</v>
      </c>
      <c r="AJ138">
        <v>11074537.710000001</v>
      </c>
      <c r="AK138">
        <v>11203370.25</v>
      </c>
      <c r="AL138">
        <v>11362000.35</v>
      </c>
      <c r="AM138">
        <v>11521864.35</v>
      </c>
      <c r="AN138">
        <v>11594362.51</v>
      </c>
      <c r="AO138">
        <v>11663931.65</v>
      </c>
      <c r="AP138">
        <v>11730353.279999999</v>
      </c>
      <c r="AQ138">
        <v>11796703.25</v>
      </c>
      <c r="AR138">
        <v>11860729.039999999</v>
      </c>
      <c r="AS138">
        <v>11869633.16</v>
      </c>
      <c r="AT138">
        <v>11883993.939999999</v>
      </c>
      <c r="AU138">
        <v>11902454.060000001</v>
      </c>
      <c r="AV138">
        <v>11922792.050000001</v>
      </c>
      <c r="AW138">
        <v>11949464.939999999</v>
      </c>
    </row>
    <row r="139" spans="2:49" x14ac:dyDescent="0.25">
      <c r="B139" t="s">
        <v>468</v>
      </c>
      <c r="C139">
        <v>6501803.9853722304</v>
      </c>
      <c r="D139">
        <v>6606192.55142547</v>
      </c>
      <c r="E139">
        <v>6714977.4309999999</v>
      </c>
      <c r="F139">
        <v>6901439.0779999997</v>
      </c>
      <c r="G139">
        <v>6564439.7570000002</v>
      </c>
      <c r="H139">
        <v>6910940.7189999996</v>
      </c>
      <c r="I139">
        <v>7091585.6129999999</v>
      </c>
      <c r="J139">
        <v>6684027.8430000003</v>
      </c>
      <c r="K139">
        <v>6408975.0650000004</v>
      </c>
      <c r="L139">
        <v>6221962.0020000003</v>
      </c>
      <c r="M139">
        <v>6645621.8430000003</v>
      </c>
      <c r="N139">
        <v>7090479.5360000003</v>
      </c>
      <c r="O139">
        <v>7345225.8140000002</v>
      </c>
      <c r="P139">
        <v>7379410.8540000003</v>
      </c>
      <c r="Q139">
        <v>6858279.6150000002</v>
      </c>
      <c r="R139">
        <v>6861126.3150000004</v>
      </c>
      <c r="S139">
        <v>6910828.2659999998</v>
      </c>
      <c r="T139">
        <v>6945387.699</v>
      </c>
      <c r="U139">
        <v>6973464.4709999999</v>
      </c>
      <c r="V139">
        <v>7059802.7089999998</v>
      </c>
      <c r="W139">
        <v>7091025.6009999998</v>
      </c>
      <c r="X139">
        <v>7076228.7199999997</v>
      </c>
      <c r="Y139">
        <v>7145836.7060000002</v>
      </c>
      <c r="Z139">
        <v>7242427.9960000003</v>
      </c>
      <c r="AA139">
        <v>7353574.2309999997</v>
      </c>
      <c r="AB139">
        <v>7467906.3830000004</v>
      </c>
      <c r="AC139">
        <v>7588209.1919999998</v>
      </c>
      <c r="AD139">
        <v>7699444.0659999996</v>
      </c>
      <c r="AE139">
        <v>7820715.8130000001</v>
      </c>
      <c r="AF139">
        <v>7945203.625</v>
      </c>
      <c r="AG139">
        <v>8074131.676</v>
      </c>
      <c r="AH139">
        <v>8217646.8810000001</v>
      </c>
      <c r="AI139">
        <v>8361184.8590000002</v>
      </c>
      <c r="AJ139">
        <v>8514638.7249999996</v>
      </c>
      <c r="AK139">
        <v>8671255.8780000005</v>
      </c>
      <c r="AL139">
        <v>8832665.091</v>
      </c>
      <c r="AM139">
        <v>8996978.6060000006</v>
      </c>
      <c r="AN139">
        <v>9149965.8239999898</v>
      </c>
      <c r="AO139">
        <v>9303667.3190000001</v>
      </c>
      <c r="AP139">
        <v>9454124.6830000002</v>
      </c>
      <c r="AQ139">
        <v>9604403.1840000004</v>
      </c>
      <c r="AR139">
        <v>9753133.5130000003</v>
      </c>
      <c r="AS139">
        <v>9898574.4250000007</v>
      </c>
      <c r="AT139">
        <v>10044736.640000001</v>
      </c>
      <c r="AU139">
        <v>10192916.02</v>
      </c>
      <c r="AV139">
        <v>10342229.99</v>
      </c>
      <c r="AW139">
        <v>10493850.619999999</v>
      </c>
    </row>
    <row r="140" spans="2:49" x14ac:dyDescent="0.25">
      <c r="B140" t="s">
        <v>469</v>
      </c>
      <c r="C140">
        <v>6377150.6112568304</v>
      </c>
      <c r="D140">
        <v>6479537.8270683698</v>
      </c>
      <c r="E140">
        <v>6586237.0690000001</v>
      </c>
      <c r="F140">
        <v>6724761.6169999996</v>
      </c>
      <c r="G140">
        <v>6344788.8219999997</v>
      </c>
      <c r="H140">
        <v>6629831.4179999996</v>
      </c>
      <c r="I140">
        <v>6530057.9759999998</v>
      </c>
      <c r="J140">
        <v>6298382.4680000003</v>
      </c>
      <c r="K140">
        <v>5910602.551</v>
      </c>
      <c r="L140">
        <v>5828325.1140000001</v>
      </c>
      <c r="M140">
        <v>5954664.1919999998</v>
      </c>
      <c r="N140">
        <v>6183995.4790000003</v>
      </c>
      <c r="O140">
        <v>5533299.6140000001</v>
      </c>
      <c r="P140">
        <v>4816245.7989999996</v>
      </c>
      <c r="Q140">
        <v>4118951.4709999999</v>
      </c>
      <c r="R140">
        <v>3726937.1430000002</v>
      </c>
      <c r="S140">
        <v>3458633.3790000002</v>
      </c>
      <c r="T140">
        <v>3427777.4010000001</v>
      </c>
      <c r="U140">
        <v>3469819.7740000002</v>
      </c>
      <c r="V140">
        <v>3542664.5350000001</v>
      </c>
      <c r="W140">
        <v>3595919.3369999998</v>
      </c>
      <c r="X140">
        <v>3621978.5520000001</v>
      </c>
      <c r="Y140">
        <v>3681490.4160000002</v>
      </c>
      <c r="Z140">
        <v>3751381.3810000001</v>
      </c>
      <c r="AA140">
        <v>3827804.5639999998</v>
      </c>
      <c r="AB140">
        <v>3906702.0449999999</v>
      </c>
      <c r="AC140">
        <v>3989008.0649999999</v>
      </c>
      <c r="AD140">
        <v>4070234.7140000002</v>
      </c>
      <c r="AE140">
        <v>4158194.4929999998</v>
      </c>
      <c r="AF140">
        <v>4248077.0829999996</v>
      </c>
      <c r="AG140">
        <v>4343168.7220000001</v>
      </c>
      <c r="AH140">
        <v>4446033.9859999996</v>
      </c>
      <c r="AI140">
        <v>4550733.1619999995</v>
      </c>
      <c r="AJ140">
        <v>4661403.5140000004</v>
      </c>
      <c r="AK140">
        <v>4775203.8130000001</v>
      </c>
      <c r="AL140">
        <v>4892807.2939999998</v>
      </c>
      <c r="AM140">
        <v>5013480.9929999998</v>
      </c>
      <c r="AN140">
        <v>5132558.8530000001</v>
      </c>
      <c r="AO140">
        <v>5253462.9670000002</v>
      </c>
      <c r="AP140">
        <v>5374480.0810000002</v>
      </c>
      <c r="AQ140">
        <v>5496552.2220000001</v>
      </c>
      <c r="AR140">
        <v>5619165.0130000003</v>
      </c>
      <c r="AS140">
        <v>5742132.3439999996</v>
      </c>
      <c r="AT140">
        <v>5866891.2209999999</v>
      </c>
      <c r="AU140">
        <v>5995989.5250000004</v>
      </c>
      <c r="AV140">
        <v>6125597.2390000001</v>
      </c>
      <c r="AW140">
        <v>6256609.2089999998</v>
      </c>
    </row>
    <row r="141" spans="2:49" x14ac:dyDescent="0.25">
      <c r="B141" t="s">
        <v>470</v>
      </c>
      <c r="C141">
        <v>415184.68418409303</v>
      </c>
      <c r="D141">
        <v>421850.60858395998</v>
      </c>
      <c r="E141">
        <v>428797.26770000003</v>
      </c>
      <c r="F141">
        <v>425408.84240000002</v>
      </c>
      <c r="G141">
        <v>396614.29570000002</v>
      </c>
      <c r="H141">
        <v>376702.68489999999</v>
      </c>
      <c r="I141">
        <v>398204.3713</v>
      </c>
      <c r="J141">
        <v>377702.0528</v>
      </c>
      <c r="K141">
        <v>353130.82049999997</v>
      </c>
      <c r="L141">
        <v>350059.03230000002</v>
      </c>
      <c r="M141">
        <v>367635.53419999999</v>
      </c>
      <c r="N141">
        <v>407007.9325</v>
      </c>
      <c r="O141">
        <v>363603.3602</v>
      </c>
      <c r="P141">
        <v>314159.28169999999</v>
      </c>
      <c r="Q141">
        <v>261942.78339999999</v>
      </c>
      <c r="R141">
        <v>233305.73730000001</v>
      </c>
      <c r="S141">
        <v>196550.90890000001</v>
      </c>
      <c r="T141">
        <v>195538.20189999999</v>
      </c>
      <c r="U141">
        <v>197978.2611</v>
      </c>
      <c r="V141">
        <v>202014.32920000001</v>
      </c>
      <c r="W141">
        <v>203025.7144</v>
      </c>
      <c r="X141">
        <v>202277.6311</v>
      </c>
      <c r="Y141">
        <v>203832.01550000001</v>
      </c>
      <c r="Z141">
        <v>206596.87530000001</v>
      </c>
      <c r="AA141">
        <v>209619.035</v>
      </c>
      <c r="AB141">
        <v>212679.9669</v>
      </c>
      <c r="AC141">
        <v>215985.4841</v>
      </c>
      <c r="AD141">
        <v>219099.603</v>
      </c>
      <c r="AE141">
        <v>222926.03700000001</v>
      </c>
      <c r="AF141">
        <v>226919.04120000001</v>
      </c>
      <c r="AG141">
        <v>231259.96960000001</v>
      </c>
      <c r="AH141">
        <v>236134.02830000001</v>
      </c>
      <c r="AI141">
        <v>241234.18369999999</v>
      </c>
      <c r="AJ141">
        <v>246726.64569999999</v>
      </c>
      <c r="AK141">
        <v>252387.1335</v>
      </c>
      <c r="AL141">
        <v>258291.25440000001</v>
      </c>
      <c r="AM141">
        <v>264370.89110000001</v>
      </c>
      <c r="AN141">
        <v>270249.0246</v>
      </c>
      <c r="AO141">
        <v>276394.54229999997</v>
      </c>
      <c r="AP141">
        <v>282474.16519999999</v>
      </c>
      <c r="AQ141">
        <v>288643.0466</v>
      </c>
      <c r="AR141">
        <v>294833.59269999998</v>
      </c>
      <c r="AS141">
        <v>301095.24099999998</v>
      </c>
      <c r="AT141">
        <v>307418.61700000003</v>
      </c>
      <c r="AU141">
        <v>313958.40019999997</v>
      </c>
      <c r="AV141">
        <v>320568.32280000002</v>
      </c>
      <c r="AW141">
        <v>327363.35570000001</v>
      </c>
    </row>
    <row r="142" spans="2:49" x14ac:dyDescent="0.25">
      <c r="B142" t="s">
        <v>471</v>
      </c>
      <c r="C142">
        <v>4757556.1935294</v>
      </c>
      <c r="D142">
        <v>4833940.2970916703</v>
      </c>
      <c r="E142">
        <v>4913541.3090000004</v>
      </c>
      <c r="F142">
        <v>4952715.7529999996</v>
      </c>
      <c r="G142">
        <v>4488836.6220000004</v>
      </c>
      <c r="H142">
        <v>4084227.5449999999</v>
      </c>
      <c r="I142">
        <v>3442591.0380000002</v>
      </c>
      <c r="J142">
        <v>3587718.98</v>
      </c>
      <c r="K142">
        <v>3220341.7790000001</v>
      </c>
      <c r="L142">
        <v>3097679.861</v>
      </c>
      <c r="M142">
        <v>3179205.5750000002</v>
      </c>
      <c r="N142">
        <v>3277573.8369999998</v>
      </c>
      <c r="O142">
        <v>3046923.3330000001</v>
      </c>
      <c r="P142">
        <v>2727879.8149999999</v>
      </c>
      <c r="Q142">
        <v>2387046.7599999998</v>
      </c>
      <c r="R142">
        <v>2134344.6430000002</v>
      </c>
      <c r="S142">
        <v>1905196.59</v>
      </c>
      <c r="T142">
        <v>1785455.1980000001</v>
      </c>
      <c r="U142">
        <v>1677862.2209999999</v>
      </c>
      <c r="V142">
        <v>1573847.2509999999</v>
      </c>
      <c r="W142">
        <v>1561045.8119999999</v>
      </c>
      <c r="X142">
        <v>1536017.8230000001</v>
      </c>
      <c r="Y142">
        <v>1648508.425</v>
      </c>
      <c r="Z142">
        <v>1813689.1440000001</v>
      </c>
      <c r="AA142">
        <v>2014016.568</v>
      </c>
      <c r="AB142">
        <v>2249198.5320000001</v>
      </c>
      <c r="AC142">
        <v>2525043.2620000001</v>
      </c>
      <c r="AD142">
        <v>2551182.0129999998</v>
      </c>
      <c r="AE142">
        <v>2579561.9160000002</v>
      </c>
      <c r="AF142">
        <v>2607611.59</v>
      </c>
      <c r="AG142">
        <v>2637979.3829999999</v>
      </c>
      <c r="AH142">
        <v>2671367.5469999998</v>
      </c>
      <c r="AI142">
        <v>2704259.1639999999</v>
      </c>
      <c r="AJ142">
        <v>2738809.2489999998</v>
      </c>
      <c r="AK142">
        <v>2774660.6609999998</v>
      </c>
      <c r="AL142">
        <v>2811671.7390000001</v>
      </c>
      <c r="AM142">
        <v>2849316.1749999998</v>
      </c>
      <c r="AN142">
        <v>2799872.003</v>
      </c>
      <c r="AO142">
        <v>2733520.5469999998</v>
      </c>
      <c r="AP142">
        <v>2662153.4279999998</v>
      </c>
      <c r="AQ142">
        <v>2589295.9</v>
      </c>
      <c r="AR142">
        <v>2515081.0279999999</v>
      </c>
      <c r="AS142">
        <v>2486659.3119999999</v>
      </c>
      <c r="AT142">
        <v>2466174.517</v>
      </c>
      <c r="AU142">
        <v>2447513.2519999999</v>
      </c>
      <c r="AV142">
        <v>2427910.5180000002</v>
      </c>
      <c r="AW142">
        <v>2408151.7140000002</v>
      </c>
    </row>
    <row r="143" spans="2:49" x14ac:dyDescent="0.25">
      <c r="B143" t="s">
        <v>472</v>
      </c>
      <c r="C143">
        <v>16503281.675133999</v>
      </c>
      <c r="D143">
        <v>16768247.200565999</v>
      </c>
      <c r="E143">
        <v>17044371.719999999</v>
      </c>
      <c r="F143">
        <v>17203833.170000002</v>
      </c>
      <c r="G143">
        <v>15709913.18</v>
      </c>
      <c r="H143">
        <v>14095524.609999999</v>
      </c>
      <c r="I143">
        <v>12999069.65</v>
      </c>
      <c r="J143">
        <v>13893885.07</v>
      </c>
      <c r="K143">
        <v>12461167.09</v>
      </c>
      <c r="L143">
        <v>11963362.32</v>
      </c>
      <c r="M143">
        <v>12267160.119999999</v>
      </c>
      <c r="N143">
        <v>12565228.390000001</v>
      </c>
      <c r="O143">
        <v>12006005.98</v>
      </c>
      <c r="P143">
        <v>11086049.49</v>
      </c>
      <c r="Q143">
        <v>9932884.2320000008</v>
      </c>
      <c r="R143">
        <v>9117254.3589999899</v>
      </c>
      <c r="S143">
        <v>8386836.2010000004</v>
      </c>
      <c r="T143">
        <v>8096824.3679999998</v>
      </c>
      <c r="U143">
        <v>7795786.0520000001</v>
      </c>
      <c r="V143">
        <v>7578126.3660000004</v>
      </c>
      <c r="W143">
        <v>7155515.7769999998</v>
      </c>
      <c r="X143">
        <v>6657205.4139999999</v>
      </c>
      <c r="Y143">
        <v>6525836.398</v>
      </c>
      <c r="Z143">
        <v>6524403.273</v>
      </c>
      <c r="AA143">
        <v>6562331.2170000002</v>
      </c>
      <c r="AB143">
        <v>6612830.6710000001</v>
      </c>
      <c r="AC143">
        <v>6675942.9869999997</v>
      </c>
      <c r="AD143">
        <v>6725414.2359999996</v>
      </c>
      <c r="AE143">
        <v>6778249.0659999996</v>
      </c>
      <c r="AF143">
        <v>6829886.2709999997</v>
      </c>
      <c r="AG143">
        <v>6886089.9000000004</v>
      </c>
      <c r="AH143">
        <v>6955360.6500000004</v>
      </c>
      <c r="AI143">
        <v>7017295.574</v>
      </c>
      <c r="AJ143">
        <v>7076474.8329999996</v>
      </c>
      <c r="AK143">
        <v>7144629.642</v>
      </c>
      <c r="AL143">
        <v>7213756.6279999996</v>
      </c>
      <c r="AM143">
        <v>7281134.193</v>
      </c>
      <c r="AN143">
        <v>7161199.9380000001</v>
      </c>
      <c r="AO143">
        <v>7005431.7659999998</v>
      </c>
      <c r="AP143">
        <v>6836614.8439999996</v>
      </c>
      <c r="AQ143">
        <v>6668202.9380000001</v>
      </c>
      <c r="AR143">
        <v>6488924.3959999997</v>
      </c>
      <c r="AS143">
        <v>6407705.8969999999</v>
      </c>
      <c r="AT143">
        <v>6343369.8509999998</v>
      </c>
      <c r="AU143">
        <v>6280102.3540000003</v>
      </c>
      <c r="AV143">
        <v>6214163.4680000003</v>
      </c>
      <c r="AW143">
        <v>6167851.6799999997</v>
      </c>
    </row>
    <row r="144" spans="2:49" x14ac:dyDescent="0.25">
      <c r="B144" t="s">
        <v>473</v>
      </c>
      <c r="C144">
        <v>11632594.838881901</v>
      </c>
      <c r="D144">
        <v>11819359.911689499</v>
      </c>
      <c r="E144">
        <v>12013990.58</v>
      </c>
      <c r="F144">
        <v>12014915.27</v>
      </c>
      <c r="G144">
        <v>11121497.09</v>
      </c>
      <c r="H144">
        <v>10491964.060000001</v>
      </c>
      <c r="I144">
        <v>8866030.5710000005</v>
      </c>
      <c r="J144">
        <v>7951702.2580000004</v>
      </c>
      <c r="K144">
        <v>7243366.4939999999</v>
      </c>
      <c r="L144">
        <v>7172588.2350000003</v>
      </c>
      <c r="M144">
        <v>7154969.9630000005</v>
      </c>
      <c r="N144">
        <v>7486299.0930000003</v>
      </c>
      <c r="O144">
        <v>6815454.9939999999</v>
      </c>
      <c r="P144">
        <v>5977269.0930000003</v>
      </c>
      <c r="Q144">
        <v>5242164.3150000004</v>
      </c>
      <c r="R144">
        <v>4640689.0379999997</v>
      </c>
      <c r="S144">
        <v>4197459.9869999997</v>
      </c>
      <c r="T144">
        <v>3916003.2570000002</v>
      </c>
      <c r="U144">
        <v>3648189.469</v>
      </c>
      <c r="V144">
        <v>3385321.6120000002</v>
      </c>
      <c r="W144">
        <v>3277435.5869999998</v>
      </c>
      <c r="X144">
        <v>3134600.3730000001</v>
      </c>
      <c r="Y144">
        <v>3286194.2710000002</v>
      </c>
      <c r="Z144">
        <v>3537729.7349999999</v>
      </c>
      <c r="AA144">
        <v>3845241.9739999999</v>
      </c>
      <c r="AB144">
        <v>4208542.25</v>
      </c>
      <c r="AC144">
        <v>4641732.2139999997</v>
      </c>
      <c r="AD144">
        <v>4663259.6529999999</v>
      </c>
      <c r="AE144">
        <v>4689049.8269999996</v>
      </c>
      <c r="AF144">
        <v>4714137.1069999998</v>
      </c>
      <c r="AG144">
        <v>4743203.0609999998</v>
      </c>
      <c r="AH144">
        <v>4776629.3090000004</v>
      </c>
      <c r="AI144">
        <v>4809367.2010000004</v>
      </c>
      <c r="AJ144">
        <v>4844083.1129999999</v>
      </c>
      <c r="AK144">
        <v>4881188.6519999998</v>
      </c>
      <c r="AL144">
        <v>4920125.5109999999</v>
      </c>
      <c r="AM144">
        <v>4960001.352</v>
      </c>
      <c r="AN144">
        <v>4836292.3140000002</v>
      </c>
      <c r="AO144">
        <v>4684133.3720000004</v>
      </c>
      <c r="AP144">
        <v>4525896.2300000004</v>
      </c>
      <c r="AQ144">
        <v>4367963.1169999996</v>
      </c>
      <c r="AR144">
        <v>4210491.2180000003</v>
      </c>
      <c r="AS144">
        <v>4137372.9010000001</v>
      </c>
      <c r="AT144">
        <v>4079399.7629999998</v>
      </c>
      <c r="AU144">
        <v>4025531</v>
      </c>
      <c r="AV144">
        <v>3971036.7</v>
      </c>
      <c r="AW144">
        <v>3916751.8760000002</v>
      </c>
    </row>
    <row r="145" spans="2:49" x14ac:dyDescent="0.25">
      <c r="B145" t="s">
        <v>474</v>
      </c>
      <c r="C145">
        <v>3166830.51938263</v>
      </c>
      <c r="D145">
        <v>3217675.0077116699</v>
      </c>
      <c r="E145">
        <v>3270660.8059999999</v>
      </c>
      <c r="F145">
        <v>3287082.6239999998</v>
      </c>
      <c r="G145">
        <v>3225285.3990000002</v>
      </c>
      <c r="H145">
        <v>3127071.1260000002</v>
      </c>
      <c r="I145">
        <v>3033942.3990000002</v>
      </c>
      <c r="J145">
        <v>2948927.5690000001</v>
      </c>
      <c r="K145">
        <v>2805566.4079999998</v>
      </c>
      <c r="L145">
        <v>2800918.2540000002</v>
      </c>
      <c r="M145">
        <v>2832702.6159999999</v>
      </c>
      <c r="N145">
        <v>3021331.9270000001</v>
      </c>
      <c r="O145">
        <v>2968691.4389999998</v>
      </c>
      <c r="P145">
        <v>2808177.15</v>
      </c>
      <c r="Q145">
        <v>2604745.926</v>
      </c>
      <c r="R145">
        <v>2520958.875</v>
      </c>
      <c r="S145">
        <v>2403046.2880000002</v>
      </c>
      <c r="T145">
        <v>2361400.4449999998</v>
      </c>
      <c r="U145">
        <v>2325398.6209999998</v>
      </c>
      <c r="V145">
        <v>2296238.2570000002</v>
      </c>
      <c r="W145">
        <v>2254974.7609999999</v>
      </c>
      <c r="X145">
        <v>2194518.909</v>
      </c>
      <c r="Y145">
        <v>2209402.068</v>
      </c>
      <c r="Z145">
        <v>2255586.216</v>
      </c>
      <c r="AA145">
        <v>2316652.3360000001</v>
      </c>
      <c r="AB145">
        <v>2389369.2910000002</v>
      </c>
      <c r="AC145">
        <v>2476374.148</v>
      </c>
      <c r="AD145">
        <v>2512903.7039999999</v>
      </c>
      <c r="AE145">
        <v>2552336.6880000001</v>
      </c>
      <c r="AF145">
        <v>2592458.7089999998</v>
      </c>
      <c r="AG145">
        <v>2634364.4040000001</v>
      </c>
      <c r="AH145">
        <v>2679499.0499999998</v>
      </c>
      <c r="AI145">
        <v>2726221.5869999998</v>
      </c>
      <c r="AJ145">
        <v>2775074.0970000001</v>
      </c>
      <c r="AK145">
        <v>2826101.1</v>
      </c>
      <c r="AL145">
        <v>2878895.8640000001</v>
      </c>
      <c r="AM145">
        <v>2932836.0970000001</v>
      </c>
      <c r="AN145">
        <v>2946378.824</v>
      </c>
      <c r="AO145">
        <v>2952208.99</v>
      </c>
      <c r="AP145">
        <v>2953379.1090000002</v>
      </c>
      <c r="AQ145">
        <v>2951803.52</v>
      </c>
      <c r="AR145">
        <v>2946549.6519999998</v>
      </c>
      <c r="AS145">
        <v>2965470.5989999999</v>
      </c>
      <c r="AT145">
        <v>2988334.5639999998</v>
      </c>
      <c r="AU145">
        <v>3011743.4309999999</v>
      </c>
      <c r="AV145">
        <v>3034497.5210000002</v>
      </c>
      <c r="AW145">
        <v>3056762.952</v>
      </c>
    </row>
    <row r="146" spans="2:49" x14ac:dyDescent="0.25">
      <c r="B146" t="s">
        <v>475</v>
      </c>
      <c r="C146">
        <v>6723975.7599636996</v>
      </c>
      <c r="D146">
        <v>6831931.3657214995</v>
      </c>
      <c r="E146">
        <v>6945714.4060000004</v>
      </c>
      <c r="F146">
        <v>7002852.8140000002</v>
      </c>
      <c r="G146">
        <v>7028861.7470000004</v>
      </c>
      <c r="H146">
        <v>6608481.4529999997</v>
      </c>
      <c r="I146">
        <v>6869803.2139999997</v>
      </c>
      <c r="J146">
        <v>6945895.6179999998</v>
      </c>
      <c r="K146">
        <v>6826912.4040000001</v>
      </c>
      <c r="L146">
        <v>6843285.3959999997</v>
      </c>
      <c r="M146">
        <v>6902377.4050000003</v>
      </c>
      <c r="N146">
        <v>7195916.0829999996</v>
      </c>
      <c r="O146">
        <v>7206479.2589999996</v>
      </c>
      <c r="P146">
        <v>7215149.8789999997</v>
      </c>
      <c r="Q146">
        <v>7097765.2439999999</v>
      </c>
      <c r="R146">
        <v>7170627.5020000003</v>
      </c>
      <c r="S146">
        <v>7094820.2429999998</v>
      </c>
      <c r="T146">
        <v>7082398.2429999998</v>
      </c>
      <c r="U146">
        <v>7152230.3590000002</v>
      </c>
      <c r="V146">
        <v>7263644.1090000002</v>
      </c>
      <c r="W146">
        <v>7354269.0369999995</v>
      </c>
      <c r="X146">
        <v>7412498.9670000002</v>
      </c>
      <c r="Y146">
        <v>7507689.5410000002</v>
      </c>
      <c r="Z146">
        <v>7617842.6880000001</v>
      </c>
      <c r="AA146">
        <v>7770302.0889999997</v>
      </c>
      <c r="AB146">
        <v>7941120.5449999999</v>
      </c>
      <c r="AC146">
        <v>8135836.716</v>
      </c>
      <c r="AD146">
        <v>8218200.1720000003</v>
      </c>
      <c r="AE146">
        <v>8306530.6449999996</v>
      </c>
      <c r="AF146">
        <v>8398929.75</v>
      </c>
      <c r="AG146">
        <v>8497767</v>
      </c>
      <c r="AH146">
        <v>8606172.7670000009</v>
      </c>
      <c r="AI146">
        <v>8722214.49599999</v>
      </c>
      <c r="AJ146">
        <v>8847473.7919999994</v>
      </c>
      <c r="AK146">
        <v>8977862.02999999</v>
      </c>
      <c r="AL146">
        <v>9113043.6030000001</v>
      </c>
      <c r="AM146">
        <v>9251030.9020000007</v>
      </c>
      <c r="AN146">
        <v>9388159.3230000008</v>
      </c>
      <c r="AO146">
        <v>9530268.3839999996</v>
      </c>
      <c r="AP146">
        <v>9671703.3650000002</v>
      </c>
      <c r="AQ146">
        <v>9814532.3230000008</v>
      </c>
      <c r="AR146">
        <v>9956373.4590000007</v>
      </c>
      <c r="AS146">
        <v>10099167.310000001</v>
      </c>
      <c r="AT146">
        <v>10249739.33</v>
      </c>
      <c r="AU146">
        <v>10405586.76</v>
      </c>
      <c r="AV146">
        <v>10562450.82</v>
      </c>
      <c r="AW146">
        <v>10720396.699999999</v>
      </c>
    </row>
    <row r="147" spans="2:49" x14ac:dyDescent="0.25">
      <c r="B147" t="s">
        <v>476</v>
      </c>
      <c r="C147">
        <v>312332.22295347298</v>
      </c>
      <c r="D147">
        <v>317346.817819711</v>
      </c>
      <c r="E147">
        <v>322572.6018</v>
      </c>
      <c r="F147">
        <v>334134.49839999998</v>
      </c>
      <c r="G147">
        <v>321362.7451</v>
      </c>
      <c r="H147">
        <v>280271.92310000001</v>
      </c>
      <c r="I147">
        <v>292846.32630000002</v>
      </c>
      <c r="J147">
        <v>296691.42609999998</v>
      </c>
      <c r="K147">
        <v>277370.11979999999</v>
      </c>
      <c r="L147">
        <v>262300.61430000002</v>
      </c>
      <c r="M147">
        <v>258192.33840000001</v>
      </c>
      <c r="N147">
        <v>272175.55359999998</v>
      </c>
      <c r="O147">
        <v>250971.21849999999</v>
      </c>
      <c r="P147">
        <v>233024.05300000001</v>
      </c>
      <c r="Q147">
        <v>212299.08470000001</v>
      </c>
      <c r="R147">
        <v>193628.30170000001</v>
      </c>
      <c r="S147">
        <v>181934.6832</v>
      </c>
      <c r="T147">
        <v>181952.329</v>
      </c>
      <c r="U147">
        <v>183577.4069</v>
      </c>
      <c r="V147">
        <v>187229.95060000001</v>
      </c>
      <c r="W147">
        <v>189766.3028</v>
      </c>
      <c r="X147">
        <v>191542.198</v>
      </c>
      <c r="Y147">
        <v>194696.0294</v>
      </c>
      <c r="Z147">
        <v>199580.8616</v>
      </c>
      <c r="AA147">
        <v>205518.5686</v>
      </c>
      <c r="AB147">
        <v>212360.3688</v>
      </c>
      <c r="AC147">
        <v>220329.75839999999</v>
      </c>
      <c r="AD147">
        <v>223181.53820000001</v>
      </c>
      <c r="AE147">
        <v>226371.43109999999</v>
      </c>
      <c r="AF147">
        <v>229689.48180000001</v>
      </c>
      <c r="AG147">
        <v>233180.3094</v>
      </c>
      <c r="AH147">
        <v>237058.73449999999</v>
      </c>
      <c r="AI147">
        <v>241068.0471</v>
      </c>
      <c r="AJ147">
        <v>245260.64689999999</v>
      </c>
      <c r="AK147">
        <v>249594.7089</v>
      </c>
      <c r="AL147">
        <v>254061.2769</v>
      </c>
      <c r="AM147">
        <v>258585.9786</v>
      </c>
      <c r="AN147">
        <v>262529.61849999998</v>
      </c>
      <c r="AO147">
        <v>266523.93660000002</v>
      </c>
      <c r="AP147">
        <v>270359.61859999999</v>
      </c>
      <c r="AQ147">
        <v>274190.42310000001</v>
      </c>
      <c r="AR147">
        <v>277871.50709999999</v>
      </c>
      <c r="AS147">
        <v>281939.76750000002</v>
      </c>
      <c r="AT147">
        <v>286044.64539999998</v>
      </c>
      <c r="AU147">
        <v>290174.43530000001</v>
      </c>
      <c r="AV147">
        <v>294310.41619999998</v>
      </c>
      <c r="AW147">
        <v>298613.6972</v>
      </c>
    </row>
    <row r="148" spans="2:49" x14ac:dyDescent="0.25">
      <c r="B148" t="s">
        <v>477</v>
      </c>
      <c r="C148">
        <v>7845653.0561234802</v>
      </c>
      <c r="D148">
        <v>7971617.5536879301</v>
      </c>
      <c r="E148">
        <v>8102887.0319999997</v>
      </c>
      <c r="F148">
        <v>8279902.8119999999</v>
      </c>
      <c r="G148">
        <v>7923192.8140000002</v>
      </c>
      <c r="H148">
        <v>7539323.5420000004</v>
      </c>
      <c r="I148">
        <v>7571168.6960000005</v>
      </c>
      <c r="J148">
        <v>7349448.6869999999</v>
      </c>
      <c r="K148">
        <v>6907306.824</v>
      </c>
      <c r="L148">
        <v>6740395.0939999996</v>
      </c>
      <c r="M148">
        <v>6890744.8190000001</v>
      </c>
      <c r="N148">
        <v>7361377.3260000004</v>
      </c>
      <c r="O148">
        <v>7055636.5520000001</v>
      </c>
      <c r="P148">
        <v>6452170.4380000001</v>
      </c>
      <c r="Q148">
        <v>5768879.4380000001</v>
      </c>
      <c r="R148">
        <v>5459641.148</v>
      </c>
      <c r="S148">
        <v>5116470.2860000003</v>
      </c>
      <c r="T148">
        <v>5118373.1289999997</v>
      </c>
      <c r="U148">
        <v>5167429.4129999997</v>
      </c>
      <c r="V148">
        <v>5264478.8640000001</v>
      </c>
      <c r="W148">
        <v>5332182.7850000001</v>
      </c>
      <c r="X148">
        <v>5362845.7470000004</v>
      </c>
      <c r="Y148">
        <v>5413788.8859999999</v>
      </c>
      <c r="Z148">
        <v>5505798.8569999998</v>
      </c>
      <c r="AA148">
        <v>5606825.6749999998</v>
      </c>
      <c r="AB148">
        <v>5711590.3169999998</v>
      </c>
      <c r="AC148">
        <v>5822166.9239999996</v>
      </c>
      <c r="AD148">
        <v>5918301.5300000003</v>
      </c>
      <c r="AE148">
        <v>6024846.0970000001</v>
      </c>
      <c r="AF148">
        <v>6134158.557</v>
      </c>
      <c r="AG148">
        <v>6249332.7879999997</v>
      </c>
      <c r="AH148">
        <v>6372905.1299999999</v>
      </c>
      <c r="AI148">
        <v>6504482.1770000001</v>
      </c>
      <c r="AJ148">
        <v>6640806.4040000001</v>
      </c>
      <c r="AK148">
        <v>6781612.3339999998</v>
      </c>
      <c r="AL148">
        <v>6927007.023</v>
      </c>
      <c r="AM148">
        <v>7075572.3540000003</v>
      </c>
      <c r="AN148">
        <v>7214366.2070000004</v>
      </c>
      <c r="AO148">
        <v>7361097.7019999996</v>
      </c>
      <c r="AP148">
        <v>7507362.9919999996</v>
      </c>
      <c r="AQ148">
        <v>7655289.2180000003</v>
      </c>
      <c r="AR148">
        <v>7802598.6260000002</v>
      </c>
      <c r="AS148">
        <v>7952616.3210000005</v>
      </c>
      <c r="AT148">
        <v>8101566.6320000002</v>
      </c>
      <c r="AU148">
        <v>8254040.8990000002</v>
      </c>
      <c r="AV148">
        <v>8407160.2709999997</v>
      </c>
      <c r="AW148">
        <v>8564161.7650000006</v>
      </c>
    </row>
    <row r="149" spans="2:49" x14ac:dyDescent="0.25">
      <c r="B149" t="s">
        <v>478</v>
      </c>
      <c r="C149">
        <v>3.3990718667427999</v>
      </c>
      <c r="D149">
        <v>3.4536450650243098</v>
      </c>
      <c r="E149">
        <v>3.5105166080000001</v>
      </c>
      <c r="F149">
        <v>3.7212839519999998</v>
      </c>
      <c r="G149">
        <v>3.6470243309999999</v>
      </c>
      <c r="H149">
        <v>3.4015423770000002</v>
      </c>
      <c r="I149">
        <v>3.3597782820000002</v>
      </c>
      <c r="J149">
        <v>3.3593072909999999</v>
      </c>
      <c r="K149">
        <v>3.2193372629999999</v>
      </c>
      <c r="L149">
        <v>3.2178930590000001</v>
      </c>
      <c r="M149">
        <v>3.2233629380000002</v>
      </c>
      <c r="N149">
        <v>3.3046317489999999</v>
      </c>
      <c r="O149">
        <v>3.4859040339999998</v>
      </c>
      <c r="P149">
        <v>3.6210390710000002</v>
      </c>
      <c r="Q149">
        <v>3.6148402160000002</v>
      </c>
      <c r="R149">
        <v>3.73548407</v>
      </c>
      <c r="S149">
        <v>3.769676284</v>
      </c>
      <c r="T149">
        <v>3.8263155160000002</v>
      </c>
      <c r="U149">
        <v>3.8288664479999999</v>
      </c>
      <c r="V149">
        <v>3.910519512</v>
      </c>
      <c r="W149">
        <v>3.9025558789999999</v>
      </c>
      <c r="X149">
        <v>3.8704035710000002</v>
      </c>
      <c r="Y149">
        <v>3.8232561810000001</v>
      </c>
      <c r="Z149">
        <v>3.8130740950000002</v>
      </c>
      <c r="AA149">
        <v>3.8182421089999998</v>
      </c>
      <c r="AB149">
        <v>3.825999886</v>
      </c>
      <c r="AC149">
        <v>3.8365105750000001</v>
      </c>
      <c r="AD149">
        <v>3.8641562139999999</v>
      </c>
      <c r="AE149">
        <v>3.893586956</v>
      </c>
      <c r="AF149">
        <v>3.9233148760000001</v>
      </c>
      <c r="AG149">
        <v>3.954013963</v>
      </c>
      <c r="AH149">
        <v>3.9947681689999999</v>
      </c>
      <c r="AI149">
        <v>4.0313909509999997</v>
      </c>
      <c r="AJ149">
        <v>4.0656951000000001</v>
      </c>
      <c r="AK149">
        <v>4.1072822139999996</v>
      </c>
      <c r="AL149">
        <v>4.1494542829999999</v>
      </c>
      <c r="AM149">
        <v>4.1903468070000001</v>
      </c>
      <c r="AN149">
        <v>4.2123995279999997</v>
      </c>
      <c r="AO149">
        <v>4.2353378900000003</v>
      </c>
      <c r="AP149">
        <v>4.2574801789999999</v>
      </c>
      <c r="AQ149">
        <v>4.285455078</v>
      </c>
      <c r="AR149">
        <v>4.3080319380000001</v>
      </c>
      <c r="AS149">
        <v>4.331729073</v>
      </c>
      <c r="AT149">
        <v>4.3565168190000003</v>
      </c>
      <c r="AU149">
        <v>4.3794363729999999</v>
      </c>
      <c r="AV149">
        <v>4.4022061219999999</v>
      </c>
      <c r="AW149">
        <v>4.4580505800000001</v>
      </c>
    </row>
    <row r="150" spans="2:49" x14ac:dyDescent="0.25">
      <c r="B150" t="s">
        <v>479</v>
      </c>
      <c r="C150">
        <v>600391.80946004798</v>
      </c>
      <c r="D150">
        <v>610031.29416316305</v>
      </c>
      <c r="E150">
        <v>620076.74470000004</v>
      </c>
      <c r="F150">
        <v>631872.84730000002</v>
      </c>
      <c r="G150">
        <v>593978.85069999995</v>
      </c>
      <c r="H150">
        <v>585305.74750000006</v>
      </c>
      <c r="I150">
        <v>592888.08330000006</v>
      </c>
      <c r="J150">
        <v>568290.10309999995</v>
      </c>
      <c r="K150">
        <v>535003.64040000003</v>
      </c>
      <c r="L150">
        <v>540046.39980000001</v>
      </c>
      <c r="M150">
        <v>549861.16260000004</v>
      </c>
      <c r="N150">
        <v>580320.17920000001</v>
      </c>
      <c r="O150">
        <v>614923.30610000005</v>
      </c>
      <c r="P150">
        <v>627247.56530000002</v>
      </c>
      <c r="Q150">
        <v>582737.77339999995</v>
      </c>
      <c r="R150">
        <v>600492.2622</v>
      </c>
      <c r="S150">
        <v>599380.19850000006</v>
      </c>
      <c r="T150">
        <v>596138.31740000006</v>
      </c>
      <c r="U150">
        <v>595731.9399</v>
      </c>
      <c r="V150">
        <v>599045.06980000006</v>
      </c>
      <c r="W150">
        <v>598365.06510000001</v>
      </c>
      <c r="X150">
        <v>593667.85800000001</v>
      </c>
      <c r="Y150">
        <v>599592.06790000002</v>
      </c>
      <c r="Z150">
        <v>605868.88829999999</v>
      </c>
      <c r="AA150">
        <v>612665.77119999996</v>
      </c>
      <c r="AB150">
        <v>619474.03659999999</v>
      </c>
      <c r="AC150">
        <v>626347.78009999997</v>
      </c>
      <c r="AD150">
        <v>632085.54169999994</v>
      </c>
      <c r="AE150">
        <v>636642.27740000002</v>
      </c>
      <c r="AF150">
        <v>641743.53110000002</v>
      </c>
      <c r="AG150">
        <v>647183.7524</v>
      </c>
      <c r="AH150">
        <v>651490.46770000004</v>
      </c>
      <c r="AI150">
        <v>658457.57299999997</v>
      </c>
      <c r="AJ150">
        <v>665367.05119999999</v>
      </c>
      <c r="AK150">
        <v>672376.65899999999</v>
      </c>
      <c r="AL150">
        <v>679585.49230000004</v>
      </c>
      <c r="AM150">
        <v>686962.40930000006</v>
      </c>
      <c r="AN150">
        <v>693066.25549999997</v>
      </c>
      <c r="AO150">
        <v>699519.12919999997</v>
      </c>
      <c r="AP150">
        <v>706108.46360000002</v>
      </c>
      <c r="AQ150">
        <v>712876.77859999996</v>
      </c>
      <c r="AR150">
        <v>719682.52610000002</v>
      </c>
      <c r="AS150">
        <v>726141.48560000001</v>
      </c>
      <c r="AT150">
        <v>732755.15839999996</v>
      </c>
      <c r="AU150">
        <v>739479.1202</v>
      </c>
      <c r="AV150">
        <v>746185.52830000001</v>
      </c>
      <c r="AW150">
        <v>753069.34369999997</v>
      </c>
    </row>
    <row r="151" spans="2:49" x14ac:dyDescent="0.25">
      <c r="B151" t="s">
        <v>480</v>
      </c>
      <c r="C151">
        <v>2139866.37253871</v>
      </c>
      <c r="D151">
        <v>2174222.6193092102</v>
      </c>
      <c r="E151">
        <v>2197623.4389999998</v>
      </c>
      <c r="F151">
        <v>2183234.6090000002</v>
      </c>
      <c r="G151">
        <v>2173371.7439999999</v>
      </c>
      <c r="H151">
        <v>2169369.0639999998</v>
      </c>
      <c r="I151">
        <v>2173397.8810000001</v>
      </c>
      <c r="J151">
        <v>2185581.4980000001</v>
      </c>
      <c r="K151">
        <v>2186247.3730000001</v>
      </c>
      <c r="L151">
        <v>2182868.5499999998</v>
      </c>
      <c r="M151">
        <v>2195762.8760000002</v>
      </c>
      <c r="N151">
        <v>2173753.9169999999</v>
      </c>
      <c r="O151">
        <v>2202194.1910000001</v>
      </c>
      <c r="P151">
        <v>2221862.5970000001</v>
      </c>
      <c r="Q151">
        <v>2248803.406</v>
      </c>
      <c r="R151">
        <v>2271262.821</v>
      </c>
      <c r="S151">
        <v>2240388.463</v>
      </c>
      <c r="T151">
        <v>2193873.8309999998</v>
      </c>
      <c r="U151">
        <v>2172168.3339999998</v>
      </c>
      <c r="V151">
        <v>2164388.148</v>
      </c>
      <c r="W151">
        <v>2153676.6639999999</v>
      </c>
      <c r="X151">
        <v>2091180.3189999999</v>
      </c>
      <c r="Y151">
        <v>2055300.159</v>
      </c>
      <c r="Z151">
        <v>2013055.912</v>
      </c>
      <c r="AA151">
        <v>1969781.9480000001</v>
      </c>
      <c r="AB151">
        <v>1925267.9809999999</v>
      </c>
      <c r="AC151">
        <v>1879737.183</v>
      </c>
      <c r="AD151">
        <v>1829533.223</v>
      </c>
      <c r="AE151">
        <v>1773822.5179999999</v>
      </c>
      <c r="AF151">
        <v>1720724.689</v>
      </c>
      <c r="AG151">
        <v>1668499.662</v>
      </c>
      <c r="AH151">
        <v>1611921.594</v>
      </c>
      <c r="AI151">
        <v>1582624.5730000001</v>
      </c>
      <c r="AJ151">
        <v>1552365.57</v>
      </c>
      <c r="AK151">
        <v>1521556.915</v>
      </c>
      <c r="AL151">
        <v>1490531.389</v>
      </c>
      <c r="AM151">
        <v>1459106.0830000001</v>
      </c>
      <c r="AN151">
        <v>1450396.892</v>
      </c>
      <c r="AO151">
        <v>1442152.155</v>
      </c>
      <c r="AP151">
        <v>1434013.3389999999</v>
      </c>
      <c r="AQ151">
        <v>1425834.422</v>
      </c>
      <c r="AR151">
        <v>1417471.966</v>
      </c>
      <c r="AS151">
        <v>1425592.551</v>
      </c>
      <c r="AT151">
        <v>1433951.9680000001</v>
      </c>
      <c r="AU151">
        <v>1442443.071</v>
      </c>
      <c r="AV151">
        <v>1450971.129</v>
      </c>
      <c r="AW151">
        <v>1459838.561</v>
      </c>
    </row>
    <row r="152" spans="2:49" x14ac:dyDescent="0.25">
      <c r="B152" t="s">
        <v>481</v>
      </c>
      <c r="C152">
        <v>48247577.676067904</v>
      </c>
      <c r="D152">
        <v>49022208.141778298</v>
      </c>
      <c r="E152">
        <v>49870603.270000003</v>
      </c>
      <c r="F152">
        <v>49562746.969999999</v>
      </c>
      <c r="G152">
        <v>48580911.189999998</v>
      </c>
      <c r="H152">
        <v>46819646.670000002</v>
      </c>
      <c r="I152">
        <v>46423838.93</v>
      </c>
      <c r="J152">
        <v>46120164.25</v>
      </c>
      <c r="K152">
        <v>45532047.479999997</v>
      </c>
      <c r="L152">
        <v>44673684.32</v>
      </c>
      <c r="M152">
        <v>44198308.990000002</v>
      </c>
      <c r="N152">
        <v>43663924.969999999</v>
      </c>
      <c r="O152">
        <v>43603134.490000002</v>
      </c>
      <c r="P152">
        <v>43753765.539999999</v>
      </c>
      <c r="Q152">
        <v>43138438.039999999</v>
      </c>
      <c r="R152">
        <v>42538273.780000001</v>
      </c>
      <c r="S152">
        <v>42061501.07</v>
      </c>
      <c r="T152">
        <v>42328758.869999997</v>
      </c>
      <c r="U152">
        <v>42493469.5</v>
      </c>
      <c r="V152">
        <v>42981964.350000001</v>
      </c>
      <c r="W152">
        <v>43330630.399999999</v>
      </c>
      <c r="X152">
        <v>43177818.990000002</v>
      </c>
      <c r="Y152">
        <v>42916079.850000001</v>
      </c>
      <c r="Z152">
        <v>42781190.880000003</v>
      </c>
      <c r="AA152">
        <v>42697692.270000003</v>
      </c>
      <c r="AB152">
        <v>42637148.420000002</v>
      </c>
      <c r="AC152">
        <v>42613443.100000001</v>
      </c>
      <c r="AD152">
        <v>42187269.609999999</v>
      </c>
      <c r="AE152">
        <v>41777681.920000002</v>
      </c>
      <c r="AF152">
        <v>41384711.850000001</v>
      </c>
      <c r="AG152">
        <v>40994235.109999999</v>
      </c>
      <c r="AH152">
        <v>40621262.289999999</v>
      </c>
      <c r="AI152">
        <v>40467697.420000002</v>
      </c>
      <c r="AJ152">
        <v>40317380.060000002</v>
      </c>
      <c r="AK152">
        <v>40172239.68</v>
      </c>
      <c r="AL152">
        <v>40028452.399999999</v>
      </c>
      <c r="AM152">
        <v>39875582.990000002</v>
      </c>
      <c r="AN152">
        <v>40112550.450000003</v>
      </c>
      <c r="AO152">
        <v>40375951.920000002</v>
      </c>
      <c r="AP152">
        <v>40631717.310000002</v>
      </c>
      <c r="AQ152">
        <v>40887808.329999998</v>
      </c>
      <c r="AR152">
        <v>41133791.719999999</v>
      </c>
      <c r="AS152">
        <v>41656168.780000001</v>
      </c>
      <c r="AT152">
        <v>42176102.890000001</v>
      </c>
      <c r="AU152">
        <v>42700324.43</v>
      </c>
      <c r="AV152">
        <v>43229909.210000001</v>
      </c>
      <c r="AW152">
        <v>43779329.020000003</v>
      </c>
    </row>
    <row r="153" spans="2:49" x14ac:dyDescent="0.25">
      <c r="B153" t="s">
        <v>482</v>
      </c>
      <c r="C153">
        <v>9181601.5739378203</v>
      </c>
      <c r="D153">
        <v>9329015.1570805702</v>
      </c>
      <c r="E153">
        <v>9482637.0470000003</v>
      </c>
      <c r="F153">
        <v>10816916.5</v>
      </c>
      <c r="G153">
        <v>9121002.6050000004</v>
      </c>
      <c r="H153">
        <v>6576790.102</v>
      </c>
      <c r="I153">
        <v>7799197.0939999996</v>
      </c>
      <c r="J153">
        <v>6138028.2829999998</v>
      </c>
      <c r="K153">
        <v>7114747.9639999997</v>
      </c>
      <c r="L153">
        <v>6386643.7110000001</v>
      </c>
      <c r="M153">
        <v>6424232.3360000001</v>
      </c>
      <c r="N153">
        <v>6606422.1380000003</v>
      </c>
      <c r="O153">
        <v>6035247.0180000002</v>
      </c>
      <c r="P153">
        <v>6397852.9840000002</v>
      </c>
      <c r="Q153">
        <v>6290873.9029999999</v>
      </c>
      <c r="R153">
        <v>6403430.4740000004</v>
      </c>
      <c r="S153">
        <v>6397204.1619999995</v>
      </c>
      <c r="T153">
        <v>6283458.1679999996</v>
      </c>
      <c r="U153">
        <v>6320637.8420000002</v>
      </c>
      <c r="V153">
        <v>6399735.8789999997</v>
      </c>
      <c r="W153">
        <v>6451146.0420000004</v>
      </c>
      <c r="X153">
        <v>6475448.2779999999</v>
      </c>
      <c r="Y153">
        <v>6528845.3720000004</v>
      </c>
      <c r="Z153">
        <v>6593807.5429999996</v>
      </c>
      <c r="AA153">
        <v>6665690.9510000004</v>
      </c>
      <c r="AB153">
        <v>6739937.1610000003</v>
      </c>
      <c r="AC153">
        <v>6818692.2539999997</v>
      </c>
      <c r="AD153">
        <v>6892191.6730000004</v>
      </c>
      <c r="AE153">
        <v>6968343.5099999998</v>
      </c>
      <c r="AF153">
        <v>7049792.9749999996</v>
      </c>
      <c r="AG153">
        <v>7136749.4890000001</v>
      </c>
      <c r="AH153">
        <v>7230152.4560000002</v>
      </c>
      <c r="AI153">
        <v>7333841.7549999999</v>
      </c>
      <c r="AJ153">
        <v>7445031.6390000004</v>
      </c>
      <c r="AK153">
        <v>7559976.4539999999</v>
      </c>
      <c r="AL153">
        <v>7679389.8789999997</v>
      </c>
      <c r="AM153">
        <v>7801650.2970000003</v>
      </c>
      <c r="AN153">
        <v>7920606.3969999999</v>
      </c>
      <c r="AO153">
        <v>8044585.1239999998</v>
      </c>
      <c r="AP153">
        <v>8168448.0460000001</v>
      </c>
      <c r="AQ153">
        <v>8292123.0760000004</v>
      </c>
      <c r="AR153">
        <v>8415018.6420000009</v>
      </c>
      <c r="AS153">
        <v>8536985.9379999898</v>
      </c>
      <c r="AT153">
        <v>8659524.7139999997</v>
      </c>
      <c r="AU153">
        <v>8783876.2080000006</v>
      </c>
      <c r="AV153">
        <v>8909372.0280000009</v>
      </c>
      <c r="AW153">
        <v>9038202.432</v>
      </c>
    </row>
    <row r="154" spans="2:49" x14ac:dyDescent="0.25">
      <c r="B154" t="s">
        <v>483</v>
      </c>
      <c r="C154">
        <v>2568505.4482754301</v>
      </c>
      <c r="D154">
        <v>2609743.6340541099</v>
      </c>
      <c r="E154">
        <v>2652718.5619999999</v>
      </c>
      <c r="F154">
        <v>2757482.8670000001</v>
      </c>
      <c r="G154">
        <v>2739927.4330000002</v>
      </c>
      <c r="H154">
        <v>2259007.4</v>
      </c>
      <c r="I154">
        <v>2331498.841</v>
      </c>
      <c r="J154">
        <v>2441281.5350000001</v>
      </c>
      <c r="K154">
        <v>2383205.6179999998</v>
      </c>
      <c r="L154">
        <v>2318971.1639999999</v>
      </c>
      <c r="M154">
        <v>2319345.5</v>
      </c>
      <c r="N154">
        <v>2452591.0249999999</v>
      </c>
      <c r="O154">
        <v>2458475.6940000001</v>
      </c>
      <c r="P154">
        <v>2458620.96</v>
      </c>
      <c r="Q154">
        <v>2536305.69</v>
      </c>
      <c r="R154">
        <v>2577526.1800000002</v>
      </c>
      <c r="S154">
        <v>2550624.068</v>
      </c>
      <c r="T154">
        <v>2505323.2760000001</v>
      </c>
      <c r="U154">
        <v>2476430.5750000002</v>
      </c>
      <c r="V154">
        <v>2462581.9879999999</v>
      </c>
      <c r="W154">
        <v>2468017.605</v>
      </c>
      <c r="X154">
        <v>2459293.06</v>
      </c>
      <c r="Y154">
        <v>2467505.861</v>
      </c>
      <c r="Z154">
        <v>2481045.9210000001</v>
      </c>
      <c r="AA154">
        <v>2502283.0520000001</v>
      </c>
      <c r="AB154">
        <v>2526388.7239999999</v>
      </c>
      <c r="AC154">
        <v>2551850.966</v>
      </c>
      <c r="AD154">
        <v>2576343.227</v>
      </c>
      <c r="AE154">
        <v>2602815.7080000001</v>
      </c>
      <c r="AF154">
        <v>2632926.4870000002</v>
      </c>
      <c r="AG154">
        <v>2665562.6159999999</v>
      </c>
      <c r="AH154">
        <v>2700912.713</v>
      </c>
      <c r="AI154">
        <v>2741713.9180000001</v>
      </c>
      <c r="AJ154">
        <v>2785413.2080000001</v>
      </c>
      <c r="AK154">
        <v>2830290.412</v>
      </c>
      <c r="AL154">
        <v>2877388.764</v>
      </c>
      <c r="AM154">
        <v>2925613.858</v>
      </c>
      <c r="AN154">
        <v>2968393.5819999999</v>
      </c>
      <c r="AO154">
        <v>3010354.0290000001</v>
      </c>
      <c r="AP154">
        <v>3051412.4139999999</v>
      </c>
      <c r="AQ154">
        <v>3091677.9870000002</v>
      </c>
      <c r="AR154">
        <v>3130845.1409999998</v>
      </c>
      <c r="AS154">
        <v>3172327.7570000002</v>
      </c>
      <c r="AT154">
        <v>3214515.5559999999</v>
      </c>
      <c r="AU154">
        <v>3257167.5619999999</v>
      </c>
      <c r="AV154">
        <v>3301196.8629999999</v>
      </c>
      <c r="AW154">
        <v>3344911.017</v>
      </c>
    </row>
    <row r="155" spans="2:49" x14ac:dyDescent="0.25">
      <c r="B155" t="s">
        <v>484</v>
      </c>
      <c r="C155">
        <v>12693844.6626458</v>
      </c>
      <c r="D155">
        <v>12897648.444645001</v>
      </c>
      <c r="E155">
        <v>13110035.4</v>
      </c>
      <c r="F155">
        <v>13386511.91</v>
      </c>
      <c r="G155">
        <v>12855897.550000001</v>
      </c>
      <c r="H155">
        <v>12597590.68</v>
      </c>
      <c r="I155">
        <v>12412879.68</v>
      </c>
      <c r="J155">
        <v>11869196.83</v>
      </c>
      <c r="K155">
        <v>11261584.82</v>
      </c>
      <c r="L155">
        <v>11041304.6</v>
      </c>
      <c r="M155">
        <v>11104605.18</v>
      </c>
      <c r="N155">
        <v>11490387.470000001</v>
      </c>
      <c r="O155">
        <v>10882500.369999999</v>
      </c>
      <c r="P155">
        <v>10161386.57</v>
      </c>
      <c r="Q155">
        <v>9480394.4100000001</v>
      </c>
      <c r="R155">
        <v>8968892.5559999999</v>
      </c>
      <c r="S155">
        <v>8389324.5899999999</v>
      </c>
      <c r="T155">
        <v>8347959.0860000001</v>
      </c>
      <c r="U155">
        <v>8340369.1670000004</v>
      </c>
      <c r="V155">
        <v>8331142.5379999997</v>
      </c>
      <c r="W155">
        <v>8043780.9210000001</v>
      </c>
      <c r="X155">
        <v>7725658.8130000001</v>
      </c>
      <c r="Y155">
        <v>7485170.2019999996</v>
      </c>
      <c r="Z155">
        <v>7270859.7989999996</v>
      </c>
      <c r="AA155">
        <v>7074455.4440000001</v>
      </c>
      <c r="AB155">
        <v>6893155.9309999999</v>
      </c>
      <c r="AC155">
        <v>6724403.54</v>
      </c>
      <c r="AD155">
        <v>6566351.3959999997</v>
      </c>
      <c r="AE155">
        <v>6418212.7649999997</v>
      </c>
      <c r="AF155">
        <v>6276544.6189999999</v>
      </c>
      <c r="AG155">
        <v>6144440.8779999996</v>
      </c>
      <c r="AH155">
        <v>6018041.392</v>
      </c>
      <c r="AI155">
        <v>5898415.7850000001</v>
      </c>
      <c r="AJ155">
        <v>5785449.4129999997</v>
      </c>
      <c r="AK155">
        <v>5678597.8020000001</v>
      </c>
      <c r="AL155">
        <v>5577144.2230000002</v>
      </c>
      <c r="AM155">
        <v>5480951.9720000001</v>
      </c>
      <c r="AN155">
        <v>5454923.7230000002</v>
      </c>
      <c r="AO155">
        <v>5442168.8130000001</v>
      </c>
      <c r="AP155">
        <v>5431772.2589999996</v>
      </c>
      <c r="AQ155">
        <v>5421365.9160000002</v>
      </c>
      <c r="AR155">
        <v>5410319.949</v>
      </c>
      <c r="AS155">
        <v>5397775.1059999997</v>
      </c>
      <c r="AT155">
        <v>5384644.3210000005</v>
      </c>
      <c r="AU155">
        <v>5371670.1689999998</v>
      </c>
      <c r="AV155">
        <v>5356799.966</v>
      </c>
      <c r="AW155">
        <v>5340654.5199999996</v>
      </c>
    </row>
    <row r="156" spans="2:49" x14ac:dyDescent="0.25">
      <c r="B156" t="s">
        <v>485</v>
      </c>
      <c r="C156">
        <v>1234344.16589374</v>
      </c>
      <c r="D156">
        <v>1254161.9607370901</v>
      </c>
      <c r="E156">
        <v>1274814.3799999999</v>
      </c>
      <c r="F156">
        <v>1251653.7</v>
      </c>
      <c r="G156">
        <v>1176414.517</v>
      </c>
      <c r="H156">
        <v>1209531.9129999999</v>
      </c>
      <c r="I156">
        <v>1146159.209</v>
      </c>
      <c r="J156">
        <v>1066586.8089999999</v>
      </c>
      <c r="K156">
        <v>1003894.302</v>
      </c>
      <c r="L156">
        <v>977300.75789999997</v>
      </c>
      <c r="M156">
        <v>961966.91269999999</v>
      </c>
      <c r="N156">
        <v>972015.09420000005</v>
      </c>
      <c r="O156">
        <v>905098.96739999996</v>
      </c>
      <c r="P156">
        <v>830136.48939999996</v>
      </c>
      <c r="Q156">
        <v>763810.41339999996</v>
      </c>
      <c r="R156">
        <v>714607.62580000004</v>
      </c>
      <c r="S156">
        <v>658503.05940000003</v>
      </c>
      <c r="T156">
        <v>655253.87490000005</v>
      </c>
      <c r="U156">
        <v>656651.64099999995</v>
      </c>
      <c r="V156">
        <v>657942.12780000002</v>
      </c>
      <c r="W156">
        <v>624952.91689999995</v>
      </c>
      <c r="X156">
        <v>588990.10019999999</v>
      </c>
      <c r="Y156">
        <v>561918.27260000003</v>
      </c>
      <c r="Z156">
        <v>538650.18999999994</v>
      </c>
      <c r="AA156">
        <v>517975.99579999998</v>
      </c>
      <c r="AB156">
        <v>499403.72330000001</v>
      </c>
      <c r="AC156">
        <v>482534.80859999999</v>
      </c>
      <c r="AD156">
        <v>467079.90919999999</v>
      </c>
      <c r="AE156">
        <v>452900.61839999998</v>
      </c>
      <c r="AF156">
        <v>439582.3651</v>
      </c>
      <c r="AG156">
        <v>427453.15889999998</v>
      </c>
      <c r="AH156">
        <v>416029.61060000001</v>
      </c>
      <c r="AI156">
        <v>405407.70880000002</v>
      </c>
      <c r="AJ156">
        <v>395526.79489999998</v>
      </c>
      <c r="AK156">
        <v>386320.83730000001</v>
      </c>
      <c r="AL156">
        <v>377702.79340000002</v>
      </c>
      <c r="AM156">
        <v>369645.6593</v>
      </c>
      <c r="AN156">
        <v>368673.07199999999</v>
      </c>
      <c r="AO156">
        <v>369031.30739999999</v>
      </c>
      <c r="AP156">
        <v>369642.25929999998</v>
      </c>
      <c r="AQ156">
        <v>370273.23989999999</v>
      </c>
      <c r="AR156">
        <v>370863.82819999999</v>
      </c>
      <c r="AS156">
        <v>371350.32919999998</v>
      </c>
      <c r="AT156">
        <v>371798.00420000002</v>
      </c>
      <c r="AU156">
        <v>372315.84989999997</v>
      </c>
      <c r="AV156">
        <v>372649.74609999999</v>
      </c>
      <c r="AW156">
        <v>372873.22070000001</v>
      </c>
    </row>
    <row r="157" spans="2:49" x14ac:dyDescent="0.25">
      <c r="B157" t="s">
        <v>486</v>
      </c>
      <c r="C157">
        <v>16278955.912495499</v>
      </c>
      <c r="D157">
        <v>16540319.8152481</v>
      </c>
      <c r="E157">
        <v>16805880</v>
      </c>
      <c r="F157">
        <v>16652726.42</v>
      </c>
      <c r="G157">
        <v>15803483.83</v>
      </c>
      <c r="H157">
        <v>15158727.76</v>
      </c>
      <c r="I157">
        <v>14684662.949999999</v>
      </c>
      <c r="J157">
        <v>12871407.380000001</v>
      </c>
      <c r="K157">
        <v>11220369.609999999</v>
      </c>
      <c r="L157">
        <v>9852632.3460000008</v>
      </c>
      <c r="M157">
        <v>8816909.0659999996</v>
      </c>
      <c r="N157">
        <v>7968408.9670000002</v>
      </c>
      <c r="O157">
        <v>7233851.2690000003</v>
      </c>
      <c r="P157">
        <v>6505790.8140000002</v>
      </c>
      <c r="Q157">
        <v>5738798.5970000001</v>
      </c>
      <c r="R157">
        <v>5097126.2539999997</v>
      </c>
      <c r="S157">
        <v>4451642.0750000002</v>
      </c>
      <c r="T157">
        <v>5206667.8669999996</v>
      </c>
      <c r="U157">
        <v>5934704.7230000002</v>
      </c>
      <c r="V157">
        <v>6657022.0999999996</v>
      </c>
      <c r="W157">
        <v>8069674.3540000003</v>
      </c>
      <c r="X157">
        <v>9383609.4930000007</v>
      </c>
      <c r="Y157">
        <v>9498581.4509999994</v>
      </c>
      <c r="Z157">
        <v>9649018.5539999995</v>
      </c>
      <c r="AA157">
        <v>9815886.5960000008</v>
      </c>
      <c r="AB157">
        <v>10027350.73</v>
      </c>
      <c r="AC157">
        <v>10250376.74</v>
      </c>
      <c r="AD157">
        <v>10360096.09</v>
      </c>
      <c r="AE157">
        <v>10464990.359999999</v>
      </c>
      <c r="AF157">
        <v>10566780.039999999</v>
      </c>
      <c r="AG157">
        <v>10698512.449999999</v>
      </c>
      <c r="AH157">
        <v>10827546.199999999</v>
      </c>
      <c r="AI157">
        <v>10949150.789999999</v>
      </c>
      <c r="AJ157">
        <v>11074537.310000001</v>
      </c>
      <c r="AK157">
        <v>11203369.859999999</v>
      </c>
      <c r="AL157">
        <v>11361999.970000001</v>
      </c>
      <c r="AM157">
        <v>11521863.970000001</v>
      </c>
      <c r="AN157">
        <v>11594362.15</v>
      </c>
      <c r="AO157">
        <v>11663931.289999999</v>
      </c>
      <c r="AP157">
        <v>11730352.93</v>
      </c>
      <c r="AQ157">
        <v>11796702.91</v>
      </c>
      <c r="AR157">
        <v>11860728.699999999</v>
      </c>
      <c r="AS157">
        <v>11869632.82</v>
      </c>
      <c r="AT157">
        <v>11883993.59</v>
      </c>
      <c r="AU157">
        <v>11902453.720000001</v>
      </c>
      <c r="AV157">
        <v>11922791.699999999</v>
      </c>
      <c r="AW157">
        <v>11949464.59</v>
      </c>
    </row>
    <row r="158" spans="2:49" x14ac:dyDescent="0.25">
      <c r="B158" t="s">
        <v>487</v>
      </c>
      <c r="C158">
        <v>4315668.6239754204</v>
      </c>
      <c r="D158">
        <v>4384958.0796759203</v>
      </c>
      <c r="E158">
        <v>4455360</v>
      </c>
      <c r="F158">
        <v>4316626.7209999999</v>
      </c>
      <c r="G158">
        <v>4161719.4219999998</v>
      </c>
      <c r="H158">
        <v>3762966.4019999998</v>
      </c>
      <c r="I158">
        <v>3607883.1660000002</v>
      </c>
      <c r="J158">
        <v>3492608.892</v>
      </c>
      <c r="K158">
        <v>3341148.7540000002</v>
      </c>
      <c r="L158">
        <v>3145949.0469999998</v>
      </c>
      <c r="M158">
        <v>2953094.8480000002</v>
      </c>
      <c r="N158">
        <v>2739363.4210000001</v>
      </c>
      <c r="O158">
        <v>2409628.585</v>
      </c>
      <c r="P158">
        <v>2137794.412</v>
      </c>
      <c r="Q158">
        <v>1886698.139</v>
      </c>
      <c r="R158">
        <v>1582498.7960000001</v>
      </c>
      <c r="S158">
        <v>1267474.9099999999</v>
      </c>
      <c r="T158">
        <v>1575793.0430000001</v>
      </c>
      <c r="U158">
        <v>1954912.5190000001</v>
      </c>
      <c r="V158">
        <v>2351556.8420000002</v>
      </c>
      <c r="W158">
        <v>2528059.5580000002</v>
      </c>
      <c r="X158">
        <v>2680821.6269999999</v>
      </c>
      <c r="Y158">
        <v>2688595.8709999998</v>
      </c>
      <c r="Z158">
        <v>2681466.0929999999</v>
      </c>
      <c r="AA158">
        <v>2673707.46</v>
      </c>
      <c r="AB158">
        <v>2668591.6430000002</v>
      </c>
      <c r="AC158">
        <v>2664419.37</v>
      </c>
      <c r="AD158">
        <v>2704429.9079999998</v>
      </c>
      <c r="AE158">
        <v>2748520.2420000001</v>
      </c>
      <c r="AF158">
        <v>2792987.3339999998</v>
      </c>
      <c r="AG158">
        <v>2839288.7590000001</v>
      </c>
      <c r="AH158">
        <v>2886166.2349999999</v>
      </c>
      <c r="AI158">
        <v>2874298.3539999998</v>
      </c>
      <c r="AJ158">
        <v>2856018.0720000002</v>
      </c>
      <c r="AK158">
        <v>2837113.7489999998</v>
      </c>
      <c r="AL158">
        <v>2816978.986</v>
      </c>
      <c r="AM158">
        <v>2796380.423</v>
      </c>
      <c r="AN158">
        <v>2831436.5</v>
      </c>
      <c r="AO158">
        <v>2871340.3</v>
      </c>
      <c r="AP158">
        <v>2910624.9079999998</v>
      </c>
      <c r="AQ158">
        <v>2949229.375</v>
      </c>
      <c r="AR158">
        <v>2986849.1340000001</v>
      </c>
      <c r="AS158">
        <v>3006186.7149999999</v>
      </c>
      <c r="AT158">
        <v>3023300.2480000001</v>
      </c>
      <c r="AU158">
        <v>3040329.9890000001</v>
      </c>
      <c r="AV158">
        <v>3056456.0350000001</v>
      </c>
      <c r="AW158">
        <v>3073168.0320000001</v>
      </c>
    </row>
    <row r="159" spans="2:49" x14ac:dyDescent="0.25">
      <c r="B159" t="s">
        <v>488</v>
      </c>
      <c r="C159">
        <v>4315668.6239754204</v>
      </c>
      <c r="D159">
        <v>4384958.0796759203</v>
      </c>
      <c r="E159">
        <v>4455360</v>
      </c>
      <c r="F159">
        <v>4316626.7209999999</v>
      </c>
      <c r="G159">
        <v>4161719.4219999998</v>
      </c>
      <c r="H159">
        <v>3762966.4019999998</v>
      </c>
      <c r="I159">
        <v>3607883.1660000002</v>
      </c>
      <c r="J159">
        <v>3492608.892</v>
      </c>
      <c r="K159">
        <v>3341148.7540000002</v>
      </c>
      <c r="L159">
        <v>3145949.0469999998</v>
      </c>
      <c r="M159">
        <v>2953094.8480000002</v>
      </c>
      <c r="N159">
        <v>2739363.4210000001</v>
      </c>
      <c r="O159">
        <v>2409628.585</v>
      </c>
      <c r="P159">
        <v>2137794.412</v>
      </c>
      <c r="Q159">
        <v>1886698.139</v>
      </c>
      <c r="R159">
        <v>1582498.7960000001</v>
      </c>
      <c r="S159">
        <v>1267474.9099999999</v>
      </c>
      <c r="T159">
        <v>1575793.0430000001</v>
      </c>
      <c r="U159">
        <v>1954912.5190000001</v>
      </c>
      <c r="V159">
        <v>2351556.8420000002</v>
      </c>
      <c r="W159">
        <v>2528059.5580000002</v>
      </c>
      <c r="X159">
        <v>2680821.6269999999</v>
      </c>
      <c r="Y159">
        <v>2688595.8709999998</v>
      </c>
      <c r="Z159">
        <v>2681466.0929999999</v>
      </c>
      <c r="AA159">
        <v>2673707.46</v>
      </c>
      <c r="AB159">
        <v>2668591.6430000002</v>
      </c>
      <c r="AC159">
        <v>2664419.37</v>
      </c>
      <c r="AD159">
        <v>2704429.9079999998</v>
      </c>
      <c r="AE159">
        <v>2748520.2420000001</v>
      </c>
      <c r="AF159">
        <v>2792987.3339999998</v>
      </c>
      <c r="AG159">
        <v>2839288.7590000001</v>
      </c>
      <c r="AH159">
        <v>2886166.2349999999</v>
      </c>
      <c r="AI159">
        <v>2874298.3539999998</v>
      </c>
      <c r="AJ159">
        <v>2856018.0720000002</v>
      </c>
      <c r="AK159">
        <v>2837113.7489999998</v>
      </c>
      <c r="AL159">
        <v>2816978.986</v>
      </c>
      <c r="AM159">
        <v>2796380.423</v>
      </c>
      <c r="AN159">
        <v>2831436.5</v>
      </c>
      <c r="AO159">
        <v>2871340.3</v>
      </c>
      <c r="AP159">
        <v>2910624.9079999998</v>
      </c>
      <c r="AQ159">
        <v>2949229.375</v>
      </c>
      <c r="AR159">
        <v>2986849.1340000001</v>
      </c>
      <c r="AS159">
        <v>3006186.7149999999</v>
      </c>
      <c r="AT159">
        <v>3023300.2480000001</v>
      </c>
      <c r="AU159">
        <v>3040329.9890000001</v>
      </c>
      <c r="AV159">
        <v>3056456.0350000001</v>
      </c>
      <c r="AW159">
        <v>3073168.0320000001</v>
      </c>
    </row>
    <row r="160" spans="2:49" x14ac:dyDescent="0.25">
      <c r="B160" t="s">
        <v>489</v>
      </c>
      <c r="C160">
        <v>8232235.5397947598</v>
      </c>
      <c r="D160">
        <v>8364406.7441781899</v>
      </c>
      <c r="E160">
        <v>8498700</v>
      </c>
      <c r="F160">
        <v>8432797.6960000005</v>
      </c>
      <c r="G160">
        <v>8370146.0209999997</v>
      </c>
      <c r="H160">
        <v>7795443.9790000003</v>
      </c>
      <c r="I160">
        <v>7698664.1789999995</v>
      </c>
      <c r="J160">
        <v>7676208.3360000001</v>
      </c>
      <c r="K160">
        <v>7563236.7439999999</v>
      </c>
      <c r="L160">
        <v>7334348.1359999999</v>
      </c>
      <c r="M160">
        <v>7090383.7860000003</v>
      </c>
      <c r="N160">
        <v>6773460.8109999998</v>
      </c>
      <c r="O160">
        <v>7129956.1849999996</v>
      </c>
      <c r="P160">
        <v>7748737.4369999999</v>
      </c>
      <c r="Q160">
        <v>8527441.7070000004</v>
      </c>
      <c r="R160">
        <v>9146075.8249999899</v>
      </c>
      <c r="S160">
        <v>9739939.8560000006</v>
      </c>
      <c r="T160">
        <v>8990452.5960000008</v>
      </c>
      <c r="U160">
        <v>8191726.9280000003</v>
      </c>
      <c r="V160">
        <v>7436691.8990000002</v>
      </c>
      <c r="W160">
        <v>5429633.0870000003</v>
      </c>
      <c r="X160">
        <v>3044590.7769999998</v>
      </c>
      <c r="Y160">
        <v>2832806.7080000001</v>
      </c>
      <c r="Z160">
        <v>2798690.05</v>
      </c>
      <c r="AA160">
        <v>2783153.44</v>
      </c>
      <c r="AB160">
        <v>2771158.8289999999</v>
      </c>
      <c r="AC160">
        <v>2759926.037</v>
      </c>
      <c r="AD160">
        <v>2749295.0290000001</v>
      </c>
      <c r="AE160">
        <v>2737797.8810000001</v>
      </c>
      <c r="AF160">
        <v>2726232.2039999999</v>
      </c>
      <c r="AG160">
        <v>2714483.7439999999</v>
      </c>
      <c r="AH160">
        <v>2703189.5550000002</v>
      </c>
      <c r="AI160">
        <v>2706045.6430000002</v>
      </c>
      <c r="AJ160">
        <v>2708231.07</v>
      </c>
      <c r="AK160">
        <v>2709988.5529999998</v>
      </c>
      <c r="AL160">
        <v>2711117.0980000002</v>
      </c>
      <c r="AM160">
        <v>2711506.503</v>
      </c>
      <c r="AN160">
        <v>2706996.7680000002</v>
      </c>
      <c r="AO160">
        <v>2701327.23</v>
      </c>
      <c r="AP160">
        <v>2694536.3539999998</v>
      </c>
      <c r="AQ160">
        <v>2687149.2549999999</v>
      </c>
      <c r="AR160">
        <v>2678972.727</v>
      </c>
      <c r="AS160">
        <v>3549224.7570000002</v>
      </c>
      <c r="AT160">
        <v>4518940.5949999997</v>
      </c>
      <c r="AU160">
        <v>5490956.9160000002</v>
      </c>
      <c r="AV160">
        <v>6449252.9670000002</v>
      </c>
      <c r="AW160">
        <v>7394746.2180000003</v>
      </c>
    </row>
    <row r="161" spans="2:49" x14ac:dyDescent="0.25">
      <c r="B161" t="s">
        <v>490</v>
      </c>
      <c r="C161">
        <v>20174774.421468802</v>
      </c>
      <c r="D161">
        <v>20498686.950521201</v>
      </c>
      <c r="E161">
        <v>20827800</v>
      </c>
      <c r="F161">
        <v>19746362.690000001</v>
      </c>
      <c r="G161">
        <v>18579206.66</v>
      </c>
      <c r="H161">
        <v>16390218.619999999</v>
      </c>
      <c r="I161">
        <v>15332247.359999999</v>
      </c>
      <c r="J161">
        <v>14481440.77</v>
      </c>
      <c r="K161">
        <v>13516858.43</v>
      </c>
      <c r="L161">
        <v>12418197.539999999</v>
      </c>
      <c r="M161">
        <v>11374155.32</v>
      </c>
      <c r="N161">
        <v>10295168.1</v>
      </c>
      <c r="O161">
        <v>8748180.2400000002</v>
      </c>
      <c r="P161">
        <v>7408412.3930000002</v>
      </c>
      <c r="Q161">
        <v>6118703.4550000001</v>
      </c>
      <c r="R161">
        <v>4633326.3219999997</v>
      </c>
      <c r="S161">
        <v>3102331.8769999999</v>
      </c>
      <c r="T161">
        <v>2843895.3360000001</v>
      </c>
      <c r="U161">
        <v>2697066.7220000001</v>
      </c>
      <c r="V161">
        <v>2567946.2960000001</v>
      </c>
      <c r="W161">
        <v>1767346.98</v>
      </c>
      <c r="X161">
        <v>918518.97919999994</v>
      </c>
      <c r="Y161">
        <v>860860.14740000002</v>
      </c>
      <c r="Z161">
        <v>859789.29989999998</v>
      </c>
      <c r="AA161">
        <v>864641.11930000002</v>
      </c>
      <c r="AB161">
        <v>870897.91599999997</v>
      </c>
      <c r="AC161">
        <v>877466.72349999996</v>
      </c>
      <c r="AD161">
        <v>883061.45799999998</v>
      </c>
      <c r="AE161">
        <v>888372.10490000003</v>
      </c>
      <c r="AF161">
        <v>893650.26740000001</v>
      </c>
      <c r="AG161">
        <v>899058.17720000003</v>
      </c>
      <c r="AH161">
        <v>904618.27960000001</v>
      </c>
      <c r="AI161">
        <v>910094.9632</v>
      </c>
      <c r="AJ161">
        <v>915356.24529999995</v>
      </c>
      <c r="AK161">
        <v>920469.03410000005</v>
      </c>
      <c r="AL161">
        <v>925458.89709999994</v>
      </c>
      <c r="AM161">
        <v>930194.75589999999</v>
      </c>
      <c r="AN161">
        <v>934454.38470000005</v>
      </c>
      <c r="AO161">
        <v>938332.43590000004</v>
      </c>
      <c r="AP161">
        <v>941837.4436</v>
      </c>
      <c r="AQ161">
        <v>945149.30039999995</v>
      </c>
      <c r="AR161">
        <v>948198.02220000001</v>
      </c>
      <c r="AS161">
        <v>950939.49280000001</v>
      </c>
      <c r="AT161">
        <v>953543.01269999996</v>
      </c>
      <c r="AU161">
        <v>956167.93909999996</v>
      </c>
      <c r="AV161">
        <v>958504.55160000001</v>
      </c>
      <c r="AW161">
        <v>961017.56960000005</v>
      </c>
    </row>
    <row r="162" spans="2:49" x14ac:dyDescent="0.25">
      <c r="B162" t="s">
        <v>491</v>
      </c>
      <c r="C162">
        <v>463787.91773491597</v>
      </c>
      <c r="D162">
        <v>471234.182770602</v>
      </c>
      <c r="E162">
        <v>478800</v>
      </c>
      <c r="F162">
        <v>476398.39390000002</v>
      </c>
      <c r="G162">
        <v>456803.78739999997</v>
      </c>
      <c r="H162">
        <v>430160.75819999998</v>
      </c>
      <c r="I162">
        <v>431646.47340000002</v>
      </c>
      <c r="J162">
        <v>443435.40749999997</v>
      </c>
      <c r="K162">
        <v>439093.50309999997</v>
      </c>
      <c r="L162">
        <v>442704.18800000002</v>
      </c>
      <c r="M162">
        <v>456234.80410000001</v>
      </c>
      <c r="N162">
        <v>476341.6103</v>
      </c>
      <c r="O162">
        <v>447051.4644</v>
      </c>
      <c r="P162">
        <v>410542.4768</v>
      </c>
      <c r="Q162">
        <v>358869.50209999998</v>
      </c>
      <c r="R162">
        <v>315149.10810000001</v>
      </c>
      <c r="S162">
        <v>280395.64030000003</v>
      </c>
      <c r="T162">
        <v>259811.8224</v>
      </c>
      <c r="U162">
        <v>240468.70370000001</v>
      </c>
      <c r="V162">
        <v>221980.9547</v>
      </c>
      <c r="W162">
        <v>234536.2047</v>
      </c>
      <c r="X162">
        <v>247422.19399999999</v>
      </c>
      <c r="Y162">
        <v>245556.3474</v>
      </c>
      <c r="Z162">
        <v>244238.84669999999</v>
      </c>
      <c r="AA162">
        <v>243273.8524</v>
      </c>
      <c r="AB162">
        <v>242759.01060000001</v>
      </c>
      <c r="AC162">
        <v>242620.54310000001</v>
      </c>
      <c r="AD162">
        <v>240913.77660000001</v>
      </c>
      <c r="AE162">
        <v>239331.6925</v>
      </c>
      <c r="AF162">
        <v>237832.24129999999</v>
      </c>
      <c r="AG162">
        <v>236121.49350000001</v>
      </c>
      <c r="AH162">
        <v>234614.64170000001</v>
      </c>
      <c r="AI162">
        <v>233239.49179999999</v>
      </c>
      <c r="AJ162">
        <v>231997.82209999999</v>
      </c>
      <c r="AK162">
        <v>230831.43030000001</v>
      </c>
      <c r="AL162">
        <v>229730.8726</v>
      </c>
      <c r="AM162">
        <v>228661.70910000001</v>
      </c>
      <c r="AN162">
        <v>226826.03020000001</v>
      </c>
      <c r="AO162">
        <v>225024.99309999999</v>
      </c>
      <c r="AP162">
        <v>223166.29800000001</v>
      </c>
      <c r="AQ162">
        <v>221286.42629999999</v>
      </c>
      <c r="AR162">
        <v>219350.7752</v>
      </c>
      <c r="AS162">
        <v>217895.46549999999</v>
      </c>
      <c r="AT162">
        <v>216460.89019999999</v>
      </c>
      <c r="AU162">
        <v>214812.19589999999</v>
      </c>
      <c r="AV162">
        <v>213265.8272</v>
      </c>
      <c r="AW162">
        <v>211803.40169999999</v>
      </c>
    </row>
    <row r="163" spans="2:49" x14ac:dyDescent="0.25">
      <c r="B163" t="s">
        <v>492</v>
      </c>
      <c r="C163">
        <v>748170.71461916296</v>
      </c>
      <c r="D163">
        <v>760182.83744504896</v>
      </c>
      <c r="E163">
        <v>772387.81880000001</v>
      </c>
      <c r="F163">
        <v>780791.20539999998</v>
      </c>
      <c r="G163">
        <v>737643.37080000003</v>
      </c>
      <c r="H163">
        <v>716942.04399999999</v>
      </c>
      <c r="I163">
        <v>735888.58669999999</v>
      </c>
      <c r="J163">
        <v>700318.02190000005</v>
      </c>
      <c r="K163">
        <v>664131.10690000001</v>
      </c>
      <c r="L163">
        <v>619095.18519999995</v>
      </c>
      <c r="M163">
        <v>626892.14269999997</v>
      </c>
      <c r="N163">
        <v>612034.08759999997</v>
      </c>
      <c r="O163">
        <v>601496.5196</v>
      </c>
      <c r="P163">
        <v>601023.62479999999</v>
      </c>
      <c r="Q163">
        <v>562044.89870000002</v>
      </c>
      <c r="R163">
        <v>542120.08490000002</v>
      </c>
      <c r="S163">
        <v>542860.43700000003</v>
      </c>
      <c r="T163">
        <v>526965.00529999996</v>
      </c>
      <c r="U163">
        <v>510131.9607</v>
      </c>
      <c r="V163">
        <v>496581.74729999999</v>
      </c>
      <c r="W163">
        <v>531123.17150000005</v>
      </c>
      <c r="X163">
        <v>564247.66740000003</v>
      </c>
      <c r="Y163">
        <v>563776.25349999999</v>
      </c>
      <c r="Z163">
        <v>562982.41780000005</v>
      </c>
      <c r="AA163">
        <v>562589.85660000006</v>
      </c>
      <c r="AB163">
        <v>562055.5246</v>
      </c>
      <c r="AC163">
        <v>561792.30989999999</v>
      </c>
      <c r="AD163">
        <v>561511.27740000002</v>
      </c>
      <c r="AE163">
        <v>561817.98380000005</v>
      </c>
      <c r="AF163">
        <v>562540.33799999999</v>
      </c>
      <c r="AG163">
        <v>562669.44499999995</v>
      </c>
      <c r="AH163">
        <v>563883.53500000003</v>
      </c>
      <c r="AI163">
        <v>568200.27819999994</v>
      </c>
      <c r="AJ163">
        <v>573231.79610000004</v>
      </c>
      <c r="AK163">
        <v>578398.21710000001</v>
      </c>
      <c r="AL163">
        <v>583748.53859999997</v>
      </c>
      <c r="AM163">
        <v>589150.86140000005</v>
      </c>
      <c r="AN163">
        <v>594169.96779999998</v>
      </c>
      <c r="AO163">
        <v>599545.35369999998</v>
      </c>
      <c r="AP163">
        <v>604677.59299999999</v>
      </c>
      <c r="AQ163">
        <v>609693.2622</v>
      </c>
      <c r="AR163">
        <v>614551.21620000002</v>
      </c>
      <c r="AS163">
        <v>619390.31469999999</v>
      </c>
      <c r="AT163">
        <v>624280.3014</v>
      </c>
      <c r="AU163">
        <v>628442.99930000002</v>
      </c>
      <c r="AV163">
        <v>632997.65020000003</v>
      </c>
      <c r="AW163">
        <v>637731.33600000001</v>
      </c>
    </row>
    <row r="164" spans="2:49" x14ac:dyDescent="0.25">
      <c r="B164" s="247" t="s">
        <v>493</v>
      </c>
      <c r="C164">
        <v>5051155.6907064496</v>
      </c>
      <c r="D164">
        <v>5132253.62916335</v>
      </c>
      <c r="E164">
        <v>5214653.6210000003</v>
      </c>
      <c r="F164">
        <v>5236798.3470000001</v>
      </c>
      <c r="G164">
        <v>4905401.7259999998</v>
      </c>
      <c r="H164">
        <v>4736332.8119999999</v>
      </c>
      <c r="I164">
        <v>4663271.3679999998</v>
      </c>
      <c r="J164">
        <v>4538498.9380000001</v>
      </c>
      <c r="K164">
        <v>4211506.9069999997</v>
      </c>
      <c r="L164">
        <v>3988576.2009999999</v>
      </c>
      <c r="M164">
        <v>3930581.7319999998</v>
      </c>
      <c r="N164">
        <v>3830160.1949999998</v>
      </c>
      <c r="O164">
        <v>3768898.4070000001</v>
      </c>
      <c r="P164">
        <v>3743549.6549999998</v>
      </c>
      <c r="Q164">
        <v>3560306.1340000001</v>
      </c>
      <c r="R164">
        <v>3411598.4980000001</v>
      </c>
      <c r="S164">
        <v>3424481.0750000002</v>
      </c>
      <c r="T164">
        <v>3301935.986</v>
      </c>
      <c r="U164">
        <v>3194967.9950000001</v>
      </c>
      <c r="V164">
        <v>3099720.1660000002</v>
      </c>
      <c r="W164">
        <v>3305940.06</v>
      </c>
      <c r="X164">
        <v>3498236.7510000002</v>
      </c>
      <c r="Y164">
        <v>3490431.6359999999</v>
      </c>
      <c r="Z164">
        <v>3480621.0589999999</v>
      </c>
      <c r="AA164">
        <v>3472883.807</v>
      </c>
      <c r="AB164">
        <v>3464859.8650000002</v>
      </c>
      <c r="AC164">
        <v>3458488.5529999998</v>
      </c>
      <c r="AD164">
        <v>3454579.6379999998</v>
      </c>
      <c r="AE164">
        <v>3454973.3769999999</v>
      </c>
      <c r="AF164">
        <v>3457747.8709999998</v>
      </c>
      <c r="AG164">
        <v>3457822.1910000001</v>
      </c>
      <c r="AH164">
        <v>3464150.7409999999</v>
      </c>
      <c r="AI164">
        <v>3489973.1839999999</v>
      </c>
      <c r="AJ164">
        <v>3520063.145</v>
      </c>
      <c r="AK164">
        <v>3551334.5660000001</v>
      </c>
      <c r="AL164">
        <v>3583818.7940000002</v>
      </c>
      <c r="AM164">
        <v>3617049.82</v>
      </c>
      <c r="AN164">
        <v>3647544.8250000002</v>
      </c>
      <c r="AO164">
        <v>3680086.3530000001</v>
      </c>
      <c r="AP164">
        <v>3711649.682</v>
      </c>
      <c r="AQ164">
        <v>3742593.6009999998</v>
      </c>
      <c r="AR164">
        <v>3772785.4180000001</v>
      </c>
      <c r="AS164">
        <v>3802717.1839999999</v>
      </c>
      <c r="AT164">
        <v>3833118.9440000001</v>
      </c>
      <c r="AU164">
        <v>3859933.3879999998</v>
      </c>
      <c r="AV164">
        <v>3888751.29</v>
      </c>
      <c r="AW164">
        <v>3918103.7450000001</v>
      </c>
    </row>
    <row r="165" spans="2:49" x14ac:dyDescent="0.25">
      <c r="B165" s="247" t="s">
        <v>494</v>
      </c>
      <c r="C165">
        <v>738109.45702439197</v>
      </c>
      <c r="D165">
        <v>749960.04310518701</v>
      </c>
      <c r="E165">
        <v>762000.89419999998</v>
      </c>
      <c r="F165">
        <v>743550.33299999998</v>
      </c>
      <c r="G165">
        <v>688190.52320000005</v>
      </c>
      <c r="H165">
        <v>604070.60160000005</v>
      </c>
      <c r="I165">
        <v>638232.95959999994</v>
      </c>
      <c r="J165">
        <v>610778.75329999998</v>
      </c>
      <c r="K165">
        <v>564648.20079999999</v>
      </c>
      <c r="L165">
        <v>537613.14910000004</v>
      </c>
      <c r="M165">
        <v>534690.33979999996</v>
      </c>
      <c r="N165">
        <v>540805.40549999999</v>
      </c>
      <c r="O165">
        <v>519744.68209999998</v>
      </c>
      <c r="P165">
        <v>507184.68520000001</v>
      </c>
      <c r="Q165">
        <v>465240.35090000002</v>
      </c>
      <c r="R165">
        <v>441201.20490000001</v>
      </c>
      <c r="S165">
        <v>406333.54399999999</v>
      </c>
      <c r="T165">
        <v>394319.46220000001</v>
      </c>
      <c r="U165">
        <v>382030.99650000001</v>
      </c>
      <c r="V165">
        <v>370728.38949999999</v>
      </c>
      <c r="W165">
        <v>392717.70240000001</v>
      </c>
      <c r="X165">
        <v>412644.32900000003</v>
      </c>
      <c r="Y165">
        <v>408520.94549999997</v>
      </c>
      <c r="Z165">
        <v>405216.48019999999</v>
      </c>
      <c r="AA165">
        <v>401983.36430000002</v>
      </c>
      <c r="AB165">
        <v>398631.76689999999</v>
      </c>
      <c r="AC165">
        <v>395674.98869999999</v>
      </c>
      <c r="AD165">
        <v>392869.40240000002</v>
      </c>
      <c r="AE165">
        <v>391243.76040000003</v>
      </c>
      <c r="AF165">
        <v>390064.13709999999</v>
      </c>
      <c r="AG165">
        <v>388741.07500000001</v>
      </c>
      <c r="AH165">
        <v>388370.50069999998</v>
      </c>
      <c r="AI165">
        <v>390468.93719999999</v>
      </c>
      <c r="AJ165">
        <v>393198.11790000001</v>
      </c>
      <c r="AK165">
        <v>396088.364</v>
      </c>
      <c r="AL165">
        <v>399201.7463</v>
      </c>
      <c r="AM165">
        <v>402438.02970000001</v>
      </c>
      <c r="AN165">
        <v>405349.27299999999</v>
      </c>
      <c r="AO165">
        <v>408787.81510000001</v>
      </c>
      <c r="AP165">
        <v>412034.47950000002</v>
      </c>
      <c r="AQ165">
        <v>415277.66600000003</v>
      </c>
      <c r="AR165">
        <v>418448.64279999997</v>
      </c>
      <c r="AS165">
        <v>421737.7144</v>
      </c>
      <c r="AT165">
        <v>425058.66810000001</v>
      </c>
      <c r="AU165">
        <v>427973.3653</v>
      </c>
      <c r="AV165">
        <v>431187.39779999998</v>
      </c>
      <c r="AW165">
        <v>434622.9889</v>
      </c>
    </row>
    <row r="166" spans="2:49" x14ac:dyDescent="0.25">
      <c r="B166" s="247" t="s">
        <v>495</v>
      </c>
      <c r="C166">
        <v>1453742.3069470399</v>
      </c>
      <c r="D166">
        <v>1477082.6099113501</v>
      </c>
      <c r="E166">
        <v>1500797.649</v>
      </c>
      <c r="F166">
        <v>1487889.5919999999</v>
      </c>
      <c r="G166">
        <v>1338669.672</v>
      </c>
      <c r="H166">
        <v>1125766.3959999999</v>
      </c>
      <c r="I166">
        <v>1131215.841</v>
      </c>
      <c r="J166">
        <v>1216266.399</v>
      </c>
      <c r="K166">
        <v>1075314.4950000001</v>
      </c>
      <c r="L166">
        <v>998183.4325</v>
      </c>
      <c r="M166">
        <v>991258.88899999997</v>
      </c>
      <c r="N166">
        <v>970282.0612</v>
      </c>
      <c r="O166">
        <v>1009580.105</v>
      </c>
      <c r="P166">
        <v>1041122.2439999999</v>
      </c>
      <c r="Q166">
        <v>1019102.2560000001</v>
      </c>
      <c r="R166">
        <v>993418.20830000006</v>
      </c>
      <c r="S166">
        <v>984373.99410000001</v>
      </c>
      <c r="T166">
        <v>943736.92850000004</v>
      </c>
      <c r="U166">
        <v>902457.37789999996</v>
      </c>
      <c r="V166">
        <v>864610.83270000003</v>
      </c>
      <c r="W166">
        <v>967498.31629999995</v>
      </c>
      <c r="X166">
        <v>1071369.0619999999</v>
      </c>
      <c r="Y166">
        <v>1149890.7320000001</v>
      </c>
      <c r="Z166">
        <v>1248869.3770000001</v>
      </c>
      <c r="AA166">
        <v>1365443.628</v>
      </c>
      <c r="AB166">
        <v>1500567.7169999999</v>
      </c>
      <c r="AC166">
        <v>1657911.459</v>
      </c>
      <c r="AD166">
        <v>1654386.406</v>
      </c>
      <c r="AE166">
        <v>1652841.5060000001</v>
      </c>
      <c r="AF166">
        <v>1651992.007</v>
      </c>
      <c r="AG166">
        <v>1650434.9280000001</v>
      </c>
      <c r="AH166">
        <v>1651239.7450000001</v>
      </c>
      <c r="AI166">
        <v>1660987.787</v>
      </c>
      <c r="AJ166">
        <v>1672158.0249999999</v>
      </c>
      <c r="AK166">
        <v>1684184.7709999999</v>
      </c>
      <c r="AL166">
        <v>1696767.9569999999</v>
      </c>
      <c r="AM166">
        <v>1709707.112</v>
      </c>
      <c r="AN166">
        <v>1708898.3659999999</v>
      </c>
      <c r="AO166">
        <v>1706262.3729999999</v>
      </c>
      <c r="AP166">
        <v>1701639.162</v>
      </c>
      <c r="AQ166">
        <v>1695549.433</v>
      </c>
      <c r="AR166">
        <v>1687577.395</v>
      </c>
      <c r="AS166">
        <v>1687715.22</v>
      </c>
      <c r="AT166">
        <v>1689014.817</v>
      </c>
      <c r="AU166">
        <v>1689234.4010000001</v>
      </c>
      <c r="AV166">
        <v>1689598.11</v>
      </c>
      <c r="AW166">
        <v>1690169.233</v>
      </c>
    </row>
    <row r="167" spans="2:49" x14ac:dyDescent="0.25">
      <c r="B167" s="247" t="s">
        <v>496</v>
      </c>
      <c r="C167">
        <v>1819036.8432423901</v>
      </c>
      <c r="D167">
        <v>1848242.0681447799</v>
      </c>
      <c r="E167">
        <v>1877916.192</v>
      </c>
      <c r="F167">
        <v>1864310.1470000001</v>
      </c>
      <c r="G167">
        <v>1690344.1740000001</v>
      </c>
      <c r="H167">
        <v>1401595.787</v>
      </c>
      <c r="I167">
        <v>1436338.372</v>
      </c>
      <c r="J167">
        <v>1569067.287</v>
      </c>
      <c r="K167">
        <v>1387789.3330000001</v>
      </c>
      <c r="L167">
        <v>1283650.3999999999</v>
      </c>
      <c r="M167">
        <v>1267961.18</v>
      </c>
      <c r="N167">
        <v>1221217.666</v>
      </c>
      <c r="O167">
        <v>1294618.544</v>
      </c>
      <c r="P167">
        <v>1374456.4010000001</v>
      </c>
      <c r="Q167">
        <v>1378191.1680000001</v>
      </c>
      <c r="R167">
        <v>1368402.1410000001</v>
      </c>
      <c r="S167">
        <v>1388950.2679999999</v>
      </c>
      <c r="T167">
        <v>1348398.07</v>
      </c>
      <c r="U167">
        <v>1294829.798</v>
      </c>
      <c r="V167">
        <v>1258964.111</v>
      </c>
      <c r="W167">
        <v>1319507.6089999999</v>
      </c>
      <c r="X167">
        <v>1363650.656</v>
      </c>
      <c r="Y167">
        <v>1333511.916</v>
      </c>
      <c r="Z167">
        <v>1315181.676</v>
      </c>
      <c r="AA167">
        <v>1301706.48</v>
      </c>
      <c r="AB167">
        <v>1289872.1259999999</v>
      </c>
      <c r="AC167">
        <v>1280371.871</v>
      </c>
      <c r="AD167">
        <v>1271268.875</v>
      </c>
      <c r="AE167">
        <v>1263101.7679999999</v>
      </c>
      <c r="AF167">
        <v>1255544.9469999999</v>
      </c>
      <c r="AG167">
        <v>1247223.443</v>
      </c>
      <c r="AH167">
        <v>1241782.868</v>
      </c>
      <c r="AI167">
        <v>1242163.192</v>
      </c>
      <c r="AJ167">
        <v>1242478.4339999999</v>
      </c>
      <c r="AK167">
        <v>1244480.71</v>
      </c>
      <c r="AL167">
        <v>1246603.5009999999</v>
      </c>
      <c r="AM167">
        <v>1248473.0319999999</v>
      </c>
      <c r="AN167">
        <v>1242513.55</v>
      </c>
      <c r="AO167">
        <v>1236249.361</v>
      </c>
      <c r="AP167">
        <v>1228995.2139999999</v>
      </c>
      <c r="AQ167">
        <v>1222092.1839999999</v>
      </c>
      <c r="AR167">
        <v>1213202.6370000001</v>
      </c>
      <c r="AS167">
        <v>1208581.3370000001</v>
      </c>
      <c r="AT167">
        <v>1204619.2720000001</v>
      </c>
      <c r="AU167">
        <v>1199295.67</v>
      </c>
      <c r="AV167">
        <v>1194197.473</v>
      </c>
      <c r="AW167">
        <v>1193212.192</v>
      </c>
    </row>
    <row r="168" spans="2:49" x14ac:dyDescent="0.25">
      <c r="B168" s="247" t="s">
        <v>497</v>
      </c>
      <c r="C168">
        <v>2313078.33193391</v>
      </c>
      <c r="D168">
        <v>2350215.5527395001</v>
      </c>
      <c r="E168">
        <v>2387949.0240000002</v>
      </c>
      <c r="F168">
        <v>2348822.3080000002</v>
      </c>
      <c r="G168">
        <v>2159351.2179999999</v>
      </c>
      <c r="H168">
        <v>1882772.541</v>
      </c>
      <c r="I168">
        <v>1948240.371</v>
      </c>
      <c r="J168">
        <v>1809726.1810000001</v>
      </c>
      <c r="K168">
        <v>1622345.3810000001</v>
      </c>
      <c r="L168">
        <v>1549819</v>
      </c>
      <c r="M168">
        <v>1497482.476</v>
      </c>
      <c r="N168">
        <v>1491562.4790000001</v>
      </c>
      <c r="O168">
        <v>1528986.7379999999</v>
      </c>
      <c r="P168">
        <v>1551669.814</v>
      </c>
      <c r="Q168">
        <v>1527096.693</v>
      </c>
      <c r="R168">
        <v>1482850.075</v>
      </c>
      <c r="S168">
        <v>1499035.838</v>
      </c>
      <c r="T168">
        <v>1443695.4820000001</v>
      </c>
      <c r="U168">
        <v>1382544.098</v>
      </c>
      <c r="V168">
        <v>1324746.7409999999</v>
      </c>
      <c r="W168">
        <v>1470288.365</v>
      </c>
      <c r="X168">
        <v>1612598.2</v>
      </c>
      <c r="Y168">
        <v>1696751.1310000001</v>
      </c>
      <c r="Z168">
        <v>1803764.564</v>
      </c>
      <c r="AA168">
        <v>1929555.7660000001</v>
      </c>
      <c r="AB168">
        <v>2076857.8929999999</v>
      </c>
      <c r="AC168">
        <v>2252675.8429999999</v>
      </c>
      <c r="AD168">
        <v>2234135.355</v>
      </c>
      <c r="AE168">
        <v>2218757.7620000001</v>
      </c>
      <c r="AF168">
        <v>2204692.6090000002</v>
      </c>
      <c r="AG168">
        <v>2189661.73</v>
      </c>
      <c r="AH168">
        <v>2177639.574</v>
      </c>
      <c r="AI168">
        <v>2178562.8130000001</v>
      </c>
      <c r="AJ168">
        <v>2181266.6159999999</v>
      </c>
      <c r="AK168">
        <v>2185303.7590000001</v>
      </c>
      <c r="AL168">
        <v>2190094.969</v>
      </c>
      <c r="AM168">
        <v>2195402.361</v>
      </c>
      <c r="AN168">
        <v>2186367.6839999999</v>
      </c>
      <c r="AO168">
        <v>2176515.946</v>
      </c>
      <c r="AP168">
        <v>2164869.71</v>
      </c>
      <c r="AQ168">
        <v>2151954.8390000002</v>
      </c>
      <c r="AR168">
        <v>2137177.3659999999</v>
      </c>
      <c r="AS168">
        <v>2130722.8689999999</v>
      </c>
      <c r="AT168">
        <v>2125423.25</v>
      </c>
      <c r="AU168">
        <v>2118659.4640000002</v>
      </c>
      <c r="AV168">
        <v>2112439.2170000002</v>
      </c>
      <c r="AW168">
        <v>2106546.997</v>
      </c>
    </row>
    <row r="169" spans="2:49" x14ac:dyDescent="0.25">
      <c r="B169" s="247" t="s">
        <v>498</v>
      </c>
      <c r="C169">
        <v>4643279.3828946501</v>
      </c>
      <c r="D169">
        <v>4717828.7352982899</v>
      </c>
      <c r="E169">
        <v>4793575.0020000003</v>
      </c>
      <c r="F169">
        <v>4716223.6220000004</v>
      </c>
      <c r="G169">
        <v>4578806.2139999997</v>
      </c>
      <c r="H169">
        <v>4165196.2779999999</v>
      </c>
      <c r="I169">
        <v>4179068.409</v>
      </c>
      <c r="J169">
        <v>4079309.335</v>
      </c>
      <c r="K169">
        <v>3812801.6809999999</v>
      </c>
      <c r="L169">
        <v>3677597.452</v>
      </c>
      <c r="M169">
        <v>3596404.0109999999</v>
      </c>
      <c r="N169">
        <v>3638102.477</v>
      </c>
      <c r="O169">
        <v>3744748.909</v>
      </c>
      <c r="P169">
        <v>3803043.7910000002</v>
      </c>
      <c r="Q169">
        <v>3732152.415</v>
      </c>
      <c r="R169">
        <v>3721858.548</v>
      </c>
      <c r="S169">
        <v>3696001.281</v>
      </c>
      <c r="T169">
        <v>3548289.4920000001</v>
      </c>
      <c r="U169">
        <v>3391349.3820000002</v>
      </c>
      <c r="V169">
        <v>3245936.0440000002</v>
      </c>
      <c r="W169">
        <v>3409477.8390000002</v>
      </c>
      <c r="X169">
        <v>3534961.335</v>
      </c>
      <c r="Y169">
        <v>3526117.6170000001</v>
      </c>
      <c r="Z169">
        <v>3554603.6269999999</v>
      </c>
      <c r="AA169">
        <v>3601874.355</v>
      </c>
      <c r="AB169">
        <v>3663318.4709999999</v>
      </c>
      <c r="AC169">
        <v>3743458.2940000002</v>
      </c>
      <c r="AD169">
        <v>3752404.0040000002</v>
      </c>
      <c r="AE169">
        <v>3765231.9640000002</v>
      </c>
      <c r="AF169">
        <v>3779236.1529999999</v>
      </c>
      <c r="AG169">
        <v>3792448.5649999999</v>
      </c>
      <c r="AH169">
        <v>3810055.6359999999</v>
      </c>
      <c r="AI169">
        <v>3849982.04</v>
      </c>
      <c r="AJ169">
        <v>3892743.04</v>
      </c>
      <c r="AK169">
        <v>3938108.0219999999</v>
      </c>
      <c r="AL169">
        <v>3985026.5320000001</v>
      </c>
      <c r="AM169">
        <v>4032988.7940000002</v>
      </c>
      <c r="AN169">
        <v>4048852.7910000002</v>
      </c>
      <c r="AO169">
        <v>4061549.3339999998</v>
      </c>
      <c r="AP169">
        <v>4070336.2420000001</v>
      </c>
      <c r="AQ169">
        <v>4076740.8220000002</v>
      </c>
      <c r="AR169">
        <v>4079248.0010000002</v>
      </c>
      <c r="AS169">
        <v>4100232.7319999998</v>
      </c>
      <c r="AT169">
        <v>4124032.2820000001</v>
      </c>
      <c r="AU169">
        <v>4146534.8629999999</v>
      </c>
      <c r="AV169">
        <v>4169176.9819999998</v>
      </c>
      <c r="AW169">
        <v>4191638.8250000002</v>
      </c>
    </row>
    <row r="170" spans="2:49" x14ac:dyDescent="0.25">
      <c r="B170" s="247" t="s">
        <v>499</v>
      </c>
      <c r="C170">
        <v>3833938.33697946</v>
      </c>
      <c r="D170">
        <v>3895493.45710216</v>
      </c>
      <c r="E170">
        <v>3971696.9419999998</v>
      </c>
      <c r="F170">
        <v>3912867.4479999999</v>
      </c>
      <c r="G170">
        <v>3848539.568</v>
      </c>
      <c r="H170">
        <v>3470983.6510000001</v>
      </c>
      <c r="I170">
        <v>3552334.4939999999</v>
      </c>
      <c r="J170">
        <v>3552006.497</v>
      </c>
      <c r="K170">
        <v>3421736.8480000002</v>
      </c>
      <c r="L170">
        <v>3333550.6839999999</v>
      </c>
      <c r="M170">
        <v>3262291.1680000001</v>
      </c>
      <c r="N170">
        <v>3246245.6540000001</v>
      </c>
      <c r="O170">
        <v>3329357.9789999998</v>
      </c>
      <c r="P170">
        <v>3470837.1150000002</v>
      </c>
      <c r="Q170">
        <v>3537706.6519999998</v>
      </c>
      <c r="R170">
        <v>3647104.9720000001</v>
      </c>
      <c r="S170">
        <v>3699328.8119999999</v>
      </c>
      <c r="T170">
        <v>3557841.8539999998</v>
      </c>
      <c r="U170">
        <v>3432590.9270000001</v>
      </c>
      <c r="V170">
        <v>3316420.6269999999</v>
      </c>
      <c r="W170">
        <v>3535249.7650000001</v>
      </c>
      <c r="X170">
        <v>3738113.844</v>
      </c>
      <c r="Y170">
        <v>3736822.2629999998</v>
      </c>
      <c r="Z170">
        <v>3739543.5690000001</v>
      </c>
      <c r="AA170">
        <v>3760687.8420000002</v>
      </c>
      <c r="AB170">
        <v>3787657.6310000001</v>
      </c>
      <c r="AC170">
        <v>3823769.5049999999</v>
      </c>
      <c r="AD170">
        <v>3812061.8930000002</v>
      </c>
      <c r="AE170">
        <v>3802820.8530000001</v>
      </c>
      <c r="AF170">
        <v>3795742.8309999998</v>
      </c>
      <c r="AG170">
        <v>3788729.8560000001</v>
      </c>
      <c r="AH170">
        <v>3785960.51</v>
      </c>
      <c r="AI170">
        <v>3807453.949</v>
      </c>
      <c r="AJ170">
        <v>3832874.1510000001</v>
      </c>
      <c r="AK170">
        <v>3860052.983</v>
      </c>
      <c r="AL170">
        <v>3888348.4640000002</v>
      </c>
      <c r="AM170">
        <v>3917209.719</v>
      </c>
      <c r="AN170">
        <v>3942159.2480000001</v>
      </c>
      <c r="AO170">
        <v>3969605.5060000001</v>
      </c>
      <c r="AP170">
        <v>3996381.571</v>
      </c>
      <c r="AQ170">
        <v>4023168.449</v>
      </c>
      <c r="AR170">
        <v>4049091.142</v>
      </c>
      <c r="AS170">
        <v>4074067.3059999999</v>
      </c>
      <c r="AT170">
        <v>4101574.5430000001</v>
      </c>
      <c r="AU170">
        <v>4128911.2749999999</v>
      </c>
      <c r="AV170">
        <v>4156796.7080000001</v>
      </c>
      <c r="AW170">
        <v>4184653.4479999999</v>
      </c>
    </row>
    <row r="171" spans="2:49" x14ac:dyDescent="0.25">
      <c r="B171" s="247" t="s">
        <v>500</v>
      </c>
      <c r="C171">
        <v>271678.64339116903</v>
      </c>
      <c r="D171">
        <v>276040.53188776103</v>
      </c>
      <c r="E171">
        <v>280472.45189999999</v>
      </c>
      <c r="F171">
        <v>284256.04269999999</v>
      </c>
      <c r="G171">
        <v>263435.05450000003</v>
      </c>
      <c r="H171">
        <v>223760.6893</v>
      </c>
      <c r="I171">
        <v>227804.31469999999</v>
      </c>
      <c r="J171">
        <v>223576.77910000001</v>
      </c>
      <c r="K171">
        <v>200349.65590000001</v>
      </c>
      <c r="L171">
        <v>182926.11360000001</v>
      </c>
      <c r="M171">
        <v>176156.54680000001</v>
      </c>
      <c r="N171">
        <v>182251.47839999999</v>
      </c>
      <c r="O171">
        <v>180155.90210000001</v>
      </c>
      <c r="P171">
        <v>178511.7029</v>
      </c>
      <c r="Q171">
        <v>168045.12450000001</v>
      </c>
      <c r="R171">
        <v>157139.7666</v>
      </c>
      <c r="S171">
        <v>153587.2794</v>
      </c>
      <c r="T171">
        <v>147123.1569</v>
      </c>
      <c r="U171">
        <v>140332.9411</v>
      </c>
      <c r="V171">
        <v>134440.394</v>
      </c>
      <c r="W171">
        <v>141521.57070000001</v>
      </c>
      <c r="X171">
        <v>147357.86499999999</v>
      </c>
      <c r="Y171">
        <v>147183.01</v>
      </c>
      <c r="Z171">
        <v>148403.57980000001</v>
      </c>
      <c r="AA171">
        <v>150320.61199999999</v>
      </c>
      <c r="AB171">
        <v>152764.16889999999</v>
      </c>
      <c r="AC171">
        <v>155879.36809999999</v>
      </c>
      <c r="AD171">
        <v>155455.07079999999</v>
      </c>
      <c r="AE171">
        <v>155233.12450000001</v>
      </c>
      <c r="AF171">
        <v>155088.46249999999</v>
      </c>
      <c r="AG171">
        <v>154846.2163</v>
      </c>
      <c r="AH171">
        <v>154850.9589</v>
      </c>
      <c r="AI171">
        <v>155751.36960000001</v>
      </c>
      <c r="AJ171">
        <v>156785.90270000001</v>
      </c>
      <c r="AK171">
        <v>157899.2175</v>
      </c>
      <c r="AL171">
        <v>159057.49419999999</v>
      </c>
      <c r="AM171">
        <v>160234.87520000001</v>
      </c>
      <c r="AN171">
        <v>160248.916</v>
      </c>
      <c r="AO171">
        <v>160169.4566</v>
      </c>
      <c r="AP171">
        <v>159925.26329999999</v>
      </c>
      <c r="AQ171">
        <v>159616.66589999999</v>
      </c>
      <c r="AR171">
        <v>159166.2438</v>
      </c>
      <c r="AS171">
        <v>159348.88370000001</v>
      </c>
      <c r="AT171">
        <v>159634.09409999999</v>
      </c>
      <c r="AU171">
        <v>159790.19820000001</v>
      </c>
      <c r="AV171">
        <v>159992.13080000001</v>
      </c>
      <c r="AW171">
        <v>160271.85260000001</v>
      </c>
    </row>
    <row r="172" spans="2:49" x14ac:dyDescent="0.25">
      <c r="B172" s="247" t="s">
        <v>501</v>
      </c>
      <c r="C172">
        <v>2033071.8879050901</v>
      </c>
      <c r="D172">
        <v>2065713.51468114</v>
      </c>
      <c r="E172">
        <v>2098879.213</v>
      </c>
      <c r="F172">
        <v>2050983.4569999999</v>
      </c>
      <c r="G172">
        <v>1805768.1240000001</v>
      </c>
      <c r="H172">
        <v>1444925.503</v>
      </c>
      <c r="I172">
        <v>1506417.0109999999</v>
      </c>
      <c r="J172">
        <v>1464335.1070000001</v>
      </c>
      <c r="K172">
        <v>1319268.405</v>
      </c>
      <c r="L172">
        <v>1279287.7250000001</v>
      </c>
      <c r="M172">
        <v>1263284.6599999999</v>
      </c>
      <c r="N172">
        <v>1264497.8899999999</v>
      </c>
      <c r="O172">
        <v>1229818.162</v>
      </c>
      <c r="P172">
        <v>1262051.618</v>
      </c>
      <c r="Q172">
        <v>1219628.023</v>
      </c>
      <c r="R172">
        <v>1155571.3049999999</v>
      </c>
      <c r="S172">
        <v>1139808.4469999999</v>
      </c>
      <c r="T172">
        <v>1089619.2819999999</v>
      </c>
      <c r="U172">
        <v>1032858.64</v>
      </c>
      <c r="V172">
        <v>979848.33219999995</v>
      </c>
      <c r="W172">
        <v>1013896.062</v>
      </c>
      <c r="X172">
        <v>1032218.654</v>
      </c>
      <c r="Y172">
        <v>1017569.255</v>
      </c>
      <c r="Z172">
        <v>1013395.88</v>
      </c>
      <c r="AA172">
        <v>1011158.1629999999</v>
      </c>
      <c r="AB172">
        <v>1009311.441</v>
      </c>
      <c r="AC172">
        <v>1008204.1949999999</v>
      </c>
      <c r="AD172">
        <v>997163.71120000002</v>
      </c>
      <c r="AE172">
        <v>987414.29009999998</v>
      </c>
      <c r="AF172">
        <v>978095.2905</v>
      </c>
      <c r="AG172">
        <v>968668.45869999996</v>
      </c>
      <c r="AH172">
        <v>960598.84600000002</v>
      </c>
      <c r="AI172">
        <v>958263.34809999994</v>
      </c>
      <c r="AJ172">
        <v>956612.77159999998</v>
      </c>
      <c r="AK172">
        <v>955713.76029999997</v>
      </c>
      <c r="AL172">
        <v>955165.76229999994</v>
      </c>
      <c r="AM172">
        <v>954838.76859999995</v>
      </c>
      <c r="AN172">
        <v>942971.10930000001</v>
      </c>
      <c r="AO172">
        <v>929779.96759999997</v>
      </c>
      <c r="AP172">
        <v>915569.72140000004</v>
      </c>
      <c r="AQ172">
        <v>900914.08470000001</v>
      </c>
      <c r="AR172">
        <v>885360.2905</v>
      </c>
      <c r="AS172">
        <v>876512.22100000002</v>
      </c>
      <c r="AT172">
        <v>868702.48910000001</v>
      </c>
      <c r="AU172">
        <v>860587.87659999996</v>
      </c>
      <c r="AV172">
        <v>852600.31940000004</v>
      </c>
      <c r="AW172">
        <v>844993.98600000003</v>
      </c>
    </row>
    <row r="173" spans="2:49" x14ac:dyDescent="0.25">
      <c r="B173" s="247" t="s">
        <v>502</v>
      </c>
      <c r="C173">
        <v>611949.61832884501</v>
      </c>
      <c r="D173">
        <v>621774.66739182698</v>
      </c>
      <c r="E173">
        <v>631757.4608</v>
      </c>
      <c r="F173">
        <v>618688.21050000004</v>
      </c>
      <c r="G173">
        <v>554271.20039999997</v>
      </c>
      <c r="H173">
        <v>462187.0465</v>
      </c>
      <c r="I173">
        <v>491832.29259999999</v>
      </c>
      <c r="J173">
        <v>472107.42379999999</v>
      </c>
      <c r="K173">
        <v>422790.19189999998</v>
      </c>
      <c r="L173">
        <v>397800.2464</v>
      </c>
      <c r="M173">
        <v>392305.91210000002</v>
      </c>
      <c r="N173">
        <v>387850.29460000002</v>
      </c>
      <c r="O173">
        <v>355814.2733</v>
      </c>
      <c r="P173">
        <v>341475.12180000002</v>
      </c>
      <c r="Q173">
        <v>302481.95529999997</v>
      </c>
      <c r="R173">
        <v>276416.67619999999</v>
      </c>
      <c r="S173">
        <v>268300.69870000001</v>
      </c>
      <c r="T173">
        <v>261743.3126</v>
      </c>
      <c r="U173">
        <v>253498.35019999999</v>
      </c>
      <c r="V173">
        <v>247495.23050000001</v>
      </c>
      <c r="W173">
        <v>271352.62540000002</v>
      </c>
      <c r="X173">
        <v>295554.14769999997</v>
      </c>
      <c r="Y173">
        <v>303464.96789999999</v>
      </c>
      <c r="Z173">
        <v>314808.08730000001</v>
      </c>
      <c r="AA173">
        <v>327989.60700000002</v>
      </c>
      <c r="AB173">
        <v>343018.37589999998</v>
      </c>
      <c r="AC173">
        <v>360542.18469999998</v>
      </c>
      <c r="AD173">
        <v>359512.01439999999</v>
      </c>
      <c r="AE173">
        <v>358970.1923</v>
      </c>
      <c r="AF173">
        <v>358603.0147</v>
      </c>
      <c r="AG173">
        <v>357982.43310000002</v>
      </c>
      <c r="AH173">
        <v>357866.46730000002</v>
      </c>
      <c r="AI173">
        <v>360091.7377</v>
      </c>
      <c r="AJ173">
        <v>362555.57530000003</v>
      </c>
      <c r="AK173">
        <v>365204.5269</v>
      </c>
      <c r="AL173">
        <v>367944.85399999999</v>
      </c>
      <c r="AM173">
        <v>370705.09629999998</v>
      </c>
      <c r="AN173">
        <v>372746.68979999999</v>
      </c>
      <c r="AO173">
        <v>375340.27830000001</v>
      </c>
      <c r="AP173">
        <v>377831.69290000002</v>
      </c>
      <c r="AQ173">
        <v>380403.48680000001</v>
      </c>
      <c r="AR173">
        <v>382821.67879999999</v>
      </c>
      <c r="AS173">
        <v>385407.02789999999</v>
      </c>
      <c r="AT173">
        <v>387912.88010000001</v>
      </c>
      <c r="AU173">
        <v>389999.92430000001</v>
      </c>
      <c r="AV173">
        <v>392282.4008</v>
      </c>
      <c r="AW173">
        <v>394749.88339999999</v>
      </c>
    </row>
    <row r="174" spans="2:49" x14ac:dyDescent="0.25">
      <c r="B174" s="247" t="s">
        <v>503</v>
      </c>
      <c r="C174">
        <v>8749188.7351059392</v>
      </c>
      <c r="D174">
        <v>8889659.7902533505</v>
      </c>
      <c r="E174">
        <v>9032386.1539999899</v>
      </c>
      <c r="F174">
        <v>9078019.7200000007</v>
      </c>
      <c r="G174">
        <v>8626968.79099999</v>
      </c>
      <c r="H174">
        <v>7580816.7640000004</v>
      </c>
      <c r="I174">
        <v>7613297.8039999995</v>
      </c>
      <c r="J174">
        <v>7460372.6349999998</v>
      </c>
      <c r="K174">
        <v>6934166.9009999996</v>
      </c>
      <c r="L174">
        <v>6497855.6469999999</v>
      </c>
      <c r="M174">
        <v>6263697.5199999996</v>
      </c>
      <c r="N174">
        <v>6090736.5880000005</v>
      </c>
      <c r="O174">
        <v>6227496.4400000004</v>
      </c>
      <c r="P174">
        <v>6361154.2779999999</v>
      </c>
      <c r="Q174">
        <v>6176813.2949999999</v>
      </c>
      <c r="R174">
        <v>6198627.8169999998</v>
      </c>
      <c r="S174">
        <v>6313844.8720000004</v>
      </c>
      <c r="T174">
        <v>6172569.2520000003</v>
      </c>
      <c r="U174">
        <v>5983720.2929999996</v>
      </c>
      <c r="V174">
        <v>5818731.8880000003</v>
      </c>
      <c r="W174">
        <v>6198254.8619999997</v>
      </c>
      <c r="X174">
        <v>6550311.3130000001</v>
      </c>
      <c r="Y174">
        <v>6502014.1229999997</v>
      </c>
      <c r="Z174">
        <v>6482953.4289999995</v>
      </c>
      <c r="AA174">
        <v>6467470.7640000004</v>
      </c>
      <c r="AB174">
        <v>6451800.591</v>
      </c>
      <c r="AC174">
        <v>6440244.7529999996</v>
      </c>
      <c r="AD174">
        <v>6419548.3360000001</v>
      </c>
      <c r="AE174">
        <v>6408144.8899999997</v>
      </c>
      <c r="AF174">
        <v>6401513.4850000003</v>
      </c>
      <c r="AG174">
        <v>6389286.4510000004</v>
      </c>
      <c r="AH174">
        <v>6386411.9929999998</v>
      </c>
      <c r="AI174">
        <v>6424458.2939999998</v>
      </c>
      <c r="AJ174">
        <v>6466991.608</v>
      </c>
      <c r="AK174">
        <v>6512249.4859999996</v>
      </c>
      <c r="AL174">
        <v>6559528.4950000001</v>
      </c>
      <c r="AM174">
        <v>6607612.9189999998</v>
      </c>
      <c r="AN174">
        <v>6645609.1160000004</v>
      </c>
      <c r="AO174">
        <v>6692994.807</v>
      </c>
      <c r="AP174">
        <v>6738626.2089999998</v>
      </c>
      <c r="AQ174">
        <v>6783832.7769999998</v>
      </c>
      <c r="AR174">
        <v>6827021.1449999996</v>
      </c>
      <c r="AS174">
        <v>6872560.4069999997</v>
      </c>
      <c r="AT174">
        <v>6916436.449</v>
      </c>
      <c r="AU174">
        <v>6952589.3169999998</v>
      </c>
      <c r="AV174">
        <v>6992684.7189999996</v>
      </c>
      <c r="AW174">
        <v>7035824.6710000001</v>
      </c>
    </row>
    <row r="175" spans="2:49" x14ac:dyDescent="0.25">
      <c r="B175" s="247" t="s">
        <v>504</v>
      </c>
      <c r="C175">
        <v>583434.83019375498</v>
      </c>
      <c r="D175">
        <v>592802.06510985899</v>
      </c>
      <c r="E175">
        <v>602319.69400000002</v>
      </c>
      <c r="F175">
        <v>627990.47979999997</v>
      </c>
      <c r="G175">
        <v>611283.73860000004</v>
      </c>
      <c r="H175">
        <v>526378.4719</v>
      </c>
      <c r="I175">
        <v>520043.57500000001</v>
      </c>
      <c r="J175">
        <v>524992.05050000001</v>
      </c>
      <c r="K175">
        <v>497591.79889999999</v>
      </c>
      <c r="L175">
        <v>477582.65460000001</v>
      </c>
      <c r="M175">
        <v>439536.80979999999</v>
      </c>
      <c r="N175">
        <v>396750.59019999998</v>
      </c>
      <c r="O175">
        <v>379260.10259999998</v>
      </c>
      <c r="P175">
        <v>377033.37310000003</v>
      </c>
      <c r="Q175">
        <v>363131.17749999999</v>
      </c>
      <c r="R175">
        <v>361175.39870000002</v>
      </c>
      <c r="S175">
        <v>363571.70679999999</v>
      </c>
      <c r="T175">
        <v>359276.00880000001</v>
      </c>
      <c r="U175">
        <v>349793.49890000001</v>
      </c>
      <c r="V175">
        <v>346555.27500000002</v>
      </c>
      <c r="W175">
        <v>368323.70529999997</v>
      </c>
      <c r="X175">
        <v>388167.73300000001</v>
      </c>
      <c r="Y175">
        <v>380751.60590000002</v>
      </c>
      <c r="Z175">
        <v>375775.33769999997</v>
      </c>
      <c r="AA175">
        <v>371926.69309999997</v>
      </c>
      <c r="AB175">
        <v>368152.5809</v>
      </c>
      <c r="AC175">
        <v>364597.71149999998</v>
      </c>
      <c r="AD175">
        <v>363004.20740000001</v>
      </c>
      <c r="AE175">
        <v>361552.397</v>
      </c>
      <c r="AF175">
        <v>360265.72869999998</v>
      </c>
      <c r="AG175">
        <v>358590.97110000002</v>
      </c>
      <c r="AH175">
        <v>357883.34039999999</v>
      </c>
      <c r="AI175">
        <v>358673.3639</v>
      </c>
      <c r="AJ175">
        <v>359299.52120000002</v>
      </c>
      <c r="AK175">
        <v>360530.1741</v>
      </c>
      <c r="AL175">
        <v>361756.7268</v>
      </c>
      <c r="AM175">
        <v>362818.68479999999</v>
      </c>
      <c r="AN175">
        <v>362679.25209999998</v>
      </c>
      <c r="AO175">
        <v>362835.52600000001</v>
      </c>
      <c r="AP175">
        <v>362935.5466</v>
      </c>
      <c r="AQ175">
        <v>363488.68599999999</v>
      </c>
      <c r="AR175">
        <v>363588.3996</v>
      </c>
      <c r="AS175">
        <v>363982.5797</v>
      </c>
      <c r="AT175">
        <v>364504.97659999999</v>
      </c>
      <c r="AU175">
        <v>364448.34659999999</v>
      </c>
      <c r="AV175">
        <v>364578.8124</v>
      </c>
      <c r="AW175">
        <v>367428.07650000002</v>
      </c>
    </row>
    <row r="176" spans="2:49" x14ac:dyDescent="0.25">
      <c r="B176" s="247" t="s">
        <v>505</v>
      </c>
      <c r="C176">
        <v>40605.282443966003</v>
      </c>
      <c r="D176">
        <v>41257.2133877546</v>
      </c>
      <c r="E176">
        <v>41919.611290000001</v>
      </c>
      <c r="F176">
        <v>42014.712809999997</v>
      </c>
      <c r="G176">
        <v>39206.396580000001</v>
      </c>
      <c r="H176">
        <v>35707.836109999997</v>
      </c>
      <c r="I176">
        <v>36149.567510000001</v>
      </c>
      <c r="J176">
        <v>34956.531110000004</v>
      </c>
      <c r="K176">
        <v>32539.615750000001</v>
      </c>
      <c r="L176">
        <v>31548.99165</v>
      </c>
      <c r="M176">
        <v>31199.976439999999</v>
      </c>
      <c r="N176">
        <v>31133.02447</v>
      </c>
      <c r="O176">
        <v>32570.307720000001</v>
      </c>
      <c r="P176">
        <v>34127.706380000003</v>
      </c>
      <c r="Q176">
        <v>33058.447789999998</v>
      </c>
      <c r="R176">
        <v>32967.590969999997</v>
      </c>
      <c r="S176">
        <v>32623.898140000001</v>
      </c>
      <c r="T176">
        <v>31149.541990000002</v>
      </c>
      <c r="U176">
        <v>29809.643820000001</v>
      </c>
      <c r="V176">
        <v>28630.87111</v>
      </c>
      <c r="W176">
        <v>30401.840199999999</v>
      </c>
      <c r="X176">
        <v>32094.494449999998</v>
      </c>
      <c r="Y176">
        <v>31997.59964</v>
      </c>
      <c r="Z176">
        <v>31787.190460000002</v>
      </c>
      <c r="AA176">
        <v>31565.824120000001</v>
      </c>
      <c r="AB176">
        <v>31327.007300000001</v>
      </c>
      <c r="AC176">
        <v>31087.63363</v>
      </c>
      <c r="AD176">
        <v>30836.452160000001</v>
      </c>
      <c r="AE176">
        <v>30530.903300000002</v>
      </c>
      <c r="AF176">
        <v>30267.4764</v>
      </c>
      <c r="AG176">
        <v>29976.801090000001</v>
      </c>
      <c r="AH176">
        <v>29651.668959999999</v>
      </c>
      <c r="AI176">
        <v>29618.473730000002</v>
      </c>
      <c r="AJ176">
        <v>29593.849279999999</v>
      </c>
      <c r="AK176">
        <v>29574.179639999998</v>
      </c>
      <c r="AL176">
        <v>29559.912420000001</v>
      </c>
      <c r="AM176">
        <v>29549.69988</v>
      </c>
      <c r="AN176">
        <v>29505.170409999999</v>
      </c>
      <c r="AO176">
        <v>29494.56926</v>
      </c>
      <c r="AP176">
        <v>29491.296460000001</v>
      </c>
      <c r="AQ176">
        <v>29493.520779999999</v>
      </c>
      <c r="AR176">
        <v>29497.623619999998</v>
      </c>
      <c r="AS176">
        <v>29501.566739999998</v>
      </c>
      <c r="AT176">
        <v>29515.705760000001</v>
      </c>
      <c r="AU176">
        <v>29496.186470000001</v>
      </c>
      <c r="AV176">
        <v>29495.718359999999</v>
      </c>
      <c r="AW176">
        <v>29507.547989999999</v>
      </c>
    </row>
    <row r="177" spans="2:49" x14ac:dyDescent="0.25">
      <c r="B177" s="247" t="s">
        <v>506</v>
      </c>
      <c r="C177">
        <v>55091.732691944802</v>
      </c>
      <c r="D177">
        <v>55976.248280239903</v>
      </c>
      <c r="E177">
        <v>56874.994429999999</v>
      </c>
      <c r="F177">
        <v>59887.097009999998</v>
      </c>
      <c r="G177">
        <v>61059.4643</v>
      </c>
      <c r="H177">
        <v>61309.728810000001</v>
      </c>
      <c r="I177">
        <v>64206.344109999998</v>
      </c>
      <c r="J177">
        <v>66304.670599999998</v>
      </c>
      <c r="K177">
        <v>67696.583660000004</v>
      </c>
      <c r="L177">
        <v>69480.739820000003</v>
      </c>
      <c r="M177">
        <v>71364.154599999994</v>
      </c>
      <c r="N177">
        <v>72319.035950000005</v>
      </c>
      <c r="O177">
        <v>71746.3226</v>
      </c>
      <c r="P177">
        <v>74566.902069999996</v>
      </c>
      <c r="Q177">
        <v>76556.460399999996</v>
      </c>
      <c r="R177">
        <v>83637.326780000003</v>
      </c>
      <c r="S177">
        <v>98854.864050000004</v>
      </c>
      <c r="T177">
        <v>108880.8238</v>
      </c>
      <c r="U177">
        <v>115690.75049999999</v>
      </c>
      <c r="V177">
        <v>119776.6765</v>
      </c>
      <c r="W177">
        <v>133981.26180000001</v>
      </c>
      <c r="X177">
        <v>171228.15729999999</v>
      </c>
      <c r="Y177">
        <v>194098.1312</v>
      </c>
      <c r="Z177">
        <v>216231.90770000001</v>
      </c>
      <c r="AA177">
        <v>238039.12479999999</v>
      </c>
      <c r="AB177">
        <v>259397.13269999999</v>
      </c>
      <c r="AC177">
        <v>280355.18320000003</v>
      </c>
      <c r="AD177">
        <v>303270.29350000003</v>
      </c>
      <c r="AE177">
        <v>324973.41090000002</v>
      </c>
      <c r="AF177">
        <v>346822.40710000001</v>
      </c>
      <c r="AG177">
        <v>368512.42570000002</v>
      </c>
      <c r="AH177">
        <v>388929.3799</v>
      </c>
      <c r="AI177">
        <v>406548.63819999999</v>
      </c>
      <c r="AJ177">
        <v>424070.85560000001</v>
      </c>
      <c r="AK177">
        <v>441589.15889999998</v>
      </c>
      <c r="AL177">
        <v>459146.29109999997</v>
      </c>
      <c r="AM177">
        <v>476741.97649999999</v>
      </c>
      <c r="AN177">
        <v>485354.66639999999</v>
      </c>
      <c r="AO177">
        <v>494155.03720000002</v>
      </c>
      <c r="AP177">
        <v>503031.95789999998</v>
      </c>
      <c r="AQ177">
        <v>511939.27169999998</v>
      </c>
      <c r="AR177">
        <v>520827.14730000001</v>
      </c>
      <c r="AS177">
        <v>520667.38069999998</v>
      </c>
      <c r="AT177">
        <v>520547.7218</v>
      </c>
      <c r="AU177">
        <v>520427.7133</v>
      </c>
      <c r="AV177">
        <v>520272.29470000003</v>
      </c>
      <c r="AW177">
        <v>520188.76579999999</v>
      </c>
    </row>
    <row r="178" spans="2:49" x14ac:dyDescent="0.25">
      <c r="B178" s="247" t="s">
        <v>507</v>
      </c>
      <c r="C178">
        <v>53959.065015136701</v>
      </c>
      <c r="D178">
        <v>54825.395257508797</v>
      </c>
      <c r="E178">
        <v>55842.227160000002</v>
      </c>
      <c r="F178">
        <v>63918.933870000001</v>
      </c>
      <c r="G178">
        <v>70445.328129999994</v>
      </c>
      <c r="H178">
        <v>75625.710940000004</v>
      </c>
      <c r="I178">
        <v>82811.389020000002</v>
      </c>
      <c r="J178">
        <v>88920.883600000001</v>
      </c>
      <c r="K178">
        <v>93864.680559999906</v>
      </c>
      <c r="L178">
        <v>98094.593739999997</v>
      </c>
      <c r="M178">
        <v>100662.9198</v>
      </c>
      <c r="N178">
        <v>100824.7408</v>
      </c>
      <c r="O178">
        <v>110694.5417</v>
      </c>
      <c r="P178">
        <v>122435.1989</v>
      </c>
      <c r="Q178">
        <v>134916.46489999999</v>
      </c>
      <c r="R178">
        <v>149453.37839999999</v>
      </c>
      <c r="S178">
        <v>167351.0496</v>
      </c>
      <c r="T178">
        <v>245149.2133</v>
      </c>
      <c r="U178">
        <v>300722.91600000003</v>
      </c>
      <c r="V178">
        <v>341240.86670000001</v>
      </c>
      <c r="W178">
        <v>406322.94709999999</v>
      </c>
      <c r="X178">
        <v>608457.95629999996</v>
      </c>
      <c r="Y178">
        <v>801896.7977</v>
      </c>
      <c r="Z178">
        <v>997032.41</v>
      </c>
      <c r="AA178">
        <v>1193539.777</v>
      </c>
      <c r="AB178">
        <v>1390886.62</v>
      </c>
      <c r="AC178">
        <v>1590200.2830000001</v>
      </c>
      <c r="AD178">
        <v>1827591.6640000001</v>
      </c>
      <c r="AE178">
        <v>2065673.1259999999</v>
      </c>
      <c r="AF178">
        <v>2304938.4750000001</v>
      </c>
      <c r="AG178">
        <v>2544456.8810000001</v>
      </c>
      <c r="AH178">
        <v>2785989.801</v>
      </c>
      <c r="AI178">
        <v>2982133.2080000001</v>
      </c>
      <c r="AJ178">
        <v>3182120.0580000002</v>
      </c>
      <c r="AK178">
        <v>3386373.432</v>
      </c>
      <c r="AL178">
        <v>3594444.1170000001</v>
      </c>
      <c r="AM178">
        <v>3805959.1140000001</v>
      </c>
      <c r="AN178">
        <v>3896995.7379999999</v>
      </c>
      <c r="AO178">
        <v>3991663.2710000002</v>
      </c>
      <c r="AP178">
        <v>4086683.1630000002</v>
      </c>
      <c r="AQ178">
        <v>4182843.6260000002</v>
      </c>
      <c r="AR178">
        <v>4279074.7630000003</v>
      </c>
      <c r="AS178">
        <v>4312154.29</v>
      </c>
      <c r="AT178">
        <v>4344302.6119999997</v>
      </c>
      <c r="AU178">
        <v>4376207.3169999998</v>
      </c>
      <c r="AV178">
        <v>4407965.4340000004</v>
      </c>
      <c r="AW178">
        <v>4441030.5329999998</v>
      </c>
    </row>
    <row r="179" spans="2:49" x14ac:dyDescent="0.25">
      <c r="B179" s="247" t="s">
        <v>508</v>
      </c>
      <c r="C179">
        <v>216238.436565001</v>
      </c>
      <c r="D179">
        <v>219710.21460835601</v>
      </c>
      <c r="E179">
        <v>223237.73319999999</v>
      </c>
      <c r="F179">
        <v>250161.9761</v>
      </c>
      <c r="G179">
        <v>210169.20110000001</v>
      </c>
      <c r="H179">
        <v>136112.89869999999</v>
      </c>
      <c r="I179">
        <v>160689.1685</v>
      </c>
      <c r="J179">
        <v>128865.6298</v>
      </c>
      <c r="K179">
        <v>147397.29879999999</v>
      </c>
      <c r="L179">
        <v>126855.914</v>
      </c>
      <c r="M179">
        <v>100586.62420000001</v>
      </c>
      <c r="N179">
        <v>80295.004799999995</v>
      </c>
      <c r="O179">
        <v>58733.582159999998</v>
      </c>
      <c r="P179">
        <v>56399.701970000002</v>
      </c>
      <c r="Q179">
        <v>50909.627639999999</v>
      </c>
      <c r="R179">
        <v>50354.839079999998</v>
      </c>
      <c r="S179">
        <v>50386.154549999999</v>
      </c>
      <c r="T179">
        <v>48890.599889999998</v>
      </c>
      <c r="U179">
        <v>48632.397949999999</v>
      </c>
      <c r="V179">
        <v>48613.005749999997</v>
      </c>
      <c r="W179">
        <v>51570.999969999997</v>
      </c>
      <c r="X179">
        <v>54017.924650000001</v>
      </c>
      <c r="Y179">
        <v>54152.375569999997</v>
      </c>
      <c r="Z179">
        <v>54463.78011</v>
      </c>
      <c r="AA179">
        <v>54830.924480000001</v>
      </c>
      <c r="AB179">
        <v>55197.371520000001</v>
      </c>
      <c r="AC179">
        <v>55586.96243</v>
      </c>
      <c r="AD179">
        <v>55971.210449999999</v>
      </c>
      <c r="AE179">
        <v>56360.433550000002</v>
      </c>
      <c r="AF179">
        <v>56793.097670000003</v>
      </c>
      <c r="AG179">
        <v>57222.33268</v>
      </c>
      <c r="AH179">
        <v>57702.515310000003</v>
      </c>
      <c r="AI179">
        <v>58473.860139999997</v>
      </c>
      <c r="AJ179">
        <v>59286.895329999999</v>
      </c>
      <c r="AK179">
        <v>60122.513440000002</v>
      </c>
      <c r="AL179">
        <v>60986.093480000003</v>
      </c>
      <c r="AM179">
        <v>61864.831680000003</v>
      </c>
      <c r="AN179">
        <v>62769.979010000003</v>
      </c>
      <c r="AO179">
        <v>63744.50013</v>
      </c>
      <c r="AP179">
        <v>64720.319210000001</v>
      </c>
      <c r="AQ179">
        <v>65690.339529999997</v>
      </c>
      <c r="AR179">
        <v>66653.07548</v>
      </c>
      <c r="AS179">
        <v>67633.150800000003</v>
      </c>
      <c r="AT179">
        <v>68620.918909999906</v>
      </c>
      <c r="AU179">
        <v>69573.452139999994</v>
      </c>
      <c r="AV179">
        <v>70552.610650000002</v>
      </c>
      <c r="AW179">
        <v>71560.28</v>
      </c>
    </row>
    <row r="180" spans="2:49" x14ac:dyDescent="0.25">
      <c r="B180" s="247" t="s">
        <v>509</v>
      </c>
      <c r="C180">
        <v>215538.66868192199</v>
      </c>
      <c r="D180">
        <v>218999.21172556799</v>
      </c>
      <c r="E180">
        <v>222515.3149</v>
      </c>
      <c r="F180">
        <v>227400.49660000001</v>
      </c>
      <c r="G180">
        <v>224345.519</v>
      </c>
      <c r="H180">
        <v>168356.36600000001</v>
      </c>
      <c r="I180">
        <v>118900.4228</v>
      </c>
      <c r="J180">
        <v>119571.6158</v>
      </c>
      <c r="K180">
        <v>116502.42449999999</v>
      </c>
      <c r="L180">
        <v>109636.921</v>
      </c>
      <c r="M180">
        <v>104342.011</v>
      </c>
      <c r="N180">
        <v>100784.5791</v>
      </c>
      <c r="O180">
        <v>90046.434429999994</v>
      </c>
      <c r="P180">
        <v>84730.069170000002</v>
      </c>
      <c r="Q180">
        <v>84856.195779999995</v>
      </c>
      <c r="R180">
        <v>77291.892019999999</v>
      </c>
      <c r="S180">
        <v>70099.282019999999</v>
      </c>
      <c r="T180">
        <v>60368.913540000001</v>
      </c>
      <c r="U180">
        <v>51932.974979999999</v>
      </c>
      <c r="V180">
        <v>44693.65739</v>
      </c>
      <c r="W180">
        <v>40471.684139999998</v>
      </c>
      <c r="X180">
        <v>35631.099829999999</v>
      </c>
      <c r="Y180">
        <v>34311.575770000003</v>
      </c>
      <c r="Z180">
        <v>33977.732150000003</v>
      </c>
      <c r="AA180">
        <v>33914.246550000003</v>
      </c>
      <c r="AB180">
        <v>33914.903140000002</v>
      </c>
      <c r="AC180">
        <v>33938.374499999998</v>
      </c>
      <c r="AD180">
        <v>33890.712800000001</v>
      </c>
      <c r="AE180">
        <v>33849.77521</v>
      </c>
      <c r="AF180">
        <v>33850.983330000003</v>
      </c>
      <c r="AG180">
        <v>33868.886169999998</v>
      </c>
      <c r="AH180">
        <v>33923.3868</v>
      </c>
      <c r="AI180">
        <v>34096.836329999998</v>
      </c>
      <c r="AJ180">
        <v>34277.785790000002</v>
      </c>
      <c r="AK180">
        <v>34463.5147</v>
      </c>
      <c r="AL180">
        <v>34669.877070000002</v>
      </c>
      <c r="AM180">
        <v>34883.09403</v>
      </c>
      <c r="AN180">
        <v>33797.934110000002</v>
      </c>
      <c r="AO180">
        <v>32496.399720000001</v>
      </c>
      <c r="AP180">
        <v>31180.535360000002</v>
      </c>
      <c r="AQ180">
        <v>29892.615549999999</v>
      </c>
      <c r="AR180">
        <v>28641.93475</v>
      </c>
      <c r="AS180">
        <v>28080.31208</v>
      </c>
      <c r="AT180">
        <v>27653.38163</v>
      </c>
      <c r="AU180">
        <v>27252.70449</v>
      </c>
      <c r="AV180">
        <v>26873.24325</v>
      </c>
      <c r="AW180">
        <v>26494.903630000001</v>
      </c>
    </row>
    <row r="181" spans="2:49" x14ac:dyDescent="0.25">
      <c r="B181" s="247" t="s">
        <v>510</v>
      </c>
      <c r="C181">
        <v>7946676.0051002903</v>
      </c>
      <c r="D181">
        <v>8074262.4587873695</v>
      </c>
      <c r="E181">
        <v>8203897.3540000003</v>
      </c>
      <c r="F181">
        <v>8801477.7829999998</v>
      </c>
      <c r="G181">
        <v>9024546.2019999996</v>
      </c>
      <c r="H181">
        <v>8934771.2970000003</v>
      </c>
      <c r="I181">
        <v>9565057.3289999999</v>
      </c>
      <c r="J181">
        <v>9828278</v>
      </c>
      <c r="K181">
        <v>9688477.9100000001</v>
      </c>
      <c r="L181">
        <v>9768131.8000000007</v>
      </c>
      <c r="M181">
        <v>10187513.5</v>
      </c>
      <c r="N181">
        <v>10930484.08</v>
      </c>
      <c r="O181">
        <v>11147648.689999999</v>
      </c>
      <c r="P181">
        <v>10878662.359999999</v>
      </c>
      <c r="Q181">
        <v>9984844.4379999898</v>
      </c>
      <c r="R181">
        <v>9293513.5099999998</v>
      </c>
      <c r="S181">
        <v>8941613.6769999899</v>
      </c>
      <c r="T181">
        <v>8513681.1099999994</v>
      </c>
      <c r="U181">
        <v>8053262.8540000003</v>
      </c>
      <c r="V181">
        <v>7586470.2989999996</v>
      </c>
      <c r="W181">
        <v>8099629.2829999998</v>
      </c>
      <c r="X181">
        <v>8653052.8379999995</v>
      </c>
      <c r="Y181">
        <v>8663657.8430000003</v>
      </c>
      <c r="Z181">
        <v>8629936.8249999899</v>
      </c>
      <c r="AA181">
        <v>8572223.1640000008</v>
      </c>
      <c r="AB181">
        <v>8497103.8000000007</v>
      </c>
      <c r="AC181">
        <v>8409222.4680000003</v>
      </c>
      <c r="AD181">
        <v>8321465.0199999996</v>
      </c>
      <c r="AE181">
        <v>8224415.4419999998</v>
      </c>
      <c r="AF181">
        <v>8122334.6619999995</v>
      </c>
      <c r="AG181">
        <v>8000342.0779999997</v>
      </c>
      <c r="AH181">
        <v>7875781.7120000003</v>
      </c>
      <c r="AI181">
        <v>7791997.0089999996</v>
      </c>
      <c r="AJ181">
        <v>7707571.2319999998</v>
      </c>
      <c r="AK181">
        <v>7620585.0549999997</v>
      </c>
      <c r="AL181">
        <v>7530064.1560000004</v>
      </c>
      <c r="AM181">
        <v>7437551.3020000001</v>
      </c>
      <c r="AN181">
        <v>7274005.932</v>
      </c>
      <c r="AO181">
        <v>7105122.7879999997</v>
      </c>
      <c r="AP181">
        <v>6938406.9510000004</v>
      </c>
      <c r="AQ181">
        <v>6775088.5070000002</v>
      </c>
      <c r="AR181">
        <v>6615582.5789999999</v>
      </c>
      <c r="AS181">
        <v>6459753.5449999999</v>
      </c>
      <c r="AT181">
        <v>6308667.9910000004</v>
      </c>
      <c r="AU181">
        <v>6152783.2359999996</v>
      </c>
      <c r="AV181">
        <v>6004754.199</v>
      </c>
      <c r="AW181">
        <v>5861104.9000000004</v>
      </c>
    </row>
    <row r="182" spans="2:49" x14ac:dyDescent="0.25">
      <c r="B182" s="247" t="s">
        <v>511</v>
      </c>
      <c r="C182">
        <v>4498800.2848123703</v>
      </c>
      <c r="D182">
        <v>4571029.97856321</v>
      </c>
      <c r="E182">
        <v>4644419.3430000003</v>
      </c>
      <c r="F182">
        <v>4792029.4330000002</v>
      </c>
      <c r="G182">
        <v>4793473.2740000002</v>
      </c>
      <c r="H182">
        <v>5003609.3720000004</v>
      </c>
      <c r="I182">
        <v>5135430.8949999996</v>
      </c>
      <c r="J182">
        <v>5118649.04</v>
      </c>
      <c r="K182">
        <v>5004115.4139999999</v>
      </c>
      <c r="L182">
        <v>5020980.7539999997</v>
      </c>
      <c r="M182">
        <v>5131403.9330000002</v>
      </c>
      <c r="N182">
        <v>5391100.6840000004</v>
      </c>
      <c r="O182">
        <v>5411747.9230000004</v>
      </c>
      <c r="P182">
        <v>5176368.7860000003</v>
      </c>
      <c r="Q182">
        <v>4678516.6009999998</v>
      </c>
      <c r="R182">
        <v>4318011.3569999998</v>
      </c>
      <c r="S182">
        <v>4093601.3280000002</v>
      </c>
      <c r="T182">
        <v>3894851.6230000001</v>
      </c>
      <c r="U182">
        <v>3691770.534</v>
      </c>
      <c r="V182">
        <v>3484531.64</v>
      </c>
      <c r="W182">
        <v>3659548.8369999998</v>
      </c>
      <c r="X182">
        <v>3835510.9920000001</v>
      </c>
      <c r="Y182">
        <v>3783314.2230000002</v>
      </c>
      <c r="Z182">
        <v>3721098.2149999999</v>
      </c>
      <c r="AA182">
        <v>3655007.3629999999</v>
      </c>
      <c r="AB182">
        <v>3586812.7429999998</v>
      </c>
      <c r="AC182">
        <v>3517638.1370000001</v>
      </c>
      <c r="AD182">
        <v>3452184.5419999999</v>
      </c>
      <c r="AE182">
        <v>3386248.4449999998</v>
      </c>
      <c r="AF182">
        <v>3320591.4440000001</v>
      </c>
      <c r="AG182">
        <v>3250197.6680000001</v>
      </c>
      <c r="AH182">
        <v>3180768.8709999998</v>
      </c>
      <c r="AI182">
        <v>3129979.5869999998</v>
      </c>
      <c r="AJ182">
        <v>3080731.463</v>
      </c>
      <c r="AK182">
        <v>3032143.3990000002</v>
      </c>
      <c r="AL182">
        <v>2983632.253</v>
      </c>
      <c r="AM182">
        <v>2935742.2489999998</v>
      </c>
      <c r="AN182">
        <v>2877278.023</v>
      </c>
      <c r="AO182">
        <v>2819651.0090000001</v>
      </c>
      <c r="AP182">
        <v>2763181.773</v>
      </c>
      <c r="AQ182">
        <v>2707809.0189999999</v>
      </c>
      <c r="AR182">
        <v>2653558.2859999998</v>
      </c>
      <c r="AS182">
        <v>2600181.378</v>
      </c>
      <c r="AT182">
        <v>2548296.9539999999</v>
      </c>
      <c r="AU182">
        <v>2494463.0070000002</v>
      </c>
      <c r="AV182">
        <v>2443057.7450000001</v>
      </c>
      <c r="AW182">
        <v>2392911.273</v>
      </c>
    </row>
    <row r="183" spans="2:49" x14ac:dyDescent="0.25">
      <c r="B183" t="s">
        <v>512</v>
      </c>
      <c r="C183">
        <v>0.96864644472622397</v>
      </c>
      <c r="D183">
        <v>0.984198376713873</v>
      </c>
      <c r="E183">
        <v>1</v>
      </c>
      <c r="F183">
        <v>0.97532505069999997</v>
      </c>
      <c r="G183">
        <v>0.92503733229999996</v>
      </c>
      <c r="H183">
        <v>0.87861857389999998</v>
      </c>
      <c r="I183">
        <v>0.84747266580000002</v>
      </c>
      <c r="J183">
        <v>0.80747597199999999</v>
      </c>
      <c r="K183">
        <v>0.76358153849999999</v>
      </c>
      <c r="L183">
        <v>0.72909376579999996</v>
      </c>
      <c r="M183">
        <v>0.70417018180000002</v>
      </c>
      <c r="N183">
        <v>0.68855779709999998</v>
      </c>
      <c r="O183">
        <v>0.67650597840000004</v>
      </c>
      <c r="P183">
        <v>0.66114707679999996</v>
      </c>
      <c r="Q183">
        <v>0.64012680050000004</v>
      </c>
      <c r="R183">
        <v>0.62912530690000001</v>
      </c>
      <c r="S183">
        <v>0.603027019</v>
      </c>
      <c r="T183">
        <v>0.56836340839999999</v>
      </c>
      <c r="U183">
        <v>0.53502041160000002</v>
      </c>
      <c r="V183">
        <v>0.50257717069999996</v>
      </c>
      <c r="W183">
        <v>0.51846421050000002</v>
      </c>
      <c r="X183">
        <v>0.53079510559999998</v>
      </c>
      <c r="Y183">
        <v>0.51571909719999998</v>
      </c>
      <c r="Z183">
        <v>0.50265220020000001</v>
      </c>
      <c r="AA183">
        <v>0.49080539410000001</v>
      </c>
      <c r="AB183">
        <v>0.47949289490000002</v>
      </c>
      <c r="AC183">
        <v>0.46875847520000002</v>
      </c>
      <c r="AD183">
        <v>0.45717038500000001</v>
      </c>
      <c r="AE183">
        <v>0.44561595170000001</v>
      </c>
      <c r="AF183">
        <v>0.43425420329999997</v>
      </c>
      <c r="AG183">
        <v>0.4230727406</v>
      </c>
      <c r="AH183">
        <v>0.4121472712</v>
      </c>
      <c r="AI183">
        <v>0.40392398239999999</v>
      </c>
      <c r="AJ183">
        <v>0.39584746669999998</v>
      </c>
      <c r="AK183">
        <v>0.38803060150000002</v>
      </c>
      <c r="AL183">
        <v>0.38038240509999999</v>
      </c>
      <c r="AM183">
        <v>0.3729125935</v>
      </c>
      <c r="AN183">
        <v>0.36544136989999998</v>
      </c>
      <c r="AO183">
        <v>0.35821372839999999</v>
      </c>
      <c r="AP183">
        <v>0.35111752000000002</v>
      </c>
      <c r="AQ183">
        <v>0.34742857150000001</v>
      </c>
      <c r="AR183">
        <v>0.34685515810000001</v>
      </c>
      <c r="AS183">
        <v>0.34698628710000001</v>
      </c>
      <c r="AT183">
        <v>0.34728860639999998</v>
      </c>
      <c r="AU183">
        <v>0.34763655510000002</v>
      </c>
      <c r="AV183">
        <v>0.34795616350000003</v>
      </c>
      <c r="AW183">
        <v>0.34843917229999999</v>
      </c>
    </row>
    <row r="184" spans="2:49" x14ac:dyDescent="0.25">
      <c r="B184" t="s">
        <v>513</v>
      </c>
      <c r="C184">
        <v>8232235.5397947598</v>
      </c>
      <c r="D184">
        <v>8364406.7441781899</v>
      </c>
      <c r="E184">
        <v>8498700</v>
      </c>
      <c r="F184">
        <v>8432797.6960000005</v>
      </c>
      <c r="G184">
        <v>8370146.0209999997</v>
      </c>
      <c r="H184">
        <v>7795443.9790000003</v>
      </c>
      <c r="I184">
        <v>7698664.1789999995</v>
      </c>
      <c r="J184">
        <v>7676208.3360000001</v>
      </c>
      <c r="K184">
        <v>7563236.7439999999</v>
      </c>
      <c r="L184">
        <v>7334348.1359999999</v>
      </c>
      <c r="M184">
        <v>7090383.7860000003</v>
      </c>
      <c r="N184">
        <v>6773460.8109999998</v>
      </c>
      <c r="O184">
        <v>7129956.1849999996</v>
      </c>
      <c r="P184">
        <v>7748737.4369999999</v>
      </c>
      <c r="Q184">
        <v>8527441.7070000004</v>
      </c>
      <c r="R184">
        <v>9146075.8249999899</v>
      </c>
      <c r="S184">
        <v>9739939.8560000006</v>
      </c>
      <c r="T184">
        <v>8990452.5960000008</v>
      </c>
      <c r="U184">
        <v>8191726.9280000003</v>
      </c>
      <c r="V184">
        <v>7436691.8990000002</v>
      </c>
      <c r="W184">
        <v>5429633.0870000003</v>
      </c>
      <c r="X184">
        <v>3044590.7769999998</v>
      </c>
      <c r="Y184">
        <v>2832806.7080000001</v>
      </c>
      <c r="Z184">
        <v>2798690.05</v>
      </c>
      <c r="AA184">
        <v>2783153.44</v>
      </c>
      <c r="AB184">
        <v>2771158.8289999999</v>
      </c>
      <c r="AC184">
        <v>2759926.037</v>
      </c>
      <c r="AD184">
        <v>2749295.0290000001</v>
      </c>
      <c r="AE184">
        <v>2737797.8810000001</v>
      </c>
      <c r="AF184">
        <v>2726232.2039999999</v>
      </c>
      <c r="AG184">
        <v>2714483.7439999999</v>
      </c>
      <c r="AH184">
        <v>2703189.5550000002</v>
      </c>
      <c r="AI184">
        <v>2706045.6430000002</v>
      </c>
      <c r="AJ184">
        <v>2708231.07</v>
      </c>
      <c r="AK184">
        <v>2709988.5529999998</v>
      </c>
      <c r="AL184">
        <v>2711117.0980000002</v>
      </c>
      <c r="AM184">
        <v>2711506.503</v>
      </c>
      <c r="AN184">
        <v>2706996.7680000002</v>
      </c>
      <c r="AO184">
        <v>2701327.23</v>
      </c>
      <c r="AP184">
        <v>2694536.3539999998</v>
      </c>
      <c r="AQ184">
        <v>2687149.2549999999</v>
      </c>
      <c r="AR184">
        <v>2678972.727</v>
      </c>
      <c r="AS184">
        <v>3549224.7570000002</v>
      </c>
      <c r="AT184">
        <v>4518940.5949999997</v>
      </c>
      <c r="AU184">
        <v>5490956.9160000002</v>
      </c>
      <c r="AV184">
        <v>6449252.9670000002</v>
      </c>
      <c r="AW184">
        <v>7394746.2180000003</v>
      </c>
    </row>
    <row r="185" spans="2:49" x14ac:dyDescent="0.25">
      <c r="B185" t="s">
        <v>514</v>
      </c>
      <c r="C185">
        <v>463787.91773491597</v>
      </c>
      <c r="D185">
        <v>471234.182770602</v>
      </c>
      <c r="E185">
        <v>478800</v>
      </c>
      <c r="F185">
        <v>476398.39390000002</v>
      </c>
      <c r="G185">
        <v>456803.78739999997</v>
      </c>
      <c r="H185">
        <v>430160.75819999998</v>
      </c>
      <c r="I185">
        <v>431646.47340000002</v>
      </c>
      <c r="J185">
        <v>443435.40749999997</v>
      </c>
      <c r="K185">
        <v>439093.50309999997</v>
      </c>
      <c r="L185">
        <v>442704.18800000002</v>
      </c>
      <c r="M185">
        <v>456234.80410000001</v>
      </c>
      <c r="N185">
        <v>476341.6103</v>
      </c>
      <c r="O185">
        <v>447051.4644</v>
      </c>
      <c r="P185">
        <v>410542.4768</v>
      </c>
      <c r="Q185">
        <v>358869.50209999998</v>
      </c>
      <c r="R185">
        <v>315149.10810000001</v>
      </c>
      <c r="S185">
        <v>280395.64030000003</v>
      </c>
      <c r="T185">
        <v>259811.8224</v>
      </c>
      <c r="U185">
        <v>240468.70370000001</v>
      </c>
      <c r="V185">
        <v>221980.9547</v>
      </c>
      <c r="W185">
        <v>234536.2047</v>
      </c>
      <c r="X185">
        <v>247422.19399999999</v>
      </c>
      <c r="Y185">
        <v>245556.3474</v>
      </c>
      <c r="Z185">
        <v>244238.84669999999</v>
      </c>
      <c r="AA185">
        <v>243273.8524</v>
      </c>
      <c r="AB185">
        <v>242759.01060000001</v>
      </c>
      <c r="AC185">
        <v>242620.54310000001</v>
      </c>
      <c r="AD185">
        <v>240913.77660000001</v>
      </c>
      <c r="AE185">
        <v>239331.6925</v>
      </c>
      <c r="AF185">
        <v>237832.24129999999</v>
      </c>
      <c r="AG185">
        <v>236121.49350000001</v>
      </c>
      <c r="AH185">
        <v>234614.64170000001</v>
      </c>
      <c r="AI185">
        <v>233239.49179999999</v>
      </c>
      <c r="AJ185">
        <v>231997.82209999999</v>
      </c>
      <c r="AK185">
        <v>230831.43030000001</v>
      </c>
      <c r="AL185">
        <v>229730.8726</v>
      </c>
      <c r="AM185">
        <v>228661.70910000001</v>
      </c>
      <c r="AN185">
        <v>226826.03020000001</v>
      </c>
      <c r="AO185">
        <v>225024.99309999999</v>
      </c>
      <c r="AP185">
        <v>223166.29800000001</v>
      </c>
      <c r="AQ185">
        <v>221286.42629999999</v>
      </c>
      <c r="AR185">
        <v>219350.7752</v>
      </c>
      <c r="AS185">
        <v>217895.46549999999</v>
      </c>
      <c r="AT185">
        <v>216460.89019999999</v>
      </c>
      <c r="AU185">
        <v>214812.19589999999</v>
      </c>
      <c r="AV185">
        <v>213265.8272</v>
      </c>
      <c r="AW185">
        <v>211803.40169999999</v>
      </c>
    </row>
    <row r="186" spans="2:49" x14ac:dyDescent="0.25">
      <c r="B186" t="s">
        <v>515</v>
      </c>
      <c r="C186">
        <v>247860837.32111701</v>
      </c>
      <c r="D186">
        <v>251840323.237167</v>
      </c>
      <c r="E186">
        <v>255969238.40000001</v>
      </c>
      <c r="F186">
        <v>257525661.69999999</v>
      </c>
      <c r="G186">
        <v>242365050.40000001</v>
      </c>
      <c r="H186">
        <v>225413348</v>
      </c>
      <c r="I186">
        <v>221499305.40000001</v>
      </c>
      <c r="J186">
        <v>214478408.30000001</v>
      </c>
      <c r="K186">
        <v>204677708.19999999</v>
      </c>
      <c r="L186">
        <v>198610335.90000001</v>
      </c>
      <c r="M186">
        <v>197304288.09999999</v>
      </c>
      <c r="N186">
        <v>198184245.09999999</v>
      </c>
      <c r="O186">
        <v>189259021.5</v>
      </c>
      <c r="P186">
        <v>181412839.80000001</v>
      </c>
      <c r="Q186">
        <v>170609530.69999999</v>
      </c>
      <c r="R186">
        <v>163072712.30000001</v>
      </c>
      <c r="S186">
        <v>156660379.59999999</v>
      </c>
      <c r="T186">
        <v>154658589.30000001</v>
      </c>
      <c r="U186">
        <v>152966918.5</v>
      </c>
      <c r="V186">
        <v>152090014.80000001</v>
      </c>
      <c r="W186">
        <v>152417215.30000001</v>
      </c>
      <c r="X186">
        <v>151309961.80000001</v>
      </c>
      <c r="Y186">
        <v>151257103.5</v>
      </c>
      <c r="Z186">
        <v>152185959.30000001</v>
      </c>
      <c r="AA186">
        <v>153489927.69999999</v>
      </c>
      <c r="AB186">
        <v>155068005.5</v>
      </c>
      <c r="AC186">
        <v>156956743.30000001</v>
      </c>
      <c r="AD186">
        <v>157083808</v>
      </c>
      <c r="AE186">
        <v>157302793.30000001</v>
      </c>
      <c r="AF186">
        <v>157572910.30000001</v>
      </c>
      <c r="AG186">
        <v>157893836.09999999</v>
      </c>
      <c r="AH186">
        <v>158339467.30000001</v>
      </c>
      <c r="AI186">
        <v>159154314.19999999</v>
      </c>
      <c r="AJ186">
        <v>160038329.69999999</v>
      </c>
      <c r="AK186">
        <v>160988622.40000001</v>
      </c>
      <c r="AL186">
        <v>162012515</v>
      </c>
      <c r="AM186">
        <v>163055408.19999999</v>
      </c>
      <c r="AN186">
        <v>163623605.40000001</v>
      </c>
      <c r="AO186">
        <v>164148107.30000001</v>
      </c>
      <c r="AP186">
        <v>164608065.40000001</v>
      </c>
      <c r="AQ186">
        <v>165059417.5</v>
      </c>
      <c r="AR186">
        <v>165457927.09999999</v>
      </c>
      <c r="AS186">
        <v>167254826.5</v>
      </c>
      <c r="AT186">
        <v>169220529.80000001</v>
      </c>
      <c r="AU186">
        <v>171192399.30000001</v>
      </c>
      <c r="AV186">
        <v>173171791.59999999</v>
      </c>
      <c r="AW186">
        <v>175215895.40000001</v>
      </c>
    </row>
    <row r="187" spans="2:49" x14ac:dyDescent="0.25">
      <c r="B187" t="s">
        <v>516</v>
      </c>
      <c r="C187">
        <v>41023493.601484403</v>
      </c>
      <c r="D187">
        <v>41682139.060681202</v>
      </c>
      <c r="E187">
        <v>42351359.289999999</v>
      </c>
      <c r="F187">
        <v>41479856.789999999</v>
      </c>
      <c r="G187">
        <v>36485440.68</v>
      </c>
      <c r="H187">
        <v>31924551</v>
      </c>
      <c r="I187">
        <v>30368568.77</v>
      </c>
      <c r="J187">
        <v>28816312.59</v>
      </c>
      <c r="K187">
        <v>27340497.66</v>
      </c>
      <c r="L187">
        <v>27254338.260000002</v>
      </c>
      <c r="M187">
        <v>26647765.219999999</v>
      </c>
      <c r="N187">
        <v>25881737.800000001</v>
      </c>
      <c r="O187">
        <v>20764287.469999999</v>
      </c>
      <c r="P187">
        <v>17376658.649999999</v>
      </c>
      <c r="Q187">
        <v>14774102.689999999</v>
      </c>
      <c r="R187">
        <v>12465646.49</v>
      </c>
      <c r="S187">
        <v>10261121.24</v>
      </c>
      <c r="T187">
        <v>9883995.7430000007</v>
      </c>
      <c r="U187">
        <v>9670895.6940000001</v>
      </c>
      <c r="V187">
        <v>9510784.2689999994</v>
      </c>
      <c r="W187">
        <v>8610508.4529999997</v>
      </c>
      <c r="X187">
        <v>7589993.6299999999</v>
      </c>
      <c r="Y187">
        <v>7553491.4709999999</v>
      </c>
      <c r="Z187">
        <v>7648116.0089999996</v>
      </c>
      <c r="AA187">
        <v>7766968.2810000004</v>
      </c>
      <c r="AB187">
        <v>7896860.4500000002</v>
      </c>
      <c r="AC187">
        <v>8039011.0410000002</v>
      </c>
      <c r="AD187">
        <v>8087728.1260000002</v>
      </c>
      <c r="AE187">
        <v>8144943.4510000004</v>
      </c>
      <c r="AF187">
        <v>8203334.6730000004</v>
      </c>
      <c r="AG187">
        <v>8266672.6890000002</v>
      </c>
      <c r="AH187">
        <v>8338953.8109999998</v>
      </c>
      <c r="AI187">
        <v>8416028.3949999996</v>
      </c>
      <c r="AJ187">
        <v>8497621.3760000002</v>
      </c>
      <c r="AK187">
        <v>8584899.0820000004</v>
      </c>
      <c r="AL187">
        <v>8675984.5289999899</v>
      </c>
      <c r="AM187">
        <v>8768943.5170000009</v>
      </c>
      <c r="AN187">
        <v>8756180.8959999997</v>
      </c>
      <c r="AO187">
        <v>8725205.4010000005</v>
      </c>
      <c r="AP187">
        <v>8682596.8699999899</v>
      </c>
      <c r="AQ187">
        <v>8634102.6339999996</v>
      </c>
      <c r="AR187">
        <v>8576385.8350000009</v>
      </c>
      <c r="AS187">
        <v>8584284.3829999994</v>
      </c>
      <c r="AT187">
        <v>8601277.3039999995</v>
      </c>
      <c r="AU187">
        <v>8618957.0059999898</v>
      </c>
      <c r="AV187">
        <v>8634837.8809999898</v>
      </c>
      <c r="AW187">
        <v>8653041.8570000008</v>
      </c>
    </row>
    <row r="188" spans="2:49" x14ac:dyDescent="0.25">
      <c r="B188" t="s">
        <v>517</v>
      </c>
      <c r="C188">
        <v>156021257.172526</v>
      </c>
      <c r="D188">
        <v>158526228.92293701</v>
      </c>
      <c r="E188">
        <v>161156819.40000001</v>
      </c>
      <c r="F188">
        <v>162982871.80000001</v>
      </c>
      <c r="G188">
        <v>154592999.30000001</v>
      </c>
      <c r="H188">
        <v>145906866.40000001</v>
      </c>
      <c r="I188">
        <v>142674108.80000001</v>
      </c>
      <c r="J188">
        <v>137417128.59999999</v>
      </c>
      <c r="K188">
        <v>131404710.40000001</v>
      </c>
      <c r="L188">
        <v>126799051.3</v>
      </c>
      <c r="M188">
        <v>126338160.3</v>
      </c>
      <c r="N188">
        <v>127653978.8</v>
      </c>
      <c r="O188">
        <v>123085993.90000001</v>
      </c>
      <c r="P188">
        <v>118237059.09999999</v>
      </c>
      <c r="Q188">
        <v>111360859.59999999</v>
      </c>
      <c r="R188">
        <v>106957970</v>
      </c>
      <c r="S188">
        <v>102670270.59999999</v>
      </c>
      <c r="T188">
        <v>103013713.8</v>
      </c>
      <c r="U188">
        <v>103686162.90000001</v>
      </c>
      <c r="V188">
        <v>105013402.8</v>
      </c>
      <c r="W188">
        <v>106261729.09999999</v>
      </c>
      <c r="X188">
        <v>106493894.3</v>
      </c>
      <c r="Y188">
        <v>106469080.2</v>
      </c>
      <c r="Z188">
        <v>107030940.5</v>
      </c>
      <c r="AA188">
        <v>107879160.2</v>
      </c>
      <c r="AB188">
        <v>108947431.5</v>
      </c>
      <c r="AC188">
        <v>110242593.90000001</v>
      </c>
      <c r="AD188">
        <v>110290274.5</v>
      </c>
      <c r="AE188">
        <v>110404966.2</v>
      </c>
      <c r="AF188">
        <v>110560206.59999999</v>
      </c>
      <c r="AG188">
        <v>110799390.5</v>
      </c>
      <c r="AH188">
        <v>111121043.2</v>
      </c>
      <c r="AI188">
        <v>111653942.59999999</v>
      </c>
      <c r="AJ188">
        <v>112230274.8</v>
      </c>
      <c r="AK188">
        <v>112852816.40000001</v>
      </c>
      <c r="AL188">
        <v>113538129.09999999</v>
      </c>
      <c r="AM188">
        <v>114235638.2</v>
      </c>
      <c r="AN188">
        <v>114878502.09999999</v>
      </c>
      <c r="AO188">
        <v>115492121.8</v>
      </c>
      <c r="AP188">
        <v>116063464</v>
      </c>
      <c r="AQ188">
        <v>116632916.40000001</v>
      </c>
      <c r="AR188">
        <v>117168870</v>
      </c>
      <c r="AS188">
        <v>118176482.90000001</v>
      </c>
      <c r="AT188">
        <v>119232898.8</v>
      </c>
      <c r="AU188">
        <v>120318833</v>
      </c>
      <c r="AV188">
        <v>121409278.59999999</v>
      </c>
      <c r="AW188">
        <v>122555962.40000001</v>
      </c>
    </row>
    <row r="189" spans="2:49" x14ac:dyDescent="0.25">
      <c r="B189" t="s">
        <v>518</v>
      </c>
      <c r="C189">
        <v>50816086.547106199</v>
      </c>
      <c r="D189">
        <v>51631955.253548898</v>
      </c>
      <c r="E189">
        <v>52461059.619999997</v>
      </c>
      <c r="F189">
        <v>53062933.100000001</v>
      </c>
      <c r="G189">
        <v>51286610.380000003</v>
      </c>
      <c r="H189">
        <v>47581930.600000001</v>
      </c>
      <c r="I189">
        <v>48456627.869999997</v>
      </c>
      <c r="J189">
        <v>48244967.109999999</v>
      </c>
      <c r="K189">
        <v>45932500.159999996</v>
      </c>
      <c r="L189">
        <v>44556946.350000001</v>
      </c>
      <c r="M189">
        <v>44318362.549999997</v>
      </c>
      <c r="N189">
        <v>44648528.460000001</v>
      </c>
      <c r="O189">
        <v>45408740.18</v>
      </c>
      <c r="P189">
        <v>45799122.090000004</v>
      </c>
      <c r="Q189">
        <v>44474568.450000003</v>
      </c>
      <c r="R189">
        <v>43649095.840000004</v>
      </c>
      <c r="S189">
        <v>43728987.710000001</v>
      </c>
      <c r="T189">
        <v>41760879.700000003</v>
      </c>
      <c r="U189">
        <v>39609859.920000002</v>
      </c>
      <c r="V189">
        <v>37565827.689999998</v>
      </c>
      <c r="W189">
        <v>37544977.710000001</v>
      </c>
      <c r="X189">
        <v>37226073.939999998</v>
      </c>
      <c r="Y189">
        <v>37234531.829999998</v>
      </c>
      <c r="Z189">
        <v>37506902.789999999</v>
      </c>
      <c r="AA189">
        <v>37843799.280000001</v>
      </c>
      <c r="AB189">
        <v>38223713.539999999</v>
      </c>
      <c r="AC189">
        <v>38675138.399999999</v>
      </c>
      <c r="AD189">
        <v>38705805.390000001</v>
      </c>
      <c r="AE189">
        <v>38752883.609999999</v>
      </c>
      <c r="AF189">
        <v>38809369.009999998</v>
      </c>
      <c r="AG189">
        <v>38827772.93</v>
      </c>
      <c r="AH189">
        <v>38879470.289999999</v>
      </c>
      <c r="AI189">
        <v>39084343.189999998</v>
      </c>
      <c r="AJ189">
        <v>39310433.549999997</v>
      </c>
      <c r="AK189">
        <v>39550906.990000002</v>
      </c>
      <c r="AL189">
        <v>39798401.369999997</v>
      </c>
      <c r="AM189">
        <v>40050826.520000003</v>
      </c>
      <c r="AN189">
        <v>39988922.479999997</v>
      </c>
      <c r="AO189">
        <v>39930780.07</v>
      </c>
      <c r="AP189">
        <v>39862004.609999999</v>
      </c>
      <c r="AQ189">
        <v>39792398.450000003</v>
      </c>
      <c r="AR189">
        <v>39712671.280000001</v>
      </c>
      <c r="AS189">
        <v>40494059.18</v>
      </c>
      <c r="AT189">
        <v>41386353.719999999</v>
      </c>
      <c r="AU189">
        <v>42254609.289999999</v>
      </c>
      <c r="AV189">
        <v>43127675.100000001</v>
      </c>
      <c r="AW189">
        <v>44006891.219999999</v>
      </c>
    </row>
    <row r="190" spans="2:49" x14ac:dyDescent="0.25">
      <c r="B190" t="s">
        <v>519</v>
      </c>
      <c r="C190">
        <v>392773953.478827</v>
      </c>
      <c r="D190">
        <v>399080066.34826499</v>
      </c>
      <c r="E190">
        <v>405572963.19999999</v>
      </c>
      <c r="F190">
        <v>404508056</v>
      </c>
      <c r="G190">
        <v>385215191.5</v>
      </c>
      <c r="H190">
        <v>367546621.30000001</v>
      </c>
      <c r="I190">
        <v>360926254.89999998</v>
      </c>
      <c r="J190">
        <v>350507380.89999998</v>
      </c>
      <c r="K190">
        <v>336587660.30000001</v>
      </c>
      <c r="L190">
        <v>327311881.89999998</v>
      </c>
      <c r="M190">
        <v>323344982.10000002</v>
      </c>
      <c r="N190">
        <v>322251194.60000002</v>
      </c>
      <c r="O190">
        <v>312579857.69999999</v>
      </c>
      <c r="P190">
        <v>303364273.5</v>
      </c>
      <c r="Q190">
        <v>290164581.10000002</v>
      </c>
      <c r="R190">
        <v>281271527.80000001</v>
      </c>
      <c r="S190">
        <v>272705711.89999998</v>
      </c>
      <c r="T190">
        <v>267204361.30000001</v>
      </c>
      <c r="U190">
        <v>261807127.5</v>
      </c>
      <c r="V190">
        <v>257017938.09999999</v>
      </c>
      <c r="W190">
        <v>255635853.40000001</v>
      </c>
      <c r="X190">
        <v>252735202.30000001</v>
      </c>
      <c r="Y190">
        <v>250498823.40000001</v>
      </c>
      <c r="Z190">
        <v>249416089.5</v>
      </c>
      <c r="AA190">
        <v>248800501.09999999</v>
      </c>
      <c r="AB190">
        <v>248501618.09999999</v>
      </c>
      <c r="AC190">
        <v>248528159.90000001</v>
      </c>
      <c r="AD190">
        <v>246834014.69999999</v>
      </c>
      <c r="AE190">
        <v>245154066.19999999</v>
      </c>
      <c r="AF190">
        <v>243500113.90000001</v>
      </c>
      <c r="AG190">
        <v>241883903.5</v>
      </c>
      <c r="AH190">
        <v>240339654.90000001</v>
      </c>
      <c r="AI190">
        <v>239332241.69999999</v>
      </c>
      <c r="AJ190">
        <v>238452229.09999999</v>
      </c>
      <c r="AK190">
        <v>237683652.69999999</v>
      </c>
      <c r="AL190">
        <v>237028320.90000001</v>
      </c>
      <c r="AM190">
        <v>236434430.69999999</v>
      </c>
      <c r="AN190">
        <v>235281158</v>
      </c>
      <c r="AO190">
        <v>234100569.69999999</v>
      </c>
      <c r="AP190">
        <v>232869773</v>
      </c>
      <c r="AQ190">
        <v>231646510.5</v>
      </c>
      <c r="AR190">
        <v>230387367.80000001</v>
      </c>
      <c r="AS190">
        <v>230521912.90000001</v>
      </c>
      <c r="AT190">
        <v>230844681.80000001</v>
      </c>
      <c r="AU190">
        <v>231177423.90000001</v>
      </c>
      <c r="AV190">
        <v>231545676.80000001</v>
      </c>
      <c r="AW190">
        <v>232011632.69999999</v>
      </c>
    </row>
    <row r="191" spans="2:49" x14ac:dyDescent="0.25">
      <c r="B191" t="s">
        <v>520</v>
      </c>
      <c r="C191">
        <v>42122345.501310699</v>
      </c>
      <c r="D191">
        <v>42798633.383193001</v>
      </c>
      <c r="E191">
        <v>43485779.289999999</v>
      </c>
      <c r="F191">
        <v>42586818.200000003</v>
      </c>
      <c r="G191">
        <v>37563690.18</v>
      </c>
      <c r="H191">
        <v>32974730.460000001</v>
      </c>
      <c r="I191">
        <v>31395991.539999999</v>
      </c>
      <c r="J191">
        <v>29821236.550000001</v>
      </c>
      <c r="K191">
        <v>28320234.050000001</v>
      </c>
      <c r="L191">
        <v>28206023.57</v>
      </c>
      <c r="M191">
        <v>27571969.129999999</v>
      </c>
      <c r="N191">
        <v>26782174.66</v>
      </c>
      <c r="O191">
        <v>21647975.629999999</v>
      </c>
      <c r="P191">
        <v>18246653.390000001</v>
      </c>
      <c r="Q191">
        <v>15628638.359999999</v>
      </c>
      <c r="R191">
        <v>13297032.470000001</v>
      </c>
      <c r="S191">
        <v>11067233.02</v>
      </c>
      <c r="T191">
        <v>10662459.869999999</v>
      </c>
      <c r="U191">
        <v>10422366.539999999</v>
      </c>
      <c r="V191">
        <v>10234921</v>
      </c>
      <c r="W191">
        <v>9309777.6870000008</v>
      </c>
      <c r="X191">
        <v>8266051.6330000004</v>
      </c>
      <c r="Y191">
        <v>8209966.7570000002</v>
      </c>
      <c r="Z191">
        <v>8287823.5489999996</v>
      </c>
      <c r="AA191">
        <v>8391596.9629999995</v>
      </c>
      <c r="AB191">
        <v>8507613.932</v>
      </c>
      <c r="AC191">
        <v>8636782.47299999</v>
      </c>
      <c r="AD191">
        <v>8673248.4829999898</v>
      </c>
      <c r="AE191">
        <v>8718811.6060000006</v>
      </c>
      <c r="AF191">
        <v>8766052.7440000009</v>
      </c>
      <c r="AG191">
        <v>8818680.6510000005</v>
      </c>
      <c r="AH191">
        <v>8880630.4360000007</v>
      </c>
      <c r="AI191">
        <v>8947697.06399999</v>
      </c>
      <c r="AJ191">
        <v>9019571.943</v>
      </c>
      <c r="AK191">
        <v>9097405.4120000005</v>
      </c>
      <c r="AL191">
        <v>9179298.3690000009</v>
      </c>
      <c r="AM191">
        <v>9263298.6980000008</v>
      </c>
      <c r="AN191">
        <v>9241736.7060000002</v>
      </c>
      <c r="AO191">
        <v>9201960.72299999</v>
      </c>
      <c r="AP191">
        <v>9150494.727</v>
      </c>
      <c r="AQ191">
        <v>9093082.7620000001</v>
      </c>
      <c r="AR191">
        <v>9026393.8379999995</v>
      </c>
      <c r="AS191">
        <v>9025273.2520000003</v>
      </c>
      <c r="AT191">
        <v>9033187.9450000003</v>
      </c>
      <c r="AU191">
        <v>9041729.2949999999</v>
      </c>
      <c r="AV191">
        <v>9048416.9609999899</v>
      </c>
      <c r="AW191">
        <v>9057536.9910000004</v>
      </c>
    </row>
    <row r="192" spans="2:49" x14ac:dyDescent="0.25">
      <c r="B192" t="s">
        <v>521</v>
      </c>
      <c r="C192">
        <v>261896523.70399499</v>
      </c>
      <c r="D192">
        <v>266101357.10489401</v>
      </c>
      <c r="E192">
        <v>270459101.10000002</v>
      </c>
      <c r="F192">
        <v>270780059.19999999</v>
      </c>
      <c r="G192">
        <v>259975383.30000001</v>
      </c>
      <c r="H192">
        <v>252093139.59999999</v>
      </c>
      <c r="I192">
        <v>246894134.19999999</v>
      </c>
      <c r="J192">
        <v>239642198</v>
      </c>
      <c r="K192">
        <v>231464148.59999999</v>
      </c>
      <c r="L192">
        <v>225238404.19999999</v>
      </c>
      <c r="M192">
        <v>223334448.5</v>
      </c>
      <c r="N192">
        <v>223669628.80000001</v>
      </c>
      <c r="O192">
        <v>218345769.40000001</v>
      </c>
      <c r="P192">
        <v>212549621.09999999</v>
      </c>
      <c r="Q192">
        <v>204525459</v>
      </c>
      <c r="R192">
        <v>199808312.80000001</v>
      </c>
      <c r="S192">
        <v>193990083.59999999</v>
      </c>
      <c r="T192">
        <v>192525846.90000001</v>
      </c>
      <c r="U192">
        <v>190930359.40000001</v>
      </c>
      <c r="V192">
        <v>189804200.09999999</v>
      </c>
      <c r="W192">
        <v>188638775.19999999</v>
      </c>
      <c r="X192">
        <v>186386772.09999999</v>
      </c>
      <c r="Y192">
        <v>184655363.59999999</v>
      </c>
      <c r="Z192">
        <v>183644807.19999999</v>
      </c>
      <c r="AA192">
        <v>182978445.90000001</v>
      </c>
      <c r="AB192">
        <v>182552419.09999999</v>
      </c>
      <c r="AC192">
        <v>182352862.59999999</v>
      </c>
      <c r="AD192">
        <v>180906244.80000001</v>
      </c>
      <c r="AE192">
        <v>179438454.19999999</v>
      </c>
      <c r="AF192">
        <v>177977288</v>
      </c>
      <c r="AG192">
        <v>176605377.09999999</v>
      </c>
      <c r="AH192">
        <v>175250269</v>
      </c>
      <c r="AI192">
        <v>174173113.59999999</v>
      </c>
      <c r="AJ192">
        <v>173188397.5</v>
      </c>
      <c r="AK192">
        <v>172291729.69999999</v>
      </c>
      <c r="AL192">
        <v>171497408.19999999</v>
      </c>
      <c r="AM192">
        <v>170755100.30000001</v>
      </c>
      <c r="AN192">
        <v>169904277.5</v>
      </c>
      <c r="AO192">
        <v>169038940</v>
      </c>
      <c r="AP192">
        <v>168151446.90000001</v>
      </c>
      <c r="AQ192">
        <v>167284752.40000001</v>
      </c>
      <c r="AR192">
        <v>166407257.5</v>
      </c>
      <c r="AS192">
        <v>166010254.80000001</v>
      </c>
      <c r="AT192">
        <v>165688198.69999999</v>
      </c>
      <c r="AU192">
        <v>165424417.80000001</v>
      </c>
      <c r="AV192">
        <v>165187469.90000001</v>
      </c>
      <c r="AW192">
        <v>165038730.69999999</v>
      </c>
    </row>
    <row r="193" spans="2:49" x14ac:dyDescent="0.25">
      <c r="B193" t="s">
        <v>522</v>
      </c>
      <c r="C193">
        <v>88755084.273521304</v>
      </c>
      <c r="D193">
        <v>90180075.860178098</v>
      </c>
      <c r="E193">
        <v>91628082.769999996</v>
      </c>
      <c r="F193">
        <v>91141178.629999995</v>
      </c>
      <c r="G193">
        <v>87676118.030000001</v>
      </c>
      <c r="H193">
        <v>82478751.25</v>
      </c>
      <c r="I193">
        <v>82636129.079999998</v>
      </c>
      <c r="J193">
        <v>81043946.340000004</v>
      </c>
      <c r="K193">
        <v>76803277.650000006</v>
      </c>
      <c r="L193">
        <v>73867454.099999994</v>
      </c>
      <c r="M193">
        <v>72438564.420000002</v>
      </c>
      <c r="N193">
        <v>71799391.209999904</v>
      </c>
      <c r="O193">
        <v>72586112.629999995</v>
      </c>
      <c r="P193">
        <v>72567999.019999996</v>
      </c>
      <c r="Q193">
        <v>70010483.730000004</v>
      </c>
      <c r="R193">
        <v>68166182.540000007</v>
      </c>
      <c r="S193">
        <v>67648395.25</v>
      </c>
      <c r="T193">
        <v>64016054.539999999</v>
      </c>
      <c r="U193">
        <v>60454401.579999998</v>
      </c>
      <c r="V193">
        <v>56978816.920000002</v>
      </c>
      <c r="W193">
        <v>57687300.479999997</v>
      </c>
      <c r="X193">
        <v>58082378.560000002</v>
      </c>
      <c r="Y193">
        <v>57633493.090000004</v>
      </c>
      <c r="Z193">
        <v>57483458.719999999</v>
      </c>
      <c r="AA193">
        <v>57430458.170000002</v>
      </c>
      <c r="AB193">
        <v>57441585.07</v>
      </c>
      <c r="AC193">
        <v>57538514.780000001</v>
      </c>
      <c r="AD193">
        <v>57254521.469999999</v>
      </c>
      <c r="AE193">
        <v>56996800.409999996</v>
      </c>
      <c r="AF193">
        <v>56756773.170000002</v>
      </c>
      <c r="AG193">
        <v>56459845.68</v>
      </c>
      <c r="AH193">
        <v>56208755.460000001</v>
      </c>
      <c r="AI193">
        <v>56211431.109999999</v>
      </c>
      <c r="AJ193">
        <v>56244259.630000003</v>
      </c>
      <c r="AK193">
        <v>56294517.670000002</v>
      </c>
      <c r="AL193">
        <v>56351614.369999997</v>
      </c>
      <c r="AM193">
        <v>56416031.630000003</v>
      </c>
      <c r="AN193">
        <v>56135143.810000002</v>
      </c>
      <c r="AO193">
        <v>55859668.979999997</v>
      </c>
      <c r="AP193">
        <v>55567831.329999998</v>
      </c>
      <c r="AQ193">
        <v>55268675.310000002</v>
      </c>
      <c r="AR193">
        <v>54953716.450000003</v>
      </c>
      <c r="AS193">
        <v>55486384.899999999</v>
      </c>
      <c r="AT193">
        <v>56123295.170000002</v>
      </c>
      <c r="AU193">
        <v>56711276.759999998</v>
      </c>
      <c r="AV193">
        <v>57309789.920000002</v>
      </c>
      <c r="AW193">
        <v>57915365.049999997</v>
      </c>
    </row>
    <row r="194" spans="2:49" x14ac:dyDescent="0.25">
      <c r="B194" t="s">
        <v>523</v>
      </c>
      <c r="C194">
        <v>419119515.24800497</v>
      </c>
      <c r="D194">
        <v>425848614.63336003</v>
      </c>
      <c r="E194">
        <v>432800630.19999999</v>
      </c>
      <c r="F194">
        <v>432086209.80000001</v>
      </c>
      <c r="G194">
        <v>412112934.30000001</v>
      </c>
      <c r="H194">
        <v>391673767.5</v>
      </c>
      <c r="I194">
        <v>385916151.80000001</v>
      </c>
      <c r="J194">
        <v>376111377.5</v>
      </c>
      <c r="K194">
        <v>361538056.89999998</v>
      </c>
      <c r="L194">
        <v>351985757.89999998</v>
      </c>
      <c r="M194">
        <v>348050475.5</v>
      </c>
      <c r="N194">
        <v>347308898</v>
      </c>
      <c r="O194">
        <v>337721477.30000001</v>
      </c>
      <c r="P194">
        <v>329271956.10000002</v>
      </c>
      <c r="Q194">
        <v>316227970</v>
      </c>
      <c r="R194">
        <v>307606618</v>
      </c>
      <c r="S194">
        <v>299094337.5</v>
      </c>
      <c r="T194">
        <v>293759995.19999999</v>
      </c>
      <c r="U194">
        <v>288448914.30000001</v>
      </c>
      <c r="V194">
        <v>284044150.89999998</v>
      </c>
      <c r="W194">
        <v>283095846.69999999</v>
      </c>
      <c r="X194">
        <v>280518286.80000001</v>
      </c>
      <c r="Y194">
        <v>278300838.5</v>
      </c>
      <c r="Z194">
        <v>277392730.69999999</v>
      </c>
      <c r="AA194">
        <v>277074069.60000002</v>
      </c>
      <c r="AB194">
        <v>277133629.69999999</v>
      </c>
      <c r="AC194">
        <v>277596418</v>
      </c>
      <c r="AD194">
        <v>276028437.10000002</v>
      </c>
      <c r="AE194">
        <v>274500073.10000002</v>
      </c>
      <c r="AF194">
        <v>273009880.39999998</v>
      </c>
      <c r="AG194">
        <v>271571400.39999998</v>
      </c>
      <c r="AH194">
        <v>270252988.5</v>
      </c>
      <c r="AI194">
        <v>269499442.60000002</v>
      </c>
      <c r="AJ194">
        <v>268884028.10000002</v>
      </c>
      <c r="AK194">
        <v>268410246.09999999</v>
      </c>
      <c r="AL194">
        <v>268060442.19999999</v>
      </c>
      <c r="AM194">
        <v>267773298.30000001</v>
      </c>
      <c r="AN194">
        <v>266894204.90000001</v>
      </c>
      <c r="AO194">
        <v>266004478</v>
      </c>
      <c r="AP194">
        <v>265060899.19999999</v>
      </c>
      <c r="AQ194">
        <v>264141753.19999999</v>
      </c>
      <c r="AR194">
        <v>263170102.19999999</v>
      </c>
      <c r="AS194">
        <v>263606635.59999999</v>
      </c>
      <c r="AT194">
        <v>264241879.40000001</v>
      </c>
      <c r="AU194">
        <v>264887748</v>
      </c>
      <c r="AV194">
        <v>265571239.80000001</v>
      </c>
      <c r="AW194">
        <v>266411169.19999999</v>
      </c>
    </row>
    <row r="195" spans="2:49" x14ac:dyDescent="0.25">
      <c r="B195" t="s">
        <v>524</v>
      </c>
      <c r="C195">
        <v>255.88316116441601</v>
      </c>
      <c r="D195">
        <v>259.991448084664</v>
      </c>
      <c r="E195">
        <v>264.99073650000003</v>
      </c>
      <c r="F195">
        <v>273.00498429999999</v>
      </c>
      <c r="G195">
        <v>274.74548609999999</v>
      </c>
      <c r="H195">
        <v>265.25393780000002</v>
      </c>
      <c r="I195">
        <v>273.52864690000001</v>
      </c>
      <c r="J195">
        <v>275.14028510000003</v>
      </c>
      <c r="K195">
        <v>272.1704517</v>
      </c>
      <c r="L195">
        <v>269.0110565</v>
      </c>
      <c r="M195">
        <v>268.2110394</v>
      </c>
      <c r="N195">
        <v>267.0440969</v>
      </c>
      <c r="O195">
        <v>257.54633480000001</v>
      </c>
      <c r="P195">
        <v>252.63758110000001</v>
      </c>
      <c r="Q195">
        <v>247.12648100000001</v>
      </c>
      <c r="R195">
        <v>239.596836</v>
      </c>
      <c r="S195">
        <v>232.56143789999999</v>
      </c>
      <c r="T195">
        <v>229.91027080000001</v>
      </c>
      <c r="U195">
        <v>227.7511638</v>
      </c>
      <c r="V195">
        <v>226.26799270000001</v>
      </c>
      <c r="W195">
        <v>235.71052879999999</v>
      </c>
      <c r="X195">
        <v>245.24496239999999</v>
      </c>
      <c r="Y195">
        <v>246.6233292</v>
      </c>
      <c r="Z195">
        <v>248.48602589999999</v>
      </c>
      <c r="AA195">
        <v>250.6008459</v>
      </c>
      <c r="AB195">
        <v>252.6105173</v>
      </c>
      <c r="AC195">
        <v>254.86748170000001</v>
      </c>
      <c r="AD195">
        <v>251.84097679999999</v>
      </c>
      <c r="AE195">
        <v>248.9120289</v>
      </c>
      <c r="AF195">
        <v>246.08408209999999</v>
      </c>
      <c r="AG195">
        <v>243.3502776</v>
      </c>
      <c r="AH195">
        <v>240.75386030000001</v>
      </c>
      <c r="AI195">
        <v>238.53674549999999</v>
      </c>
      <c r="AJ195">
        <v>236.37645910000001</v>
      </c>
      <c r="AK195">
        <v>234.26942980000001</v>
      </c>
      <c r="AL195">
        <v>232.27140650000001</v>
      </c>
      <c r="AM195">
        <v>230.29099489999999</v>
      </c>
      <c r="AN195">
        <v>228.1227671</v>
      </c>
      <c r="AO195">
        <v>225.94969900000001</v>
      </c>
      <c r="AP195">
        <v>223.75698030000001</v>
      </c>
      <c r="AQ195">
        <v>221.59255899999999</v>
      </c>
      <c r="AR195">
        <v>219.42535649999999</v>
      </c>
      <c r="AS195">
        <v>218.0877035</v>
      </c>
      <c r="AT195">
        <v>216.73968919999999</v>
      </c>
      <c r="AU195">
        <v>215.3911655</v>
      </c>
      <c r="AV195">
        <v>214.0438509</v>
      </c>
      <c r="AW195">
        <v>212.7712013</v>
      </c>
    </row>
    <row r="196" spans="2:49" x14ac:dyDescent="0.25">
      <c r="B196" t="s">
        <v>525</v>
      </c>
      <c r="C196">
        <v>5.5705789795526002</v>
      </c>
      <c r="D196">
        <v>5.6600164269241402</v>
      </c>
      <c r="E196">
        <v>5.7508898210000003</v>
      </c>
      <c r="F196">
        <v>5.7944176909999996</v>
      </c>
      <c r="G196">
        <v>4.8282380570000001</v>
      </c>
      <c r="H196">
        <v>4.2261073830000004</v>
      </c>
      <c r="I196">
        <v>4.0941823670000002</v>
      </c>
      <c r="J196">
        <v>3.9114818040000001</v>
      </c>
      <c r="K196">
        <v>3.7754585340000002</v>
      </c>
      <c r="L196">
        <v>4.0194348240000002</v>
      </c>
      <c r="M196">
        <v>4.1198388450000003</v>
      </c>
      <c r="N196">
        <v>4.1903269859999996</v>
      </c>
      <c r="O196">
        <v>3.2922486470000001</v>
      </c>
      <c r="P196">
        <v>2.775817188</v>
      </c>
      <c r="Q196">
        <v>2.4425633360000001</v>
      </c>
      <c r="R196">
        <v>2.229243114</v>
      </c>
      <c r="S196">
        <v>2.052617036</v>
      </c>
      <c r="T196">
        <v>2.0139272940000001</v>
      </c>
      <c r="U196">
        <v>1.9885553650000001</v>
      </c>
      <c r="V196">
        <v>1.971892379</v>
      </c>
      <c r="W196">
        <v>1.938862525</v>
      </c>
      <c r="X196">
        <v>1.888370294</v>
      </c>
      <c r="Y196">
        <v>1.8872724059999999</v>
      </c>
      <c r="Z196">
        <v>1.90572732</v>
      </c>
      <c r="AA196">
        <v>1.9293093450000001</v>
      </c>
      <c r="AB196">
        <v>1.955692682</v>
      </c>
      <c r="AC196">
        <v>1.9853539309999999</v>
      </c>
      <c r="AD196">
        <v>1.9921387340000001</v>
      </c>
      <c r="AE196">
        <v>2.0013144459999999</v>
      </c>
      <c r="AF196">
        <v>2.0109560229999999</v>
      </c>
      <c r="AG196">
        <v>2.021945364</v>
      </c>
      <c r="AH196">
        <v>2.0352559719999999</v>
      </c>
      <c r="AI196">
        <v>2.0498912730000001</v>
      </c>
      <c r="AJ196">
        <v>2.0658045629999999</v>
      </c>
      <c r="AK196">
        <v>2.0832654800000001</v>
      </c>
      <c r="AL196">
        <v>2.1017911730000001</v>
      </c>
      <c r="AM196">
        <v>2.1209250179999999</v>
      </c>
      <c r="AN196">
        <v>2.1137994720000002</v>
      </c>
      <c r="AO196">
        <v>2.1022157369999999</v>
      </c>
      <c r="AP196">
        <v>2.087798421</v>
      </c>
      <c r="AQ196">
        <v>2.0719383100000002</v>
      </c>
      <c r="AR196">
        <v>2.0538205999999999</v>
      </c>
      <c r="AS196">
        <v>2.052168209</v>
      </c>
      <c r="AT196">
        <v>2.0528046230000001</v>
      </c>
      <c r="AU196">
        <v>2.0535877720000002</v>
      </c>
      <c r="AV196">
        <v>2.0539754000000001</v>
      </c>
      <c r="AW196">
        <v>2.054935339</v>
      </c>
    </row>
    <row r="197" spans="2:49" x14ac:dyDescent="0.25">
      <c r="B197" t="s">
        <v>526</v>
      </c>
      <c r="C197">
        <v>5.5705789795526002</v>
      </c>
      <c r="D197">
        <v>5.6600164269241402</v>
      </c>
      <c r="E197">
        <v>5.7508898210000003</v>
      </c>
      <c r="F197">
        <v>5.7944176909999996</v>
      </c>
      <c r="G197">
        <v>4.8282380570000001</v>
      </c>
      <c r="H197">
        <v>4.2261073830000004</v>
      </c>
      <c r="I197">
        <v>4.0941823670000002</v>
      </c>
      <c r="J197">
        <v>3.9114818040000001</v>
      </c>
      <c r="K197">
        <v>3.7754585340000002</v>
      </c>
      <c r="L197">
        <v>4.0194348240000002</v>
      </c>
      <c r="M197">
        <v>4.1198388450000003</v>
      </c>
      <c r="N197">
        <v>4.1903269859999996</v>
      </c>
      <c r="O197">
        <v>3.2922486470000001</v>
      </c>
      <c r="P197">
        <v>2.775817188</v>
      </c>
      <c r="Q197">
        <v>2.4425633360000001</v>
      </c>
      <c r="R197">
        <v>2.229243114</v>
      </c>
      <c r="S197">
        <v>2.052617036</v>
      </c>
      <c r="T197">
        <v>2.0139272940000001</v>
      </c>
      <c r="U197">
        <v>1.9885553650000001</v>
      </c>
      <c r="V197">
        <v>1.971892379</v>
      </c>
      <c r="W197">
        <v>1.938862525</v>
      </c>
      <c r="X197">
        <v>1.888370294</v>
      </c>
      <c r="Y197">
        <v>1.8872724059999999</v>
      </c>
      <c r="Z197">
        <v>1.90572732</v>
      </c>
      <c r="AA197">
        <v>1.9293093450000001</v>
      </c>
      <c r="AB197">
        <v>1.955692682</v>
      </c>
      <c r="AC197">
        <v>1.9853539309999999</v>
      </c>
      <c r="AD197">
        <v>1.9921387340000001</v>
      </c>
      <c r="AE197">
        <v>2.0013144459999999</v>
      </c>
      <c r="AF197">
        <v>2.0109560229999999</v>
      </c>
      <c r="AG197">
        <v>2.021945364</v>
      </c>
      <c r="AH197">
        <v>2.0352559719999999</v>
      </c>
      <c r="AI197">
        <v>2.0498912730000001</v>
      </c>
      <c r="AJ197">
        <v>2.0658045629999999</v>
      </c>
      <c r="AK197">
        <v>2.0832654800000001</v>
      </c>
      <c r="AL197">
        <v>2.1017911730000001</v>
      </c>
      <c r="AM197">
        <v>2.1209250179999999</v>
      </c>
      <c r="AN197">
        <v>2.1137994720000002</v>
      </c>
      <c r="AO197">
        <v>2.1022157369999999</v>
      </c>
      <c r="AP197">
        <v>2.087798421</v>
      </c>
      <c r="AQ197">
        <v>2.0719383100000002</v>
      </c>
      <c r="AR197">
        <v>2.0538205999999999</v>
      </c>
      <c r="AS197">
        <v>2.052168209</v>
      </c>
      <c r="AT197">
        <v>2.0528046230000001</v>
      </c>
      <c r="AU197">
        <v>2.0535877720000002</v>
      </c>
      <c r="AV197">
        <v>2.0539754000000001</v>
      </c>
      <c r="AW197">
        <v>2.054935339</v>
      </c>
    </row>
    <row r="198" spans="2:49" x14ac:dyDescent="0.25">
      <c r="B198" t="s">
        <v>527</v>
      </c>
      <c r="C198">
        <v>82.165927612137295</v>
      </c>
      <c r="D198">
        <v>83.485128157272499</v>
      </c>
      <c r="E198">
        <v>84.844840500000004</v>
      </c>
      <c r="F198">
        <v>85.025071460000007</v>
      </c>
      <c r="G198">
        <v>81.604719880000005</v>
      </c>
      <c r="H198">
        <v>79.164276740000005</v>
      </c>
      <c r="I198">
        <v>77.559993789999893</v>
      </c>
      <c r="J198">
        <v>75.323324799999995</v>
      </c>
      <c r="K198">
        <v>72.791073969999999</v>
      </c>
      <c r="L198">
        <v>70.893498780000002</v>
      </c>
      <c r="M198">
        <v>70.396163369999996</v>
      </c>
      <c r="N198">
        <v>70.625168520000003</v>
      </c>
      <c r="O198">
        <v>69.028752069999996</v>
      </c>
      <c r="P198">
        <v>67.261221079999999</v>
      </c>
      <c r="Q198">
        <v>64.76106747</v>
      </c>
      <c r="R198">
        <v>63.34463289</v>
      </c>
      <c r="S198">
        <v>61.589810569999997</v>
      </c>
      <c r="T198">
        <v>61.006711539999998</v>
      </c>
      <c r="U198">
        <v>60.36560076</v>
      </c>
      <c r="V198">
        <v>59.875735290000001</v>
      </c>
      <c r="W198">
        <v>59.417075189999998</v>
      </c>
      <c r="X198">
        <v>58.614969070000001</v>
      </c>
      <c r="Y198">
        <v>58.066718819999998</v>
      </c>
      <c r="Z198">
        <v>57.75620078</v>
      </c>
      <c r="AA198">
        <v>57.55718589</v>
      </c>
      <c r="AB198">
        <v>57.434011830000003</v>
      </c>
      <c r="AC198">
        <v>57.384327239999998</v>
      </c>
      <c r="AD198">
        <v>56.915787969999997</v>
      </c>
      <c r="AE198">
        <v>56.440533199999997</v>
      </c>
      <c r="AF198">
        <v>55.967978180000003</v>
      </c>
      <c r="AG198">
        <v>55.5228112</v>
      </c>
      <c r="AH198">
        <v>55.084093459999998</v>
      </c>
      <c r="AI198">
        <v>54.755026479999998</v>
      </c>
      <c r="AJ198">
        <v>54.457456929999999</v>
      </c>
      <c r="AK198">
        <v>54.188172180000002</v>
      </c>
      <c r="AL198">
        <v>53.951045129999997</v>
      </c>
      <c r="AM198">
        <v>53.730455210000002</v>
      </c>
      <c r="AN198">
        <v>53.460355200000002</v>
      </c>
      <c r="AO198">
        <v>53.183794329999998</v>
      </c>
      <c r="AP198">
        <v>52.89998456</v>
      </c>
      <c r="AQ198">
        <v>52.622866879999997</v>
      </c>
      <c r="AR198">
        <v>52.342270360000001</v>
      </c>
      <c r="AS198">
        <v>52.227263290000003</v>
      </c>
      <c r="AT198">
        <v>52.136934140000001</v>
      </c>
      <c r="AU198">
        <v>52.065128520000002</v>
      </c>
      <c r="AV198">
        <v>52.001994850000003</v>
      </c>
      <c r="AW198">
        <v>51.966840380000001</v>
      </c>
    </row>
    <row r="199" spans="2:49" x14ac:dyDescent="0.25">
      <c r="B199" t="s">
        <v>528</v>
      </c>
      <c r="C199">
        <v>0.67805251130835598</v>
      </c>
      <c r="D199">
        <v>0.68893886369971102</v>
      </c>
      <c r="E199">
        <v>0.66746537549999996</v>
      </c>
      <c r="F199">
        <v>1.002793284</v>
      </c>
      <c r="G199">
        <v>1.2846759560000001</v>
      </c>
      <c r="H199">
        <v>1.5605372200000001</v>
      </c>
      <c r="I199">
        <v>1.838484945</v>
      </c>
      <c r="J199">
        <v>2.0981017569999998</v>
      </c>
      <c r="K199">
        <v>2.3329678660000002</v>
      </c>
      <c r="L199">
        <v>2.5724686440000002</v>
      </c>
      <c r="M199">
        <v>2.8552211239999998</v>
      </c>
      <c r="N199">
        <v>3.1686456810000001</v>
      </c>
      <c r="O199">
        <v>3.1567371280000001</v>
      </c>
      <c r="P199">
        <v>3.1377029790000002</v>
      </c>
      <c r="Q199">
        <v>3.084396919</v>
      </c>
      <c r="R199">
        <v>3.083007694</v>
      </c>
      <c r="S199">
        <v>3.0662927359999999</v>
      </c>
      <c r="T199">
        <v>3.1936609929999999</v>
      </c>
      <c r="U199">
        <v>3.3091416339999999</v>
      </c>
      <c r="V199">
        <v>3.4247006670000002</v>
      </c>
      <c r="W199">
        <v>3.5326270759999998</v>
      </c>
      <c r="X199">
        <v>3.6228061720000002</v>
      </c>
      <c r="Y199">
        <v>3.5849454650000001</v>
      </c>
      <c r="Z199">
        <v>3.5618178380000001</v>
      </c>
      <c r="AA199">
        <v>3.5455975880000001</v>
      </c>
      <c r="AB199">
        <v>3.5345923770000001</v>
      </c>
      <c r="AC199">
        <v>3.5281883980000002</v>
      </c>
      <c r="AD199">
        <v>3.4926537249999998</v>
      </c>
      <c r="AE199">
        <v>3.456664516</v>
      </c>
      <c r="AF199">
        <v>3.4207891140000002</v>
      </c>
      <c r="AG199">
        <v>3.3864997520000002</v>
      </c>
      <c r="AH199">
        <v>3.3525531480000001</v>
      </c>
      <c r="AI199">
        <v>3.3305909489999999</v>
      </c>
      <c r="AJ199">
        <v>3.3106490960000001</v>
      </c>
      <c r="AK199">
        <v>3.2925337699999999</v>
      </c>
      <c r="AL199">
        <v>3.2754166630000001</v>
      </c>
      <c r="AM199">
        <v>3.2593971229999998</v>
      </c>
      <c r="AN199">
        <v>3.2530161610000001</v>
      </c>
      <c r="AO199">
        <v>3.2466079090000002</v>
      </c>
      <c r="AP199">
        <v>3.2401406640000001</v>
      </c>
      <c r="AQ199">
        <v>3.2344886590000002</v>
      </c>
      <c r="AR199">
        <v>3.2290525969999999</v>
      </c>
      <c r="AS199">
        <v>3.2380242290000001</v>
      </c>
      <c r="AT199">
        <v>3.2488357859999999</v>
      </c>
      <c r="AU199">
        <v>3.261136</v>
      </c>
      <c r="AV199">
        <v>3.2743343029999998</v>
      </c>
      <c r="AW199">
        <v>3.2896740869999999</v>
      </c>
    </row>
    <row r="200" spans="2:49" x14ac:dyDescent="0.25">
      <c r="B200" t="s">
        <v>529</v>
      </c>
      <c r="C200">
        <v>82.165927612137295</v>
      </c>
      <c r="D200">
        <v>83.485128157272499</v>
      </c>
      <c r="E200">
        <v>84.844840500000004</v>
      </c>
      <c r="F200">
        <v>85.025071460000007</v>
      </c>
      <c r="G200">
        <v>81.604719880000005</v>
      </c>
      <c r="H200">
        <v>79.164276740000005</v>
      </c>
      <c r="I200">
        <v>77.559993789999893</v>
      </c>
      <c r="J200">
        <v>75.323324799999995</v>
      </c>
      <c r="K200">
        <v>72.791073969999999</v>
      </c>
      <c r="L200">
        <v>70.893498780000002</v>
      </c>
      <c r="M200">
        <v>70.396163369999996</v>
      </c>
      <c r="N200">
        <v>70.625168520000003</v>
      </c>
      <c r="O200">
        <v>69.028752069999996</v>
      </c>
      <c r="P200">
        <v>67.261221079999999</v>
      </c>
      <c r="Q200">
        <v>64.76106747</v>
      </c>
      <c r="R200">
        <v>63.34463289</v>
      </c>
      <c r="S200">
        <v>61.589810569999997</v>
      </c>
      <c r="T200">
        <v>61.006711539999998</v>
      </c>
      <c r="U200">
        <v>60.36560076</v>
      </c>
      <c r="V200">
        <v>59.875735290000001</v>
      </c>
      <c r="W200">
        <v>59.417075189999998</v>
      </c>
      <c r="X200">
        <v>58.614969070000001</v>
      </c>
      <c r="Y200">
        <v>58.066718819999998</v>
      </c>
      <c r="Z200">
        <v>57.75620078</v>
      </c>
      <c r="AA200">
        <v>57.55718589</v>
      </c>
      <c r="AB200">
        <v>57.434011830000003</v>
      </c>
      <c r="AC200">
        <v>57.384327239999998</v>
      </c>
      <c r="AD200">
        <v>56.915787969999997</v>
      </c>
      <c r="AE200">
        <v>56.440533199999997</v>
      </c>
      <c r="AF200">
        <v>55.967978180000003</v>
      </c>
      <c r="AG200">
        <v>55.5228112</v>
      </c>
      <c r="AH200">
        <v>55.084093459999998</v>
      </c>
      <c r="AI200">
        <v>54.755026479999998</v>
      </c>
      <c r="AJ200">
        <v>54.457456929999999</v>
      </c>
      <c r="AK200">
        <v>54.188172180000002</v>
      </c>
      <c r="AL200">
        <v>53.951045129999997</v>
      </c>
      <c r="AM200">
        <v>53.730455210000002</v>
      </c>
      <c r="AN200">
        <v>53.460355200000002</v>
      </c>
      <c r="AO200">
        <v>53.183794329999998</v>
      </c>
      <c r="AP200">
        <v>52.89998456</v>
      </c>
      <c r="AQ200">
        <v>52.622866879999997</v>
      </c>
      <c r="AR200">
        <v>52.342270360000001</v>
      </c>
      <c r="AS200">
        <v>52.227263290000003</v>
      </c>
      <c r="AT200">
        <v>52.136934140000001</v>
      </c>
      <c r="AU200">
        <v>52.065128520000002</v>
      </c>
      <c r="AV200">
        <v>52.001994850000003</v>
      </c>
      <c r="AW200">
        <v>51.966840380000001</v>
      </c>
    </row>
    <row r="201" spans="2:49" x14ac:dyDescent="0.25">
      <c r="B201" t="s">
        <v>530</v>
      </c>
      <c r="C201">
        <v>0.67805251130835598</v>
      </c>
      <c r="D201">
        <v>0.68893886369971102</v>
      </c>
      <c r="E201">
        <v>0.66746537549999996</v>
      </c>
      <c r="F201">
        <v>1.002793284</v>
      </c>
      <c r="G201">
        <v>1.2846759560000001</v>
      </c>
      <c r="H201">
        <v>1.5605372200000001</v>
      </c>
      <c r="I201">
        <v>1.838484945</v>
      </c>
      <c r="J201">
        <v>2.0981017569999998</v>
      </c>
      <c r="K201">
        <v>2.3329678660000002</v>
      </c>
      <c r="L201">
        <v>2.5724686440000002</v>
      </c>
      <c r="M201">
        <v>2.8552211239999998</v>
      </c>
      <c r="N201">
        <v>3.1686456810000001</v>
      </c>
      <c r="O201">
        <v>3.1567371280000001</v>
      </c>
      <c r="P201">
        <v>3.1377029790000002</v>
      </c>
      <c r="Q201">
        <v>3.084396919</v>
      </c>
      <c r="R201">
        <v>3.083007694</v>
      </c>
      <c r="S201">
        <v>3.0662927359999999</v>
      </c>
      <c r="T201">
        <v>3.1936609929999999</v>
      </c>
      <c r="U201">
        <v>3.3091416339999999</v>
      </c>
      <c r="V201">
        <v>3.4247006670000002</v>
      </c>
      <c r="W201">
        <v>3.5326270759999998</v>
      </c>
      <c r="X201">
        <v>3.6228061720000002</v>
      </c>
      <c r="Y201">
        <v>3.5849454650000001</v>
      </c>
      <c r="Z201">
        <v>3.5618178380000001</v>
      </c>
      <c r="AA201">
        <v>3.5455975880000001</v>
      </c>
      <c r="AB201">
        <v>3.5345923770000001</v>
      </c>
      <c r="AC201">
        <v>3.5281883980000002</v>
      </c>
      <c r="AD201">
        <v>3.4926537249999998</v>
      </c>
      <c r="AE201">
        <v>3.456664516</v>
      </c>
      <c r="AF201">
        <v>3.4207891140000002</v>
      </c>
      <c r="AG201">
        <v>3.3864997520000002</v>
      </c>
      <c r="AH201">
        <v>3.3525531480000001</v>
      </c>
      <c r="AI201">
        <v>3.3305909489999999</v>
      </c>
      <c r="AJ201">
        <v>3.3106490960000001</v>
      </c>
      <c r="AK201">
        <v>3.2925337699999999</v>
      </c>
      <c r="AL201">
        <v>3.2754166630000001</v>
      </c>
      <c r="AM201">
        <v>3.2593971229999998</v>
      </c>
      <c r="AN201">
        <v>3.2530161610000001</v>
      </c>
      <c r="AO201">
        <v>3.2466079090000002</v>
      </c>
      <c r="AP201">
        <v>3.2401406640000001</v>
      </c>
      <c r="AQ201">
        <v>3.2344886590000002</v>
      </c>
      <c r="AR201">
        <v>3.2290525969999999</v>
      </c>
      <c r="AS201">
        <v>3.2380242290000001</v>
      </c>
      <c r="AT201">
        <v>3.2488357859999999</v>
      </c>
      <c r="AU201">
        <v>3.261136</v>
      </c>
      <c r="AV201">
        <v>3.2743343029999998</v>
      </c>
      <c r="AW201">
        <v>3.2896740869999999</v>
      </c>
    </row>
    <row r="202" spans="2:49" x14ac:dyDescent="0.25">
      <c r="B202" t="s">
        <v>531</v>
      </c>
      <c r="C202">
        <v>114.221490567207</v>
      </c>
      <c r="D202">
        <v>116.055353544252</v>
      </c>
      <c r="E202">
        <v>118.4724703</v>
      </c>
      <c r="F202">
        <v>124.33089870000001</v>
      </c>
      <c r="G202">
        <v>130.0243213</v>
      </c>
      <c r="H202">
        <v>125.2446698</v>
      </c>
      <c r="I202">
        <v>132.74766099999999</v>
      </c>
      <c r="J202">
        <v>135.46260760000001</v>
      </c>
      <c r="K202">
        <v>135.60595739999999</v>
      </c>
      <c r="L202">
        <v>134.03128570000001</v>
      </c>
      <c r="M202">
        <v>132.61586260000001</v>
      </c>
      <c r="N202">
        <v>129.76890750000001</v>
      </c>
      <c r="O202">
        <v>122.6374646</v>
      </c>
      <c r="P202">
        <v>119.86733649999999</v>
      </c>
      <c r="Q202">
        <v>118.4848916</v>
      </c>
      <c r="R202">
        <v>113.8474648</v>
      </c>
      <c r="S202">
        <v>109.2008305</v>
      </c>
      <c r="T202">
        <v>107.1350743</v>
      </c>
      <c r="U202">
        <v>105.45770280000001</v>
      </c>
      <c r="V202">
        <v>104.1693763</v>
      </c>
      <c r="W202">
        <v>113.8014809</v>
      </c>
      <c r="X202">
        <v>123.96548610000001</v>
      </c>
      <c r="Y202">
        <v>125.05281720000001</v>
      </c>
      <c r="Z202">
        <v>126.25632969999999</v>
      </c>
      <c r="AA202">
        <v>127.526414</v>
      </c>
      <c r="AB202">
        <v>128.6416926</v>
      </c>
      <c r="AC202">
        <v>129.84796080000001</v>
      </c>
      <c r="AD202">
        <v>126.4305416</v>
      </c>
      <c r="AE202">
        <v>123.1107521</v>
      </c>
      <c r="AF202">
        <v>119.8883865</v>
      </c>
      <c r="AG202">
        <v>116.7110642</v>
      </c>
      <c r="AH202">
        <v>113.6375524</v>
      </c>
      <c r="AI202">
        <v>110.7146619</v>
      </c>
      <c r="AJ202">
        <v>107.83071630000001</v>
      </c>
      <c r="AK202">
        <v>104.9919696</v>
      </c>
      <c r="AL202">
        <v>102.1522305</v>
      </c>
      <c r="AM202">
        <v>99.34145728</v>
      </c>
      <c r="AN202">
        <v>96.610985170000006</v>
      </c>
      <c r="AO202">
        <v>93.899099730000003</v>
      </c>
      <c r="AP202">
        <v>91.206665810000004</v>
      </c>
      <c r="AQ202">
        <v>88.552514930000001</v>
      </c>
      <c r="AR202">
        <v>85.927246940000003</v>
      </c>
      <c r="AS202">
        <v>83.45769756</v>
      </c>
      <c r="AT202">
        <v>80.971093069999995</v>
      </c>
      <c r="AU202">
        <v>78.509127210000003</v>
      </c>
      <c r="AV202">
        <v>76.042532499999894</v>
      </c>
      <c r="AW202">
        <v>73.606941710000001</v>
      </c>
    </row>
    <row r="203" spans="2:49" x14ac:dyDescent="0.25">
      <c r="B203" t="s">
        <v>532</v>
      </c>
      <c r="C203">
        <v>1.2736350545564401</v>
      </c>
      <c r="D203">
        <v>1.2940836773262701</v>
      </c>
      <c r="E203">
        <v>1.3210359140000001</v>
      </c>
      <c r="F203">
        <v>1.311565941</v>
      </c>
      <c r="G203">
        <v>1.297651941</v>
      </c>
      <c r="H203">
        <v>1.182563112</v>
      </c>
      <c r="I203">
        <v>1.1858573830000001</v>
      </c>
      <c r="J203">
        <v>1.1197384319999999</v>
      </c>
      <c r="K203">
        <v>1.03739951</v>
      </c>
      <c r="L203">
        <v>0.94916535840000005</v>
      </c>
      <c r="M203">
        <v>0.86958952249999999</v>
      </c>
      <c r="N203">
        <v>0.78813533049999995</v>
      </c>
      <c r="O203">
        <v>0.68334519739999999</v>
      </c>
      <c r="P203">
        <v>0.60364005899999995</v>
      </c>
      <c r="Q203">
        <v>0.52850563390000005</v>
      </c>
      <c r="R203">
        <v>0.4372770111</v>
      </c>
      <c r="S203">
        <v>0.34627987339999999</v>
      </c>
      <c r="T203">
        <v>0.45074561619999998</v>
      </c>
      <c r="U203">
        <v>0.55608676749999997</v>
      </c>
      <c r="V203">
        <v>0.66355440040000002</v>
      </c>
      <c r="W203">
        <v>0.73202130990000003</v>
      </c>
      <c r="X203">
        <v>0.80392422119999996</v>
      </c>
      <c r="Y203">
        <v>0.80465137040000001</v>
      </c>
      <c r="Z203">
        <v>0.80599510919999995</v>
      </c>
      <c r="AA203">
        <v>0.80762264800000005</v>
      </c>
      <c r="AB203">
        <v>0.80838244560000005</v>
      </c>
      <c r="AC203">
        <v>0.80960154259999995</v>
      </c>
      <c r="AD203">
        <v>0.81458183070000001</v>
      </c>
      <c r="AE203">
        <v>0.81932632090000002</v>
      </c>
      <c r="AF203">
        <v>0.82386867760000004</v>
      </c>
      <c r="AG203">
        <v>0.8291837487</v>
      </c>
      <c r="AH203">
        <v>0.83441459029999998</v>
      </c>
      <c r="AI203">
        <v>0.82223362710000003</v>
      </c>
      <c r="AJ203">
        <v>0.81013854620000003</v>
      </c>
      <c r="AK203">
        <v>0.79817757349999996</v>
      </c>
      <c r="AL203">
        <v>0.78628066210000003</v>
      </c>
      <c r="AM203">
        <v>0.77440997509999998</v>
      </c>
      <c r="AN203">
        <v>0.78109322960000005</v>
      </c>
      <c r="AO203">
        <v>0.78743260020000005</v>
      </c>
      <c r="AP203">
        <v>0.79342279090000001</v>
      </c>
      <c r="AQ203">
        <v>0.79922072499999997</v>
      </c>
      <c r="AR203">
        <v>0.80474343069999998</v>
      </c>
      <c r="AS203">
        <v>0.80673406319999996</v>
      </c>
      <c r="AT203">
        <v>0.80842509630000003</v>
      </c>
      <c r="AU203">
        <v>0.81021940910000001</v>
      </c>
      <c r="AV203">
        <v>0.81181840350000001</v>
      </c>
      <c r="AW203">
        <v>0.81359833530000003</v>
      </c>
    </row>
    <row r="204" spans="2:49" x14ac:dyDescent="0.25">
      <c r="B204" t="s">
        <v>533</v>
      </c>
      <c r="C204">
        <v>3.4574974609126801</v>
      </c>
      <c r="D204">
        <v>3.51300870100687</v>
      </c>
      <c r="E204">
        <v>3.5861750990000001</v>
      </c>
      <c r="F204">
        <v>3.7433602000000001</v>
      </c>
      <c r="G204">
        <v>3.8940368730000001</v>
      </c>
      <c r="H204">
        <v>3.7312418379999999</v>
      </c>
      <c r="I204">
        <v>3.9342935720000001</v>
      </c>
      <c r="J204">
        <v>4.091246892</v>
      </c>
      <c r="K204">
        <v>4.1799933999999999</v>
      </c>
      <c r="L204">
        <v>4.2223648880000004</v>
      </c>
      <c r="M204">
        <v>4.274903342</v>
      </c>
      <c r="N204">
        <v>4.2850458189999996</v>
      </c>
      <c r="O204">
        <v>4.524186533</v>
      </c>
      <c r="P204">
        <v>4.9210160099999998</v>
      </c>
      <c r="Q204">
        <v>5.3965378199999998</v>
      </c>
      <c r="R204">
        <v>5.7390882369999998</v>
      </c>
      <c r="S204">
        <v>6.0820907369999997</v>
      </c>
      <c r="T204">
        <v>5.7800069499999998</v>
      </c>
      <c r="U204">
        <v>5.49820916</v>
      </c>
      <c r="V204">
        <v>5.2346114469999998</v>
      </c>
      <c r="W204">
        <v>3.6055886940000001</v>
      </c>
      <c r="X204">
        <v>1.929297013</v>
      </c>
      <c r="Y204">
        <v>1.9295941430000001</v>
      </c>
      <c r="Z204">
        <v>1.9314652109999999</v>
      </c>
      <c r="AA204">
        <v>1.9341132089999999</v>
      </c>
      <c r="AB204">
        <v>1.9355126090000001</v>
      </c>
      <c r="AC204">
        <v>1.9380092170000001</v>
      </c>
      <c r="AD204">
        <v>1.92022184</v>
      </c>
      <c r="AE204">
        <v>1.9025655290000001</v>
      </c>
      <c r="AF204">
        <v>1.885088264</v>
      </c>
      <c r="AG204">
        <v>1.8694787749999999</v>
      </c>
      <c r="AH204">
        <v>1.854254437</v>
      </c>
      <c r="AI204">
        <v>1.841661456</v>
      </c>
      <c r="AJ204">
        <v>1.828713402</v>
      </c>
      <c r="AK204">
        <v>1.8155254999999999</v>
      </c>
      <c r="AL204">
        <v>1.803294795</v>
      </c>
      <c r="AM204">
        <v>1.7905942500000001</v>
      </c>
      <c r="AN204">
        <v>1.780092201</v>
      </c>
      <c r="AO204">
        <v>1.7691155169999999</v>
      </c>
      <c r="AP204">
        <v>1.757665067</v>
      </c>
      <c r="AQ204">
        <v>1.7460962259999999</v>
      </c>
      <c r="AR204">
        <v>1.7342281989999999</v>
      </c>
      <c r="AS204">
        <v>2.3646753679999999</v>
      </c>
      <c r="AT204">
        <v>2.9847576880000002</v>
      </c>
      <c r="AU204">
        <v>3.5956855449999998</v>
      </c>
      <c r="AV204">
        <v>4.196245609</v>
      </c>
      <c r="AW204">
        <v>4.7883288549999996</v>
      </c>
    </row>
    <row r="205" spans="2:49" x14ac:dyDescent="0.25">
      <c r="B205" t="s">
        <v>534</v>
      </c>
      <c r="C205">
        <v>5.0750954082325404</v>
      </c>
      <c r="D205">
        <v>5.1565777065978304</v>
      </c>
      <c r="E205">
        <v>5.263975168</v>
      </c>
      <c r="F205">
        <v>5.0793568970000003</v>
      </c>
      <c r="G205">
        <v>4.8842311780000003</v>
      </c>
      <c r="H205">
        <v>4.325952139</v>
      </c>
      <c r="I205">
        <v>4.2160838160000003</v>
      </c>
      <c r="J205">
        <v>4.1323998289999997</v>
      </c>
      <c r="K205">
        <v>3.9795829610000002</v>
      </c>
      <c r="L205">
        <v>3.7891582449999999</v>
      </c>
      <c r="M205">
        <v>3.6161671590000002</v>
      </c>
      <c r="N205">
        <v>3.4168409909999999</v>
      </c>
      <c r="O205">
        <v>2.854917141</v>
      </c>
      <c r="P205">
        <v>2.4000585239999999</v>
      </c>
      <c r="Q205">
        <v>1.9590989029999999</v>
      </c>
      <c r="R205">
        <v>1.455575847</v>
      </c>
      <c r="S205">
        <v>0.95436361020000005</v>
      </c>
      <c r="T205">
        <v>0.90709861540000003</v>
      </c>
      <c r="U205">
        <v>0.86294362309999995</v>
      </c>
      <c r="V205">
        <v>0.82157216150000001</v>
      </c>
      <c r="W205">
        <v>0.56369254970000005</v>
      </c>
      <c r="X205">
        <v>0.29512903419999997</v>
      </c>
      <c r="Y205">
        <v>0.29762765149999998</v>
      </c>
      <c r="Z205">
        <v>0.30040501670000003</v>
      </c>
      <c r="AA205">
        <v>0.30334300089999999</v>
      </c>
      <c r="AB205">
        <v>0.30589666059999998</v>
      </c>
      <c r="AC205">
        <v>0.30866608750000002</v>
      </c>
      <c r="AD205">
        <v>0.30660710740000002</v>
      </c>
      <c r="AE205">
        <v>0.30457431569999999</v>
      </c>
      <c r="AF205">
        <v>0.30257557969999999</v>
      </c>
      <c r="AG205">
        <v>0.30080982709999998</v>
      </c>
      <c r="AH205">
        <v>0.29911193780000001</v>
      </c>
      <c r="AI205">
        <v>0.29790727929999999</v>
      </c>
      <c r="AJ205">
        <v>0.2966498065</v>
      </c>
      <c r="AK205">
        <v>0.29535788629999998</v>
      </c>
      <c r="AL205">
        <v>0.29417045879999998</v>
      </c>
      <c r="AM205">
        <v>0.29291036840000001</v>
      </c>
      <c r="AN205">
        <v>0.29207436460000002</v>
      </c>
      <c r="AO205">
        <v>0.2911638708</v>
      </c>
      <c r="AP205">
        <v>0.29017837860000001</v>
      </c>
      <c r="AQ205">
        <v>0.28917607109999999</v>
      </c>
      <c r="AR205">
        <v>0.28812678079999998</v>
      </c>
      <c r="AS205">
        <v>0.28779139120000002</v>
      </c>
      <c r="AT205">
        <v>0.287355951</v>
      </c>
      <c r="AU205">
        <v>0.28696418070000002</v>
      </c>
      <c r="AV205">
        <v>0.28651018449999999</v>
      </c>
      <c r="AW205">
        <v>0.28612689610000003</v>
      </c>
    </row>
    <row r="206" spans="2:49" x14ac:dyDescent="0.25">
      <c r="B206" t="s">
        <v>535</v>
      </c>
      <c r="C206">
        <v>0.35516190417563898</v>
      </c>
      <c r="D206">
        <v>0.36086414342755202</v>
      </c>
      <c r="E206">
        <v>0.36837996020000002</v>
      </c>
      <c r="F206">
        <v>0.7843011755</v>
      </c>
      <c r="G206">
        <v>1.1849506590000001</v>
      </c>
      <c r="H206">
        <v>1.443703406</v>
      </c>
      <c r="I206">
        <v>1.7979746299999999</v>
      </c>
      <c r="J206">
        <v>2.1314144260000001</v>
      </c>
      <c r="K206">
        <v>2.3860232460000002</v>
      </c>
      <c r="L206">
        <v>2.5517421040000001</v>
      </c>
      <c r="M206">
        <v>2.645188063</v>
      </c>
      <c r="N206">
        <v>2.616382422</v>
      </c>
      <c r="O206">
        <v>2.7923553210000001</v>
      </c>
      <c r="P206">
        <v>3.0670382190000001</v>
      </c>
      <c r="Q206">
        <v>3.3935444440000002</v>
      </c>
      <c r="R206">
        <v>3.6388344190000002</v>
      </c>
      <c r="S206">
        <v>3.8860842459999998</v>
      </c>
      <c r="T206">
        <v>4.0511886209999997</v>
      </c>
      <c r="U206">
        <v>4.2301318339999998</v>
      </c>
      <c r="V206">
        <v>4.4256293959999997</v>
      </c>
      <c r="W206">
        <v>5.0901447949999996</v>
      </c>
      <c r="X206">
        <v>5.7760834699999997</v>
      </c>
      <c r="Y206">
        <v>6.2188780709999998</v>
      </c>
      <c r="Z206">
        <v>6.6755045749999997</v>
      </c>
      <c r="AA206">
        <v>7.1443354599999997</v>
      </c>
      <c r="AB206">
        <v>7.4846300010000002</v>
      </c>
      <c r="AC206">
        <v>7.8353602640000002</v>
      </c>
      <c r="AD206">
        <v>8.2302038730000007</v>
      </c>
      <c r="AE206">
        <v>8.6187081760000002</v>
      </c>
      <c r="AF206">
        <v>9.0014713400000002</v>
      </c>
      <c r="AG206">
        <v>9.3996531339999905</v>
      </c>
      <c r="AH206">
        <v>9.7938674740000007</v>
      </c>
      <c r="AI206">
        <v>10.20591641</v>
      </c>
      <c r="AJ206">
        <v>10.611508280000001</v>
      </c>
      <c r="AK206">
        <v>11.011261080000001</v>
      </c>
      <c r="AL206">
        <v>11.422422510000001</v>
      </c>
      <c r="AM206">
        <v>11.82618122</v>
      </c>
      <c r="AN206">
        <v>12.241681099999999</v>
      </c>
      <c r="AO206">
        <v>12.650575509999999</v>
      </c>
      <c r="AP206">
        <v>13.05258847</v>
      </c>
      <c r="AQ206">
        <v>13.45017002</v>
      </c>
      <c r="AR206">
        <v>13.84188071</v>
      </c>
      <c r="AS206">
        <v>14.24244904</v>
      </c>
      <c r="AT206">
        <v>14.636655380000001</v>
      </c>
      <c r="AU206">
        <v>15.03160583</v>
      </c>
      <c r="AV206">
        <v>15.421801719999999</v>
      </c>
      <c r="AW206">
        <v>15.814332540000001</v>
      </c>
    </row>
    <row r="207" spans="2:49" x14ac:dyDescent="0.25">
      <c r="B207" t="s">
        <v>536</v>
      </c>
      <c r="C207">
        <v>7.99114284395189E-2</v>
      </c>
      <c r="D207">
        <v>8.1194432271199296E-2</v>
      </c>
      <c r="E207">
        <v>8.2885491000000006E-2</v>
      </c>
      <c r="F207">
        <v>0.1130875628</v>
      </c>
      <c r="G207">
        <v>0.15372836200000001</v>
      </c>
      <c r="H207">
        <v>0.1924436125</v>
      </c>
      <c r="I207">
        <v>0.26503883020000002</v>
      </c>
      <c r="J207">
        <v>0.36490264039999998</v>
      </c>
      <c r="K207">
        <v>0.49254991419999999</v>
      </c>
      <c r="L207">
        <v>0.65614033719999998</v>
      </c>
      <c r="M207">
        <v>0.87472241679999996</v>
      </c>
      <c r="N207">
        <v>1.1530531509999999</v>
      </c>
      <c r="O207">
        <v>1.2306053100000001</v>
      </c>
      <c r="P207">
        <v>1.3516594719999999</v>
      </c>
      <c r="Q207">
        <v>1.4955524389999999</v>
      </c>
      <c r="R207">
        <v>1.603652989</v>
      </c>
      <c r="S207">
        <v>1.7126172559999999</v>
      </c>
      <c r="T207">
        <v>1.760841514</v>
      </c>
      <c r="U207">
        <v>1.815168111</v>
      </c>
      <c r="V207">
        <v>1.8765170069999999</v>
      </c>
      <c r="W207">
        <v>2.1134066580000002</v>
      </c>
      <c r="X207">
        <v>2.3580293019999998</v>
      </c>
      <c r="Y207">
        <v>2.5549091709999998</v>
      </c>
      <c r="Z207">
        <v>2.7577758819999998</v>
      </c>
      <c r="AA207">
        <v>2.9659929260000002</v>
      </c>
      <c r="AB207">
        <v>3.177755313</v>
      </c>
      <c r="AC207">
        <v>3.3951970330000001</v>
      </c>
      <c r="AD207">
        <v>3.801694468</v>
      </c>
      <c r="AE207">
        <v>4.2010802199999997</v>
      </c>
      <c r="AF207">
        <v>4.5938413010000003</v>
      </c>
      <c r="AG207">
        <v>5.0008925389999996</v>
      </c>
      <c r="AH207">
        <v>5.4025979489999996</v>
      </c>
      <c r="AI207">
        <v>5.8198045289999998</v>
      </c>
      <c r="AJ207">
        <v>6.2309884130000004</v>
      </c>
      <c r="AK207">
        <v>6.6365065029999997</v>
      </c>
      <c r="AL207">
        <v>7.0537380819999997</v>
      </c>
      <c r="AM207">
        <v>7.4643318929999998</v>
      </c>
      <c r="AN207">
        <v>7.8879523049999998</v>
      </c>
      <c r="AO207">
        <v>8.3058633539999995</v>
      </c>
      <c r="AP207">
        <v>8.7178027080000007</v>
      </c>
      <c r="AQ207">
        <v>9.1253566020000001</v>
      </c>
      <c r="AR207">
        <v>9.5275407810000008</v>
      </c>
      <c r="AS207">
        <v>9.7461780180000002</v>
      </c>
      <c r="AT207">
        <v>9.9606649320000002</v>
      </c>
      <c r="AU207">
        <v>10.17586504</v>
      </c>
      <c r="AV207">
        <v>10.388049779999999</v>
      </c>
      <c r="AW207">
        <v>10.602002560000001</v>
      </c>
    </row>
    <row r="208" spans="2:49" x14ac:dyDescent="0.25">
      <c r="B208" t="s">
        <v>537</v>
      </c>
      <c r="C208">
        <v>4.4799793836545803</v>
      </c>
      <c r="D208">
        <v>4.5519069017495504</v>
      </c>
      <c r="E208">
        <v>4.6467107179999996</v>
      </c>
      <c r="F208">
        <v>4.6141730140000004</v>
      </c>
      <c r="G208">
        <v>4.565503412</v>
      </c>
      <c r="H208">
        <v>4.1604319900000002</v>
      </c>
      <c r="I208">
        <v>4.171480098</v>
      </c>
      <c r="J208">
        <v>4.0976543520000002</v>
      </c>
      <c r="K208">
        <v>3.9538134459999998</v>
      </c>
      <c r="L208">
        <v>3.7714968940000002</v>
      </c>
      <c r="M208">
        <v>3.6058033319999998</v>
      </c>
      <c r="N208">
        <v>3.413394099</v>
      </c>
      <c r="O208">
        <v>3.6478374759999999</v>
      </c>
      <c r="P208">
        <v>4.0120033140000002</v>
      </c>
      <c r="Q208">
        <v>4.4449885939999998</v>
      </c>
      <c r="R208">
        <v>4.7725682860000003</v>
      </c>
      <c r="S208">
        <v>5.1035522240000004</v>
      </c>
      <c r="T208">
        <v>5.2986750220000003</v>
      </c>
      <c r="U208">
        <v>5.512237431</v>
      </c>
      <c r="V208">
        <v>5.7475633559999997</v>
      </c>
      <c r="W208">
        <v>5.8486605860000003</v>
      </c>
      <c r="X208">
        <v>5.9546392429999999</v>
      </c>
      <c r="Y208">
        <v>5.9901196060000004</v>
      </c>
      <c r="Z208">
        <v>6.0309950419999998</v>
      </c>
      <c r="AA208">
        <v>6.0748591249999997</v>
      </c>
      <c r="AB208">
        <v>6.1225151100000001</v>
      </c>
      <c r="AC208">
        <v>6.1744293289999996</v>
      </c>
      <c r="AD208">
        <v>6.1672885820000003</v>
      </c>
      <c r="AE208">
        <v>6.1608297399999996</v>
      </c>
      <c r="AF208">
        <v>6.1552221080000002</v>
      </c>
      <c r="AG208">
        <v>6.1524467999999999</v>
      </c>
      <c r="AH208">
        <v>6.1512360020000001</v>
      </c>
      <c r="AI208">
        <v>6.1547575869999998</v>
      </c>
      <c r="AJ208">
        <v>6.1573673089999996</v>
      </c>
      <c r="AK208">
        <v>6.1594349470000003</v>
      </c>
      <c r="AL208">
        <v>6.1621169819999997</v>
      </c>
      <c r="AM208">
        <v>6.1634275289999998</v>
      </c>
      <c r="AN208">
        <v>6.164735404</v>
      </c>
      <c r="AO208">
        <v>6.1645561899999999</v>
      </c>
      <c r="AP208">
        <v>6.1628650570000003</v>
      </c>
      <c r="AQ208">
        <v>6.1608871819999997</v>
      </c>
      <c r="AR208">
        <v>6.1579748810000003</v>
      </c>
      <c r="AS208">
        <v>6.1557642279999998</v>
      </c>
      <c r="AT208">
        <v>6.1514217660000003</v>
      </c>
      <c r="AU208">
        <v>6.1480214149999997</v>
      </c>
      <c r="AV208">
        <v>6.1432948679999999</v>
      </c>
      <c r="AW208">
        <v>6.1400915300000003</v>
      </c>
    </row>
    <row r="209" spans="2:49" x14ac:dyDescent="0.25">
      <c r="B209" t="s">
        <v>538</v>
      </c>
      <c r="C209">
        <v>1.4169855567767899</v>
      </c>
      <c r="D209">
        <v>1.4397357182278101</v>
      </c>
      <c r="E209">
        <v>1.46972149</v>
      </c>
      <c r="F209">
        <v>1.735595671</v>
      </c>
      <c r="G209">
        <v>2.0422772490000001</v>
      </c>
      <c r="H209">
        <v>2.2132916599999999</v>
      </c>
      <c r="I209">
        <v>2.639150855</v>
      </c>
      <c r="J209">
        <v>2.9503859929999998</v>
      </c>
      <c r="K209">
        <v>3.2344308970000002</v>
      </c>
      <c r="L209">
        <v>3.4999304549999999</v>
      </c>
      <c r="M209">
        <v>3.790437201</v>
      </c>
      <c r="N209">
        <v>4.059190203</v>
      </c>
      <c r="O209">
        <v>3.7099475960000001</v>
      </c>
      <c r="P209">
        <v>3.4956973470000001</v>
      </c>
      <c r="Q209">
        <v>3.3185126989999998</v>
      </c>
      <c r="R209">
        <v>3.0485188459999999</v>
      </c>
      <c r="S209">
        <v>2.780342053</v>
      </c>
      <c r="T209">
        <v>2.911056833</v>
      </c>
      <c r="U209">
        <v>3.0525725480000001</v>
      </c>
      <c r="V209">
        <v>3.2069826350000001</v>
      </c>
      <c r="W209">
        <v>4.1565143070000001</v>
      </c>
      <c r="X209">
        <v>4.9476687989999997</v>
      </c>
      <c r="Y209">
        <v>4.9436428210000001</v>
      </c>
      <c r="Z209">
        <v>4.9242386390000004</v>
      </c>
      <c r="AA209">
        <v>4.8867625659999998</v>
      </c>
      <c r="AB209">
        <v>4.8802822990000001</v>
      </c>
      <c r="AC209">
        <v>4.8599119369999997</v>
      </c>
      <c r="AD209">
        <v>4.800325602</v>
      </c>
      <c r="AE209">
        <v>4.7386780249999996</v>
      </c>
      <c r="AF209">
        <v>4.6751460649999999</v>
      </c>
      <c r="AG209">
        <v>4.6241861169999998</v>
      </c>
      <c r="AH209">
        <v>4.572003273</v>
      </c>
      <c r="AI209">
        <v>4.637743972</v>
      </c>
      <c r="AJ209">
        <v>4.6775193399999999</v>
      </c>
      <c r="AK209">
        <v>4.6920763599999997</v>
      </c>
      <c r="AL209">
        <v>4.7469848020000001</v>
      </c>
      <c r="AM209">
        <v>4.7811126509999999</v>
      </c>
      <c r="AN209">
        <v>4.7621310289999998</v>
      </c>
      <c r="AO209">
        <v>4.7404045569999997</v>
      </c>
      <c r="AP209">
        <v>4.7159509130000004</v>
      </c>
      <c r="AQ209">
        <v>4.689741411</v>
      </c>
      <c r="AR209">
        <v>4.6613105539999999</v>
      </c>
      <c r="AS209">
        <v>4.660242437</v>
      </c>
      <c r="AT209">
        <v>4.6559904479999998</v>
      </c>
      <c r="AU209">
        <v>4.6508900200000003</v>
      </c>
      <c r="AV209">
        <v>4.6432338089999998</v>
      </c>
      <c r="AW209">
        <v>4.6351846649999997</v>
      </c>
    </row>
    <row r="210" spans="2:49" x14ac:dyDescent="0.25">
      <c r="B210" t="s">
        <v>539</v>
      </c>
      <c r="C210">
        <v>114.221490567207</v>
      </c>
      <c r="D210">
        <v>116.055353544252</v>
      </c>
      <c r="E210">
        <v>118.4724703</v>
      </c>
      <c r="F210">
        <v>124.33089870000001</v>
      </c>
      <c r="G210">
        <v>130.0243213</v>
      </c>
      <c r="H210">
        <v>125.2446698</v>
      </c>
      <c r="I210">
        <v>132.74766099999999</v>
      </c>
      <c r="J210">
        <v>135.46260760000001</v>
      </c>
      <c r="K210">
        <v>135.60595739999999</v>
      </c>
      <c r="L210">
        <v>134.03128570000001</v>
      </c>
      <c r="M210">
        <v>132.61586260000001</v>
      </c>
      <c r="N210">
        <v>129.76890750000001</v>
      </c>
      <c r="O210">
        <v>122.6374646</v>
      </c>
      <c r="P210">
        <v>119.86733649999999</v>
      </c>
      <c r="Q210">
        <v>118.4848916</v>
      </c>
      <c r="R210">
        <v>113.8474648</v>
      </c>
      <c r="S210">
        <v>109.2008305</v>
      </c>
      <c r="T210">
        <v>107.1350743</v>
      </c>
      <c r="U210">
        <v>105.45770280000001</v>
      </c>
      <c r="V210">
        <v>104.1693763</v>
      </c>
      <c r="W210">
        <v>113.8014809</v>
      </c>
      <c r="X210">
        <v>123.96548610000001</v>
      </c>
      <c r="Y210">
        <v>125.05281720000001</v>
      </c>
      <c r="Z210">
        <v>126.25632969999999</v>
      </c>
      <c r="AA210">
        <v>127.526414</v>
      </c>
      <c r="AB210">
        <v>128.6416926</v>
      </c>
      <c r="AC210">
        <v>129.84796080000001</v>
      </c>
      <c r="AD210">
        <v>126.4305416</v>
      </c>
      <c r="AE210">
        <v>123.1107521</v>
      </c>
      <c r="AF210">
        <v>119.8883865</v>
      </c>
      <c r="AG210">
        <v>116.7110642</v>
      </c>
      <c r="AH210">
        <v>113.6375524</v>
      </c>
      <c r="AI210">
        <v>110.7146619</v>
      </c>
      <c r="AJ210">
        <v>107.83071630000001</v>
      </c>
      <c r="AK210">
        <v>104.9919696</v>
      </c>
      <c r="AL210">
        <v>102.1522305</v>
      </c>
      <c r="AM210">
        <v>99.34145728</v>
      </c>
      <c r="AN210">
        <v>96.610985170000006</v>
      </c>
      <c r="AO210">
        <v>93.899099730000003</v>
      </c>
      <c r="AP210">
        <v>91.206665810000004</v>
      </c>
      <c r="AQ210">
        <v>88.552514930000001</v>
      </c>
      <c r="AR210">
        <v>85.927246940000003</v>
      </c>
      <c r="AS210">
        <v>83.45769756</v>
      </c>
      <c r="AT210">
        <v>80.971093069999995</v>
      </c>
      <c r="AU210">
        <v>78.509127210000003</v>
      </c>
      <c r="AV210">
        <v>76.042532499999894</v>
      </c>
      <c r="AW210">
        <v>73.606941710000001</v>
      </c>
    </row>
    <row r="211" spans="2:49" x14ac:dyDescent="0.25">
      <c r="B211" t="s">
        <v>540</v>
      </c>
      <c r="C211">
        <v>1.2736350545564401</v>
      </c>
      <c r="D211">
        <v>1.2940836773262701</v>
      </c>
      <c r="E211">
        <v>1.3210359140000001</v>
      </c>
      <c r="F211">
        <v>1.311565941</v>
      </c>
      <c r="G211">
        <v>1.297651941</v>
      </c>
      <c r="H211">
        <v>1.182563112</v>
      </c>
      <c r="I211">
        <v>1.1858573830000001</v>
      </c>
      <c r="J211">
        <v>1.1197384319999999</v>
      </c>
      <c r="K211">
        <v>1.03739951</v>
      </c>
      <c r="L211">
        <v>0.94916535840000005</v>
      </c>
      <c r="M211">
        <v>0.86958952249999999</v>
      </c>
      <c r="N211">
        <v>0.78813533049999995</v>
      </c>
      <c r="O211">
        <v>0.68334519739999999</v>
      </c>
      <c r="P211">
        <v>0.60364005899999995</v>
      </c>
      <c r="Q211">
        <v>0.52850563390000005</v>
      </c>
      <c r="R211">
        <v>0.4372770111</v>
      </c>
      <c r="S211">
        <v>0.34627987339999999</v>
      </c>
      <c r="T211">
        <v>0.45074561619999998</v>
      </c>
      <c r="U211">
        <v>0.55608676749999997</v>
      </c>
      <c r="V211">
        <v>0.66355440040000002</v>
      </c>
      <c r="W211">
        <v>0.73202130990000003</v>
      </c>
      <c r="X211">
        <v>0.80392422119999996</v>
      </c>
      <c r="Y211">
        <v>0.80465137040000001</v>
      </c>
      <c r="Z211">
        <v>0.80599510919999995</v>
      </c>
      <c r="AA211">
        <v>0.80762264800000005</v>
      </c>
      <c r="AB211">
        <v>0.80838244560000005</v>
      </c>
      <c r="AC211">
        <v>0.80960154259999995</v>
      </c>
      <c r="AD211">
        <v>0.81458183070000001</v>
      </c>
      <c r="AE211">
        <v>0.81932632090000002</v>
      </c>
      <c r="AF211">
        <v>0.82386867760000004</v>
      </c>
      <c r="AG211">
        <v>0.8291837487</v>
      </c>
      <c r="AH211">
        <v>0.83441459029999998</v>
      </c>
      <c r="AI211">
        <v>0.82223362710000003</v>
      </c>
      <c r="AJ211">
        <v>0.81013854620000003</v>
      </c>
      <c r="AK211">
        <v>0.79817757349999996</v>
      </c>
      <c r="AL211">
        <v>0.78628066210000003</v>
      </c>
      <c r="AM211">
        <v>0.77440997509999998</v>
      </c>
      <c r="AN211">
        <v>0.78109322960000005</v>
      </c>
      <c r="AO211">
        <v>0.78743260020000005</v>
      </c>
      <c r="AP211">
        <v>0.79342279090000001</v>
      </c>
      <c r="AQ211">
        <v>0.79922072499999997</v>
      </c>
      <c r="AR211">
        <v>0.80474343069999998</v>
      </c>
      <c r="AS211">
        <v>0.80673406319999996</v>
      </c>
      <c r="AT211">
        <v>0.80842509630000003</v>
      </c>
      <c r="AU211">
        <v>0.81021940910000001</v>
      </c>
      <c r="AV211">
        <v>0.81181840350000001</v>
      </c>
      <c r="AW211">
        <v>0.81359833530000003</v>
      </c>
    </row>
    <row r="212" spans="2:49" x14ac:dyDescent="0.25">
      <c r="B212" t="s">
        <v>541</v>
      </c>
      <c r="C212">
        <v>3.4574974609126801</v>
      </c>
      <c r="D212">
        <v>3.51300870100687</v>
      </c>
      <c r="E212">
        <v>3.5861750990000001</v>
      </c>
      <c r="F212">
        <v>3.7433602000000001</v>
      </c>
      <c r="G212">
        <v>3.8940368730000001</v>
      </c>
      <c r="H212">
        <v>3.7312418379999999</v>
      </c>
      <c r="I212">
        <v>3.9342935720000001</v>
      </c>
      <c r="J212">
        <v>4.091246892</v>
      </c>
      <c r="K212">
        <v>4.1799933999999999</v>
      </c>
      <c r="L212">
        <v>4.2223648880000004</v>
      </c>
      <c r="M212">
        <v>4.274903342</v>
      </c>
      <c r="N212">
        <v>4.2850458189999996</v>
      </c>
      <c r="O212">
        <v>4.524186533</v>
      </c>
      <c r="P212">
        <v>4.9210160099999998</v>
      </c>
      <c r="Q212">
        <v>5.3965378199999998</v>
      </c>
      <c r="R212">
        <v>5.7390882369999998</v>
      </c>
      <c r="S212">
        <v>6.0820907369999997</v>
      </c>
      <c r="T212">
        <v>5.7800069499999998</v>
      </c>
      <c r="U212">
        <v>5.49820916</v>
      </c>
      <c r="V212">
        <v>5.2346114469999998</v>
      </c>
      <c r="W212">
        <v>3.6055886940000001</v>
      </c>
      <c r="X212">
        <v>1.929297013</v>
      </c>
      <c r="Y212">
        <v>1.9295941430000001</v>
      </c>
      <c r="Z212">
        <v>1.9314652109999999</v>
      </c>
      <c r="AA212">
        <v>1.9341132089999999</v>
      </c>
      <c r="AB212">
        <v>1.9355126090000001</v>
      </c>
      <c r="AC212">
        <v>1.9380092170000001</v>
      </c>
      <c r="AD212">
        <v>1.92022184</v>
      </c>
      <c r="AE212">
        <v>1.9025655290000001</v>
      </c>
      <c r="AF212">
        <v>1.885088264</v>
      </c>
      <c r="AG212">
        <v>1.8694787749999999</v>
      </c>
      <c r="AH212">
        <v>1.854254437</v>
      </c>
      <c r="AI212">
        <v>1.841661456</v>
      </c>
      <c r="AJ212">
        <v>1.828713402</v>
      </c>
      <c r="AK212">
        <v>1.8155254999999999</v>
      </c>
      <c r="AL212">
        <v>1.803294795</v>
      </c>
      <c r="AM212">
        <v>1.7905942500000001</v>
      </c>
      <c r="AN212">
        <v>1.780092201</v>
      </c>
      <c r="AO212">
        <v>1.7691155169999999</v>
      </c>
      <c r="AP212">
        <v>1.757665067</v>
      </c>
      <c r="AQ212">
        <v>1.7460962259999999</v>
      </c>
      <c r="AR212">
        <v>1.7342281989999999</v>
      </c>
      <c r="AS212">
        <v>2.3646753679999999</v>
      </c>
      <c r="AT212">
        <v>2.9847576880000002</v>
      </c>
      <c r="AU212">
        <v>3.5956855449999998</v>
      </c>
      <c r="AV212">
        <v>4.196245609</v>
      </c>
      <c r="AW212">
        <v>4.7883288549999996</v>
      </c>
    </row>
    <row r="213" spans="2:49" x14ac:dyDescent="0.25">
      <c r="B213" t="s">
        <v>542</v>
      </c>
      <c r="C213">
        <v>5.0750954082325404</v>
      </c>
      <c r="D213">
        <v>5.1565777065978304</v>
      </c>
      <c r="E213">
        <v>5.263975168</v>
      </c>
      <c r="F213">
        <v>5.0793568970000003</v>
      </c>
      <c r="G213">
        <v>4.8842311780000003</v>
      </c>
      <c r="H213">
        <v>4.325952139</v>
      </c>
      <c r="I213">
        <v>4.2160838160000003</v>
      </c>
      <c r="J213">
        <v>4.1323998289999997</v>
      </c>
      <c r="K213">
        <v>3.9795829610000002</v>
      </c>
      <c r="L213">
        <v>3.7891582449999999</v>
      </c>
      <c r="M213">
        <v>3.6161671590000002</v>
      </c>
      <c r="N213">
        <v>3.4168409909999999</v>
      </c>
      <c r="O213">
        <v>2.854917141</v>
      </c>
      <c r="P213">
        <v>2.4000585239999999</v>
      </c>
      <c r="Q213">
        <v>1.9590989029999999</v>
      </c>
      <c r="R213">
        <v>1.455575847</v>
      </c>
      <c r="S213">
        <v>0.95436361020000005</v>
      </c>
      <c r="T213">
        <v>0.90709861540000003</v>
      </c>
      <c r="U213">
        <v>0.86294362309999995</v>
      </c>
      <c r="V213">
        <v>0.82157216150000001</v>
      </c>
      <c r="W213">
        <v>0.56369254970000005</v>
      </c>
      <c r="X213">
        <v>0.29512903419999997</v>
      </c>
      <c r="Y213">
        <v>0.29762765149999998</v>
      </c>
      <c r="Z213">
        <v>0.30040501670000003</v>
      </c>
      <c r="AA213">
        <v>0.30334300089999999</v>
      </c>
      <c r="AB213">
        <v>0.30589666059999998</v>
      </c>
      <c r="AC213">
        <v>0.30866608750000002</v>
      </c>
      <c r="AD213">
        <v>0.30660710740000002</v>
      </c>
      <c r="AE213">
        <v>0.30457431569999999</v>
      </c>
      <c r="AF213">
        <v>0.30257557969999999</v>
      </c>
      <c r="AG213">
        <v>0.30080982709999998</v>
      </c>
      <c r="AH213">
        <v>0.29911193780000001</v>
      </c>
      <c r="AI213">
        <v>0.29790727929999999</v>
      </c>
      <c r="AJ213">
        <v>0.2966498065</v>
      </c>
      <c r="AK213">
        <v>0.29535788629999998</v>
      </c>
      <c r="AL213">
        <v>0.29417045879999998</v>
      </c>
      <c r="AM213">
        <v>0.29291036840000001</v>
      </c>
      <c r="AN213">
        <v>0.29207436460000002</v>
      </c>
      <c r="AO213">
        <v>0.2911638708</v>
      </c>
      <c r="AP213">
        <v>0.29017837860000001</v>
      </c>
      <c r="AQ213">
        <v>0.28917607109999999</v>
      </c>
      <c r="AR213">
        <v>0.28812678079999998</v>
      </c>
      <c r="AS213">
        <v>0.28779139120000002</v>
      </c>
      <c r="AT213">
        <v>0.287355951</v>
      </c>
      <c r="AU213">
        <v>0.28696418070000002</v>
      </c>
      <c r="AV213">
        <v>0.28651018449999999</v>
      </c>
      <c r="AW213">
        <v>0.28612689610000003</v>
      </c>
    </row>
    <row r="214" spans="2:49" x14ac:dyDescent="0.25">
      <c r="B214" t="s">
        <v>543</v>
      </c>
      <c r="C214">
        <v>0.35516190417563898</v>
      </c>
      <c r="D214">
        <v>0.36086414342755202</v>
      </c>
      <c r="E214">
        <v>0.36837996020000002</v>
      </c>
      <c r="F214">
        <v>0.7843011755</v>
      </c>
      <c r="G214">
        <v>1.1849506590000001</v>
      </c>
      <c r="H214">
        <v>1.443703406</v>
      </c>
      <c r="I214">
        <v>1.7979746299999999</v>
      </c>
      <c r="J214">
        <v>2.1314144260000001</v>
      </c>
      <c r="K214">
        <v>2.3860232460000002</v>
      </c>
      <c r="L214">
        <v>2.5517421040000001</v>
      </c>
      <c r="M214">
        <v>2.645188063</v>
      </c>
      <c r="N214">
        <v>2.616382422</v>
      </c>
      <c r="O214">
        <v>2.7923553210000001</v>
      </c>
      <c r="P214">
        <v>3.0670382190000001</v>
      </c>
      <c r="Q214">
        <v>3.3935444440000002</v>
      </c>
      <c r="R214">
        <v>3.6388344190000002</v>
      </c>
      <c r="S214">
        <v>3.8860842459999998</v>
      </c>
      <c r="T214">
        <v>4.0511886209999997</v>
      </c>
      <c r="U214">
        <v>4.2301318339999998</v>
      </c>
      <c r="V214">
        <v>4.4256293959999997</v>
      </c>
      <c r="W214">
        <v>5.0901447949999996</v>
      </c>
      <c r="X214">
        <v>5.7760834699999997</v>
      </c>
      <c r="Y214">
        <v>6.2188780709999998</v>
      </c>
      <c r="Z214">
        <v>6.6755045749999997</v>
      </c>
      <c r="AA214">
        <v>7.1443354599999997</v>
      </c>
      <c r="AB214">
        <v>7.4846300010000002</v>
      </c>
      <c r="AC214">
        <v>7.8353602640000002</v>
      </c>
      <c r="AD214">
        <v>8.2302038730000007</v>
      </c>
      <c r="AE214">
        <v>8.6187081760000002</v>
      </c>
      <c r="AF214">
        <v>9.0014713400000002</v>
      </c>
      <c r="AG214">
        <v>9.3996531339999905</v>
      </c>
      <c r="AH214">
        <v>9.7938674740000007</v>
      </c>
      <c r="AI214">
        <v>10.20591641</v>
      </c>
      <c r="AJ214">
        <v>10.611508280000001</v>
      </c>
      <c r="AK214">
        <v>11.011261080000001</v>
      </c>
      <c r="AL214">
        <v>11.422422510000001</v>
      </c>
      <c r="AM214">
        <v>11.82618122</v>
      </c>
      <c r="AN214">
        <v>12.241681099999999</v>
      </c>
      <c r="AO214">
        <v>12.650575509999999</v>
      </c>
      <c r="AP214">
        <v>13.05258847</v>
      </c>
      <c r="AQ214">
        <v>13.45017002</v>
      </c>
      <c r="AR214">
        <v>13.84188071</v>
      </c>
      <c r="AS214">
        <v>14.24244904</v>
      </c>
      <c r="AT214">
        <v>14.636655380000001</v>
      </c>
      <c r="AU214">
        <v>15.03160583</v>
      </c>
      <c r="AV214">
        <v>15.421801719999999</v>
      </c>
      <c r="AW214">
        <v>15.814332540000001</v>
      </c>
    </row>
    <row r="215" spans="2:49" x14ac:dyDescent="0.25">
      <c r="B215" t="s">
        <v>544</v>
      </c>
      <c r="C215">
        <v>7.99114284395189E-2</v>
      </c>
      <c r="D215">
        <v>8.1194432271199296E-2</v>
      </c>
      <c r="E215">
        <v>8.2885491000000006E-2</v>
      </c>
      <c r="F215">
        <v>0.1130875628</v>
      </c>
      <c r="G215">
        <v>0.15372836200000001</v>
      </c>
      <c r="H215">
        <v>0.1924436125</v>
      </c>
      <c r="I215">
        <v>0.26503883020000002</v>
      </c>
      <c r="J215">
        <v>0.36490264039999998</v>
      </c>
      <c r="K215">
        <v>0.49254991419999999</v>
      </c>
      <c r="L215">
        <v>0.65614033719999998</v>
      </c>
      <c r="M215">
        <v>0.87472241679999996</v>
      </c>
      <c r="N215">
        <v>1.1530531509999999</v>
      </c>
      <c r="O215">
        <v>1.2306053100000001</v>
      </c>
      <c r="P215">
        <v>1.3516594719999999</v>
      </c>
      <c r="Q215">
        <v>1.4955524389999999</v>
      </c>
      <c r="R215">
        <v>1.603652989</v>
      </c>
      <c r="S215">
        <v>1.7126172559999999</v>
      </c>
      <c r="T215">
        <v>1.760841514</v>
      </c>
      <c r="U215">
        <v>1.815168111</v>
      </c>
      <c r="V215">
        <v>1.8765170069999999</v>
      </c>
      <c r="W215">
        <v>2.1134066580000002</v>
      </c>
      <c r="X215">
        <v>2.3580293019999998</v>
      </c>
      <c r="Y215">
        <v>2.5549091709999998</v>
      </c>
      <c r="Z215">
        <v>2.7577758819999998</v>
      </c>
      <c r="AA215">
        <v>2.9659929260000002</v>
      </c>
      <c r="AB215">
        <v>3.177755313</v>
      </c>
      <c r="AC215">
        <v>3.3951970330000001</v>
      </c>
      <c r="AD215">
        <v>3.801694468</v>
      </c>
      <c r="AE215">
        <v>4.2010802199999997</v>
      </c>
      <c r="AF215">
        <v>4.5938413010000003</v>
      </c>
      <c r="AG215">
        <v>5.0008925389999996</v>
      </c>
      <c r="AH215">
        <v>5.4025979489999996</v>
      </c>
      <c r="AI215">
        <v>5.8198045289999998</v>
      </c>
      <c r="AJ215">
        <v>6.2309884130000004</v>
      </c>
      <c r="AK215">
        <v>6.6365065029999997</v>
      </c>
      <c r="AL215">
        <v>7.0537380819999997</v>
      </c>
      <c r="AM215">
        <v>7.4643318929999998</v>
      </c>
      <c r="AN215">
        <v>7.8879523049999998</v>
      </c>
      <c r="AO215">
        <v>8.3058633539999995</v>
      </c>
      <c r="AP215">
        <v>8.7178027080000007</v>
      </c>
      <c r="AQ215">
        <v>9.1253566020000001</v>
      </c>
      <c r="AR215">
        <v>9.5275407810000008</v>
      </c>
      <c r="AS215">
        <v>9.7461780180000002</v>
      </c>
      <c r="AT215">
        <v>9.9606649320000002</v>
      </c>
      <c r="AU215">
        <v>10.17586504</v>
      </c>
      <c r="AV215">
        <v>10.388049779999999</v>
      </c>
      <c r="AW215">
        <v>10.602002560000001</v>
      </c>
    </row>
    <row r="216" spans="2:49" x14ac:dyDescent="0.25">
      <c r="B216" t="s">
        <v>545</v>
      </c>
      <c r="C216">
        <v>4.4799793836545803</v>
      </c>
      <c r="D216">
        <v>4.5519069017495504</v>
      </c>
      <c r="E216">
        <v>4.6467107179999996</v>
      </c>
      <c r="F216">
        <v>4.6141730140000004</v>
      </c>
      <c r="G216">
        <v>4.565503412</v>
      </c>
      <c r="H216">
        <v>4.1604319900000002</v>
      </c>
      <c r="I216">
        <v>4.171480098</v>
      </c>
      <c r="J216">
        <v>4.0976543520000002</v>
      </c>
      <c r="K216">
        <v>3.9538134459999998</v>
      </c>
      <c r="L216">
        <v>3.7714968940000002</v>
      </c>
      <c r="M216">
        <v>3.6058033319999998</v>
      </c>
      <c r="N216">
        <v>3.413394099</v>
      </c>
      <c r="O216">
        <v>3.6478374759999999</v>
      </c>
      <c r="P216">
        <v>4.0120033140000002</v>
      </c>
      <c r="Q216">
        <v>4.4449885939999998</v>
      </c>
      <c r="R216">
        <v>4.7725682860000003</v>
      </c>
      <c r="S216">
        <v>5.1035522240000004</v>
      </c>
      <c r="T216">
        <v>5.2986750220000003</v>
      </c>
      <c r="U216">
        <v>5.512237431</v>
      </c>
      <c r="V216">
        <v>5.7475633559999997</v>
      </c>
      <c r="W216">
        <v>5.8486605860000003</v>
      </c>
      <c r="X216">
        <v>5.9546392429999999</v>
      </c>
      <c r="Y216">
        <v>5.9901196060000004</v>
      </c>
      <c r="Z216">
        <v>6.0309950419999998</v>
      </c>
      <c r="AA216">
        <v>6.0748591249999997</v>
      </c>
      <c r="AB216">
        <v>6.1225151100000001</v>
      </c>
      <c r="AC216">
        <v>6.1744293289999996</v>
      </c>
      <c r="AD216">
        <v>6.1672885820000003</v>
      </c>
      <c r="AE216">
        <v>6.1608297399999996</v>
      </c>
      <c r="AF216">
        <v>6.1552221080000002</v>
      </c>
      <c r="AG216">
        <v>6.1524467999999999</v>
      </c>
      <c r="AH216">
        <v>6.1512360020000001</v>
      </c>
      <c r="AI216">
        <v>6.1547575869999998</v>
      </c>
      <c r="AJ216">
        <v>6.1573673089999996</v>
      </c>
      <c r="AK216">
        <v>6.1594349470000003</v>
      </c>
      <c r="AL216">
        <v>6.1621169819999997</v>
      </c>
      <c r="AM216">
        <v>6.1634275289999998</v>
      </c>
      <c r="AN216">
        <v>6.164735404</v>
      </c>
      <c r="AO216">
        <v>6.1645561899999999</v>
      </c>
      <c r="AP216">
        <v>6.1628650570000003</v>
      </c>
      <c r="AQ216">
        <v>6.1608871819999997</v>
      </c>
      <c r="AR216">
        <v>6.1579748810000003</v>
      </c>
      <c r="AS216">
        <v>6.1557642279999998</v>
      </c>
      <c r="AT216">
        <v>6.1514217660000003</v>
      </c>
      <c r="AU216">
        <v>6.1480214149999997</v>
      </c>
      <c r="AV216">
        <v>6.1432948679999999</v>
      </c>
      <c r="AW216">
        <v>6.1400915300000003</v>
      </c>
    </row>
    <row r="217" spans="2:49" x14ac:dyDescent="0.25">
      <c r="B217" t="s">
        <v>546</v>
      </c>
      <c r="C217">
        <v>1.4169855567767899</v>
      </c>
      <c r="D217">
        <v>1.4397357182278101</v>
      </c>
      <c r="E217">
        <v>1.46972149</v>
      </c>
      <c r="F217">
        <v>1.735595671</v>
      </c>
      <c r="G217">
        <v>2.0422772490000001</v>
      </c>
      <c r="H217">
        <v>2.2132916599999999</v>
      </c>
      <c r="I217">
        <v>2.639150855</v>
      </c>
      <c r="J217">
        <v>2.9503859929999998</v>
      </c>
      <c r="K217">
        <v>3.2344308970000002</v>
      </c>
      <c r="L217">
        <v>3.4999304549999999</v>
      </c>
      <c r="M217">
        <v>3.790437201</v>
      </c>
      <c r="N217">
        <v>4.059190203</v>
      </c>
      <c r="O217">
        <v>3.7099475960000001</v>
      </c>
      <c r="P217">
        <v>3.4956973470000001</v>
      </c>
      <c r="Q217">
        <v>3.3185126989999998</v>
      </c>
      <c r="R217">
        <v>3.0485188459999999</v>
      </c>
      <c r="S217">
        <v>2.780342053</v>
      </c>
      <c r="T217">
        <v>2.911056833</v>
      </c>
      <c r="U217">
        <v>3.0525725480000001</v>
      </c>
      <c r="V217">
        <v>3.2069826350000001</v>
      </c>
      <c r="W217">
        <v>4.1565143070000001</v>
      </c>
      <c r="X217">
        <v>4.9476687989999997</v>
      </c>
      <c r="Y217">
        <v>4.9436428210000001</v>
      </c>
      <c r="Z217">
        <v>4.9242386390000004</v>
      </c>
      <c r="AA217">
        <v>4.8867625659999998</v>
      </c>
      <c r="AB217">
        <v>4.8802822990000001</v>
      </c>
      <c r="AC217">
        <v>4.8599119369999997</v>
      </c>
      <c r="AD217">
        <v>4.800325602</v>
      </c>
      <c r="AE217">
        <v>4.7386780249999996</v>
      </c>
      <c r="AF217">
        <v>4.6751460649999999</v>
      </c>
      <c r="AG217">
        <v>4.6241861169999998</v>
      </c>
      <c r="AH217">
        <v>4.572003273</v>
      </c>
      <c r="AI217">
        <v>4.637743972</v>
      </c>
      <c r="AJ217">
        <v>4.6775193399999999</v>
      </c>
      <c r="AK217">
        <v>4.6920763599999997</v>
      </c>
      <c r="AL217">
        <v>4.7469848020000001</v>
      </c>
      <c r="AM217">
        <v>4.7811126509999999</v>
      </c>
      <c r="AN217">
        <v>4.7621310289999998</v>
      </c>
      <c r="AO217">
        <v>4.7404045569999997</v>
      </c>
      <c r="AP217">
        <v>4.7159509130000004</v>
      </c>
      <c r="AQ217">
        <v>4.689741411</v>
      </c>
      <c r="AR217">
        <v>4.6613105539999999</v>
      </c>
      <c r="AS217">
        <v>4.660242437</v>
      </c>
      <c r="AT217">
        <v>4.6559904479999998</v>
      </c>
      <c r="AU217">
        <v>4.6508900200000003</v>
      </c>
      <c r="AV217">
        <v>4.6432338089999998</v>
      </c>
      <c r="AW217">
        <v>4.6351846649999997</v>
      </c>
    </row>
    <row r="218" spans="2:49" x14ac:dyDescent="0.25">
      <c r="B218" t="s">
        <v>547</v>
      </c>
      <c r="C218">
        <v>34.067295461021303</v>
      </c>
      <c r="D218">
        <v>34.614256909026899</v>
      </c>
      <c r="E218">
        <v>35.359287029999997</v>
      </c>
      <c r="F218">
        <v>35.181928880000001</v>
      </c>
      <c r="G218">
        <v>33.734870999999998</v>
      </c>
      <c r="H218">
        <v>31.76728846</v>
      </c>
      <c r="I218">
        <v>31.877008239999999</v>
      </c>
      <c r="J218">
        <v>31.24515079</v>
      </c>
      <c r="K218">
        <v>29.521692590000001</v>
      </c>
      <c r="L218">
        <v>28.402743739999998</v>
      </c>
      <c r="M218">
        <v>27.933756840000001</v>
      </c>
      <c r="N218">
        <v>27.834732120000002</v>
      </c>
      <c r="O218">
        <v>27.965258980000002</v>
      </c>
      <c r="P218">
        <v>27.639972950000001</v>
      </c>
      <c r="Q218">
        <v>26.166316909999999</v>
      </c>
      <c r="R218">
        <v>25.069344139999998</v>
      </c>
      <c r="S218">
        <v>24.549517210000001</v>
      </c>
      <c r="T218">
        <v>23.317250399999999</v>
      </c>
      <c r="U218">
        <v>22.136537300000001</v>
      </c>
      <c r="V218">
        <v>20.9749427</v>
      </c>
      <c r="W218">
        <v>22.12591321</v>
      </c>
      <c r="X218">
        <v>23.30436989</v>
      </c>
      <c r="Y218">
        <v>23.203337919999999</v>
      </c>
      <c r="Z218">
        <v>23.153644750000002</v>
      </c>
      <c r="AA218">
        <v>23.137165329999998</v>
      </c>
      <c r="AB218">
        <v>23.146638299999999</v>
      </c>
      <c r="AC218">
        <v>23.192143659999999</v>
      </c>
      <c r="AD218">
        <v>23.075998599999998</v>
      </c>
      <c r="AE218">
        <v>22.971349870000001</v>
      </c>
      <c r="AF218">
        <v>22.87422385</v>
      </c>
      <c r="AG218">
        <v>22.753149789999998</v>
      </c>
      <c r="AH218">
        <v>22.651300599999999</v>
      </c>
      <c r="AI218">
        <v>22.649320639999999</v>
      </c>
      <c r="AJ218">
        <v>22.660388860000001</v>
      </c>
      <c r="AK218">
        <v>22.67901706</v>
      </c>
      <c r="AL218">
        <v>22.700866529999999</v>
      </c>
      <c r="AM218">
        <v>22.726121890000002</v>
      </c>
      <c r="AN218">
        <v>22.608325749999999</v>
      </c>
      <c r="AO218">
        <v>22.493322729999999</v>
      </c>
      <c r="AP218">
        <v>22.371884059999999</v>
      </c>
      <c r="AQ218">
        <v>22.247621519999999</v>
      </c>
      <c r="AR218">
        <v>22.117021380000001</v>
      </c>
      <c r="AS218">
        <v>21.974411180000001</v>
      </c>
      <c r="AT218">
        <v>21.833838839999999</v>
      </c>
      <c r="AU218">
        <v>21.67161201</v>
      </c>
      <c r="AV218">
        <v>21.51964941</v>
      </c>
      <c r="AW218">
        <v>21.376101599999998</v>
      </c>
    </row>
    <row r="219" spans="2:49" x14ac:dyDescent="0.25">
      <c r="B219" t="s">
        <v>548</v>
      </c>
      <c r="C219">
        <v>1.54983431156195</v>
      </c>
      <c r="D219">
        <v>1.57471740274219</v>
      </c>
      <c r="E219">
        <v>1.608611295</v>
      </c>
      <c r="F219">
        <v>2.629014518</v>
      </c>
      <c r="G219">
        <v>3.5019673889999998</v>
      </c>
      <c r="H219">
        <v>4.2061982760000003</v>
      </c>
      <c r="I219">
        <v>5.102617553</v>
      </c>
      <c r="J219">
        <v>5.809892327</v>
      </c>
      <c r="K219">
        <v>6.1820149469999999</v>
      </c>
      <c r="L219">
        <v>6.5155482500000002</v>
      </c>
      <c r="M219">
        <v>6.8306419350000001</v>
      </c>
      <c r="N219">
        <v>7.0411191799999999</v>
      </c>
      <c r="O219">
        <v>7.2040504160000003</v>
      </c>
      <c r="P219">
        <v>7.2500345709999996</v>
      </c>
      <c r="Q219">
        <v>6.9876733169999996</v>
      </c>
      <c r="R219">
        <v>6.8149874099999996</v>
      </c>
      <c r="S219">
        <v>6.792712377</v>
      </c>
      <c r="T219">
        <v>6.906570576</v>
      </c>
      <c r="U219">
        <v>7.0384943040000003</v>
      </c>
      <c r="V219">
        <v>7.1814409030000004</v>
      </c>
      <c r="W219">
        <v>7.2645463609999998</v>
      </c>
      <c r="X219">
        <v>7.3697888709999999</v>
      </c>
      <c r="Y219">
        <v>7.5060299029999999</v>
      </c>
      <c r="Z219">
        <v>7.6615894349999998</v>
      </c>
      <c r="AA219">
        <v>7.8315799730000002</v>
      </c>
      <c r="AB219">
        <v>8.0170212369999998</v>
      </c>
      <c r="AC219">
        <v>8.2196759670000006</v>
      </c>
      <c r="AD219">
        <v>8.362840856</v>
      </c>
      <c r="AE219">
        <v>8.5107941070000006</v>
      </c>
      <c r="AF219">
        <v>8.6623238180000008</v>
      </c>
      <c r="AG219">
        <v>8.8076099509999999</v>
      </c>
      <c r="AH219">
        <v>8.9610336490000009</v>
      </c>
      <c r="AI219">
        <v>9.0219616079999998</v>
      </c>
      <c r="AJ219">
        <v>9.0884155599999996</v>
      </c>
      <c r="AK219">
        <v>9.1582890559999903</v>
      </c>
      <c r="AL219">
        <v>9.2302142150000002</v>
      </c>
      <c r="AM219">
        <v>9.3039883920000008</v>
      </c>
      <c r="AN219">
        <v>9.3528518980000008</v>
      </c>
      <c r="AO219">
        <v>9.4029398519999994</v>
      </c>
      <c r="AP219">
        <v>9.4503914469999994</v>
      </c>
      <c r="AQ219">
        <v>9.4966639920000002</v>
      </c>
      <c r="AR219">
        <v>9.5402041569999998</v>
      </c>
      <c r="AS219">
        <v>9.5407360590000003</v>
      </c>
      <c r="AT219">
        <v>9.5423770030000004</v>
      </c>
      <c r="AU219">
        <v>9.5347265429999997</v>
      </c>
      <c r="AV219">
        <v>9.5317356689999997</v>
      </c>
      <c r="AW219">
        <v>9.5326754630000003</v>
      </c>
    </row>
    <row r="220" spans="2:49" x14ac:dyDescent="0.25">
      <c r="B220" t="s">
        <v>549</v>
      </c>
      <c r="C220">
        <v>0.19372928894524399</v>
      </c>
      <c r="D220">
        <v>0.196839675342774</v>
      </c>
      <c r="E220">
        <v>0.2010764119</v>
      </c>
      <c r="F220">
        <v>0.1939909869</v>
      </c>
      <c r="G220">
        <v>0.18036208140000001</v>
      </c>
      <c r="H220">
        <v>0.16468369769999999</v>
      </c>
      <c r="I220">
        <v>0.16023312279999999</v>
      </c>
      <c r="J220">
        <v>0.1520744809</v>
      </c>
      <c r="K220">
        <v>0.13911849209999999</v>
      </c>
      <c r="L220">
        <v>0.12958160539999999</v>
      </c>
      <c r="M220">
        <v>0.1233729683</v>
      </c>
      <c r="N220">
        <v>0.1190013798</v>
      </c>
      <c r="O220">
        <v>0.18075843529999999</v>
      </c>
      <c r="P220">
        <v>0.2398444914</v>
      </c>
      <c r="Q220">
        <v>0.2856559971</v>
      </c>
      <c r="R220">
        <v>0.33047600440000002</v>
      </c>
      <c r="S220">
        <v>0.37988941679999999</v>
      </c>
      <c r="T220">
        <v>0.58598982619999995</v>
      </c>
      <c r="U220">
        <v>0.79495402140000004</v>
      </c>
      <c r="V220">
        <v>1.0072398929999999</v>
      </c>
      <c r="W220">
        <v>0.73459983470000001</v>
      </c>
      <c r="X220">
        <v>0.47673618909999999</v>
      </c>
      <c r="Y220">
        <v>0.47926912970000002</v>
      </c>
      <c r="Z220">
        <v>0.48293617360000002</v>
      </c>
      <c r="AA220">
        <v>0.48738961539999998</v>
      </c>
      <c r="AB220">
        <v>0.49249934839999998</v>
      </c>
      <c r="AC220">
        <v>0.49850292540000002</v>
      </c>
      <c r="AD220">
        <v>0.51952341179999995</v>
      </c>
      <c r="AE220">
        <v>0.54088240229999995</v>
      </c>
      <c r="AF220">
        <v>0.56251954689999994</v>
      </c>
      <c r="AG220">
        <v>0.58391944849999999</v>
      </c>
      <c r="AH220">
        <v>0.60590176009999996</v>
      </c>
      <c r="AI220">
        <v>0.63223790099999999</v>
      </c>
      <c r="AJ220">
        <v>0.65908068620000004</v>
      </c>
      <c r="AK220">
        <v>0.68631100700000003</v>
      </c>
      <c r="AL220">
        <v>0.71431572789999997</v>
      </c>
      <c r="AM220">
        <v>0.74263084349999997</v>
      </c>
      <c r="AN220">
        <v>0.76507637449999999</v>
      </c>
      <c r="AO220">
        <v>0.78763628460000001</v>
      </c>
      <c r="AP220">
        <v>0.80998663699999995</v>
      </c>
      <c r="AQ220">
        <v>0.83223967509999996</v>
      </c>
      <c r="AR220">
        <v>0.85424947799999995</v>
      </c>
      <c r="AS220">
        <v>0.87190462820000003</v>
      </c>
      <c r="AT220">
        <v>0.88972453100000004</v>
      </c>
      <c r="AU220">
        <v>0.9067266249</v>
      </c>
      <c r="AV220">
        <v>0.92421198859999998</v>
      </c>
      <c r="AW220">
        <v>0.94213488990000005</v>
      </c>
    </row>
    <row r="221" spans="2:49" x14ac:dyDescent="0.25">
      <c r="B221" t="s">
        <v>550</v>
      </c>
      <c r="C221">
        <v>0.71679836909740502</v>
      </c>
      <c r="D221">
        <v>0.72830679876826598</v>
      </c>
      <c r="E221">
        <v>0.74398272389999998</v>
      </c>
      <c r="F221">
        <v>0.73239433990000002</v>
      </c>
      <c r="G221">
        <v>0.69481689189999996</v>
      </c>
      <c r="H221">
        <v>0.64734745149999995</v>
      </c>
      <c r="I221">
        <v>0.64268894889999995</v>
      </c>
      <c r="J221">
        <v>0.63589667370000003</v>
      </c>
      <c r="K221">
        <v>0.6075459272</v>
      </c>
      <c r="L221">
        <v>0.59214682789999995</v>
      </c>
      <c r="M221">
        <v>0.59111273080000004</v>
      </c>
      <c r="N221">
        <v>0.59907667880000004</v>
      </c>
      <c r="O221">
        <v>0.85400681749999996</v>
      </c>
      <c r="P221">
        <v>1.0745326719999999</v>
      </c>
      <c r="Q221">
        <v>1.217362949</v>
      </c>
      <c r="R221">
        <v>1.3404486710000001</v>
      </c>
      <c r="S221">
        <v>1.465607573</v>
      </c>
      <c r="T221">
        <v>1.4994942950000001</v>
      </c>
      <c r="U221">
        <v>1.5366182399999999</v>
      </c>
      <c r="V221">
        <v>1.575486097</v>
      </c>
      <c r="W221">
        <v>1.2444927809999999</v>
      </c>
      <c r="X221">
        <v>0.92858950679999996</v>
      </c>
      <c r="Y221">
        <v>0.93225528889999998</v>
      </c>
      <c r="Z221">
        <v>0.93810644700000001</v>
      </c>
      <c r="AA221">
        <v>0.94545934040000001</v>
      </c>
      <c r="AB221">
        <v>0.95388200590000005</v>
      </c>
      <c r="AC221">
        <v>0.96399947180000001</v>
      </c>
      <c r="AD221">
        <v>0.96131978060000001</v>
      </c>
      <c r="AE221">
        <v>0.95913158600000004</v>
      </c>
      <c r="AF221">
        <v>0.95727204740000005</v>
      </c>
      <c r="AG221">
        <v>0.95451237209999995</v>
      </c>
      <c r="AH221">
        <v>0.95257291369999997</v>
      </c>
      <c r="AI221">
        <v>0.95272090470000004</v>
      </c>
      <c r="AJ221">
        <v>0.95342076949999999</v>
      </c>
      <c r="AK221">
        <v>0.95444196989999996</v>
      </c>
      <c r="AL221">
        <v>0.95568210570000001</v>
      </c>
      <c r="AM221">
        <v>0.95706988309999996</v>
      </c>
      <c r="AN221">
        <v>0.9556694832</v>
      </c>
      <c r="AO221">
        <v>0.95439079469999999</v>
      </c>
      <c r="AP221">
        <v>0.95284213620000002</v>
      </c>
      <c r="AQ221">
        <v>0.95117482860000002</v>
      </c>
      <c r="AR221">
        <v>0.94923668390000004</v>
      </c>
      <c r="AS221">
        <v>0.94977441480000002</v>
      </c>
      <c r="AT221">
        <v>0.95042483369999997</v>
      </c>
      <c r="AU221">
        <v>0.95015170019999995</v>
      </c>
      <c r="AV221">
        <v>0.95034454960000003</v>
      </c>
      <c r="AW221">
        <v>0.95093139770000001</v>
      </c>
    </row>
    <row r="222" spans="2:49" x14ac:dyDescent="0.25">
      <c r="B222" t="s">
        <v>551</v>
      </c>
      <c r="C222">
        <v>0.19372928894524399</v>
      </c>
      <c r="D222">
        <v>0.196839675342774</v>
      </c>
      <c r="E222">
        <v>0.2010764119</v>
      </c>
      <c r="F222">
        <v>0.20577319290000001</v>
      </c>
      <c r="G222">
        <v>0.20293629469999999</v>
      </c>
      <c r="H222">
        <v>0.19654968049999999</v>
      </c>
      <c r="I222">
        <v>0.2028529244</v>
      </c>
      <c r="J222">
        <v>0.2042173156</v>
      </c>
      <c r="K222">
        <v>0.1981656272</v>
      </c>
      <c r="L222">
        <v>0.19579160430000001</v>
      </c>
      <c r="M222">
        <v>0.19773245859999999</v>
      </c>
      <c r="N222">
        <v>0.20230992719999999</v>
      </c>
      <c r="O222">
        <v>0.23749790109999999</v>
      </c>
      <c r="P222">
        <v>0.26896660639999997</v>
      </c>
      <c r="Q222">
        <v>0.2874068005</v>
      </c>
      <c r="R222">
        <v>0.30712736019999998</v>
      </c>
      <c r="S222">
        <v>0.33223021740000003</v>
      </c>
      <c r="T222">
        <v>0.39156071780000001</v>
      </c>
      <c r="U222">
        <v>0.45227369020000002</v>
      </c>
      <c r="V222">
        <v>0.51425394609999997</v>
      </c>
      <c r="W222">
        <v>0.40744755389999998</v>
      </c>
      <c r="X222">
        <v>0.3068555402</v>
      </c>
      <c r="Y222">
        <v>0.31221037439999999</v>
      </c>
      <c r="Z222">
        <v>0.31836372340000002</v>
      </c>
      <c r="AA222">
        <v>0.3251104903</v>
      </c>
      <c r="AB222">
        <v>0.33236494630000002</v>
      </c>
      <c r="AC222">
        <v>0.34032173939999999</v>
      </c>
      <c r="AD222">
        <v>0.33996261500000002</v>
      </c>
      <c r="AE222">
        <v>0.33977723479999999</v>
      </c>
      <c r="AF222">
        <v>0.33970872219999998</v>
      </c>
      <c r="AG222">
        <v>0.33933236020000002</v>
      </c>
      <c r="AH222">
        <v>0.33924773139999997</v>
      </c>
      <c r="AI222">
        <v>0.33984027220000002</v>
      </c>
      <c r="AJ222">
        <v>0.34063175489999997</v>
      </c>
      <c r="AK222">
        <v>0.34154063429999998</v>
      </c>
      <c r="AL222">
        <v>0.34255188619999999</v>
      </c>
      <c r="AM222">
        <v>0.34361939650000001</v>
      </c>
      <c r="AN222">
        <v>0.34377633899999999</v>
      </c>
      <c r="AO222">
        <v>0.3439770244</v>
      </c>
      <c r="AP222">
        <v>0.344080265</v>
      </c>
      <c r="AQ222">
        <v>0.34414024500000001</v>
      </c>
      <c r="AR222">
        <v>0.34410154510000002</v>
      </c>
      <c r="AS222">
        <v>0.34473839919999999</v>
      </c>
      <c r="AT222">
        <v>0.34541755060000001</v>
      </c>
      <c r="AU222">
        <v>0.34576207120000002</v>
      </c>
      <c r="AV222">
        <v>0.3462769732</v>
      </c>
      <c r="AW222">
        <v>0.34693665070000002</v>
      </c>
    </row>
    <row r="223" spans="2:49" x14ac:dyDescent="0.25">
      <c r="B223" t="s">
        <v>552</v>
      </c>
      <c r="C223">
        <v>0.38745857789048899</v>
      </c>
      <c r="D223">
        <v>0.39367935068554899</v>
      </c>
      <c r="E223">
        <v>0.4021528237</v>
      </c>
      <c r="F223">
        <v>0.52726078610000005</v>
      </c>
      <c r="G223">
        <v>0.66619763030000001</v>
      </c>
      <c r="H223">
        <v>0.82665135099999998</v>
      </c>
      <c r="I223">
        <v>1.093044873</v>
      </c>
      <c r="J223">
        <v>1.409794988</v>
      </c>
      <c r="K223">
        <v>1.7526629490000001</v>
      </c>
      <c r="L223">
        <v>2.218558195</v>
      </c>
      <c r="M223">
        <v>2.8705254870000001</v>
      </c>
      <c r="N223">
        <v>3.7627669030000002</v>
      </c>
      <c r="O223">
        <v>3.5463652360000002</v>
      </c>
      <c r="P223">
        <v>3.2710391190000001</v>
      </c>
      <c r="Q223">
        <v>2.8724051309999998</v>
      </c>
      <c r="R223">
        <v>2.5345882909999999</v>
      </c>
      <c r="S223">
        <v>2.2666002999999999</v>
      </c>
      <c r="T223">
        <v>2.7004176489999998</v>
      </c>
      <c r="U223">
        <v>3.1439362470000001</v>
      </c>
      <c r="V223">
        <v>3.5964940840000001</v>
      </c>
      <c r="W223">
        <v>3.133454521</v>
      </c>
      <c r="X223">
        <v>2.7022196759999999</v>
      </c>
      <c r="Y223">
        <v>2.8590499149999999</v>
      </c>
      <c r="Z223">
        <v>3.0249302660000001</v>
      </c>
      <c r="AA223">
        <v>3.1986054780000002</v>
      </c>
      <c r="AB223">
        <v>3.387147599</v>
      </c>
      <c r="AC223">
        <v>3.5858321069999999</v>
      </c>
      <c r="AD223">
        <v>3.7092862200000001</v>
      </c>
      <c r="AE223">
        <v>3.8350670710000001</v>
      </c>
      <c r="AF223">
        <v>3.9627109740000002</v>
      </c>
      <c r="AG223">
        <v>4.0927822249999997</v>
      </c>
      <c r="AH223">
        <v>4.226863024</v>
      </c>
      <c r="AI223">
        <v>4.3104687149999998</v>
      </c>
      <c r="AJ223">
        <v>4.3970094509999997</v>
      </c>
      <c r="AK223">
        <v>4.4855492220000004</v>
      </c>
      <c r="AL223">
        <v>4.5782843230000001</v>
      </c>
      <c r="AM223">
        <v>4.6723619919999999</v>
      </c>
      <c r="AN223">
        <v>4.7491515939999998</v>
      </c>
      <c r="AO223">
        <v>4.8266029990000003</v>
      </c>
      <c r="AP223">
        <v>4.9027329120000003</v>
      </c>
      <c r="AQ223">
        <v>4.9782616910000002</v>
      </c>
      <c r="AR223">
        <v>5.0523474650000004</v>
      </c>
      <c r="AS223">
        <v>5.1671510029999999</v>
      </c>
      <c r="AT223">
        <v>5.2829675470000002</v>
      </c>
      <c r="AU223">
        <v>5.3939556209999999</v>
      </c>
      <c r="AV223">
        <v>5.5078408789999997</v>
      </c>
      <c r="AW223">
        <v>5.6243643680000002</v>
      </c>
    </row>
    <row r="224" spans="2:49" x14ac:dyDescent="0.25">
      <c r="B224" t="s">
        <v>553</v>
      </c>
      <c r="C224">
        <v>34.067295461021303</v>
      </c>
      <c r="D224">
        <v>34.614256909026899</v>
      </c>
      <c r="E224">
        <v>35.359287029999997</v>
      </c>
      <c r="F224">
        <v>35.181928880000001</v>
      </c>
      <c r="G224">
        <v>33.734870999999998</v>
      </c>
      <c r="H224">
        <v>31.76728846</v>
      </c>
      <c r="I224">
        <v>31.877008239999999</v>
      </c>
      <c r="J224">
        <v>31.24515079</v>
      </c>
      <c r="K224">
        <v>29.521692590000001</v>
      </c>
      <c r="L224">
        <v>28.402743739999998</v>
      </c>
      <c r="M224">
        <v>27.933756840000001</v>
      </c>
      <c r="N224">
        <v>27.834732120000002</v>
      </c>
      <c r="O224">
        <v>27.965258980000002</v>
      </c>
      <c r="P224">
        <v>27.639972950000001</v>
      </c>
      <c r="Q224">
        <v>26.166316909999999</v>
      </c>
      <c r="R224">
        <v>25.069344139999998</v>
      </c>
      <c r="S224">
        <v>24.549517210000001</v>
      </c>
      <c r="T224">
        <v>23.317250399999999</v>
      </c>
      <c r="U224">
        <v>22.136537300000001</v>
      </c>
      <c r="V224">
        <v>20.9749427</v>
      </c>
      <c r="W224">
        <v>22.12591321</v>
      </c>
      <c r="X224">
        <v>23.30436989</v>
      </c>
      <c r="Y224">
        <v>23.203337919999999</v>
      </c>
      <c r="Z224">
        <v>23.153644750000002</v>
      </c>
      <c r="AA224">
        <v>23.137165329999998</v>
      </c>
      <c r="AB224">
        <v>23.146638299999999</v>
      </c>
      <c r="AC224">
        <v>23.192143659999999</v>
      </c>
      <c r="AD224">
        <v>23.075998599999998</v>
      </c>
      <c r="AE224">
        <v>22.971349870000001</v>
      </c>
      <c r="AF224">
        <v>22.87422385</v>
      </c>
      <c r="AG224">
        <v>22.753149789999998</v>
      </c>
      <c r="AH224">
        <v>22.651300599999999</v>
      </c>
      <c r="AI224">
        <v>22.649320639999999</v>
      </c>
      <c r="AJ224">
        <v>22.660388860000001</v>
      </c>
      <c r="AK224">
        <v>22.67901706</v>
      </c>
      <c r="AL224">
        <v>22.700866529999999</v>
      </c>
      <c r="AM224">
        <v>22.726121890000002</v>
      </c>
      <c r="AN224">
        <v>22.608325749999999</v>
      </c>
      <c r="AO224">
        <v>22.493322729999999</v>
      </c>
      <c r="AP224">
        <v>22.371884059999999</v>
      </c>
      <c r="AQ224">
        <v>22.247621519999999</v>
      </c>
      <c r="AR224">
        <v>22.117021380000001</v>
      </c>
      <c r="AS224">
        <v>21.974411180000001</v>
      </c>
      <c r="AT224">
        <v>21.833838839999999</v>
      </c>
      <c r="AU224">
        <v>21.67161201</v>
      </c>
      <c r="AV224">
        <v>21.51964941</v>
      </c>
      <c r="AW224">
        <v>21.376101599999998</v>
      </c>
    </row>
    <row r="225" spans="2:49" x14ac:dyDescent="0.25">
      <c r="B225" t="s">
        <v>554</v>
      </c>
      <c r="C225">
        <v>1.54983431156195</v>
      </c>
      <c r="D225">
        <v>1.57471740274219</v>
      </c>
      <c r="E225">
        <v>1.608611295</v>
      </c>
      <c r="F225">
        <v>2.629014518</v>
      </c>
      <c r="G225">
        <v>3.5019673889999998</v>
      </c>
      <c r="H225">
        <v>4.2061982760000003</v>
      </c>
      <c r="I225">
        <v>5.102617553</v>
      </c>
      <c r="J225">
        <v>5.809892327</v>
      </c>
      <c r="K225">
        <v>6.1820149469999999</v>
      </c>
      <c r="L225">
        <v>6.5155482500000002</v>
      </c>
      <c r="M225">
        <v>6.8306419350000001</v>
      </c>
      <c r="N225">
        <v>7.0411191799999999</v>
      </c>
      <c r="O225">
        <v>7.2040504160000003</v>
      </c>
      <c r="P225">
        <v>7.2500345709999996</v>
      </c>
      <c r="Q225">
        <v>6.9876733169999996</v>
      </c>
      <c r="R225">
        <v>6.8149874099999996</v>
      </c>
      <c r="S225">
        <v>6.792712377</v>
      </c>
      <c r="T225">
        <v>6.906570576</v>
      </c>
      <c r="U225">
        <v>7.0384943040000003</v>
      </c>
      <c r="V225">
        <v>7.1814409030000004</v>
      </c>
      <c r="W225">
        <v>7.2645463609999998</v>
      </c>
      <c r="X225">
        <v>7.3697888709999999</v>
      </c>
      <c r="Y225">
        <v>7.5060299029999999</v>
      </c>
      <c r="Z225">
        <v>7.6615894349999998</v>
      </c>
      <c r="AA225">
        <v>7.8315799730000002</v>
      </c>
      <c r="AB225">
        <v>8.0170212369999998</v>
      </c>
      <c r="AC225">
        <v>8.2196759670000006</v>
      </c>
      <c r="AD225">
        <v>8.362840856</v>
      </c>
      <c r="AE225">
        <v>8.5107941070000006</v>
      </c>
      <c r="AF225">
        <v>8.6623238180000008</v>
      </c>
      <c r="AG225">
        <v>8.8076099509999999</v>
      </c>
      <c r="AH225">
        <v>8.9610336490000009</v>
      </c>
      <c r="AI225">
        <v>9.0219616079999998</v>
      </c>
      <c r="AJ225">
        <v>9.0884155599999996</v>
      </c>
      <c r="AK225">
        <v>9.1582890559999903</v>
      </c>
      <c r="AL225">
        <v>9.2302142150000002</v>
      </c>
      <c r="AM225">
        <v>9.3039883920000008</v>
      </c>
      <c r="AN225">
        <v>9.3528518980000008</v>
      </c>
      <c r="AO225">
        <v>9.4029398519999994</v>
      </c>
      <c r="AP225">
        <v>9.4503914469999994</v>
      </c>
      <c r="AQ225">
        <v>9.4966639920000002</v>
      </c>
      <c r="AR225">
        <v>9.5402041569999998</v>
      </c>
      <c r="AS225">
        <v>9.5407360590000003</v>
      </c>
      <c r="AT225">
        <v>9.5423770030000004</v>
      </c>
      <c r="AU225">
        <v>9.5347265429999997</v>
      </c>
      <c r="AV225">
        <v>9.5317356689999997</v>
      </c>
      <c r="AW225">
        <v>9.5326754630000003</v>
      </c>
    </row>
    <row r="226" spans="2:49" x14ac:dyDescent="0.25">
      <c r="B226" t="s">
        <v>555</v>
      </c>
      <c r="C226">
        <v>0.19372928894524399</v>
      </c>
      <c r="D226">
        <v>0.196839675342774</v>
      </c>
      <c r="E226">
        <v>0.2010764119</v>
      </c>
      <c r="F226">
        <v>0.1939909869</v>
      </c>
      <c r="G226">
        <v>0.18036208140000001</v>
      </c>
      <c r="H226">
        <v>0.16468369769999999</v>
      </c>
      <c r="I226">
        <v>0.16023312279999999</v>
      </c>
      <c r="J226">
        <v>0.1520744809</v>
      </c>
      <c r="K226">
        <v>0.13911849209999999</v>
      </c>
      <c r="L226">
        <v>0.12958160539999999</v>
      </c>
      <c r="M226">
        <v>0.1233729683</v>
      </c>
      <c r="N226">
        <v>0.1190013798</v>
      </c>
      <c r="O226">
        <v>0.18075843529999999</v>
      </c>
      <c r="P226">
        <v>0.2398444914</v>
      </c>
      <c r="Q226">
        <v>0.2856559971</v>
      </c>
      <c r="R226">
        <v>0.33047600440000002</v>
      </c>
      <c r="S226">
        <v>0.37988941679999999</v>
      </c>
      <c r="T226">
        <v>0.58598982619999995</v>
      </c>
      <c r="U226">
        <v>0.79495402140000004</v>
      </c>
      <c r="V226">
        <v>1.0072398929999999</v>
      </c>
      <c r="W226">
        <v>0.73459983470000001</v>
      </c>
      <c r="X226">
        <v>0.47673618909999999</v>
      </c>
      <c r="Y226">
        <v>0.47926912970000002</v>
      </c>
      <c r="Z226">
        <v>0.48293617360000002</v>
      </c>
      <c r="AA226">
        <v>0.48738961539999998</v>
      </c>
      <c r="AB226">
        <v>0.49249934839999998</v>
      </c>
      <c r="AC226">
        <v>0.49850292540000002</v>
      </c>
      <c r="AD226">
        <v>0.51952341179999995</v>
      </c>
      <c r="AE226">
        <v>0.54088240229999995</v>
      </c>
      <c r="AF226">
        <v>0.56251954689999994</v>
      </c>
      <c r="AG226">
        <v>0.58391944849999999</v>
      </c>
      <c r="AH226">
        <v>0.60590176009999996</v>
      </c>
      <c r="AI226">
        <v>0.63223790099999999</v>
      </c>
      <c r="AJ226">
        <v>0.65908068620000004</v>
      </c>
      <c r="AK226">
        <v>0.68631100700000003</v>
      </c>
      <c r="AL226">
        <v>0.71431572789999997</v>
      </c>
      <c r="AM226">
        <v>0.74263084349999997</v>
      </c>
      <c r="AN226">
        <v>0.76507637449999999</v>
      </c>
      <c r="AO226">
        <v>0.78763628460000001</v>
      </c>
      <c r="AP226">
        <v>0.80998663699999995</v>
      </c>
      <c r="AQ226">
        <v>0.83223967509999996</v>
      </c>
      <c r="AR226">
        <v>0.85424947799999995</v>
      </c>
      <c r="AS226">
        <v>0.87190462820000003</v>
      </c>
      <c r="AT226">
        <v>0.88972453100000004</v>
      </c>
      <c r="AU226">
        <v>0.9067266249</v>
      </c>
      <c r="AV226">
        <v>0.92421198859999998</v>
      </c>
      <c r="AW226">
        <v>0.94213488990000005</v>
      </c>
    </row>
    <row r="227" spans="2:49" x14ac:dyDescent="0.25">
      <c r="B227" t="s">
        <v>556</v>
      </c>
      <c r="C227">
        <v>0.71679836909740502</v>
      </c>
      <c r="D227">
        <v>0.72830679876826598</v>
      </c>
      <c r="E227">
        <v>0.74398272389999998</v>
      </c>
      <c r="F227">
        <v>0.73239433990000002</v>
      </c>
      <c r="G227">
        <v>0.69481689189999996</v>
      </c>
      <c r="H227">
        <v>0.64734745149999995</v>
      </c>
      <c r="I227">
        <v>0.64268894889999995</v>
      </c>
      <c r="J227">
        <v>0.63589667370000003</v>
      </c>
      <c r="K227">
        <v>0.6075459272</v>
      </c>
      <c r="L227">
        <v>0.59214682789999995</v>
      </c>
      <c r="M227">
        <v>0.59111273080000004</v>
      </c>
      <c r="N227">
        <v>0.59907667880000004</v>
      </c>
      <c r="O227">
        <v>0.85400681749999996</v>
      </c>
      <c r="P227">
        <v>1.0745326719999999</v>
      </c>
      <c r="Q227">
        <v>1.217362949</v>
      </c>
      <c r="R227">
        <v>1.3404486710000001</v>
      </c>
      <c r="S227">
        <v>1.465607573</v>
      </c>
      <c r="T227">
        <v>1.4994942950000001</v>
      </c>
      <c r="U227">
        <v>1.5366182399999999</v>
      </c>
      <c r="V227">
        <v>1.575486097</v>
      </c>
      <c r="W227">
        <v>1.2444927809999999</v>
      </c>
      <c r="X227">
        <v>0.92858950679999996</v>
      </c>
      <c r="Y227">
        <v>0.93225528889999998</v>
      </c>
      <c r="Z227">
        <v>0.93810644700000001</v>
      </c>
      <c r="AA227">
        <v>0.94545934040000001</v>
      </c>
      <c r="AB227">
        <v>0.95388200590000005</v>
      </c>
      <c r="AC227">
        <v>0.96399947180000001</v>
      </c>
      <c r="AD227">
        <v>0.96131978060000001</v>
      </c>
      <c r="AE227">
        <v>0.95913158600000004</v>
      </c>
      <c r="AF227">
        <v>0.95727204740000005</v>
      </c>
      <c r="AG227">
        <v>0.95451237209999995</v>
      </c>
      <c r="AH227">
        <v>0.95257291369999997</v>
      </c>
      <c r="AI227">
        <v>0.95272090470000004</v>
      </c>
      <c r="AJ227">
        <v>0.95342076949999999</v>
      </c>
      <c r="AK227">
        <v>0.95444196989999996</v>
      </c>
      <c r="AL227">
        <v>0.95568210570000001</v>
      </c>
      <c r="AM227">
        <v>0.95706988309999996</v>
      </c>
      <c r="AN227">
        <v>0.9556694832</v>
      </c>
      <c r="AO227">
        <v>0.95439079469999999</v>
      </c>
      <c r="AP227">
        <v>0.95284213620000002</v>
      </c>
      <c r="AQ227">
        <v>0.95117482860000002</v>
      </c>
      <c r="AR227">
        <v>0.94923668390000004</v>
      </c>
      <c r="AS227">
        <v>0.94977441480000002</v>
      </c>
      <c r="AT227">
        <v>0.95042483369999997</v>
      </c>
      <c r="AU227">
        <v>0.95015170019999995</v>
      </c>
      <c r="AV227">
        <v>0.95034454960000003</v>
      </c>
      <c r="AW227">
        <v>0.95093139770000001</v>
      </c>
    </row>
    <row r="228" spans="2:49" x14ac:dyDescent="0.25">
      <c r="B228" t="s">
        <v>557</v>
      </c>
      <c r="C228">
        <v>0.19372928894524399</v>
      </c>
      <c r="D228">
        <v>0.196839675342774</v>
      </c>
      <c r="E228">
        <v>0.2010764119</v>
      </c>
      <c r="F228">
        <v>0.20577319290000001</v>
      </c>
      <c r="G228">
        <v>0.20293629469999999</v>
      </c>
      <c r="H228">
        <v>0.19654968049999999</v>
      </c>
      <c r="I228">
        <v>0.2028529244</v>
      </c>
      <c r="J228">
        <v>0.2042173156</v>
      </c>
      <c r="K228">
        <v>0.1981656272</v>
      </c>
      <c r="L228">
        <v>0.19579160430000001</v>
      </c>
      <c r="M228">
        <v>0.19773245859999999</v>
      </c>
      <c r="N228">
        <v>0.20230992719999999</v>
      </c>
      <c r="O228">
        <v>0.23749790109999999</v>
      </c>
      <c r="P228">
        <v>0.26896660639999997</v>
      </c>
      <c r="Q228">
        <v>0.2874068005</v>
      </c>
      <c r="R228">
        <v>0.30712736019999998</v>
      </c>
      <c r="S228">
        <v>0.33223021740000003</v>
      </c>
      <c r="T228">
        <v>0.39156071780000001</v>
      </c>
      <c r="U228">
        <v>0.45227369020000002</v>
      </c>
      <c r="V228">
        <v>0.51425394609999997</v>
      </c>
      <c r="W228">
        <v>0.40744755389999998</v>
      </c>
      <c r="X228">
        <v>0.3068555402</v>
      </c>
      <c r="Y228">
        <v>0.31221037439999999</v>
      </c>
      <c r="Z228">
        <v>0.31836372340000002</v>
      </c>
      <c r="AA228">
        <v>0.3251104903</v>
      </c>
      <c r="AB228">
        <v>0.33236494630000002</v>
      </c>
      <c r="AC228">
        <v>0.34032173939999999</v>
      </c>
      <c r="AD228">
        <v>0.33996261500000002</v>
      </c>
      <c r="AE228">
        <v>0.33977723479999999</v>
      </c>
      <c r="AF228">
        <v>0.33970872219999998</v>
      </c>
      <c r="AG228">
        <v>0.33933236020000002</v>
      </c>
      <c r="AH228">
        <v>0.33924773139999997</v>
      </c>
      <c r="AI228">
        <v>0.33984027220000002</v>
      </c>
      <c r="AJ228">
        <v>0.34063175489999997</v>
      </c>
      <c r="AK228">
        <v>0.34154063429999998</v>
      </c>
      <c r="AL228">
        <v>0.34255188619999999</v>
      </c>
      <c r="AM228">
        <v>0.34361939650000001</v>
      </c>
      <c r="AN228">
        <v>0.34377633899999999</v>
      </c>
      <c r="AO228">
        <v>0.3439770244</v>
      </c>
      <c r="AP228">
        <v>0.344080265</v>
      </c>
      <c r="AQ228">
        <v>0.34414024500000001</v>
      </c>
      <c r="AR228">
        <v>0.34410154510000002</v>
      </c>
      <c r="AS228">
        <v>0.34473839919999999</v>
      </c>
      <c r="AT228">
        <v>0.34541755060000001</v>
      </c>
      <c r="AU228">
        <v>0.34576207120000002</v>
      </c>
      <c r="AV228">
        <v>0.3462769732</v>
      </c>
      <c r="AW228">
        <v>0.34693665070000002</v>
      </c>
    </row>
    <row r="229" spans="2:49" x14ac:dyDescent="0.25">
      <c r="B229" t="s">
        <v>558</v>
      </c>
      <c r="C229">
        <v>0.38745857789048899</v>
      </c>
      <c r="D229">
        <v>0.39367935068554899</v>
      </c>
      <c r="E229">
        <v>0.4021528237</v>
      </c>
      <c r="F229">
        <v>0.52726078610000005</v>
      </c>
      <c r="G229">
        <v>0.66619763030000001</v>
      </c>
      <c r="H229">
        <v>0.82665135099999998</v>
      </c>
      <c r="I229">
        <v>1.093044873</v>
      </c>
      <c r="J229">
        <v>1.409794988</v>
      </c>
      <c r="K229">
        <v>1.7526629490000001</v>
      </c>
      <c r="L229">
        <v>2.218558195</v>
      </c>
      <c r="M229">
        <v>2.8705254870000001</v>
      </c>
      <c r="N229">
        <v>3.7627669030000002</v>
      </c>
      <c r="O229">
        <v>3.5463652360000002</v>
      </c>
      <c r="P229">
        <v>3.2710391190000001</v>
      </c>
      <c r="Q229">
        <v>2.8724051309999998</v>
      </c>
      <c r="R229">
        <v>2.5345882909999999</v>
      </c>
      <c r="S229">
        <v>2.2666002999999999</v>
      </c>
      <c r="T229">
        <v>2.7004176489999998</v>
      </c>
      <c r="U229">
        <v>3.1439362470000001</v>
      </c>
      <c r="V229">
        <v>3.5964940840000001</v>
      </c>
      <c r="W229">
        <v>3.133454521</v>
      </c>
      <c r="X229">
        <v>2.7022196759999999</v>
      </c>
      <c r="Y229">
        <v>2.8590499149999999</v>
      </c>
      <c r="Z229">
        <v>3.0249302660000001</v>
      </c>
      <c r="AA229">
        <v>3.1986054780000002</v>
      </c>
      <c r="AB229">
        <v>3.387147599</v>
      </c>
      <c r="AC229">
        <v>3.5858321069999999</v>
      </c>
      <c r="AD229">
        <v>3.7092862200000001</v>
      </c>
      <c r="AE229">
        <v>3.8350670710000001</v>
      </c>
      <c r="AF229">
        <v>3.9627109740000002</v>
      </c>
      <c r="AG229">
        <v>4.0927822249999997</v>
      </c>
      <c r="AH229">
        <v>4.226863024</v>
      </c>
      <c r="AI229">
        <v>4.3104687149999998</v>
      </c>
      <c r="AJ229">
        <v>4.3970094509999997</v>
      </c>
      <c r="AK229">
        <v>4.4855492220000004</v>
      </c>
      <c r="AL229">
        <v>4.5782843230000001</v>
      </c>
      <c r="AM229">
        <v>4.6723619919999999</v>
      </c>
      <c r="AN229">
        <v>4.7491515939999998</v>
      </c>
      <c r="AO229">
        <v>4.8266029990000003</v>
      </c>
      <c r="AP229">
        <v>4.9027329120000003</v>
      </c>
      <c r="AQ229">
        <v>4.9782616910000002</v>
      </c>
      <c r="AR229">
        <v>5.0523474650000004</v>
      </c>
      <c r="AS229">
        <v>5.1671510029999999</v>
      </c>
      <c r="AT229">
        <v>5.2829675470000002</v>
      </c>
      <c r="AU229">
        <v>5.3939556209999999</v>
      </c>
      <c r="AV229">
        <v>5.5078408789999997</v>
      </c>
      <c r="AW229">
        <v>5.6243643680000002</v>
      </c>
    </row>
    <row r="230" spans="2:49" x14ac:dyDescent="0.25">
      <c r="B230" t="s">
        <v>559</v>
      </c>
      <c r="C230">
        <v>1.1905732046364299</v>
      </c>
      <c r="D230">
        <v>1.2096882425386799</v>
      </c>
      <c r="E230">
        <v>1.232137418</v>
      </c>
      <c r="F230">
        <v>1.2386811719999999</v>
      </c>
      <c r="G230">
        <v>1.144365493</v>
      </c>
      <c r="H230">
        <v>0.92804590529999997</v>
      </c>
      <c r="I230">
        <v>1.0113498990000001</v>
      </c>
      <c r="J230">
        <v>1.035375135</v>
      </c>
      <c r="K230">
        <v>0.97896044270000004</v>
      </c>
      <c r="L230">
        <v>0.97586798630000005</v>
      </c>
      <c r="M230">
        <v>0.98181610100000005</v>
      </c>
      <c r="N230">
        <v>0.99089399410000001</v>
      </c>
      <c r="O230">
        <v>0.93741393399999995</v>
      </c>
      <c r="P230">
        <v>0.95409721560000005</v>
      </c>
      <c r="Q230">
        <v>0.93562246500000001</v>
      </c>
      <c r="R230">
        <v>0.88759679790000001</v>
      </c>
      <c r="S230">
        <v>0.86826389479999999</v>
      </c>
      <c r="T230">
        <v>0.87566497470000004</v>
      </c>
      <c r="U230">
        <v>0.88382375660000001</v>
      </c>
      <c r="V230">
        <v>0.89923819689999995</v>
      </c>
      <c r="W230">
        <v>0.90669282370000004</v>
      </c>
      <c r="X230">
        <v>0.90960658029999997</v>
      </c>
      <c r="Y230">
        <v>0.91179578159999997</v>
      </c>
      <c r="Z230">
        <v>0.91969239960000004</v>
      </c>
      <c r="AA230">
        <v>0.92888020680000005</v>
      </c>
      <c r="AB230">
        <v>0.93859320180000005</v>
      </c>
      <c r="AC230">
        <v>0.94917493330000002</v>
      </c>
      <c r="AD230">
        <v>0.94984523970000001</v>
      </c>
      <c r="AE230">
        <v>0.95179960060000002</v>
      </c>
      <c r="AF230">
        <v>0.95427463720000005</v>
      </c>
      <c r="AG230">
        <v>0.95741074469999998</v>
      </c>
      <c r="AH230">
        <v>0.96187354759999999</v>
      </c>
      <c r="AI230">
        <v>0.96712224120000001</v>
      </c>
      <c r="AJ230">
        <v>0.97287197670000003</v>
      </c>
      <c r="AK230">
        <v>0.97928676260000003</v>
      </c>
      <c r="AL230">
        <v>0.98612967139999996</v>
      </c>
      <c r="AM230">
        <v>0.99311139559999995</v>
      </c>
      <c r="AN230">
        <v>0.99794325890000002</v>
      </c>
      <c r="AO230">
        <v>1.003259839</v>
      </c>
      <c r="AP230">
        <v>1.008241833</v>
      </c>
      <c r="AQ230">
        <v>1.0133302559999999</v>
      </c>
      <c r="AR230">
        <v>1.0179698189999999</v>
      </c>
      <c r="AS230">
        <v>1.0242267119999999</v>
      </c>
      <c r="AT230">
        <v>1.030478408</v>
      </c>
      <c r="AU230">
        <v>1.0368044599999999</v>
      </c>
      <c r="AV230">
        <v>1.0432015939999999</v>
      </c>
      <c r="AW230">
        <v>1.050232179</v>
      </c>
    </row>
    <row r="231" spans="2:49" x14ac:dyDescent="0.25">
      <c r="B231" t="s">
        <v>560</v>
      </c>
      <c r="C231">
        <v>1.7112081308179601</v>
      </c>
      <c r="D231">
        <v>1.7386821308642</v>
      </c>
      <c r="E231">
        <v>1.766997353</v>
      </c>
      <c r="F231">
        <v>1.7891069070000001</v>
      </c>
      <c r="G231">
        <v>1.8073641600000001</v>
      </c>
      <c r="H231">
        <v>1.700301632</v>
      </c>
      <c r="I231">
        <v>1.7762796599999999</v>
      </c>
      <c r="J231">
        <v>1.8080908689999999</v>
      </c>
      <c r="K231">
        <v>1.789250545</v>
      </c>
      <c r="L231">
        <v>1.800788155</v>
      </c>
      <c r="M231">
        <v>1.8204702989999999</v>
      </c>
      <c r="N231">
        <v>1.8977947470000001</v>
      </c>
      <c r="O231">
        <v>1.8981603039999999</v>
      </c>
      <c r="P231">
        <v>1.9047282089999999</v>
      </c>
      <c r="Q231">
        <v>1.881656352</v>
      </c>
      <c r="R231">
        <v>1.904076192</v>
      </c>
      <c r="S231">
        <v>1.887334461</v>
      </c>
      <c r="T231">
        <v>1.8901464720000001</v>
      </c>
      <c r="U231">
        <v>1.9147193920000001</v>
      </c>
      <c r="V231">
        <v>1.9506333090000001</v>
      </c>
      <c r="W231">
        <v>1.980894333</v>
      </c>
      <c r="X231">
        <v>2.003022627</v>
      </c>
      <c r="Y231">
        <v>2.0285720930000002</v>
      </c>
      <c r="Z231">
        <v>2.0580138610000001</v>
      </c>
      <c r="AA231">
        <v>2.0988445389999999</v>
      </c>
      <c r="AB231">
        <v>2.1446370030000002</v>
      </c>
      <c r="AC231">
        <v>2.1968761130000001</v>
      </c>
      <c r="AD231">
        <v>2.2186876230000001</v>
      </c>
      <c r="AE231">
        <v>2.2421168069999999</v>
      </c>
      <c r="AF231">
        <v>2.266688528</v>
      </c>
      <c r="AG231">
        <v>2.2930645049999998</v>
      </c>
      <c r="AH231">
        <v>2.3220422159999998</v>
      </c>
      <c r="AI231">
        <v>2.3532509149999998</v>
      </c>
      <c r="AJ231">
        <v>2.3869058409999999</v>
      </c>
      <c r="AK231">
        <v>2.421924266</v>
      </c>
      <c r="AL231">
        <v>2.4582052929999998</v>
      </c>
      <c r="AM231">
        <v>2.4952193509999998</v>
      </c>
      <c r="AN231">
        <v>2.5327661209999999</v>
      </c>
      <c r="AO231">
        <v>2.571703442</v>
      </c>
      <c r="AP231">
        <v>2.6104903689999999</v>
      </c>
      <c r="AQ231">
        <v>2.6496934510000001</v>
      </c>
      <c r="AR231">
        <v>2.6886807469999998</v>
      </c>
      <c r="AS231">
        <v>2.7280925090000001</v>
      </c>
      <c r="AT231">
        <v>2.7696184810000002</v>
      </c>
      <c r="AU231">
        <v>2.8126696739999999</v>
      </c>
      <c r="AV231">
        <v>2.8560280680000001</v>
      </c>
      <c r="AW231">
        <v>2.8997326430000001</v>
      </c>
    </row>
    <row r="232" spans="2:49" x14ac:dyDescent="0.25">
      <c r="B232" t="s">
        <v>561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2:49" x14ac:dyDescent="0.25">
      <c r="B233" t="s">
        <v>562</v>
      </c>
      <c r="C233">
        <v>1.5692072404564801</v>
      </c>
      <c r="D233">
        <v>1.5944013702764701</v>
      </c>
      <c r="E233">
        <v>1.625705964</v>
      </c>
      <c r="F233">
        <v>1.651136154</v>
      </c>
      <c r="G233">
        <v>1.674591927</v>
      </c>
      <c r="H233">
        <v>1.556383949</v>
      </c>
      <c r="I233">
        <v>1.6422240699999999</v>
      </c>
      <c r="J233">
        <v>1.693289416</v>
      </c>
      <c r="K233">
        <v>1.682076957</v>
      </c>
      <c r="L233">
        <v>1.6893448980000001</v>
      </c>
      <c r="M233">
        <v>1.7039764740000001</v>
      </c>
      <c r="N233">
        <v>1.747199911</v>
      </c>
      <c r="O233">
        <v>1.7991829580000001</v>
      </c>
      <c r="P233">
        <v>1.8839569679999999</v>
      </c>
      <c r="Q233">
        <v>1.929188769</v>
      </c>
      <c r="R233">
        <v>1.997550156</v>
      </c>
      <c r="S233">
        <v>2.0350647830000002</v>
      </c>
      <c r="T233">
        <v>2.0398297959999998</v>
      </c>
      <c r="U233">
        <v>2.0568752749999999</v>
      </c>
      <c r="V233">
        <v>2.0836251469999998</v>
      </c>
      <c r="W233">
        <v>2.1095007699999999</v>
      </c>
      <c r="X233">
        <v>2.129093766</v>
      </c>
      <c r="Y233">
        <v>2.1504421410000001</v>
      </c>
      <c r="Z233">
        <v>2.1745909380000001</v>
      </c>
      <c r="AA233">
        <v>2.2101126359999999</v>
      </c>
      <c r="AB233">
        <v>2.250508301</v>
      </c>
      <c r="AC233">
        <v>2.2973276720000002</v>
      </c>
      <c r="AD233">
        <v>2.3126878510000002</v>
      </c>
      <c r="AE233">
        <v>2.3297126260000001</v>
      </c>
      <c r="AF233">
        <v>2.3482660769999999</v>
      </c>
      <c r="AG233">
        <v>2.3676343850000001</v>
      </c>
      <c r="AH233">
        <v>2.3899154380000001</v>
      </c>
      <c r="AI233">
        <v>2.4145772289999998</v>
      </c>
      <c r="AJ233">
        <v>2.4419143870000002</v>
      </c>
      <c r="AK233">
        <v>2.4705773980000001</v>
      </c>
      <c r="AL233">
        <v>2.5004332109999998</v>
      </c>
      <c r="AM233">
        <v>2.5308836399999999</v>
      </c>
      <c r="AN233">
        <v>2.5623781120000002</v>
      </c>
      <c r="AO233">
        <v>2.5958709010000001</v>
      </c>
      <c r="AP233">
        <v>2.629312364</v>
      </c>
      <c r="AQ233">
        <v>2.6631523399999999</v>
      </c>
      <c r="AR233">
        <v>2.6968156419999998</v>
      </c>
      <c r="AS233">
        <v>2.730708066</v>
      </c>
      <c r="AT233">
        <v>2.7668044539999999</v>
      </c>
      <c r="AU233">
        <v>2.8033254159999998</v>
      </c>
      <c r="AV233">
        <v>2.8407662330000001</v>
      </c>
      <c r="AW233">
        <v>2.8787531959999999</v>
      </c>
    </row>
    <row r="234" spans="2:49" x14ac:dyDescent="0.25">
      <c r="B234" t="s">
        <v>563</v>
      </c>
      <c r="C234">
        <v>0.99151022292981705</v>
      </c>
      <c r="D234">
        <v>0.99151022292981705</v>
      </c>
      <c r="E234">
        <v>0.99190344519999996</v>
      </c>
      <c r="F234">
        <v>0.98792106120000001</v>
      </c>
      <c r="G234">
        <v>0.98397048200000004</v>
      </c>
      <c r="H234">
        <v>0.98000810599999999</v>
      </c>
      <c r="I234">
        <v>0.97610639740000005</v>
      </c>
      <c r="J234">
        <v>0.97221858620000001</v>
      </c>
      <c r="K234">
        <v>0.96833697890000003</v>
      </c>
      <c r="L234">
        <v>0.96448269809999998</v>
      </c>
      <c r="M234">
        <v>0.96063504470000005</v>
      </c>
      <c r="N234">
        <v>0.95682822190000005</v>
      </c>
      <c r="O234">
        <v>0.95615634650000003</v>
      </c>
      <c r="P234">
        <v>0.95544908240000004</v>
      </c>
      <c r="Q234">
        <v>0.95469053029999995</v>
      </c>
      <c r="R234">
        <v>0.95389097889999996</v>
      </c>
      <c r="S234">
        <v>0.95301499739999995</v>
      </c>
      <c r="T234">
        <v>0.95055539430000002</v>
      </c>
      <c r="U234">
        <v>0.94819746220000001</v>
      </c>
      <c r="V234">
        <v>0.94592587419999996</v>
      </c>
      <c r="W234">
        <v>0.94357370539999996</v>
      </c>
      <c r="X234">
        <v>0.94112872130000003</v>
      </c>
      <c r="Y234">
        <v>0.94117647189999998</v>
      </c>
      <c r="Z234">
        <v>0.94122076769999996</v>
      </c>
      <c r="AA234">
        <v>0.94127283449999999</v>
      </c>
      <c r="AB234">
        <v>0.9413099815</v>
      </c>
      <c r="AC234">
        <v>0.9413500024</v>
      </c>
      <c r="AD234">
        <v>0.94144047949999998</v>
      </c>
      <c r="AE234">
        <v>0.94153610080000005</v>
      </c>
      <c r="AF234">
        <v>0.94163630080000005</v>
      </c>
      <c r="AG234">
        <v>0.94173318900000003</v>
      </c>
      <c r="AH234">
        <v>0.94183604610000005</v>
      </c>
      <c r="AI234">
        <v>0.94185913619999995</v>
      </c>
      <c r="AJ234">
        <v>0.94188262830000002</v>
      </c>
      <c r="AK234">
        <v>0.9419054026</v>
      </c>
      <c r="AL234">
        <v>0.94193731079999998</v>
      </c>
      <c r="AM234">
        <v>0.94196858729999999</v>
      </c>
      <c r="AN234">
        <v>0.94181302980000003</v>
      </c>
      <c r="AO234">
        <v>0.94165204960000004</v>
      </c>
      <c r="AP234">
        <v>0.94148367649999998</v>
      </c>
      <c r="AQ234">
        <v>0.94130731619999997</v>
      </c>
      <c r="AR234">
        <v>0.94112231359999998</v>
      </c>
      <c r="AS234">
        <v>0.94088414610000004</v>
      </c>
      <c r="AT234">
        <v>0.94064110940000001</v>
      </c>
      <c r="AU234">
        <v>0.94039266369999996</v>
      </c>
      <c r="AV234">
        <v>0.94013781740000002</v>
      </c>
      <c r="AW234">
        <v>0.93987518589999997</v>
      </c>
    </row>
    <row r="235" spans="2:49" x14ac:dyDescent="0.25">
      <c r="B235" t="s">
        <v>564</v>
      </c>
      <c r="C235">
        <v>8.4897770701825997E-3</v>
      </c>
      <c r="D235">
        <v>8.4897770701825997E-3</v>
      </c>
      <c r="E235">
        <v>8.0965544299999997E-3</v>
      </c>
      <c r="F235">
        <v>1.20789382E-2</v>
      </c>
      <c r="G235">
        <v>1.6029514700000001E-2</v>
      </c>
      <c r="H235">
        <v>1.9991895799999999E-2</v>
      </c>
      <c r="I235">
        <v>2.3893589600000001E-2</v>
      </c>
      <c r="J235">
        <v>2.77814134E-2</v>
      </c>
      <c r="K235">
        <v>3.1663021100000001E-2</v>
      </c>
      <c r="L235">
        <v>3.5517301799999998E-2</v>
      </c>
      <c r="M235">
        <v>3.9364955399999998E-2</v>
      </c>
      <c r="N235">
        <v>4.3171778000000001E-2</v>
      </c>
      <c r="O235">
        <v>4.3843652900000002E-2</v>
      </c>
      <c r="P235">
        <v>4.4550916900000001E-2</v>
      </c>
      <c r="Q235">
        <v>4.5309469499999998E-2</v>
      </c>
      <c r="R235">
        <v>4.6109021299999997E-2</v>
      </c>
      <c r="S235">
        <v>4.6985000999999998E-2</v>
      </c>
      <c r="T235">
        <v>4.9444605699999998E-2</v>
      </c>
      <c r="U235">
        <v>5.1802540500000001E-2</v>
      </c>
      <c r="V235">
        <v>5.40741239E-2</v>
      </c>
      <c r="W235">
        <v>5.6426293000000002E-2</v>
      </c>
      <c r="X235">
        <v>5.8871276399999999E-2</v>
      </c>
      <c r="Y235">
        <v>5.8823528100000001E-2</v>
      </c>
      <c r="Z235">
        <v>5.8779232299999998E-2</v>
      </c>
      <c r="AA235">
        <v>5.8727165499999998E-2</v>
      </c>
      <c r="AB235">
        <v>5.8690018400000002E-2</v>
      </c>
      <c r="AC235">
        <v>5.8649997500000002E-2</v>
      </c>
      <c r="AD235">
        <v>5.8559520499999997E-2</v>
      </c>
      <c r="AE235">
        <v>5.8463899200000002E-2</v>
      </c>
      <c r="AF235">
        <v>5.8363699200000001E-2</v>
      </c>
      <c r="AG235">
        <v>5.8266811000000002E-2</v>
      </c>
      <c r="AH235">
        <v>5.8163953900000002E-2</v>
      </c>
      <c r="AI235">
        <v>5.8140863600000002E-2</v>
      </c>
      <c r="AJ235">
        <v>5.8117371700000003E-2</v>
      </c>
      <c r="AK235">
        <v>5.8094597400000003E-2</v>
      </c>
      <c r="AL235">
        <v>5.8062689200000003E-2</v>
      </c>
      <c r="AM235">
        <v>5.80314127E-2</v>
      </c>
      <c r="AN235">
        <v>5.8186970300000002E-2</v>
      </c>
      <c r="AO235">
        <v>5.8347950500000002E-2</v>
      </c>
      <c r="AP235">
        <v>5.8516323600000003E-2</v>
      </c>
      <c r="AQ235">
        <v>5.8692684000000002E-2</v>
      </c>
      <c r="AR235">
        <v>5.8877686700000001E-2</v>
      </c>
      <c r="AS235">
        <v>5.9115851400000002E-2</v>
      </c>
      <c r="AT235">
        <v>5.93588902E-2</v>
      </c>
      <c r="AU235">
        <v>5.9607336400000002E-2</v>
      </c>
      <c r="AV235">
        <v>5.9862182700000002E-2</v>
      </c>
      <c r="AW235">
        <v>6.0124813899999997E-2</v>
      </c>
    </row>
    <row r="236" spans="2:49" x14ac:dyDescent="0.25">
      <c r="B236" t="s">
        <v>565</v>
      </c>
      <c r="C236">
        <v>0.79896379760487002</v>
      </c>
      <c r="D236">
        <v>0.79896379760486902</v>
      </c>
      <c r="E236">
        <v>0.79896379760000003</v>
      </c>
      <c r="F236">
        <v>0.7963841774</v>
      </c>
      <c r="G236">
        <v>0.7938128941</v>
      </c>
      <c r="H236">
        <v>0.79124990429999997</v>
      </c>
      <c r="I236">
        <v>0.78869519960000001</v>
      </c>
      <c r="J236">
        <v>0.78614873669999996</v>
      </c>
      <c r="K236">
        <v>0.78361049709999997</v>
      </c>
      <c r="L236">
        <v>0.78108045270000004</v>
      </c>
      <c r="M236">
        <v>0.77855857689999997</v>
      </c>
      <c r="N236">
        <v>0.77604484330000001</v>
      </c>
      <c r="O236">
        <v>0.7608153433</v>
      </c>
      <c r="P236">
        <v>0.74503572169999999</v>
      </c>
      <c r="Q236">
        <v>0.72867560549999999</v>
      </c>
      <c r="R236">
        <v>0.71170237920000001</v>
      </c>
      <c r="S236">
        <v>0.69408091240000003</v>
      </c>
      <c r="T236">
        <v>0.68549363870000002</v>
      </c>
      <c r="U236">
        <v>0.67684743709999995</v>
      </c>
      <c r="V236">
        <v>0.66814169960000003</v>
      </c>
      <c r="W236">
        <v>0.67758856219999997</v>
      </c>
      <c r="X236">
        <v>0.68626280179999999</v>
      </c>
      <c r="Y236">
        <v>0.67775046579999998</v>
      </c>
      <c r="Z236">
        <v>0.66938119959999998</v>
      </c>
      <c r="AA236">
        <v>0.66115142760000001</v>
      </c>
      <c r="AB236">
        <v>0.65475837879999998</v>
      </c>
      <c r="AC236">
        <v>0.64846858630000004</v>
      </c>
      <c r="AD236">
        <v>0.63469239899999996</v>
      </c>
      <c r="AE236">
        <v>0.62123754340000004</v>
      </c>
      <c r="AF236">
        <v>0.60809290640000002</v>
      </c>
      <c r="AG236">
        <v>0.59456247490000003</v>
      </c>
      <c r="AH236">
        <v>0.58133482650000001</v>
      </c>
      <c r="AI236">
        <v>0.56661158</v>
      </c>
      <c r="AJ236">
        <v>0.55218208820000003</v>
      </c>
      <c r="AK236">
        <v>0.53803764679999999</v>
      </c>
      <c r="AL236">
        <v>0.52355173580000003</v>
      </c>
      <c r="AM236">
        <v>0.50934324639999995</v>
      </c>
      <c r="AN236">
        <v>0.4958055864</v>
      </c>
      <c r="AO236">
        <v>0.48247065709999998</v>
      </c>
      <c r="AP236">
        <v>0.4693339386</v>
      </c>
      <c r="AQ236">
        <v>0.45639104400000002</v>
      </c>
      <c r="AR236">
        <v>0.4436377152</v>
      </c>
      <c r="AS236">
        <v>0.42915867169999999</v>
      </c>
      <c r="AT236">
        <v>0.4148590446</v>
      </c>
      <c r="AU236">
        <v>0.40073551410000002</v>
      </c>
      <c r="AV236">
        <v>0.38678484769999999</v>
      </c>
      <c r="AW236">
        <v>0.37300389169999998</v>
      </c>
    </row>
    <row r="237" spans="2:49" x14ac:dyDescent="0.25">
      <c r="B237" t="s">
        <v>566</v>
      </c>
      <c r="C237">
        <v>1.02537481030392E-2</v>
      </c>
      <c r="D237">
        <v>1.02537481030392E-2</v>
      </c>
      <c r="E237">
        <v>1.02537481E-2</v>
      </c>
      <c r="F237">
        <v>9.6835704800000005E-3</v>
      </c>
      <c r="G237">
        <v>9.1450986799999998E-3</v>
      </c>
      <c r="H237">
        <v>8.6365694499999906E-3</v>
      </c>
      <c r="I237">
        <v>8.1563179799999906E-3</v>
      </c>
      <c r="J237">
        <v>7.7027716699999997E-3</v>
      </c>
      <c r="K237">
        <v>7.2744456000000002E-3</v>
      </c>
      <c r="L237">
        <v>6.8699373499999999E-3</v>
      </c>
      <c r="M237">
        <v>6.4879224899999999E-3</v>
      </c>
      <c r="N237">
        <v>6.1271502300000004E-3</v>
      </c>
      <c r="O237">
        <v>5.5291148799999999E-3</v>
      </c>
      <c r="P237">
        <v>4.9094770299999996E-3</v>
      </c>
      <c r="Q237">
        <v>4.2670445299999998E-3</v>
      </c>
      <c r="R237">
        <v>3.6005361100000001E-3</v>
      </c>
      <c r="S237">
        <v>2.9085724800000001E-3</v>
      </c>
      <c r="T237">
        <v>3.81905458E-3</v>
      </c>
      <c r="U237">
        <v>4.7357845600000002E-3</v>
      </c>
      <c r="V237">
        <v>5.6588269500000002E-3</v>
      </c>
      <c r="W237">
        <v>5.8246086100000004E-3</v>
      </c>
      <c r="X237">
        <v>5.9768316300000002E-3</v>
      </c>
      <c r="Y237">
        <v>5.8664569800000003E-3</v>
      </c>
      <c r="Z237">
        <v>5.7579374500000002E-3</v>
      </c>
      <c r="AA237">
        <v>5.6512266499999997E-3</v>
      </c>
      <c r="AB237">
        <v>5.5609613300000001E-3</v>
      </c>
      <c r="AC237">
        <v>5.4721539300000002E-3</v>
      </c>
      <c r="AD237">
        <v>5.5302444400000001E-3</v>
      </c>
      <c r="AE237">
        <v>5.5869799900000001E-3</v>
      </c>
      <c r="AF237">
        <v>5.6424074200000004E-3</v>
      </c>
      <c r="AG237">
        <v>5.6994452399999999E-3</v>
      </c>
      <c r="AH237">
        <v>5.7552066799999996E-3</v>
      </c>
      <c r="AI237">
        <v>5.6820847899999999E-3</v>
      </c>
      <c r="AJ237">
        <v>5.6104218100000002E-3</v>
      </c>
      <c r="AK237">
        <v>5.5401745099999998E-3</v>
      </c>
      <c r="AL237">
        <v>5.4682570800000004E-3</v>
      </c>
      <c r="AM237">
        <v>5.39771696E-3</v>
      </c>
      <c r="AN237">
        <v>5.4498631800000003E-3</v>
      </c>
      <c r="AO237">
        <v>5.5012285000000001E-3</v>
      </c>
      <c r="AP237">
        <v>5.5518303200000002E-3</v>
      </c>
      <c r="AQ237">
        <v>5.6016855499999999E-3</v>
      </c>
      <c r="AR237">
        <v>5.6508105800000003E-3</v>
      </c>
      <c r="AS237">
        <v>5.6479370100000004E-3</v>
      </c>
      <c r="AT237">
        <v>5.6450991100000002E-3</v>
      </c>
      <c r="AU237">
        <v>5.6422961400000001E-3</v>
      </c>
      <c r="AV237">
        <v>5.63952746E-3</v>
      </c>
      <c r="AW237">
        <v>5.6367924699999997E-3</v>
      </c>
    </row>
    <row r="238" spans="2:49" x14ac:dyDescent="0.25">
      <c r="B238" t="s">
        <v>567</v>
      </c>
      <c r="C238">
        <v>4.0949078402655603E-2</v>
      </c>
      <c r="D238">
        <v>4.0949078402655603E-2</v>
      </c>
      <c r="E238">
        <v>4.0949078399999998E-2</v>
      </c>
      <c r="F238">
        <v>4.0876232399999997E-2</v>
      </c>
      <c r="G238">
        <v>4.0803516300000002E-2</v>
      </c>
      <c r="H238">
        <v>4.0730929200000002E-2</v>
      </c>
      <c r="I238">
        <v>4.0658471699999997E-2</v>
      </c>
      <c r="J238">
        <v>4.0586142800000002E-2</v>
      </c>
      <c r="K238">
        <v>4.0513942599999998E-2</v>
      </c>
      <c r="L238">
        <v>4.0441870900000003E-2</v>
      </c>
      <c r="M238">
        <v>4.0369927299999997E-2</v>
      </c>
      <c r="N238">
        <v>4.0298111800000001E-2</v>
      </c>
      <c r="O238">
        <v>4.4246305999999999E-2</v>
      </c>
      <c r="P238">
        <v>4.8337119400000003E-2</v>
      </c>
      <c r="Q238">
        <v>5.25784205E-2</v>
      </c>
      <c r="R238">
        <v>5.6978670000000002E-2</v>
      </c>
      <c r="S238">
        <v>6.1546973300000002E-2</v>
      </c>
      <c r="T238">
        <v>5.8760594999999999E-2</v>
      </c>
      <c r="U238">
        <v>5.5955096199999999E-2</v>
      </c>
      <c r="V238">
        <v>5.3130279199999998E-2</v>
      </c>
      <c r="W238">
        <v>3.4535413700000003E-2</v>
      </c>
      <c r="X238">
        <v>1.7461348000000002E-2</v>
      </c>
      <c r="Y238">
        <v>1.7267602999999999E-2</v>
      </c>
      <c r="Z238">
        <v>1.7077114399999999E-2</v>
      </c>
      <c r="AA238">
        <v>1.68898008E-2</v>
      </c>
      <c r="AB238">
        <v>1.6748364599999999E-2</v>
      </c>
      <c r="AC238">
        <v>1.6609212799999998E-2</v>
      </c>
      <c r="AD238">
        <v>1.6592279000000001E-2</v>
      </c>
      <c r="AE238">
        <v>1.6575740299999999E-2</v>
      </c>
      <c r="AF238">
        <v>1.65595828E-2</v>
      </c>
      <c r="AG238">
        <v>1.6543038600000001E-2</v>
      </c>
      <c r="AH238">
        <v>1.65268646E-2</v>
      </c>
      <c r="AI238">
        <v>1.6506447800000001E-2</v>
      </c>
      <c r="AJ238">
        <v>1.64864383E-2</v>
      </c>
      <c r="AK238">
        <v>1.6466824000000001E-2</v>
      </c>
      <c r="AL238">
        <v>1.6446748300000001E-2</v>
      </c>
      <c r="AM238">
        <v>1.64270571E-2</v>
      </c>
      <c r="AN238">
        <v>1.6406935399999999E-2</v>
      </c>
      <c r="AO238">
        <v>1.6387115099999999E-2</v>
      </c>
      <c r="AP238">
        <v>1.63675894E-2</v>
      </c>
      <c r="AQ238">
        <v>1.6348351800000001E-2</v>
      </c>
      <c r="AR238">
        <v>1.6329395999999999E-2</v>
      </c>
      <c r="AS238">
        <v>2.2288726200000001E-2</v>
      </c>
      <c r="AT238">
        <v>2.8174213699999999E-2</v>
      </c>
      <c r="AU238">
        <v>3.39872222E-2</v>
      </c>
      <c r="AV238">
        <v>3.9729082399999997E-2</v>
      </c>
      <c r="AW238">
        <v>4.5401092599999998E-2</v>
      </c>
    </row>
    <row r="239" spans="2:49" x14ac:dyDescent="0.25">
      <c r="B239" t="s">
        <v>568</v>
      </c>
      <c r="C239">
        <v>4.0858446639591303E-2</v>
      </c>
      <c r="D239">
        <v>4.0858446639591303E-2</v>
      </c>
      <c r="E239">
        <v>4.0858446600000001E-2</v>
      </c>
      <c r="F239">
        <v>3.7501973000000001E-2</v>
      </c>
      <c r="G239">
        <v>3.4421230099999998E-2</v>
      </c>
      <c r="H239">
        <v>3.1593566300000001E-2</v>
      </c>
      <c r="I239">
        <v>2.89981921E-2</v>
      </c>
      <c r="J239">
        <v>2.6616024700000001E-2</v>
      </c>
      <c r="K239">
        <v>2.4429549500000002E-2</v>
      </c>
      <c r="L239">
        <v>2.2422690700000001E-2</v>
      </c>
      <c r="M239">
        <v>2.0580693000000001E-2</v>
      </c>
      <c r="N239">
        <v>1.88900132E-2</v>
      </c>
      <c r="O239">
        <v>1.6445307100000001E-2</v>
      </c>
      <c r="P239">
        <v>1.3912292200000001E-2</v>
      </c>
      <c r="Q239">
        <v>1.12860952E-2</v>
      </c>
      <c r="R239">
        <v>8.5614784100000001E-3</v>
      </c>
      <c r="S239">
        <v>5.7328032900000004E-3</v>
      </c>
      <c r="T239">
        <v>5.47000478E-3</v>
      </c>
      <c r="U239">
        <v>5.2054029000000003E-3</v>
      </c>
      <c r="V239">
        <v>4.9389790200000004E-3</v>
      </c>
      <c r="W239">
        <v>3.1795564799999999E-3</v>
      </c>
      <c r="X239">
        <v>1.56403009E-3</v>
      </c>
      <c r="Y239">
        <v>1.54612841E-3</v>
      </c>
      <c r="Z239">
        <v>1.5285276199999999E-3</v>
      </c>
      <c r="AA239">
        <v>1.5112201900000001E-3</v>
      </c>
      <c r="AB239">
        <v>1.49802946E-3</v>
      </c>
      <c r="AC239">
        <v>1.48505177E-3</v>
      </c>
      <c r="AD239">
        <v>1.4831638899999999E-3</v>
      </c>
      <c r="AE239">
        <v>1.48132004E-3</v>
      </c>
      <c r="AF239">
        <v>1.47951871E-3</v>
      </c>
      <c r="AG239">
        <v>1.47766504E-3</v>
      </c>
      <c r="AH239">
        <v>1.47585285E-3</v>
      </c>
      <c r="AI239">
        <v>1.47396348E-3</v>
      </c>
      <c r="AJ239">
        <v>1.4721118E-3</v>
      </c>
      <c r="AK239">
        <v>1.4702966899999999E-3</v>
      </c>
      <c r="AL239">
        <v>1.4684384400000001E-3</v>
      </c>
      <c r="AM239">
        <v>1.4666157700000001E-3</v>
      </c>
      <c r="AN239">
        <v>1.46475898E-3</v>
      </c>
      <c r="AO239">
        <v>1.4629299899999999E-3</v>
      </c>
      <c r="AP239">
        <v>1.46112819E-3</v>
      </c>
      <c r="AQ239">
        <v>1.4593529699999999E-3</v>
      </c>
      <c r="AR239">
        <v>1.45760376E-3</v>
      </c>
      <c r="AS239">
        <v>1.45180256E-3</v>
      </c>
      <c r="AT239">
        <v>1.44607326E-3</v>
      </c>
      <c r="AU239">
        <v>1.44041451E-3</v>
      </c>
      <c r="AV239">
        <v>1.43482502E-3</v>
      </c>
      <c r="AW239">
        <v>1.4293035300000001E-3</v>
      </c>
    </row>
    <row r="240" spans="2:49" x14ac:dyDescent="0.25">
      <c r="B240" t="s">
        <v>569</v>
      </c>
      <c r="C240">
        <v>8.2546962733871607E-3</v>
      </c>
      <c r="D240">
        <v>8.2546962733871607E-3</v>
      </c>
      <c r="E240">
        <v>8.2546962700000004E-3</v>
      </c>
      <c r="F240">
        <v>1.7081659700000001E-2</v>
      </c>
      <c r="G240">
        <v>2.5176000800000001E-2</v>
      </c>
      <c r="H240">
        <v>3.2493267300000003E-2</v>
      </c>
      <c r="I240">
        <v>3.89647048E-2</v>
      </c>
      <c r="J240">
        <v>4.44904359E-2</v>
      </c>
      <c r="K240">
        <v>4.8930383399999999E-2</v>
      </c>
      <c r="L240">
        <v>5.2092196200000003E-2</v>
      </c>
      <c r="M240">
        <v>5.37152194E-2</v>
      </c>
      <c r="N240">
        <v>5.3449221200000001E-2</v>
      </c>
      <c r="O240">
        <v>5.9116927499999999E-2</v>
      </c>
      <c r="P240">
        <v>6.4989366100000001E-2</v>
      </c>
      <c r="Q240">
        <v>7.1077832699999996E-2</v>
      </c>
      <c r="R240">
        <v>7.7394472699999994E-2</v>
      </c>
      <c r="S240">
        <v>8.3952357000000005E-2</v>
      </c>
      <c r="T240">
        <v>8.81391225E-2</v>
      </c>
      <c r="U240">
        <v>9.2354618099999994E-2</v>
      </c>
      <c r="V240">
        <v>9.6599140799999997E-2</v>
      </c>
      <c r="W240">
        <v>0.1048451442</v>
      </c>
      <c r="X240">
        <v>0.1124167395</v>
      </c>
      <c r="Y240">
        <v>0.1188589171</v>
      </c>
      <c r="Z240">
        <v>0.12519281779999999</v>
      </c>
      <c r="AA240">
        <v>0.13142114860000001</v>
      </c>
      <c r="AB240">
        <v>0.1353528678</v>
      </c>
      <c r="AC240">
        <v>0.13922108429999999</v>
      </c>
      <c r="AD240">
        <v>0.14589482249999999</v>
      </c>
      <c r="AE240">
        <v>0.1524128947</v>
      </c>
      <c r="AF240">
        <v>0.15878068449999999</v>
      </c>
      <c r="AG240">
        <v>0.16533276180000001</v>
      </c>
      <c r="AH240">
        <v>0.17173821719999999</v>
      </c>
      <c r="AI240">
        <v>0.17830255079999999</v>
      </c>
      <c r="AJ240">
        <v>0.1847359143</v>
      </c>
      <c r="AK240">
        <v>0.1910421887</v>
      </c>
      <c r="AL240">
        <v>0.1974979879</v>
      </c>
      <c r="AM240">
        <v>0.2038301512</v>
      </c>
      <c r="AN240">
        <v>0.21036127960000001</v>
      </c>
      <c r="AO240">
        <v>0.21679460219999999</v>
      </c>
      <c r="AP240">
        <v>0.22313229970000001</v>
      </c>
      <c r="AQ240">
        <v>0.2293764885</v>
      </c>
      <c r="AR240">
        <v>0.23552922300000001</v>
      </c>
      <c r="AS240">
        <v>0.24123555839999999</v>
      </c>
      <c r="AT240">
        <v>0.2468711881</v>
      </c>
      <c r="AU240">
        <v>0.25243741520000001</v>
      </c>
      <c r="AV240">
        <v>0.25793551419999999</v>
      </c>
      <c r="AW240">
        <v>0.26336672840000003</v>
      </c>
    </row>
    <row r="241" spans="2:49" x14ac:dyDescent="0.25">
      <c r="B241" t="s">
        <v>570</v>
      </c>
      <c r="C241">
        <v>1.85730666151211E-3</v>
      </c>
      <c r="D241">
        <v>1.85730666151211E-3</v>
      </c>
      <c r="E241">
        <v>1.8573066599999999E-3</v>
      </c>
      <c r="F241">
        <v>2.4629865699999998E-3</v>
      </c>
      <c r="G241">
        <v>3.2661827100000001E-3</v>
      </c>
      <c r="H241">
        <v>4.3313063600000003E-3</v>
      </c>
      <c r="I241">
        <v>5.7437739099999996E-3</v>
      </c>
      <c r="J241">
        <v>7.6168563600000003E-3</v>
      </c>
      <c r="K241">
        <v>1.0100763299999999E-2</v>
      </c>
      <c r="L241">
        <v>1.3394688700000001E-2</v>
      </c>
      <c r="M241">
        <v>1.7762784899999998E-2</v>
      </c>
      <c r="N241">
        <v>2.35553459E-2</v>
      </c>
      <c r="O241">
        <v>2.60531331E-2</v>
      </c>
      <c r="P241">
        <v>2.8641146900000001E-2</v>
      </c>
      <c r="Q241">
        <v>3.1324365399999998E-2</v>
      </c>
      <c r="R241">
        <v>3.4108141000000002E-2</v>
      </c>
      <c r="S241">
        <v>3.6998234200000001E-2</v>
      </c>
      <c r="T241">
        <v>3.8309503799999998E-2</v>
      </c>
      <c r="U241">
        <v>3.9629771500000001E-2</v>
      </c>
      <c r="V241">
        <v>4.0959130199999999E-2</v>
      </c>
      <c r="W241">
        <v>4.3531261799999998E-2</v>
      </c>
      <c r="X241">
        <v>4.5893028900000001E-2</v>
      </c>
      <c r="Y241">
        <v>4.88309522E-2</v>
      </c>
      <c r="Z241">
        <v>5.1719496199999999E-2</v>
      </c>
      <c r="AA241">
        <v>5.4559895599999998E-2</v>
      </c>
      <c r="AB241">
        <v>5.7466874699999997E-2</v>
      </c>
      <c r="AC241">
        <v>6.0326902199999997E-2</v>
      </c>
      <c r="AD241">
        <v>6.7391713300000003E-2</v>
      </c>
      <c r="AE241">
        <v>7.4291736499999997E-2</v>
      </c>
      <c r="AF241">
        <v>8.1032671099999995E-2</v>
      </c>
      <c r="AG241">
        <v>8.7961902800000005E-2</v>
      </c>
      <c r="AH241">
        <v>9.4736072599999999E-2</v>
      </c>
      <c r="AI241">
        <v>0.1016749453</v>
      </c>
      <c r="AJ241">
        <v>0.10847537509999999</v>
      </c>
      <c r="AK241">
        <v>0.11514146460000001</v>
      </c>
      <c r="AL241">
        <v>0.12196178840000001</v>
      </c>
      <c r="AM241">
        <v>0.12865149540000001</v>
      </c>
      <c r="AN241">
        <v>0.1355467216</v>
      </c>
      <c r="AO241">
        <v>0.14233868960000001</v>
      </c>
      <c r="AP241">
        <v>0.14902970169999999</v>
      </c>
      <c r="AQ241">
        <v>0.1556219921</v>
      </c>
      <c r="AR241">
        <v>0.1621177298</v>
      </c>
      <c r="AS241">
        <v>0.1650786806</v>
      </c>
      <c r="AT241">
        <v>0.1680029435</v>
      </c>
      <c r="AU241">
        <v>0.170891194</v>
      </c>
      <c r="AV241">
        <v>0.17374409360000001</v>
      </c>
      <c r="AW241">
        <v>0.1765622875</v>
      </c>
    </row>
    <row r="242" spans="2:49" x14ac:dyDescent="0.25">
      <c r="B242" t="s">
        <v>571</v>
      </c>
      <c r="C242">
        <v>9.2848272947954696E-2</v>
      </c>
      <c r="D242">
        <v>9.2848272947954599E-2</v>
      </c>
      <c r="E242">
        <v>9.2848272900000001E-2</v>
      </c>
      <c r="F242">
        <v>8.9289128499999995E-2</v>
      </c>
      <c r="G242">
        <v>8.5866417400000006E-2</v>
      </c>
      <c r="H242">
        <v>8.25749078E-2</v>
      </c>
      <c r="I242">
        <v>7.9409572299999995E-2</v>
      </c>
      <c r="J242">
        <v>7.6365572699999995E-2</v>
      </c>
      <c r="K242">
        <v>7.3438258500000006E-2</v>
      </c>
      <c r="L242">
        <v>7.0623156899999998E-2</v>
      </c>
      <c r="M242">
        <v>6.7915966199999997E-2</v>
      </c>
      <c r="N242">
        <v>6.5312549999999997E-2</v>
      </c>
      <c r="O242">
        <v>7.2238232799999996E-2</v>
      </c>
      <c r="P242">
        <v>7.9414089199999996E-2</v>
      </c>
      <c r="Q242">
        <v>8.6853922200000003E-2</v>
      </c>
      <c r="R242">
        <v>9.4572572800000004E-2</v>
      </c>
      <c r="S242">
        <v>0.1025860131</v>
      </c>
      <c r="T242">
        <v>0.10719493450000001</v>
      </c>
      <c r="U242">
        <v>0.11183548290000001</v>
      </c>
      <c r="V242">
        <v>0.1165079852</v>
      </c>
      <c r="W242">
        <v>0.1119016803</v>
      </c>
      <c r="X242">
        <v>0.1076721063</v>
      </c>
      <c r="Y242">
        <v>0.1064289512</v>
      </c>
      <c r="Z242">
        <v>0.10520669019999999</v>
      </c>
      <c r="AA242">
        <v>0.1040048011</v>
      </c>
      <c r="AB242">
        <v>0.1031054297</v>
      </c>
      <c r="AC242">
        <v>0.1022205843</v>
      </c>
      <c r="AD242">
        <v>0.10204557910000001</v>
      </c>
      <c r="AE242">
        <v>0.1018746559</v>
      </c>
      <c r="AF242">
        <v>0.10170767360000001</v>
      </c>
      <c r="AG242">
        <v>0.10154411570000001</v>
      </c>
      <c r="AH242">
        <v>0.101384218</v>
      </c>
      <c r="AI242">
        <v>0.1012243929</v>
      </c>
      <c r="AJ242">
        <v>0.1010677566</v>
      </c>
      <c r="AK242">
        <v>0.1009142147</v>
      </c>
      <c r="AL242">
        <v>0.1007616802</v>
      </c>
      <c r="AM242">
        <v>0.10061206690000001</v>
      </c>
      <c r="AN242">
        <v>0.1004634444</v>
      </c>
      <c r="AO242">
        <v>0.10031704769999999</v>
      </c>
      <c r="AP242">
        <v>0.1001728269</v>
      </c>
      <c r="AQ242">
        <v>0.1000307341</v>
      </c>
      <c r="AR242">
        <v>9.9890722400000007E-2</v>
      </c>
      <c r="AS242">
        <v>9.9485070600000003E-2</v>
      </c>
      <c r="AT242">
        <v>9.9084446300000004E-2</v>
      </c>
      <c r="AU242">
        <v>9.8688755399999994E-2</v>
      </c>
      <c r="AV242">
        <v>9.8297907300000001E-2</v>
      </c>
      <c r="AW242">
        <v>9.7911814E-2</v>
      </c>
    </row>
    <row r="243" spans="2:49" x14ac:dyDescent="0.25">
      <c r="B243" t="s">
        <v>572</v>
      </c>
      <c r="C243">
        <v>6.0146533669896496E-3</v>
      </c>
      <c r="D243">
        <v>6.0146533669896496E-3</v>
      </c>
      <c r="E243">
        <v>6.0146533700000003E-3</v>
      </c>
      <c r="F243">
        <v>6.7202666000000001E-3</v>
      </c>
      <c r="G243">
        <v>7.5086594100000001E-3</v>
      </c>
      <c r="H243">
        <v>8.3895429900000002E-3</v>
      </c>
      <c r="I243">
        <v>9.3737681600000004E-3</v>
      </c>
      <c r="J243">
        <v>1.04734583E-2</v>
      </c>
      <c r="K243">
        <v>1.17021594E-2</v>
      </c>
      <c r="L243">
        <v>1.30750064E-2</v>
      </c>
      <c r="M243">
        <v>1.4608909999999999E-2</v>
      </c>
      <c r="N243">
        <v>1.63227645E-2</v>
      </c>
      <c r="O243">
        <v>1.55556345E-2</v>
      </c>
      <c r="P243">
        <v>1.4760794000000001E-2</v>
      </c>
      <c r="Q243">
        <v>1.3936713599999999E-2</v>
      </c>
      <c r="R243">
        <v>1.30817498E-2</v>
      </c>
      <c r="S243">
        <v>1.21941333E-2</v>
      </c>
      <c r="T243">
        <v>1.28131462E-2</v>
      </c>
      <c r="U243">
        <v>1.34364068E-2</v>
      </c>
      <c r="V243">
        <v>1.4063958999999999E-2</v>
      </c>
      <c r="W243">
        <v>1.8593773399999999E-2</v>
      </c>
      <c r="X243">
        <v>2.2753112200000002E-2</v>
      </c>
      <c r="Y243">
        <v>2.3450525400000002E-2</v>
      </c>
      <c r="Z243">
        <v>2.4136216700000001E-2</v>
      </c>
      <c r="AA243">
        <v>2.4810479399999998E-2</v>
      </c>
      <c r="AB243">
        <v>2.5509093699999999E-2</v>
      </c>
      <c r="AC243">
        <v>2.6196424400000001E-2</v>
      </c>
      <c r="AD243">
        <v>2.63697988E-2</v>
      </c>
      <c r="AE243">
        <v>2.6539129299999999E-2</v>
      </c>
      <c r="AF243">
        <v>2.6704555599999999E-2</v>
      </c>
      <c r="AG243">
        <v>2.68785959E-2</v>
      </c>
      <c r="AH243">
        <v>2.7048741599999999E-2</v>
      </c>
      <c r="AI243">
        <v>2.8524035100000001E-2</v>
      </c>
      <c r="AJ243">
        <v>2.9969893800000001E-2</v>
      </c>
      <c r="AK243">
        <v>3.1387190099999997E-2</v>
      </c>
      <c r="AL243">
        <v>3.2843363899999999E-2</v>
      </c>
      <c r="AM243">
        <v>3.4271650399999999E-2</v>
      </c>
      <c r="AN243">
        <v>3.4501410400000002E-2</v>
      </c>
      <c r="AO243">
        <v>3.4727729800000003E-2</v>
      </c>
      <c r="AP243">
        <v>3.4950685099999997E-2</v>
      </c>
      <c r="AQ243">
        <v>3.51703508E-2</v>
      </c>
      <c r="AR243">
        <v>3.5386799300000001E-2</v>
      </c>
      <c r="AS243">
        <v>3.5653547100000002E-2</v>
      </c>
      <c r="AT243">
        <v>3.5916990000000003E-2</v>
      </c>
      <c r="AU243">
        <v>3.6177188499999999E-2</v>
      </c>
      <c r="AV243">
        <v>3.6434202300000003E-2</v>
      </c>
      <c r="AW243">
        <v>3.66880895E-2</v>
      </c>
    </row>
    <row r="244" spans="2:49" x14ac:dyDescent="0.25">
      <c r="B244" t="s">
        <v>573</v>
      </c>
      <c r="C244">
        <v>0.92287069498865704</v>
      </c>
      <c r="D244">
        <v>0.92287069498865704</v>
      </c>
      <c r="E244">
        <v>0.9228647405</v>
      </c>
      <c r="F244">
        <v>0.8964114675</v>
      </c>
      <c r="G244">
        <v>0.87092037860000004</v>
      </c>
      <c r="H244">
        <v>0.84580744340000003</v>
      </c>
      <c r="I244">
        <v>0.8218180987</v>
      </c>
      <c r="J244">
        <v>0.79860837750000002</v>
      </c>
      <c r="K244">
        <v>0.7761401295</v>
      </c>
      <c r="L244">
        <v>0.75431913930000005</v>
      </c>
      <c r="M244">
        <v>0.7329784493</v>
      </c>
      <c r="N244">
        <v>0.71231245219999995</v>
      </c>
      <c r="O244">
        <v>0.70970050500000004</v>
      </c>
      <c r="P244">
        <v>0.70754514339999997</v>
      </c>
      <c r="Q244">
        <v>0.70574167089999995</v>
      </c>
      <c r="R244">
        <v>0.70401744529999999</v>
      </c>
      <c r="S244">
        <v>0.70175529510000001</v>
      </c>
      <c r="T244">
        <v>0.67581461870000004</v>
      </c>
      <c r="U244">
        <v>0.6493574124</v>
      </c>
      <c r="V244">
        <v>0.62237713429999997</v>
      </c>
      <c r="W244">
        <v>0.65250465369999999</v>
      </c>
      <c r="X244">
        <v>0.68094219550000001</v>
      </c>
      <c r="Y244">
        <v>0.67461557989999998</v>
      </c>
      <c r="Z244">
        <v>0.66826018499999995</v>
      </c>
      <c r="AA244">
        <v>0.66196618409999997</v>
      </c>
      <c r="AB244">
        <v>0.65551276560000005</v>
      </c>
      <c r="AC244">
        <v>0.64907449699999997</v>
      </c>
      <c r="AD244">
        <v>0.64339891149999995</v>
      </c>
      <c r="AE244">
        <v>0.63776624609999999</v>
      </c>
      <c r="AF244">
        <v>0.63217836810000005</v>
      </c>
      <c r="AG244">
        <v>0.62652147700000005</v>
      </c>
      <c r="AH244">
        <v>0.62091300790000004</v>
      </c>
      <c r="AI244">
        <v>0.61846343859999997</v>
      </c>
      <c r="AJ244">
        <v>0.61603754629999996</v>
      </c>
      <c r="AK244">
        <v>0.61362759040000003</v>
      </c>
      <c r="AL244">
        <v>0.61117677309999996</v>
      </c>
      <c r="AM244">
        <v>0.60873857369999995</v>
      </c>
      <c r="AN244">
        <v>0.60574144870000002</v>
      </c>
      <c r="AO244">
        <v>0.60276801710000005</v>
      </c>
      <c r="AP244">
        <v>0.59980891169999995</v>
      </c>
      <c r="AQ244">
        <v>0.59686478970000001</v>
      </c>
      <c r="AR244">
        <v>0.59393447570000002</v>
      </c>
      <c r="AS244">
        <v>0.59093741300000002</v>
      </c>
      <c r="AT244">
        <v>0.58795186109999997</v>
      </c>
      <c r="AU244">
        <v>0.58499094709999999</v>
      </c>
      <c r="AV244">
        <v>0.58201915299999996</v>
      </c>
      <c r="AW244">
        <v>0.57903419789999999</v>
      </c>
    </row>
    <row r="245" spans="2:49" x14ac:dyDescent="0.25">
      <c r="B245" t="s">
        <v>574</v>
      </c>
      <c r="C245">
        <v>4.1245617653124303E-2</v>
      </c>
      <c r="D245">
        <v>4.1245617653124303E-2</v>
      </c>
      <c r="E245">
        <v>4.12488045E-2</v>
      </c>
      <c r="F245">
        <v>6.5750538900000002E-2</v>
      </c>
      <c r="G245">
        <v>8.8506881100000004E-2</v>
      </c>
      <c r="H245">
        <v>0.10970377940000001</v>
      </c>
      <c r="I245">
        <v>0.1285461614</v>
      </c>
      <c r="J245">
        <v>0.1449193436</v>
      </c>
      <c r="K245">
        <v>0.1584005996</v>
      </c>
      <c r="L245">
        <v>0.16847789220000001</v>
      </c>
      <c r="M245">
        <v>0.17451492260000001</v>
      </c>
      <c r="N245">
        <v>0.17541714429999999</v>
      </c>
      <c r="O245">
        <v>0.1773087663</v>
      </c>
      <c r="P245">
        <v>0.17892006069999999</v>
      </c>
      <c r="Q245">
        <v>0.18031387369999999</v>
      </c>
      <c r="R245">
        <v>0.18165655980000001</v>
      </c>
      <c r="S245">
        <v>0.18332734270000001</v>
      </c>
      <c r="T245">
        <v>0.18807931510000001</v>
      </c>
      <c r="U245">
        <v>0.19290072259999999</v>
      </c>
      <c r="V245">
        <v>0.1977936002</v>
      </c>
      <c r="W245">
        <v>0.19960325540000001</v>
      </c>
      <c r="X245">
        <v>0.2013875131</v>
      </c>
      <c r="Y245">
        <v>0.2038248147</v>
      </c>
      <c r="Z245">
        <v>0.20627838179999999</v>
      </c>
      <c r="AA245">
        <v>0.20869224489999999</v>
      </c>
      <c r="AB245">
        <v>0.21111820070000001</v>
      </c>
      <c r="AC245">
        <v>0.21353444269999999</v>
      </c>
      <c r="AD245">
        <v>0.21619534000000001</v>
      </c>
      <c r="AE245">
        <v>0.2188355827</v>
      </c>
      <c r="AF245">
        <v>0.22145401740000001</v>
      </c>
      <c r="AG245">
        <v>0.2240426824</v>
      </c>
      <c r="AH245">
        <v>0.22660811789999999</v>
      </c>
      <c r="AI245">
        <v>0.22701266419999999</v>
      </c>
      <c r="AJ245">
        <v>0.22740857580000001</v>
      </c>
      <c r="AK245">
        <v>0.22780046479999999</v>
      </c>
      <c r="AL245">
        <v>0.22817314459999999</v>
      </c>
      <c r="AM245">
        <v>0.22854383750000001</v>
      </c>
      <c r="AN245">
        <v>0.2293764573</v>
      </c>
      <c r="AO245">
        <v>0.230197657</v>
      </c>
      <c r="AP245">
        <v>0.231012943</v>
      </c>
      <c r="AQ245">
        <v>0.23182197139999999</v>
      </c>
      <c r="AR245">
        <v>0.2326254526</v>
      </c>
      <c r="AS245">
        <v>0.232473239</v>
      </c>
      <c r="AT245">
        <v>0.2323107183</v>
      </c>
      <c r="AU245">
        <v>0.23213080659999999</v>
      </c>
      <c r="AV245">
        <v>0.23195360440000001</v>
      </c>
      <c r="AW245">
        <v>0.231780283</v>
      </c>
    </row>
    <row r="246" spans="2:49" x14ac:dyDescent="0.25">
      <c r="B246" t="s">
        <v>575</v>
      </c>
      <c r="C246">
        <v>5.1557022066405396E-3</v>
      </c>
      <c r="D246">
        <v>5.1557022066405396E-3</v>
      </c>
      <c r="E246">
        <v>5.1561005599999998E-3</v>
      </c>
      <c r="F246">
        <v>4.8516323600000001E-3</v>
      </c>
      <c r="G246">
        <v>4.5583763399999998E-3</v>
      </c>
      <c r="H246">
        <v>4.2951907800000003E-3</v>
      </c>
      <c r="I246">
        <v>4.03662486E-3</v>
      </c>
      <c r="J246">
        <v>3.7932775199999999E-3</v>
      </c>
      <c r="K246">
        <v>3.5646068099999999E-3</v>
      </c>
      <c r="L246">
        <v>3.3506981900000002E-3</v>
      </c>
      <c r="M246">
        <v>3.15203523E-3</v>
      </c>
      <c r="N246">
        <v>2.9647108199999999E-3</v>
      </c>
      <c r="O246">
        <v>4.4488937900000001E-3</v>
      </c>
      <c r="P246">
        <v>5.9190050099999997E-3</v>
      </c>
      <c r="Q246">
        <v>7.3712288799999996E-3</v>
      </c>
      <c r="R246">
        <v>8.8089867900000007E-3</v>
      </c>
      <c r="S246">
        <v>1.02527699E-2</v>
      </c>
      <c r="T246">
        <v>1.5957639799999999E-2</v>
      </c>
      <c r="U246">
        <v>2.1786933200000001E-2</v>
      </c>
      <c r="V246">
        <v>2.7741731400000001E-2</v>
      </c>
      <c r="W246">
        <v>2.0184125899999999E-2</v>
      </c>
      <c r="X246">
        <v>1.3027336E-2</v>
      </c>
      <c r="Y246">
        <v>1.3014462100000001E-2</v>
      </c>
      <c r="Z246">
        <v>1.3002431599999999E-2</v>
      </c>
      <c r="AA246">
        <v>1.2987728299999999E-2</v>
      </c>
      <c r="AB246">
        <v>1.2969352700000001E-2</v>
      </c>
      <c r="AC246">
        <v>1.29503334E-2</v>
      </c>
      <c r="AD246">
        <v>1.3430668200000001E-2</v>
      </c>
      <c r="AE246">
        <v>1.39075525E-2</v>
      </c>
      <c r="AF246">
        <v>1.43809232E-2</v>
      </c>
      <c r="AG246">
        <v>1.48533916E-2</v>
      </c>
      <c r="AH246">
        <v>1.53221451E-2</v>
      </c>
      <c r="AI246">
        <v>1.59085149E-2</v>
      </c>
      <c r="AJ246">
        <v>1.6491389400000001E-2</v>
      </c>
      <c r="AK246">
        <v>1.70710889E-2</v>
      </c>
      <c r="AL246">
        <v>1.7658058899999999E-2</v>
      </c>
      <c r="AM246">
        <v>1.82420373E-2</v>
      </c>
      <c r="AN246">
        <v>1.8763315199999998E-2</v>
      </c>
      <c r="AO246">
        <v>1.9282482900000002E-2</v>
      </c>
      <c r="AP246">
        <v>1.9799962599999998E-2</v>
      </c>
      <c r="AQ246">
        <v>2.0315706900000001E-2</v>
      </c>
      <c r="AR246">
        <v>2.0829760900000001E-2</v>
      </c>
      <c r="AS246">
        <v>2.1245163000000001E-2</v>
      </c>
      <c r="AT246">
        <v>2.1660488200000001E-2</v>
      </c>
      <c r="AU246">
        <v>2.2075009900000001E-2</v>
      </c>
      <c r="AV246">
        <v>2.2490584000000001E-2</v>
      </c>
      <c r="AW246">
        <v>2.29073456E-2</v>
      </c>
    </row>
    <row r="247" spans="2:49" x14ac:dyDescent="0.25">
      <c r="B247" t="s">
        <v>576</v>
      </c>
      <c r="C247">
        <v>1.5260878531656001E-2</v>
      </c>
      <c r="D247">
        <v>1.5260878531656001E-2</v>
      </c>
      <c r="E247">
        <v>1.52620577E-2</v>
      </c>
      <c r="F247">
        <v>1.4653497600000001E-2</v>
      </c>
      <c r="G247">
        <v>1.4048349200000001E-2</v>
      </c>
      <c r="H247">
        <v>1.35070118E-2</v>
      </c>
      <c r="I247">
        <v>1.2952598799999999E-2</v>
      </c>
      <c r="J247">
        <v>1.24198069E-2</v>
      </c>
      <c r="K247">
        <v>1.1908952400000001E-2</v>
      </c>
      <c r="L247">
        <v>1.14224415E-2</v>
      </c>
      <c r="M247">
        <v>1.09641861E-2</v>
      </c>
      <c r="N247">
        <v>1.0522752999999999E-2</v>
      </c>
      <c r="O247">
        <v>1.54119887E-2</v>
      </c>
      <c r="P247">
        <v>2.0253712699999999E-2</v>
      </c>
      <c r="Q247">
        <v>2.5035653800000002E-2</v>
      </c>
      <c r="R247">
        <v>2.9769796599999999E-2</v>
      </c>
      <c r="S247">
        <v>3.4525199999999999E-2</v>
      </c>
      <c r="T247">
        <v>3.5947857200000002E-2</v>
      </c>
      <c r="U247">
        <v>3.73952865E-2</v>
      </c>
      <c r="V247">
        <v>3.8867964900000003E-2</v>
      </c>
      <c r="W247">
        <v>3.0416879599999998E-2</v>
      </c>
      <c r="X247">
        <v>2.2416704199999998E-2</v>
      </c>
      <c r="Y247">
        <v>2.24301732E-2</v>
      </c>
      <c r="Z247">
        <v>2.2445137E-2</v>
      </c>
      <c r="AA247">
        <v>2.2455523500000001E-2</v>
      </c>
      <c r="AB247">
        <v>2.2450982500000001E-2</v>
      </c>
      <c r="AC247">
        <v>2.2445334899999999E-2</v>
      </c>
      <c r="AD247">
        <v>2.22942974E-2</v>
      </c>
      <c r="AE247">
        <v>2.21440569E-2</v>
      </c>
      <c r="AF247">
        <v>2.1994482900000001E-2</v>
      </c>
      <c r="AG247">
        <v>2.1840985E-2</v>
      </c>
      <c r="AH247">
        <v>2.16881565E-2</v>
      </c>
      <c r="AI247">
        <v>2.16032429E-2</v>
      </c>
      <c r="AJ247">
        <v>2.1518146799999999E-2</v>
      </c>
      <c r="AK247">
        <v>2.1433307700000001E-2</v>
      </c>
      <c r="AL247">
        <v>2.13477532E-2</v>
      </c>
      <c r="AM247">
        <v>2.1262625199999999E-2</v>
      </c>
      <c r="AN247">
        <v>2.12159385E-2</v>
      </c>
      <c r="AO247">
        <v>2.11685164E-2</v>
      </c>
      <c r="AP247">
        <v>2.1120876199999999E-2</v>
      </c>
      <c r="AQ247">
        <v>2.1072991100000001E-2</v>
      </c>
      <c r="AR247">
        <v>2.1024930399999999E-2</v>
      </c>
      <c r="AS247">
        <v>2.1039398099999999E-2</v>
      </c>
      <c r="AT247">
        <v>2.1052989899999999E-2</v>
      </c>
      <c r="AU247">
        <v>2.1065059399999999E-2</v>
      </c>
      <c r="AV247">
        <v>2.1077427100000001E-2</v>
      </c>
      <c r="AW247">
        <v>2.10902008E-2</v>
      </c>
    </row>
    <row r="248" spans="2:49" x14ac:dyDescent="0.25">
      <c r="B248" t="s">
        <v>577</v>
      </c>
      <c r="C248">
        <v>5.1557022066405396E-3</v>
      </c>
      <c r="D248">
        <v>5.1557022066405396E-3</v>
      </c>
      <c r="E248">
        <v>5.1561005599999998E-3</v>
      </c>
      <c r="F248">
        <v>5.1463003399999999E-3</v>
      </c>
      <c r="G248">
        <v>5.1289051299999999E-3</v>
      </c>
      <c r="H248">
        <v>5.12630204E-3</v>
      </c>
      <c r="I248">
        <v>5.1103114200000003E-3</v>
      </c>
      <c r="J248">
        <v>5.0939049600000003E-3</v>
      </c>
      <c r="K248">
        <v>5.0775603800000003E-3</v>
      </c>
      <c r="L248">
        <v>5.0627446100000003E-3</v>
      </c>
      <c r="M248">
        <v>5.0518333499999998E-3</v>
      </c>
      <c r="N248">
        <v>5.0401972700000004E-3</v>
      </c>
      <c r="O248">
        <v>5.8453866100000003E-3</v>
      </c>
      <c r="P248">
        <v>6.6376954599999998E-3</v>
      </c>
      <c r="Q248">
        <v>7.4164076000000001E-3</v>
      </c>
      <c r="R248">
        <v>8.1866181600000008E-3</v>
      </c>
      <c r="S248">
        <v>8.9665040299999905E-3</v>
      </c>
      <c r="T248">
        <v>1.0662957900000001E-2</v>
      </c>
      <c r="U248">
        <v>1.23952536E-2</v>
      </c>
      <c r="V248">
        <v>1.41637508E-2</v>
      </c>
      <c r="W248">
        <v>1.11951737E-2</v>
      </c>
      <c r="X248">
        <v>8.3851620799999995E-3</v>
      </c>
      <c r="Y248">
        <v>8.4780133500000007E-3</v>
      </c>
      <c r="Z248">
        <v>8.5715313099999999E-3</v>
      </c>
      <c r="AA248">
        <v>8.6633908200000002E-3</v>
      </c>
      <c r="AB248">
        <v>8.7524140700000006E-3</v>
      </c>
      <c r="AC248">
        <v>8.8410313599999995E-3</v>
      </c>
      <c r="AD248">
        <v>8.7886801100000005E-3</v>
      </c>
      <c r="AE248">
        <v>8.7365935800000002E-3</v>
      </c>
      <c r="AF248">
        <v>8.6847205100000005E-3</v>
      </c>
      <c r="AG248">
        <v>8.6317323999999997E-3</v>
      </c>
      <c r="AH248">
        <v>8.5789533800000005E-3</v>
      </c>
      <c r="AI248">
        <v>8.5511387600000002E-3</v>
      </c>
      <c r="AJ248">
        <v>8.5232218700000001E-3</v>
      </c>
      <c r="AK248">
        <v>8.4953766799999997E-3</v>
      </c>
      <c r="AL248">
        <v>8.4679661E-3</v>
      </c>
      <c r="AM248">
        <v>8.44069148E-3</v>
      </c>
      <c r="AN248">
        <v>8.4310325500000002E-3</v>
      </c>
      <c r="AO248">
        <v>8.4210583400000007E-3</v>
      </c>
      <c r="AP248">
        <v>8.4109737800000008E-3</v>
      </c>
      <c r="AQ248">
        <v>8.4007678999999998E-3</v>
      </c>
      <c r="AR248">
        <v>8.3904679999999999E-3</v>
      </c>
      <c r="AS248">
        <v>8.4000282300000003E-3</v>
      </c>
      <c r="AT248">
        <v>8.4092463800000006E-3</v>
      </c>
      <c r="AU248">
        <v>8.4178637099999905E-3</v>
      </c>
      <c r="AV248">
        <v>8.4266071600000002E-3</v>
      </c>
      <c r="AW248">
        <v>8.4355200599999999E-3</v>
      </c>
    </row>
    <row r="249" spans="2:49" x14ac:dyDescent="0.25">
      <c r="B249" t="s">
        <v>578</v>
      </c>
      <c r="C249">
        <v>1.0311404413280999E-2</v>
      </c>
      <c r="D249">
        <v>1.0311404413280999E-2</v>
      </c>
      <c r="E249">
        <v>1.03122011E-2</v>
      </c>
      <c r="F249">
        <v>1.3186568799999999E-2</v>
      </c>
      <c r="G249">
        <v>1.6837128400000002E-2</v>
      </c>
      <c r="H249">
        <v>2.15602716E-2</v>
      </c>
      <c r="I249">
        <v>2.75362049E-2</v>
      </c>
      <c r="J249">
        <v>3.5165292700000003E-2</v>
      </c>
      <c r="K249">
        <v>4.4908151200000003E-2</v>
      </c>
      <c r="L249">
        <v>5.7367084700000001E-2</v>
      </c>
      <c r="M249">
        <v>7.3338573200000007E-2</v>
      </c>
      <c r="N249">
        <v>9.3742742800000001E-2</v>
      </c>
      <c r="O249">
        <v>8.7284459199999997E-2</v>
      </c>
      <c r="P249">
        <v>8.0724376200000003E-2</v>
      </c>
      <c r="Q249">
        <v>7.4121166299999999E-2</v>
      </c>
      <c r="R249">
        <v>6.7560592799999999E-2</v>
      </c>
      <c r="S249">
        <v>6.1172884499999997E-2</v>
      </c>
      <c r="T249">
        <v>7.3537611200000005E-2</v>
      </c>
      <c r="U249">
        <v>8.6164390800000004E-2</v>
      </c>
      <c r="V249">
        <v>9.9055819399999995E-2</v>
      </c>
      <c r="W249">
        <v>8.6095909100000007E-2</v>
      </c>
      <c r="X249">
        <v>7.3841097800000005E-2</v>
      </c>
      <c r="Y249">
        <v>7.7636956800000004E-2</v>
      </c>
      <c r="Z249">
        <v>8.1442333300000003E-2</v>
      </c>
      <c r="AA249">
        <v>8.5234928299999999E-2</v>
      </c>
      <c r="AB249">
        <v>8.9196284400000006E-2</v>
      </c>
      <c r="AC249">
        <v>9.3154360800000002E-2</v>
      </c>
      <c r="AD249">
        <v>9.5892102800000004E-2</v>
      </c>
      <c r="AE249">
        <v>9.8609968300000003E-2</v>
      </c>
      <c r="AF249">
        <v>0.10130748790000001</v>
      </c>
      <c r="AG249">
        <v>0.10410973160000001</v>
      </c>
      <c r="AH249">
        <v>0.10688961919999999</v>
      </c>
      <c r="AI249">
        <v>0.108461001</v>
      </c>
      <c r="AJ249">
        <v>0.1100211198</v>
      </c>
      <c r="AK249">
        <v>0.11157217160000001</v>
      </c>
      <c r="AL249">
        <v>0.1131763041</v>
      </c>
      <c r="AM249">
        <v>0.1147722348</v>
      </c>
      <c r="AN249">
        <v>0.1164718077</v>
      </c>
      <c r="AO249">
        <v>0.1181622683</v>
      </c>
      <c r="AP249">
        <v>0.1198463328</v>
      </c>
      <c r="AQ249">
        <v>0.121523773</v>
      </c>
      <c r="AR249">
        <v>0.1231949124</v>
      </c>
      <c r="AS249">
        <v>0.1259047858</v>
      </c>
      <c r="AT249">
        <v>0.12861470310000001</v>
      </c>
      <c r="AU249">
        <v>0.13132031250000001</v>
      </c>
      <c r="AV249">
        <v>0.1340326241</v>
      </c>
      <c r="AW249">
        <v>0.13675245420000001</v>
      </c>
    </row>
    <row r="250" spans="2:49" x14ac:dyDescent="0.25">
      <c r="B250" t="s">
        <v>579</v>
      </c>
      <c r="C250">
        <v>0.99132434052165697</v>
      </c>
      <c r="D250">
        <v>0.99132434052165697</v>
      </c>
      <c r="E250">
        <v>0.99172610110000003</v>
      </c>
      <c r="F250">
        <v>0.98765502360000001</v>
      </c>
      <c r="G250">
        <v>0.98360065809999997</v>
      </c>
      <c r="H250">
        <v>0.97956293589999999</v>
      </c>
      <c r="I250">
        <v>0.97554178869999997</v>
      </c>
      <c r="J250">
        <v>0.97153714849999995</v>
      </c>
      <c r="K250">
        <v>0.96754894749999998</v>
      </c>
      <c r="L250">
        <v>0.96357711820000003</v>
      </c>
      <c r="M250">
        <v>0.95962159349999998</v>
      </c>
      <c r="N250">
        <v>0.95568230639999996</v>
      </c>
      <c r="O250">
        <v>0.95496918220000004</v>
      </c>
      <c r="P250">
        <v>0.95421073860000005</v>
      </c>
      <c r="Q250">
        <v>0.95340251369999995</v>
      </c>
      <c r="R250">
        <v>0.95253944010000002</v>
      </c>
      <c r="S250">
        <v>0.95161573820000001</v>
      </c>
      <c r="T250">
        <v>0.94906485620000003</v>
      </c>
      <c r="U250">
        <v>0.94659676530000003</v>
      </c>
      <c r="V250">
        <v>0.94420749940000004</v>
      </c>
      <c r="W250">
        <v>0.94173000809999996</v>
      </c>
      <c r="X250">
        <v>0.93914802249999996</v>
      </c>
      <c r="Y250">
        <v>0.93915106670000004</v>
      </c>
      <c r="Z250">
        <v>0.93915429120000005</v>
      </c>
      <c r="AA250">
        <v>0.93915771260000003</v>
      </c>
      <c r="AB250">
        <v>0.93914282400000004</v>
      </c>
      <c r="AC250">
        <v>0.93912696520000005</v>
      </c>
      <c r="AD250">
        <v>0.93917792330000005</v>
      </c>
      <c r="AE250">
        <v>0.93923165669999997</v>
      </c>
      <c r="AF250">
        <v>0.9392883984</v>
      </c>
      <c r="AG250">
        <v>0.93933993189999998</v>
      </c>
      <c r="AH250">
        <v>0.93939452649999999</v>
      </c>
      <c r="AI250">
        <v>0.93936840190000004</v>
      </c>
      <c r="AJ250">
        <v>0.93934093090000004</v>
      </c>
      <c r="AK250">
        <v>0.93931200660000003</v>
      </c>
      <c r="AL250">
        <v>0.93929188559999999</v>
      </c>
      <c r="AM250">
        <v>0.93927064110000003</v>
      </c>
      <c r="AN250">
        <v>0.93905184689999999</v>
      </c>
      <c r="AO250">
        <v>0.93882460950000002</v>
      </c>
      <c r="AP250">
        <v>0.93858843049999996</v>
      </c>
      <c r="AQ250">
        <v>0.93834277150000001</v>
      </c>
      <c r="AR250">
        <v>0.93808705020000005</v>
      </c>
      <c r="AS250">
        <v>0.93778548299999998</v>
      </c>
      <c r="AT250">
        <v>0.93747725920000002</v>
      </c>
      <c r="AU250">
        <v>0.93716215570000005</v>
      </c>
      <c r="AV250">
        <v>0.93683993970000001</v>
      </c>
      <c r="AW250">
        <v>0.93651036759999995</v>
      </c>
    </row>
    <row r="251" spans="2:49" x14ac:dyDescent="0.25">
      <c r="B251" s="23" t="s">
        <v>331</v>
      </c>
      <c r="C251">
        <v>0.91950930808135101</v>
      </c>
      <c r="D251">
        <v>0.91950930808135101</v>
      </c>
      <c r="E251">
        <v>0.91950930809999998</v>
      </c>
      <c r="F251">
        <v>0.91950930809999998</v>
      </c>
      <c r="G251">
        <v>0.91950930809999998</v>
      </c>
      <c r="H251">
        <v>0.91950930809999998</v>
      </c>
      <c r="I251">
        <v>0.91950930809999998</v>
      </c>
      <c r="J251">
        <v>0.91950930809999998</v>
      </c>
      <c r="K251">
        <v>0.91950930809999998</v>
      </c>
      <c r="L251">
        <v>0.91950930809999998</v>
      </c>
      <c r="M251">
        <v>0.91950930809999998</v>
      </c>
      <c r="N251">
        <v>0.91950930809999998</v>
      </c>
      <c r="O251">
        <v>0.91950930809999998</v>
      </c>
      <c r="P251">
        <v>0.91950930809999998</v>
      </c>
      <c r="Q251">
        <v>0.91950930809999998</v>
      </c>
      <c r="R251">
        <v>0.91950930809999998</v>
      </c>
      <c r="S251">
        <v>0.91950930809999998</v>
      </c>
      <c r="T251">
        <v>0.91950930809999998</v>
      </c>
      <c r="U251">
        <v>0.91950930809999998</v>
      </c>
      <c r="V251">
        <v>0.91950930809999998</v>
      </c>
      <c r="W251">
        <v>0.91950930809999998</v>
      </c>
      <c r="X251">
        <v>0.91950930809999998</v>
      </c>
      <c r="Y251">
        <v>0.91950930809999998</v>
      </c>
      <c r="Z251">
        <v>0.91950930809999998</v>
      </c>
      <c r="AA251">
        <v>0.91950930809999998</v>
      </c>
      <c r="AB251">
        <v>0.91950930809999998</v>
      </c>
      <c r="AC251">
        <v>0.91950930809999998</v>
      </c>
      <c r="AD251">
        <v>0.91950930809999998</v>
      </c>
      <c r="AE251">
        <v>0.91950930809999998</v>
      </c>
      <c r="AF251">
        <v>0.91950930809999998</v>
      </c>
      <c r="AG251">
        <v>0.91950930809999998</v>
      </c>
      <c r="AH251">
        <v>0.91950930809999998</v>
      </c>
      <c r="AI251">
        <v>0.91950930809999998</v>
      </c>
      <c r="AJ251">
        <v>0.91950930809999998</v>
      </c>
      <c r="AK251">
        <v>0.91950930809999998</v>
      </c>
      <c r="AL251">
        <v>0.91950930809999998</v>
      </c>
      <c r="AM251">
        <v>0.91950930809999998</v>
      </c>
      <c r="AN251">
        <v>0.91950930809999998</v>
      </c>
      <c r="AO251">
        <v>0.91950930809999998</v>
      </c>
      <c r="AP251">
        <v>0.91950930809999998</v>
      </c>
      <c r="AQ251">
        <v>0.91950930809999998</v>
      </c>
      <c r="AR251">
        <v>0.91950930809999998</v>
      </c>
      <c r="AS251">
        <v>0.91950930809999998</v>
      </c>
      <c r="AT251">
        <v>0.91950930809999998</v>
      </c>
      <c r="AU251">
        <v>0.91950930809999998</v>
      </c>
      <c r="AV251">
        <v>0.91950930809999998</v>
      </c>
      <c r="AW251">
        <v>0.91950930809999998</v>
      </c>
    </row>
    <row r="252" spans="2:49" x14ac:dyDescent="0.25">
      <c r="B252" t="s">
        <v>282</v>
      </c>
      <c r="C252">
        <v>1.54983431156195</v>
      </c>
      <c r="D252">
        <v>1.57471740274219</v>
      </c>
      <c r="E252">
        <v>1.60860863</v>
      </c>
      <c r="F252">
        <v>1.873045399</v>
      </c>
      <c r="G252">
        <v>2.0755696449999999</v>
      </c>
      <c r="H252">
        <v>2.232830898</v>
      </c>
      <c r="I252">
        <v>2.5033874840000001</v>
      </c>
      <c r="J252">
        <v>2.7134910880000001</v>
      </c>
      <c r="K252">
        <v>2.813347759</v>
      </c>
      <c r="L252">
        <v>2.9338250160000001</v>
      </c>
      <c r="M252">
        <v>3.0906681640000002</v>
      </c>
      <c r="N252">
        <v>3.277185485</v>
      </c>
      <c r="O252">
        <v>4.2825014269999997</v>
      </c>
      <c r="P252">
        <v>5.3898954999999997</v>
      </c>
      <c r="Q252">
        <v>6.4980816949999998</v>
      </c>
      <c r="R252">
        <v>7.7719836359999999</v>
      </c>
      <c r="S252">
        <v>6.5687196139999999</v>
      </c>
      <c r="T252">
        <v>6.5461578789999999</v>
      </c>
      <c r="U252">
        <v>6.58783619</v>
      </c>
      <c r="V252">
        <v>6.6508047140000004</v>
      </c>
      <c r="W252">
        <v>5.9951592219999998</v>
      </c>
      <c r="X252">
        <v>5.4453704299999997</v>
      </c>
      <c r="Y252">
        <v>5.1167888960000001</v>
      </c>
      <c r="Z252">
        <v>4.8707497760000003</v>
      </c>
      <c r="AA252">
        <v>4.677296213</v>
      </c>
      <c r="AB252">
        <v>4.5236961100000004</v>
      </c>
      <c r="AC252">
        <v>4.393589714</v>
      </c>
      <c r="AD252">
        <v>4.3016795510000003</v>
      </c>
      <c r="AE252">
        <v>4.2117990499999998</v>
      </c>
      <c r="AF252">
        <v>4.1265801680000003</v>
      </c>
      <c r="AG252">
        <v>4.045275524</v>
      </c>
      <c r="AH252">
        <v>3.9695549749999999</v>
      </c>
      <c r="AI252">
        <v>3.8942467039999999</v>
      </c>
      <c r="AJ252">
        <v>3.8228503730000001</v>
      </c>
      <c r="AK252">
        <v>3.7569693740000001</v>
      </c>
      <c r="AL252">
        <v>3.695037642</v>
      </c>
      <c r="AM252">
        <v>3.634165034</v>
      </c>
      <c r="AN252">
        <v>3.5783754839999999</v>
      </c>
      <c r="AO252">
        <v>3.5288861100000002</v>
      </c>
      <c r="AP252">
        <v>3.4799140710000001</v>
      </c>
      <c r="AQ252">
        <v>3.4378799369999999</v>
      </c>
      <c r="AR252">
        <v>3.3939473699999998</v>
      </c>
      <c r="AS252">
        <v>3.3653062230000002</v>
      </c>
      <c r="AT252">
        <v>3.337850016</v>
      </c>
      <c r="AU252">
        <v>3.3122877929999999</v>
      </c>
      <c r="AV252">
        <v>3.2862358700000001</v>
      </c>
      <c r="AW252">
        <v>3.2642626219999999</v>
      </c>
    </row>
    <row r="253" spans="2:49" x14ac:dyDescent="0.25">
      <c r="B253" t="s">
        <v>283</v>
      </c>
      <c r="C253">
        <v>0.19372928894524399</v>
      </c>
      <c r="D253">
        <v>0.196839675342774</v>
      </c>
      <c r="E253">
        <v>0.2010760788</v>
      </c>
      <c r="F253">
        <v>0.1902792482</v>
      </c>
      <c r="G253">
        <v>0.1751726794</v>
      </c>
      <c r="H253">
        <v>0.15925526800000001</v>
      </c>
      <c r="I253">
        <v>0.15299376410000001</v>
      </c>
      <c r="J253">
        <v>0.14374549889999999</v>
      </c>
      <c r="K253">
        <v>0.13047423920000001</v>
      </c>
      <c r="L253">
        <v>0.1201684895</v>
      </c>
      <c r="M253">
        <v>0.1127030559</v>
      </c>
      <c r="N253">
        <v>0.1071890858</v>
      </c>
      <c r="O253">
        <v>0.1070013506</v>
      </c>
      <c r="P253">
        <v>0.1028760516</v>
      </c>
      <c r="Q253">
        <v>9.4746092599999998E-2</v>
      </c>
      <c r="R253">
        <v>8.6566571600000003E-2</v>
      </c>
      <c r="S253">
        <v>0.3673623915</v>
      </c>
      <c r="T253">
        <v>0.33170546909999998</v>
      </c>
      <c r="U253">
        <v>0.30195140180000002</v>
      </c>
      <c r="V253">
        <v>0.2751235964</v>
      </c>
      <c r="W253">
        <v>1.0280761490000001</v>
      </c>
      <c r="X253">
        <v>1.1730131049999999</v>
      </c>
      <c r="Y253">
        <v>1.321614826</v>
      </c>
      <c r="Z253">
        <v>1.4703123339999999</v>
      </c>
      <c r="AA253">
        <v>1.6190906679999999</v>
      </c>
      <c r="AB253">
        <v>1.721912653</v>
      </c>
      <c r="AC253">
        <v>1.826450232</v>
      </c>
      <c r="AD253">
        <v>2.1025166419999999</v>
      </c>
      <c r="AE253">
        <v>2.3721353550000002</v>
      </c>
      <c r="AF253">
        <v>2.6372321680000002</v>
      </c>
      <c r="AG253">
        <v>2.845815322</v>
      </c>
      <c r="AH253">
        <v>3.053368554</v>
      </c>
      <c r="AI253">
        <v>3.278587505</v>
      </c>
      <c r="AJ253">
        <v>3.501441475</v>
      </c>
      <c r="AK253">
        <v>3.7242421370000001</v>
      </c>
      <c r="AL253">
        <v>3.8967303119999999</v>
      </c>
      <c r="AM253">
        <v>4.0670278209999999</v>
      </c>
      <c r="AN253">
        <v>4.1642811870000003</v>
      </c>
      <c r="AO253">
        <v>4.266384467</v>
      </c>
      <c r="AP253">
        <v>4.3668894849999997</v>
      </c>
      <c r="AQ253">
        <v>4.4741763189999997</v>
      </c>
      <c r="AR253">
        <v>4.5772621510000002</v>
      </c>
      <c r="AS253">
        <v>4.7723618830000003</v>
      </c>
      <c r="AT253">
        <v>4.9684463760000002</v>
      </c>
      <c r="AU253">
        <v>5.1668592049999997</v>
      </c>
      <c r="AV253">
        <v>5.3641076549999998</v>
      </c>
      <c r="AW253">
        <v>5.5678684599999997</v>
      </c>
    </row>
    <row r="254" spans="2:49" x14ac:dyDescent="0.25">
      <c r="B254" t="s">
        <v>284</v>
      </c>
      <c r="C254">
        <v>0.71679836909740502</v>
      </c>
      <c r="D254">
        <v>0.72830679876826598</v>
      </c>
      <c r="E254">
        <v>0.74398149140000003</v>
      </c>
      <c r="F254">
        <v>0.73782270179999998</v>
      </c>
      <c r="G254">
        <v>0.71184562870000001</v>
      </c>
      <c r="H254">
        <v>0.67822238450000005</v>
      </c>
      <c r="I254">
        <v>0.68282734479999996</v>
      </c>
      <c r="J254">
        <v>0.67234207820000003</v>
      </c>
      <c r="K254">
        <v>0.6395576141</v>
      </c>
      <c r="L254">
        <v>0.61731149659999995</v>
      </c>
      <c r="M254">
        <v>0.60674795010000004</v>
      </c>
      <c r="N254">
        <v>0.60475860319999997</v>
      </c>
      <c r="O254">
        <v>0.61987453199999998</v>
      </c>
      <c r="P254">
        <v>0.61191243240000004</v>
      </c>
      <c r="Q254">
        <v>0.57859387829999998</v>
      </c>
      <c r="R254">
        <v>0.54272149729999997</v>
      </c>
      <c r="S254">
        <v>1.4172785000000001</v>
      </c>
      <c r="T254">
        <v>1.1944378630000001</v>
      </c>
      <c r="U254">
        <v>1.000665725</v>
      </c>
      <c r="V254">
        <v>0.823004493</v>
      </c>
      <c r="W254">
        <v>0.94465030380000004</v>
      </c>
      <c r="X254">
        <v>0.90464389430000003</v>
      </c>
      <c r="Y254">
        <v>0.8592588941</v>
      </c>
      <c r="Z254">
        <v>0.8268264448</v>
      </c>
      <c r="AA254">
        <v>0.80264161369999998</v>
      </c>
      <c r="AB254">
        <v>0.7810639667</v>
      </c>
      <c r="AC254">
        <v>0.76332137820000001</v>
      </c>
      <c r="AD254">
        <v>0.74240093409999997</v>
      </c>
      <c r="AE254">
        <v>0.72200215759999997</v>
      </c>
      <c r="AF254">
        <v>0.70452239130000005</v>
      </c>
      <c r="AG254">
        <v>0.68649036750000003</v>
      </c>
      <c r="AH254">
        <v>0.66952161060000004</v>
      </c>
      <c r="AI254">
        <v>0.66206144870000005</v>
      </c>
      <c r="AJ254">
        <v>0.65515659439999996</v>
      </c>
      <c r="AK254">
        <v>0.6490975698</v>
      </c>
      <c r="AL254">
        <v>0.64367256039999998</v>
      </c>
      <c r="AM254">
        <v>0.63835359599999997</v>
      </c>
      <c r="AN254">
        <v>0.63233541950000005</v>
      </c>
      <c r="AO254">
        <v>0.62736567659999998</v>
      </c>
      <c r="AP254">
        <v>0.62242927299999995</v>
      </c>
      <c r="AQ254">
        <v>0.61868235270000005</v>
      </c>
      <c r="AR254">
        <v>0.61454701749999996</v>
      </c>
      <c r="AS254">
        <v>0.6113320833</v>
      </c>
      <c r="AT254">
        <v>0.60832912250000004</v>
      </c>
      <c r="AU254">
        <v>0.60566978329999999</v>
      </c>
      <c r="AV254">
        <v>0.60292009599999996</v>
      </c>
      <c r="AW254">
        <v>0.60092007000000003</v>
      </c>
    </row>
    <row r="255" spans="2:49" x14ac:dyDescent="0.25">
      <c r="B255" t="s">
        <v>285</v>
      </c>
      <c r="C255">
        <v>0.19372928894524399</v>
      </c>
      <c r="D255">
        <v>0.196839675342774</v>
      </c>
      <c r="E255">
        <v>0.2010760788</v>
      </c>
      <c r="F255">
        <v>0.2107932891</v>
      </c>
      <c r="G255">
        <v>0.2149795155</v>
      </c>
      <c r="H255">
        <v>0.2165159364</v>
      </c>
      <c r="I255">
        <v>0.23042794329999999</v>
      </c>
      <c r="J255">
        <v>0.23983967210000001</v>
      </c>
      <c r="K255">
        <v>0.2411664519</v>
      </c>
      <c r="L255">
        <v>0.24606399809999999</v>
      </c>
      <c r="M255">
        <v>0.25565748929999998</v>
      </c>
      <c r="N255">
        <v>0.26936350079999999</v>
      </c>
      <c r="O255">
        <v>0.28783187970000002</v>
      </c>
      <c r="P255">
        <v>0.29622750129999997</v>
      </c>
      <c r="Q255">
        <v>0.29203429089999999</v>
      </c>
      <c r="R255">
        <v>0.28561710480000002</v>
      </c>
      <c r="S255">
        <v>0.32127477570000001</v>
      </c>
      <c r="T255">
        <v>0.30029469149999999</v>
      </c>
      <c r="U255">
        <v>0.28379159549999999</v>
      </c>
      <c r="V255">
        <v>0.26933277630000002</v>
      </c>
      <c r="W255">
        <v>0.38418376999999998</v>
      </c>
      <c r="X255">
        <v>0.39558525249999998</v>
      </c>
      <c r="Y255">
        <v>0.39731952869999998</v>
      </c>
      <c r="Z255">
        <v>0.40298614849999997</v>
      </c>
      <c r="AA255">
        <v>0.4111602701</v>
      </c>
      <c r="AB255">
        <v>0.42248848239999998</v>
      </c>
      <c r="AC255">
        <v>0.43486048049999998</v>
      </c>
      <c r="AD255">
        <v>0.46363049880000001</v>
      </c>
      <c r="AE255">
        <v>0.49172285850000003</v>
      </c>
      <c r="AF255">
        <v>0.51949826870000004</v>
      </c>
      <c r="AG255">
        <v>0.54724832540000001</v>
      </c>
      <c r="AH255">
        <v>0.57503091829999997</v>
      </c>
      <c r="AI255">
        <v>0.57833381029999997</v>
      </c>
      <c r="AJ255">
        <v>0.58193364569999995</v>
      </c>
      <c r="AK255">
        <v>0.58611681859999998</v>
      </c>
      <c r="AL255">
        <v>0.59084060959999996</v>
      </c>
      <c r="AM255">
        <v>0.59553031000000001</v>
      </c>
      <c r="AN255">
        <v>0.59883198900000001</v>
      </c>
      <c r="AO255">
        <v>0.60299458679999995</v>
      </c>
      <c r="AP255">
        <v>0.60707229770000004</v>
      </c>
      <c r="AQ255">
        <v>0.61221036309999999</v>
      </c>
      <c r="AR255">
        <v>0.61687552229999998</v>
      </c>
      <c r="AS255">
        <v>0.62160451419999996</v>
      </c>
      <c r="AT255">
        <v>0.62652280839999996</v>
      </c>
      <c r="AU255">
        <v>0.63177574240000001</v>
      </c>
      <c r="AV255">
        <v>0.63691824939999997</v>
      </c>
      <c r="AW255">
        <v>0.64284508650000005</v>
      </c>
    </row>
    <row r="256" spans="2:49" x14ac:dyDescent="0.25">
      <c r="B256" t="s">
        <v>286</v>
      </c>
      <c r="C256">
        <v>0.38745857789048899</v>
      </c>
      <c r="D256">
        <v>0.39367935068554899</v>
      </c>
      <c r="E256">
        <v>0.4021521575</v>
      </c>
      <c r="F256">
        <v>0.45763561349999998</v>
      </c>
      <c r="G256">
        <v>0.50663262340000004</v>
      </c>
      <c r="H256">
        <v>0.55388420090000001</v>
      </c>
      <c r="I256">
        <v>0.63987816630000005</v>
      </c>
      <c r="J256">
        <v>0.72296322710000005</v>
      </c>
      <c r="K256">
        <v>0.78912375680000002</v>
      </c>
      <c r="L256">
        <v>0.87399578560000002</v>
      </c>
      <c r="M256">
        <v>0.98571830110000003</v>
      </c>
      <c r="N256">
        <v>1.127368994</v>
      </c>
      <c r="O256">
        <v>1.2167055490000001</v>
      </c>
      <c r="P256">
        <v>1.264710797</v>
      </c>
      <c r="Q256">
        <v>1.259270289</v>
      </c>
      <c r="R256">
        <v>1.243908902</v>
      </c>
      <c r="S256">
        <v>2.19185813</v>
      </c>
      <c r="T256">
        <v>2.194667999</v>
      </c>
      <c r="U256">
        <v>2.2182191859999998</v>
      </c>
      <c r="V256">
        <v>2.2483528439999998</v>
      </c>
      <c r="W256">
        <v>3.2975839269999998</v>
      </c>
      <c r="X256">
        <v>3.3793332409999999</v>
      </c>
      <c r="Y256">
        <v>3.485907321</v>
      </c>
      <c r="Z256">
        <v>3.6186769760000002</v>
      </c>
      <c r="AA256">
        <v>3.768163156</v>
      </c>
      <c r="AB256">
        <v>3.9425157689999999</v>
      </c>
      <c r="AC256">
        <v>4.1235328940000002</v>
      </c>
      <c r="AD256">
        <v>4.2800960410000002</v>
      </c>
      <c r="AE256">
        <v>4.4329303619999996</v>
      </c>
      <c r="AF256">
        <v>4.5851486279999998</v>
      </c>
      <c r="AG256">
        <v>4.742080852</v>
      </c>
      <c r="AH256">
        <v>4.9008533270000001</v>
      </c>
      <c r="AI256">
        <v>5.0429950339999996</v>
      </c>
      <c r="AJ256">
        <v>5.1855039850000004</v>
      </c>
      <c r="AK256">
        <v>5.3312551790000002</v>
      </c>
      <c r="AL256">
        <v>5.483200396</v>
      </c>
      <c r="AM256">
        <v>5.6333255680000001</v>
      </c>
      <c r="AN256">
        <v>5.7332239850000004</v>
      </c>
      <c r="AO256">
        <v>5.8403198290000002</v>
      </c>
      <c r="AP256">
        <v>5.9456764829999997</v>
      </c>
      <c r="AQ256">
        <v>6.0606409320000001</v>
      </c>
      <c r="AR256">
        <v>6.1702391150000002</v>
      </c>
      <c r="AS256">
        <v>6.2503798440000002</v>
      </c>
      <c r="AT256">
        <v>6.3323278800000002</v>
      </c>
      <c r="AU256">
        <v>6.4175913659999999</v>
      </c>
      <c r="AV256">
        <v>6.5016795089999997</v>
      </c>
      <c r="AW256">
        <v>6.5937549789999998</v>
      </c>
    </row>
    <row r="257" spans="2:49" x14ac:dyDescent="0.25">
      <c r="B257" t="s">
        <v>287</v>
      </c>
      <c r="C257">
        <v>34.067295461021303</v>
      </c>
      <c r="D257">
        <v>34.614256909026899</v>
      </c>
      <c r="E257">
        <v>35.359228450000003</v>
      </c>
      <c r="F257">
        <v>35.492059910000002</v>
      </c>
      <c r="G257">
        <v>34.658004849999998</v>
      </c>
      <c r="H257">
        <v>33.421689389999997</v>
      </c>
      <c r="I257">
        <v>34.05694811</v>
      </c>
      <c r="J257">
        <v>34.071422800000001</v>
      </c>
      <c r="K257">
        <v>32.946153379999998</v>
      </c>
      <c r="L257">
        <v>32.344634630000002</v>
      </c>
      <c r="M257">
        <v>32.3562291</v>
      </c>
      <c r="N257">
        <v>32.847080149999996</v>
      </c>
      <c r="O257">
        <v>32.676530290000002</v>
      </c>
      <c r="P257">
        <v>31.308306179999999</v>
      </c>
      <c r="Q257">
        <v>28.734479289999999</v>
      </c>
      <c r="R257">
        <v>26.162973439999998</v>
      </c>
      <c r="S257">
        <v>23.739985780000001</v>
      </c>
      <c r="T257">
        <v>22.782735429999999</v>
      </c>
      <c r="U257">
        <v>22.116176790000001</v>
      </c>
      <c r="V257">
        <v>21.570481749999999</v>
      </c>
      <c r="W257">
        <v>17.60423905</v>
      </c>
      <c r="X257">
        <v>15.63870352</v>
      </c>
      <c r="Y257">
        <v>13.89959511</v>
      </c>
      <c r="Z257">
        <v>12.45955681</v>
      </c>
      <c r="AA257">
        <v>11.20941212</v>
      </c>
      <c r="AB257">
        <v>10.15622392</v>
      </c>
      <c r="AC257">
        <v>9.1851533889999999</v>
      </c>
      <c r="AD257">
        <v>8.4865207520000006</v>
      </c>
      <c r="AE257">
        <v>7.8026162780000003</v>
      </c>
      <c r="AF257">
        <v>7.1300502840000002</v>
      </c>
      <c r="AG257">
        <v>6.5382108460000001</v>
      </c>
      <c r="AH257">
        <v>5.9630941450000003</v>
      </c>
      <c r="AI257">
        <v>5.4368731190000004</v>
      </c>
      <c r="AJ257">
        <v>4.9237652790000004</v>
      </c>
      <c r="AK257">
        <v>4.4246210440000002</v>
      </c>
      <c r="AL257">
        <v>3.9900130869999999</v>
      </c>
      <c r="AM257">
        <v>3.5610016880000002</v>
      </c>
      <c r="AN257">
        <v>3.229924032</v>
      </c>
      <c r="AO257">
        <v>2.9083162730000001</v>
      </c>
      <c r="AP257">
        <v>2.5904819899999998</v>
      </c>
      <c r="AQ257">
        <v>2.2806491960000002</v>
      </c>
      <c r="AR257">
        <v>1.9720649219999999</v>
      </c>
      <c r="AS257">
        <v>1.583413269</v>
      </c>
      <c r="AT257">
        <v>1.2027520380000001</v>
      </c>
      <c r="AU257">
        <v>0.82986231349999995</v>
      </c>
      <c r="AV257">
        <v>0.46378095499999999</v>
      </c>
      <c r="AW257">
        <v>0.1049166493</v>
      </c>
    </row>
    <row r="258" spans="2:49" x14ac:dyDescent="0.25">
      <c r="B258" t="s">
        <v>288</v>
      </c>
      <c r="C258">
        <v>1.54983431156195</v>
      </c>
      <c r="D258">
        <v>1.57471740274219</v>
      </c>
      <c r="E258">
        <v>1.60860863</v>
      </c>
      <c r="F258">
        <v>1.873045399</v>
      </c>
      <c r="G258">
        <v>2.0755696449999999</v>
      </c>
      <c r="H258">
        <v>2.232830898</v>
      </c>
      <c r="I258">
        <v>2.5033874840000001</v>
      </c>
      <c r="J258">
        <v>2.7134910880000001</v>
      </c>
      <c r="K258">
        <v>2.813347759</v>
      </c>
      <c r="L258">
        <v>2.9338250160000001</v>
      </c>
      <c r="M258">
        <v>3.0906681640000002</v>
      </c>
      <c r="N258">
        <v>3.277185485</v>
      </c>
      <c r="O258">
        <v>4.2825014269999997</v>
      </c>
      <c r="P258">
        <v>5.3898954999999997</v>
      </c>
      <c r="Q258">
        <v>6.4980816949999998</v>
      </c>
      <c r="R258">
        <v>7.7719836359999999</v>
      </c>
      <c r="S258">
        <v>6.5687196139999999</v>
      </c>
      <c r="T258">
        <v>6.5461578789999999</v>
      </c>
      <c r="U258">
        <v>6.58783619</v>
      </c>
      <c r="V258">
        <v>6.6508047140000004</v>
      </c>
      <c r="W258">
        <v>5.9951592219999998</v>
      </c>
      <c r="X258">
        <v>5.4453704299999997</v>
      </c>
      <c r="Y258">
        <v>5.1167888960000001</v>
      </c>
      <c r="Z258">
        <v>4.8707497760000003</v>
      </c>
      <c r="AA258">
        <v>4.677296213</v>
      </c>
      <c r="AB258">
        <v>4.5236961100000004</v>
      </c>
      <c r="AC258">
        <v>4.393589714</v>
      </c>
      <c r="AD258">
        <v>4.3016795510000003</v>
      </c>
      <c r="AE258">
        <v>4.2117990499999998</v>
      </c>
      <c r="AF258">
        <v>4.1265801680000003</v>
      </c>
      <c r="AG258">
        <v>4.045275524</v>
      </c>
      <c r="AH258">
        <v>3.9695549749999999</v>
      </c>
      <c r="AI258">
        <v>3.8942467039999999</v>
      </c>
      <c r="AJ258">
        <v>3.8228503730000001</v>
      </c>
      <c r="AK258">
        <v>3.7569693740000001</v>
      </c>
      <c r="AL258">
        <v>3.695037642</v>
      </c>
      <c r="AM258">
        <v>3.634165034</v>
      </c>
      <c r="AN258">
        <v>3.5783754839999999</v>
      </c>
      <c r="AO258">
        <v>3.5288861100000002</v>
      </c>
      <c r="AP258">
        <v>3.4799140710000001</v>
      </c>
      <c r="AQ258">
        <v>3.4378799369999999</v>
      </c>
      <c r="AR258">
        <v>3.3939473699999998</v>
      </c>
      <c r="AS258">
        <v>3.3653062230000002</v>
      </c>
      <c r="AT258">
        <v>3.337850016</v>
      </c>
      <c r="AU258">
        <v>3.3122877929999999</v>
      </c>
      <c r="AV258">
        <v>3.2862358700000001</v>
      </c>
      <c r="AW258">
        <v>3.2642626219999999</v>
      </c>
    </row>
    <row r="259" spans="2:49" x14ac:dyDescent="0.25">
      <c r="B259" t="s">
        <v>289</v>
      </c>
      <c r="C259">
        <v>0.19372928894524399</v>
      </c>
      <c r="D259">
        <v>0.196839675342774</v>
      </c>
      <c r="E259">
        <v>0.2010760788</v>
      </c>
      <c r="F259">
        <v>0.1902792482</v>
      </c>
      <c r="G259">
        <v>0.1751726794</v>
      </c>
      <c r="H259">
        <v>0.15925526800000001</v>
      </c>
      <c r="I259">
        <v>0.15299376410000001</v>
      </c>
      <c r="J259">
        <v>0.14374549889999999</v>
      </c>
      <c r="K259">
        <v>0.13047423920000001</v>
      </c>
      <c r="L259">
        <v>0.1201684895</v>
      </c>
      <c r="M259">
        <v>0.1127030559</v>
      </c>
      <c r="N259">
        <v>0.1071890858</v>
      </c>
      <c r="O259">
        <v>0.1070013506</v>
      </c>
      <c r="P259">
        <v>0.1028760516</v>
      </c>
      <c r="Q259">
        <v>9.4746092599999998E-2</v>
      </c>
      <c r="R259">
        <v>8.6566571600000003E-2</v>
      </c>
      <c r="S259">
        <v>0.3673623915</v>
      </c>
      <c r="T259">
        <v>0.33170546909999998</v>
      </c>
      <c r="U259">
        <v>0.30195140180000002</v>
      </c>
      <c r="V259">
        <v>0.2751235964</v>
      </c>
      <c r="W259">
        <v>1.0280761490000001</v>
      </c>
      <c r="X259">
        <v>1.1730131049999999</v>
      </c>
      <c r="Y259">
        <v>1.321614826</v>
      </c>
      <c r="Z259">
        <v>1.4703123339999999</v>
      </c>
      <c r="AA259">
        <v>1.6190906679999999</v>
      </c>
      <c r="AB259">
        <v>1.721912653</v>
      </c>
      <c r="AC259">
        <v>1.826450232</v>
      </c>
      <c r="AD259">
        <v>2.1025166419999999</v>
      </c>
      <c r="AE259">
        <v>2.3721353550000002</v>
      </c>
      <c r="AF259">
        <v>2.6372321680000002</v>
      </c>
      <c r="AG259">
        <v>2.845815322</v>
      </c>
      <c r="AH259">
        <v>3.053368554</v>
      </c>
      <c r="AI259">
        <v>3.278587505</v>
      </c>
      <c r="AJ259">
        <v>3.501441475</v>
      </c>
      <c r="AK259">
        <v>3.7242421370000001</v>
      </c>
      <c r="AL259">
        <v>3.8967303119999999</v>
      </c>
      <c r="AM259">
        <v>4.0670278209999999</v>
      </c>
      <c r="AN259">
        <v>4.1642811870000003</v>
      </c>
      <c r="AO259">
        <v>4.266384467</v>
      </c>
      <c r="AP259">
        <v>4.3668894849999997</v>
      </c>
      <c r="AQ259">
        <v>4.4741763189999997</v>
      </c>
      <c r="AR259">
        <v>4.5772621510000002</v>
      </c>
      <c r="AS259">
        <v>4.7723618830000003</v>
      </c>
      <c r="AT259">
        <v>4.9684463760000002</v>
      </c>
      <c r="AU259">
        <v>5.1668592049999997</v>
      </c>
      <c r="AV259">
        <v>5.3641076549999998</v>
      </c>
      <c r="AW259">
        <v>5.5678684599999997</v>
      </c>
    </row>
    <row r="260" spans="2:49" x14ac:dyDescent="0.25">
      <c r="B260" t="s">
        <v>290</v>
      </c>
      <c r="C260">
        <v>0.71679836909740502</v>
      </c>
      <c r="D260">
        <v>0.72830679876826598</v>
      </c>
      <c r="E260">
        <v>0.74398149140000003</v>
      </c>
      <c r="F260">
        <v>0.73782270179999998</v>
      </c>
      <c r="G260">
        <v>0.71184562870000001</v>
      </c>
      <c r="H260">
        <v>0.67822238450000005</v>
      </c>
      <c r="I260">
        <v>0.68282734479999996</v>
      </c>
      <c r="J260">
        <v>0.67234207820000003</v>
      </c>
      <c r="K260">
        <v>0.6395576141</v>
      </c>
      <c r="L260">
        <v>0.61731149659999995</v>
      </c>
      <c r="M260">
        <v>0.60674795010000004</v>
      </c>
      <c r="N260">
        <v>0.60475860319999997</v>
      </c>
      <c r="O260">
        <v>0.61987453199999998</v>
      </c>
      <c r="P260">
        <v>0.61191243240000004</v>
      </c>
      <c r="Q260">
        <v>0.57859387829999998</v>
      </c>
      <c r="R260">
        <v>0.54272149729999997</v>
      </c>
      <c r="S260">
        <v>1.4172785000000001</v>
      </c>
      <c r="T260">
        <v>1.1944378630000001</v>
      </c>
      <c r="U260">
        <v>1.000665725</v>
      </c>
      <c r="V260">
        <v>0.823004493</v>
      </c>
      <c r="W260">
        <v>0.94465030380000004</v>
      </c>
      <c r="X260">
        <v>0.90464389430000003</v>
      </c>
      <c r="Y260">
        <v>0.8592588941</v>
      </c>
      <c r="Z260">
        <v>0.8268264448</v>
      </c>
      <c r="AA260">
        <v>0.80264161369999998</v>
      </c>
      <c r="AB260">
        <v>0.7810639667</v>
      </c>
      <c r="AC260">
        <v>0.76332137820000001</v>
      </c>
      <c r="AD260">
        <v>0.74240093409999997</v>
      </c>
      <c r="AE260">
        <v>0.72200215759999997</v>
      </c>
      <c r="AF260">
        <v>0.70452239130000005</v>
      </c>
      <c r="AG260">
        <v>0.68649036750000003</v>
      </c>
      <c r="AH260">
        <v>0.66952161060000004</v>
      </c>
      <c r="AI260">
        <v>0.66206144870000005</v>
      </c>
      <c r="AJ260">
        <v>0.65515659439999996</v>
      </c>
      <c r="AK260">
        <v>0.6490975698</v>
      </c>
      <c r="AL260">
        <v>0.64367256039999998</v>
      </c>
      <c r="AM260">
        <v>0.63835359599999997</v>
      </c>
      <c r="AN260">
        <v>0.63233541950000005</v>
      </c>
      <c r="AO260">
        <v>0.62736567659999998</v>
      </c>
      <c r="AP260">
        <v>0.62242927299999995</v>
      </c>
      <c r="AQ260">
        <v>0.61868235270000005</v>
      </c>
      <c r="AR260">
        <v>0.61454701749999996</v>
      </c>
      <c r="AS260">
        <v>0.6113320833</v>
      </c>
      <c r="AT260">
        <v>0.60832912250000004</v>
      </c>
      <c r="AU260">
        <v>0.60566978329999999</v>
      </c>
      <c r="AV260">
        <v>0.60292009599999996</v>
      </c>
      <c r="AW260">
        <v>0.60092007000000003</v>
      </c>
    </row>
    <row r="261" spans="2:49" x14ac:dyDescent="0.25">
      <c r="B261" t="s">
        <v>291</v>
      </c>
      <c r="C261">
        <v>0.19372928894524399</v>
      </c>
      <c r="D261">
        <v>0.196839675342774</v>
      </c>
      <c r="E261">
        <v>0.2010760788</v>
      </c>
      <c r="F261">
        <v>0.2107932891</v>
      </c>
      <c r="G261">
        <v>0.2149795155</v>
      </c>
      <c r="H261">
        <v>0.2165159364</v>
      </c>
      <c r="I261">
        <v>0.23042794329999999</v>
      </c>
      <c r="J261">
        <v>0.23983967210000001</v>
      </c>
      <c r="K261">
        <v>0.2411664519</v>
      </c>
      <c r="L261">
        <v>0.24606399809999999</v>
      </c>
      <c r="M261">
        <v>0.25565748929999998</v>
      </c>
      <c r="N261">
        <v>0.26936350079999999</v>
      </c>
      <c r="O261">
        <v>0.28783187970000002</v>
      </c>
      <c r="P261">
        <v>0.29622750129999997</v>
      </c>
      <c r="Q261">
        <v>0.29203429089999999</v>
      </c>
      <c r="R261">
        <v>0.28561710480000002</v>
      </c>
      <c r="S261">
        <v>0.32127477570000001</v>
      </c>
      <c r="T261">
        <v>0.30029469149999999</v>
      </c>
      <c r="U261">
        <v>0.28379159549999999</v>
      </c>
      <c r="V261">
        <v>0.26933277630000002</v>
      </c>
      <c r="W261">
        <v>0.38418376999999998</v>
      </c>
      <c r="X261">
        <v>0.39558525249999998</v>
      </c>
      <c r="Y261">
        <v>0.39731952869999998</v>
      </c>
      <c r="Z261">
        <v>0.40298614849999997</v>
      </c>
      <c r="AA261">
        <v>0.4111602701</v>
      </c>
      <c r="AB261">
        <v>0.42248848239999998</v>
      </c>
      <c r="AC261">
        <v>0.43486048049999998</v>
      </c>
      <c r="AD261">
        <v>0.46363049880000001</v>
      </c>
      <c r="AE261">
        <v>0.49172285850000003</v>
      </c>
      <c r="AF261">
        <v>0.51949826870000004</v>
      </c>
      <c r="AG261">
        <v>0.54724832540000001</v>
      </c>
      <c r="AH261">
        <v>0.57503091829999997</v>
      </c>
      <c r="AI261">
        <v>0.57833381029999997</v>
      </c>
      <c r="AJ261">
        <v>0.58193364569999995</v>
      </c>
      <c r="AK261">
        <v>0.58611681859999998</v>
      </c>
      <c r="AL261">
        <v>0.59084060959999996</v>
      </c>
      <c r="AM261">
        <v>0.59553031000000001</v>
      </c>
      <c r="AN261">
        <v>0.59883198900000001</v>
      </c>
      <c r="AO261">
        <v>0.60299458679999995</v>
      </c>
      <c r="AP261">
        <v>0.60707229770000004</v>
      </c>
      <c r="AQ261">
        <v>0.61221036309999999</v>
      </c>
      <c r="AR261">
        <v>0.61687552229999998</v>
      </c>
      <c r="AS261">
        <v>0.62160451419999996</v>
      </c>
      <c r="AT261">
        <v>0.62652280839999996</v>
      </c>
      <c r="AU261">
        <v>0.63177574240000001</v>
      </c>
      <c r="AV261">
        <v>0.63691824939999997</v>
      </c>
      <c r="AW261">
        <v>0.64284508650000005</v>
      </c>
    </row>
    <row r="262" spans="2:49" x14ac:dyDescent="0.25">
      <c r="B262" t="s">
        <v>292</v>
      </c>
      <c r="C262">
        <v>0.38745857789048899</v>
      </c>
      <c r="D262">
        <v>0.39367935068554899</v>
      </c>
      <c r="E262">
        <v>0.4021521575</v>
      </c>
      <c r="F262">
        <v>0.45763561349999998</v>
      </c>
      <c r="G262">
        <v>0.50663262340000004</v>
      </c>
      <c r="H262">
        <v>0.55388420090000001</v>
      </c>
      <c r="I262">
        <v>0.63987816630000005</v>
      </c>
      <c r="J262">
        <v>0.72296322710000005</v>
      </c>
      <c r="K262">
        <v>0.78912375680000002</v>
      </c>
      <c r="L262">
        <v>0.87399578560000002</v>
      </c>
      <c r="M262">
        <v>0.98571830110000003</v>
      </c>
      <c r="N262">
        <v>1.127368994</v>
      </c>
      <c r="O262">
        <v>1.2167055490000001</v>
      </c>
      <c r="P262">
        <v>1.264710797</v>
      </c>
      <c r="Q262">
        <v>1.259270289</v>
      </c>
      <c r="R262">
        <v>1.243908902</v>
      </c>
      <c r="S262">
        <v>2.19185813</v>
      </c>
      <c r="T262">
        <v>2.194667999</v>
      </c>
      <c r="U262">
        <v>2.2182191859999998</v>
      </c>
      <c r="V262">
        <v>2.2483528439999998</v>
      </c>
      <c r="W262">
        <v>3.2975839269999998</v>
      </c>
      <c r="X262">
        <v>3.3793332409999999</v>
      </c>
      <c r="Y262">
        <v>3.485907321</v>
      </c>
      <c r="Z262">
        <v>3.6186769760000002</v>
      </c>
      <c r="AA262">
        <v>3.768163156</v>
      </c>
      <c r="AB262">
        <v>3.9425157689999999</v>
      </c>
      <c r="AC262">
        <v>4.1235328940000002</v>
      </c>
      <c r="AD262">
        <v>4.2800960410000002</v>
      </c>
      <c r="AE262">
        <v>4.4329303619999996</v>
      </c>
      <c r="AF262">
        <v>4.5851486279999998</v>
      </c>
      <c r="AG262">
        <v>4.742080852</v>
      </c>
      <c r="AH262">
        <v>4.9008533270000001</v>
      </c>
      <c r="AI262">
        <v>5.0429950339999996</v>
      </c>
      <c r="AJ262">
        <v>5.1855039850000004</v>
      </c>
      <c r="AK262">
        <v>5.3312551790000002</v>
      </c>
      <c r="AL262">
        <v>5.483200396</v>
      </c>
      <c r="AM262">
        <v>5.6333255680000001</v>
      </c>
      <c r="AN262">
        <v>5.7332239850000004</v>
      </c>
      <c r="AO262">
        <v>5.8403198290000002</v>
      </c>
      <c r="AP262">
        <v>5.9456764829999997</v>
      </c>
      <c r="AQ262">
        <v>6.0606409320000001</v>
      </c>
      <c r="AR262">
        <v>6.1702391150000002</v>
      </c>
      <c r="AS262">
        <v>6.2503798440000002</v>
      </c>
      <c r="AT262">
        <v>6.3323278800000002</v>
      </c>
      <c r="AU262">
        <v>6.4175913659999999</v>
      </c>
      <c r="AV262">
        <v>6.5016795089999997</v>
      </c>
      <c r="AW262">
        <v>6.5937549789999998</v>
      </c>
    </row>
    <row r="263" spans="2:49" x14ac:dyDescent="0.25">
      <c r="B263" t="s">
        <v>293</v>
      </c>
      <c r="C263">
        <v>1.1905732046364299</v>
      </c>
      <c r="D263">
        <v>1.2096882425386799</v>
      </c>
      <c r="E263">
        <v>1.229110199</v>
      </c>
      <c r="F263">
        <v>1.2315210889999999</v>
      </c>
      <c r="G263">
        <v>1.1449187329999999</v>
      </c>
      <c r="H263">
        <v>0.92601423009999995</v>
      </c>
      <c r="I263">
        <v>1.0179888459999999</v>
      </c>
      <c r="J263">
        <v>1.0425604260000001</v>
      </c>
      <c r="K263">
        <v>0.98423772379999996</v>
      </c>
      <c r="L263">
        <v>0.97519208479999997</v>
      </c>
      <c r="M263">
        <v>0.97964951410000001</v>
      </c>
      <c r="N263">
        <v>0.95446687779999995</v>
      </c>
      <c r="O263">
        <v>0.94806820520000001</v>
      </c>
      <c r="P263">
        <v>0.93623792750000001</v>
      </c>
      <c r="Q263">
        <v>0.92346104780000005</v>
      </c>
      <c r="R263">
        <v>0.9124547959</v>
      </c>
      <c r="S263">
        <v>0.90503557950000002</v>
      </c>
      <c r="T263">
        <v>0.89476977310000005</v>
      </c>
      <c r="U263">
        <v>0.89457958449999997</v>
      </c>
      <c r="V263">
        <v>0.89962734339999995</v>
      </c>
      <c r="W263">
        <v>0.89809505960000002</v>
      </c>
      <c r="X263">
        <v>0.89150585630000001</v>
      </c>
      <c r="Y263">
        <v>0.88800559680000002</v>
      </c>
      <c r="Z263">
        <v>0.88570730369999995</v>
      </c>
      <c r="AA263">
        <v>0.8849280249</v>
      </c>
      <c r="AB263">
        <v>0.88545210839999999</v>
      </c>
      <c r="AC263">
        <v>0.88747990659999998</v>
      </c>
      <c r="AD263">
        <v>0.8946039831</v>
      </c>
      <c r="AE263">
        <v>0.90380718530000004</v>
      </c>
      <c r="AF263">
        <v>0.91473904260000005</v>
      </c>
      <c r="AG263">
        <v>0.92674767410000003</v>
      </c>
      <c r="AH263">
        <v>0.93977203050000002</v>
      </c>
      <c r="AI263">
        <v>0.95345554860000004</v>
      </c>
      <c r="AJ263">
        <v>0.96770364929999997</v>
      </c>
      <c r="AK263">
        <v>0.98260997380000004</v>
      </c>
      <c r="AL263">
        <v>0.99791648389999998</v>
      </c>
      <c r="AM263">
        <v>1.0139757229999999</v>
      </c>
      <c r="AN263">
        <v>1.029576882</v>
      </c>
      <c r="AO263">
        <v>1.0456711670000001</v>
      </c>
      <c r="AP263">
        <v>1.0618065619999999</v>
      </c>
      <c r="AQ263">
        <v>1.078606309</v>
      </c>
      <c r="AR263">
        <v>1.0952550270000001</v>
      </c>
      <c r="AS263">
        <v>1.1120923519999999</v>
      </c>
      <c r="AT263">
        <v>1.1290265429999999</v>
      </c>
      <c r="AU263">
        <v>1.1460950780000001</v>
      </c>
      <c r="AV263">
        <v>1.1631692010000001</v>
      </c>
      <c r="AW263">
        <v>1.1806933129999999</v>
      </c>
    </row>
    <row r="264" spans="2:49" x14ac:dyDescent="0.25">
      <c r="B264" t="s">
        <v>294</v>
      </c>
      <c r="C264">
        <v>1.7112081308179601</v>
      </c>
      <c r="D264">
        <v>1.7386821308642</v>
      </c>
      <c r="E264">
        <v>1.766597204</v>
      </c>
      <c r="F264">
        <v>1.7874173019999999</v>
      </c>
      <c r="G264">
        <v>1.810204771</v>
      </c>
      <c r="H264">
        <v>1.7022867580000001</v>
      </c>
      <c r="I264">
        <v>1.7767751169999999</v>
      </c>
      <c r="J264">
        <v>1.8105798239999999</v>
      </c>
      <c r="K264">
        <v>1.791703268</v>
      </c>
      <c r="L264">
        <v>1.7992142</v>
      </c>
      <c r="M264">
        <v>1.8081049119999999</v>
      </c>
      <c r="N264">
        <v>1.8460067529999999</v>
      </c>
      <c r="O264">
        <v>1.8929711490000001</v>
      </c>
      <c r="P264">
        <v>1.91517286</v>
      </c>
      <c r="Q264">
        <v>1.92588648</v>
      </c>
      <c r="R264">
        <v>1.941051987</v>
      </c>
      <c r="S264">
        <v>1.9615180569999999</v>
      </c>
      <c r="T264">
        <v>1.9625009250000001</v>
      </c>
      <c r="U264">
        <v>1.9659001629999999</v>
      </c>
      <c r="V264">
        <v>1.9724249220000001</v>
      </c>
      <c r="W264">
        <v>1.971519698</v>
      </c>
      <c r="X264">
        <v>1.956091501</v>
      </c>
      <c r="Y264">
        <v>1.9491698500000001</v>
      </c>
      <c r="Z264">
        <v>1.952632731</v>
      </c>
      <c r="AA264">
        <v>1.9613065700000001</v>
      </c>
      <c r="AB264">
        <v>1.972527339</v>
      </c>
      <c r="AC264">
        <v>1.9853306159999999</v>
      </c>
      <c r="AD264">
        <v>2.0042428509999999</v>
      </c>
      <c r="AE264">
        <v>2.0293774500000001</v>
      </c>
      <c r="AF264">
        <v>2.0569253409999999</v>
      </c>
      <c r="AG264">
        <v>2.0896388240000001</v>
      </c>
      <c r="AH264">
        <v>2.121639885</v>
      </c>
      <c r="AI264">
        <v>2.1604897489999999</v>
      </c>
      <c r="AJ264">
        <v>2.1926809600000001</v>
      </c>
      <c r="AK264">
        <v>2.2381985790000001</v>
      </c>
      <c r="AL264">
        <v>2.267453433</v>
      </c>
      <c r="AM264">
        <v>2.3236415720000001</v>
      </c>
      <c r="AN264">
        <v>2.34045288</v>
      </c>
      <c r="AO264">
        <v>2.4159979049999998</v>
      </c>
      <c r="AP264">
        <v>2.4067136549999999</v>
      </c>
      <c r="AQ264">
        <v>2.5268110410000002</v>
      </c>
      <c r="AR264">
        <v>2.522531796</v>
      </c>
      <c r="AS264">
        <v>2.5689221099999999</v>
      </c>
      <c r="AT264">
        <v>2.5971679769999998</v>
      </c>
      <c r="AU264">
        <v>2.6590995949999998</v>
      </c>
      <c r="AV264">
        <v>2.6725197189999998</v>
      </c>
      <c r="AW264">
        <v>2.7603994850000002</v>
      </c>
    </row>
    <row r="265" spans="2:49" x14ac:dyDescent="0.25">
      <c r="B265" t="s">
        <v>295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2:49" x14ac:dyDescent="0.25">
      <c r="B266" t="s">
        <v>296</v>
      </c>
      <c r="C266">
        <v>1.5692072404564801</v>
      </c>
      <c r="D266">
        <v>1.5944013702764701</v>
      </c>
      <c r="E266">
        <v>1.6200002060000001</v>
      </c>
      <c r="F266">
        <v>1.6389765730000001</v>
      </c>
      <c r="G266">
        <v>1.663232187</v>
      </c>
      <c r="H266">
        <v>1.551759764</v>
      </c>
      <c r="I266">
        <v>1.6288634749999999</v>
      </c>
      <c r="J266">
        <v>1.6761074439999999</v>
      </c>
      <c r="K266">
        <v>1.6664686259999999</v>
      </c>
      <c r="L266">
        <v>1.6732747960000001</v>
      </c>
      <c r="M266">
        <v>1.6801261110000001</v>
      </c>
      <c r="N266">
        <v>1.696718564</v>
      </c>
      <c r="O266">
        <v>1.7709885249999999</v>
      </c>
      <c r="P266">
        <v>1.8488448470000001</v>
      </c>
      <c r="Q266">
        <v>1.9178909159999999</v>
      </c>
      <c r="R266">
        <v>1.976127921</v>
      </c>
      <c r="S266">
        <v>2.0205621900000001</v>
      </c>
      <c r="T266">
        <v>2.0144879219999998</v>
      </c>
      <c r="U266">
        <v>2.0045550649999999</v>
      </c>
      <c r="V266">
        <v>1.997564962</v>
      </c>
      <c r="W266">
        <v>1.9066782369999999</v>
      </c>
      <c r="X266">
        <v>1.8213295730000001</v>
      </c>
      <c r="Y266">
        <v>1.7638485909999999</v>
      </c>
      <c r="Z266">
        <v>1.7306819170000001</v>
      </c>
      <c r="AA266">
        <v>1.710821207</v>
      </c>
      <c r="AB266">
        <v>1.699584003</v>
      </c>
      <c r="AC266">
        <v>1.693306915</v>
      </c>
      <c r="AD266">
        <v>1.701619717</v>
      </c>
      <c r="AE266">
        <v>1.7189534200000001</v>
      </c>
      <c r="AF266">
        <v>1.739817505</v>
      </c>
      <c r="AG266">
        <v>1.765582268</v>
      </c>
      <c r="AH266">
        <v>1.7909897020000001</v>
      </c>
      <c r="AI266">
        <v>1.8225586920000001</v>
      </c>
      <c r="AJ266">
        <v>1.8485912149999999</v>
      </c>
      <c r="AK266">
        <v>1.885950249</v>
      </c>
      <c r="AL266">
        <v>1.9097495419999999</v>
      </c>
      <c r="AM266">
        <v>1.95604997</v>
      </c>
      <c r="AN266">
        <v>1.96940396</v>
      </c>
      <c r="AO266">
        <v>2.0324566860000002</v>
      </c>
      <c r="AP266">
        <v>2.0242709250000002</v>
      </c>
      <c r="AQ266">
        <v>2.125082141</v>
      </c>
      <c r="AR266">
        <v>2.1212924659999999</v>
      </c>
      <c r="AS266">
        <v>2.1598653379999999</v>
      </c>
      <c r="AT266">
        <v>2.1830411750000001</v>
      </c>
      <c r="AU266">
        <v>2.2344358469999999</v>
      </c>
      <c r="AV266">
        <v>2.2449233579999999</v>
      </c>
      <c r="AW266">
        <v>2.3178843819999999</v>
      </c>
    </row>
    <row r="267" spans="2:49" x14ac:dyDescent="0.25">
      <c r="B267" t="s">
        <v>297</v>
      </c>
      <c r="C267">
        <v>0.99189533402801899</v>
      </c>
      <c r="D267">
        <v>0.99189533402801799</v>
      </c>
      <c r="E267">
        <v>0.99189532579999995</v>
      </c>
      <c r="F267">
        <v>0.98719299760000001</v>
      </c>
      <c r="G267">
        <v>0.98253090730000003</v>
      </c>
      <c r="H267">
        <v>0.97786703210000003</v>
      </c>
      <c r="I267">
        <v>0.97325870889999999</v>
      </c>
      <c r="J267">
        <v>0.96867469780000004</v>
      </c>
      <c r="K267">
        <v>0.96412075190000002</v>
      </c>
      <c r="L267">
        <v>0.95959345910000005</v>
      </c>
      <c r="M267">
        <v>0.95507468500000003</v>
      </c>
      <c r="N267">
        <v>0.95058946609999995</v>
      </c>
      <c r="O267">
        <v>0.94786269499999998</v>
      </c>
      <c r="P267">
        <v>0.94500637750000005</v>
      </c>
      <c r="Q267">
        <v>0.94201177439999995</v>
      </c>
      <c r="R267">
        <v>0.9388456114</v>
      </c>
      <c r="S267">
        <v>0.95295276790000005</v>
      </c>
      <c r="T267">
        <v>0.95006016660000003</v>
      </c>
      <c r="U267">
        <v>0.94720674319999998</v>
      </c>
      <c r="V267">
        <v>0.94438895560000002</v>
      </c>
      <c r="W267">
        <v>0.92727339870000003</v>
      </c>
      <c r="X267">
        <v>0.92234178730000005</v>
      </c>
      <c r="Y267">
        <v>0.91729524330000001</v>
      </c>
      <c r="Z267">
        <v>0.91180006609999997</v>
      </c>
      <c r="AA267">
        <v>0.90578240379999997</v>
      </c>
      <c r="AB267">
        <v>0.89950872240000002</v>
      </c>
      <c r="AC267">
        <v>0.89257376919999998</v>
      </c>
      <c r="AD267">
        <v>0.87770636619999998</v>
      </c>
      <c r="AE267">
        <v>0.86124789700000004</v>
      </c>
      <c r="AF267">
        <v>0.84291260710000004</v>
      </c>
      <c r="AG267">
        <v>0.82278503479999998</v>
      </c>
      <c r="AH267">
        <v>0.80004288010000002</v>
      </c>
      <c r="AI267">
        <v>0.76843563439999996</v>
      </c>
      <c r="AJ267">
        <v>0.73217582469999998</v>
      </c>
      <c r="AK267">
        <v>0.69027061680000001</v>
      </c>
      <c r="AL267">
        <v>0.64287953710000001</v>
      </c>
      <c r="AM267">
        <v>0.58678200899999999</v>
      </c>
      <c r="AN267">
        <v>0.56269853690000005</v>
      </c>
      <c r="AO267">
        <v>0.53512709250000001</v>
      </c>
      <c r="AP267">
        <v>0.50136023249999995</v>
      </c>
      <c r="AQ267">
        <v>0.46227588520000001</v>
      </c>
      <c r="AR267">
        <v>0.41237777489999999</v>
      </c>
      <c r="AS267">
        <v>0.41751588509999998</v>
      </c>
      <c r="AT267">
        <v>0.42306191450000002</v>
      </c>
      <c r="AU267">
        <v>0.42990741389999998</v>
      </c>
      <c r="AV267">
        <v>0.43712650590000002</v>
      </c>
      <c r="AW267">
        <v>0.4467579149</v>
      </c>
    </row>
    <row r="268" spans="2:49" x14ac:dyDescent="0.25">
      <c r="B268" t="s">
        <v>298</v>
      </c>
      <c r="C268">
        <v>8.10466597198101E-3</v>
      </c>
      <c r="D268">
        <v>8.10466597198101E-3</v>
      </c>
      <c r="E268">
        <v>8.1046741600000003E-3</v>
      </c>
      <c r="F268">
        <v>1.28070024E-2</v>
      </c>
      <c r="G268">
        <v>1.7469092700000001E-2</v>
      </c>
      <c r="H268">
        <v>2.2132967900000002E-2</v>
      </c>
      <c r="I268">
        <v>2.6741291100000002E-2</v>
      </c>
      <c r="J268">
        <v>3.1325302200000002E-2</v>
      </c>
      <c r="K268">
        <v>3.5879248099999997E-2</v>
      </c>
      <c r="L268">
        <v>4.0406540900000003E-2</v>
      </c>
      <c r="M268">
        <v>4.4925315E-2</v>
      </c>
      <c r="N268">
        <v>4.9410533899999998E-2</v>
      </c>
      <c r="O268">
        <v>5.2137305000000002E-2</v>
      </c>
      <c r="P268">
        <v>5.4993622499999999E-2</v>
      </c>
      <c r="Q268">
        <v>5.7988225599999998E-2</v>
      </c>
      <c r="R268">
        <v>6.1154388599999998E-2</v>
      </c>
      <c r="S268">
        <v>4.7047232100000003E-2</v>
      </c>
      <c r="T268">
        <v>4.9939833400000001E-2</v>
      </c>
      <c r="U268">
        <v>5.27932568E-2</v>
      </c>
      <c r="V268">
        <v>5.5611044399999997E-2</v>
      </c>
      <c r="W268">
        <v>7.2726601299999999E-2</v>
      </c>
      <c r="X268">
        <v>7.7658212700000007E-2</v>
      </c>
      <c r="Y268">
        <v>8.2704756700000007E-2</v>
      </c>
      <c r="Z268">
        <v>8.8199933899999999E-2</v>
      </c>
      <c r="AA268">
        <v>9.4217596200000003E-2</v>
      </c>
      <c r="AB268">
        <v>0.1004912776</v>
      </c>
      <c r="AC268">
        <v>0.10742623079999999</v>
      </c>
      <c r="AD268">
        <v>0.1222936338</v>
      </c>
      <c r="AE268">
        <v>0.13875210299999999</v>
      </c>
      <c r="AF268">
        <v>0.15708739290000001</v>
      </c>
      <c r="AG268">
        <v>0.17721496519999999</v>
      </c>
      <c r="AH268">
        <v>0.19995711990000001</v>
      </c>
      <c r="AI268">
        <v>0.23156436559999999</v>
      </c>
      <c r="AJ268">
        <v>0.26782417530000002</v>
      </c>
      <c r="AK268">
        <v>0.30972938319999999</v>
      </c>
      <c r="AL268">
        <v>0.35712046289999999</v>
      </c>
      <c r="AM268">
        <v>0.41321799100000001</v>
      </c>
      <c r="AN268">
        <v>0.43730146310000001</v>
      </c>
      <c r="AO268">
        <v>0.46487290749999999</v>
      </c>
      <c r="AP268">
        <v>0.4986397675</v>
      </c>
      <c r="AQ268">
        <v>0.53772411480000004</v>
      </c>
      <c r="AR268">
        <v>0.58762222509999995</v>
      </c>
      <c r="AS268">
        <v>0.58248411489999996</v>
      </c>
      <c r="AT268">
        <v>0.57693808550000003</v>
      </c>
      <c r="AU268">
        <v>0.57009258610000002</v>
      </c>
      <c r="AV268">
        <v>0.56287349409999998</v>
      </c>
      <c r="AW268">
        <v>0.55324208509999995</v>
      </c>
    </row>
    <row r="269" spans="2:49" x14ac:dyDescent="0.25">
      <c r="B269" t="s">
        <v>299</v>
      </c>
      <c r="C269">
        <v>0.79896379760487002</v>
      </c>
      <c r="D269">
        <v>0.79896379760486902</v>
      </c>
      <c r="E269">
        <v>0.79896379760000003</v>
      </c>
      <c r="F269">
        <v>0.79854263209999998</v>
      </c>
      <c r="G269">
        <v>0.79812168849999998</v>
      </c>
      <c r="H269">
        <v>0.79770096690000003</v>
      </c>
      <c r="I269">
        <v>0.79728046699999999</v>
      </c>
      <c r="J269">
        <v>0.79686018879999998</v>
      </c>
      <c r="K269">
        <v>0.79644013209999998</v>
      </c>
      <c r="L269">
        <v>0.79602029689999998</v>
      </c>
      <c r="M269">
        <v>0.79560068299999998</v>
      </c>
      <c r="N269">
        <v>0.79518129029999995</v>
      </c>
      <c r="O269">
        <v>0.78222990709999995</v>
      </c>
      <c r="P269">
        <v>0.76778352620000001</v>
      </c>
      <c r="Q269">
        <v>0.75177697219999995</v>
      </c>
      <c r="R269">
        <v>0.73415414150000002</v>
      </c>
      <c r="S269">
        <v>0.69408091299999997</v>
      </c>
      <c r="T269">
        <v>0.69306060079999998</v>
      </c>
      <c r="U269">
        <v>0.69208266200000002</v>
      </c>
      <c r="V269">
        <v>0.69114451089999995</v>
      </c>
      <c r="W269">
        <v>0.64517757610000004</v>
      </c>
      <c r="X269">
        <v>0.64070667839999995</v>
      </c>
      <c r="Y269">
        <v>0.62987609739999995</v>
      </c>
      <c r="Z269">
        <v>0.61910397880000001</v>
      </c>
      <c r="AA269">
        <v>0.60838985069999996</v>
      </c>
      <c r="AB269">
        <v>0.59785288950000004</v>
      </c>
      <c r="AC269">
        <v>0.58736422160000001</v>
      </c>
      <c r="AD269">
        <v>0.57356573590000004</v>
      </c>
      <c r="AE269">
        <v>0.56000431569999998</v>
      </c>
      <c r="AF269">
        <v>0.5466739035</v>
      </c>
      <c r="AG269">
        <v>0.53408555280000003</v>
      </c>
      <c r="AH269">
        <v>0.52170143479999997</v>
      </c>
      <c r="AI269">
        <v>0.50927276690000001</v>
      </c>
      <c r="AJ269">
        <v>0.49704798369999997</v>
      </c>
      <c r="AK269">
        <v>0.4850221093</v>
      </c>
      <c r="AL269">
        <v>0.47391979890000002</v>
      </c>
      <c r="AM269">
        <v>0.4629888137</v>
      </c>
      <c r="AN269">
        <v>0.44452110880000001</v>
      </c>
      <c r="AO269">
        <v>0.42616317999999997</v>
      </c>
      <c r="AP269">
        <v>0.40791405139999998</v>
      </c>
      <c r="AQ269">
        <v>0.38977275849999998</v>
      </c>
      <c r="AR269">
        <v>0.37173834849999998</v>
      </c>
      <c r="AS269">
        <v>0.3522068344</v>
      </c>
      <c r="AT269">
        <v>0.33251009939999998</v>
      </c>
      <c r="AU269">
        <v>0.31264603819999998</v>
      </c>
      <c r="AV269">
        <v>0.29261250929999999</v>
      </c>
      <c r="AW269">
        <v>0.27240733480000001</v>
      </c>
    </row>
    <row r="270" spans="2:49" x14ac:dyDescent="0.25">
      <c r="B270" t="s">
        <v>300</v>
      </c>
      <c r="C270">
        <v>1.02537481030392E-2</v>
      </c>
      <c r="D270">
        <v>1.02537481030392E-2</v>
      </c>
      <c r="E270">
        <v>1.02537481E-2</v>
      </c>
      <c r="F270">
        <v>9.28913229E-3</v>
      </c>
      <c r="G270">
        <v>8.4152621800000008E-3</v>
      </c>
      <c r="H270">
        <v>7.6236009400000001E-3</v>
      </c>
      <c r="I270">
        <v>6.9064147999999999E-3</v>
      </c>
      <c r="J270">
        <v>6.2566975599999998E-3</v>
      </c>
      <c r="K270">
        <v>5.6681021099999999E-3</v>
      </c>
      <c r="L270">
        <v>5.1348784699999997E-3</v>
      </c>
      <c r="M270">
        <v>4.6518175500000003E-3</v>
      </c>
      <c r="N270">
        <v>4.21420033E-3</v>
      </c>
      <c r="O270">
        <v>3.8372227699999999E-3</v>
      </c>
      <c r="P270">
        <v>3.4862213600000001E-3</v>
      </c>
      <c r="Q270">
        <v>3.1596484300000002E-3</v>
      </c>
      <c r="R270">
        <v>2.8560813299999999E-3</v>
      </c>
      <c r="S270">
        <v>2.9085724800000001E-3</v>
      </c>
      <c r="T270">
        <v>4.7403159399999999E-3</v>
      </c>
      <c r="U270">
        <v>6.4959871600000002E-3</v>
      </c>
      <c r="V270">
        <v>8.1802286499999995E-3</v>
      </c>
      <c r="W270">
        <v>5.6701401799999999E-3</v>
      </c>
      <c r="X270">
        <v>3.9772643599999997E-3</v>
      </c>
      <c r="Y270">
        <v>3.2909602399999998E-3</v>
      </c>
      <c r="Z270">
        <v>2.6083607199999998E-3</v>
      </c>
      <c r="AA270">
        <v>1.9294359000000001E-3</v>
      </c>
      <c r="AB270">
        <v>1.26894414E-3</v>
      </c>
      <c r="AC270">
        <v>6.1147957700000003E-4</v>
      </c>
      <c r="AD270">
        <v>6.04408643E-4</v>
      </c>
      <c r="AE270">
        <v>5.9745919200000005E-4</v>
      </c>
      <c r="AF270">
        <v>5.9062811900000001E-4</v>
      </c>
      <c r="AG270">
        <v>5.8415934700000002E-4</v>
      </c>
      <c r="AH270">
        <v>5.7779552399999995E-4</v>
      </c>
      <c r="AI270">
        <v>4.64249738E-4</v>
      </c>
      <c r="AJ270">
        <v>3.5256660199999999E-4</v>
      </c>
      <c r="AK270">
        <v>2.42700655E-4</v>
      </c>
      <c r="AL270">
        <v>2.4913063199999999E-4</v>
      </c>
      <c r="AM270">
        <v>2.55461384E-4</v>
      </c>
      <c r="AN270">
        <v>2.4619436699999998E-4</v>
      </c>
      <c r="AO270">
        <v>2.36982435E-4</v>
      </c>
      <c r="AP270">
        <v>2.2782509900000001E-4</v>
      </c>
      <c r="AQ270">
        <v>2.1872187400000001E-4</v>
      </c>
      <c r="AR270">
        <v>2.0967228200000001E-4</v>
      </c>
      <c r="AS270">
        <v>2.10555377E-4</v>
      </c>
      <c r="AT270">
        <v>2.11445942E-4</v>
      </c>
      <c r="AU270">
        <v>2.1234407200000001E-4</v>
      </c>
      <c r="AV270">
        <v>2.1324986400000001E-4</v>
      </c>
      <c r="AW270">
        <v>2.14163418E-4</v>
      </c>
    </row>
    <row r="271" spans="2:49" x14ac:dyDescent="0.25">
      <c r="B271" t="s">
        <v>301</v>
      </c>
      <c r="C271">
        <v>4.0949078402655603E-2</v>
      </c>
      <c r="D271">
        <v>4.0949078402655603E-2</v>
      </c>
      <c r="E271">
        <v>4.0949078399999998E-2</v>
      </c>
      <c r="F271">
        <v>3.93031244E-2</v>
      </c>
      <c r="G271">
        <v>3.7723329700000002E-2</v>
      </c>
      <c r="H271">
        <v>3.62070351E-2</v>
      </c>
      <c r="I271">
        <v>3.4751688099999997E-2</v>
      </c>
      <c r="J271">
        <v>3.3354839099999999E-2</v>
      </c>
      <c r="K271">
        <v>3.20141366E-2</v>
      </c>
      <c r="L271">
        <v>3.0727323800000001E-2</v>
      </c>
      <c r="M271">
        <v>2.94922346E-2</v>
      </c>
      <c r="N271">
        <v>2.83067901E-2</v>
      </c>
      <c r="O271">
        <v>3.1063401899999999E-2</v>
      </c>
      <c r="P271">
        <v>3.40128887E-2</v>
      </c>
      <c r="Q271">
        <v>3.71521436E-2</v>
      </c>
      <c r="R271">
        <v>4.0473637700000002E-2</v>
      </c>
      <c r="S271">
        <v>6.1546973300000002E-2</v>
      </c>
      <c r="T271">
        <v>4.6782661500000003E-2</v>
      </c>
      <c r="U271">
        <v>3.2631510900000001E-2</v>
      </c>
      <c r="V271">
        <v>1.9056101999999998E-2</v>
      </c>
      <c r="W271">
        <v>4.6399030100000002E-2</v>
      </c>
      <c r="X271">
        <v>4.1259733E-2</v>
      </c>
      <c r="Y271">
        <v>4.0980023099999999E-2</v>
      </c>
      <c r="Z271">
        <v>4.0701822999999998E-2</v>
      </c>
      <c r="AA271">
        <v>4.0425120500000002E-2</v>
      </c>
      <c r="AB271">
        <v>4.0146598499999998E-2</v>
      </c>
      <c r="AC271">
        <v>3.9869353099999998E-2</v>
      </c>
      <c r="AD271">
        <v>3.4138287400000002E-2</v>
      </c>
      <c r="AE271">
        <v>2.8505684600000001E-2</v>
      </c>
      <c r="AF271">
        <v>2.2969028700000001E-2</v>
      </c>
      <c r="AG271">
        <v>1.7758554400000001E-2</v>
      </c>
      <c r="AH271">
        <v>1.26326146E-2</v>
      </c>
      <c r="AI271">
        <v>1.1753575699999999E-2</v>
      </c>
      <c r="AJ271">
        <v>1.0888956999999999E-2</v>
      </c>
      <c r="AK271">
        <v>1.0038406499999999E-2</v>
      </c>
      <c r="AL271">
        <v>9.2689726799999907E-3</v>
      </c>
      <c r="AM271">
        <v>8.5114124199999995E-3</v>
      </c>
      <c r="AN271">
        <v>8.6968810500000007E-3</v>
      </c>
      <c r="AO271">
        <v>8.8812472199999905E-3</v>
      </c>
      <c r="AP271">
        <v>9.0645207200000001E-3</v>
      </c>
      <c r="AQ271">
        <v>9.2467112499999907E-3</v>
      </c>
      <c r="AR271">
        <v>9.4278283599999995E-3</v>
      </c>
      <c r="AS271">
        <v>1.1405538600000001E-2</v>
      </c>
      <c r="AT271">
        <v>1.3399978599999999E-2</v>
      </c>
      <c r="AU271">
        <v>1.5411361700000001E-2</v>
      </c>
      <c r="AV271">
        <v>1.74399046E-2</v>
      </c>
      <c r="AW271">
        <v>1.9485827899999999E-2</v>
      </c>
    </row>
    <row r="272" spans="2:49" x14ac:dyDescent="0.25">
      <c r="B272" t="s">
        <v>302</v>
      </c>
      <c r="C272">
        <v>4.0858446639591303E-2</v>
      </c>
      <c r="D272">
        <v>4.0858446639591303E-2</v>
      </c>
      <c r="E272">
        <v>4.0858446600000001E-2</v>
      </c>
      <c r="F272">
        <v>3.8169239799999997E-2</v>
      </c>
      <c r="G272">
        <v>3.5657030200000002E-2</v>
      </c>
      <c r="H272">
        <v>3.33101684E-2</v>
      </c>
      <c r="I272">
        <v>3.1117771499999999E-2</v>
      </c>
      <c r="J272">
        <v>2.9069672899999999E-2</v>
      </c>
      <c r="K272">
        <v>2.7156375399999998E-2</v>
      </c>
      <c r="L272">
        <v>2.5369006699999998E-2</v>
      </c>
      <c r="M272">
        <v>2.3699278399999999E-2</v>
      </c>
      <c r="N272">
        <v>2.2139447600000001E-2</v>
      </c>
      <c r="O272">
        <v>2.0123113299999999E-2</v>
      </c>
      <c r="P272">
        <v>1.8249865800000001E-2</v>
      </c>
      <c r="Q272">
        <v>1.6510872900000001E-2</v>
      </c>
      <c r="R272">
        <v>1.48980146E-2</v>
      </c>
      <c r="S272">
        <v>5.7328033000000004E-3</v>
      </c>
      <c r="T272">
        <v>4.6851091799999999E-3</v>
      </c>
      <c r="U272">
        <v>3.6809257700000002E-3</v>
      </c>
      <c r="V272">
        <v>2.7175976999999998E-3</v>
      </c>
      <c r="W272">
        <v>3.5234689500000002E-3</v>
      </c>
      <c r="X272">
        <v>2.9612773799999998E-3</v>
      </c>
      <c r="Y272">
        <v>2.3574040600000002E-3</v>
      </c>
      <c r="Z272">
        <v>1.75679039E-3</v>
      </c>
      <c r="AA272">
        <v>1.1594100500000001E-3</v>
      </c>
      <c r="AB272">
        <v>8.1001251800000003E-4</v>
      </c>
      <c r="AC272">
        <v>4.6221635399999999E-4</v>
      </c>
      <c r="AD272">
        <v>3.8184282199999999E-4</v>
      </c>
      <c r="AE272">
        <v>3.02850152E-4</v>
      </c>
      <c r="AF272">
        <v>2.25203059E-4</v>
      </c>
      <c r="AG272">
        <v>2.2336127799999999E-4</v>
      </c>
      <c r="AH272">
        <v>2.2154937699999999E-4</v>
      </c>
      <c r="AI272">
        <v>2.1971715799999999E-4</v>
      </c>
      <c r="AJ272">
        <v>2.17914994E-4</v>
      </c>
      <c r="AK272">
        <v>2.1614215400000001E-4</v>
      </c>
      <c r="AL272">
        <v>2.1446148799999999E-4</v>
      </c>
      <c r="AM272">
        <v>2.1280675799999999E-4</v>
      </c>
      <c r="AN272">
        <v>2.12172388E-4</v>
      </c>
      <c r="AO272">
        <v>2.11541789E-4</v>
      </c>
      <c r="AP272">
        <v>2.1091492699999999E-4</v>
      </c>
      <c r="AQ272">
        <v>2.10291769E-4</v>
      </c>
      <c r="AR272">
        <v>2.0967228200000001E-4</v>
      </c>
      <c r="AS272">
        <v>2.10555377E-4</v>
      </c>
      <c r="AT272">
        <v>2.11445942E-4</v>
      </c>
      <c r="AU272">
        <v>2.1234407200000001E-4</v>
      </c>
      <c r="AV272">
        <v>2.1324986400000001E-4</v>
      </c>
      <c r="AW272">
        <v>2.14163418E-4</v>
      </c>
    </row>
    <row r="273" spans="2:49" x14ac:dyDescent="0.25">
      <c r="B273" t="s">
        <v>303</v>
      </c>
      <c r="C273">
        <v>8.2546962733871607E-3</v>
      </c>
      <c r="D273">
        <v>8.2546962733871607E-3</v>
      </c>
      <c r="E273">
        <v>8.2546962700000004E-3</v>
      </c>
      <c r="F273">
        <v>1.3385109900000001E-2</v>
      </c>
      <c r="G273">
        <v>1.8063529700000001E-2</v>
      </c>
      <c r="H273">
        <v>2.2286687400000001E-2</v>
      </c>
      <c r="I273">
        <v>2.6043462699999999E-2</v>
      </c>
      <c r="J273">
        <v>2.93135359E-2</v>
      </c>
      <c r="K273">
        <v>3.2065675000000002E-2</v>
      </c>
      <c r="L273">
        <v>3.4255574300000001E-2</v>
      </c>
      <c r="M273">
        <v>3.58231387E-2</v>
      </c>
      <c r="N273">
        <v>3.6689084400000002E-2</v>
      </c>
      <c r="O273">
        <v>4.1917166399999997E-2</v>
      </c>
      <c r="P273">
        <v>4.7784062400000001E-2</v>
      </c>
      <c r="Q273">
        <v>5.4340055399999997E-2</v>
      </c>
      <c r="R273">
        <v>6.1631833800000001E-2</v>
      </c>
      <c r="S273">
        <v>8.39523571E-2</v>
      </c>
      <c r="T273">
        <v>8.8159484400000002E-2</v>
      </c>
      <c r="U273">
        <v>9.2191889900000004E-2</v>
      </c>
      <c r="V273">
        <v>9.6060236399999999E-2</v>
      </c>
      <c r="W273">
        <v>0.1057388997</v>
      </c>
      <c r="X273">
        <v>0.1116736986</v>
      </c>
      <c r="Y273">
        <v>0.1174777957</v>
      </c>
      <c r="Z273">
        <v>0.1232505627</v>
      </c>
      <c r="AA273">
        <v>0.12899225280000001</v>
      </c>
      <c r="AB273">
        <v>0.13450869800000001</v>
      </c>
      <c r="AC273">
        <v>0.1399998599</v>
      </c>
      <c r="AD273">
        <v>0.15319456840000001</v>
      </c>
      <c r="AE273">
        <v>0.1661625846</v>
      </c>
      <c r="AF273">
        <v>0.178909701</v>
      </c>
      <c r="AG273">
        <v>0.1908366373</v>
      </c>
      <c r="AH273">
        <v>0.20257007169999999</v>
      </c>
      <c r="AI273">
        <v>0.2139233284</v>
      </c>
      <c r="AJ273">
        <v>0.2250903417</v>
      </c>
      <c r="AK273">
        <v>0.23607565729999999</v>
      </c>
      <c r="AL273">
        <v>0.24598568030000001</v>
      </c>
      <c r="AM273">
        <v>0.25574277680000002</v>
      </c>
      <c r="AN273">
        <v>0.26931416530000002</v>
      </c>
      <c r="AO273">
        <v>0.28280488240000001</v>
      </c>
      <c r="AP273">
        <v>0.2962156454</v>
      </c>
      <c r="AQ273">
        <v>0.30954716300000001</v>
      </c>
      <c r="AR273">
        <v>0.32280013549999997</v>
      </c>
      <c r="AS273">
        <v>0.33653524109999999</v>
      </c>
      <c r="AT273">
        <v>0.35038653479999998</v>
      </c>
      <c r="AU273">
        <v>0.36435549690000002</v>
      </c>
      <c r="AV273">
        <v>0.37844363339999998</v>
      </c>
      <c r="AW273">
        <v>0.39265247590000002</v>
      </c>
    </row>
    <row r="274" spans="2:49" x14ac:dyDescent="0.25">
      <c r="B274" t="s">
        <v>304</v>
      </c>
      <c r="C274">
        <v>1.85730666151211E-3</v>
      </c>
      <c r="D274">
        <v>1.85730666151211E-3</v>
      </c>
      <c r="E274">
        <v>1.8573066599999999E-3</v>
      </c>
      <c r="F274">
        <v>2.3029467500000002E-3</v>
      </c>
      <c r="G274">
        <v>2.85551323E-3</v>
      </c>
      <c r="H274">
        <v>3.5406618999999999E-3</v>
      </c>
      <c r="I274">
        <v>4.3902043700000002E-3</v>
      </c>
      <c r="J274">
        <v>5.4435851100000003E-3</v>
      </c>
      <c r="K274">
        <v>6.7497128599999998E-3</v>
      </c>
      <c r="L274">
        <v>8.3692314399999995E-3</v>
      </c>
      <c r="M274">
        <v>1.0377335499999999E-2</v>
      </c>
      <c r="N274">
        <v>1.28672618E-2</v>
      </c>
      <c r="O274">
        <v>1.5169190399999999E-2</v>
      </c>
      <c r="P274">
        <v>1.7843283599999999E-2</v>
      </c>
      <c r="Q274">
        <v>2.0937894499999998E-2</v>
      </c>
      <c r="R274">
        <v>2.45041275E-2</v>
      </c>
      <c r="S274">
        <v>3.6998234300000002E-2</v>
      </c>
      <c r="T274">
        <v>3.8852336899999999E-2</v>
      </c>
      <c r="U274">
        <v>4.0629438699999999E-2</v>
      </c>
      <c r="V274">
        <v>4.23342388E-2</v>
      </c>
      <c r="W274">
        <v>4.8363738900000001E-2</v>
      </c>
      <c r="X274">
        <v>5.4378422599999997E-2</v>
      </c>
      <c r="Y274">
        <v>6.31716747E-2</v>
      </c>
      <c r="Z274">
        <v>7.1917461700000004E-2</v>
      </c>
      <c r="AA274">
        <v>8.0616166700000005E-2</v>
      </c>
      <c r="AB274">
        <v>8.8746043799999896E-2</v>
      </c>
      <c r="AC274">
        <v>9.6838659600000002E-2</v>
      </c>
      <c r="AD274">
        <v>0.1039757067</v>
      </c>
      <c r="AE274">
        <v>0.1109901355</v>
      </c>
      <c r="AF274">
        <v>0.1178850791</v>
      </c>
      <c r="AG274">
        <v>0.1243455854</v>
      </c>
      <c r="AH274">
        <v>0.13070127679999999</v>
      </c>
      <c r="AI274">
        <v>0.13489016249999999</v>
      </c>
      <c r="AJ274">
        <v>0.13901033209999999</v>
      </c>
      <c r="AK274">
        <v>0.1430634627</v>
      </c>
      <c r="AL274">
        <v>0.1467582459</v>
      </c>
      <c r="AM274">
        <v>0.1503960131</v>
      </c>
      <c r="AN274">
        <v>0.1564281142</v>
      </c>
      <c r="AO274">
        <v>0.1624243591</v>
      </c>
      <c r="AP274">
        <v>0.1683850667</v>
      </c>
      <c r="AQ274">
        <v>0.1743105519</v>
      </c>
      <c r="AR274">
        <v>0.18020112599999999</v>
      </c>
      <c r="AS274">
        <v>0.18491657719999999</v>
      </c>
      <c r="AT274">
        <v>0.1896719174</v>
      </c>
      <c r="AU274">
        <v>0.1944676548</v>
      </c>
      <c r="AV274">
        <v>0.19930430639999999</v>
      </c>
      <c r="AW274">
        <v>0.2041823981</v>
      </c>
    </row>
    <row r="275" spans="2:49" x14ac:dyDescent="0.25">
      <c r="B275" t="s">
        <v>305</v>
      </c>
      <c r="C275">
        <v>9.2848272947954696E-2</v>
      </c>
      <c r="D275">
        <v>9.2848272947954599E-2</v>
      </c>
      <c r="E275">
        <v>9.2848272900000001E-2</v>
      </c>
      <c r="F275">
        <v>9.2738145600000002E-2</v>
      </c>
      <c r="G275">
        <v>9.2628149000000007E-2</v>
      </c>
      <c r="H275">
        <v>9.2518282699999996E-2</v>
      </c>
      <c r="I275">
        <v>9.2408546800000005E-2</v>
      </c>
      <c r="J275">
        <v>9.2298941100000004E-2</v>
      </c>
      <c r="K275">
        <v>9.2189465400000004E-2</v>
      </c>
      <c r="L275">
        <v>9.2080119500000002E-2</v>
      </c>
      <c r="M275">
        <v>9.1970903300000004E-2</v>
      </c>
      <c r="N275">
        <v>9.1861816600000007E-2</v>
      </c>
      <c r="O275">
        <v>9.5526416500000003E-2</v>
      </c>
      <c r="P275">
        <v>9.9116978100000003E-2</v>
      </c>
      <c r="Q275">
        <v>0.1025931762</v>
      </c>
      <c r="R275">
        <v>0.1059099842</v>
      </c>
      <c r="S275">
        <v>0.10258601320000001</v>
      </c>
      <c r="T275">
        <v>0.1077269341</v>
      </c>
      <c r="U275">
        <v>0.11265435259999999</v>
      </c>
      <c r="V275">
        <v>0.11738129849999999</v>
      </c>
      <c r="W275">
        <v>0.1196975339</v>
      </c>
      <c r="X275">
        <v>0.11909036739999999</v>
      </c>
      <c r="Y275">
        <v>0.1174431589</v>
      </c>
      <c r="Z275">
        <v>0.1158048419</v>
      </c>
      <c r="AA275">
        <v>0.11417534460000001</v>
      </c>
      <c r="AB275">
        <v>0.1129086651</v>
      </c>
      <c r="AC275">
        <v>0.1116477912</v>
      </c>
      <c r="AD275">
        <v>0.1101397358</v>
      </c>
      <c r="AE275">
        <v>0.1086575897</v>
      </c>
      <c r="AF275">
        <v>0.1072006907</v>
      </c>
      <c r="AG275">
        <v>0.105893156</v>
      </c>
      <c r="AH275">
        <v>0.1046068346</v>
      </c>
      <c r="AI275">
        <v>0.10213729439999999</v>
      </c>
      <c r="AJ275">
        <v>9.9708265399999996E-2</v>
      </c>
      <c r="AK275">
        <v>9.7318759099999999E-2</v>
      </c>
      <c r="AL275">
        <v>9.5265141100000006E-2</v>
      </c>
      <c r="AM275">
        <v>9.3243213599999999E-2</v>
      </c>
      <c r="AN275">
        <v>9.3110189699999998E-2</v>
      </c>
      <c r="AO275">
        <v>9.29779565E-2</v>
      </c>
      <c r="AP275">
        <v>9.2846507100000003E-2</v>
      </c>
      <c r="AQ275">
        <v>9.2715834299999994E-2</v>
      </c>
      <c r="AR275">
        <v>9.2585931499999996E-2</v>
      </c>
      <c r="AS275">
        <v>9.2156244100000007E-2</v>
      </c>
      <c r="AT275">
        <v>9.1722921900000004E-2</v>
      </c>
      <c r="AU275">
        <v>9.1285918600000002E-2</v>
      </c>
      <c r="AV275">
        <v>9.0845186999999994E-2</v>
      </c>
      <c r="AW275">
        <v>9.0400679299999995E-2</v>
      </c>
    </row>
    <row r="276" spans="2:49" x14ac:dyDescent="0.25">
      <c r="B276" t="s">
        <v>306</v>
      </c>
      <c r="C276">
        <v>6.0146533669896496E-3</v>
      </c>
      <c r="D276">
        <v>6.0146533669896496E-3</v>
      </c>
      <c r="E276">
        <v>6.0146533700000003E-3</v>
      </c>
      <c r="F276">
        <v>6.2696692400000002E-3</v>
      </c>
      <c r="G276">
        <v>6.5354975499999999E-3</v>
      </c>
      <c r="H276">
        <v>6.8125967500000002E-3</v>
      </c>
      <c r="I276">
        <v>7.1014447E-3</v>
      </c>
      <c r="J276">
        <v>7.4025395400000001E-3</v>
      </c>
      <c r="K276">
        <v>7.7164005299999996E-3</v>
      </c>
      <c r="L276">
        <v>8.0435689499999997E-3</v>
      </c>
      <c r="M276">
        <v>8.3846090100000003E-3</v>
      </c>
      <c r="N276">
        <v>8.7401088599999999E-3</v>
      </c>
      <c r="O276">
        <v>1.01335816E-2</v>
      </c>
      <c r="P276">
        <v>1.17231739E-2</v>
      </c>
      <c r="Q276">
        <v>1.35292368E-2</v>
      </c>
      <c r="R276">
        <v>1.55721794E-2</v>
      </c>
      <c r="S276">
        <v>1.21941333E-2</v>
      </c>
      <c r="T276">
        <v>1.5992557300000002E-2</v>
      </c>
      <c r="U276">
        <v>1.9633232899999999E-2</v>
      </c>
      <c r="V276">
        <v>2.3125786999999998E-2</v>
      </c>
      <c r="W276">
        <v>2.5429612300000001E-2</v>
      </c>
      <c r="X276">
        <v>2.59525582E-2</v>
      </c>
      <c r="Y276">
        <v>2.5402885900000002E-2</v>
      </c>
      <c r="Z276">
        <v>2.4856180799999999E-2</v>
      </c>
      <c r="AA276">
        <v>2.4312418700000001E-2</v>
      </c>
      <c r="AB276">
        <v>2.37581485E-2</v>
      </c>
      <c r="AC276">
        <v>2.3206418699999998E-2</v>
      </c>
      <c r="AD276">
        <v>2.3999714200000001E-2</v>
      </c>
      <c r="AE276">
        <v>2.47793805E-2</v>
      </c>
      <c r="AF276">
        <v>2.5545765799999998E-2</v>
      </c>
      <c r="AG276">
        <v>2.6272993500000001E-2</v>
      </c>
      <c r="AH276">
        <v>2.6988422599999999E-2</v>
      </c>
      <c r="AI276">
        <v>2.7338905199999999E-2</v>
      </c>
      <c r="AJ276">
        <v>2.7683638399999998E-2</v>
      </c>
      <c r="AK276">
        <v>2.8022762400000002E-2</v>
      </c>
      <c r="AL276">
        <v>2.8338569000000001E-2</v>
      </c>
      <c r="AM276">
        <v>2.86495022E-2</v>
      </c>
      <c r="AN276">
        <v>2.74711742E-2</v>
      </c>
      <c r="AO276">
        <v>2.6299850499999999E-2</v>
      </c>
      <c r="AP276">
        <v>2.51354687E-2</v>
      </c>
      <c r="AQ276">
        <v>2.3977967400000001E-2</v>
      </c>
      <c r="AR276">
        <v>2.2827285700000002E-2</v>
      </c>
      <c r="AS276">
        <v>2.2358453800000001E-2</v>
      </c>
      <c r="AT276">
        <v>2.1885656E-2</v>
      </c>
      <c r="AU276">
        <v>2.14088417E-2</v>
      </c>
      <c r="AV276">
        <v>2.0927959499999999E-2</v>
      </c>
      <c r="AW276">
        <v>2.04429572E-2</v>
      </c>
    </row>
    <row r="277" spans="2:49" x14ac:dyDescent="0.25">
      <c r="B277" t="s">
        <v>307</v>
      </c>
      <c r="C277">
        <v>0.92287069498865704</v>
      </c>
      <c r="D277">
        <v>0.92287069498865704</v>
      </c>
      <c r="E277">
        <v>0.92285345399999996</v>
      </c>
      <c r="F277">
        <v>0.91580034519999998</v>
      </c>
      <c r="G277">
        <v>0.90892104730000001</v>
      </c>
      <c r="H277">
        <v>0.90182068319999997</v>
      </c>
      <c r="I277">
        <v>0.89502733079999997</v>
      </c>
      <c r="J277">
        <v>0.8883145992</v>
      </c>
      <c r="K277">
        <v>0.88167376330000002</v>
      </c>
      <c r="L277">
        <v>0.87507744799999998</v>
      </c>
      <c r="M277">
        <v>0.86844038999999995</v>
      </c>
      <c r="N277">
        <v>0.86180637689999995</v>
      </c>
      <c r="O277">
        <v>0.83691448589999995</v>
      </c>
      <c r="P277">
        <v>0.80739007060000001</v>
      </c>
      <c r="Q277">
        <v>0.7728920896</v>
      </c>
      <c r="R277">
        <v>0.73287661260000003</v>
      </c>
      <c r="S277">
        <v>0.70219252340000005</v>
      </c>
      <c r="T277">
        <v>0.69978838109999997</v>
      </c>
      <c r="U277">
        <v>0.69723132160000001</v>
      </c>
      <c r="V277">
        <v>0.69468584229999997</v>
      </c>
      <c r="W277">
        <v>0.62319001230000004</v>
      </c>
      <c r="X277">
        <v>0.60372006869999995</v>
      </c>
      <c r="Y277">
        <v>0.57968867609999997</v>
      </c>
      <c r="Z277">
        <v>0.55495493240000004</v>
      </c>
      <c r="AA277">
        <v>0.52944154170000002</v>
      </c>
      <c r="AB277">
        <v>0.50513863349999999</v>
      </c>
      <c r="AC277">
        <v>0.48005240580000003</v>
      </c>
      <c r="AD277">
        <v>0.4560713367</v>
      </c>
      <c r="AE277">
        <v>0.43218862180000001</v>
      </c>
      <c r="AF277">
        <v>0.40825922640000001</v>
      </c>
      <c r="AG277">
        <v>0.38683043389999999</v>
      </c>
      <c r="AH277">
        <v>0.36525775290000001</v>
      </c>
      <c r="AI277">
        <v>0.34520776530000002</v>
      </c>
      <c r="AJ277">
        <v>0.32499813350000001</v>
      </c>
      <c r="AK277">
        <v>0.3051544417</v>
      </c>
      <c r="AL277">
        <v>0.28731568260000001</v>
      </c>
      <c r="AM277">
        <v>0.27032451740000002</v>
      </c>
      <c r="AN277">
        <v>0.2570237031</v>
      </c>
      <c r="AO277">
        <v>0.24553066160000001</v>
      </c>
      <c r="AP277">
        <v>0.231332487</v>
      </c>
      <c r="AQ277">
        <v>0.2213312791</v>
      </c>
      <c r="AR277">
        <v>0.20725432769999999</v>
      </c>
      <c r="AS277">
        <v>0.19138467640000001</v>
      </c>
      <c r="AT277">
        <v>0.17476414160000001</v>
      </c>
      <c r="AU277">
        <v>0.15923835310000001</v>
      </c>
      <c r="AV277">
        <v>0.14185047570000001</v>
      </c>
      <c r="AW277">
        <v>0.1270803523</v>
      </c>
    </row>
    <row r="278" spans="2:49" x14ac:dyDescent="0.25">
      <c r="B278" t="s">
        <v>308</v>
      </c>
      <c r="C278">
        <v>4.1245617653124303E-2</v>
      </c>
      <c r="D278">
        <v>4.1245617653124303E-2</v>
      </c>
      <c r="E278">
        <v>4.1254837400000001E-2</v>
      </c>
      <c r="F278">
        <v>4.7474178200000001E-2</v>
      </c>
      <c r="G278">
        <v>5.3373724300000001E-2</v>
      </c>
      <c r="H278">
        <v>5.9167075E-2</v>
      </c>
      <c r="I278">
        <v>6.4520142799999999E-2</v>
      </c>
      <c r="J278">
        <v>6.9541849399999994E-2</v>
      </c>
      <c r="K278">
        <v>7.4211054299999996E-2</v>
      </c>
      <c r="L278">
        <v>7.8515116600000004E-2</v>
      </c>
      <c r="M278">
        <v>8.2473652999999994E-2</v>
      </c>
      <c r="N278">
        <v>8.6019665300000006E-2</v>
      </c>
      <c r="O278">
        <v>0.109237846</v>
      </c>
      <c r="P278">
        <v>0.13749655329999999</v>
      </c>
      <c r="Q278">
        <v>0.17125877170000001</v>
      </c>
      <c r="R278">
        <v>0.21108966479999999</v>
      </c>
      <c r="S278">
        <v>0.1830585861</v>
      </c>
      <c r="T278">
        <v>0.188650348</v>
      </c>
      <c r="U278">
        <v>0.1942437541</v>
      </c>
      <c r="V278">
        <v>0.1997425514</v>
      </c>
      <c r="W278">
        <v>0.1955951437</v>
      </c>
      <c r="X278">
        <v>0.19259061960000001</v>
      </c>
      <c r="Y278">
        <v>0.19385789549999999</v>
      </c>
      <c r="Z278">
        <v>0.1951557988</v>
      </c>
      <c r="AA278">
        <v>0.19650569940000001</v>
      </c>
      <c r="AB278">
        <v>0.19780292329999999</v>
      </c>
      <c r="AC278">
        <v>0.19915582060000001</v>
      </c>
      <c r="AD278">
        <v>0.19790330040000001</v>
      </c>
      <c r="AE278">
        <v>0.19655818629999999</v>
      </c>
      <c r="AF278">
        <v>0.19517981540000001</v>
      </c>
      <c r="AG278">
        <v>0.19366996219999999</v>
      </c>
      <c r="AH278">
        <v>0.19216891320000001</v>
      </c>
      <c r="AI278">
        <v>0.1902693805</v>
      </c>
      <c r="AJ278">
        <v>0.18843005430000001</v>
      </c>
      <c r="AK278">
        <v>0.18650332040000001</v>
      </c>
      <c r="AL278">
        <v>0.18465884430000001</v>
      </c>
      <c r="AM278">
        <v>0.1826069421</v>
      </c>
      <c r="AN278">
        <v>0.18132444070000001</v>
      </c>
      <c r="AO278">
        <v>0.17961232590000001</v>
      </c>
      <c r="AP278">
        <v>0.17855018210000001</v>
      </c>
      <c r="AQ278">
        <v>0.17652687419999999</v>
      </c>
      <c r="AR278">
        <v>0.17544163700000001</v>
      </c>
      <c r="AS278">
        <v>0.17459782569999999</v>
      </c>
      <c r="AT278">
        <v>0.1738953479</v>
      </c>
      <c r="AU278">
        <v>0.17294410869999999</v>
      </c>
      <c r="AV278">
        <v>0.17235510200000001</v>
      </c>
      <c r="AW278">
        <v>0.1712239613</v>
      </c>
    </row>
    <row r="279" spans="2:49" x14ac:dyDescent="0.25">
      <c r="B279" t="s">
        <v>309</v>
      </c>
      <c r="C279">
        <v>5.1557022066405396E-3</v>
      </c>
      <c r="D279">
        <v>5.1557022066405396E-3</v>
      </c>
      <c r="E279">
        <v>5.1568546799999997E-3</v>
      </c>
      <c r="F279">
        <v>4.8228147299999996E-3</v>
      </c>
      <c r="G279">
        <v>4.5046035099999999E-3</v>
      </c>
      <c r="H279">
        <v>4.22005464E-3</v>
      </c>
      <c r="I279">
        <v>3.9431288899999997E-3</v>
      </c>
      <c r="J279">
        <v>3.68393612E-3</v>
      </c>
      <c r="K279">
        <v>3.4416757899999998E-3</v>
      </c>
      <c r="L279">
        <v>3.2159528599999998E-3</v>
      </c>
      <c r="M279">
        <v>3.00745089E-3</v>
      </c>
      <c r="N279">
        <v>2.8135024199999999E-3</v>
      </c>
      <c r="O279">
        <v>2.7293854399999999E-3</v>
      </c>
      <c r="P279">
        <v>2.6243741699999998E-3</v>
      </c>
      <c r="Q279">
        <v>2.49705993E-3</v>
      </c>
      <c r="R279">
        <v>2.3511769300000001E-3</v>
      </c>
      <c r="S279">
        <v>1.0237739500000001E-2</v>
      </c>
      <c r="T279">
        <v>9.5592488500000003E-3</v>
      </c>
      <c r="U279">
        <v>8.90310144E-3</v>
      </c>
      <c r="V279">
        <v>8.2627428499999905E-3</v>
      </c>
      <c r="W279">
        <v>3.3541511500000003E-2</v>
      </c>
      <c r="X279">
        <v>4.148686E-2</v>
      </c>
      <c r="Y279">
        <v>5.0071534000000001E-2</v>
      </c>
      <c r="Z279">
        <v>5.8910843499999997E-2</v>
      </c>
      <c r="AA279">
        <v>6.8022320900000002E-2</v>
      </c>
      <c r="AB279">
        <v>7.5292271600000002E-2</v>
      </c>
      <c r="AC279">
        <v>8.2790660599999996E-2</v>
      </c>
      <c r="AD279">
        <v>9.6728493499999998E-2</v>
      </c>
      <c r="AE279">
        <v>0.1107039101</v>
      </c>
      <c r="AF279">
        <v>0.1247363354</v>
      </c>
      <c r="AG279">
        <v>0.1362450945</v>
      </c>
      <c r="AH279">
        <v>0.14781569219999999</v>
      </c>
      <c r="AI279">
        <v>0.16018882749999999</v>
      </c>
      <c r="AJ279">
        <v>0.17258766179999999</v>
      </c>
      <c r="AK279">
        <v>0.18487867629999999</v>
      </c>
      <c r="AL279">
        <v>0.1947383993</v>
      </c>
      <c r="AM279">
        <v>0.20435712389999999</v>
      </c>
      <c r="AN279">
        <v>0.21101361790000001</v>
      </c>
      <c r="AO279">
        <v>0.21714932510000001</v>
      </c>
      <c r="AP279">
        <v>0.22405981780000001</v>
      </c>
      <c r="AQ279">
        <v>0.22973820340000001</v>
      </c>
      <c r="AR279">
        <v>0.2366101407</v>
      </c>
      <c r="AS279">
        <v>0.24759827279999999</v>
      </c>
      <c r="AT279">
        <v>0.25884617560000001</v>
      </c>
      <c r="AU279">
        <v>0.26977663660000001</v>
      </c>
      <c r="AV279">
        <v>0.28133443819999998</v>
      </c>
      <c r="AW279">
        <v>0.29205753470000001</v>
      </c>
    </row>
    <row r="280" spans="2:49" x14ac:dyDescent="0.25">
      <c r="B280" t="s">
        <v>310</v>
      </c>
      <c r="C280">
        <v>1.5260878531656001E-2</v>
      </c>
      <c r="D280">
        <v>1.5260878531656001E-2</v>
      </c>
      <c r="E280">
        <v>1.52642899E-2</v>
      </c>
      <c r="F280">
        <v>1.4960673799999999E-2</v>
      </c>
      <c r="G280">
        <v>1.4644212E-2</v>
      </c>
      <c r="H280">
        <v>1.4377599200000001E-2</v>
      </c>
      <c r="I280">
        <v>1.40788809E-2</v>
      </c>
      <c r="J280">
        <v>1.37847253E-2</v>
      </c>
      <c r="K280">
        <v>1.34963037E-2</v>
      </c>
      <c r="L280">
        <v>1.3216407600000001E-2</v>
      </c>
      <c r="M280">
        <v>1.29527254E-2</v>
      </c>
      <c r="N280">
        <v>1.26989779E-2</v>
      </c>
      <c r="O280">
        <v>1.27406124E-2</v>
      </c>
      <c r="P280">
        <v>1.26693736E-2</v>
      </c>
      <c r="Q280">
        <v>1.24670101E-2</v>
      </c>
      <c r="R280">
        <v>1.21401097E-2</v>
      </c>
      <c r="S280">
        <v>3.4474586299999999E-2</v>
      </c>
      <c r="T280">
        <v>3.0100979E-2</v>
      </c>
      <c r="U280">
        <v>2.5849501699999999E-2</v>
      </c>
      <c r="V280">
        <v>2.1695615000000001E-2</v>
      </c>
      <c r="W280">
        <v>2.75537735E-2</v>
      </c>
      <c r="X280">
        <v>2.86919954E-2</v>
      </c>
      <c r="Y280">
        <v>2.9259509600000001E-2</v>
      </c>
      <c r="Z280">
        <v>2.9842888500000001E-2</v>
      </c>
      <c r="AA280">
        <v>3.04459046E-2</v>
      </c>
      <c r="AB280">
        <v>3.0902201099999999E-2</v>
      </c>
      <c r="AC280">
        <v>3.1374952599999999E-2</v>
      </c>
      <c r="AD280">
        <v>3.1056731600000002E-2</v>
      </c>
      <c r="AE280">
        <v>3.0723287200000001E-2</v>
      </c>
      <c r="AF280">
        <v>3.03840113E-2</v>
      </c>
      <c r="AG280">
        <v>3.00247415E-2</v>
      </c>
      <c r="AH280">
        <v>2.9666282400000001E-2</v>
      </c>
      <c r="AI280">
        <v>2.9680971E-2</v>
      </c>
      <c r="AJ280">
        <v>2.97044952E-2</v>
      </c>
      <c r="AK280">
        <v>2.9713622299999999E-2</v>
      </c>
      <c r="AL280">
        <v>2.9737962600000001E-2</v>
      </c>
      <c r="AM280">
        <v>2.9728292600000001E-2</v>
      </c>
      <c r="AN280">
        <v>2.97785315E-2</v>
      </c>
      <c r="AO280">
        <v>2.9757549000000001E-2</v>
      </c>
      <c r="AP280">
        <v>2.9843898600000002E-2</v>
      </c>
      <c r="AQ280">
        <v>2.9768762800000001E-2</v>
      </c>
      <c r="AR280">
        <v>2.9850946E-2</v>
      </c>
      <c r="AS280">
        <v>2.9888957899999999E-2</v>
      </c>
      <c r="AT280">
        <v>2.9952052999999999E-2</v>
      </c>
      <c r="AU280">
        <v>2.99730923E-2</v>
      </c>
      <c r="AV280">
        <v>3.00578432E-2</v>
      </c>
      <c r="AW280">
        <v>3.0048800800000001E-2</v>
      </c>
    </row>
    <row r="281" spans="2:49" x14ac:dyDescent="0.25">
      <c r="B281" t="s">
        <v>311</v>
      </c>
      <c r="C281">
        <v>5.1557022066405396E-3</v>
      </c>
      <c r="D281">
        <v>5.1557022066405396E-3</v>
      </c>
      <c r="E281">
        <v>5.1568546799999997E-3</v>
      </c>
      <c r="F281">
        <v>5.3427632800000001E-3</v>
      </c>
      <c r="G281">
        <v>5.5282449399999996E-3</v>
      </c>
      <c r="H281">
        <v>5.7373868599999997E-3</v>
      </c>
      <c r="I281">
        <v>5.9388504199999999E-3</v>
      </c>
      <c r="J281">
        <v>6.1466552899999997E-3</v>
      </c>
      <c r="K281">
        <v>6.3615372800000002E-3</v>
      </c>
      <c r="L281">
        <v>6.5851723900000004E-3</v>
      </c>
      <c r="M281">
        <v>6.8221516900000001E-3</v>
      </c>
      <c r="N281">
        <v>7.0702614500000004E-3</v>
      </c>
      <c r="O281">
        <v>7.3420021199999998E-3</v>
      </c>
      <c r="P281">
        <v>7.5567810899999999E-3</v>
      </c>
      <c r="Q281">
        <v>7.69664592E-3</v>
      </c>
      <c r="R281">
        <v>7.7574557199999996E-3</v>
      </c>
      <c r="S281">
        <v>8.9533592000000002E-3</v>
      </c>
      <c r="T281">
        <v>8.6540378500000008E-3</v>
      </c>
      <c r="U281">
        <v>8.3676556800000006E-3</v>
      </c>
      <c r="V281">
        <v>8.0888280800000007E-3</v>
      </c>
      <c r="W281">
        <v>1.2534192499999999E-2</v>
      </c>
      <c r="X281">
        <v>1.3990969000000001E-2</v>
      </c>
      <c r="Y281">
        <v>1.50530986E-2</v>
      </c>
      <c r="Z281">
        <v>1.6146402000000001E-2</v>
      </c>
      <c r="AA281">
        <v>1.7273940500000001E-2</v>
      </c>
      <c r="AB281">
        <v>1.84737115E-2</v>
      </c>
      <c r="AC281">
        <v>1.9711671199999999E-2</v>
      </c>
      <c r="AD281">
        <v>2.1329809599999999E-2</v>
      </c>
      <c r="AE281">
        <v>2.2947949799999999E-2</v>
      </c>
      <c r="AF281">
        <v>2.45713332E-2</v>
      </c>
      <c r="AG281">
        <v>2.61998378E-2</v>
      </c>
      <c r="AH281">
        <v>2.7837646099999998E-2</v>
      </c>
      <c r="AI281">
        <v>2.82568682E-2</v>
      </c>
      <c r="AJ281">
        <v>2.86837772E-2</v>
      </c>
      <c r="AK281">
        <v>2.9095987199999999E-2</v>
      </c>
      <c r="AL281">
        <v>2.9527153600000001E-2</v>
      </c>
      <c r="AM281">
        <v>2.9923783799999999E-2</v>
      </c>
      <c r="AN281">
        <v>3.0344181599999999E-2</v>
      </c>
      <c r="AO281">
        <v>3.0691061400000001E-2</v>
      </c>
      <c r="AP281">
        <v>3.11481454E-2</v>
      </c>
      <c r="AQ281">
        <v>3.1435531099999997E-2</v>
      </c>
      <c r="AR281">
        <v>3.1887840200000003E-2</v>
      </c>
      <c r="AS281">
        <v>3.22499022E-2</v>
      </c>
      <c r="AT281">
        <v>3.2640592400000001E-2</v>
      </c>
      <c r="AU281">
        <v>3.2986835499999999E-2</v>
      </c>
      <c r="AV281">
        <v>3.3404817599999997E-2</v>
      </c>
      <c r="AW281">
        <v>3.3719861099999998E-2</v>
      </c>
    </row>
    <row r="282" spans="2:49" x14ac:dyDescent="0.25">
      <c r="B282" t="s">
        <v>312</v>
      </c>
      <c r="C282">
        <v>1.0311404413280999E-2</v>
      </c>
      <c r="D282">
        <v>1.0311404413280999E-2</v>
      </c>
      <c r="E282">
        <v>1.0313709399999999E-2</v>
      </c>
      <c r="F282">
        <v>1.15992248E-2</v>
      </c>
      <c r="G282">
        <v>1.3028168E-2</v>
      </c>
      <c r="H282">
        <v>1.46772011E-2</v>
      </c>
      <c r="I282">
        <v>1.6491666200000001E-2</v>
      </c>
      <c r="J282">
        <v>1.85282347E-2</v>
      </c>
      <c r="K282">
        <v>2.08156655E-2</v>
      </c>
      <c r="L282">
        <v>2.33899025E-2</v>
      </c>
      <c r="M282">
        <v>2.63036291E-2</v>
      </c>
      <c r="N282">
        <v>2.9591216E-2</v>
      </c>
      <c r="O282">
        <v>3.1035668200000002E-2</v>
      </c>
      <c r="P282">
        <v>3.2262847300000001E-2</v>
      </c>
      <c r="Q282">
        <v>3.3188422799999999E-2</v>
      </c>
      <c r="R282">
        <v>3.3784980200000002E-2</v>
      </c>
      <c r="S282">
        <v>6.1083205500000001E-2</v>
      </c>
      <c r="T282">
        <v>6.3247005199999998E-2</v>
      </c>
      <c r="U282">
        <v>6.54046655E-2</v>
      </c>
      <c r="V282">
        <v>6.7524420399999896E-2</v>
      </c>
      <c r="W282">
        <v>0.1075853665</v>
      </c>
      <c r="X282">
        <v>0.1195194874</v>
      </c>
      <c r="Y282">
        <v>0.1320692862</v>
      </c>
      <c r="Z282">
        <v>0.1449891348</v>
      </c>
      <c r="AA282">
        <v>0.15831059289999999</v>
      </c>
      <c r="AB282">
        <v>0.17239025899999999</v>
      </c>
      <c r="AC282">
        <v>0.18691448920000001</v>
      </c>
      <c r="AD282">
        <v>0.19691032829999999</v>
      </c>
      <c r="AE282">
        <v>0.20687804470000001</v>
      </c>
      <c r="AF282">
        <v>0.2168692783</v>
      </c>
      <c r="AG282">
        <v>0.2270299301</v>
      </c>
      <c r="AH282">
        <v>0.23725371310000001</v>
      </c>
      <c r="AI282">
        <v>0.2463961875</v>
      </c>
      <c r="AJ282">
        <v>0.255595878</v>
      </c>
      <c r="AK282">
        <v>0.26465395219999999</v>
      </c>
      <c r="AL282">
        <v>0.27402195759999998</v>
      </c>
      <c r="AM282">
        <v>0.2830593401</v>
      </c>
      <c r="AN282">
        <v>0.2905155251</v>
      </c>
      <c r="AO282">
        <v>0.29725907709999999</v>
      </c>
      <c r="AP282">
        <v>0.30506546919999999</v>
      </c>
      <c r="AQ282">
        <v>0.31119934929999998</v>
      </c>
      <c r="AR282">
        <v>0.31895510840000002</v>
      </c>
      <c r="AS282">
        <v>0.32428036500000001</v>
      </c>
      <c r="AT282">
        <v>0.32990168959999999</v>
      </c>
      <c r="AU282">
        <v>0.33508097370000001</v>
      </c>
      <c r="AV282">
        <v>0.34099732329999999</v>
      </c>
      <c r="AW282">
        <v>0.34586948979999999</v>
      </c>
    </row>
    <row r="283" spans="2:49" x14ac:dyDescent="0.25">
      <c r="B283" t="s">
        <v>313</v>
      </c>
      <c r="C283">
        <v>0.99172610111270199</v>
      </c>
      <c r="D283">
        <v>0.99172610111270199</v>
      </c>
      <c r="E283">
        <v>0.99172610110000003</v>
      </c>
      <c r="F283">
        <v>0.98692243619999998</v>
      </c>
      <c r="G283">
        <v>0.98214203899999997</v>
      </c>
      <c r="H283">
        <v>0.97738479680000001</v>
      </c>
      <c r="I283">
        <v>0.97265059740000004</v>
      </c>
      <c r="J283">
        <v>0.96793932930000004</v>
      </c>
      <c r="K283">
        <v>0.96325088140000004</v>
      </c>
      <c r="L283">
        <v>0.95858514299999997</v>
      </c>
      <c r="M283">
        <v>0.95394200429999998</v>
      </c>
      <c r="N283">
        <v>0.94932135579999999</v>
      </c>
      <c r="O283">
        <v>0.94649834600000005</v>
      </c>
      <c r="P283">
        <v>0.94352743750000001</v>
      </c>
      <c r="Q283">
        <v>0.94040194440000002</v>
      </c>
      <c r="R283">
        <v>0.93711499880000004</v>
      </c>
      <c r="S283">
        <v>0.95161573820000001</v>
      </c>
      <c r="T283">
        <v>0.94863721099999998</v>
      </c>
      <c r="U283">
        <v>0.94569023600000002</v>
      </c>
      <c r="V283">
        <v>0.94277431450000004</v>
      </c>
      <c r="W283">
        <v>0.92508293470000003</v>
      </c>
      <c r="X283">
        <v>0.91990019570000003</v>
      </c>
      <c r="Y283">
        <v>0.91458085170000003</v>
      </c>
      <c r="Z283">
        <v>0.90876938439999999</v>
      </c>
      <c r="AA283">
        <v>0.90239418770000002</v>
      </c>
      <c r="AB283">
        <v>0.89572874390000001</v>
      </c>
      <c r="AC283">
        <v>0.88835184919999999</v>
      </c>
      <c r="AD283">
        <v>0.87271637950000003</v>
      </c>
      <c r="AE283">
        <v>0.85535379339999995</v>
      </c>
      <c r="AF283">
        <v>0.83596119219999998</v>
      </c>
      <c r="AG283">
        <v>0.81460574409999997</v>
      </c>
      <c r="AH283">
        <v>0.79043580189999996</v>
      </c>
      <c r="AI283">
        <v>0.75683640210000003</v>
      </c>
      <c r="AJ283">
        <v>0.71826303300000005</v>
      </c>
      <c r="AK283">
        <v>0.67352290510000001</v>
      </c>
      <c r="AL283">
        <v>0.62296323119999997</v>
      </c>
      <c r="AM283">
        <v>0.5628175876</v>
      </c>
      <c r="AN283">
        <v>0.53680529440000002</v>
      </c>
      <c r="AO283">
        <v>0.50636456480000003</v>
      </c>
      <c r="AP283">
        <v>0.47025930859999998</v>
      </c>
      <c r="AQ283">
        <v>0.4267462091</v>
      </c>
      <c r="AR283">
        <v>0.373284809</v>
      </c>
      <c r="AS283">
        <v>0.37769387129999998</v>
      </c>
      <c r="AT283">
        <v>0.3828154446</v>
      </c>
      <c r="AU283">
        <v>0.38883742539999999</v>
      </c>
      <c r="AV283">
        <v>0.39602014429999999</v>
      </c>
      <c r="AW283">
        <v>0.40473499280000003</v>
      </c>
    </row>
    <row r="284" spans="2:49" x14ac:dyDescent="0.25">
      <c r="B284" t="s">
        <v>314</v>
      </c>
      <c r="C284">
        <v>0.91950930808135101</v>
      </c>
      <c r="D284">
        <v>0.91950930808135101</v>
      </c>
      <c r="E284">
        <v>0.91950930809999998</v>
      </c>
      <c r="F284">
        <v>0.91215096689999997</v>
      </c>
      <c r="G284">
        <v>0.90485151050000001</v>
      </c>
      <c r="H284">
        <v>0.89761046779999998</v>
      </c>
      <c r="I284">
        <v>0.89042737130000005</v>
      </c>
      <c r="J284">
        <v>0.88330175730000005</v>
      </c>
      <c r="K284">
        <v>0.87623316569999998</v>
      </c>
      <c r="L284">
        <v>0.86922114029999997</v>
      </c>
      <c r="M284">
        <v>0.86226522839999997</v>
      </c>
      <c r="N284">
        <v>0.85536498090000002</v>
      </c>
      <c r="O284">
        <v>0.82919865599999998</v>
      </c>
      <c r="P284">
        <v>0.79785612839999998</v>
      </c>
      <c r="Q284">
        <v>0.76080142579999999</v>
      </c>
      <c r="R284">
        <v>0.71772633799999996</v>
      </c>
      <c r="S284">
        <v>0.68442251590000003</v>
      </c>
      <c r="T284">
        <v>0.68128557830000003</v>
      </c>
      <c r="U284">
        <v>0.67821213570000005</v>
      </c>
      <c r="V284">
        <v>0.67520027940000005</v>
      </c>
      <c r="W284">
        <v>0.59819520029999995</v>
      </c>
      <c r="X284">
        <v>0.57643558719999999</v>
      </c>
      <c r="Y284">
        <v>0.54958941120000004</v>
      </c>
      <c r="Z284">
        <v>0.52179472319999998</v>
      </c>
      <c r="AA284">
        <v>0.4930003509</v>
      </c>
      <c r="AB284">
        <v>0.46541008690000002</v>
      </c>
      <c r="AC284">
        <v>0.43682571349999999</v>
      </c>
      <c r="AD284">
        <v>0.40987338810000001</v>
      </c>
      <c r="AE284">
        <v>0.38266548299999997</v>
      </c>
      <c r="AF284">
        <v>0.35519834550000001</v>
      </c>
      <c r="AG284">
        <v>0.33021461600000002</v>
      </c>
      <c r="AH284">
        <v>0.30499904690000001</v>
      </c>
      <c r="AI284">
        <v>0.28119961659999998</v>
      </c>
      <c r="AJ284">
        <v>0.25732735270000001</v>
      </c>
      <c r="AK284">
        <v>0.2333819204</v>
      </c>
      <c r="AL284">
        <v>0.21212098939999999</v>
      </c>
      <c r="AM284">
        <v>0.1907903708</v>
      </c>
      <c r="AN284">
        <v>0.1746595212</v>
      </c>
      <c r="AO284">
        <v>0.15847728150000001</v>
      </c>
      <c r="AP284">
        <v>0.1422434058</v>
      </c>
      <c r="AQ284">
        <v>0.12595764640000001</v>
      </c>
      <c r="AR284">
        <v>0.1096197543</v>
      </c>
      <c r="AS284">
        <v>8.9338193900000001E-2</v>
      </c>
      <c r="AT284">
        <v>6.8864096299999997E-2</v>
      </c>
      <c r="AU284">
        <v>4.8194706800000001E-2</v>
      </c>
      <c r="AV284">
        <v>2.7327217800000001E-2</v>
      </c>
      <c r="AW284">
        <v>6.2587675799999996E-3</v>
      </c>
    </row>
    <row r="285" spans="2:49" x14ac:dyDescent="0.25">
      <c r="B285" t="s">
        <v>315</v>
      </c>
      <c r="C285">
        <v>383714635.27038902</v>
      </c>
      <c r="D285">
        <v>389875297.85567099</v>
      </c>
      <c r="E285">
        <v>396134871.89999998</v>
      </c>
      <c r="F285">
        <v>412015962.39999998</v>
      </c>
      <c r="G285">
        <v>421142046.19999999</v>
      </c>
      <c r="H285">
        <v>439537742.5</v>
      </c>
      <c r="I285">
        <v>454175219.19999999</v>
      </c>
      <c r="J285">
        <v>471399717.39999998</v>
      </c>
      <c r="K285">
        <v>493298723.89999998</v>
      </c>
      <c r="L285">
        <v>519361374.69999999</v>
      </c>
      <c r="M285">
        <v>549574613.60000002</v>
      </c>
      <c r="N285">
        <v>565404891.79999995</v>
      </c>
      <c r="O285">
        <v>564692559.5</v>
      </c>
      <c r="P285">
        <v>564413232</v>
      </c>
      <c r="Q285">
        <v>563182343.39999998</v>
      </c>
      <c r="R285">
        <v>562978063.29999995</v>
      </c>
      <c r="S285">
        <v>568377327.89999998</v>
      </c>
      <c r="T285">
        <v>573702959.79999995</v>
      </c>
      <c r="U285">
        <v>576506816.20000005</v>
      </c>
      <c r="V285">
        <v>578374129.29999995</v>
      </c>
      <c r="W285">
        <v>572078281</v>
      </c>
      <c r="X285">
        <v>562930567.60000002</v>
      </c>
      <c r="Y285">
        <v>553929114.70000005</v>
      </c>
      <c r="Z285">
        <v>545571722.60000002</v>
      </c>
      <c r="AA285">
        <v>537762186.39999998</v>
      </c>
      <c r="AB285">
        <v>530293607.69999999</v>
      </c>
      <c r="AC285">
        <v>522993639.5</v>
      </c>
      <c r="AD285">
        <v>517753798.30000001</v>
      </c>
      <c r="AE285">
        <v>513461271.39999998</v>
      </c>
      <c r="AF285">
        <v>509533133.80000001</v>
      </c>
      <c r="AG285">
        <v>505718503</v>
      </c>
      <c r="AH285">
        <v>501907326.30000001</v>
      </c>
      <c r="AI285">
        <v>498041293</v>
      </c>
      <c r="AJ285">
        <v>494116060.10000002</v>
      </c>
      <c r="AK285">
        <v>490180020.89999998</v>
      </c>
      <c r="AL285">
        <v>486243137</v>
      </c>
      <c r="AM285">
        <v>482386187.60000002</v>
      </c>
      <c r="AN285">
        <v>478703834</v>
      </c>
      <c r="AO285">
        <v>475255398.10000002</v>
      </c>
      <c r="AP285">
        <v>471871093.89999998</v>
      </c>
      <c r="AQ285">
        <v>468687556.69999999</v>
      </c>
      <c r="AR285">
        <v>465483940.5</v>
      </c>
      <c r="AS285">
        <v>462327413.5</v>
      </c>
      <c r="AT285">
        <v>459173528.69999999</v>
      </c>
      <c r="AU285">
        <v>456059499.60000002</v>
      </c>
      <c r="AV285">
        <v>452926631.89999998</v>
      </c>
      <c r="AW285">
        <v>449873469.60000002</v>
      </c>
    </row>
    <row r="286" spans="2:49" x14ac:dyDescent="0.25">
      <c r="B286" t="s">
        <v>316</v>
      </c>
      <c r="C286">
        <v>261485.90393552999</v>
      </c>
      <c r="D286">
        <v>265684.14470322698</v>
      </c>
      <c r="E286">
        <v>269949.78960000002</v>
      </c>
      <c r="F286">
        <v>277098.17170000001</v>
      </c>
      <c r="G286">
        <v>283659.86829999997</v>
      </c>
      <c r="H286">
        <v>284994.99819999997</v>
      </c>
      <c r="I286">
        <v>276969.24219999998</v>
      </c>
      <c r="J286">
        <v>276311.07939999999</v>
      </c>
      <c r="K286">
        <v>278560.18609999999</v>
      </c>
      <c r="L286">
        <v>278778.19709999999</v>
      </c>
      <c r="M286">
        <v>284116.59600000002</v>
      </c>
      <c r="N286">
        <v>292990.47159999999</v>
      </c>
      <c r="O286">
        <v>300379.13520000002</v>
      </c>
      <c r="P286">
        <v>308878.95010000002</v>
      </c>
      <c r="Q286">
        <v>317365.6201</v>
      </c>
      <c r="R286">
        <v>328595.4534</v>
      </c>
      <c r="S286">
        <v>344344.00790000003</v>
      </c>
      <c r="T286">
        <v>360897.24969999999</v>
      </c>
      <c r="U286">
        <v>372023.09620000003</v>
      </c>
      <c r="V286">
        <v>382660.10930000001</v>
      </c>
      <c r="W286">
        <v>391677.37699999998</v>
      </c>
      <c r="X286">
        <v>398807.1874</v>
      </c>
      <c r="Y286">
        <v>406517.08110000001</v>
      </c>
      <c r="Z286">
        <v>415440.6005</v>
      </c>
      <c r="AA286">
        <v>424930.61709999997</v>
      </c>
      <c r="AB286">
        <v>434492.08590000001</v>
      </c>
      <c r="AC286">
        <v>443840.29310000001</v>
      </c>
      <c r="AD286">
        <v>448874.48210000002</v>
      </c>
      <c r="AE286">
        <v>455479.34899999999</v>
      </c>
      <c r="AF286">
        <v>461970.52549999999</v>
      </c>
      <c r="AG286">
        <v>467764.18709999998</v>
      </c>
      <c r="AH286">
        <v>472705.9558</v>
      </c>
      <c r="AI286">
        <v>477036.5208</v>
      </c>
      <c r="AJ286">
        <v>480960.01059999998</v>
      </c>
      <c r="AK286">
        <v>484840.69870000001</v>
      </c>
      <c r="AL286">
        <v>488590.08380000002</v>
      </c>
      <c r="AM286">
        <v>493155.67070000002</v>
      </c>
      <c r="AN286">
        <v>497626.65740000003</v>
      </c>
      <c r="AO286">
        <v>502897.17599999998</v>
      </c>
      <c r="AP286">
        <v>507354.76329999999</v>
      </c>
      <c r="AQ286">
        <v>513396.69449999998</v>
      </c>
      <c r="AR286">
        <v>518272.47139999998</v>
      </c>
      <c r="AS286">
        <v>524007.07140000002</v>
      </c>
      <c r="AT286">
        <v>529611.32140000002</v>
      </c>
      <c r="AU286">
        <v>535688.62320000003</v>
      </c>
      <c r="AV286">
        <v>541326.49800000002</v>
      </c>
      <c r="AW286">
        <v>547924.83360000001</v>
      </c>
    </row>
    <row r="287" spans="2:49" x14ac:dyDescent="0.25">
      <c r="B287" t="s">
        <v>317</v>
      </c>
      <c r="C287">
        <v>158336.21117690401</v>
      </c>
      <c r="D287">
        <v>160878.35026264799</v>
      </c>
      <c r="E287">
        <v>163461.30420000001</v>
      </c>
      <c r="F287">
        <v>168432.22510000001</v>
      </c>
      <c r="G287">
        <v>175099.23300000001</v>
      </c>
      <c r="H287">
        <v>184375.0638</v>
      </c>
      <c r="I287">
        <v>192030.4235</v>
      </c>
      <c r="J287">
        <v>200640.8302</v>
      </c>
      <c r="K287">
        <v>215030.5569</v>
      </c>
      <c r="L287">
        <v>230856.481</v>
      </c>
      <c r="M287">
        <v>247457.1078</v>
      </c>
      <c r="N287">
        <v>260450.02830000001</v>
      </c>
      <c r="O287">
        <v>261242.96429999999</v>
      </c>
      <c r="P287">
        <v>258856.2923</v>
      </c>
      <c r="Q287">
        <v>254988.948</v>
      </c>
      <c r="R287">
        <v>253654.0907</v>
      </c>
      <c r="S287">
        <v>254237.47889999999</v>
      </c>
      <c r="T287">
        <v>256757.45250000001</v>
      </c>
      <c r="U287">
        <v>258383.55420000001</v>
      </c>
      <c r="V287">
        <v>259201.42600000001</v>
      </c>
      <c r="W287">
        <v>262516.83159999998</v>
      </c>
      <c r="X287">
        <v>261941.42819999999</v>
      </c>
      <c r="Y287">
        <v>260623.9572</v>
      </c>
      <c r="Z287">
        <v>259158.58</v>
      </c>
      <c r="AA287">
        <v>257686.8786</v>
      </c>
      <c r="AB287">
        <v>256174.02220000001</v>
      </c>
      <c r="AC287">
        <v>254522.5601</v>
      </c>
      <c r="AD287">
        <v>253778.30230000001</v>
      </c>
      <c r="AE287">
        <v>254100.88810000001</v>
      </c>
      <c r="AF287">
        <v>255116.56589999999</v>
      </c>
      <c r="AG287">
        <v>256574.7243</v>
      </c>
      <c r="AH287">
        <v>258293.75049999999</v>
      </c>
      <c r="AI287">
        <v>260087.78330000001</v>
      </c>
      <c r="AJ287">
        <v>261878.25450000001</v>
      </c>
      <c r="AK287">
        <v>263645.09580000001</v>
      </c>
      <c r="AL287">
        <v>265403.50300000003</v>
      </c>
      <c r="AM287">
        <v>267145.56829999998</v>
      </c>
      <c r="AN287">
        <v>268711.39039999997</v>
      </c>
      <c r="AO287">
        <v>270279.61330000003</v>
      </c>
      <c r="AP287">
        <v>271988.48590000003</v>
      </c>
      <c r="AQ287">
        <v>273671.71269999997</v>
      </c>
      <c r="AR287">
        <v>275525.1899</v>
      </c>
      <c r="AS287">
        <v>277348.92320000002</v>
      </c>
      <c r="AT287">
        <v>279224.11900000001</v>
      </c>
      <c r="AU287">
        <v>281100.0625</v>
      </c>
      <c r="AV287">
        <v>283033.13740000001</v>
      </c>
      <c r="AW287">
        <v>284938.16450000001</v>
      </c>
    </row>
    <row r="288" spans="2:49" x14ac:dyDescent="0.25">
      <c r="B288" t="s">
        <v>318</v>
      </c>
      <c r="C288">
        <v>516755.579312385</v>
      </c>
      <c r="D288">
        <v>525052.257287574</v>
      </c>
      <c r="E288">
        <v>533482.14110000001</v>
      </c>
      <c r="F288">
        <v>549193.42949999997</v>
      </c>
      <c r="G288">
        <v>552125.20750000002</v>
      </c>
      <c r="H288">
        <v>567689.07709999999</v>
      </c>
      <c r="I288">
        <v>577881.47109999997</v>
      </c>
      <c r="J288">
        <v>590938.95559999999</v>
      </c>
      <c r="K288">
        <v>606348.71059999999</v>
      </c>
      <c r="L288">
        <v>626362.15890000004</v>
      </c>
      <c r="M288">
        <v>651249.59259999997</v>
      </c>
      <c r="N288">
        <v>668543.24080000003</v>
      </c>
      <c r="O288">
        <v>664369.31969999999</v>
      </c>
      <c r="P288">
        <v>663263.02879999997</v>
      </c>
      <c r="Q288">
        <v>661839.09210000001</v>
      </c>
      <c r="R288">
        <v>660077.05740000005</v>
      </c>
      <c r="S288">
        <v>665326.45510000002</v>
      </c>
      <c r="T288">
        <v>668966.18889999995</v>
      </c>
      <c r="U288">
        <v>669460.45779999997</v>
      </c>
      <c r="V288">
        <v>669146.8774</v>
      </c>
      <c r="W288">
        <v>661165.83059999999</v>
      </c>
      <c r="X288">
        <v>651728.35900000005</v>
      </c>
      <c r="Y288">
        <v>642946.04260000004</v>
      </c>
      <c r="Z288">
        <v>635131.9</v>
      </c>
      <c r="AA288">
        <v>628045.42520000006</v>
      </c>
      <c r="AB288">
        <v>621406.38919999998</v>
      </c>
      <c r="AC288">
        <v>615029.36560000002</v>
      </c>
      <c r="AD288">
        <v>611060.80220000003</v>
      </c>
      <c r="AE288">
        <v>607690.86510000005</v>
      </c>
      <c r="AF288">
        <v>604309.40969999996</v>
      </c>
      <c r="AG288">
        <v>600718.85160000005</v>
      </c>
      <c r="AH288">
        <v>596884.81590000005</v>
      </c>
      <c r="AI288">
        <v>592855.05889999995</v>
      </c>
      <c r="AJ288">
        <v>588680.74109999998</v>
      </c>
      <c r="AK288">
        <v>584453.07640000002</v>
      </c>
      <c r="AL288">
        <v>580176.37540000002</v>
      </c>
      <c r="AM288">
        <v>575986.73910000001</v>
      </c>
      <c r="AN288">
        <v>572159.47250000003</v>
      </c>
      <c r="AO288">
        <v>568659.96849999996</v>
      </c>
      <c r="AP288">
        <v>565111.80440000002</v>
      </c>
      <c r="AQ288">
        <v>561865.51190000004</v>
      </c>
      <c r="AR288">
        <v>558414.19369999995</v>
      </c>
      <c r="AS288">
        <v>555019.1202</v>
      </c>
      <c r="AT288">
        <v>551546.32149999996</v>
      </c>
      <c r="AU288">
        <v>548096.0699</v>
      </c>
      <c r="AV288">
        <v>544528.50219999999</v>
      </c>
      <c r="AW288">
        <v>541072.95929999999</v>
      </c>
    </row>
    <row r="289" spans="2:49" x14ac:dyDescent="0.25">
      <c r="B289" t="s">
        <v>319</v>
      </c>
      <c r="C289">
        <v>82711.5521017555</v>
      </c>
      <c r="D289">
        <v>84039.512824558697</v>
      </c>
      <c r="E289">
        <v>85388.794389999995</v>
      </c>
      <c r="F289">
        <v>94624.030620000005</v>
      </c>
      <c r="G289">
        <v>97309.61477</v>
      </c>
      <c r="H289">
        <v>103596.51669999999</v>
      </c>
      <c r="I289">
        <v>107572.88219999999</v>
      </c>
      <c r="J289">
        <v>114868.29549999999</v>
      </c>
      <c r="K289">
        <v>120273.13920000001</v>
      </c>
      <c r="L289">
        <v>126785.8879</v>
      </c>
      <c r="M289">
        <v>135784.2187</v>
      </c>
      <c r="N289">
        <v>145687.5558</v>
      </c>
      <c r="O289">
        <v>136449.88690000001</v>
      </c>
      <c r="P289">
        <v>131145.65659999999</v>
      </c>
      <c r="Q289">
        <v>126036.6703</v>
      </c>
      <c r="R289">
        <v>114478.12579999999</v>
      </c>
      <c r="S289">
        <v>113957.9507</v>
      </c>
      <c r="T289">
        <v>113598.7643</v>
      </c>
      <c r="U289">
        <v>113194.19349999999</v>
      </c>
      <c r="V289">
        <v>113144.0331</v>
      </c>
      <c r="W289">
        <v>113610.8524</v>
      </c>
      <c r="X289">
        <v>115374.567</v>
      </c>
      <c r="Y289">
        <v>117412.7893</v>
      </c>
      <c r="Z289">
        <v>119777.2933</v>
      </c>
      <c r="AA289">
        <v>122415.98179999999</v>
      </c>
      <c r="AB289">
        <v>125313.5485</v>
      </c>
      <c r="AC289">
        <v>128502.516</v>
      </c>
      <c r="AD289">
        <v>129768.0858</v>
      </c>
      <c r="AE289">
        <v>130753.20909999999</v>
      </c>
      <c r="AF289">
        <v>131456.7493</v>
      </c>
      <c r="AG289">
        <v>131930.3462</v>
      </c>
      <c r="AH289">
        <v>132236.4075</v>
      </c>
      <c r="AI289">
        <v>132468.3965</v>
      </c>
      <c r="AJ289">
        <v>132676.9958</v>
      </c>
      <c r="AK289">
        <v>132902.1974</v>
      </c>
      <c r="AL289">
        <v>133138.72760000001</v>
      </c>
      <c r="AM289">
        <v>133460.25690000001</v>
      </c>
      <c r="AN289">
        <v>133829.37609999999</v>
      </c>
      <c r="AO289">
        <v>134262.55220000001</v>
      </c>
      <c r="AP289">
        <v>134602.65479999999</v>
      </c>
      <c r="AQ289">
        <v>135069.4529</v>
      </c>
      <c r="AR289">
        <v>135397.86129999999</v>
      </c>
      <c r="AS289">
        <v>135762.88630000001</v>
      </c>
      <c r="AT289">
        <v>136077.6066</v>
      </c>
      <c r="AU289">
        <v>136402.46739999999</v>
      </c>
      <c r="AV289">
        <v>136656.0723</v>
      </c>
      <c r="AW289">
        <v>136795.85870000001</v>
      </c>
    </row>
    <row r="290" spans="2:49" x14ac:dyDescent="0.25">
      <c r="B290" t="s">
        <v>320</v>
      </c>
      <c r="C290">
        <v>45689.201708803201</v>
      </c>
      <c r="D290">
        <v>46422.756620829103</v>
      </c>
      <c r="E290">
        <v>47168.089010000003</v>
      </c>
      <c r="F290">
        <v>49526.52895</v>
      </c>
      <c r="G290">
        <v>49189.323729999996</v>
      </c>
      <c r="H290">
        <v>50577.665509999999</v>
      </c>
      <c r="I290">
        <v>51404.659030000003</v>
      </c>
      <c r="J290">
        <v>52652.29189</v>
      </c>
      <c r="K290">
        <v>53240.421770000001</v>
      </c>
      <c r="L290">
        <v>54441.881390000002</v>
      </c>
      <c r="M290">
        <v>56442.274799999999</v>
      </c>
      <c r="N290">
        <v>57916.760419999999</v>
      </c>
      <c r="O290">
        <v>56790.046549999999</v>
      </c>
      <c r="P290">
        <v>56687.282290000003</v>
      </c>
      <c r="Q290">
        <v>56747.768029999999</v>
      </c>
      <c r="R290">
        <v>55974.758280000002</v>
      </c>
      <c r="S290">
        <v>56548.240140000002</v>
      </c>
      <c r="T290">
        <v>56685.369749999998</v>
      </c>
      <c r="U290">
        <v>56519.798439999999</v>
      </c>
      <c r="V290">
        <v>56391.776680000003</v>
      </c>
      <c r="W290">
        <v>55744.621769999998</v>
      </c>
      <c r="X290">
        <v>55552.850290000002</v>
      </c>
      <c r="Y290">
        <v>55576.297380000004</v>
      </c>
      <c r="Z290">
        <v>55791.073709999997</v>
      </c>
      <c r="AA290">
        <v>56158.094729999997</v>
      </c>
      <c r="AB290">
        <v>56661.121379999997</v>
      </c>
      <c r="AC290">
        <v>57314.31755</v>
      </c>
      <c r="AD290">
        <v>55359.259729999998</v>
      </c>
      <c r="AE290">
        <v>53732.754889999997</v>
      </c>
      <c r="AF290">
        <v>52268.4859</v>
      </c>
      <c r="AG290">
        <v>50910.485430000001</v>
      </c>
      <c r="AH290">
        <v>49640.712229999997</v>
      </c>
      <c r="AI290">
        <v>48463.55573</v>
      </c>
      <c r="AJ290">
        <v>47374.003909999999</v>
      </c>
      <c r="AK290">
        <v>46369.439400000003</v>
      </c>
      <c r="AL290">
        <v>45433.455479999997</v>
      </c>
      <c r="AM290">
        <v>44576.174279999999</v>
      </c>
      <c r="AN290">
        <v>43837.238640000003</v>
      </c>
      <c r="AO290">
        <v>43181.736550000001</v>
      </c>
      <c r="AP290">
        <v>42538.575669999998</v>
      </c>
      <c r="AQ290">
        <v>41970.961159999999</v>
      </c>
      <c r="AR290">
        <v>41387.354939999997</v>
      </c>
      <c r="AS290">
        <v>40843.959060000001</v>
      </c>
      <c r="AT290">
        <v>40311.989540000002</v>
      </c>
      <c r="AU290">
        <v>39807.745260000003</v>
      </c>
      <c r="AV290">
        <v>39305.719210000003</v>
      </c>
      <c r="AW290">
        <v>38842.850870000002</v>
      </c>
    </row>
    <row r="291" spans="2:49" x14ac:dyDescent="0.25">
      <c r="B291" t="s">
        <v>321</v>
      </c>
      <c r="C291">
        <v>562444.78102118894</v>
      </c>
      <c r="D291">
        <v>571475.01390840299</v>
      </c>
      <c r="E291">
        <v>580650.23010000004</v>
      </c>
      <c r="F291">
        <v>598711.18119999999</v>
      </c>
      <c r="G291">
        <v>601302.35640000005</v>
      </c>
      <c r="H291">
        <v>618254.22450000001</v>
      </c>
      <c r="I291">
        <v>629273.33019999997</v>
      </c>
      <c r="J291">
        <v>643578.0919</v>
      </c>
      <c r="K291">
        <v>659570.36589999998</v>
      </c>
      <c r="L291">
        <v>680782.07160000002</v>
      </c>
      <c r="M291">
        <v>707668.81539999996</v>
      </c>
      <c r="N291">
        <v>726436.33310000005</v>
      </c>
      <c r="O291">
        <v>721131.15060000005</v>
      </c>
      <c r="P291">
        <v>719922.1422</v>
      </c>
      <c r="Q291">
        <v>718558.47479999997</v>
      </c>
      <c r="R291">
        <v>716020.36100000003</v>
      </c>
      <c r="S291">
        <v>721842.85049999994</v>
      </c>
      <c r="T291">
        <v>726288.39240000001</v>
      </c>
      <c r="U291">
        <v>727287.19279999996</v>
      </c>
      <c r="V291">
        <v>727515.27800000005</v>
      </c>
      <c r="W291">
        <v>726758.22629999998</v>
      </c>
      <c r="X291">
        <v>724867.73289999994</v>
      </c>
      <c r="Y291">
        <v>723747.35270000005</v>
      </c>
      <c r="Z291">
        <v>723727.16509999998</v>
      </c>
      <c r="AA291">
        <v>724548.7243</v>
      </c>
      <c r="AB291">
        <v>725922.96770000004</v>
      </c>
      <c r="AC291">
        <v>727682.52350000001</v>
      </c>
      <c r="AD291">
        <v>729164.47860000003</v>
      </c>
      <c r="AE291">
        <v>731625.12250000006</v>
      </c>
      <c r="AF291">
        <v>734225.21389999997</v>
      </c>
      <c r="AG291">
        <v>736681.51100000006</v>
      </c>
      <c r="AH291">
        <v>738928.80680000002</v>
      </c>
      <c r="AI291">
        <v>741020.31559999997</v>
      </c>
      <c r="AJ291">
        <v>743004.55539999995</v>
      </c>
      <c r="AK291">
        <v>744982.44900000002</v>
      </c>
      <c r="AL291">
        <v>746939.15769999998</v>
      </c>
      <c r="AM291">
        <v>749050.58900000004</v>
      </c>
      <c r="AN291">
        <v>751706.5098</v>
      </c>
      <c r="AO291">
        <v>754838.74750000006</v>
      </c>
      <c r="AP291">
        <v>757904.32220000005</v>
      </c>
      <c r="AQ291">
        <v>761422.94149999996</v>
      </c>
      <c r="AR291">
        <v>764645.94539999997</v>
      </c>
      <c r="AS291">
        <v>767972.82169999997</v>
      </c>
      <c r="AT291">
        <v>771194.54469999997</v>
      </c>
      <c r="AU291">
        <v>774461.06270000001</v>
      </c>
      <c r="AV291">
        <v>777553.30200000003</v>
      </c>
      <c r="AW291">
        <v>780824.01809999999</v>
      </c>
    </row>
    <row r="292" spans="2:49" x14ac:dyDescent="0.25">
      <c r="B292" t="s">
        <v>322</v>
      </c>
      <c r="C292">
        <v>241047.76327865999</v>
      </c>
      <c r="D292">
        <v>244917.86308720699</v>
      </c>
      <c r="E292">
        <v>248850.0986</v>
      </c>
      <c r="F292">
        <v>262898.27980000002</v>
      </c>
      <c r="G292">
        <v>272241.5797</v>
      </c>
      <c r="H292">
        <v>287790.76390000002</v>
      </c>
      <c r="I292">
        <v>299414.87190000003</v>
      </c>
      <c r="J292">
        <v>315293.48210000002</v>
      </c>
      <c r="K292">
        <v>335053.53840000002</v>
      </c>
      <c r="L292">
        <v>357361.83149999997</v>
      </c>
      <c r="M292">
        <v>382940.67560000002</v>
      </c>
      <c r="N292">
        <v>405801.78539999999</v>
      </c>
      <c r="O292">
        <v>397150.76010000001</v>
      </c>
      <c r="P292">
        <v>389429.723</v>
      </c>
      <c r="Q292">
        <v>380440.76630000002</v>
      </c>
      <c r="R292">
        <v>367234.37349999999</v>
      </c>
      <c r="S292">
        <v>367295.58689999999</v>
      </c>
      <c r="T292">
        <v>369444.41210000002</v>
      </c>
      <c r="U292">
        <v>370659.09279999998</v>
      </c>
      <c r="V292">
        <v>371424.39559999999</v>
      </c>
      <c r="W292">
        <v>375194.33809999999</v>
      </c>
      <c r="X292">
        <v>376367.38410000002</v>
      </c>
      <c r="Y292">
        <v>377065.90500000003</v>
      </c>
      <c r="Z292">
        <v>377936.16759999999</v>
      </c>
      <c r="AA292">
        <v>379069.0172</v>
      </c>
      <c r="AB292">
        <v>380414.22730000003</v>
      </c>
      <c r="AC292">
        <v>381905.20140000002</v>
      </c>
      <c r="AD292">
        <v>382418.07290000003</v>
      </c>
      <c r="AE292">
        <v>383720.23320000002</v>
      </c>
      <c r="AF292">
        <v>385434.304</v>
      </c>
      <c r="AG292">
        <v>387360.1753</v>
      </c>
      <c r="AH292">
        <v>389378.46519999998</v>
      </c>
      <c r="AI292">
        <v>391397.34179999999</v>
      </c>
      <c r="AJ292">
        <v>393389.28249999997</v>
      </c>
      <c r="AK292">
        <v>395374.32370000001</v>
      </c>
      <c r="AL292">
        <v>397362.31099999999</v>
      </c>
      <c r="AM292">
        <v>399419.03860000003</v>
      </c>
      <c r="AN292">
        <v>401347.82439999998</v>
      </c>
      <c r="AO292">
        <v>403342.99249999999</v>
      </c>
      <c r="AP292">
        <v>405385.25449999998</v>
      </c>
      <c r="AQ292">
        <v>407528.57199999999</v>
      </c>
      <c r="AR292">
        <v>409703.13880000002</v>
      </c>
      <c r="AS292">
        <v>411884.7059</v>
      </c>
      <c r="AT292">
        <v>414067.22389999998</v>
      </c>
      <c r="AU292">
        <v>416260.63429999998</v>
      </c>
      <c r="AV292">
        <v>418439.6617</v>
      </c>
      <c r="AW292">
        <v>420476.89569999999</v>
      </c>
    </row>
    <row r="293" spans="2:49" x14ac:dyDescent="0.25">
      <c r="B293" t="s">
        <v>323</v>
      </c>
      <c r="C293">
        <v>383714635.27038902</v>
      </c>
      <c r="D293">
        <v>389875297.85567099</v>
      </c>
      <c r="E293">
        <v>396134871.89999998</v>
      </c>
      <c r="F293">
        <v>412015962.39999998</v>
      </c>
      <c r="G293">
        <v>421142046.19999999</v>
      </c>
      <c r="H293">
        <v>439537742.5</v>
      </c>
      <c r="I293">
        <v>454175219.19999999</v>
      </c>
      <c r="J293">
        <v>471399717.39999998</v>
      </c>
      <c r="K293">
        <v>493298723.89999998</v>
      </c>
      <c r="L293">
        <v>519361374.69999999</v>
      </c>
      <c r="M293">
        <v>549574613.60000002</v>
      </c>
      <c r="N293">
        <v>565404891.79999995</v>
      </c>
      <c r="O293">
        <v>564692559.5</v>
      </c>
      <c r="P293">
        <v>564413232</v>
      </c>
      <c r="Q293">
        <v>563182343.39999998</v>
      </c>
      <c r="R293">
        <v>562978063.29999995</v>
      </c>
      <c r="S293">
        <v>568376145.29999995</v>
      </c>
      <c r="T293">
        <v>573130308.20000005</v>
      </c>
      <c r="U293">
        <v>575742986.79999995</v>
      </c>
      <c r="V293">
        <v>577610805.79999995</v>
      </c>
      <c r="W293">
        <v>578416411.20000005</v>
      </c>
      <c r="X293">
        <v>578452667.39999998</v>
      </c>
      <c r="Y293">
        <v>579305115.5</v>
      </c>
      <c r="Z293">
        <v>580988517.20000005</v>
      </c>
      <c r="AA293">
        <v>583336682.20000005</v>
      </c>
      <c r="AB293">
        <v>586136116.60000002</v>
      </c>
      <c r="AC293">
        <v>589237677.89999998</v>
      </c>
      <c r="AD293">
        <v>592455015.39999998</v>
      </c>
      <c r="AE293">
        <v>595710259.39999998</v>
      </c>
      <c r="AF293">
        <v>598957768.20000005</v>
      </c>
      <c r="AG293">
        <v>602183028.10000002</v>
      </c>
      <c r="AH293">
        <v>605401851.10000002</v>
      </c>
      <c r="AI293">
        <v>608582403.10000002</v>
      </c>
      <c r="AJ293">
        <v>611762384.20000005</v>
      </c>
      <c r="AK293">
        <v>614968929.10000002</v>
      </c>
      <c r="AL293">
        <v>618230789.5</v>
      </c>
      <c r="AM293">
        <v>621561052.5</v>
      </c>
      <c r="AN293">
        <v>625064560.60000002</v>
      </c>
      <c r="AO293">
        <v>628723486.20000005</v>
      </c>
      <c r="AP293">
        <v>632497190.20000005</v>
      </c>
      <c r="AQ293">
        <v>636361446.60000002</v>
      </c>
      <c r="AR293">
        <v>640284618.60000002</v>
      </c>
      <c r="AS293">
        <v>644233261.60000002</v>
      </c>
      <c r="AT293">
        <v>648202990.29999995</v>
      </c>
      <c r="AU293">
        <v>652187986.10000002</v>
      </c>
      <c r="AV293">
        <v>656182660.20000005</v>
      </c>
      <c r="AW293">
        <v>660218561.10000002</v>
      </c>
    </row>
    <row r="294" spans="2:49" x14ac:dyDescent="0.25">
      <c r="B294" t="s">
        <v>324</v>
      </c>
      <c r="C294">
        <v>261485.90393552999</v>
      </c>
      <c r="D294">
        <v>265684.14470322698</v>
      </c>
      <c r="E294">
        <v>269949.78960000002</v>
      </c>
      <c r="F294">
        <v>277098.17170000001</v>
      </c>
      <c r="G294">
        <v>283659.86829999997</v>
      </c>
      <c r="H294">
        <v>284994.99819999997</v>
      </c>
      <c r="I294">
        <v>276969.24219999998</v>
      </c>
      <c r="J294">
        <v>276311.07939999999</v>
      </c>
      <c r="K294">
        <v>278560.18609999999</v>
      </c>
      <c r="L294">
        <v>278778.19709999999</v>
      </c>
      <c r="M294">
        <v>284116.59600000002</v>
      </c>
      <c r="N294">
        <v>292990.47159999999</v>
      </c>
      <c r="O294">
        <v>300379.13520000002</v>
      </c>
      <c r="P294">
        <v>308878.95010000002</v>
      </c>
      <c r="Q294">
        <v>317365.6201</v>
      </c>
      <c r="R294">
        <v>328595.4534</v>
      </c>
      <c r="S294">
        <v>327873.1421</v>
      </c>
      <c r="T294">
        <v>327196.73859999998</v>
      </c>
      <c r="U294">
        <v>327409.57990000001</v>
      </c>
      <c r="V294">
        <v>326764.87479999999</v>
      </c>
      <c r="W294">
        <v>333217.77730000002</v>
      </c>
      <c r="X294">
        <v>338119.90350000001</v>
      </c>
      <c r="Y294">
        <v>343709.4852</v>
      </c>
      <c r="Z294">
        <v>349759.48340000003</v>
      </c>
      <c r="AA294">
        <v>356370.87469999999</v>
      </c>
      <c r="AB294">
        <v>363340.02039999998</v>
      </c>
      <c r="AC294">
        <v>370552.8284</v>
      </c>
      <c r="AD294">
        <v>377970.97330000001</v>
      </c>
      <c r="AE294">
        <v>385430.85960000003</v>
      </c>
      <c r="AF294">
        <v>392795.27899999998</v>
      </c>
      <c r="AG294">
        <v>400035.85989999998</v>
      </c>
      <c r="AH294">
        <v>407221.97249999997</v>
      </c>
      <c r="AI294">
        <v>414341.52409999998</v>
      </c>
      <c r="AJ294">
        <v>421455.72859999997</v>
      </c>
      <c r="AK294">
        <v>428582.18430000002</v>
      </c>
      <c r="AL294">
        <v>435914.51770000003</v>
      </c>
      <c r="AM294">
        <v>443504.58110000001</v>
      </c>
      <c r="AN294">
        <v>451457.88699999999</v>
      </c>
      <c r="AO294">
        <v>459809.89630000002</v>
      </c>
      <c r="AP294">
        <v>468508.27549999999</v>
      </c>
      <c r="AQ294">
        <v>477624.98100000003</v>
      </c>
      <c r="AR294">
        <v>487160.99959999998</v>
      </c>
      <c r="AS294">
        <v>497061.38179999997</v>
      </c>
      <c r="AT294">
        <v>507397.16580000002</v>
      </c>
      <c r="AU294">
        <v>518157.02309999999</v>
      </c>
      <c r="AV294">
        <v>529301.63500000001</v>
      </c>
      <c r="AW294">
        <v>541036.3517</v>
      </c>
    </row>
    <row r="295" spans="2:49" x14ac:dyDescent="0.25">
      <c r="B295" t="s">
        <v>325</v>
      </c>
      <c r="C295">
        <v>158336.21117690401</v>
      </c>
      <c r="D295">
        <v>160878.35026264799</v>
      </c>
      <c r="E295">
        <v>163461.30420000001</v>
      </c>
      <c r="F295">
        <v>168432.22510000001</v>
      </c>
      <c r="G295">
        <v>175099.23300000001</v>
      </c>
      <c r="H295">
        <v>184375.0638</v>
      </c>
      <c r="I295">
        <v>192030.4235</v>
      </c>
      <c r="J295">
        <v>200640.8302</v>
      </c>
      <c r="K295">
        <v>215030.5569</v>
      </c>
      <c r="L295">
        <v>230856.481</v>
      </c>
      <c r="M295">
        <v>247457.1078</v>
      </c>
      <c r="N295">
        <v>260450.02830000001</v>
      </c>
      <c r="O295">
        <v>261242.96429999999</v>
      </c>
      <c r="P295">
        <v>258856.2923</v>
      </c>
      <c r="Q295">
        <v>254988.948</v>
      </c>
      <c r="R295">
        <v>253654.0907</v>
      </c>
      <c r="S295">
        <v>254237.35339999999</v>
      </c>
      <c r="T295">
        <v>257189.93580000001</v>
      </c>
      <c r="U295">
        <v>258543.78959999999</v>
      </c>
      <c r="V295">
        <v>259386.63159999999</v>
      </c>
      <c r="W295">
        <v>259903.5073</v>
      </c>
      <c r="X295">
        <v>259956.198</v>
      </c>
      <c r="Y295">
        <v>260437.76130000001</v>
      </c>
      <c r="Z295">
        <v>261237.78630000001</v>
      </c>
      <c r="AA295">
        <v>262227.15639999998</v>
      </c>
      <c r="AB295">
        <v>263286.02970000001</v>
      </c>
      <c r="AC295">
        <v>264344.2329</v>
      </c>
      <c r="AD295">
        <v>265424.76549999998</v>
      </c>
      <c r="AE295">
        <v>266439.77189999999</v>
      </c>
      <c r="AF295">
        <v>267368.20740000001</v>
      </c>
      <c r="AG295">
        <v>268203.45500000002</v>
      </c>
      <c r="AH295">
        <v>268956.33779999998</v>
      </c>
      <c r="AI295">
        <v>269612.45480000001</v>
      </c>
      <c r="AJ295">
        <v>270206.88860000001</v>
      </c>
      <c r="AK295">
        <v>270786.21990000003</v>
      </c>
      <c r="AL295">
        <v>271368.24249999999</v>
      </c>
      <c r="AM295">
        <v>271978.18670000002</v>
      </c>
      <c r="AN295">
        <v>272532.17509999999</v>
      </c>
      <c r="AO295">
        <v>273149.50439999998</v>
      </c>
      <c r="AP295">
        <v>273853.734</v>
      </c>
      <c r="AQ295">
        <v>274637.43</v>
      </c>
      <c r="AR295">
        <v>275494.42930000002</v>
      </c>
      <c r="AS295">
        <v>276407.62</v>
      </c>
      <c r="AT295">
        <v>277370.5686</v>
      </c>
      <c r="AU295">
        <v>278382.20299999998</v>
      </c>
      <c r="AV295">
        <v>279442.02380000002</v>
      </c>
      <c r="AW295">
        <v>280541.99550000002</v>
      </c>
    </row>
    <row r="296" spans="2:49" x14ac:dyDescent="0.25">
      <c r="B296" t="s">
        <v>326</v>
      </c>
      <c r="C296">
        <v>516755.579312385</v>
      </c>
      <c r="D296">
        <v>525052.257287574</v>
      </c>
      <c r="E296">
        <v>533482.14110000001</v>
      </c>
      <c r="F296">
        <v>549193.42949999997</v>
      </c>
      <c r="G296">
        <v>552125.20750000002</v>
      </c>
      <c r="H296">
        <v>567689.07709999999</v>
      </c>
      <c r="I296">
        <v>577881.47109999997</v>
      </c>
      <c r="J296">
        <v>590938.95559999999</v>
      </c>
      <c r="K296">
        <v>606348.71059999999</v>
      </c>
      <c r="L296">
        <v>626362.15890000004</v>
      </c>
      <c r="M296">
        <v>651249.59259999997</v>
      </c>
      <c r="N296">
        <v>668543.24080000003</v>
      </c>
      <c r="O296">
        <v>664369.31969999999</v>
      </c>
      <c r="P296">
        <v>663263.02879999997</v>
      </c>
      <c r="Q296">
        <v>661839.09210000001</v>
      </c>
      <c r="R296">
        <v>660077.05740000005</v>
      </c>
      <c r="S296">
        <v>665324.76679999998</v>
      </c>
      <c r="T296">
        <v>667779.48219999997</v>
      </c>
      <c r="U296">
        <v>668194.7977</v>
      </c>
      <c r="V296">
        <v>667866.45589999994</v>
      </c>
      <c r="W296">
        <v>666191.7683</v>
      </c>
      <c r="X296">
        <v>663723.80429999996</v>
      </c>
      <c r="Y296">
        <v>662148.92079999996</v>
      </c>
      <c r="Z296">
        <v>661561.65280000004</v>
      </c>
      <c r="AA296">
        <v>661803.85589999997</v>
      </c>
      <c r="AB296">
        <v>662643.79059999995</v>
      </c>
      <c r="AC296">
        <v>663910.21329999994</v>
      </c>
      <c r="AD296">
        <v>665309.8824</v>
      </c>
      <c r="AE296">
        <v>666794.22259999998</v>
      </c>
      <c r="AF296">
        <v>668312.43180000002</v>
      </c>
      <c r="AG296">
        <v>669848.67509999999</v>
      </c>
      <c r="AH296">
        <v>671418.0013</v>
      </c>
      <c r="AI296">
        <v>672985.6078</v>
      </c>
      <c r="AJ296">
        <v>674579.74950000003</v>
      </c>
      <c r="AK296">
        <v>676204.26850000001</v>
      </c>
      <c r="AL296">
        <v>677886.55689999997</v>
      </c>
      <c r="AM296">
        <v>679625.64029999997</v>
      </c>
      <c r="AN296">
        <v>681632.74459999998</v>
      </c>
      <c r="AO296">
        <v>683790.73210000002</v>
      </c>
      <c r="AP296">
        <v>686022.71840000001</v>
      </c>
      <c r="AQ296">
        <v>688298.93240000005</v>
      </c>
      <c r="AR296">
        <v>690578.65049999999</v>
      </c>
      <c r="AS296">
        <v>692827.38690000004</v>
      </c>
      <c r="AT296">
        <v>695043.68039999995</v>
      </c>
      <c r="AU296">
        <v>697220.10919999995</v>
      </c>
      <c r="AV296">
        <v>699349.23259999999</v>
      </c>
      <c r="AW296">
        <v>701480.72640000004</v>
      </c>
    </row>
    <row r="297" spans="2:49" x14ac:dyDescent="0.25">
      <c r="B297" t="s">
        <v>327</v>
      </c>
      <c r="C297">
        <v>82711.5521017555</v>
      </c>
      <c r="D297">
        <v>84039.512824558697</v>
      </c>
      <c r="E297">
        <v>85388.794389999995</v>
      </c>
      <c r="F297">
        <v>94624.030620000005</v>
      </c>
      <c r="G297">
        <v>97309.61477</v>
      </c>
      <c r="H297">
        <v>103596.51669999999</v>
      </c>
      <c r="I297">
        <v>107572.88219999999</v>
      </c>
      <c r="J297">
        <v>114868.29549999999</v>
      </c>
      <c r="K297">
        <v>120273.13920000001</v>
      </c>
      <c r="L297">
        <v>126785.8879</v>
      </c>
      <c r="M297">
        <v>135784.2187</v>
      </c>
      <c r="N297">
        <v>145687.5558</v>
      </c>
      <c r="O297">
        <v>136449.88690000001</v>
      </c>
      <c r="P297">
        <v>131145.65659999999</v>
      </c>
      <c r="Q297">
        <v>126036.6703</v>
      </c>
      <c r="R297">
        <v>114478.12579999999</v>
      </c>
      <c r="S297">
        <v>113957.5534</v>
      </c>
      <c r="T297">
        <v>113452.2179</v>
      </c>
      <c r="U297">
        <v>113141.73759999999</v>
      </c>
      <c r="V297">
        <v>113072.56299999999</v>
      </c>
      <c r="W297">
        <v>112874.747</v>
      </c>
      <c r="X297">
        <v>112776.14320000001</v>
      </c>
      <c r="Y297">
        <v>112539.6443</v>
      </c>
      <c r="Z297">
        <v>112400.64720000001</v>
      </c>
      <c r="AA297">
        <v>112466.8627</v>
      </c>
      <c r="AB297">
        <v>112592.7674</v>
      </c>
      <c r="AC297">
        <v>112818.2389</v>
      </c>
      <c r="AD297">
        <v>113136.394</v>
      </c>
      <c r="AE297">
        <v>113540.7948</v>
      </c>
      <c r="AF297">
        <v>114008.87699999999</v>
      </c>
      <c r="AG297">
        <v>114528.3138</v>
      </c>
      <c r="AH297">
        <v>115094.8662</v>
      </c>
      <c r="AI297">
        <v>115706.08990000001</v>
      </c>
      <c r="AJ297">
        <v>116349.0866</v>
      </c>
      <c r="AK297">
        <v>117008.68580000001</v>
      </c>
      <c r="AL297">
        <v>117689.6056</v>
      </c>
      <c r="AM297">
        <v>118382.5619</v>
      </c>
      <c r="AN297">
        <v>119126.9765</v>
      </c>
      <c r="AO297">
        <v>119874.96219999999</v>
      </c>
      <c r="AP297">
        <v>120609.4492</v>
      </c>
      <c r="AQ297">
        <v>121335.57369999999</v>
      </c>
      <c r="AR297">
        <v>122046.9359</v>
      </c>
      <c r="AS297">
        <v>122744.4856</v>
      </c>
      <c r="AT297">
        <v>123431.1514</v>
      </c>
      <c r="AU297">
        <v>124102.45110000001</v>
      </c>
      <c r="AV297">
        <v>124754.2381</v>
      </c>
      <c r="AW297">
        <v>125408.1202</v>
      </c>
    </row>
    <row r="298" spans="2:49" x14ac:dyDescent="0.25">
      <c r="B298" t="s">
        <v>328</v>
      </c>
      <c r="C298">
        <v>45689.201708803201</v>
      </c>
      <c r="D298">
        <v>46422.756620829103</v>
      </c>
      <c r="E298">
        <v>47168.089010000003</v>
      </c>
      <c r="F298">
        <v>49526.52895</v>
      </c>
      <c r="G298">
        <v>49189.323729999996</v>
      </c>
      <c r="H298">
        <v>50577.665509999999</v>
      </c>
      <c r="I298">
        <v>51404.659030000003</v>
      </c>
      <c r="J298">
        <v>52652.29189</v>
      </c>
      <c r="K298">
        <v>53240.421770000001</v>
      </c>
      <c r="L298">
        <v>54441.881390000002</v>
      </c>
      <c r="M298">
        <v>56442.274799999999</v>
      </c>
      <c r="N298">
        <v>57916.760419999999</v>
      </c>
      <c r="O298">
        <v>56790.046549999999</v>
      </c>
      <c r="P298">
        <v>56687.282290000003</v>
      </c>
      <c r="Q298">
        <v>56747.768029999999</v>
      </c>
      <c r="R298">
        <v>55974.758280000002</v>
      </c>
      <c r="S298">
        <v>56547.996440000003</v>
      </c>
      <c r="T298">
        <v>56516.294699999999</v>
      </c>
      <c r="U298">
        <v>56388.970679999999</v>
      </c>
      <c r="V298">
        <v>56254.180350000002</v>
      </c>
      <c r="W298">
        <v>55974.155650000001</v>
      </c>
      <c r="X298">
        <v>55664.8626</v>
      </c>
      <c r="Y298">
        <v>55409.21</v>
      </c>
      <c r="Z298">
        <v>55258.398009999997</v>
      </c>
      <c r="AA298">
        <v>55214.919900000001</v>
      </c>
      <c r="AB298">
        <v>55252.533790000001</v>
      </c>
      <c r="AC298">
        <v>55359.742689999999</v>
      </c>
      <c r="AD298">
        <v>55489.44889</v>
      </c>
      <c r="AE298">
        <v>55648.073859999997</v>
      </c>
      <c r="AF298">
        <v>55830.375970000001</v>
      </c>
      <c r="AG298">
        <v>56034.3338</v>
      </c>
      <c r="AH298">
        <v>56260.084049999998</v>
      </c>
      <c r="AI298">
        <v>56504.36969</v>
      </c>
      <c r="AJ298">
        <v>56764.978439999999</v>
      </c>
      <c r="AK298">
        <v>57034.523529999999</v>
      </c>
      <c r="AL298">
        <v>57313.917820000002</v>
      </c>
      <c r="AM298">
        <v>57598.368470000001</v>
      </c>
      <c r="AN298">
        <v>57934.873590000003</v>
      </c>
      <c r="AO298">
        <v>58284.309229999999</v>
      </c>
      <c r="AP298">
        <v>58630.705020000001</v>
      </c>
      <c r="AQ298">
        <v>58970.924299999999</v>
      </c>
      <c r="AR298">
        <v>59299.249909999999</v>
      </c>
      <c r="AS298">
        <v>59613.372049999998</v>
      </c>
      <c r="AT298">
        <v>59914.023410000002</v>
      </c>
      <c r="AU298">
        <v>60199.967960000002</v>
      </c>
      <c r="AV298">
        <v>60470.056900000003</v>
      </c>
      <c r="AW298">
        <v>60734.0939</v>
      </c>
    </row>
    <row r="299" spans="2:49" x14ac:dyDescent="0.25">
      <c r="B299" t="s">
        <v>329</v>
      </c>
      <c r="C299">
        <v>562444.78102118894</v>
      </c>
      <c r="D299">
        <v>571475.01390840299</v>
      </c>
      <c r="E299">
        <v>580650.23010000004</v>
      </c>
      <c r="F299">
        <v>598711.18119999999</v>
      </c>
      <c r="G299">
        <v>601302.35640000005</v>
      </c>
      <c r="H299">
        <v>618254.22450000001</v>
      </c>
      <c r="I299">
        <v>629273.33019999997</v>
      </c>
      <c r="J299">
        <v>643578.0919</v>
      </c>
      <c r="K299">
        <v>659570.36589999998</v>
      </c>
      <c r="L299">
        <v>680782.07160000002</v>
      </c>
      <c r="M299">
        <v>707668.81539999996</v>
      </c>
      <c r="N299">
        <v>726436.33310000005</v>
      </c>
      <c r="O299">
        <v>721131.15060000005</v>
      </c>
      <c r="P299">
        <v>719922.1422</v>
      </c>
      <c r="Q299">
        <v>718558.47479999997</v>
      </c>
      <c r="R299">
        <v>716020.36100000003</v>
      </c>
      <c r="S299">
        <v>721840.91879999998</v>
      </c>
      <c r="T299">
        <v>726382.50430000003</v>
      </c>
      <c r="U299">
        <v>727341.38769999996</v>
      </c>
      <c r="V299">
        <v>727547.01690000005</v>
      </c>
      <c r="W299">
        <v>726252.41949999996</v>
      </c>
      <c r="X299">
        <v>724127.05319999997</v>
      </c>
      <c r="Y299">
        <v>722951.03500000003</v>
      </c>
      <c r="Z299">
        <v>722874.06770000001</v>
      </c>
      <c r="AA299">
        <v>723742.07869999995</v>
      </c>
      <c r="AB299">
        <v>725296.98270000005</v>
      </c>
      <c r="AC299">
        <v>727355.84039999999</v>
      </c>
      <c r="AD299">
        <v>729575.51899999997</v>
      </c>
      <c r="AE299">
        <v>731913.73510000005</v>
      </c>
      <c r="AF299">
        <v>734313.95349999995</v>
      </c>
      <c r="AG299">
        <v>736758.19090000005</v>
      </c>
      <c r="AH299">
        <v>739261.96699999995</v>
      </c>
      <c r="AI299">
        <v>741786.7169</v>
      </c>
      <c r="AJ299">
        <v>744358.98549999995</v>
      </c>
      <c r="AK299">
        <v>746975.28850000002</v>
      </c>
      <c r="AL299">
        <v>749664.6</v>
      </c>
      <c r="AM299">
        <v>752421.23529999994</v>
      </c>
      <c r="AN299">
        <v>755509.09230000002</v>
      </c>
      <c r="AO299">
        <v>758769.34849999996</v>
      </c>
      <c r="AP299">
        <v>762107.46620000002</v>
      </c>
      <c r="AQ299">
        <v>765489.95059999998</v>
      </c>
      <c r="AR299">
        <v>768869.31110000005</v>
      </c>
      <c r="AS299">
        <v>772207.77579999994</v>
      </c>
      <c r="AT299">
        <v>775504.48199999996</v>
      </c>
      <c r="AU299">
        <v>778750.41310000001</v>
      </c>
      <c r="AV299">
        <v>781936.59019999998</v>
      </c>
      <c r="AW299">
        <v>785124.10979999998</v>
      </c>
    </row>
    <row r="300" spans="2:49" x14ac:dyDescent="0.25">
      <c r="B300" t="s">
        <v>330</v>
      </c>
      <c r="C300">
        <v>241047.76327865999</v>
      </c>
      <c r="D300">
        <v>244917.86308720699</v>
      </c>
      <c r="E300">
        <v>248850.0986</v>
      </c>
      <c r="F300">
        <v>262898.27980000002</v>
      </c>
      <c r="G300">
        <v>272241.5797</v>
      </c>
      <c r="H300">
        <v>287790.76390000002</v>
      </c>
      <c r="I300">
        <v>299414.87190000003</v>
      </c>
      <c r="J300">
        <v>315293.48210000002</v>
      </c>
      <c r="K300">
        <v>335053.53840000002</v>
      </c>
      <c r="L300">
        <v>357361.83149999997</v>
      </c>
      <c r="M300">
        <v>382940.67560000002</v>
      </c>
      <c r="N300">
        <v>405801.78539999999</v>
      </c>
      <c r="O300">
        <v>397150.76010000001</v>
      </c>
      <c r="P300">
        <v>389429.723</v>
      </c>
      <c r="Q300">
        <v>380440.76630000002</v>
      </c>
      <c r="R300">
        <v>367234.37349999999</v>
      </c>
      <c r="S300">
        <v>367295.0638</v>
      </c>
      <c r="T300">
        <v>369726.24790000002</v>
      </c>
      <c r="U300">
        <v>370764.53159999999</v>
      </c>
      <c r="V300">
        <v>371535.69420000003</v>
      </c>
      <c r="W300">
        <v>371853.41269999999</v>
      </c>
      <c r="X300">
        <v>371807.56809999997</v>
      </c>
      <c r="Y300">
        <v>372051.41220000002</v>
      </c>
      <c r="Z300">
        <v>372710.0724</v>
      </c>
      <c r="AA300">
        <v>373762.63520000002</v>
      </c>
      <c r="AB300">
        <v>374944.13459999999</v>
      </c>
      <c r="AC300">
        <v>376224.45779999997</v>
      </c>
      <c r="AD300">
        <v>377619.60369999998</v>
      </c>
      <c r="AE300">
        <v>379035.47820000001</v>
      </c>
      <c r="AF300">
        <v>380428.50640000001</v>
      </c>
      <c r="AG300">
        <v>381779.73979999998</v>
      </c>
      <c r="AH300">
        <v>383095.71049999999</v>
      </c>
      <c r="AI300">
        <v>384359.56800000003</v>
      </c>
      <c r="AJ300">
        <v>385593.467</v>
      </c>
      <c r="AK300">
        <v>386828.81060000003</v>
      </c>
      <c r="AL300">
        <v>388088.0601</v>
      </c>
      <c r="AM300">
        <v>389387.17259999999</v>
      </c>
      <c r="AN300">
        <v>390681.59720000002</v>
      </c>
      <c r="AO300">
        <v>392042.84139999998</v>
      </c>
      <c r="AP300">
        <v>393477.4437</v>
      </c>
      <c r="AQ300">
        <v>394983.07640000002</v>
      </c>
      <c r="AR300">
        <v>396547.20289999997</v>
      </c>
      <c r="AS300">
        <v>398153.67320000002</v>
      </c>
      <c r="AT300">
        <v>399798.97330000001</v>
      </c>
      <c r="AU300">
        <v>401477.56089999998</v>
      </c>
      <c r="AV300">
        <v>403184.79690000002</v>
      </c>
      <c r="AW300">
        <v>404934.18900000001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M56"/>
  <sheetViews>
    <sheetView zoomScale="90" zoomScaleNormal="90" workbookViewId="0">
      <selection activeCell="U5" sqref="U5"/>
    </sheetView>
  </sheetViews>
  <sheetFormatPr baseColWidth="10" defaultRowHeight="15" x14ac:dyDescent="0.25"/>
  <cols>
    <col min="2" max="2" width="14.42578125" customWidth="1"/>
    <col min="3" max="3" width="18.5703125" bestFit="1" customWidth="1"/>
    <col min="4" max="4" width="18.5703125" customWidth="1"/>
    <col min="5" max="6" width="5.5703125" customWidth="1"/>
    <col min="7" max="8" width="7.140625" customWidth="1"/>
    <col min="9" max="23" width="7.42578125" customWidth="1"/>
  </cols>
  <sheetData>
    <row r="1" spans="1:29" ht="28.5" x14ac:dyDescent="0.45">
      <c r="A1" s="225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9" ht="23.25" x14ac:dyDescent="0.35">
      <c r="A2" s="7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9" ht="21" x14ac:dyDescent="0.35">
      <c r="A3" s="226" t="s">
        <v>227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9" ht="23.25" x14ac:dyDescent="0.35">
      <c r="A4" s="194" t="str">
        <f>Résultats!B1</f>
        <v>TEND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9" ht="23.25" x14ac:dyDescent="0.35">
      <c r="A5" s="70"/>
      <c r="B5" s="3"/>
      <c r="C5" s="3"/>
      <c r="D5" s="7"/>
      <c r="E5" s="238">
        <v>4</v>
      </c>
      <c r="F5" s="238">
        <f>E5+9</f>
        <v>13</v>
      </c>
      <c r="G5" s="238">
        <f>F5+3</f>
        <v>16</v>
      </c>
      <c r="H5" s="238">
        <f t="shared" ref="H5:S5" si="0">G5+1</f>
        <v>17</v>
      </c>
      <c r="I5" s="238">
        <f t="shared" si="0"/>
        <v>18</v>
      </c>
      <c r="J5" s="238">
        <f t="shared" si="0"/>
        <v>19</v>
      </c>
      <c r="K5" s="238">
        <f t="shared" si="0"/>
        <v>20</v>
      </c>
      <c r="L5" s="238">
        <f t="shared" si="0"/>
        <v>21</v>
      </c>
      <c r="M5" s="238">
        <f t="shared" si="0"/>
        <v>22</v>
      </c>
      <c r="N5" s="238">
        <f t="shared" si="0"/>
        <v>23</v>
      </c>
      <c r="O5" s="238">
        <f t="shared" si="0"/>
        <v>24</v>
      </c>
      <c r="P5" s="238">
        <f t="shared" si="0"/>
        <v>25</v>
      </c>
      <c r="Q5" s="238">
        <f t="shared" si="0"/>
        <v>26</v>
      </c>
      <c r="R5" s="238">
        <f t="shared" si="0"/>
        <v>27</v>
      </c>
      <c r="S5" s="238">
        <f t="shared" si="0"/>
        <v>28</v>
      </c>
      <c r="T5" s="238">
        <f>S5+5</f>
        <v>33</v>
      </c>
      <c r="U5" s="238">
        <f>T5+5</f>
        <v>38</v>
      </c>
      <c r="V5" s="238">
        <f>U5+5</f>
        <v>43</v>
      </c>
      <c r="W5" s="238">
        <f>V5+5</f>
        <v>48</v>
      </c>
      <c r="X5" s="3"/>
    </row>
    <row r="6" spans="1:29" x14ac:dyDescent="0.25">
      <c r="A6" s="3"/>
      <c r="B6" s="205"/>
      <c r="C6" s="2"/>
      <c r="D6" s="18"/>
      <c r="E6" s="4">
        <v>2006</v>
      </c>
      <c r="F6" s="4">
        <v>2015</v>
      </c>
      <c r="G6" s="26">
        <v>2018</v>
      </c>
      <c r="H6" s="33">
        <v>2019</v>
      </c>
      <c r="I6" s="108">
        <v>2020</v>
      </c>
      <c r="J6" s="116">
        <v>2021</v>
      </c>
      <c r="K6" s="33">
        <v>2022</v>
      </c>
      <c r="L6" s="33">
        <v>2023</v>
      </c>
      <c r="M6" s="33">
        <v>2024</v>
      </c>
      <c r="N6" s="108">
        <v>2025</v>
      </c>
      <c r="O6" s="116">
        <v>2026</v>
      </c>
      <c r="P6" s="33">
        <v>2027</v>
      </c>
      <c r="Q6" s="33">
        <v>2028</v>
      </c>
      <c r="R6" s="33">
        <v>2029</v>
      </c>
      <c r="S6" s="117">
        <v>2030</v>
      </c>
      <c r="T6" s="118">
        <v>2035</v>
      </c>
      <c r="U6" s="118">
        <v>2040</v>
      </c>
      <c r="V6" s="118">
        <v>2045</v>
      </c>
      <c r="W6" s="118">
        <v>2050</v>
      </c>
      <c r="X6" s="3"/>
      <c r="Y6" s="44"/>
      <c r="Z6" s="51" t="s">
        <v>236</v>
      </c>
      <c r="AA6" s="51"/>
      <c r="AB6" s="51"/>
      <c r="AC6" s="53"/>
    </row>
    <row r="7" spans="1:29" ht="15" customHeight="1" x14ac:dyDescent="0.25">
      <c r="A7" s="3"/>
      <c r="B7" s="272" t="s">
        <v>0</v>
      </c>
      <c r="C7" s="5" t="s">
        <v>1</v>
      </c>
      <c r="D7" s="2"/>
      <c r="E7" s="6" t="e">
        <f>SUM(E8:E9)</f>
        <v>#N/A</v>
      </c>
      <c r="F7" s="6" t="e">
        <f>SUM(F8:F9)</f>
        <v>#N/A</v>
      </c>
      <c r="G7" s="109" t="e">
        <f t="shared" ref="G7:R7" si="1">SUM(G8:G9)</f>
        <v>#N/A</v>
      </c>
      <c r="H7" s="6" t="e">
        <f t="shared" si="1"/>
        <v>#N/A</v>
      </c>
      <c r="I7" s="110" t="e">
        <f t="shared" si="1"/>
        <v>#N/A</v>
      </c>
      <c r="J7" s="109" t="e">
        <f t="shared" si="1"/>
        <v>#N/A</v>
      </c>
      <c r="K7" s="6" t="e">
        <f t="shared" si="1"/>
        <v>#N/A</v>
      </c>
      <c r="L7" s="6" t="e">
        <f t="shared" si="1"/>
        <v>#N/A</v>
      </c>
      <c r="M7" s="6" t="e">
        <f t="shared" si="1"/>
        <v>#N/A</v>
      </c>
      <c r="N7" s="110" t="e">
        <f t="shared" si="1"/>
        <v>#N/A</v>
      </c>
      <c r="O7" s="109" t="e">
        <f t="shared" si="1"/>
        <v>#N/A</v>
      </c>
      <c r="P7" s="6" t="e">
        <f t="shared" si="1"/>
        <v>#N/A</v>
      </c>
      <c r="Q7" s="6" t="e">
        <f t="shared" si="1"/>
        <v>#N/A</v>
      </c>
      <c r="R7" s="6" t="e">
        <f t="shared" si="1"/>
        <v>#N/A</v>
      </c>
      <c r="S7" s="110" t="e">
        <f>SUM(S8:S9)</f>
        <v>#N/A</v>
      </c>
      <c r="T7" s="119" t="e">
        <f>SUM(T8:T9)</f>
        <v>#N/A</v>
      </c>
      <c r="U7" s="119" t="e">
        <f>SUM(U8:U9)</f>
        <v>#N/A</v>
      </c>
      <c r="V7" s="119" t="e">
        <f>SUM(V8:V9)</f>
        <v>#N/A</v>
      </c>
      <c r="W7" s="119" t="e">
        <f>SUM(W8:W9)</f>
        <v>#N/A</v>
      </c>
      <c r="X7" s="3"/>
      <c r="Y7" s="34"/>
      <c r="Z7" s="208"/>
      <c r="AA7" s="209">
        <v>2020</v>
      </c>
      <c r="AB7" s="209">
        <v>2030</v>
      </c>
      <c r="AC7" s="210">
        <v>2050</v>
      </c>
    </row>
    <row r="8" spans="1:29" x14ac:dyDescent="0.25">
      <c r="A8" s="3"/>
      <c r="B8" s="273"/>
      <c r="C8" s="3" t="s">
        <v>2</v>
      </c>
      <c r="D8" s="18" t="s">
        <v>136</v>
      </c>
      <c r="E8" s="19" t="e">
        <f>VLOOKUP($D8,Résultats!$B$2:$AX$476,E$5,FALSE)</f>
        <v>#N/A</v>
      </c>
      <c r="F8" s="19" t="e">
        <f>VLOOKUP($D8,Résultats!$B$2:$AX$476,F$5,FALSE)</f>
        <v>#N/A</v>
      </c>
      <c r="G8" s="28" t="e">
        <f>VLOOKUP($D8,Résultats!$B$2:$AX$476,G$5,FALSE)</f>
        <v>#N/A</v>
      </c>
      <c r="H8" s="19" t="e">
        <f>VLOOKUP($D8,Résultats!$B$2:$AX$476,H$5,FALSE)</f>
        <v>#N/A</v>
      </c>
      <c r="I8" s="111" t="e">
        <f>VLOOKUP($D8,Résultats!$B$2:$AX$476,I$5,FALSE)</f>
        <v>#N/A</v>
      </c>
      <c r="J8" s="28" t="e">
        <f>VLOOKUP($D8,Résultats!$B$2:$AX$476,J$5,FALSE)</f>
        <v>#N/A</v>
      </c>
      <c r="K8" s="19" t="e">
        <f>VLOOKUP($D8,Résultats!$B$2:$AX$476,K$5,FALSE)</f>
        <v>#N/A</v>
      </c>
      <c r="L8" s="19" t="e">
        <f>VLOOKUP($D8,Résultats!$B$2:$AX$476,L$5,FALSE)</f>
        <v>#N/A</v>
      </c>
      <c r="M8" s="19" t="e">
        <f>VLOOKUP($D8,Résultats!$B$2:$AX$476,M$5,FALSE)</f>
        <v>#N/A</v>
      </c>
      <c r="N8" s="111" t="e">
        <f>VLOOKUP($D8,Résultats!$B$2:$AX$476,N$5,FALSE)</f>
        <v>#N/A</v>
      </c>
      <c r="O8" s="28" t="e">
        <f>VLOOKUP($D8,Résultats!$B$2:$AX$476,O$5,FALSE)</f>
        <v>#N/A</v>
      </c>
      <c r="P8" s="19" t="e">
        <f>VLOOKUP($D8,Résultats!$B$2:$AX$476,P$5,FALSE)</f>
        <v>#N/A</v>
      </c>
      <c r="Q8" s="19" t="e">
        <f>VLOOKUP($D8,Résultats!$B$2:$AX$476,Q$5,FALSE)</f>
        <v>#N/A</v>
      </c>
      <c r="R8" s="19" t="e">
        <f>VLOOKUP($D8,Résultats!$B$2:$AX$476,R$5,FALSE)</f>
        <v>#N/A</v>
      </c>
      <c r="S8" s="111" t="e">
        <f>VLOOKUP($D8,Résultats!$B$2:$AX$476,S$5,FALSE)</f>
        <v>#N/A</v>
      </c>
      <c r="T8" s="120" t="e">
        <f>VLOOKUP($D8,Résultats!$B$2:$AX$476,T$5,FALSE)</f>
        <v>#N/A</v>
      </c>
      <c r="U8" s="120" t="e">
        <f>VLOOKUP($D8,Résultats!$B$2:$AX$476,U$5,FALSE)</f>
        <v>#N/A</v>
      </c>
      <c r="V8" s="120" t="e">
        <f>VLOOKUP($D8,Résultats!$B$2:$AX$476,V$5,FALSE)</f>
        <v>#N/A</v>
      </c>
      <c r="W8" s="120" t="e">
        <f>VLOOKUP($D8,Résultats!$B$2:$AX$476,W$5,FALSE)</f>
        <v>#N/A</v>
      </c>
      <c r="X8" s="3"/>
      <c r="Y8" s="34"/>
      <c r="Z8" s="213" t="s">
        <v>178</v>
      </c>
      <c r="AA8" s="215" t="e">
        <f>I27</f>
        <v>#N/A</v>
      </c>
      <c r="AB8" s="215" t="e">
        <f>S27</f>
        <v>#N/A</v>
      </c>
      <c r="AC8" s="216" t="e">
        <f>W27</f>
        <v>#N/A</v>
      </c>
    </row>
    <row r="9" spans="1:29" x14ac:dyDescent="0.25">
      <c r="A9" s="3"/>
      <c r="B9" s="274"/>
      <c r="C9" s="7" t="s">
        <v>3</v>
      </c>
      <c r="D9" s="18" t="s">
        <v>137</v>
      </c>
      <c r="E9" s="19" t="e">
        <f>VLOOKUP($D9,Résultats!$B$2:$AX$476,E$5,FALSE)</f>
        <v>#N/A</v>
      </c>
      <c r="F9" s="19" t="e">
        <f>VLOOKUP($D9,Résultats!$B$2:$AX$476,F$5,FALSE)</f>
        <v>#N/A</v>
      </c>
      <c r="G9" s="28" t="e">
        <f>VLOOKUP($D9,Résultats!$B$2:$AX$476,G$5,FALSE)</f>
        <v>#N/A</v>
      </c>
      <c r="H9" s="19" t="e">
        <f>VLOOKUP($D9,Résultats!$B$2:$AX$476,H$5,FALSE)</f>
        <v>#N/A</v>
      </c>
      <c r="I9" s="111" t="e">
        <f>VLOOKUP($D9,Résultats!$B$2:$AX$476,I$5,FALSE)</f>
        <v>#N/A</v>
      </c>
      <c r="J9" s="28" t="e">
        <f>VLOOKUP($D9,Résultats!$B$2:$AX$476,J$5,FALSE)</f>
        <v>#N/A</v>
      </c>
      <c r="K9" s="19" t="e">
        <f>VLOOKUP($D9,Résultats!$B$2:$AX$476,K$5,FALSE)</f>
        <v>#N/A</v>
      </c>
      <c r="L9" s="19" t="e">
        <f>VLOOKUP($D9,Résultats!$B$2:$AX$476,L$5,FALSE)</f>
        <v>#N/A</v>
      </c>
      <c r="M9" s="19" t="e">
        <f>VLOOKUP($D9,Résultats!$B$2:$AX$476,M$5,FALSE)</f>
        <v>#N/A</v>
      </c>
      <c r="N9" s="111" t="e">
        <f>VLOOKUP($D9,Résultats!$B$2:$AX$476,N$5,FALSE)</f>
        <v>#N/A</v>
      </c>
      <c r="O9" s="28" t="e">
        <f>VLOOKUP($D9,Résultats!$B$2:$AX$476,O$5,FALSE)</f>
        <v>#N/A</v>
      </c>
      <c r="P9" s="19" t="e">
        <f>VLOOKUP($D9,Résultats!$B$2:$AX$476,P$5,FALSE)</f>
        <v>#N/A</v>
      </c>
      <c r="Q9" s="19" t="e">
        <f>VLOOKUP($D9,Résultats!$B$2:$AX$476,Q$5,FALSE)</f>
        <v>#N/A</v>
      </c>
      <c r="R9" s="19" t="e">
        <f>VLOOKUP($D9,Résultats!$B$2:$AX$476,R$5,FALSE)</f>
        <v>#N/A</v>
      </c>
      <c r="S9" s="111" t="e">
        <f>VLOOKUP($D9,Résultats!$B$2:$AX$476,S$5,FALSE)</f>
        <v>#N/A</v>
      </c>
      <c r="T9" s="120" t="e">
        <f>VLOOKUP($D9,Résultats!$B$2:$AX$476,T$5,FALSE)</f>
        <v>#N/A</v>
      </c>
      <c r="U9" s="120" t="e">
        <f>VLOOKUP($D9,Résultats!$B$2:$AX$476,U$5,FALSE)</f>
        <v>#N/A</v>
      </c>
      <c r="V9" s="120" t="e">
        <f>VLOOKUP($D9,Résultats!$B$2:$AX$476,V$5,FALSE)</f>
        <v>#N/A</v>
      </c>
      <c r="W9" s="120" t="e">
        <f>VLOOKUP($D9,Résultats!$B$2:$AX$476,W$5,FALSE)</f>
        <v>#N/A</v>
      </c>
      <c r="X9" s="3"/>
      <c r="Y9" s="34"/>
      <c r="Z9" s="34"/>
      <c r="AA9" s="34"/>
      <c r="AB9" s="34"/>
      <c r="AC9" s="34"/>
    </row>
    <row r="10" spans="1:29" ht="15" customHeight="1" x14ac:dyDescent="0.25">
      <c r="A10" s="3"/>
      <c r="B10" s="272" t="s">
        <v>4</v>
      </c>
      <c r="C10" s="5" t="s">
        <v>1</v>
      </c>
      <c r="D10" s="2"/>
      <c r="E10" s="8" t="e">
        <f>SUM(E11:E18)</f>
        <v>#N/A</v>
      </c>
      <c r="F10" s="8" t="e">
        <f>SUM(F11:F18)</f>
        <v>#N/A</v>
      </c>
      <c r="G10" s="27" t="e">
        <f t="shared" ref="G10:R10" si="2">SUM(G11:G18)</f>
        <v>#N/A</v>
      </c>
      <c r="H10" s="8" t="e">
        <f t="shared" si="2"/>
        <v>#N/A</v>
      </c>
      <c r="I10" s="112" t="e">
        <f t="shared" si="2"/>
        <v>#N/A</v>
      </c>
      <c r="J10" s="27" t="e">
        <f t="shared" si="2"/>
        <v>#N/A</v>
      </c>
      <c r="K10" s="8" t="e">
        <f t="shared" si="2"/>
        <v>#N/A</v>
      </c>
      <c r="L10" s="8" t="e">
        <f t="shared" si="2"/>
        <v>#N/A</v>
      </c>
      <c r="M10" s="8" t="e">
        <f t="shared" si="2"/>
        <v>#N/A</v>
      </c>
      <c r="N10" s="112" t="e">
        <f t="shared" si="2"/>
        <v>#N/A</v>
      </c>
      <c r="O10" s="27" t="e">
        <f t="shared" si="2"/>
        <v>#N/A</v>
      </c>
      <c r="P10" s="8" t="e">
        <f t="shared" si="2"/>
        <v>#N/A</v>
      </c>
      <c r="Q10" s="8" t="e">
        <f t="shared" si="2"/>
        <v>#N/A</v>
      </c>
      <c r="R10" s="8" t="e">
        <f t="shared" si="2"/>
        <v>#N/A</v>
      </c>
      <c r="S10" s="112" t="e">
        <f>SUM(S11:S18)</f>
        <v>#N/A</v>
      </c>
      <c r="T10" s="121" t="e">
        <f>SUM(T11:T18)</f>
        <v>#N/A</v>
      </c>
      <c r="U10" s="121" t="e">
        <f>SUM(U11:U18)</f>
        <v>#N/A</v>
      </c>
      <c r="V10" s="121" t="e">
        <f>SUM(V11:V18)</f>
        <v>#N/A</v>
      </c>
      <c r="W10" s="121" t="e">
        <f>SUM(W11:W18)</f>
        <v>#N/A</v>
      </c>
      <c r="X10" s="3"/>
      <c r="Y10" s="34"/>
      <c r="Z10" s="34"/>
      <c r="AA10" s="34"/>
      <c r="AB10" s="34"/>
      <c r="AC10" s="34"/>
    </row>
    <row r="11" spans="1:29" x14ac:dyDescent="0.25">
      <c r="A11" s="3"/>
      <c r="B11" s="273"/>
      <c r="C11" s="3" t="s">
        <v>5</v>
      </c>
      <c r="D11" s="3" t="s">
        <v>138</v>
      </c>
      <c r="E11" s="19" t="e">
        <f>VLOOKUP($D11,Résultats!$B$2:$AX$476,E$5,FALSE)</f>
        <v>#N/A</v>
      </c>
      <c r="F11" s="19" t="e">
        <f>VLOOKUP($D11,Résultats!$B$2:$AX$476,F$5,FALSE)</f>
        <v>#N/A</v>
      </c>
      <c r="G11" s="28" t="e">
        <f>VLOOKUP($D11,Résultats!$B$2:$AX$476,G$5,FALSE)</f>
        <v>#N/A</v>
      </c>
      <c r="H11" s="19" t="e">
        <f>VLOOKUP($D11,Résultats!$B$2:$AX$476,H$5,FALSE)</f>
        <v>#N/A</v>
      </c>
      <c r="I11" s="111" t="e">
        <f>VLOOKUP($D11,Résultats!$B$2:$AX$476,I$5,FALSE)</f>
        <v>#N/A</v>
      </c>
      <c r="J11" s="28" t="e">
        <f>VLOOKUP($D11,Résultats!$B$2:$AX$476,J$5,FALSE)</f>
        <v>#N/A</v>
      </c>
      <c r="K11" s="19" t="e">
        <f>VLOOKUP($D11,Résultats!$B$2:$AX$476,K$5,FALSE)</f>
        <v>#N/A</v>
      </c>
      <c r="L11" s="19" t="e">
        <f>VLOOKUP($D11,Résultats!$B$2:$AX$476,L$5,FALSE)</f>
        <v>#N/A</v>
      </c>
      <c r="M11" s="19" t="e">
        <f>VLOOKUP($D11,Résultats!$B$2:$AX$476,M$5,FALSE)</f>
        <v>#N/A</v>
      </c>
      <c r="N11" s="111" t="e">
        <f>VLOOKUP($D11,Résultats!$B$2:$AX$476,N$5,FALSE)</f>
        <v>#N/A</v>
      </c>
      <c r="O11" s="28" t="e">
        <f>VLOOKUP($D11,Résultats!$B$2:$AX$476,O$5,FALSE)</f>
        <v>#N/A</v>
      </c>
      <c r="P11" s="19" t="e">
        <f>VLOOKUP($D11,Résultats!$B$2:$AX$476,P$5,FALSE)</f>
        <v>#N/A</v>
      </c>
      <c r="Q11" s="19" t="e">
        <f>VLOOKUP($D11,Résultats!$B$2:$AX$476,Q$5,FALSE)</f>
        <v>#N/A</v>
      </c>
      <c r="R11" s="19" t="e">
        <f>VLOOKUP($D11,Résultats!$B$2:$AX$476,R$5,FALSE)</f>
        <v>#N/A</v>
      </c>
      <c r="S11" s="111" t="e">
        <f>VLOOKUP($D11,Résultats!$B$2:$AX$476,S$5,FALSE)</f>
        <v>#N/A</v>
      </c>
      <c r="T11" s="120" t="e">
        <f>VLOOKUP($D11,Résultats!$B$2:$AX$476,T$5,FALSE)</f>
        <v>#N/A</v>
      </c>
      <c r="U11" s="120" t="e">
        <f>VLOOKUP($D11,Résultats!$B$2:$AX$476,U$5,FALSE)</f>
        <v>#N/A</v>
      </c>
      <c r="V11" s="120" t="e">
        <f>VLOOKUP($D11,Résultats!$B$2:$AX$476,V$5,FALSE)</f>
        <v>#N/A</v>
      </c>
      <c r="W11" s="120" t="e">
        <f>VLOOKUP($D11,Résultats!$B$2:$AX$476,W$5,FALSE)</f>
        <v>#N/A</v>
      </c>
      <c r="X11" s="3"/>
      <c r="Y11" s="34"/>
      <c r="Z11" s="34"/>
      <c r="AA11" s="34"/>
      <c r="AB11" s="34"/>
      <c r="AC11" s="34"/>
    </row>
    <row r="12" spans="1:29" x14ac:dyDescent="0.25">
      <c r="A12" s="3"/>
      <c r="B12" s="273"/>
      <c r="C12" s="3" t="s">
        <v>6</v>
      </c>
      <c r="D12" s="3" t="s">
        <v>139</v>
      </c>
      <c r="E12" s="19" t="e">
        <f>VLOOKUP($D12,Résultats!$B$2:$AX$476,E$5,FALSE)</f>
        <v>#N/A</v>
      </c>
      <c r="F12" s="19" t="e">
        <f>VLOOKUP($D12,Résultats!$B$2:$AX$476,F$5,FALSE)</f>
        <v>#N/A</v>
      </c>
      <c r="G12" s="28" t="e">
        <f>VLOOKUP($D12,Résultats!$B$2:$AX$476,G$5,FALSE)</f>
        <v>#N/A</v>
      </c>
      <c r="H12" s="19" t="e">
        <f>VLOOKUP($D12,Résultats!$B$2:$AX$476,H$5,FALSE)</f>
        <v>#N/A</v>
      </c>
      <c r="I12" s="111" t="e">
        <f>VLOOKUP($D12,Résultats!$B$2:$AX$476,I$5,FALSE)</f>
        <v>#N/A</v>
      </c>
      <c r="J12" s="28" t="e">
        <f>VLOOKUP($D12,Résultats!$B$2:$AX$476,J$5,FALSE)</f>
        <v>#N/A</v>
      </c>
      <c r="K12" s="19" t="e">
        <f>VLOOKUP($D12,Résultats!$B$2:$AX$476,K$5,FALSE)</f>
        <v>#N/A</v>
      </c>
      <c r="L12" s="19" t="e">
        <f>VLOOKUP($D12,Résultats!$B$2:$AX$476,L$5,FALSE)</f>
        <v>#N/A</v>
      </c>
      <c r="M12" s="19" t="e">
        <f>VLOOKUP($D12,Résultats!$B$2:$AX$476,M$5,FALSE)</f>
        <v>#N/A</v>
      </c>
      <c r="N12" s="111" t="e">
        <f>VLOOKUP($D12,Résultats!$B$2:$AX$476,N$5,FALSE)</f>
        <v>#N/A</v>
      </c>
      <c r="O12" s="28" t="e">
        <f>VLOOKUP($D12,Résultats!$B$2:$AX$476,O$5,FALSE)</f>
        <v>#N/A</v>
      </c>
      <c r="P12" s="19" t="e">
        <f>VLOOKUP($D12,Résultats!$B$2:$AX$476,P$5,FALSE)</f>
        <v>#N/A</v>
      </c>
      <c r="Q12" s="19" t="e">
        <f>VLOOKUP($D12,Résultats!$B$2:$AX$476,Q$5,FALSE)</f>
        <v>#N/A</v>
      </c>
      <c r="R12" s="19" t="e">
        <f>VLOOKUP($D12,Résultats!$B$2:$AX$476,R$5,FALSE)</f>
        <v>#N/A</v>
      </c>
      <c r="S12" s="111" t="e">
        <f>VLOOKUP($D12,Résultats!$B$2:$AX$476,S$5,FALSE)</f>
        <v>#N/A</v>
      </c>
      <c r="T12" s="120" t="e">
        <f>VLOOKUP($D12,Résultats!$B$2:$AX$476,T$5,FALSE)</f>
        <v>#N/A</v>
      </c>
      <c r="U12" s="120" t="e">
        <f>VLOOKUP($D12,Résultats!$B$2:$AX$476,U$5,FALSE)</f>
        <v>#N/A</v>
      </c>
      <c r="V12" s="120" t="e">
        <f>VLOOKUP($D12,Résultats!$B$2:$AX$476,V$5,FALSE)</f>
        <v>#N/A</v>
      </c>
      <c r="W12" s="120" t="e">
        <f>VLOOKUP($D12,Résultats!$B$2:$AX$476,W$5,FALSE)</f>
        <v>#N/A</v>
      </c>
      <c r="X12" s="3"/>
      <c r="Y12" s="34"/>
      <c r="Z12" s="217"/>
      <c r="AA12" s="218"/>
      <c r="AB12" s="218"/>
      <c r="AC12" s="218"/>
    </row>
    <row r="13" spans="1:29" x14ac:dyDescent="0.25">
      <c r="A13" s="3"/>
      <c r="B13" s="273"/>
      <c r="C13" s="3" t="s">
        <v>7</v>
      </c>
      <c r="D13" s="3" t="s">
        <v>140</v>
      </c>
      <c r="E13" s="19" t="e">
        <f>VLOOKUP($D13,Résultats!$B$2:$AX$476,E$5,FALSE)</f>
        <v>#N/A</v>
      </c>
      <c r="F13" s="19" t="e">
        <f>VLOOKUP($D13,Résultats!$B$2:$AX$476,F$5,FALSE)</f>
        <v>#N/A</v>
      </c>
      <c r="G13" s="28" t="e">
        <f>VLOOKUP($D13,Résultats!$B$2:$AX$476,G$5,FALSE)</f>
        <v>#N/A</v>
      </c>
      <c r="H13" s="19" t="e">
        <f>VLOOKUP($D13,Résultats!$B$2:$AX$476,H$5,FALSE)</f>
        <v>#N/A</v>
      </c>
      <c r="I13" s="111" t="e">
        <f>VLOOKUP($D13,Résultats!$B$2:$AX$476,I$5,FALSE)</f>
        <v>#N/A</v>
      </c>
      <c r="J13" s="28" t="e">
        <f>VLOOKUP($D13,Résultats!$B$2:$AX$476,J$5,FALSE)</f>
        <v>#N/A</v>
      </c>
      <c r="K13" s="19" t="e">
        <f>VLOOKUP($D13,Résultats!$B$2:$AX$476,K$5,FALSE)</f>
        <v>#N/A</v>
      </c>
      <c r="L13" s="19" t="e">
        <f>VLOOKUP($D13,Résultats!$B$2:$AX$476,L$5,FALSE)</f>
        <v>#N/A</v>
      </c>
      <c r="M13" s="19" t="e">
        <f>VLOOKUP($D13,Résultats!$B$2:$AX$476,M$5,FALSE)</f>
        <v>#N/A</v>
      </c>
      <c r="N13" s="111" t="e">
        <f>VLOOKUP($D13,Résultats!$B$2:$AX$476,N$5,FALSE)</f>
        <v>#N/A</v>
      </c>
      <c r="O13" s="28" t="e">
        <f>VLOOKUP($D13,Résultats!$B$2:$AX$476,O$5,FALSE)</f>
        <v>#N/A</v>
      </c>
      <c r="P13" s="19" t="e">
        <f>VLOOKUP($D13,Résultats!$B$2:$AX$476,P$5,FALSE)</f>
        <v>#N/A</v>
      </c>
      <c r="Q13" s="19" t="e">
        <f>VLOOKUP($D13,Résultats!$B$2:$AX$476,Q$5,FALSE)</f>
        <v>#N/A</v>
      </c>
      <c r="R13" s="19" t="e">
        <f>VLOOKUP($D13,Résultats!$B$2:$AX$476,R$5,FALSE)</f>
        <v>#N/A</v>
      </c>
      <c r="S13" s="111" t="e">
        <f>VLOOKUP($D13,Résultats!$B$2:$AX$476,S$5,FALSE)</f>
        <v>#N/A</v>
      </c>
      <c r="T13" s="120" t="e">
        <f>VLOOKUP($D13,Résultats!$B$2:$AX$476,T$5,FALSE)</f>
        <v>#N/A</v>
      </c>
      <c r="U13" s="120" t="e">
        <f>VLOOKUP($D13,Résultats!$B$2:$AX$476,U$5,FALSE)</f>
        <v>#N/A</v>
      </c>
      <c r="V13" s="120" t="e">
        <f>VLOOKUP($D13,Résultats!$B$2:$AX$476,V$5,FALSE)</f>
        <v>#N/A</v>
      </c>
      <c r="W13" s="120" t="e">
        <f>VLOOKUP($D13,Résultats!$B$2:$AX$476,W$5,FALSE)</f>
        <v>#N/A</v>
      </c>
      <c r="X13" s="3"/>
      <c r="Y13" s="34"/>
    </row>
    <row r="14" spans="1:29" x14ac:dyDescent="0.25">
      <c r="A14" s="3"/>
      <c r="B14" s="273"/>
      <c r="C14" s="3" t="s">
        <v>8</v>
      </c>
      <c r="D14" s="3" t="s">
        <v>141</v>
      </c>
      <c r="E14" s="19" t="e">
        <f>VLOOKUP($D14,Résultats!$B$2:$AX$476,E$5,FALSE)</f>
        <v>#N/A</v>
      </c>
      <c r="F14" s="19" t="e">
        <f>VLOOKUP($D14,Résultats!$B$2:$AX$476,F$5,FALSE)</f>
        <v>#N/A</v>
      </c>
      <c r="G14" s="28" t="e">
        <f>VLOOKUP($D14,Résultats!$B$2:$AX$476,G$5,FALSE)</f>
        <v>#N/A</v>
      </c>
      <c r="H14" s="19" t="e">
        <f>VLOOKUP($D14,Résultats!$B$2:$AX$476,H$5,FALSE)</f>
        <v>#N/A</v>
      </c>
      <c r="I14" s="111" t="e">
        <f>VLOOKUP($D14,Résultats!$B$2:$AX$476,I$5,FALSE)</f>
        <v>#N/A</v>
      </c>
      <c r="J14" s="28" t="e">
        <f>VLOOKUP($D14,Résultats!$B$2:$AX$476,J$5,FALSE)</f>
        <v>#N/A</v>
      </c>
      <c r="K14" s="19" t="e">
        <f>VLOOKUP($D14,Résultats!$B$2:$AX$476,K$5,FALSE)</f>
        <v>#N/A</v>
      </c>
      <c r="L14" s="19" t="e">
        <f>VLOOKUP($D14,Résultats!$B$2:$AX$476,L$5,FALSE)</f>
        <v>#N/A</v>
      </c>
      <c r="M14" s="19" t="e">
        <f>VLOOKUP($D14,Résultats!$B$2:$AX$476,M$5,FALSE)</f>
        <v>#N/A</v>
      </c>
      <c r="N14" s="111" t="e">
        <f>VLOOKUP($D14,Résultats!$B$2:$AX$476,N$5,FALSE)</f>
        <v>#N/A</v>
      </c>
      <c r="O14" s="28" t="e">
        <f>VLOOKUP($D14,Résultats!$B$2:$AX$476,O$5,FALSE)</f>
        <v>#N/A</v>
      </c>
      <c r="P14" s="19" t="e">
        <f>VLOOKUP($D14,Résultats!$B$2:$AX$476,P$5,FALSE)</f>
        <v>#N/A</v>
      </c>
      <c r="Q14" s="19" t="e">
        <f>VLOOKUP($D14,Résultats!$B$2:$AX$476,Q$5,FALSE)</f>
        <v>#N/A</v>
      </c>
      <c r="R14" s="19" t="e">
        <f>VLOOKUP($D14,Résultats!$B$2:$AX$476,R$5,FALSE)</f>
        <v>#N/A</v>
      </c>
      <c r="S14" s="111" t="e">
        <f>VLOOKUP($D14,Résultats!$B$2:$AX$476,S$5,FALSE)</f>
        <v>#N/A</v>
      </c>
      <c r="T14" s="120" t="e">
        <f>VLOOKUP($D14,Résultats!$B$2:$AX$476,T$5,FALSE)</f>
        <v>#N/A</v>
      </c>
      <c r="U14" s="120" t="e">
        <f>VLOOKUP($D14,Résultats!$B$2:$AX$476,U$5,FALSE)</f>
        <v>#N/A</v>
      </c>
      <c r="V14" s="120" t="e">
        <f>VLOOKUP($D14,Résultats!$B$2:$AX$476,V$5,FALSE)</f>
        <v>#N/A</v>
      </c>
      <c r="W14" s="120" t="e">
        <f>VLOOKUP($D14,Résultats!$B$2:$AX$476,W$5,FALSE)</f>
        <v>#N/A</v>
      </c>
      <c r="X14" s="3"/>
      <c r="Y14" s="34"/>
    </row>
    <row r="15" spans="1:29" x14ac:dyDescent="0.25">
      <c r="A15" s="3"/>
      <c r="B15" s="273"/>
      <c r="C15" s="3" t="s">
        <v>9</v>
      </c>
      <c r="D15" s="3" t="s">
        <v>142</v>
      </c>
      <c r="E15" s="19" t="e">
        <f>VLOOKUP($D15,Résultats!$B$2:$AX$476,E$5,FALSE)</f>
        <v>#N/A</v>
      </c>
      <c r="F15" s="19" t="e">
        <f>VLOOKUP($D15,Résultats!$B$2:$AX$476,F$5,FALSE)</f>
        <v>#N/A</v>
      </c>
      <c r="G15" s="28" t="e">
        <f>VLOOKUP($D15,Résultats!$B$2:$AX$476,G$5,FALSE)</f>
        <v>#N/A</v>
      </c>
      <c r="H15" s="19" t="e">
        <f>VLOOKUP($D15,Résultats!$B$2:$AX$476,H$5,FALSE)</f>
        <v>#N/A</v>
      </c>
      <c r="I15" s="111" t="e">
        <f>VLOOKUP($D15,Résultats!$B$2:$AX$476,I$5,FALSE)</f>
        <v>#N/A</v>
      </c>
      <c r="J15" s="28" t="e">
        <f>VLOOKUP($D15,Résultats!$B$2:$AX$476,J$5,FALSE)</f>
        <v>#N/A</v>
      </c>
      <c r="K15" s="19" t="e">
        <f>VLOOKUP($D15,Résultats!$B$2:$AX$476,K$5,FALSE)</f>
        <v>#N/A</v>
      </c>
      <c r="L15" s="19" t="e">
        <f>VLOOKUP($D15,Résultats!$B$2:$AX$476,L$5,FALSE)</f>
        <v>#N/A</v>
      </c>
      <c r="M15" s="19" t="e">
        <f>VLOOKUP($D15,Résultats!$B$2:$AX$476,M$5,FALSE)</f>
        <v>#N/A</v>
      </c>
      <c r="N15" s="111" t="e">
        <f>VLOOKUP($D15,Résultats!$B$2:$AX$476,N$5,FALSE)</f>
        <v>#N/A</v>
      </c>
      <c r="O15" s="28" t="e">
        <f>VLOOKUP($D15,Résultats!$B$2:$AX$476,O$5,FALSE)</f>
        <v>#N/A</v>
      </c>
      <c r="P15" s="19" t="e">
        <f>VLOOKUP($D15,Résultats!$B$2:$AX$476,P$5,FALSE)</f>
        <v>#N/A</v>
      </c>
      <c r="Q15" s="19" t="e">
        <f>VLOOKUP($D15,Résultats!$B$2:$AX$476,Q$5,FALSE)</f>
        <v>#N/A</v>
      </c>
      <c r="R15" s="19" t="e">
        <f>VLOOKUP($D15,Résultats!$B$2:$AX$476,R$5,FALSE)</f>
        <v>#N/A</v>
      </c>
      <c r="S15" s="111" t="e">
        <f>VLOOKUP($D15,Résultats!$B$2:$AX$476,S$5,FALSE)</f>
        <v>#N/A</v>
      </c>
      <c r="T15" s="120" t="e">
        <f>VLOOKUP($D15,Résultats!$B$2:$AX$476,T$5,FALSE)</f>
        <v>#N/A</v>
      </c>
      <c r="U15" s="120" t="e">
        <f>VLOOKUP($D15,Résultats!$B$2:$AX$476,U$5,FALSE)</f>
        <v>#N/A</v>
      </c>
      <c r="V15" s="120" t="e">
        <f>VLOOKUP($D15,Résultats!$B$2:$AX$476,V$5,FALSE)</f>
        <v>#N/A</v>
      </c>
      <c r="W15" s="120" t="e">
        <f>VLOOKUP($D15,Résultats!$B$2:$AX$476,W$5,FALSE)</f>
        <v>#N/A</v>
      </c>
      <c r="X15" s="3"/>
      <c r="Y15" s="34"/>
    </row>
    <row r="16" spans="1:29" x14ac:dyDescent="0.25">
      <c r="A16" s="3"/>
      <c r="B16" s="273"/>
      <c r="C16" s="3" t="s">
        <v>10</v>
      </c>
      <c r="D16" s="3" t="s">
        <v>143</v>
      </c>
      <c r="E16" s="19" t="e">
        <f>VLOOKUP($D16,Résultats!$B$2:$AX$476,E$5,FALSE)</f>
        <v>#N/A</v>
      </c>
      <c r="F16" s="19" t="e">
        <f>VLOOKUP($D16,Résultats!$B$2:$AX$476,F$5,FALSE)</f>
        <v>#N/A</v>
      </c>
      <c r="G16" s="28" t="e">
        <f>VLOOKUP($D16,Résultats!$B$2:$AX$476,G$5,FALSE)</f>
        <v>#N/A</v>
      </c>
      <c r="H16" s="19" t="e">
        <f>VLOOKUP($D16,Résultats!$B$2:$AX$476,H$5,FALSE)</f>
        <v>#N/A</v>
      </c>
      <c r="I16" s="111" t="e">
        <f>VLOOKUP($D16,Résultats!$B$2:$AX$476,I$5,FALSE)</f>
        <v>#N/A</v>
      </c>
      <c r="J16" s="28" t="e">
        <f>VLOOKUP($D16,Résultats!$B$2:$AX$476,J$5,FALSE)</f>
        <v>#N/A</v>
      </c>
      <c r="K16" s="19" t="e">
        <f>VLOOKUP($D16,Résultats!$B$2:$AX$476,K$5,FALSE)</f>
        <v>#N/A</v>
      </c>
      <c r="L16" s="19" t="e">
        <f>VLOOKUP($D16,Résultats!$B$2:$AX$476,L$5,FALSE)</f>
        <v>#N/A</v>
      </c>
      <c r="M16" s="19" t="e">
        <f>VLOOKUP($D16,Résultats!$B$2:$AX$476,M$5,FALSE)</f>
        <v>#N/A</v>
      </c>
      <c r="N16" s="111" t="e">
        <f>VLOOKUP($D16,Résultats!$B$2:$AX$476,N$5,FALSE)</f>
        <v>#N/A</v>
      </c>
      <c r="O16" s="28" t="e">
        <f>VLOOKUP($D16,Résultats!$B$2:$AX$476,O$5,FALSE)</f>
        <v>#N/A</v>
      </c>
      <c r="P16" s="19" t="e">
        <f>VLOOKUP($D16,Résultats!$B$2:$AX$476,P$5,FALSE)</f>
        <v>#N/A</v>
      </c>
      <c r="Q16" s="19" t="e">
        <f>VLOOKUP($D16,Résultats!$B$2:$AX$476,Q$5,FALSE)</f>
        <v>#N/A</v>
      </c>
      <c r="R16" s="19" t="e">
        <f>VLOOKUP($D16,Résultats!$B$2:$AX$476,R$5,FALSE)</f>
        <v>#N/A</v>
      </c>
      <c r="S16" s="111" t="e">
        <f>VLOOKUP($D16,Résultats!$B$2:$AX$476,S$5,FALSE)</f>
        <v>#N/A</v>
      </c>
      <c r="T16" s="120" t="e">
        <f>VLOOKUP($D16,Résultats!$B$2:$AX$476,T$5,FALSE)</f>
        <v>#N/A</v>
      </c>
      <c r="U16" s="120" t="e">
        <f>VLOOKUP($D16,Résultats!$B$2:$AX$476,U$5,FALSE)</f>
        <v>#N/A</v>
      </c>
      <c r="V16" s="120" t="e">
        <f>VLOOKUP($D16,Résultats!$B$2:$AX$476,V$5,FALSE)</f>
        <v>#N/A</v>
      </c>
      <c r="W16" s="120" t="e">
        <f>VLOOKUP($D16,Résultats!$B$2:$AX$476,W$5,FALSE)</f>
        <v>#N/A</v>
      </c>
      <c r="X16" s="3"/>
      <c r="Y16" s="34"/>
    </row>
    <row r="17" spans="1:39" x14ac:dyDescent="0.25">
      <c r="A17" s="3"/>
      <c r="B17" s="273"/>
      <c r="C17" s="3" t="s">
        <v>11</v>
      </c>
      <c r="D17" s="3" t="s">
        <v>144</v>
      </c>
      <c r="E17" s="19" t="e">
        <f>VLOOKUP($D17,Résultats!$B$2:$AX$476,E$5,FALSE)</f>
        <v>#N/A</v>
      </c>
      <c r="F17" s="19" t="e">
        <f>VLOOKUP($D17,Résultats!$B$2:$AX$476,F$5,FALSE)</f>
        <v>#N/A</v>
      </c>
      <c r="G17" s="28" t="e">
        <f>VLOOKUP($D17,Résultats!$B$2:$AX$476,G$5,FALSE)</f>
        <v>#N/A</v>
      </c>
      <c r="H17" s="19" t="e">
        <f>VLOOKUP($D17,Résultats!$B$2:$AX$476,H$5,FALSE)</f>
        <v>#N/A</v>
      </c>
      <c r="I17" s="111" t="e">
        <f>VLOOKUP($D17,Résultats!$B$2:$AX$476,I$5,FALSE)</f>
        <v>#N/A</v>
      </c>
      <c r="J17" s="28" t="e">
        <f>VLOOKUP($D17,Résultats!$B$2:$AX$476,J$5,FALSE)</f>
        <v>#N/A</v>
      </c>
      <c r="K17" s="19" t="e">
        <f>VLOOKUP($D17,Résultats!$B$2:$AX$476,K$5,FALSE)</f>
        <v>#N/A</v>
      </c>
      <c r="L17" s="19" t="e">
        <f>VLOOKUP($D17,Résultats!$B$2:$AX$476,L$5,FALSE)</f>
        <v>#N/A</v>
      </c>
      <c r="M17" s="19" t="e">
        <f>VLOOKUP($D17,Résultats!$B$2:$AX$476,M$5,FALSE)</f>
        <v>#N/A</v>
      </c>
      <c r="N17" s="111" t="e">
        <f>VLOOKUP($D17,Résultats!$B$2:$AX$476,N$5,FALSE)</f>
        <v>#N/A</v>
      </c>
      <c r="O17" s="28" t="e">
        <f>VLOOKUP($D17,Résultats!$B$2:$AX$476,O$5,FALSE)</f>
        <v>#N/A</v>
      </c>
      <c r="P17" s="19" t="e">
        <f>VLOOKUP($D17,Résultats!$B$2:$AX$476,P$5,FALSE)</f>
        <v>#N/A</v>
      </c>
      <c r="Q17" s="19" t="e">
        <f>VLOOKUP($D17,Résultats!$B$2:$AX$476,Q$5,FALSE)</f>
        <v>#N/A</v>
      </c>
      <c r="R17" s="19" t="e">
        <f>VLOOKUP($D17,Résultats!$B$2:$AX$476,R$5,FALSE)</f>
        <v>#N/A</v>
      </c>
      <c r="S17" s="111" t="e">
        <f>VLOOKUP($D17,Résultats!$B$2:$AX$476,S$5,FALSE)</f>
        <v>#N/A</v>
      </c>
      <c r="T17" s="120" t="e">
        <f>VLOOKUP($D17,Résultats!$B$2:$AX$476,T$5,FALSE)</f>
        <v>#N/A</v>
      </c>
      <c r="U17" s="120" t="e">
        <f>VLOOKUP($D17,Résultats!$B$2:$AX$476,U$5,FALSE)</f>
        <v>#N/A</v>
      </c>
      <c r="V17" s="120" t="e">
        <f>VLOOKUP($D17,Résultats!$B$2:$AX$476,V$5,FALSE)</f>
        <v>#N/A</v>
      </c>
      <c r="W17" s="120" t="e">
        <f>VLOOKUP($D17,Résultats!$B$2:$AX$476,W$5,FALSE)</f>
        <v>#N/A</v>
      </c>
      <c r="X17" s="3"/>
      <c r="Y17" s="34"/>
    </row>
    <row r="18" spans="1:39" x14ac:dyDescent="0.25">
      <c r="A18" s="3"/>
      <c r="B18" s="274"/>
      <c r="C18" s="7" t="s">
        <v>12</v>
      </c>
      <c r="D18" s="3" t="s">
        <v>145</v>
      </c>
      <c r="E18" s="20" t="e">
        <f>VLOOKUP($D18,Résultats!$B$2:$AX$476,E$5,FALSE)</f>
        <v>#N/A</v>
      </c>
      <c r="F18" s="20" t="e">
        <f>VLOOKUP($D18,Résultats!$B$2:$AX$476,F$5,FALSE)</f>
        <v>#N/A</v>
      </c>
      <c r="G18" s="113" t="e">
        <f>VLOOKUP($D18,Résultats!$B$2:$AX$476,G$5,FALSE)</f>
        <v>#N/A</v>
      </c>
      <c r="H18" s="20" t="e">
        <f>VLOOKUP($D18,Résultats!$B$2:$AX$476,H$5,FALSE)</f>
        <v>#N/A</v>
      </c>
      <c r="I18" s="114" t="e">
        <f>VLOOKUP($D18,Résultats!$B$2:$AX$476,I$5,FALSE)</f>
        <v>#N/A</v>
      </c>
      <c r="J18" s="113" t="e">
        <f>VLOOKUP($D18,Résultats!$B$2:$AX$476,J$5,FALSE)</f>
        <v>#N/A</v>
      </c>
      <c r="K18" s="20" t="e">
        <f>VLOOKUP($D18,Résultats!$B$2:$AX$476,K$5,FALSE)</f>
        <v>#N/A</v>
      </c>
      <c r="L18" s="20" t="e">
        <f>VLOOKUP($D18,Résultats!$B$2:$AX$476,L$5,FALSE)</f>
        <v>#N/A</v>
      </c>
      <c r="M18" s="20" t="e">
        <f>VLOOKUP($D18,Résultats!$B$2:$AX$476,M$5,FALSE)</f>
        <v>#N/A</v>
      </c>
      <c r="N18" s="114" t="e">
        <f>VLOOKUP($D18,Résultats!$B$2:$AX$476,N$5,FALSE)</f>
        <v>#N/A</v>
      </c>
      <c r="O18" s="113" t="e">
        <f>VLOOKUP($D18,Résultats!$B$2:$AX$476,O$5,FALSE)</f>
        <v>#N/A</v>
      </c>
      <c r="P18" s="20" t="e">
        <f>VLOOKUP($D18,Résultats!$B$2:$AX$476,P$5,FALSE)</f>
        <v>#N/A</v>
      </c>
      <c r="Q18" s="20" t="e">
        <f>VLOOKUP($D18,Résultats!$B$2:$AX$476,Q$5,FALSE)</f>
        <v>#N/A</v>
      </c>
      <c r="R18" s="20" t="e">
        <f>VLOOKUP($D18,Résultats!$B$2:$AX$476,R$5,FALSE)</f>
        <v>#N/A</v>
      </c>
      <c r="S18" s="114" t="e">
        <f>VLOOKUP($D18,Résultats!$B$2:$AX$476,S$5,FALSE)</f>
        <v>#N/A</v>
      </c>
      <c r="T18" s="122" t="e">
        <f>VLOOKUP($D18,Résultats!$B$2:$AX$476,T$5,FALSE)</f>
        <v>#N/A</v>
      </c>
      <c r="U18" s="122" t="e">
        <f>VLOOKUP($D18,Résultats!$B$2:$AX$476,U$5,FALSE)</f>
        <v>#N/A</v>
      </c>
      <c r="V18" s="122" t="e">
        <f>VLOOKUP($D18,Résultats!$B$2:$AX$476,V$5,FALSE)</f>
        <v>#N/A</v>
      </c>
      <c r="W18" s="122" t="e">
        <f>VLOOKUP($D18,Résultats!$B$2:$AX$476,W$5,FALSE)</f>
        <v>#N/A</v>
      </c>
      <c r="X18" s="3"/>
      <c r="Y18" s="34"/>
    </row>
    <row r="19" spans="1:39" ht="15" customHeight="1" x14ac:dyDescent="0.25">
      <c r="A19" s="3"/>
      <c r="B19" s="272" t="s">
        <v>163</v>
      </c>
      <c r="C19" s="5" t="s">
        <v>1</v>
      </c>
      <c r="D19" s="2"/>
      <c r="E19" s="6" t="e">
        <f>SUM(E20:E25)</f>
        <v>#N/A</v>
      </c>
      <c r="F19" s="6" t="e">
        <f>SUM(F20:F25)</f>
        <v>#N/A</v>
      </c>
      <c r="G19" s="109" t="e">
        <f t="shared" ref="G19:R19" si="3">SUM(G20:G25)</f>
        <v>#N/A</v>
      </c>
      <c r="H19" s="6" t="e">
        <f t="shared" si="3"/>
        <v>#N/A</v>
      </c>
      <c r="I19" s="110" t="e">
        <f t="shared" si="3"/>
        <v>#N/A</v>
      </c>
      <c r="J19" s="109" t="e">
        <f t="shared" si="3"/>
        <v>#N/A</v>
      </c>
      <c r="K19" s="6" t="e">
        <f t="shared" si="3"/>
        <v>#N/A</v>
      </c>
      <c r="L19" s="6" t="e">
        <f t="shared" si="3"/>
        <v>#N/A</v>
      </c>
      <c r="M19" s="6" t="e">
        <f t="shared" si="3"/>
        <v>#N/A</v>
      </c>
      <c r="N19" s="110" t="e">
        <f t="shared" si="3"/>
        <v>#N/A</v>
      </c>
      <c r="O19" s="109" t="e">
        <f t="shared" si="3"/>
        <v>#N/A</v>
      </c>
      <c r="P19" s="6" t="e">
        <f t="shared" si="3"/>
        <v>#N/A</v>
      </c>
      <c r="Q19" s="6" t="e">
        <f t="shared" si="3"/>
        <v>#N/A</v>
      </c>
      <c r="R19" s="6" t="e">
        <f t="shared" si="3"/>
        <v>#N/A</v>
      </c>
      <c r="S19" s="110" t="e">
        <f>SUM(S20:S25)</f>
        <v>#N/A</v>
      </c>
      <c r="T19" s="119" t="e">
        <f>SUM(T20:T25)</f>
        <v>#N/A</v>
      </c>
      <c r="U19" s="119" t="e">
        <f>SUM(U20:U25)</f>
        <v>#N/A</v>
      </c>
      <c r="V19" s="119" t="e">
        <f>SUM(V20:V25)</f>
        <v>#N/A</v>
      </c>
      <c r="W19" s="119" t="e">
        <f>SUM(W20:W25)</f>
        <v>#N/A</v>
      </c>
      <c r="X19" s="3"/>
      <c r="Y19" s="34"/>
    </row>
    <row r="20" spans="1:39" x14ac:dyDescent="0.25">
      <c r="A20" s="3"/>
      <c r="B20" s="273"/>
      <c r="C20" s="3" t="s">
        <v>13</v>
      </c>
      <c r="D20" s="3" t="s">
        <v>146</v>
      </c>
      <c r="E20" s="19" t="e">
        <f>VLOOKUP($D20,Résultats!$B$2:$AX$476,E$5,FALSE)</f>
        <v>#N/A</v>
      </c>
      <c r="F20" s="19" t="e">
        <f>VLOOKUP($D20,Résultats!$B$2:$AX$476,F$5,FALSE)</f>
        <v>#N/A</v>
      </c>
      <c r="G20" s="28" t="e">
        <f>VLOOKUP($D20,Résultats!$B$2:$AX$476,G$5,FALSE)</f>
        <v>#N/A</v>
      </c>
      <c r="H20" s="19" t="e">
        <f>VLOOKUP($D20,Résultats!$B$2:$AX$476,H$5,FALSE)</f>
        <v>#N/A</v>
      </c>
      <c r="I20" s="111" t="e">
        <f>VLOOKUP($D20,Résultats!$B$2:$AX$476,I$5,FALSE)</f>
        <v>#N/A</v>
      </c>
      <c r="J20" s="28" t="e">
        <f>VLOOKUP($D20,Résultats!$B$2:$AX$476,J$5,FALSE)</f>
        <v>#N/A</v>
      </c>
      <c r="K20" s="19" t="e">
        <f>VLOOKUP($D20,Résultats!$B$2:$AX$476,K$5,FALSE)</f>
        <v>#N/A</v>
      </c>
      <c r="L20" s="19" t="e">
        <f>VLOOKUP($D20,Résultats!$B$2:$AX$476,L$5,FALSE)</f>
        <v>#N/A</v>
      </c>
      <c r="M20" s="19" t="e">
        <f>VLOOKUP($D20,Résultats!$B$2:$AX$476,M$5,FALSE)</f>
        <v>#N/A</v>
      </c>
      <c r="N20" s="111" t="e">
        <f>VLOOKUP($D20,Résultats!$B$2:$AX$476,N$5,FALSE)</f>
        <v>#N/A</v>
      </c>
      <c r="O20" s="28" t="e">
        <f>VLOOKUP($D20,Résultats!$B$2:$AX$476,O$5,FALSE)</f>
        <v>#N/A</v>
      </c>
      <c r="P20" s="19" t="e">
        <f>VLOOKUP($D20,Résultats!$B$2:$AX$476,P$5,FALSE)</f>
        <v>#N/A</v>
      </c>
      <c r="Q20" s="19" t="e">
        <f>VLOOKUP($D20,Résultats!$B$2:$AX$476,Q$5,FALSE)</f>
        <v>#N/A</v>
      </c>
      <c r="R20" s="19" t="e">
        <f>VLOOKUP($D20,Résultats!$B$2:$AX$476,R$5,FALSE)</f>
        <v>#N/A</v>
      </c>
      <c r="S20" s="111" t="e">
        <f>VLOOKUP($D20,Résultats!$B$2:$AX$476,S$5,FALSE)</f>
        <v>#N/A</v>
      </c>
      <c r="T20" s="120" t="e">
        <f>VLOOKUP($D20,Résultats!$B$2:$AX$476,T$5,FALSE)</f>
        <v>#N/A</v>
      </c>
      <c r="U20" s="120" t="e">
        <f>VLOOKUP($D20,Résultats!$B$2:$AX$476,U$5,FALSE)</f>
        <v>#N/A</v>
      </c>
      <c r="V20" s="120" t="e">
        <f>VLOOKUP($D20,Résultats!$B$2:$AX$476,V$5,FALSE)</f>
        <v>#N/A</v>
      </c>
      <c r="W20" s="120" t="e">
        <f>VLOOKUP($D20,Résultats!$B$2:$AX$476,W$5,FALSE)</f>
        <v>#N/A</v>
      </c>
      <c r="X20" s="3"/>
      <c r="Y20" s="34"/>
    </row>
    <row r="21" spans="1:39" x14ac:dyDescent="0.25">
      <c r="A21" s="3"/>
      <c r="B21" s="273"/>
      <c r="C21" s="3" t="s">
        <v>14</v>
      </c>
      <c r="D21" s="3" t="s">
        <v>147</v>
      </c>
      <c r="E21" s="19" t="e">
        <f>VLOOKUP($D21,Résultats!$B$2:$AX$476,E$5,FALSE)</f>
        <v>#N/A</v>
      </c>
      <c r="F21" s="19" t="e">
        <f>VLOOKUP($D21,Résultats!$B$2:$AX$476,F$5,FALSE)</f>
        <v>#N/A</v>
      </c>
      <c r="G21" s="28" t="e">
        <f>VLOOKUP($D21,Résultats!$B$2:$AX$476,G$5,FALSE)</f>
        <v>#N/A</v>
      </c>
      <c r="H21" s="19" t="e">
        <f>VLOOKUP($D21,Résultats!$B$2:$AX$476,H$5,FALSE)</f>
        <v>#N/A</v>
      </c>
      <c r="I21" s="111" t="e">
        <f>VLOOKUP($D21,Résultats!$B$2:$AX$476,I$5,FALSE)</f>
        <v>#N/A</v>
      </c>
      <c r="J21" s="28" t="e">
        <f>VLOOKUP($D21,Résultats!$B$2:$AX$476,J$5,FALSE)</f>
        <v>#N/A</v>
      </c>
      <c r="K21" s="19" t="e">
        <f>VLOOKUP($D21,Résultats!$B$2:$AX$476,K$5,FALSE)</f>
        <v>#N/A</v>
      </c>
      <c r="L21" s="19" t="e">
        <f>VLOOKUP($D21,Résultats!$B$2:$AX$476,L$5,FALSE)</f>
        <v>#N/A</v>
      </c>
      <c r="M21" s="19" t="e">
        <f>VLOOKUP($D21,Résultats!$B$2:$AX$476,M$5,FALSE)</f>
        <v>#N/A</v>
      </c>
      <c r="N21" s="111" t="e">
        <f>VLOOKUP($D21,Résultats!$B$2:$AX$476,N$5,FALSE)</f>
        <v>#N/A</v>
      </c>
      <c r="O21" s="28" t="e">
        <f>VLOOKUP($D21,Résultats!$B$2:$AX$476,O$5,FALSE)</f>
        <v>#N/A</v>
      </c>
      <c r="P21" s="19" t="e">
        <f>VLOOKUP($D21,Résultats!$B$2:$AX$476,P$5,FALSE)</f>
        <v>#N/A</v>
      </c>
      <c r="Q21" s="19" t="e">
        <f>VLOOKUP($D21,Résultats!$B$2:$AX$476,Q$5,FALSE)</f>
        <v>#N/A</v>
      </c>
      <c r="R21" s="19" t="e">
        <f>VLOOKUP($D21,Résultats!$B$2:$AX$476,R$5,FALSE)</f>
        <v>#N/A</v>
      </c>
      <c r="S21" s="111" t="e">
        <f>VLOOKUP($D21,Résultats!$B$2:$AX$476,S$5,FALSE)</f>
        <v>#N/A</v>
      </c>
      <c r="T21" s="120" t="e">
        <f>VLOOKUP($D21,Résultats!$B$2:$AX$476,T$5,FALSE)</f>
        <v>#N/A</v>
      </c>
      <c r="U21" s="120" t="e">
        <f>VLOOKUP($D21,Résultats!$B$2:$AX$476,U$5,FALSE)</f>
        <v>#N/A</v>
      </c>
      <c r="V21" s="120" t="e">
        <f>VLOOKUP($D21,Résultats!$B$2:$AX$476,V$5,FALSE)</f>
        <v>#N/A</v>
      </c>
      <c r="W21" s="120" t="e">
        <f>VLOOKUP($D21,Résultats!$B$2:$AX$476,W$5,FALSE)</f>
        <v>#N/A</v>
      </c>
      <c r="X21" s="3"/>
      <c r="Y21" s="34"/>
    </row>
    <row r="22" spans="1:39" x14ac:dyDescent="0.25">
      <c r="A22" s="3"/>
      <c r="B22" s="273"/>
      <c r="C22" s="3" t="s">
        <v>15</v>
      </c>
      <c r="D22" s="3" t="s">
        <v>148</v>
      </c>
      <c r="E22" s="19" t="e">
        <f>VLOOKUP($D22,Résultats!$B$2:$AX$476,E$5,FALSE)</f>
        <v>#N/A</v>
      </c>
      <c r="F22" s="19" t="e">
        <f>VLOOKUP($D22,Résultats!$B$2:$AX$476,F$5,FALSE)</f>
        <v>#N/A</v>
      </c>
      <c r="G22" s="28" t="e">
        <f>VLOOKUP($D22,Résultats!$B$2:$AX$476,G$5,FALSE)</f>
        <v>#N/A</v>
      </c>
      <c r="H22" s="19" t="e">
        <f>VLOOKUP($D22,Résultats!$B$2:$AX$476,H$5,FALSE)</f>
        <v>#N/A</v>
      </c>
      <c r="I22" s="111" t="e">
        <f>VLOOKUP($D22,Résultats!$B$2:$AX$476,I$5,FALSE)</f>
        <v>#N/A</v>
      </c>
      <c r="J22" s="28" t="e">
        <f>VLOOKUP($D22,Résultats!$B$2:$AX$476,J$5,FALSE)</f>
        <v>#N/A</v>
      </c>
      <c r="K22" s="19" t="e">
        <f>VLOOKUP($D22,Résultats!$B$2:$AX$476,K$5,FALSE)</f>
        <v>#N/A</v>
      </c>
      <c r="L22" s="19" t="e">
        <f>VLOOKUP($D22,Résultats!$B$2:$AX$476,L$5,FALSE)</f>
        <v>#N/A</v>
      </c>
      <c r="M22" s="19" t="e">
        <f>VLOOKUP($D22,Résultats!$B$2:$AX$476,M$5,FALSE)</f>
        <v>#N/A</v>
      </c>
      <c r="N22" s="111" t="e">
        <f>VLOOKUP($D22,Résultats!$B$2:$AX$476,N$5,FALSE)</f>
        <v>#N/A</v>
      </c>
      <c r="O22" s="28" t="e">
        <f>VLOOKUP($D22,Résultats!$B$2:$AX$476,O$5,FALSE)</f>
        <v>#N/A</v>
      </c>
      <c r="P22" s="19" t="e">
        <f>VLOOKUP($D22,Résultats!$B$2:$AX$476,P$5,FALSE)</f>
        <v>#N/A</v>
      </c>
      <c r="Q22" s="19" t="e">
        <f>VLOOKUP($D22,Résultats!$B$2:$AX$476,Q$5,FALSE)</f>
        <v>#N/A</v>
      </c>
      <c r="R22" s="19" t="e">
        <f>VLOOKUP($D22,Résultats!$B$2:$AX$476,R$5,FALSE)</f>
        <v>#N/A</v>
      </c>
      <c r="S22" s="111" t="e">
        <f>VLOOKUP($D22,Résultats!$B$2:$AX$476,S$5,FALSE)</f>
        <v>#N/A</v>
      </c>
      <c r="T22" s="120" t="e">
        <f>VLOOKUP($D22,Résultats!$B$2:$AX$476,T$5,FALSE)</f>
        <v>#N/A</v>
      </c>
      <c r="U22" s="120" t="e">
        <f>VLOOKUP($D22,Résultats!$B$2:$AX$476,U$5,FALSE)</f>
        <v>#N/A</v>
      </c>
      <c r="V22" s="120" t="e">
        <f>VLOOKUP($D22,Résultats!$B$2:$AX$476,V$5,FALSE)</f>
        <v>#N/A</v>
      </c>
      <c r="W22" s="120" t="e">
        <f>VLOOKUP($D22,Résultats!$B$2:$AX$476,W$5,FALSE)</f>
        <v>#N/A</v>
      </c>
      <c r="X22" s="3"/>
      <c r="Y22" s="34"/>
      <c r="Z22" s="34"/>
      <c r="AA22" s="34"/>
    </row>
    <row r="23" spans="1:39" x14ac:dyDescent="0.25">
      <c r="A23" s="3"/>
      <c r="B23" s="273"/>
      <c r="C23" s="3" t="s">
        <v>16</v>
      </c>
      <c r="D23" s="3" t="s">
        <v>149</v>
      </c>
      <c r="E23" s="19" t="e">
        <f>VLOOKUP($D23,Résultats!$B$2:$AX$476,E$5,FALSE)</f>
        <v>#N/A</v>
      </c>
      <c r="F23" s="19" t="e">
        <f>VLOOKUP($D23,Résultats!$B$2:$AX$476,F$5,FALSE)</f>
        <v>#N/A</v>
      </c>
      <c r="G23" s="28" t="e">
        <f>VLOOKUP($D23,Résultats!$B$2:$AX$476,G$5,FALSE)</f>
        <v>#N/A</v>
      </c>
      <c r="H23" s="19" t="e">
        <f>VLOOKUP($D23,Résultats!$B$2:$AX$476,H$5,FALSE)</f>
        <v>#N/A</v>
      </c>
      <c r="I23" s="111" t="e">
        <f>VLOOKUP($D23,Résultats!$B$2:$AX$476,I$5,FALSE)</f>
        <v>#N/A</v>
      </c>
      <c r="J23" s="28" t="e">
        <f>VLOOKUP($D23,Résultats!$B$2:$AX$476,J$5,FALSE)</f>
        <v>#N/A</v>
      </c>
      <c r="K23" s="19" t="e">
        <f>VLOOKUP($D23,Résultats!$B$2:$AX$476,K$5,FALSE)</f>
        <v>#N/A</v>
      </c>
      <c r="L23" s="19" t="e">
        <f>VLOOKUP($D23,Résultats!$B$2:$AX$476,L$5,FALSE)</f>
        <v>#N/A</v>
      </c>
      <c r="M23" s="19" t="e">
        <f>VLOOKUP($D23,Résultats!$B$2:$AX$476,M$5,FALSE)</f>
        <v>#N/A</v>
      </c>
      <c r="N23" s="111" t="e">
        <f>VLOOKUP($D23,Résultats!$B$2:$AX$476,N$5,FALSE)</f>
        <v>#N/A</v>
      </c>
      <c r="O23" s="28" t="e">
        <f>VLOOKUP($D23,Résultats!$B$2:$AX$476,O$5,FALSE)</f>
        <v>#N/A</v>
      </c>
      <c r="P23" s="19" t="e">
        <f>VLOOKUP($D23,Résultats!$B$2:$AX$476,P$5,FALSE)</f>
        <v>#N/A</v>
      </c>
      <c r="Q23" s="19" t="e">
        <f>VLOOKUP($D23,Résultats!$B$2:$AX$476,Q$5,FALSE)</f>
        <v>#N/A</v>
      </c>
      <c r="R23" s="19" t="e">
        <f>VLOOKUP($D23,Résultats!$B$2:$AX$476,R$5,FALSE)</f>
        <v>#N/A</v>
      </c>
      <c r="S23" s="111" t="e">
        <f>VLOOKUP($D23,Résultats!$B$2:$AX$476,S$5,FALSE)</f>
        <v>#N/A</v>
      </c>
      <c r="T23" s="120" t="e">
        <f>VLOOKUP($D23,Résultats!$B$2:$AX$476,T$5,FALSE)</f>
        <v>#N/A</v>
      </c>
      <c r="U23" s="120" t="e">
        <f>VLOOKUP($D23,Résultats!$B$2:$AX$476,U$5,FALSE)</f>
        <v>#N/A</v>
      </c>
      <c r="V23" s="120" t="e">
        <f>VLOOKUP($D23,Résultats!$B$2:$AX$476,V$5,FALSE)</f>
        <v>#N/A</v>
      </c>
      <c r="W23" s="120" t="e">
        <f>VLOOKUP($D23,Résultats!$B$2:$AX$476,W$5,FALSE)</f>
        <v>#N/A</v>
      </c>
      <c r="X23" s="3"/>
      <c r="Y23" s="34"/>
      <c r="Z23" s="34"/>
      <c r="AA23" s="34"/>
    </row>
    <row r="24" spans="1:39" x14ac:dyDescent="0.25">
      <c r="A24" s="3"/>
      <c r="B24" s="273"/>
      <c r="C24" s="3" t="s">
        <v>17</v>
      </c>
      <c r="D24" s="3" t="s">
        <v>150</v>
      </c>
      <c r="E24" s="19" t="e">
        <f>VLOOKUP($D24,Résultats!$B$2:$AX$476,E$5,FALSE)</f>
        <v>#N/A</v>
      </c>
      <c r="F24" s="19" t="e">
        <f>VLOOKUP($D24,Résultats!$B$2:$AX$476,F$5,FALSE)</f>
        <v>#N/A</v>
      </c>
      <c r="G24" s="28" t="e">
        <f>VLOOKUP($D24,Résultats!$B$2:$AX$476,G$5,FALSE)</f>
        <v>#N/A</v>
      </c>
      <c r="H24" s="19" t="e">
        <f>VLOOKUP($D24,Résultats!$B$2:$AX$476,H$5,FALSE)</f>
        <v>#N/A</v>
      </c>
      <c r="I24" s="111" t="e">
        <f>VLOOKUP($D24,Résultats!$B$2:$AX$476,I$5,FALSE)</f>
        <v>#N/A</v>
      </c>
      <c r="J24" s="28" t="e">
        <f>VLOOKUP($D24,Résultats!$B$2:$AX$476,J$5,FALSE)</f>
        <v>#N/A</v>
      </c>
      <c r="K24" s="19" t="e">
        <f>VLOOKUP($D24,Résultats!$B$2:$AX$476,K$5,FALSE)</f>
        <v>#N/A</v>
      </c>
      <c r="L24" s="19" t="e">
        <f>VLOOKUP($D24,Résultats!$B$2:$AX$476,L$5,FALSE)</f>
        <v>#N/A</v>
      </c>
      <c r="M24" s="19" t="e">
        <f>VLOOKUP($D24,Résultats!$B$2:$AX$476,M$5,FALSE)</f>
        <v>#N/A</v>
      </c>
      <c r="N24" s="111" t="e">
        <f>VLOOKUP($D24,Résultats!$B$2:$AX$476,N$5,FALSE)</f>
        <v>#N/A</v>
      </c>
      <c r="O24" s="28" t="e">
        <f>VLOOKUP($D24,Résultats!$B$2:$AX$476,O$5,FALSE)</f>
        <v>#N/A</v>
      </c>
      <c r="P24" s="19" t="e">
        <f>VLOOKUP($D24,Résultats!$B$2:$AX$476,P$5,FALSE)</f>
        <v>#N/A</v>
      </c>
      <c r="Q24" s="19" t="e">
        <f>VLOOKUP($D24,Résultats!$B$2:$AX$476,Q$5,FALSE)</f>
        <v>#N/A</v>
      </c>
      <c r="R24" s="19" t="e">
        <f>VLOOKUP($D24,Résultats!$B$2:$AX$476,R$5,FALSE)</f>
        <v>#N/A</v>
      </c>
      <c r="S24" s="111" t="e">
        <f>VLOOKUP($D24,Résultats!$B$2:$AX$476,S$5,FALSE)</f>
        <v>#N/A</v>
      </c>
      <c r="T24" s="120" t="e">
        <f>VLOOKUP($D24,Résultats!$B$2:$AX$476,T$5,FALSE)</f>
        <v>#N/A</v>
      </c>
      <c r="U24" s="120" t="e">
        <f>VLOOKUP($D24,Résultats!$B$2:$AX$476,U$5,FALSE)</f>
        <v>#N/A</v>
      </c>
      <c r="V24" s="120" t="e">
        <f>VLOOKUP($D24,Résultats!$B$2:$AX$476,V$5,FALSE)</f>
        <v>#N/A</v>
      </c>
      <c r="W24" s="120" t="e">
        <f>VLOOKUP($D24,Résultats!$B$2:$AX$476,W$5,FALSE)</f>
        <v>#N/A</v>
      </c>
      <c r="X24" s="3"/>
      <c r="Y24" s="34"/>
      <c r="Z24" s="34"/>
      <c r="AA24" s="34"/>
    </row>
    <row r="25" spans="1:39" x14ac:dyDescent="0.25">
      <c r="A25" s="3"/>
      <c r="B25" s="274"/>
      <c r="C25" s="7" t="s">
        <v>12</v>
      </c>
      <c r="D25" s="3" t="s">
        <v>151</v>
      </c>
      <c r="E25" s="20" t="e">
        <f>VLOOKUP($D25,Résultats!$B$2:$AX$476,E$5,FALSE)</f>
        <v>#N/A</v>
      </c>
      <c r="F25" s="20" t="e">
        <f>VLOOKUP($D25,Résultats!$B$2:$AX$476,F$5,FALSE)</f>
        <v>#N/A</v>
      </c>
      <c r="G25" s="113" t="e">
        <f>VLOOKUP($D25,Résultats!$B$2:$AX$476,G$5,FALSE)</f>
        <v>#N/A</v>
      </c>
      <c r="H25" s="20" t="e">
        <f>VLOOKUP($D25,Résultats!$B$2:$AX$476,H$5,FALSE)</f>
        <v>#N/A</v>
      </c>
      <c r="I25" s="114" t="e">
        <f>VLOOKUP($D25,Résultats!$B$2:$AX$476,I$5,FALSE)</f>
        <v>#N/A</v>
      </c>
      <c r="J25" s="113" t="e">
        <f>VLOOKUP($D25,Résultats!$B$2:$AX$476,J$5,FALSE)</f>
        <v>#N/A</v>
      </c>
      <c r="K25" s="20" t="e">
        <f>VLOOKUP($D25,Résultats!$B$2:$AX$476,K$5,FALSE)</f>
        <v>#N/A</v>
      </c>
      <c r="L25" s="20" t="e">
        <f>VLOOKUP($D25,Résultats!$B$2:$AX$476,L$5,FALSE)</f>
        <v>#N/A</v>
      </c>
      <c r="M25" s="20" t="e">
        <f>VLOOKUP($D25,Résultats!$B$2:$AX$476,M$5,FALSE)</f>
        <v>#N/A</v>
      </c>
      <c r="N25" s="114" t="e">
        <f>VLOOKUP($D25,Résultats!$B$2:$AX$476,N$5,FALSE)</f>
        <v>#N/A</v>
      </c>
      <c r="O25" s="113" t="e">
        <f>VLOOKUP($D25,Résultats!$B$2:$AX$476,O$5,FALSE)</f>
        <v>#N/A</v>
      </c>
      <c r="P25" s="20" t="e">
        <f>VLOOKUP($D25,Résultats!$B$2:$AX$476,P$5,FALSE)</f>
        <v>#N/A</v>
      </c>
      <c r="Q25" s="20" t="e">
        <f>VLOOKUP($D25,Résultats!$B$2:$AX$476,Q$5,FALSE)</f>
        <v>#N/A</v>
      </c>
      <c r="R25" s="20" t="e">
        <f>VLOOKUP($D25,Résultats!$B$2:$AX$476,R$5,FALSE)</f>
        <v>#N/A</v>
      </c>
      <c r="S25" s="114" t="e">
        <f>VLOOKUP($D25,Résultats!$B$2:$AX$476,S$5,FALSE)</f>
        <v>#N/A</v>
      </c>
      <c r="T25" s="122" t="e">
        <f>VLOOKUP($D25,Résultats!$B$2:$AX$476,T$5,FALSE)</f>
        <v>#N/A</v>
      </c>
      <c r="U25" s="122" t="e">
        <f>VLOOKUP($D25,Résultats!$B$2:$AX$476,U$5,FALSE)</f>
        <v>#N/A</v>
      </c>
      <c r="V25" s="122" t="e">
        <f>VLOOKUP($D25,Résultats!$B$2:$AX$476,V$5,FALSE)</f>
        <v>#N/A</v>
      </c>
      <c r="W25" s="122" t="e">
        <f>VLOOKUP($D25,Résultats!$B$2:$AX$476,W$5,FALSE)</f>
        <v>#N/A</v>
      </c>
      <c r="X25" s="3"/>
      <c r="Y25" s="34"/>
      <c r="Z25" s="34"/>
      <c r="AA25" s="34"/>
    </row>
    <row r="26" spans="1:39" x14ac:dyDescent="0.25">
      <c r="A26" s="3"/>
      <c r="B26" s="207" t="s">
        <v>8</v>
      </c>
      <c r="C26" s="2"/>
      <c r="D26" s="17" t="s">
        <v>152</v>
      </c>
      <c r="E26" s="6" t="e">
        <f>VLOOKUP($D26,Résultats!$B$2:$AX$476,E$5,FALSE)</f>
        <v>#N/A</v>
      </c>
      <c r="F26" s="6" t="e">
        <f>VLOOKUP($D26,Résultats!$B$2:$AX$476,F$5,FALSE)</f>
        <v>#N/A</v>
      </c>
      <c r="G26" s="109" t="e">
        <f>VLOOKUP($D26,Résultats!$B$2:$AX$476,G$5,FALSE)</f>
        <v>#N/A</v>
      </c>
      <c r="H26" s="6" t="e">
        <f>VLOOKUP($D26,Résultats!$B$2:$AX$476,H$5,FALSE)</f>
        <v>#N/A</v>
      </c>
      <c r="I26" s="110" t="e">
        <f>VLOOKUP($D26,Résultats!$B$2:$AX$476,I$5,FALSE)</f>
        <v>#N/A</v>
      </c>
      <c r="J26" s="109" t="e">
        <f>VLOOKUP($D26,Résultats!$B$2:$AX$476,J$5,FALSE)</f>
        <v>#N/A</v>
      </c>
      <c r="K26" s="6" t="e">
        <f>VLOOKUP($D26,Résultats!$B$2:$AX$476,K$5,FALSE)</f>
        <v>#N/A</v>
      </c>
      <c r="L26" s="6" t="e">
        <f>VLOOKUP($D26,Résultats!$B$2:$AX$476,L$5,FALSE)</f>
        <v>#N/A</v>
      </c>
      <c r="M26" s="6" t="e">
        <f>VLOOKUP($D26,Résultats!$B$2:$AX$476,M$5,FALSE)</f>
        <v>#N/A</v>
      </c>
      <c r="N26" s="110" t="e">
        <f>VLOOKUP($D26,Résultats!$B$2:$AX$476,N$5,FALSE)</f>
        <v>#N/A</v>
      </c>
      <c r="O26" s="109" t="e">
        <f>VLOOKUP($D26,Résultats!$B$2:$AX$476,O$5,FALSE)</f>
        <v>#N/A</v>
      </c>
      <c r="P26" s="6" t="e">
        <f>VLOOKUP($D26,Résultats!$B$2:$AX$476,P$5,FALSE)</f>
        <v>#N/A</v>
      </c>
      <c r="Q26" s="6" t="e">
        <f>VLOOKUP($D26,Résultats!$B$2:$AX$476,Q$5,FALSE)</f>
        <v>#N/A</v>
      </c>
      <c r="R26" s="6" t="e">
        <f>VLOOKUP($D26,Résultats!$B$2:$AX$476,R$5,FALSE)</f>
        <v>#N/A</v>
      </c>
      <c r="S26" s="110" t="e">
        <f>VLOOKUP($D26,Résultats!$B$2:$AX$476,S$5,FALSE)</f>
        <v>#N/A</v>
      </c>
      <c r="T26" s="119" t="e">
        <f>VLOOKUP($D26,Résultats!$B$2:$AX$476,T$5,FALSE)</f>
        <v>#N/A</v>
      </c>
      <c r="U26" s="119" t="e">
        <f>VLOOKUP($D26,Résultats!$B$2:$AX$476,U$5,FALSE)</f>
        <v>#N/A</v>
      </c>
      <c r="V26" s="119" t="e">
        <f>VLOOKUP($D26,Résultats!$B$2:$AX$476,V$5,FALSE)</f>
        <v>#N/A</v>
      </c>
      <c r="W26" s="119" t="e">
        <f>VLOOKUP($D26,Résultats!$B$2:$AX$476,W$5,FALSE)</f>
        <v>#N/A</v>
      </c>
      <c r="X26" s="3"/>
      <c r="Y26" s="34"/>
      <c r="Z26" s="34"/>
      <c r="AA26" s="34"/>
    </row>
    <row r="27" spans="1:39" x14ac:dyDescent="0.25">
      <c r="A27" s="3"/>
      <c r="B27" s="206" t="s">
        <v>1</v>
      </c>
      <c r="C27" s="2"/>
      <c r="D27" s="2"/>
      <c r="E27" s="9" t="e">
        <f>E26+E19+E10+E7</f>
        <v>#N/A</v>
      </c>
      <c r="F27" s="9" t="e">
        <f>F26+F19+F10+F7</f>
        <v>#N/A</v>
      </c>
      <c r="G27" s="29" t="e">
        <f t="shared" ref="G27:R27" si="4">G26+G19+G10+G7</f>
        <v>#N/A</v>
      </c>
      <c r="H27" s="9" t="e">
        <f t="shared" si="4"/>
        <v>#N/A</v>
      </c>
      <c r="I27" s="115" t="e">
        <f t="shared" si="4"/>
        <v>#N/A</v>
      </c>
      <c r="J27" s="29" t="e">
        <f t="shared" si="4"/>
        <v>#N/A</v>
      </c>
      <c r="K27" s="9" t="e">
        <f t="shared" si="4"/>
        <v>#N/A</v>
      </c>
      <c r="L27" s="9" t="e">
        <f t="shared" si="4"/>
        <v>#N/A</v>
      </c>
      <c r="M27" s="9" t="e">
        <f t="shared" si="4"/>
        <v>#N/A</v>
      </c>
      <c r="N27" s="115" t="e">
        <f t="shared" si="4"/>
        <v>#N/A</v>
      </c>
      <c r="O27" s="29" t="e">
        <f t="shared" si="4"/>
        <v>#N/A</v>
      </c>
      <c r="P27" s="9" t="e">
        <f t="shared" si="4"/>
        <v>#N/A</v>
      </c>
      <c r="Q27" s="9" t="e">
        <f t="shared" si="4"/>
        <v>#N/A</v>
      </c>
      <c r="R27" s="9" t="e">
        <f t="shared" si="4"/>
        <v>#N/A</v>
      </c>
      <c r="S27" s="115" t="e">
        <f>S26+S19+S10+S7</f>
        <v>#N/A</v>
      </c>
      <c r="T27" s="123" t="e">
        <f>T26+T19+T10+T7</f>
        <v>#N/A</v>
      </c>
      <c r="U27" s="123" t="e">
        <f>U26+U19+U10+U7</f>
        <v>#N/A</v>
      </c>
      <c r="V27" s="123" t="e">
        <f>V26+V19+V10+V7</f>
        <v>#N/A</v>
      </c>
      <c r="W27" s="123" t="e">
        <f>W26+W19+W10+W7</f>
        <v>#N/A</v>
      </c>
      <c r="X27" s="3"/>
      <c r="Y27" s="34"/>
      <c r="Z27" s="34"/>
      <c r="AA27" s="34"/>
    </row>
    <row r="28" spans="1:3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3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9" ht="21" x14ac:dyDescent="0.35">
      <c r="A30" s="226" t="s">
        <v>228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39" ht="23.25" x14ac:dyDescent="0.35">
      <c r="A31" s="194" t="str">
        <f>Résultats!B1</f>
        <v>TEND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51" t="s">
        <v>237</v>
      </c>
      <c r="AA31" s="51"/>
      <c r="AB31" s="51"/>
      <c r="AC31" s="53"/>
      <c r="AE31" s="51" t="s">
        <v>240</v>
      </c>
      <c r="AF31" s="51"/>
      <c r="AG31" s="51"/>
      <c r="AH31" s="53"/>
      <c r="AJ31" s="51" t="s">
        <v>241</v>
      </c>
      <c r="AK31" s="51"/>
      <c r="AL31" s="51"/>
      <c r="AM31" s="53"/>
    </row>
    <row r="32" spans="1:39" x14ac:dyDescent="0.25">
      <c r="A32" s="3"/>
      <c r="B32" s="205"/>
      <c r="C32" s="2"/>
      <c r="D32" s="18"/>
      <c r="E32" s="4">
        <v>2006</v>
      </c>
      <c r="F32" s="4">
        <v>2015</v>
      </c>
      <c r="G32" s="26">
        <v>2018</v>
      </c>
      <c r="H32" s="33">
        <v>2019</v>
      </c>
      <c r="I32" s="108">
        <v>2020</v>
      </c>
      <c r="J32" s="116">
        <v>2021</v>
      </c>
      <c r="K32" s="33">
        <v>2022</v>
      </c>
      <c r="L32" s="33">
        <v>2023</v>
      </c>
      <c r="M32" s="33">
        <v>2024</v>
      </c>
      <c r="N32" s="108">
        <v>2025</v>
      </c>
      <c r="O32" s="116">
        <v>2026</v>
      </c>
      <c r="P32" s="33">
        <v>2027</v>
      </c>
      <c r="Q32" s="33">
        <v>2028</v>
      </c>
      <c r="R32" s="33">
        <v>2029</v>
      </c>
      <c r="S32" s="117">
        <v>2030</v>
      </c>
      <c r="T32" s="118">
        <v>2035</v>
      </c>
      <c r="U32" s="118">
        <v>2040</v>
      </c>
      <c r="V32" s="118">
        <v>2045</v>
      </c>
      <c r="W32" s="118">
        <v>2050</v>
      </c>
      <c r="X32" s="3"/>
      <c r="Z32" s="208"/>
      <c r="AA32" s="209">
        <v>2020</v>
      </c>
      <c r="AB32" s="209">
        <v>2030</v>
      </c>
      <c r="AC32" s="210">
        <v>2050</v>
      </c>
      <c r="AE32" s="208"/>
      <c r="AF32" s="209">
        <v>2020</v>
      </c>
      <c r="AG32" s="209">
        <v>2030</v>
      </c>
      <c r="AH32" s="210">
        <v>2050</v>
      </c>
      <c r="AJ32" s="208"/>
      <c r="AK32" s="209">
        <v>2020</v>
      </c>
      <c r="AL32" s="209">
        <v>2030</v>
      </c>
      <c r="AM32" s="210">
        <v>2050</v>
      </c>
    </row>
    <row r="33" spans="1:39" x14ac:dyDescent="0.25">
      <c r="A33" s="3"/>
      <c r="B33" s="272" t="s">
        <v>0</v>
      </c>
      <c r="C33" s="5" t="s">
        <v>1</v>
      </c>
      <c r="D33" s="2" t="s">
        <v>113</v>
      </c>
      <c r="E33" s="6" t="e">
        <f>SUM(E34:E35)</f>
        <v>#N/A</v>
      </c>
      <c r="F33" s="6" t="e">
        <f>SUM(F34:F35)</f>
        <v>#N/A</v>
      </c>
      <c r="G33" s="109" t="e">
        <f t="shared" ref="G33:R33" si="5">SUM(G34:G35)</f>
        <v>#N/A</v>
      </c>
      <c r="H33" s="6" t="e">
        <f t="shared" si="5"/>
        <v>#N/A</v>
      </c>
      <c r="I33" s="110" t="e">
        <f t="shared" si="5"/>
        <v>#N/A</v>
      </c>
      <c r="J33" s="109" t="e">
        <f t="shared" si="5"/>
        <v>#N/A</v>
      </c>
      <c r="K33" s="6" t="e">
        <f t="shared" si="5"/>
        <v>#N/A</v>
      </c>
      <c r="L33" s="6" t="e">
        <f t="shared" si="5"/>
        <v>#N/A</v>
      </c>
      <c r="M33" s="6" t="e">
        <f t="shared" si="5"/>
        <v>#N/A</v>
      </c>
      <c r="N33" s="110" t="e">
        <f t="shared" si="5"/>
        <v>#N/A</v>
      </c>
      <c r="O33" s="109" t="e">
        <f t="shared" si="5"/>
        <v>#N/A</v>
      </c>
      <c r="P33" s="6" t="e">
        <f t="shared" si="5"/>
        <v>#N/A</v>
      </c>
      <c r="Q33" s="6" t="e">
        <f t="shared" si="5"/>
        <v>#N/A</v>
      </c>
      <c r="R33" s="6" t="e">
        <f t="shared" si="5"/>
        <v>#N/A</v>
      </c>
      <c r="S33" s="110" t="e">
        <f>SUM(S34:S35)</f>
        <v>#N/A</v>
      </c>
      <c r="T33" s="119" t="e">
        <f>SUM(T34:T35)</f>
        <v>#N/A</v>
      </c>
      <c r="U33" s="119" t="e">
        <f>SUM(U34:U35)</f>
        <v>#N/A</v>
      </c>
      <c r="V33" s="119" t="e">
        <f>SUM(V34:V35)</f>
        <v>#N/A</v>
      </c>
      <c r="W33" s="119" t="e">
        <f>SUM(W34:W35)</f>
        <v>#N/A</v>
      </c>
      <c r="X33" s="3"/>
      <c r="Z33" s="211" t="s">
        <v>42</v>
      </c>
      <c r="AA33" s="220" t="e">
        <f>(I38+I40)/I36</f>
        <v>#N/A</v>
      </c>
      <c r="AB33" s="220" t="e">
        <f>(S38+S40)/S36</f>
        <v>#N/A</v>
      </c>
      <c r="AC33" s="221" t="e">
        <f>(W38+W40)/W36</f>
        <v>#N/A</v>
      </c>
      <c r="AE33" s="211" t="s">
        <v>242</v>
      </c>
      <c r="AF33" s="220" t="e">
        <f>I34/I33</f>
        <v>#N/A</v>
      </c>
      <c r="AG33" s="220" t="e">
        <f>S34/S33</f>
        <v>#N/A</v>
      </c>
      <c r="AH33" s="221" t="e">
        <f>W34/W33</f>
        <v>#N/A</v>
      </c>
      <c r="AJ33" s="211" t="s">
        <v>176</v>
      </c>
      <c r="AK33" s="220" t="e">
        <f>I46/(I46+I48)</f>
        <v>#N/A</v>
      </c>
      <c r="AL33" s="220" t="e">
        <f>S46/(S46+S48)</f>
        <v>#N/A</v>
      </c>
      <c r="AM33" s="221" t="e">
        <f>W46/(W46+W48)</f>
        <v>#N/A</v>
      </c>
    </row>
    <row r="34" spans="1:39" x14ac:dyDescent="0.25">
      <c r="A34" s="3"/>
      <c r="B34" s="273"/>
      <c r="C34" s="3" t="s">
        <v>2</v>
      </c>
      <c r="D34" s="18" t="s">
        <v>128</v>
      </c>
      <c r="E34" s="19" t="e">
        <f>VLOOKUP($D34,Résultats!$B$2:$AX$476,E$5,FALSE)</f>
        <v>#N/A</v>
      </c>
      <c r="F34" s="19" t="e">
        <f>VLOOKUP($D34,Résultats!$B$2:$AX$476,F$5,FALSE)</f>
        <v>#N/A</v>
      </c>
      <c r="G34" s="28" t="e">
        <f>VLOOKUP($D34,Résultats!$B$2:$AX$476,G$5,FALSE)</f>
        <v>#N/A</v>
      </c>
      <c r="H34" s="19" t="e">
        <f>VLOOKUP($D34,Résultats!$B$2:$AX$476,H$5,FALSE)</f>
        <v>#N/A</v>
      </c>
      <c r="I34" s="111" t="e">
        <f>VLOOKUP($D34,Résultats!$B$2:$AX$476,I$5,FALSE)</f>
        <v>#N/A</v>
      </c>
      <c r="J34" s="28" t="e">
        <f>VLOOKUP($D34,Résultats!$B$2:$AX$476,J$5,FALSE)</f>
        <v>#N/A</v>
      </c>
      <c r="K34" s="19" t="e">
        <f>VLOOKUP($D34,Résultats!$B$2:$AX$476,K$5,FALSE)</f>
        <v>#N/A</v>
      </c>
      <c r="L34" s="19" t="e">
        <f>VLOOKUP($D34,Résultats!$B$2:$AX$476,L$5,FALSE)</f>
        <v>#N/A</v>
      </c>
      <c r="M34" s="19" t="e">
        <f>VLOOKUP($D34,Résultats!$B$2:$AX$476,M$5,FALSE)</f>
        <v>#N/A</v>
      </c>
      <c r="N34" s="111" t="e">
        <f>VLOOKUP($D34,Résultats!$B$2:$AX$476,N$5,FALSE)</f>
        <v>#N/A</v>
      </c>
      <c r="O34" s="28" t="e">
        <f>VLOOKUP($D34,Résultats!$B$2:$AX$476,O$5,FALSE)</f>
        <v>#N/A</v>
      </c>
      <c r="P34" s="19" t="e">
        <f>VLOOKUP($D34,Résultats!$B$2:$AX$476,P$5,FALSE)</f>
        <v>#N/A</v>
      </c>
      <c r="Q34" s="19" t="e">
        <f>VLOOKUP($D34,Résultats!$B$2:$AX$476,Q$5,FALSE)</f>
        <v>#N/A</v>
      </c>
      <c r="R34" s="19" t="e">
        <f>VLOOKUP($D34,Résultats!$B$2:$AX$476,R$5,FALSE)</f>
        <v>#N/A</v>
      </c>
      <c r="S34" s="111" t="e">
        <f>VLOOKUP($D34,Résultats!$B$2:$AX$476,S$5,FALSE)</f>
        <v>#N/A</v>
      </c>
      <c r="T34" s="120" t="e">
        <f>VLOOKUP($D34,Résultats!$B$2:$AX$476,T$5,FALSE)</f>
        <v>#N/A</v>
      </c>
      <c r="U34" s="120" t="e">
        <f>VLOOKUP($D34,Résultats!$B$2:$AX$476,U$5,FALSE)</f>
        <v>#N/A</v>
      </c>
      <c r="V34" s="120" t="e">
        <f>VLOOKUP($D34,Résultats!$B$2:$AX$476,V$5,FALSE)</f>
        <v>#N/A</v>
      </c>
      <c r="W34" s="120" t="e">
        <f>VLOOKUP($D34,Résultats!$B$2:$AX$476,W$5,FALSE)</f>
        <v>#N/A</v>
      </c>
      <c r="X34" s="3"/>
      <c r="Z34" s="211" t="s">
        <v>171</v>
      </c>
      <c r="AA34" s="220" t="e">
        <f>I37/I36</f>
        <v>#N/A</v>
      </c>
      <c r="AB34" s="220" t="e">
        <f>S37/S36</f>
        <v>#N/A</v>
      </c>
      <c r="AC34" s="221" t="e">
        <f>W37/W36</f>
        <v>#N/A</v>
      </c>
      <c r="AE34" s="213" t="s">
        <v>175</v>
      </c>
      <c r="AF34" s="222" t="e">
        <f>I35/I33</f>
        <v>#N/A</v>
      </c>
      <c r="AG34" s="222" t="e">
        <f>S35/S33</f>
        <v>#N/A</v>
      </c>
      <c r="AH34" s="223" t="e">
        <f>W35/W33</f>
        <v>#N/A</v>
      </c>
      <c r="AJ34" s="213" t="s">
        <v>177</v>
      </c>
      <c r="AK34" s="222" t="e">
        <f>I48/(I46+I48)</f>
        <v>#N/A</v>
      </c>
      <c r="AL34" s="222" t="e">
        <f>S48/(S46+S48)</f>
        <v>#N/A</v>
      </c>
      <c r="AM34" s="223" t="e">
        <f>W48/(W46+W48)</f>
        <v>#N/A</v>
      </c>
    </row>
    <row r="35" spans="1:39" x14ac:dyDescent="0.25">
      <c r="A35" s="3"/>
      <c r="B35" s="274"/>
      <c r="C35" s="7" t="s">
        <v>3</v>
      </c>
      <c r="D35" s="3" t="s">
        <v>129</v>
      </c>
      <c r="E35" s="19" t="e">
        <f>VLOOKUP($D35,Résultats!$B$2:$AX$476,E$5,FALSE)</f>
        <v>#N/A</v>
      </c>
      <c r="F35" s="19" t="e">
        <f>VLOOKUP($D35,Résultats!$B$2:$AX$476,F$5,FALSE)</f>
        <v>#N/A</v>
      </c>
      <c r="G35" s="28" t="e">
        <f>VLOOKUP($D35,Résultats!$B$2:$AX$476,G$5,FALSE)</f>
        <v>#N/A</v>
      </c>
      <c r="H35" s="19" t="e">
        <f>VLOOKUP($D35,Résultats!$B$2:$AX$476,H$5,FALSE)</f>
        <v>#N/A</v>
      </c>
      <c r="I35" s="111" t="e">
        <f>VLOOKUP($D35,Résultats!$B$2:$AX$476,I$5,FALSE)</f>
        <v>#N/A</v>
      </c>
      <c r="J35" s="28" t="e">
        <f>VLOOKUP($D35,Résultats!$B$2:$AX$476,J$5,FALSE)</f>
        <v>#N/A</v>
      </c>
      <c r="K35" s="19" t="e">
        <f>VLOOKUP($D35,Résultats!$B$2:$AX$476,K$5,FALSE)</f>
        <v>#N/A</v>
      </c>
      <c r="L35" s="19" t="e">
        <f>VLOOKUP($D35,Résultats!$B$2:$AX$476,L$5,FALSE)</f>
        <v>#N/A</v>
      </c>
      <c r="M35" s="19" t="e">
        <f>VLOOKUP($D35,Résultats!$B$2:$AX$476,M$5,FALSE)</f>
        <v>#N/A</v>
      </c>
      <c r="N35" s="111" t="e">
        <f>VLOOKUP($D35,Résultats!$B$2:$AX$476,N$5,FALSE)</f>
        <v>#N/A</v>
      </c>
      <c r="O35" s="28" t="e">
        <f>VLOOKUP($D35,Résultats!$B$2:$AX$476,O$5,FALSE)</f>
        <v>#N/A</v>
      </c>
      <c r="P35" s="19" t="e">
        <f>VLOOKUP($D35,Résultats!$B$2:$AX$476,P$5,FALSE)</f>
        <v>#N/A</v>
      </c>
      <c r="Q35" s="19" t="e">
        <f>VLOOKUP($D35,Résultats!$B$2:$AX$476,Q$5,FALSE)</f>
        <v>#N/A</v>
      </c>
      <c r="R35" s="19" t="e">
        <f>VLOOKUP($D35,Résultats!$B$2:$AX$476,R$5,FALSE)</f>
        <v>#N/A</v>
      </c>
      <c r="S35" s="111" t="e">
        <f>VLOOKUP($D35,Résultats!$B$2:$AX$476,S$5,FALSE)</f>
        <v>#N/A</v>
      </c>
      <c r="T35" s="120" t="e">
        <f>VLOOKUP($D35,Résultats!$B$2:$AX$476,T$5,FALSE)</f>
        <v>#N/A</v>
      </c>
      <c r="U35" s="120" t="e">
        <f>VLOOKUP($D35,Résultats!$B$2:$AX$476,U$5,FALSE)</f>
        <v>#N/A</v>
      </c>
      <c r="V35" s="120" t="e">
        <f>VLOOKUP($D35,Résultats!$B$2:$AX$476,V$5,FALSE)</f>
        <v>#N/A</v>
      </c>
      <c r="W35" s="120" t="e">
        <f>VLOOKUP($D35,Résultats!$B$2:$AX$476,W$5,FALSE)</f>
        <v>#N/A</v>
      </c>
      <c r="X35" s="3"/>
      <c r="Z35" s="211" t="s">
        <v>239</v>
      </c>
      <c r="AA35" s="220" t="e">
        <f>I43/I36</f>
        <v>#N/A</v>
      </c>
      <c r="AB35" s="220" t="e">
        <f>S43/S36</f>
        <v>#N/A</v>
      </c>
      <c r="AC35" s="221" t="e">
        <f>W43/W36</f>
        <v>#N/A</v>
      </c>
      <c r="AE35" s="219" t="s">
        <v>238</v>
      </c>
      <c r="AF35" s="224" t="e">
        <f>SUM(AF33:AF34)</f>
        <v>#N/A</v>
      </c>
      <c r="AG35" s="224" t="e">
        <f t="shared" ref="AG35:AH35" si="6">SUM(AG33:AG34)</f>
        <v>#N/A</v>
      </c>
      <c r="AH35" s="224" t="e">
        <f t="shared" si="6"/>
        <v>#N/A</v>
      </c>
      <c r="AJ35" s="219" t="s">
        <v>238</v>
      </c>
      <c r="AK35" s="224" t="e">
        <f>SUM(AK33:AK34)</f>
        <v>#N/A</v>
      </c>
      <c r="AL35" s="224" t="e">
        <f t="shared" ref="AL35" si="7">SUM(AL33:AL34)</f>
        <v>#N/A</v>
      </c>
      <c r="AM35" s="224" t="e">
        <f t="shared" ref="AM35" si="8">SUM(AM33:AM34)</f>
        <v>#N/A</v>
      </c>
    </row>
    <row r="36" spans="1:39" x14ac:dyDescent="0.25">
      <c r="A36" s="3"/>
      <c r="B36" s="272" t="s">
        <v>4</v>
      </c>
      <c r="C36" s="5" t="s">
        <v>1</v>
      </c>
      <c r="D36" s="2" t="s">
        <v>114</v>
      </c>
      <c r="E36" s="8" t="e">
        <f>SUM(E37:E44)</f>
        <v>#N/A</v>
      </c>
      <c r="F36" s="8" t="e">
        <f>SUM(F37:F44)</f>
        <v>#N/A</v>
      </c>
      <c r="G36" s="27" t="e">
        <f t="shared" ref="G36:R36" si="9">SUM(G37:G44)</f>
        <v>#N/A</v>
      </c>
      <c r="H36" s="8" t="e">
        <f t="shared" si="9"/>
        <v>#N/A</v>
      </c>
      <c r="I36" s="112" t="e">
        <f t="shared" si="9"/>
        <v>#N/A</v>
      </c>
      <c r="J36" s="27" t="e">
        <f t="shared" si="9"/>
        <v>#N/A</v>
      </c>
      <c r="K36" s="8" t="e">
        <f t="shared" si="9"/>
        <v>#N/A</v>
      </c>
      <c r="L36" s="8" t="e">
        <f t="shared" si="9"/>
        <v>#N/A</v>
      </c>
      <c r="M36" s="8" t="e">
        <f t="shared" si="9"/>
        <v>#N/A</v>
      </c>
      <c r="N36" s="112" t="e">
        <f t="shared" si="9"/>
        <v>#N/A</v>
      </c>
      <c r="O36" s="27" t="e">
        <f t="shared" si="9"/>
        <v>#N/A</v>
      </c>
      <c r="P36" s="8" t="e">
        <f t="shared" si="9"/>
        <v>#N/A</v>
      </c>
      <c r="Q36" s="8" t="e">
        <f t="shared" si="9"/>
        <v>#N/A</v>
      </c>
      <c r="R36" s="8" t="e">
        <f t="shared" si="9"/>
        <v>#N/A</v>
      </c>
      <c r="S36" s="112" t="e">
        <f>SUM(S37:S44)</f>
        <v>#N/A</v>
      </c>
      <c r="T36" s="121" t="e">
        <f>SUM(T37:T44)</f>
        <v>#N/A</v>
      </c>
      <c r="U36" s="121" t="e">
        <f>SUM(U37:U44)</f>
        <v>#N/A</v>
      </c>
      <c r="V36" s="121" t="e">
        <f>SUM(V37:V44)</f>
        <v>#N/A</v>
      </c>
      <c r="W36" s="121" t="e">
        <f>SUM(W37:W44)</f>
        <v>#N/A</v>
      </c>
      <c r="X36" s="3"/>
      <c r="Z36" s="211" t="s">
        <v>172</v>
      </c>
      <c r="AA36" s="220" t="e">
        <f>I42/I36</f>
        <v>#N/A</v>
      </c>
      <c r="AB36" s="220" t="e">
        <f>S42/S36</f>
        <v>#N/A</v>
      </c>
      <c r="AC36" s="221" t="e">
        <f>W42/W36</f>
        <v>#N/A</v>
      </c>
    </row>
    <row r="37" spans="1:39" x14ac:dyDescent="0.25">
      <c r="A37" s="3"/>
      <c r="B37" s="273"/>
      <c r="C37" s="3" t="s">
        <v>5</v>
      </c>
      <c r="D37" s="3" t="s">
        <v>120</v>
      </c>
      <c r="E37" s="19" t="e">
        <f>VLOOKUP($D37,Résultats!$B$2:$AX$476,E$5,FALSE)</f>
        <v>#N/A</v>
      </c>
      <c r="F37" s="19" t="e">
        <f>VLOOKUP($D37,Résultats!$B$2:$AX$476,F$5,FALSE)</f>
        <v>#N/A</v>
      </c>
      <c r="G37" s="28" t="e">
        <f>VLOOKUP($D37,Résultats!$B$2:$AX$476,G$5,FALSE)</f>
        <v>#N/A</v>
      </c>
      <c r="H37" s="19" t="e">
        <f>VLOOKUP($D37,Résultats!$B$2:$AX$476,H$5,FALSE)</f>
        <v>#N/A</v>
      </c>
      <c r="I37" s="111" t="e">
        <f>VLOOKUP($D37,Résultats!$B$2:$AX$476,I$5,FALSE)</f>
        <v>#N/A</v>
      </c>
      <c r="J37" s="28" t="e">
        <f>VLOOKUP($D37,Résultats!$B$2:$AX$476,J$5,FALSE)</f>
        <v>#N/A</v>
      </c>
      <c r="K37" s="19" t="e">
        <f>VLOOKUP($D37,Résultats!$B$2:$AX$476,K$5,FALSE)</f>
        <v>#N/A</v>
      </c>
      <c r="L37" s="19" t="e">
        <f>VLOOKUP($D37,Résultats!$B$2:$AX$476,L$5,FALSE)</f>
        <v>#N/A</v>
      </c>
      <c r="M37" s="19" t="e">
        <f>VLOOKUP($D37,Résultats!$B$2:$AX$476,M$5,FALSE)</f>
        <v>#N/A</v>
      </c>
      <c r="N37" s="111" t="e">
        <f>VLOOKUP($D37,Résultats!$B$2:$AX$476,N$5,FALSE)</f>
        <v>#N/A</v>
      </c>
      <c r="O37" s="28" t="e">
        <f>VLOOKUP($D37,Résultats!$B$2:$AX$476,O$5,FALSE)</f>
        <v>#N/A</v>
      </c>
      <c r="P37" s="19" t="e">
        <f>VLOOKUP($D37,Résultats!$B$2:$AX$476,P$5,FALSE)</f>
        <v>#N/A</v>
      </c>
      <c r="Q37" s="19" t="e">
        <f>VLOOKUP($D37,Résultats!$B$2:$AX$476,Q$5,FALSE)</f>
        <v>#N/A</v>
      </c>
      <c r="R37" s="19" t="e">
        <f>VLOOKUP($D37,Résultats!$B$2:$AX$476,R$5,FALSE)</f>
        <v>#N/A</v>
      </c>
      <c r="S37" s="111" t="e">
        <f>VLOOKUP($D37,Résultats!$B$2:$AX$476,S$5,FALSE)</f>
        <v>#N/A</v>
      </c>
      <c r="T37" s="120" t="e">
        <f>VLOOKUP($D37,Résultats!$B$2:$AX$476,T$5,FALSE)</f>
        <v>#N/A</v>
      </c>
      <c r="U37" s="120" t="e">
        <f>VLOOKUP($D37,Résultats!$B$2:$AX$476,U$5,FALSE)</f>
        <v>#N/A</v>
      </c>
      <c r="V37" s="120" t="e">
        <f>VLOOKUP($D37,Résultats!$B$2:$AX$476,V$5,FALSE)</f>
        <v>#N/A</v>
      </c>
      <c r="W37" s="120" t="e">
        <f>VLOOKUP($D37,Résultats!$B$2:$AX$476,W$5,FALSE)</f>
        <v>#N/A</v>
      </c>
      <c r="X37" s="3"/>
      <c r="Z37" s="211" t="s">
        <v>173</v>
      </c>
      <c r="AA37" s="220" t="e">
        <f>I41/I36</f>
        <v>#N/A</v>
      </c>
      <c r="AB37" s="220" t="e">
        <f>S41/S36</f>
        <v>#N/A</v>
      </c>
      <c r="AC37" s="221" t="e">
        <f>W41/W36</f>
        <v>#N/A</v>
      </c>
    </row>
    <row r="38" spans="1:39" x14ac:dyDescent="0.25">
      <c r="A38" s="3"/>
      <c r="B38" s="273"/>
      <c r="C38" s="3" t="s">
        <v>6</v>
      </c>
      <c r="D38" s="3" t="s">
        <v>121</v>
      </c>
      <c r="E38" s="19" t="e">
        <f>VLOOKUP($D38,Résultats!$B$2:$AX$476,E$5,FALSE)</f>
        <v>#N/A</v>
      </c>
      <c r="F38" s="19" t="e">
        <f>VLOOKUP($D38,Résultats!$B$2:$AX$476,F$5,FALSE)</f>
        <v>#N/A</v>
      </c>
      <c r="G38" s="28" t="e">
        <f>VLOOKUP($D38,Résultats!$B$2:$AX$476,G$5,FALSE)</f>
        <v>#N/A</v>
      </c>
      <c r="H38" s="19" t="e">
        <f>VLOOKUP($D38,Résultats!$B$2:$AX$476,H$5,FALSE)</f>
        <v>#N/A</v>
      </c>
      <c r="I38" s="111" t="e">
        <f>VLOOKUP($D38,Résultats!$B$2:$AX$476,I$5,FALSE)</f>
        <v>#N/A</v>
      </c>
      <c r="J38" s="28" t="e">
        <f>VLOOKUP($D38,Résultats!$B$2:$AX$476,J$5,FALSE)</f>
        <v>#N/A</v>
      </c>
      <c r="K38" s="19" t="e">
        <f>VLOOKUP($D38,Résultats!$B$2:$AX$476,K$5,FALSE)</f>
        <v>#N/A</v>
      </c>
      <c r="L38" s="19" t="e">
        <f>VLOOKUP($D38,Résultats!$B$2:$AX$476,L$5,FALSE)</f>
        <v>#N/A</v>
      </c>
      <c r="M38" s="19" t="e">
        <f>VLOOKUP($D38,Résultats!$B$2:$AX$476,M$5,FALSE)</f>
        <v>#N/A</v>
      </c>
      <c r="N38" s="111" t="e">
        <f>VLOOKUP($D38,Résultats!$B$2:$AX$476,N$5,FALSE)</f>
        <v>#N/A</v>
      </c>
      <c r="O38" s="28" t="e">
        <f>VLOOKUP($D38,Résultats!$B$2:$AX$476,O$5,FALSE)</f>
        <v>#N/A</v>
      </c>
      <c r="P38" s="19" t="e">
        <f>VLOOKUP($D38,Résultats!$B$2:$AX$476,P$5,FALSE)</f>
        <v>#N/A</v>
      </c>
      <c r="Q38" s="19" t="e">
        <f>VLOOKUP($D38,Résultats!$B$2:$AX$476,Q$5,FALSE)</f>
        <v>#N/A</v>
      </c>
      <c r="R38" s="19" t="e">
        <f>VLOOKUP($D38,Résultats!$B$2:$AX$476,R$5,FALSE)</f>
        <v>#N/A</v>
      </c>
      <c r="S38" s="111" t="e">
        <f>VLOOKUP($D38,Résultats!$B$2:$AX$476,S$5,FALSE)</f>
        <v>#N/A</v>
      </c>
      <c r="T38" s="120" t="e">
        <f>VLOOKUP($D38,Résultats!$B$2:$AX$476,T$5,FALSE)</f>
        <v>#N/A</v>
      </c>
      <c r="U38" s="120" t="e">
        <f>VLOOKUP($D38,Résultats!$B$2:$AX$476,U$5,FALSE)</f>
        <v>#N/A</v>
      </c>
      <c r="V38" s="120" t="e">
        <f>VLOOKUP($D38,Résultats!$B$2:$AX$476,V$5,FALSE)</f>
        <v>#N/A</v>
      </c>
      <c r="W38" s="120" t="e">
        <f>VLOOKUP($D38,Résultats!$B$2:$AX$476,W$5,FALSE)</f>
        <v>#N/A</v>
      </c>
      <c r="X38" s="3"/>
      <c r="Z38" s="213" t="s">
        <v>174</v>
      </c>
      <c r="AA38" s="222" t="e">
        <f>(I39+I44)/I36</f>
        <v>#N/A</v>
      </c>
      <c r="AB38" s="222" t="e">
        <f>(S39+S44)/S36</f>
        <v>#N/A</v>
      </c>
      <c r="AC38" s="223" t="e">
        <f>(W39+W44)/W36</f>
        <v>#N/A</v>
      </c>
    </row>
    <row r="39" spans="1:39" x14ac:dyDescent="0.25">
      <c r="A39" s="3"/>
      <c r="B39" s="273"/>
      <c r="C39" s="3" t="s">
        <v>7</v>
      </c>
      <c r="D39" s="3" t="s">
        <v>122</v>
      </c>
      <c r="E39" s="19" t="e">
        <f>VLOOKUP($D39,Résultats!$B$2:$AX$476,E$5,FALSE)</f>
        <v>#N/A</v>
      </c>
      <c r="F39" s="19" t="e">
        <f>VLOOKUP($D39,Résultats!$B$2:$AX$476,F$5,FALSE)</f>
        <v>#N/A</v>
      </c>
      <c r="G39" s="28" t="e">
        <f>VLOOKUP($D39,Résultats!$B$2:$AX$476,G$5,FALSE)</f>
        <v>#N/A</v>
      </c>
      <c r="H39" s="19" t="e">
        <f>VLOOKUP($D39,Résultats!$B$2:$AX$476,H$5,FALSE)</f>
        <v>#N/A</v>
      </c>
      <c r="I39" s="111" t="e">
        <f>VLOOKUP($D39,Résultats!$B$2:$AX$476,I$5,FALSE)</f>
        <v>#N/A</v>
      </c>
      <c r="J39" s="28" t="e">
        <f>VLOOKUP($D39,Résultats!$B$2:$AX$476,J$5,FALSE)</f>
        <v>#N/A</v>
      </c>
      <c r="K39" s="19" t="e">
        <f>VLOOKUP($D39,Résultats!$B$2:$AX$476,K$5,FALSE)</f>
        <v>#N/A</v>
      </c>
      <c r="L39" s="19" t="e">
        <f>VLOOKUP($D39,Résultats!$B$2:$AX$476,L$5,FALSE)</f>
        <v>#N/A</v>
      </c>
      <c r="M39" s="19" t="e">
        <f>VLOOKUP($D39,Résultats!$B$2:$AX$476,M$5,FALSE)</f>
        <v>#N/A</v>
      </c>
      <c r="N39" s="111" t="e">
        <f>VLOOKUP($D39,Résultats!$B$2:$AX$476,N$5,FALSE)</f>
        <v>#N/A</v>
      </c>
      <c r="O39" s="28" t="e">
        <f>VLOOKUP($D39,Résultats!$B$2:$AX$476,O$5,FALSE)</f>
        <v>#N/A</v>
      </c>
      <c r="P39" s="19" t="e">
        <f>VLOOKUP($D39,Résultats!$B$2:$AX$476,P$5,FALSE)</f>
        <v>#N/A</v>
      </c>
      <c r="Q39" s="19" t="e">
        <f>VLOOKUP($D39,Résultats!$B$2:$AX$476,Q$5,FALSE)</f>
        <v>#N/A</v>
      </c>
      <c r="R39" s="19" t="e">
        <f>VLOOKUP($D39,Résultats!$B$2:$AX$476,R$5,FALSE)</f>
        <v>#N/A</v>
      </c>
      <c r="S39" s="111" t="e">
        <f>VLOOKUP($D39,Résultats!$B$2:$AX$476,S$5,FALSE)</f>
        <v>#N/A</v>
      </c>
      <c r="T39" s="120" t="e">
        <f>VLOOKUP($D39,Résultats!$B$2:$AX$476,T$5,FALSE)</f>
        <v>#N/A</v>
      </c>
      <c r="U39" s="120" t="e">
        <f>VLOOKUP($D39,Résultats!$B$2:$AX$476,U$5,FALSE)</f>
        <v>#N/A</v>
      </c>
      <c r="V39" s="120" t="e">
        <f>VLOOKUP($D39,Résultats!$B$2:$AX$476,V$5,FALSE)</f>
        <v>#N/A</v>
      </c>
      <c r="W39" s="120" t="e">
        <f>VLOOKUP($D39,Résultats!$B$2:$AX$476,W$5,FALSE)</f>
        <v>#N/A</v>
      </c>
      <c r="X39" s="3"/>
      <c r="Z39" s="219" t="s">
        <v>238</v>
      </c>
      <c r="AA39" s="224" t="e">
        <f>SUM(AA33:AA38)</f>
        <v>#N/A</v>
      </c>
      <c r="AB39" s="224" t="e">
        <f t="shared" ref="AB39:AC39" si="10">SUM(AB33:AB38)</f>
        <v>#N/A</v>
      </c>
      <c r="AC39" s="224" t="e">
        <f t="shared" si="10"/>
        <v>#N/A</v>
      </c>
      <c r="AJ39" s="219"/>
      <c r="AK39" s="224"/>
      <c r="AL39" s="224"/>
      <c r="AM39" s="224"/>
    </row>
    <row r="40" spans="1:39" x14ac:dyDescent="0.25">
      <c r="A40" s="3"/>
      <c r="B40" s="273"/>
      <c r="C40" s="3" t="s">
        <v>8</v>
      </c>
      <c r="D40" s="3" t="s">
        <v>123</v>
      </c>
      <c r="E40" s="19" t="e">
        <f>VLOOKUP($D40,Résultats!$B$2:$AX$476,E$5,FALSE)</f>
        <v>#N/A</v>
      </c>
      <c r="F40" s="19" t="e">
        <f>VLOOKUP($D40,Résultats!$B$2:$AX$476,F$5,FALSE)</f>
        <v>#N/A</v>
      </c>
      <c r="G40" s="28" t="e">
        <f>VLOOKUP($D40,Résultats!$B$2:$AX$476,G$5,FALSE)</f>
        <v>#N/A</v>
      </c>
      <c r="H40" s="19" t="e">
        <f>VLOOKUP($D40,Résultats!$B$2:$AX$476,H$5,FALSE)</f>
        <v>#N/A</v>
      </c>
      <c r="I40" s="111" t="e">
        <f>VLOOKUP($D40,Résultats!$B$2:$AX$476,I$5,FALSE)</f>
        <v>#N/A</v>
      </c>
      <c r="J40" s="28" t="e">
        <f>VLOOKUP($D40,Résultats!$B$2:$AX$476,J$5,FALSE)</f>
        <v>#N/A</v>
      </c>
      <c r="K40" s="19" t="e">
        <f>VLOOKUP($D40,Résultats!$B$2:$AX$476,K$5,FALSE)</f>
        <v>#N/A</v>
      </c>
      <c r="L40" s="19" t="e">
        <f>VLOOKUP($D40,Résultats!$B$2:$AX$476,L$5,FALSE)</f>
        <v>#N/A</v>
      </c>
      <c r="M40" s="19" t="e">
        <f>VLOOKUP($D40,Résultats!$B$2:$AX$476,M$5,FALSE)</f>
        <v>#N/A</v>
      </c>
      <c r="N40" s="111" t="e">
        <f>VLOOKUP($D40,Résultats!$B$2:$AX$476,N$5,FALSE)</f>
        <v>#N/A</v>
      </c>
      <c r="O40" s="28" t="e">
        <f>VLOOKUP($D40,Résultats!$B$2:$AX$476,O$5,FALSE)</f>
        <v>#N/A</v>
      </c>
      <c r="P40" s="19" t="e">
        <f>VLOOKUP($D40,Résultats!$B$2:$AX$476,P$5,FALSE)</f>
        <v>#N/A</v>
      </c>
      <c r="Q40" s="19" t="e">
        <f>VLOOKUP($D40,Résultats!$B$2:$AX$476,Q$5,FALSE)</f>
        <v>#N/A</v>
      </c>
      <c r="R40" s="19" t="e">
        <f>VLOOKUP($D40,Résultats!$B$2:$AX$476,R$5,FALSE)</f>
        <v>#N/A</v>
      </c>
      <c r="S40" s="111" t="e">
        <f>VLOOKUP($D40,Résultats!$B$2:$AX$476,S$5,FALSE)</f>
        <v>#N/A</v>
      </c>
      <c r="T40" s="120" t="e">
        <f>VLOOKUP($D40,Résultats!$B$2:$AX$476,T$5,FALSE)</f>
        <v>#N/A</v>
      </c>
      <c r="U40" s="120" t="e">
        <f>VLOOKUP($D40,Résultats!$B$2:$AX$476,U$5,FALSE)</f>
        <v>#N/A</v>
      </c>
      <c r="V40" s="120" t="e">
        <f>VLOOKUP($D40,Résultats!$B$2:$AX$476,V$5,FALSE)</f>
        <v>#N/A</v>
      </c>
      <c r="W40" s="120" t="e">
        <f>VLOOKUP($D40,Résultats!$B$2:$AX$476,W$5,FALSE)</f>
        <v>#N/A</v>
      </c>
      <c r="X40" s="3"/>
    </row>
    <row r="41" spans="1:39" x14ac:dyDescent="0.25">
      <c r="A41" s="3"/>
      <c r="B41" s="273"/>
      <c r="C41" s="3" t="s">
        <v>9</v>
      </c>
      <c r="D41" s="3" t="s">
        <v>124</v>
      </c>
      <c r="E41" s="19" t="e">
        <f>VLOOKUP($D41,Résultats!$B$2:$AX$476,E$5,FALSE)</f>
        <v>#N/A</v>
      </c>
      <c r="F41" s="19" t="e">
        <f>VLOOKUP($D41,Résultats!$B$2:$AX$476,F$5,FALSE)</f>
        <v>#N/A</v>
      </c>
      <c r="G41" s="28" t="e">
        <f>VLOOKUP($D41,Résultats!$B$2:$AX$476,G$5,FALSE)</f>
        <v>#N/A</v>
      </c>
      <c r="H41" s="19" t="e">
        <f>VLOOKUP($D41,Résultats!$B$2:$AX$476,H$5,FALSE)</f>
        <v>#N/A</v>
      </c>
      <c r="I41" s="111" t="e">
        <f>VLOOKUP($D41,Résultats!$B$2:$AX$476,I$5,FALSE)</f>
        <v>#N/A</v>
      </c>
      <c r="J41" s="28" t="e">
        <f>VLOOKUP($D41,Résultats!$B$2:$AX$476,J$5,FALSE)</f>
        <v>#N/A</v>
      </c>
      <c r="K41" s="19" t="e">
        <f>VLOOKUP($D41,Résultats!$B$2:$AX$476,K$5,FALSE)</f>
        <v>#N/A</v>
      </c>
      <c r="L41" s="19" t="e">
        <f>VLOOKUP($D41,Résultats!$B$2:$AX$476,L$5,FALSE)</f>
        <v>#N/A</v>
      </c>
      <c r="M41" s="19" t="e">
        <f>VLOOKUP($D41,Résultats!$B$2:$AX$476,M$5,FALSE)</f>
        <v>#N/A</v>
      </c>
      <c r="N41" s="111" t="e">
        <f>VLOOKUP($D41,Résultats!$B$2:$AX$476,N$5,FALSE)</f>
        <v>#N/A</v>
      </c>
      <c r="O41" s="28" t="e">
        <f>VLOOKUP($D41,Résultats!$B$2:$AX$476,O$5,FALSE)</f>
        <v>#N/A</v>
      </c>
      <c r="P41" s="19" t="e">
        <f>VLOOKUP($D41,Résultats!$B$2:$AX$476,P$5,FALSE)</f>
        <v>#N/A</v>
      </c>
      <c r="Q41" s="19" t="e">
        <f>VLOOKUP($D41,Résultats!$B$2:$AX$476,Q$5,FALSE)</f>
        <v>#N/A</v>
      </c>
      <c r="R41" s="19" t="e">
        <f>VLOOKUP($D41,Résultats!$B$2:$AX$476,R$5,FALSE)</f>
        <v>#N/A</v>
      </c>
      <c r="S41" s="111" t="e">
        <f>VLOOKUP($D41,Résultats!$B$2:$AX$476,S$5,FALSE)</f>
        <v>#N/A</v>
      </c>
      <c r="T41" s="120" t="e">
        <f>VLOOKUP($D41,Résultats!$B$2:$AX$476,T$5,FALSE)</f>
        <v>#N/A</v>
      </c>
      <c r="U41" s="120" t="e">
        <f>VLOOKUP($D41,Résultats!$B$2:$AX$476,U$5,FALSE)</f>
        <v>#N/A</v>
      </c>
      <c r="V41" s="120" t="e">
        <f>VLOOKUP($D41,Résultats!$B$2:$AX$476,V$5,FALSE)</f>
        <v>#N/A</v>
      </c>
      <c r="W41" s="120" t="e">
        <f>VLOOKUP($D41,Résultats!$B$2:$AX$476,W$5,FALSE)</f>
        <v>#N/A</v>
      </c>
      <c r="X41" s="3"/>
    </row>
    <row r="42" spans="1:39" x14ac:dyDescent="0.25">
      <c r="A42" s="3"/>
      <c r="B42" s="273"/>
      <c r="C42" s="3" t="s">
        <v>10</v>
      </c>
      <c r="D42" s="3" t="s">
        <v>125</v>
      </c>
      <c r="E42" s="19" t="e">
        <f>VLOOKUP($D42,Résultats!$B$2:$AX$476,E$5,FALSE)</f>
        <v>#N/A</v>
      </c>
      <c r="F42" s="19" t="e">
        <f>VLOOKUP($D42,Résultats!$B$2:$AX$476,F$5,FALSE)</f>
        <v>#N/A</v>
      </c>
      <c r="G42" s="28" t="e">
        <f>VLOOKUP($D42,Résultats!$B$2:$AX$476,G$5,FALSE)</f>
        <v>#N/A</v>
      </c>
      <c r="H42" s="19" t="e">
        <f>VLOOKUP($D42,Résultats!$B$2:$AX$476,H$5,FALSE)</f>
        <v>#N/A</v>
      </c>
      <c r="I42" s="111" t="e">
        <f>VLOOKUP($D42,Résultats!$B$2:$AX$476,I$5,FALSE)</f>
        <v>#N/A</v>
      </c>
      <c r="J42" s="28" t="e">
        <f>VLOOKUP($D42,Résultats!$B$2:$AX$476,J$5,FALSE)</f>
        <v>#N/A</v>
      </c>
      <c r="K42" s="19" t="e">
        <f>VLOOKUP($D42,Résultats!$B$2:$AX$476,K$5,FALSE)</f>
        <v>#N/A</v>
      </c>
      <c r="L42" s="19" t="e">
        <f>VLOOKUP($D42,Résultats!$B$2:$AX$476,L$5,FALSE)</f>
        <v>#N/A</v>
      </c>
      <c r="M42" s="19" t="e">
        <f>VLOOKUP($D42,Résultats!$B$2:$AX$476,M$5,FALSE)</f>
        <v>#N/A</v>
      </c>
      <c r="N42" s="111" t="e">
        <f>VLOOKUP($D42,Résultats!$B$2:$AX$476,N$5,FALSE)</f>
        <v>#N/A</v>
      </c>
      <c r="O42" s="28" t="e">
        <f>VLOOKUP($D42,Résultats!$B$2:$AX$476,O$5,FALSE)</f>
        <v>#N/A</v>
      </c>
      <c r="P42" s="19" t="e">
        <f>VLOOKUP($D42,Résultats!$B$2:$AX$476,P$5,FALSE)</f>
        <v>#N/A</v>
      </c>
      <c r="Q42" s="19" t="e">
        <f>VLOOKUP($D42,Résultats!$B$2:$AX$476,Q$5,FALSE)</f>
        <v>#N/A</v>
      </c>
      <c r="R42" s="19" t="e">
        <f>VLOOKUP($D42,Résultats!$B$2:$AX$476,R$5,FALSE)</f>
        <v>#N/A</v>
      </c>
      <c r="S42" s="111" t="e">
        <f>VLOOKUP($D42,Résultats!$B$2:$AX$476,S$5,FALSE)</f>
        <v>#N/A</v>
      </c>
      <c r="T42" s="120" t="e">
        <f>VLOOKUP($D42,Résultats!$B$2:$AX$476,T$5,FALSE)</f>
        <v>#N/A</v>
      </c>
      <c r="U42" s="120" t="e">
        <f>VLOOKUP($D42,Résultats!$B$2:$AX$476,U$5,FALSE)</f>
        <v>#N/A</v>
      </c>
      <c r="V42" s="120" t="e">
        <f>VLOOKUP($D42,Résultats!$B$2:$AX$476,V$5,FALSE)</f>
        <v>#N/A</v>
      </c>
      <c r="W42" s="120" t="e">
        <f>VLOOKUP($D42,Résultats!$B$2:$AX$476,W$5,FALSE)</f>
        <v>#N/A</v>
      </c>
      <c r="X42" s="3"/>
    </row>
    <row r="43" spans="1:39" x14ac:dyDescent="0.25">
      <c r="A43" s="3"/>
      <c r="B43" s="273"/>
      <c r="C43" s="3" t="s">
        <v>11</v>
      </c>
      <c r="D43" s="3" t="s">
        <v>126</v>
      </c>
      <c r="E43" s="19" t="e">
        <f>VLOOKUP($D43,Résultats!$B$2:$AX$476,E$5,FALSE)</f>
        <v>#N/A</v>
      </c>
      <c r="F43" s="19" t="e">
        <f>VLOOKUP($D43,Résultats!$B$2:$AX$476,F$5,FALSE)</f>
        <v>#N/A</v>
      </c>
      <c r="G43" s="28" t="e">
        <f>VLOOKUP($D43,Résultats!$B$2:$AX$476,G$5,FALSE)</f>
        <v>#N/A</v>
      </c>
      <c r="H43" s="19" t="e">
        <f>VLOOKUP($D43,Résultats!$B$2:$AX$476,H$5,FALSE)</f>
        <v>#N/A</v>
      </c>
      <c r="I43" s="111" t="e">
        <f>VLOOKUP($D43,Résultats!$B$2:$AX$476,I$5,FALSE)</f>
        <v>#N/A</v>
      </c>
      <c r="J43" s="28" t="e">
        <f>VLOOKUP($D43,Résultats!$B$2:$AX$476,J$5,FALSE)</f>
        <v>#N/A</v>
      </c>
      <c r="K43" s="19" t="e">
        <f>VLOOKUP($D43,Résultats!$B$2:$AX$476,K$5,FALSE)</f>
        <v>#N/A</v>
      </c>
      <c r="L43" s="19" t="e">
        <f>VLOOKUP($D43,Résultats!$B$2:$AX$476,L$5,FALSE)</f>
        <v>#N/A</v>
      </c>
      <c r="M43" s="19" t="e">
        <f>VLOOKUP($D43,Résultats!$B$2:$AX$476,M$5,FALSE)</f>
        <v>#N/A</v>
      </c>
      <c r="N43" s="111" t="e">
        <f>VLOOKUP($D43,Résultats!$B$2:$AX$476,N$5,FALSE)</f>
        <v>#N/A</v>
      </c>
      <c r="O43" s="28" t="e">
        <f>VLOOKUP($D43,Résultats!$B$2:$AX$476,O$5,FALSE)</f>
        <v>#N/A</v>
      </c>
      <c r="P43" s="19" t="e">
        <f>VLOOKUP($D43,Résultats!$B$2:$AX$476,P$5,FALSE)</f>
        <v>#N/A</v>
      </c>
      <c r="Q43" s="19" t="e">
        <f>VLOOKUP($D43,Résultats!$B$2:$AX$476,Q$5,FALSE)</f>
        <v>#N/A</v>
      </c>
      <c r="R43" s="19" t="e">
        <f>VLOOKUP($D43,Résultats!$B$2:$AX$476,R$5,FALSE)</f>
        <v>#N/A</v>
      </c>
      <c r="S43" s="111" t="e">
        <f>VLOOKUP($D43,Résultats!$B$2:$AX$476,S$5,FALSE)</f>
        <v>#N/A</v>
      </c>
      <c r="T43" s="120" t="e">
        <f>VLOOKUP($D43,Résultats!$B$2:$AX$476,T$5,FALSE)</f>
        <v>#N/A</v>
      </c>
      <c r="U43" s="120" t="e">
        <f>VLOOKUP($D43,Résultats!$B$2:$AX$476,U$5,FALSE)</f>
        <v>#N/A</v>
      </c>
      <c r="V43" s="120" t="e">
        <f>VLOOKUP($D43,Résultats!$B$2:$AX$476,V$5,FALSE)</f>
        <v>#N/A</v>
      </c>
      <c r="W43" s="120" t="e">
        <f>VLOOKUP($D43,Résultats!$B$2:$AX$476,W$5,FALSE)</f>
        <v>#N/A</v>
      </c>
      <c r="X43" s="3"/>
    </row>
    <row r="44" spans="1:39" x14ac:dyDescent="0.25">
      <c r="A44" s="3"/>
      <c r="B44" s="274"/>
      <c r="C44" s="7" t="s">
        <v>12</v>
      </c>
      <c r="D44" s="3" t="s">
        <v>127</v>
      </c>
      <c r="E44" s="20" t="e">
        <f>VLOOKUP($D44,Résultats!$B$2:$AX$476,E$5,FALSE)</f>
        <v>#N/A</v>
      </c>
      <c r="F44" s="20" t="e">
        <f>VLOOKUP($D44,Résultats!$B$2:$AX$476,F$5,FALSE)</f>
        <v>#N/A</v>
      </c>
      <c r="G44" s="113" t="e">
        <f>VLOOKUP($D44,Résultats!$B$2:$AX$476,G$5,FALSE)</f>
        <v>#N/A</v>
      </c>
      <c r="H44" s="20" t="e">
        <f>VLOOKUP($D44,Résultats!$B$2:$AX$476,H$5,FALSE)</f>
        <v>#N/A</v>
      </c>
      <c r="I44" s="114" t="e">
        <f>VLOOKUP($D44,Résultats!$B$2:$AX$476,I$5,FALSE)</f>
        <v>#N/A</v>
      </c>
      <c r="J44" s="113" t="e">
        <f>VLOOKUP($D44,Résultats!$B$2:$AX$476,J$5,FALSE)</f>
        <v>#N/A</v>
      </c>
      <c r="K44" s="20" t="e">
        <f>VLOOKUP($D44,Résultats!$B$2:$AX$476,K$5,FALSE)</f>
        <v>#N/A</v>
      </c>
      <c r="L44" s="20" t="e">
        <f>VLOOKUP($D44,Résultats!$B$2:$AX$476,L$5,FALSE)</f>
        <v>#N/A</v>
      </c>
      <c r="M44" s="20" t="e">
        <f>VLOOKUP($D44,Résultats!$B$2:$AX$476,M$5,FALSE)</f>
        <v>#N/A</v>
      </c>
      <c r="N44" s="114" t="e">
        <f>VLOOKUP($D44,Résultats!$B$2:$AX$476,N$5,FALSE)</f>
        <v>#N/A</v>
      </c>
      <c r="O44" s="113" t="e">
        <f>VLOOKUP($D44,Résultats!$B$2:$AX$476,O$5,FALSE)</f>
        <v>#N/A</v>
      </c>
      <c r="P44" s="20" t="e">
        <f>VLOOKUP($D44,Résultats!$B$2:$AX$476,P$5,FALSE)</f>
        <v>#N/A</v>
      </c>
      <c r="Q44" s="20" t="e">
        <f>VLOOKUP($D44,Résultats!$B$2:$AX$476,Q$5,FALSE)</f>
        <v>#N/A</v>
      </c>
      <c r="R44" s="20" t="e">
        <f>VLOOKUP($D44,Résultats!$B$2:$AX$476,R$5,FALSE)</f>
        <v>#N/A</v>
      </c>
      <c r="S44" s="114" t="e">
        <f>VLOOKUP($D44,Résultats!$B$2:$AX$476,S$5,FALSE)</f>
        <v>#N/A</v>
      </c>
      <c r="T44" s="122" t="e">
        <f>VLOOKUP($D44,Résultats!$B$2:$AX$476,T$5,FALSE)</f>
        <v>#N/A</v>
      </c>
      <c r="U44" s="122" t="e">
        <f>VLOOKUP($D44,Résultats!$B$2:$AX$476,U$5,FALSE)</f>
        <v>#N/A</v>
      </c>
      <c r="V44" s="122" t="e">
        <f>VLOOKUP($D44,Résultats!$B$2:$AX$476,V$5,FALSE)</f>
        <v>#N/A</v>
      </c>
      <c r="W44" s="122" t="e">
        <f>VLOOKUP($D44,Résultats!$B$2:$AX$476,W$5,FALSE)</f>
        <v>#N/A</v>
      </c>
      <c r="X44" s="3"/>
    </row>
    <row r="45" spans="1:39" x14ac:dyDescent="0.25">
      <c r="A45" s="3"/>
      <c r="B45" s="272" t="s">
        <v>163</v>
      </c>
      <c r="C45" s="5" t="s">
        <v>1</v>
      </c>
      <c r="D45" s="2" t="s">
        <v>115</v>
      </c>
      <c r="E45" s="6" t="e">
        <f>SUM(E46:E51)</f>
        <v>#N/A</v>
      </c>
      <c r="F45" s="6" t="e">
        <f>SUM(F46:F51)</f>
        <v>#N/A</v>
      </c>
      <c r="G45" s="109" t="e">
        <f t="shared" ref="G45:R45" si="11">SUM(G46:G51)</f>
        <v>#N/A</v>
      </c>
      <c r="H45" s="6" t="e">
        <f t="shared" si="11"/>
        <v>#N/A</v>
      </c>
      <c r="I45" s="110" t="e">
        <f t="shared" si="11"/>
        <v>#N/A</v>
      </c>
      <c r="J45" s="109" t="e">
        <f t="shared" si="11"/>
        <v>#N/A</v>
      </c>
      <c r="K45" s="6" t="e">
        <f t="shared" si="11"/>
        <v>#N/A</v>
      </c>
      <c r="L45" s="6" t="e">
        <f t="shared" si="11"/>
        <v>#N/A</v>
      </c>
      <c r="M45" s="6" t="e">
        <f t="shared" si="11"/>
        <v>#N/A</v>
      </c>
      <c r="N45" s="110" t="e">
        <f t="shared" si="11"/>
        <v>#N/A</v>
      </c>
      <c r="O45" s="109" t="e">
        <f t="shared" si="11"/>
        <v>#N/A</v>
      </c>
      <c r="P45" s="6" t="e">
        <f t="shared" si="11"/>
        <v>#N/A</v>
      </c>
      <c r="Q45" s="6" t="e">
        <f t="shared" si="11"/>
        <v>#N/A</v>
      </c>
      <c r="R45" s="6" t="e">
        <f t="shared" si="11"/>
        <v>#N/A</v>
      </c>
      <c r="S45" s="110" t="e">
        <f>SUM(S46:S51)</f>
        <v>#N/A</v>
      </c>
      <c r="T45" s="119" t="e">
        <f>SUM(T46:T51)</f>
        <v>#N/A</v>
      </c>
      <c r="U45" s="119" t="e">
        <f>SUM(U46:U51)</f>
        <v>#N/A</v>
      </c>
      <c r="V45" s="119" t="e">
        <f>SUM(V46:V51)</f>
        <v>#N/A</v>
      </c>
      <c r="W45" s="119" t="e">
        <f>SUM(W46:W51)</f>
        <v>#N/A</v>
      </c>
      <c r="X45" s="3"/>
    </row>
    <row r="46" spans="1:39" x14ac:dyDescent="0.25">
      <c r="A46" s="3"/>
      <c r="B46" s="273"/>
      <c r="C46" s="3" t="s">
        <v>13</v>
      </c>
      <c r="D46" s="3" t="s">
        <v>130</v>
      </c>
      <c r="E46" s="19" t="e">
        <f>VLOOKUP($D46,Résultats!$B$2:$AX$476,E$5,FALSE)</f>
        <v>#N/A</v>
      </c>
      <c r="F46" s="19" t="e">
        <f>VLOOKUP($D46,Résultats!$B$2:$AX$476,F$5,FALSE)</f>
        <v>#N/A</v>
      </c>
      <c r="G46" s="28" t="e">
        <f>VLOOKUP($D46,Résultats!$B$2:$AX$476,G$5,FALSE)</f>
        <v>#N/A</v>
      </c>
      <c r="H46" s="19" t="e">
        <f>VLOOKUP($D46,Résultats!$B$2:$AX$476,H$5,FALSE)</f>
        <v>#N/A</v>
      </c>
      <c r="I46" s="111" t="e">
        <f>VLOOKUP($D46,Résultats!$B$2:$AX$476,I$5,FALSE)</f>
        <v>#N/A</v>
      </c>
      <c r="J46" s="28" t="e">
        <f>VLOOKUP($D46,Résultats!$B$2:$AX$476,J$5,FALSE)</f>
        <v>#N/A</v>
      </c>
      <c r="K46" s="19" t="e">
        <f>VLOOKUP($D46,Résultats!$B$2:$AX$476,K$5,FALSE)</f>
        <v>#N/A</v>
      </c>
      <c r="L46" s="19" t="e">
        <f>VLOOKUP($D46,Résultats!$B$2:$AX$476,L$5,FALSE)</f>
        <v>#N/A</v>
      </c>
      <c r="M46" s="19" t="e">
        <f>VLOOKUP($D46,Résultats!$B$2:$AX$476,M$5,FALSE)</f>
        <v>#N/A</v>
      </c>
      <c r="N46" s="111" t="e">
        <f>VLOOKUP($D46,Résultats!$B$2:$AX$476,N$5,FALSE)</f>
        <v>#N/A</v>
      </c>
      <c r="O46" s="28" t="e">
        <f>VLOOKUP($D46,Résultats!$B$2:$AX$476,O$5,FALSE)</f>
        <v>#N/A</v>
      </c>
      <c r="P46" s="19" t="e">
        <f>VLOOKUP($D46,Résultats!$B$2:$AX$476,P$5,FALSE)</f>
        <v>#N/A</v>
      </c>
      <c r="Q46" s="19" t="e">
        <f>VLOOKUP($D46,Résultats!$B$2:$AX$476,Q$5,FALSE)</f>
        <v>#N/A</v>
      </c>
      <c r="R46" s="19" t="e">
        <f>VLOOKUP($D46,Résultats!$B$2:$AX$476,R$5,FALSE)</f>
        <v>#N/A</v>
      </c>
      <c r="S46" s="111" t="e">
        <f>VLOOKUP($D46,Résultats!$B$2:$AX$476,S$5,FALSE)</f>
        <v>#N/A</v>
      </c>
      <c r="T46" s="120" t="e">
        <f>VLOOKUP($D46,Résultats!$B$2:$AX$476,T$5,FALSE)</f>
        <v>#N/A</v>
      </c>
      <c r="U46" s="120" t="e">
        <f>VLOOKUP($D46,Résultats!$B$2:$AX$476,U$5,FALSE)</f>
        <v>#N/A</v>
      </c>
      <c r="V46" s="120" t="e">
        <f>VLOOKUP($D46,Résultats!$B$2:$AX$476,V$5,FALSE)</f>
        <v>#N/A</v>
      </c>
      <c r="W46" s="120" t="e">
        <f>VLOOKUP($D46,Résultats!$B$2:$AX$476,W$5,FALSE)</f>
        <v>#N/A</v>
      </c>
      <c r="X46" s="3"/>
    </row>
    <row r="47" spans="1:39" x14ac:dyDescent="0.25">
      <c r="A47" s="3"/>
      <c r="B47" s="273"/>
      <c r="C47" s="3" t="s">
        <v>14</v>
      </c>
      <c r="D47" s="3" t="s">
        <v>131</v>
      </c>
      <c r="E47" s="19" t="e">
        <f>VLOOKUP($D47,Résultats!$B$2:$AX$476,E$5,FALSE)</f>
        <v>#N/A</v>
      </c>
      <c r="F47" s="19" t="e">
        <f>VLOOKUP($D47,Résultats!$B$2:$AX$476,F$5,FALSE)</f>
        <v>#N/A</v>
      </c>
      <c r="G47" s="28" t="e">
        <f>VLOOKUP($D47,Résultats!$B$2:$AX$476,G$5,FALSE)</f>
        <v>#N/A</v>
      </c>
      <c r="H47" s="19" t="e">
        <f>VLOOKUP($D47,Résultats!$B$2:$AX$476,H$5,FALSE)</f>
        <v>#N/A</v>
      </c>
      <c r="I47" s="111" t="e">
        <f>VLOOKUP($D47,Résultats!$B$2:$AX$476,I$5,FALSE)</f>
        <v>#N/A</v>
      </c>
      <c r="J47" s="28" t="e">
        <f>VLOOKUP($D47,Résultats!$B$2:$AX$476,J$5,FALSE)</f>
        <v>#N/A</v>
      </c>
      <c r="K47" s="19" t="e">
        <f>VLOOKUP($D47,Résultats!$B$2:$AX$476,K$5,FALSE)</f>
        <v>#N/A</v>
      </c>
      <c r="L47" s="19" t="e">
        <f>VLOOKUP($D47,Résultats!$B$2:$AX$476,L$5,FALSE)</f>
        <v>#N/A</v>
      </c>
      <c r="M47" s="19" t="e">
        <f>VLOOKUP($D47,Résultats!$B$2:$AX$476,M$5,FALSE)</f>
        <v>#N/A</v>
      </c>
      <c r="N47" s="111" t="e">
        <f>VLOOKUP($D47,Résultats!$B$2:$AX$476,N$5,FALSE)</f>
        <v>#N/A</v>
      </c>
      <c r="O47" s="28" t="e">
        <f>VLOOKUP($D47,Résultats!$B$2:$AX$476,O$5,FALSE)</f>
        <v>#N/A</v>
      </c>
      <c r="P47" s="19" t="e">
        <f>VLOOKUP($D47,Résultats!$B$2:$AX$476,P$5,FALSE)</f>
        <v>#N/A</v>
      </c>
      <c r="Q47" s="19" t="e">
        <f>VLOOKUP($D47,Résultats!$B$2:$AX$476,Q$5,FALSE)</f>
        <v>#N/A</v>
      </c>
      <c r="R47" s="19" t="e">
        <f>VLOOKUP($D47,Résultats!$B$2:$AX$476,R$5,FALSE)</f>
        <v>#N/A</v>
      </c>
      <c r="S47" s="111" t="e">
        <f>VLOOKUP($D47,Résultats!$B$2:$AX$476,S$5,FALSE)</f>
        <v>#N/A</v>
      </c>
      <c r="T47" s="120" t="e">
        <f>VLOOKUP($D47,Résultats!$B$2:$AX$476,T$5,FALSE)</f>
        <v>#N/A</v>
      </c>
      <c r="U47" s="120" t="e">
        <f>VLOOKUP($D47,Résultats!$B$2:$AX$476,U$5,FALSE)</f>
        <v>#N/A</v>
      </c>
      <c r="V47" s="120" t="e">
        <f>VLOOKUP($D47,Résultats!$B$2:$AX$476,V$5,FALSE)</f>
        <v>#N/A</v>
      </c>
      <c r="W47" s="120" t="e">
        <f>VLOOKUP($D47,Résultats!$B$2:$AX$476,W$5,FALSE)</f>
        <v>#N/A</v>
      </c>
      <c r="X47" s="3"/>
    </row>
    <row r="48" spans="1:39" x14ac:dyDescent="0.25">
      <c r="A48" s="3"/>
      <c r="B48" s="273"/>
      <c r="C48" s="3" t="s">
        <v>15</v>
      </c>
      <c r="D48" s="3" t="s">
        <v>132</v>
      </c>
      <c r="E48" s="19" t="e">
        <f>VLOOKUP($D48,Résultats!$B$2:$AX$476,E$5,FALSE)</f>
        <v>#N/A</v>
      </c>
      <c r="F48" s="19" t="e">
        <f>VLOOKUP($D48,Résultats!$B$2:$AX$476,F$5,FALSE)</f>
        <v>#N/A</v>
      </c>
      <c r="G48" s="28" t="e">
        <f>VLOOKUP($D48,Résultats!$B$2:$AX$476,G$5,FALSE)</f>
        <v>#N/A</v>
      </c>
      <c r="H48" s="19" t="e">
        <f>VLOOKUP($D48,Résultats!$B$2:$AX$476,H$5,FALSE)</f>
        <v>#N/A</v>
      </c>
      <c r="I48" s="111" t="e">
        <f>VLOOKUP($D48,Résultats!$B$2:$AX$476,I$5,FALSE)</f>
        <v>#N/A</v>
      </c>
      <c r="J48" s="28" t="e">
        <f>VLOOKUP($D48,Résultats!$B$2:$AX$476,J$5,FALSE)</f>
        <v>#N/A</v>
      </c>
      <c r="K48" s="19" t="e">
        <f>VLOOKUP($D48,Résultats!$B$2:$AX$476,K$5,FALSE)</f>
        <v>#N/A</v>
      </c>
      <c r="L48" s="19" t="e">
        <f>VLOOKUP($D48,Résultats!$B$2:$AX$476,L$5,FALSE)</f>
        <v>#N/A</v>
      </c>
      <c r="M48" s="19" t="e">
        <f>VLOOKUP($D48,Résultats!$B$2:$AX$476,M$5,FALSE)</f>
        <v>#N/A</v>
      </c>
      <c r="N48" s="111" t="e">
        <f>VLOOKUP($D48,Résultats!$B$2:$AX$476,N$5,FALSE)</f>
        <v>#N/A</v>
      </c>
      <c r="O48" s="28" t="e">
        <f>VLOOKUP($D48,Résultats!$B$2:$AX$476,O$5,FALSE)</f>
        <v>#N/A</v>
      </c>
      <c r="P48" s="19" t="e">
        <f>VLOOKUP($D48,Résultats!$B$2:$AX$476,P$5,FALSE)</f>
        <v>#N/A</v>
      </c>
      <c r="Q48" s="19" t="e">
        <f>VLOOKUP($D48,Résultats!$B$2:$AX$476,Q$5,FALSE)</f>
        <v>#N/A</v>
      </c>
      <c r="R48" s="19" t="e">
        <f>VLOOKUP($D48,Résultats!$B$2:$AX$476,R$5,FALSE)</f>
        <v>#N/A</v>
      </c>
      <c r="S48" s="111" t="e">
        <f>VLOOKUP($D48,Résultats!$B$2:$AX$476,S$5,FALSE)</f>
        <v>#N/A</v>
      </c>
      <c r="T48" s="120" t="e">
        <f>VLOOKUP($D48,Résultats!$B$2:$AX$476,T$5,FALSE)</f>
        <v>#N/A</v>
      </c>
      <c r="U48" s="120" t="e">
        <f>VLOOKUP($D48,Résultats!$B$2:$AX$476,U$5,FALSE)</f>
        <v>#N/A</v>
      </c>
      <c r="V48" s="120" t="e">
        <f>VLOOKUP($D48,Résultats!$B$2:$AX$476,V$5,FALSE)</f>
        <v>#N/A</v>
      </c>
      <c r="W48" s="120" t="e">
        <f>VLOOKUP($D48,Résultats!$B$2:$AX$476,W$5,FALSE)</f>
        <v>#N/A</v>
      </c>
      <c r="X48" s="3"/>
    </row>
    <row r="49" spans="1:24" x14ac:dyDescent="0.25">
      <c r="A49" s="3"/>
      <c r="B49" s="273"/>
      <c r="C49" s="3" t="s">
        <v>16</v>
      </c>
      <c r="D49" s="3" t="s">
        <v>133</v>
      </c>
      <c r="E49" s="19" t="e">
        <f>VLOOKUP($D49,Résultats!$B$2:$AX$476,E$5,FALSE)</f>
        <v>#N/A</v>
      </c>
      <c r="F49" s="19" t="e">
        <f>VLOOKUP($D49,Résultats!$B$2:$AX$476,F$5,FALSE)</f>
        <v>#N/A</v>
      </c>
      <c r="G49" s="28" t="e">
        <f>VLOOKUP($D49,Résultats!$B$2:$AX$476,G$5,FALSE)</f>
        <v>#N/A</v>
      </c>
      <c r="H49" s="19" t="e">
        <f>VLOOKUP($D49,Résultats!$B$2:$AX$476,H$5,FALSE)</f>
        <v>#N/A</v>
      </c>
      <c r="I49" s="111" t="e">
        <f>VLOOKUP($D49,Résultats!$B$2:$AX$476,I$5,FALSE)</f>
        <v>#N/A</v>
      </c>
      <c r="J49" s="28" t="e">
        <f>VLOOKUP($D49,Résultats!$B$2:$AX$476,J$5,FALSE)</f>
        <v>#N/A</v>
      </c>
      <c r="K49" s="19" t="e">
        <f>VLOOKUP($D49,Résultats!$B$2:$AX$476,K$5,FALSE)</f>
        <v>#N/A</v>
      </c>
      <c r="L49" s="19" t="e">
        <f>VLOOKUP($D49,Résultats!$B$2:$AX$476,L$5,FALSE)</f>
        <v>#N/A</v>
      </c>
      <c r="M49" s="19" t="e">
        <f>VLOOKUP($D49,Résultats!$B$2:$AX$476,M$5,FALSE)</f>
        <v>#N/A</v>
      </c>
      <c r="N49" s="111" t="e">
        <f>VLOOKUP($D49,Résultats!$B$2:$AX$476,N$5,FALSE)</f>
        <v>#N/A</v>
      </c>
      <c r="O49" s="28" t="e">
        <f>VLOOKUP($D49,Résultats!$B$2:$AX$476,O$5,FALSE)</f>
        <v>#N/A</v>
      </c>
      <c r="P49" s="19" t="e">
        <f>VLOOKUP($D49,Résultats!$B$2:$AX$476,P$5,FALSE)</f>
        <v>#N/A</v>
      </c>
      <c r="Q49" s="19" t="e">
        <f>VLOOKUP($D49,Résultats!$B$2:$AX$476,Q$5,FALSE)</f>
        <v>#N/A</v>
      </c>
      <c r="R49" s="19" t="e">
        <f>VLOOKUP($D49,Résultats!$B$2:$AX$476,R$5,FALSE)</f>
        <v>#N/A</v>
      </c>
      <c r="S49" s="111" t="e">
        <f>VLOOKUP($D49,Résultats!$B$2:$AX$476,S$5,FALSE)</f>
        <v>#N/A</v>
      </c>
      <c r="T49" s="120" t="e">
        <f>VLOOKUP($D49,Résultats!$B$2:$AX$476,T$5,FALSE)</f>
        <v>#N/A</v>
      </c>
      <c r="U49" s="120" t="e">
        <f>VLOOKUP($D49,Résultats!$B$2:$AX$476,U$5,FALSE)</f>
        <v>#N/A</v>
      </c>
      <c r="V49" s="120" t="e">
        <f>VLOOKUP($D49,Résultats!$B$2:$AX$476,V$5,FALSE)</f>
        <v>#N/A</v>
      </c>
      <c r="W49" s="120" t="e">
        <f>VLOOKUP($D49,Résultats!$B$2:$AX$476,W$5,FALSE)</f>
        <v>#N/A</v>
      </c>
      <c r="X49" s="3"/>
    </row>
    <row r="50" spans="1:24" x14ac:dyDescent="0.25">
      <c r="A50" s="3"/>
      <c r="B50" s="273"/>
      <c r="C50" s="3" t="s">
        <v>17</v>
      </c>
      <c r="D50" s="3" t="s">
        <v>134</v>
      </c>
      <c r="E50" s="19" t="e">
        <f>VLOOKUP($D50,Résultats!$B$2:$AX$476,E$5,FALSE)</f>
        <v>#N/A</v>
      </c>
      <c r="F50" s="19" t="e">
        <f>VLOOKUP($D50,Résultats!$B$2:$AX$476,F$5,FALSE)</f>
        <v>#N/A</v>
      </c>
      <c r="G50" s="28" t="e">
        <f>VLOOKUP($D50,Résultats!$B$2:$AX$476,G$5,FALSE)</f>
        <v>#N/A</v>
      </c>
      <c r="H50" s="19" t="e">
        <f>VLOOKUP($D50,Résultats!$B$2:$AX$476,H$5,FALSE)</f>
        <v>#N/A</v>
      </c>
      <c r="I50" s="111" t="e">
        <f>VLOOKUP($D50,Résultats!$B$2:$AX$476,I$5,FALSE)</f>
        <v>#N/A</v>
      </c>
      <c r="J50" s="28" t="e">
        <f>VLOOKUP($D50,Résultats!$B$2:$AX$476,J$5,FALSE)</f>
        <v>#N/A</v>
      </c>
      <c r="K50" s="19" t="e">
        <f>VLOOKUP($D50,Résultats!$B$2:$AX$476,K$5,FALSE)</f>
        <v>#N/A</v>
      </c>
      <c r="L50" s="19" t="e">
        <f>VLOOKUP($D50,Résultats!$B$2:$AX$476,L$5,FALSE)</f>
        <v>#N/A</v>
      </c>
      <c r="M50" s="19" t="e">
        <f>VLOOKUP($D50,Résultats!$B$2:$AX$476,M$5,FALSE)</f>
        <v>#N/A</v>
      </c>
      <c r="N50" s="111" t="e">
        <f>VLOOKUP($D50,Résultats!$B$2:$AX$476,N$5,FALSE)</f>
        <v>#N/A</v>
      </c>
      <c r="O50" s="28" t="e">
        <f>VLOOKUP($D50,Résultats!$B$2:$AX$476,O$5,FALSE)</f>
        <v>#N/A</v>
      </c>
      <c r="P50" s="19" t="e">
        <f>VLOOKUP($D50,Résultats!$B$2:$AX$476,P$5,FALSE)</f>
        <v>#N/A</v>
      </c>
      <c r="Q50" s="19" t="e">
        <f>VLOOKUP($D50,Résultats!$B$2:$AX$476,Q$5,FALSE)</f>
        <v>#N/A</v>
      </c>
      <c r="R50" s="19" t="e">
        <f>VLOOKUP($D50,Résultats!$B$2:$AX$476,R$5,FALSE)</f>
        <v>#N/A</v>
      </c>
      <c r="S50" s="111" t="e">
        <f>VLOOKUP($D50,Résultats!$B$2:$AX$476,S$5,FALSE)</f>
        <v>#N/A</v>
      </c>
      <c r="T50" s="120" t="e">
        <f>VLOOKUP($D50,Résultats!$B$2:$AX$476,T$5,FALSE)</f>
        <v>#N/A</v>
      </c>
      <c r="U50" s="120" t="e">
        <f>VLOOKUP($D50,Résultats!$B$2:$AX$476,U$5,FALSE)</f>
        <v>#N/A</v>
      </c>
      <c r="V50" s="120" t="e">
        <f>VLOOKUP($D50,Résultats!$B$2:$AX$476,V$5,FALSE)</f>
        <v>#N/A</v>
      </c>
      <c r="W50" s="120" t="e">
        <f>VLOOKUP($D50,Résultats!$B$2:$AX$476,W$5,FALSE)</f>
        <v>#N/A</v>
      </c>
      <c r="X50" s="3"/>
    </row>
    <row r="51" spans="1:24" x14ac:dyDescent="0.25">
      <c r="A51" s="3"/>
      <c r="B51" s="274"/>
      <c r="C51" s="7" t="s">
        <v>12</v>
      </c>
      <c r="D51" s="3" t="s">
        <v>135</v>
      </c>
      <c r="E51" s="20" t="e">
        <f>VLOOKUP($D51,Résultats!$B$2:$AX$476,E$5,FALSE)</f>
        <v>#N/A</v>
      </c>
      <c r="F51" s="20" t="e">
        <f>VLOOKUP($D51,Résultats!$B$2:$AX$476,F$5,FALSE)</f>
        <v>#N/A</v>
      </c>
      <c r="G51" s="113" t="e">
        <f>VLOOKUP($D51,Résultats!$B$2:$AX$476,G$5,FALSE)</f>
        <v>#N/A</v>
      </c>
      <c r="H51" s="20" t="e">
        <f>VLOOKUP($D51,Résultats!$B$2:$AX$476,H$5,FALSE)</f>
        <v>#N/A</v>
      </c>
      <c r="I51" s="114" t="e">
        <f>VLOOKUP($D51,Résultats!$B$2:$AX$476,I$5,FALSE)</f>
        <v>#N/A</v>
      </c>
      <c r="J51" s="113" t="e">
        <f>VLOOKUP($D51,Résultats!$B$2:$AX$476,J$5,FALSE)</f>
        <v>#N/A</v>
      </c>
      <c r="K51" s="20" t="e">
        <f>VLOOKUP($D51,Résultats!$B$2:$AX$476,K$5,FALSE)</f>
        <v>#N/A</v>
      </c>
      <c r="L51" s="20" t="e">
        <f>VLOOKUP($D51,Résultats!$B$2:$AX$476,L$5,FALSE)</f>
        <v>#N/A</v>
      </c>
      <c r="M51" s="20" t="e">
        <f>VLOOKUP($D51,Résultats!$B$2:$AX$476,M$5,FALSE)</f>
        <v>#N/A</v>
      </c>
      <c r="N51" s="114" t="e">
        <f>VLOOKUP($D51,Résultats!$B$2:$AX$476,N$5,FALSE)</f>
        <v>#N/A</v>
      </c>
      <c r="O51" s="113" t="e">
        <f>VLOOKUP($D51,Résultats!$B$2:$AX$476,O$5,FALSE)</f>
        <v>#N/A</v>
      </c>
      <c r="P51" s="20" t="e">
        <f>VLOOKUP($D51,Résultats!$B$2:$AX$476,P$5,FALSE)</f>
        <v>#N/A</v>
      </c>
      <c r="Q51" s="20" t="e">
        <f>VLOOKUP($D51,Résultats!$B$2:$AX$476,Q$5,FALSE)</f>
        <v>#N/A</v>
      </c>
      <c r="R51" s="20" t="e">
        <f>VLOOKUP($D51,Résultats!$B$2:$AX$476,R$5,FALSE)</f>
        <v>#N/A</v>
      </c>
      <c r="S51" s="114" t="e">
        <f>VLOOKUP($D51,Résultats!$B$2:$AX$476,S$5,FALSE)</f>
        <v>#N/A</v>
      </c>
      <c r="T51" s="122" t="e">
        <f>VLOOKUP($D51,Résultats!$B$2:$AX$476,T$5,FALSE)</f>
        <v>#N/A</v>
      </c>
      <c r="U51" s="122" t="e">
        <f>VLOOKUP($D51,Résultats!$B$2:$AX$476,U$5,FALSE)</f>
        <v>#N/A</v>
      </c>
      <c r="V51" s="122" t="e">
        <f>VLOOKUP($D51,Résultats!$B$2:$AX$476,V$5,FALSE)</f>
        <v>#N/A</v>
      </c>
      <c r="W51" s="122" t="e">
        <f>VLOOKUP($D51,Résultats!$B$2:$AX$476,W$5,FALSE)</f>
        <v>#N/A</v>
      </c>
      <c r="X51" s="3"/>
    </row>
    <row r="52" spans="1:24" x14ac:dyDescent="0.25">
      <c r="A52" s="3"/>
      <c r="B52" s="207" t="s">
        <v>8</v>
      </c>
      <c r="C52" s="2"/>
      <c r="D52" s="17" t="s">
        <v>116</v>
      </c>
      <c r="E52" s="6" t="e">
        <f>VLOOKUP($D52,Résultats!$B$2:$AX$476,E$5,FALSE)</f>
        <v>#N/A</v>
      </c>
      <c r="F52" s="6" t="e">
        <f>VLOOKUP($D52,Résultats!$B$2:$AX$476,F$5,FALSE)</f>
        <v>#N/A</v>
      </c>
      <c r="G52" s="109" t="e">
        <f>VLOOKUP($D52,Résultats!$B$2:$AX$476,G$5,FALSE)</f>
        <v>#N/A</v>
      </c>
      <c r="H52" s="6" t="e">
        <f>VLOOKUP($D52,Résultats!$B$2:$AX$476,H$5,FALSE)</f>
        <v>#N/A</v>
      </c>
      <c r="I52" s="110" t="e">
        <f>VLOOKUP($D52,Résultats!$B$2:$AX$476,I$5,FALSE)</f>
        <v>#N/A</v>
      </c>
      <c r="J52" s="109" t="e">
        <f>VLOOKUP($D52,Résultats!$B$2:$AX$476,J$5,FALSE)</f>
        <v>#N/A</v>
      </c>
      <c r="K52" s="6" t="e">
        <f>VLOOKUP($D52,Résultats!$B$2:$AX$476,K$5,FALSE)</f>
        <v>#N/A</v>
      </c>
      <c r="L52" s="6" t="e">
        <f>VLOOKUP($D52,Résultats!$B$2:$AX$476,L$5,FALSE)</f>
        <v>#N/A</v>
      </c>
      <c r="M52" s="6" t="e">
        <f>VLOOKUP($D52,Résultats!$B$2:$AX$476,M$5,FALSE)</f>
        <v>#N/A</v>
      </c>
      <c r="N52" s="110" t="e">
        <f>VLOOKUP($D52,Résultats!$B$2:$AX$476,N$5,FALSE)</f>
        <v>#N/A</v>
      </c>
      <c r="O52" s="109" t="e">
        <f>VLOOKUP($D52,Résultats!$B$2:$AX$476,O$5,FALSE)</f>
        <v>#N/A</v>
      </c>
      <c r="P52" s="6" t="e">
        <f>VLOOKUP($D52,Résultats!$B$2:$AX$476,P$5,FALSE)</f>
        <v>#N/A</v>
      </c>
      <c r="Q52" s="6" t="e">
        <f>VLOOKUP($D52,Résultats!$B$2:$AX$476,Q$5,FALSE)</f>
        <v>#N/A</v>
      </c>
      <c r="R52" s="6" t="e">
        <f>VLOOKUP($D52,Résultats!$B$2:$AX$476,R$5,FALSE)</f>
        <v>#N/A</v>
      </c>
      <c r="S52" s="110" t="e">
        <f>VLOOKUP($D52,Résultats!$B$2:$AX$476,S$5,FALSE)</f>
        <v>#N/A</v>
      </c>
      <c r="T52" s="119" t="e">
        <f>VLOOKUP($D52,Résultats!$B$2:$AX$476,T$5,FALSE)</f>
        <v>#N/A</v>
      </c>
      <c r="U52" s="119" t="e">
        <f>VLOOKUP($D52,Résultats!$B$2:$AX$476,U$5,FALSE)</f>
        <v>#N/A</v>
      </c>
      <c r="V52" s="119" t="e">
        <f>VLOOKUP($D52,Résultats!$B$2:$AX$476,V$5,FALSE)</f>
        <v>#N/A</v>
      </c>
      <c r="W52" s="119" t="e">
        <f>VLOOKUP($D52,Résultats!$B$2:$AX$476,W$5,FALSE)</f>
        <v>#N/A</v>
      </c>
      <c r="X52" s="3"/>
    </row>
    <row r="53" spans="1:24" x14ac:dyDescent="0.25">
      <c r="A53" s="3"/>
      <c r="B53" s="206" t="s">
        <v>1</v>
      </c>
      <c r="C53" s="2"/>
      <c r="D53" s="2" t="s">
        <v>117</v>
      </c>
      <c r="E53" s="9" t="e">
        <f>E52+E45+E36+E33</f>
        <v>#N/A</v>
      </c>
      <c r="F53" s="9" t="e">
        <f>F52+F45+F36+F33</f>
        <v>#N/A</v>
      </c>
      <c r="G53" s="29" t="e">
        <f t="shared" ref="G53:R53" si="12">G52+G45+G36+G33</f>
        <v>#N/A</v>
      </c>
      <c r="H53" s="9" t="e">
        <f t="shared" si="12"/>
        <v>#N/A</v>
      </c>
      <c r="I53" s="115" t="e">
        <f t="shared" si="12"/>
        <v>#N/A</v>
      </c>
      <c r="J53" s="29" t="e">
        <f t="shared" si="12"/>
        <v>#N/A</v>
      </c>
      <c r="K53" s="9" t="e">
        <f t="shared" si="12"/>
        <v>#N/A</v>
      </c>
      <c r="L53" s="9" t="e">
        <f t="shared" si="12"/>
        <v>#N/A</v>
      </c>
      <c r="M53" s="9" t="e">
        <f t="shared" si="12"/>
        <v>#N/A</v>
      </c>
      <c r="N53" s="115" t="e">
        <f t="shared" si="12"/>
        <v>#N/A</v>
      </c>
      <c r="O53" s="29" t="e">
        <f t="shared" si="12"/>
        <v>#N/A</v>
      </c>
      <c r="P53" s="9" t="e">
        <f t="shared" si="12"/>
        <v>#N/A</v>
      </c>
      <c r="Q53" s="9" t="e">
        <f t="shared" si="12"/>
        <v>#N/A</v>
      </c>
      <c r="R53" s="9" t="e">
        <f t="shared" si="12"/>
        <v>#N/A</v>
      </c>
      <c r="S53" s="115" t="e">
        <f>S52+S45+S36+S33</f>
        <v>#N/A</v>
      </c>
      <c r="T53" s="123" t="e">
        <f>T52+T45+T36+T33</f>
        <v>#N/A</v>
      </c>
      <c r="U53" s="123" t="e">
        <f>U52+U45+U36+U33</f>
        <v>#N/A</v>
      </c>
      <c r="V53" s="123" t="e">
        <f>V52+V45+V36+V33</f>
        <v>#N/A</v>
      </c>
      <c r="W53" s="123" t="e">
        <f>W52+W45+W36+W33</f>
        <v>#N/A</v>
      </c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</sheetData>
  <mergeCells count="6">
    <mergeCell ref="B45:B51"/>
    <mergeCell ref="B7:B9"/>
    <mergeCell ref="B10:B18"/>
    <mergeCell ref="B19:B25"/>
    <mergeCell ref="B33:B35"/>
    <mergeCell ref="B36:B44"/>
  </mergeCells>
  <pageMargins left="0.7" right="0.7" top="0.75" bottom="0.75" header="0.3" footer="0.3"/>
  <ignoredErrors>
    <ignoredError sqref="F10:W10 E19:W19 E10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G371"/>
  <sheetViews>
    <sheetView topLeftCell="A83" zoomScale="77" zoomScaleNormal="77" workbookViewId="0">
      <selection activeCell="B100" sqref="B100"/>
    </sheetView>
  </sheetViews>
  <sheetFormatPr baseColWidth="10" defaultRowHeight="15" x14ac:dyDescent="0.25"/>
  <cols>
    <col min="1" max="1" width="11.42578125" style="3"/>
    <col min="2" max="2" width="11.42578125" style="3" customWidth="1"/>
    <col min="3" max="3" width="33.85546875" customWidth="1"/>
    <col min="4" max="7" width="33.85546875" hidden="1" customWidth="1"/>
    <col min="8" max="8" width="33.85546875" customWidth="1"/>
    <col min="9" max="9" width="14" customWidth="1"/>
    <col min="11" max="11" width="11.42578125" customWidth="1"/>
    <col min="14" max="14" width="24.85546875" style="3" customWidth="1"/>
    <col min="20" max="20" width="11.42578125" style="3"/>
    <col min="21" max="21" width="15.7109375" customWidth="1"/>
    <col min="22" max="22" width="15.7109375" hidden="1" customWidth="1"/>
    <col min="23" max="23" width="24" hidden="1" customWidth="1"/>
    <col min="24" max="24" width="25.42578125" hidden="1" customWidth="1"/>
    <col min="25" max="25" width="24.5703125" hidden="1" customWidth="1"/>
    <col min="26" max="26" width="15.7109375" customWidth="1"/>
    <col min="27" max="27" width="14" customWidth="1"/>
    <col min="29" max="29" width="11.42578125" customWidth="1"/>
    <col min="31" max="33" width="11.42578125" style="3"/>
  </cols>
  <sheetData>
    <row r="1" spans="1:30" ht="28.5" x14ac:dyDescent="0.45">
      <c r="A1" s="225" t="s">
        <v>244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Q1" s="3"/>
      <c r="R1" s="3"/>
      <c r="S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B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3.25" x14ac:dyDescent="0.35">
      <c r="A3" s="1" t="s">
        <v>228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/>
      <c r="P3" s="3"/>
      <c r="Q3" s="3"/>
      <c r="R3" s="65"/>
      <c r="S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3.25" x14ac:dyDescent="0.35">
      <c r="A4" s="194" t="str">
        <f>Résultats!B1</f>
        <v>TEND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R4" s="65"/>
      <c r="S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3.25" x14ac:dyDescent="0.35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R5" s="65"/>
      <c r="S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8.75" x14ac:dyDescent="0.3">
      <c r="B6" s="66"/>
      <c r="C6" s="66"/>
      <c r="D6" s="66"/>
      <c r="E6" s="66"/>
      <c r="F6" s="66"/>
      <c r="G6" s="66"/>
      <c r="H6" s="66"/>
      <c r="I6" s="66"/>
      <c r="J6" s="3"/>
      <c r="K6" s="3"/>
      <c r="M6" s="3"/>
      <c r="O6" s="3"/>
      <c r="P6" s="3"/>
      <c r="Q6" s="3"/>
      <c r="R6" s="65"/>
      <c r="S6" s="65"/>
      <c r="T6" s="66"/>
      <c r="U6" s="66"/>
      <c r="V6" s="66"/>
      <c r="W6" s="66"/>
      <c r="X6" s="66"/>
      <c r="Y6" s="66"/>
      <c r="Z6" s="66"/>
      <c r="AA6" s="66"/>
      <c r="AB6" s="3"/>
      <c r="AC6" s="3"/>
    </row>
    <row r="7" spans="1:30" ht="18.75" x14ac:dyDescent="0.3">
      <c r="C7" s="65" t="s">
        <v>229</v>
      </c>
      <c r="I7" s="3"/>
      <c r="J7" s="3"/>
      <c r="K7" s="3"/>
      <c r="L7" s="3"/>
      <c r="M7" s="3"/>
      <c r="N7" s="65" t="s">
        <v>230</v>
      </c>
      <c r="O7" s="3"/>
      <c r="P7" s="3"/>
      <c r="Q7" s="3"/>
      <c r="R7" s="3"/>
      <c r="S7" s="3"/>
      <c r="U7" s="65" t="s">
        <v>229</v>
      </c>
      <c r="AA7" s="3"/>
      <c r="AB7" s="3"/>
      <c r="AC7" s="3"/>
      <c r="AD7" s="3"/>
    </row>
    <row r="8" spans="1:30" ht="23.25" x14ac:dyDescent="0.35">
      <c r="B8" s="70"/>
      <c r="C8" s="66" t="s">
        <v>160</v>
      </c>
      <c r="D8" s="3"/>
      <c r="E8" s="66"/>
      <c r="F8" s="66"/>
      <c r="G8" s="66"/>
      <c r="H8" s="66"/>
      <c r="I8" s="66"/>
      <c r="J8" s="66"/>
      <c r="K8" s="66"/>
      <c r="L8" s="3"/>
      <c r="M8" s="3"/>
      <c r="N8" t="s">
        <v>231</v>
      </c>
      <c r="U8" s="66" t="s">
        <v>160</v>
      </c>
      <c r="V8" s="3"/>
      <c r="W8" s="66"/>
      <c r="X8" s="66"/>
      <c r="Y8" s="66"/>
      <c r="Z8" s="66"/>
      <c r="AA8" s="66"/>
      <c r="AB8" s="66"/>
      <c r="AC8" s="66"/>
      <c r="AD8" s="3"/>
    </row>
    <row r="9" spans="1:30" x14ac:dyDescent="0.25">
      <c r="B9" s="66"/>
      <c r="C9" s="3"/>
      <c r="D9" s="3"/>
      <c r="E9" s="3"/>
      <c r="F9" s="3"/>
      <c r="G9" s="3"/>
      <c r="H9" s="66"/>
      <c r="I9" s="66"/>
      <c r="J9" s="66"/>
      <c r="K9" s="66"/>
      <c r="L9" s="3"/>
      <c r="M9" s="3"/>
      <c r="O9" s="3"/>
      <c r="P9" s="3"/>
      <c r="Q9" s="3"/>
      <c r="R9" s="3"/>
      <c r="S9" s="3"/>
      <c r="U9" s="3"/>
      <c r="V9" s="3"/>
      <c r="W9" s="3"/>
      <c r="X9" s="3"/>
      <c r="Y9" s="3"/>
      <c r="Z9" s="66"/>
      <c r="AA9" s="66"/>
      <c r="AB9" s="66"/>
      <c r="AC9" s="66"/>
      <c r="AD9" s="3"/>
    </row>
    <row r="10" spans="1:30" ht="31.5" x14ac:dyDescent="0.35">
      <c r="B10" s="66"/>
      <c r="C10" s="174">
        <v>2015</v>
      </c>
      <c r="D10" s="175"/>
      <c r="E10" s="175"/>
      <c r="F10" s="175"/>
      <c r="G10" s="175"/>
      <c r="H10" s="101" t="s">
        <v>36</v>
      </c>
      <c r="I10" s="101" t="s">
        <v>159</v>
      </c>
      <c r="J10" s="101" t="s">
        <v>38</v>
      </c>
      <c r="K10" s="101" t="s">
        <v>158</v>
      </c>
      <c r="L10" s="118" t="s">
        <v>1</v>
      </c>
      <c r="M10" s="25"/>
      <c r="N10" s="174">
        <v>2015</v>
      </c>
      <c r="O10" s="170" t="s">
        <v>36</v>
      </c>
      <c r="P10" s="101" t="s">
        <v>159</v>
      </c>
      <c r="Q10" s="101" t="s">
        <v>38</v>
      </c>
      <c r="R10" s="101" t="s">
        <v>158</v>
      </c>
      <c r="S10" s="118" t="s">
        <v>1</v>
      </c>
      <c r="U10" s="174">
        <v>2015</v>
      </c>
      <c r="V10" s="175"/>
      <c r="W10" s="175"/>
      <c r="X10" s="175"/>
      <c r="Y10" s="175"/>
      <c r="Z10" s="101" t="s">
        <v>36</v>
      </c>
      <c r="AA10" s="101" t="s">
        <v>159</v>
      </c>
      <c r="AB10" s="101" t="s">
        <v>38</v>
      </c>
      <c r="AC10" s="101" t="s">
        <v>158</v>
      </c>
      <c r="AD10" s="118" t="s">
        <v>1</v>
      </c>
    </row>
    <row r="11" spans="1:30" x14ac:dyDescent="0.25">
      <c r="C11" s="176" t="s">
        <v>18</v>
      </c>
      <c r="H11" s="8">
        <f>SUM(H12:H13)</f>
        <v>0</v>
      </c>
      <c r="I11" s="8">
        <f>SUM(I12:I13)</f>
        <v>43.235242030000002</v>
      </c>
      <c r="J11" s="8">
        <f>SUM(J12:J13)</f>
        <v>1.215759018</v>
      </c>
      <c r="K11" s="8">
        <f>SUM(K12:K13)</f>
        <v>0.22964514108840001</v>
      </c>
      <c r="L11" s="121">
        <f>SUM(H11:K11)</f>
        <v>44.680646189088399</v>
      </c>
      <c r="M11" s="99"/>
      <c r="N11" s="179" t="s">
        <v>18</v>
      </c>
      <c r="O11" s="36">
        <f>'[1]Bilan 2015'!$X$46</f>
        <v>0</v>
      </c>
      <c r="P11" s="35">
        <f>SUM('[1]Bilan 2015'!$X$41:$X$43)</f>
        <v>42.748696780825377</v>
      </c>
      <c r="Q11" s="35">
        <f>'[1]Bilan 2015'!$X$13</f>
        <v>0.94471195184866696</v>
      </c>
      <c r="R11" s="35">
        <f>('[1]Bilan 2015'!$X$22+'[1]Bilan 2015'!$X$30+SUM('[1]Bilan 2015'!$X$36:$X$40)+SUM('[1]Bilan 2015'!$X$44:$X$45)+'[1]Bilan 2015'!$X$47)</f>
        <v>7.267406707154804E-2</v>
      </c>
      <c r="S11" s="171">
        <f>SUM(O11:R11)</f>
        <v>43.76608279974559</v>
      </c>
      <c r="U11" s="176" t="s">
        <v>18</v>
      </c>
      <c r="Z11" s="8">
        <v>0</v>
      </c>
      <c r="AA11" s="8">
        <v>43.655444759999995</v>
      </c>
      <c r="AB11" s="8">
        <v>1.3708612775</v>
      </c>
      <c r="AC11" s="8">
        <v>0.26944764454513997</v>
      </c>
      <c r="AD11" s="121">
        <v>45.295753682045131</v>
      </c>
    </row>
    <row r="12" spans="1:30" x14ac:dyDescent="0.25">
      <c r="C12" s="177" t="s">
        <v>19</v>
      </c>
      <c r="D12" t="s">
        <v>580</v>
      </c>
      <c r="E12" t="s">
        <v>581</v>
      </c>
      <c r="F12" t="s">
        <v>582</v>
      </c>
      <c r="G12" t="s">
        <v>583</v>
      </c>
      <c r="H12" s="19">
        <f>VLOOKUP(D12,Résultats!$B$2:$AX$476,'T energie vecteurs'!F5,FALSE)</f>
        <v>0</v>
      </c>
      <c r="I12" s="19">
        <f>VLOOKUP(E12,Résultats!$B$2:$AX$476,'T energie vecteurs'!F5,FALSE)</f>
        <v>24.202573730000001</v>
      </c>
      <c r="J12" s="19">
        <f>VLOOKUP(F12,Résultats!$B$2:$AX$476,'T energie vecteurs'!F5,FALSE)</f>
        <v>2.8859426000000001E-2</v>
      </c>
      <c r="K12" s="19">
        <f>VLOOKUP(G12,Résultats!$B$2:$AX$476,'T energie vecteurs'!F5,FALSE)</f>
        <v>1.04523884E-5</v>
      </c>
      <c r="L12" s="120">
        <f t="shared" ref="L12:L20" si="0">SUM(H12:K12)</f>
        <v>24.2314436083884</v>
      </c>
      <c r="M12" s="19"/>
      <c r="N12" s="177" t="s">
        <v>19</v>
      </c>
      <c r="O12" s="172"/>
      <c r="P12" s="19"/>
      <c r="Q12" s="55"/>
      <c r="R12" s="19"/>
      <c r="S12" s="120"/>
      <c r="U12" s="177" t="s">
        <v>19</v>
      </c>
      <c r="V12" t="s">
        <v>89</v>
      </c>
      <c r="W12" t="s">
        <v>90</v>
      </c>
      <c r="X12" t="s">
        <v>91</v>
      </c>
      <c r="Y12" t="s">
        <v>92</v>
      </c>
      <c r="Z12" s="19">
        <v>0</v>
      </c>
      <c r="AA12" s="19">
        <v>24.375674969999999</v>
      </c>
      <c r="AB12" s="19">
        <v>2.8638346499999998E-2</v>
      </c>
      <c r="AC12" s="19">
        <v>6.2334451400000002E-6</v>
      </c>
      <c r="AD12" s="120">
        <v>24.404319549945139</v>
      </c>
    </row>
    <row r="13" spans="1:30" x14ac:dyDescent="0.25">
      <c r="C13" s="178" t="s">
        <v>20</v>
      </c>
      <c r="D13" t="s">
        <v>584</v>
      </c>
      <c r="E13" t="s">
        <v>585</v>
      </c>
      <c r="F13" t="s">
        <v>586</v>
      </c>
      <c r="G13" t="s">
        <v>587</v>
      </c>
      <c r="H13" s="19">
        <f>VLOOKUP(D13,Résultats!$B$2:$AX$476,'T energie vecteurs'!F5,FALSE)</f>
        <v>0</v>
      </c>
      <c r="I13" s="19">
        <f>VLOOKUP(E13,Résultats!$B$2:$AX$476,'T energie vecteurs'!F5,FALSE)</f>
        <v>19.032668300000001</v>
      </c>
      <c r="J13" s="19">
        <f>VLOOKUP(F13,Résultats!$B$2:$AX$476,'T energie vecteurs'!F5,FALSE)</f>
        <v>1.1868995920000001</v>
      </c>
      <c r="K13" s="19">
        <f>VLOOKUP(G13,Résultats!$B$2:$AX$476,'T energie vecteurs'!F5,FALSE)</f>
        <v>0.22963468870000001</v>
      </c>
      <c r="L13" s="120">
        <f t="shared" si="0"/>
        <v>20.4492025807</v>
      </c>
      <c r="M13" s="19"/>
      <c r="N13" s="178" t="s">
        <v>20</v>
      </c>
      <c r="O13" s="172"/>
      <c r="P13" s="19"/>
      <c r="Q13" s="55"/>
      <c r="R13" s="19"/>
      <c r="S13" s="120"/>
      <c r="U13" s="178" t="s">
        <v>20</v>
      </c>
      <c r="V13" t="s">
        <v>93</v>
      </c>
      <c r="W13" t="s">
        <v>94</v>
      </c>
      <c r="X13" t="s">
        <v>95</v>
      </c>
      <c r="Y13" t="s">
        <v>96</v>
      </c>
      <c r="Z13" s="19">
        <v>0</v>
      </c>
      <c r="AA13" s="19">
        <v>19.27976979</v>
      </c>
      <c r="AB13" s="19">
        <v>1.342222931</v>
      </c>
      <c r="AC13" s="19">
        <v>0.26944141109999997</v>
      </c>
      <c r="AD13" s="120">
        <v>20.891434132099999</v>
      </c>
    </row>
    <row r="14" spans="1:30" x14ac:dyDescent="0.25">
      <c r="C14" s="176" t="s">
        <v>21</v>
      </c>
      <c r="D14" t="s">
        <v>588</v>
      </c>
      <c r="E14" t="s">
        <v>589</v>
      </c>
      <c r="F14" t="s">
        <v>590</v>
      </c>
      <c r="G14" t="s">
        <v>591</v>
      </c>
      <c r="H14" s="8">
        <f>VLOOKUP(D14,Résultats!$B$2:$AX$476,'T energie vecteurs'!F5,FALSE)</f>
        <v>0.29368456009999999</v>
      </c>
      <c r="I14" s="8">
        <f>VLOOKUP(E14,Résultats!$B$2:$AX$476,'T energie vecteurs'!F5,FALSE)</f>
        <v>7.174767203</v>
      </c>
      <c r="J14" s="8">
        <f>VLOOKUP(F14,Résultats!$B$2:$AX$476,'T energie vecteurs'!F5,FALSE)</f>
        <v>14.024228150000001</v>
      </c>
      <c r="K14" s="8">
        <f>VLOOKUP(G14,Résultats!$B$2:$AX$476,'T energie vecteurs'!F5,FALSE)+5</f>
        <v>21.106097219999999</v>
      </c>
      <c r="L14" s="121">
        <f>SUM(H14:K14)</f>
        <v>42.5987771331</v>
      </c>
      <c r="M14" s="99"/>
      <c r="N14" s="179" t="s">
        <v>21</v>
      </c>
      <c r="O14" s="36">
        <f>'[1]Bilan 2015'!$V$46</f>
        <v>3.6764196608413298E-2</v>
      </c>
      <c r="P14" s="35">
        <f>SUM('[1]Bilan 2015'!$V$41:$V$43)</f>
        <v>6.6752954110546101</v>
      </c>
      <c r="Q14" s="35">
        <f>'[1]Bilan 2015'!$V$13</f>
        <v>13.6203670581426</v>
      </c>
      <c r="R14" s="35">
        <f>('[1]Bilan 2015'!$V$22+'[1]Bilan 2015'!$V$30+SUM('[1]Bilan 2015'!$V$36:$V$40)+SUM('[1]Bilan 2015'!$V$44:$V$45)+'[1]Bilan 2015'!$V$47)</f>
        <v>21.832863706323721</v>
      </c>
      <c r="S14" s="171">
        <f t="shared" ref="S14:S19" si="1">SUM(O14:R14)</f>
        <v>42.165290372129348</v>
      </c>
      <c r="U14" s="176" t="s">
        <v>21</v>
      </c>
      <c r="V14" t="s">
        <v>97</v>
      </c>
      <c r="W14" t="s">
        <v>98</v>
      </c>
      <c r="X14" t="s">
        <v>99</v>
      </c>
      <c r="Y14" t="s">
        <v>100</v>
      </c>
      <c r="Z14" s="8">
        <v>0.29143290669999999</v>
      </c>
      <c r="AA14" s="8">
        <v>6.7506659720000002</v>
      </c>
      <c r="AB14" s="8">
        <v>14.41119116</v>
      </c>
      <c r="AC14" s="8">
        <v>20.636263469999999</v>
      </c>
      <c r="AD14" s="121">
        <v>42.0895535087</v>
      </c>
    </row>
    <row r="15" spans="1:30" x14ac:dyDescent="0.25">
      <c r="C15" s="176" t="s">
        <v>22</v>
      </c>
      <c r="D15" t="s">
        <v>592</v>
      </c>
      <c r="E15" t="s">
        <v>593</v>
      </c>
      <c r="F15" t="s">
        <v>594</v>
      </c>
      <c r="G15" t="s">
        <v>595</v>
      </c>
      <c r="H15" s="8">
        <f>VLOOKUP(D15,Résultats!$B$2:$AX$476,'T energie vecteurs'!F5,FALSE)</f>
        <v>0</v>
      </c>
      <c r="I15" s="8">
        <f>VLOOKUP(E15,Résultats!$B$2:$AX$476,'T energie vecteurs'!F5,FALSE)</f>
        <v>4.2755145710000004</v>
      </c>
      <c r="J15" s="8">
        <f>VLOOKUP(F15,Résultats!$B$2:$AX$476,'T energie vecteurs'!F5,FALSE)</f>
        <v>13.311592879999999</v>
      </c>
      <c r="K15" s="8">
        <f>VLOOKUP(G15,Résultats!$B$2:$AX$476,'T energie vecteurs'!F5,FALSE)</f>
        <v>9.7260670430000005</v>
      </c>
      <c r="L15" s="121">
        <f t="shared" si="0"/>
        <v>27.313174494000002</v>
      </c>
      <c r="M15" s="99"/>
      <c r="N15" s="179" t="s">
        <v>22</v>
      </c>
      <c r="O15" s="36">
        <f>'[1]Bilan 2015'!$W$46</f>
        <v>4.3073392295861899E-2</v>
      </c>
      <c r="P15" s="35">
        <f>SUM('[1]Bilan 2015'!$W$41:$W$43)</f>
        <v>3.01546564464017</v>
      </c>
      <c r="Q15" s="35">
        <f>'[1]Bilan 2015'!$W$13</f>
        <v>12.701365476499801</v>
      </c>
      <c r="R15" s="35">
        <f>('[1]Bilan 2015'!$W$22+'[1]Bilan 2015'!$W$30+SUM('[1]Bilan 2015'!$W$36:$W$40)+SUM('[1]Bilan 2015'!$W$44:$W$45)+'[1]Bilan 2015'!$W$47)</f>
        <v>8.7461122445901367</v>
      </c>
      <c r="S15" s="171">
        <f t="shared" si="1"/>
        <v>24.506016758025968</v>
      </c>
      <c r="U15" s="176" t="s">
        <v>22</v>
      </c>
      <c r="V15" t="s">
        <v>101</v>
      </c>
      <c r="W15" t="s">
        <v>102</v>
      </c>
      <c r="X15" t="s">
        <v>103</v>
      </c>
      <c r="Y15" t="s">
        <v>104</v>
      </c>
      <c r="Z15" s="8">
        <v>0</v>
      </c>
      <c r="AA15" s="271">
        <v>3.568616939</v>
      </c>
      <c r="AB15" s="271">
        <v>12.769876119999999</v>
      </c>
      <c r="AC15" s="271">
        <v>9.0390917910000006</v>
      </c>
      <c r="AD15" s="121">
        <v>25.377584850000002</v>
      </c>
    </row>
    <row r="16" spans="1:30" x14ac:dyDescent="0.25">
      <c r="C16" s="176" t="s">
        <v>23</v>
      </c>
      <c r="H16" s="8">
        <f>SUM(H17:H19)</f>
        <v>4.8875364190999999</v>
      </c>
      <c r="I16" s="8">
        <f>SUM(I17:I19)</f>
        <v>18.710704671999999</v>
      </c>
      <c r="J16" s="8">
        <f>SUM(J17:J19)</f>
        <v>11.326553668100001</v>
      </c>
      <c r="K16" s="8">
        <f>SUM(K17:K19)</f>
        <v>14.077478074199998</v>
      </c>
      <c r="L16" s="121">
        <f>SUM(H16:K16)</f>
        <v>49.002272833399999</v>
      </c>
      <c r="M16" s="99"/>
      <c r="N16" s="179" t="s">
        <v>280</v>
      </c>
      <c r="O16" s="36">
        <f>O17+O18</f>
        <v>4.2636280705371687</v>
      </c>
      <c r="P16" s="35">
        <f t="shared" ref="P16:R16" si="2">P17+P18</f>
        <v>14.865720748941945</v>
      </c>
      <c r="Q16" s="35">
        <f t="shared" si="2"/>
        <v>10.069552160228</v>
      </c>
      <c r="R16" s="35">
        <f t="shared" si="2"/>
        <v>13.756399814544654</v>
      </c>
      <c r="S16" s="171">
        <f t="shared" si="1"/>
        <v>42.95530079425177</v>
      </c>
      <c r="U16" s="176" t="s">
        <v>23</v>
      </c>
      <c r="Z16" s="8">
        <v>4.1729010901999999</v>
      </c>
      <c r="AA16" s="8">
        <v>18.040350471</v>
      </c>
      <c r="AB16" s="8">
        <v>11.314938957000001</v>
      </c>
      <c r="AC16" s="8">
        <v>14.446423944999999</v>
      </c>
      <c r="AD16" s="121">
        <v>47.974614463199998</v>
      </c>
    </row>
    <row r="17" spans="2:30" x14ac:dyDescent="0.25">
      <c r="C17" s="178" t="s">
        <v>24</v>
      </c>
      <c r="D17" t="s">
        <v>596</v>
      </c>
      <c r="E17" t="s">
        <v>597</v>
      </c>
      <c r="F17" t="s">
        <v>598</v>
      </c>
      <c r="G17" t="s">
        <v>599</v>
      </c>
      <c r="H17" s="19">
        <f>VLOOKUP(D17,Résultats!$B$2:$AX$476,'T energie vecteurs'!F5,FALSE)</f>
        <v>3.896642425</v>
      </c>
      <c r="I17" s="19">
        <f>VLOOKUP(E17,Résultats!$B$2:$AX$476,'T energie vecteurs'!F5,FALSE)</f>
        <v>14.380357419999999</v>
      </c>
      <c r="J17" s="19">
        <f>VLOOKUP(F17,Résultats!$B$2:$AX$476,'T energie vecteurs'!F5,FALSE)</f>
        <v>11.010772510000001</v>
      </c>
      <c r="K17" s="19">
        <f>VLOOKUP(G17,Résultats!$B$2:$AX$476,'T energie vecteurs'!F5,FALSE)</f>
        <v>11.96556575</v>
      </c>
      <c r="L17" s="120">
        <f t="shared" si="0"/>
        <v>41.253338104999997</v>
      </c>
      <c r="M17" s="19"/>
      <c r="N17" s="178" t="s">
        <v>281</v>
      </c>
      <c r="O17" s="172">
        <f>'[1]Bilan 2015'!$U$46</f>
        <v>1.0493092649428299</v>
      </c>
      <c r="P17" s="37">
        <f>SUM('[1]Bilan 2015'!$U$41:$U$43)</f>
        <v>2.4127207489419455</v>
      </c>
      <c r="Q17" s="37">
        <f>'[1]Bilan 2015'!$U$13</f>
        <v>10.069552160228</v>
      </c>
      <c r="R17" s="37">
        <f>('[1]Bilan 2015'!$U$22+'[1]Bilan 2015'!$U$30+SUM('[1]Bilan 2015'!$U$36:$U$40)+SUM('[1]Bilan 2015'!$U$44:$U$45)+'[1]Bilan 2015'!$U$47)</f>
        <v>12.654813573219924</v>
      </c>
      <c r="S17" s="120">
        <f t="shared" si="1"/>
        <v>26.186395747332696</v>
      </c>
      <c r="U17" s="178" t="s">
        <v>24</v>
      </c>
      <c r="V17" t="s">
        <v>105</v>
      </c>
      <c r="W17" t="s">
        <v>106</v>
      </c>
      <c r="X17" t="s">
        <v>107</v>
      </c>
      <c r="Y17" t="s">
        <v>108</v>
      </c>
      <c r="Z17" s="19">
        <v>3.252665173</v>
      </c>
      <c r="AA17" s="19">
        <v>13.839453020000001</v>
      </c>
      <c r="AB17" s="19">
        <v>10.97816242</v>
      </c>
      <c r="AC17" s="19">
        <v>12.365702000000001</v>
      </c>
      <c r="AD17" s="120">
        <v>40.435982613</v>
      </c>
    </row>
    <row r="18" spans="2:30" x14ac:dyDescent="0.25">
      <c r="C18" s="178" t="s">
        <v>153</v>
      </c>
      <c r="D18" t="s">
        <v>600</v>
      </c>
      <c r="E18" t="s">
        <v>601</v>
      </c>
      <c r="F18" t="s">
        <v>602</v>
      </c>
      <c r="G18" t="s">
        <v>603</v>
      </c>
      <c r="H18" s="19">
        <f>VLOOKUP(D18,Résultats!$B$2:$AX$476,'T energie vecteurs'!F5,FALSE)</f>
        <v>0.99089399410000001</v>
      </c>
      <c r="I18" s="19">
        <f>VLOOKUP(E18,Résultats!$B$2:$AX$476,'T energie vecteurs'!F5,FALSE)</f>
        <v>1.8977947470000001</v>
      </c>
      <c r="J18" s="19">
        <f>VLOOKUP(F18,Résultats!$B$2:$AX$476,'T energie vecteurs'!F5,FALSE)</f>
        <v>0</v>
      </c>
      <c r="K18" s="19">
        <f>VLOOKUP(G18,Résultats!$B$2:$AX$476,'T energie vecteurs'!F5,FALSE)</f>
        <v>1.747199911</v>
      </c>
      <c r="L18" s="120">
        <f t="shared" si="0"/>
        <v>4.6358886521000002</v>
      </c>
      <c r="M18" s="19"/>
      <c r="N18" s="178" t="s">
        <v>153</v>
      </c>
      <c r="O18" s="28">
        <f>'[1]Bilan 2015'!$E$52</f>
        <v>3.2143188055943388</v>
      </c>
      <c r="P18" s="19">
        <f>('[1]Bilan 2015'!$E$54+'[1]Bilan 2015'!$E$56)</f>
        <v>12.452999999999999</v>
      </c>
      <c r="Q18" s="19">
        <v>0</v>
      </c>
      <c r="R18" s="19">
        <f>('[1]Bilan 2015'!$E$53+'[1]Bilan 2015'!$E$55+'[1]Bilan 2015'!$E$57)</f>
        <v>1.1015862413247299</v>
      </c>
      <c r="S18" s="120">
        <f t="shared" si="1"/>
        <v>16.768905046919066</v>
      </c>
      <c r="U18" s="178" t="s">
        <v>153</v>
      </c>
      <c r="V18" t="s">
        <v>154</v>
      </c>
      <c r="W18" t="s">
        <v>155</v>
      </c>
      <c r="X18" t="s">
        <v>156</v>
      </c>
      <c r="Y18" t="s">
        <v>157</v>
      </c>
      <c r="Z18" s="19">
        <v>0.92023591719999998</v>
      </c>
      <c r="AA18" s="19">
        <v>1.779999739</v>
      </c>
      <c r="AB18" s="19">
        <v>0</v>
      </c>
      <c r="AC18" s="19">
        <v>1.7183807259999999</v>
      </c>
      <c r="AD18" s="120">
        <v>4.4186163821999997</v>
      </c>
    </row>
    <row r="19" spans="2:30" x14ac:dyDescent="0.25">
      <c r="C19" s="178" t="s">
        <v>25</v>
      </c>
      <c r="D19" t="s">
        <v>604</v>
      </c>
      <c r="E19" t="s">
        <v>605</v>
      </c>
      <c r="F19" t="s">
        <v>606</v>
      </c>
      <c r="G19" t="s">
        <v>607</v>
      </c>
      <c r="H19" s="19">
        <f>VLOOKUP(D19,Résultats!$B$2:$AX$476,'T energie vecteurs'!F5,FALSE)</f>
        <v>0</v>
      </c>
      <c r="I19" s="19">
        <f>VLOOKUP(E19,Résultats!$B$2:$AX$476,'T energie vecteurs'!F5,FALSE)</f>
        <v>2.4325525049999999</v>
      </c>
      <c r="J19" s="19">
        <f>VLOOKUP(F19,Résultats!$B$2:$AX$476,'T energie vecteurs'!F5,FALSE)</f>
        <v>0.31578115810000001</v>
      </c>
      <c r="K19" s="19">
        <f>VLOOKUP(G19,Résultats!$B$2:$AX$476,'T energie vecteurs'!F5,FALSE)</f>
        <v>0.36471241319999997</v>
      </c>
      <c r="L19" s="120">
        <f t="shared" si="0"/>
        <v>3.1130460762999999</v>
      </c>
      <c r="M19" s="19"/>
      <c r="N19" s="179" t="s">
        <v>25</v>
      </c>
      <c r="O19" s="36">
        <f>'[1]Bilan 2015'!$T$46</f>
        <v>2.2137192704974398E-3</v>
      </c>
      <c r="P19" s="35">
        <f>SUM('[1]Bilan 2015'!$T$41:$T$43)</f>
        <v>3.4936667755496749</v>
      </c>
      <c r="Q19" s="35">
        <f>'[1]Bilan 2015'!$T$13</f>
        <v>0.74651762682717104</v>
      </c>
      <c r="R19" s="35">
        <f>('[1]Bilan 2015'!$T$22+'[1]Bilan 2015'!$T$30+SUM('[1]Bilan 2015'!$T$36:$T$40)+SUM('[1]Bilan 2015'!$T$44:$T$45)+'[1]Bilan 2015'!$T$47)</f>
        <v>0.24365267378081518</v>
      </c>
      <c r="S19" s="171">
        <f t="shared" si="1"/>
        <v>4.4860507954281585</v>
      </c>
      <c r="U19" s="178" t="s">
        <v>25</v>
      </c>
      <c r="V19" t="s">
        <v>109</v>
      </c>
      <c r="W19" t="s">
        <v>110</v>
      </c>
      <c r="X19" t="s">
        <v>111</v>
      </c>
      <c r="Y19" t="s">
        <v>112</v>
      </c>
      <c r="Z19" s="19">
        <v>0</v>
      </c>
      <c r="AA19" s="19">
        <v>2.4208977119999999</v>
      </c>
      <c r="AB19" s="19">
        <v>0.33677653699999999</v>
      </c>
      <c r="AC19" s="19">
        <v>0.36234121899999999</v>
      </c>
      <c r="AD19" s="120">
        <v>3.1200154680000001</v>
      </c>
    </row>
    <row r="20" spans="2:30" x14ac:dyDescent="0.25">
      <c r="C20" s="29" t="s">
        <v>26</v>
      </c>
      <c r="D20" s="10"/>
      <c r="E20" s="10"/>
      <c r="F20" s="10"/>
      <c r="G20" s="10"/>
      <c r="H20" s="9">
        <f>SUM(H11,H14:H16)</f>
        <v>5.1812209791999999</v>
      </c>
      <c r="I20" s="9">
        <f>SUM(I11,I14:I16)</f>
        <v>73.396228476000005</v>
      </c>
      <c r="J20" s="9">
        <f>SUM(J11,J14:J16)</f>
        <v>39.878133716099995</v>
      </c>
      <c r="K20" s="9">
        <f>SUM(K11,K14:K16)</f>
        <v>45.139287478288395</v>
      </c>
      <c r="L20" s="123">
        <f t="shared" si="0"/>
        <v>163.59487064958842</v>
      </c>
      <c r="M20" s="105"/>
      <c r="N20" s="180" t="s">
        <v>26</v>
      </c>
      <c r="O20" s="40">
        <f>O11+O14+O15+O16+O19</f>
        <v>4.3456793787119414</v>
      </c>
      <c r="P20" s="38">
        <f>P11+P14+P15+P16+P19</f>
        <v>70.798845361011772</v>
      </c>
      <c r="Q20" s="38">
        <f>Q11+Q14+Q15+Q16+Q19</f>
        <v>38.082514273546238</v>
      </c>
      <c r="R20" s="38">
        <f>R11+R14+R15+R16+R19</f>
        <v>44.651702506310876</v>
      </c>
      <c r="S20" s="173">
        <f>SUM(O20:R20)</f>
        <v>157.87874151958081</v>
      </c>
      <c r="T20" s="69"/>
      <c r="U20" s="29" t="s">
        <v>26</v>
      </c>
      <c r="V20" s="10"/>
      <c r="W20" s="10"/>
      <c r="X20" s="10"/>
      <c r="Y20" s="10"/>
      <c r="Z20" s="9">
        <v>4.4643339968999998</v>
      </c>
      <c r="AA20" s="9">
        <v>72.015078141999993</v>
      </c>
      <c r="AB20" s="9">
        <v>39.866867514500001</v>
      </c>
      <c r="AC20" s="9">
        <v>44.391226850545138</v>
      </c>
      <c r="AD20" s="123">
        <v>160.73750650394513</v>
      </c>
    </row>
    <row r="21" spans="2:30" s="3" customFormat="1" x14ac:dyDescent="0.25">
      <c r="B21" s="84"/>
      <c r="H21" s="69"/>
      <c r="I21" s="69"/>
      <c r="J21" s="69"/>
      <c r="K21" s="69"/>
      <c r="L21" s="69"/>
      <c r="M21" s="69"/>
      <c r="N21" s="69"/>
      <c r="O21" s="103"/>
      <c r="P21" s="103"/>
      <c r="Q21" s="103"/>
      <c r="R21" s="104"/>
      <c r="S21" s="69">
        <f>S11+S14+S15+S16+S19</f>
        <v>157.87874151958081</v>
      </c>
      <c r="Z21" s="69"/>
      <c r="AA21" s="69"/>
      <c r="AB21" s="69"/>
      <c r="AC21" s="69"/>
      <c r="AD21" s="69"/>
    </row>
    <row r="22" spans="2:30" s="3" customFormat="1" x14ac:dyDescent="0.25">
      <c r="I22" s="69"/>
      <c r="J22" s="69"/>
      <c r="K22" s="69"/>
      <c r="AA22" s="69"/>
      <c r="AB22" s="69"/>
      <c r="AC22" s="69"/>
    </row>
    <row r="23" spans="2:30" ht="31.5" x14ac:dyDescent="0.35">
      <c r="C23" s="174">
        <v>2020</v>
      </c>
      <c r="D23" s="175"/>
      <c r="E23" s="175"/>
      <c r="F23" s="175"/>
      <c r="G23" s="175"/>
      <c r="H23" s="101" t="s">
        <v>36</v>
      </c>
      <c r="I23" s="101" t="s">
        <v>159</v>
      </c>
      <c r="J23" s="101" t="s">
        <v>38</v>
      </c>
      <c r="K23" s="101" t="s">
        <v>158</v>
      </c>
      <c r="L23" s="118" t="s">
        <v>1</v>
      </c>
      <c r="M23" s="25"/>
      <c r="N23" s="174">
        <v>2020</v>
      </c>
      <c r="O23" s="170" t="s">
        <v>36</v>
      </c>
      <c r="P23" s="101" t="s">
        <v>159</v>
      </c>
      <c r="Q23" s="101" t="s">
        <v>38</v>
      </c>
      <c r="R23" s="101" t="s">
        <v>158</v>
      </c>
      <c r="S23" s="118" t="s">
        <v>1</v>
      </c>
      <c r="T23" s="25"/>
      <c r="U23" s="174">
        <v>2020</v>
      </c>
      <c r="V23" s="175"/>
      <c r="W23" s="175"/>
      <c r="X23" s="175"/>
      <c r="Y23" s="175"/>
      <c r="Z23" s="101" t="s">
        <v>36</v>
      </c>
      <c r="AA23" s="101" t="s">
        <v>159</v>
      </c>
      <c r="AB23" s="101" t="s">
        <v>38</v>
      </c>
      <c r="AC23" s="101" t="s">
        <v>158</v>
      </c>
      <c r="AD23" s="118" t="s">
        <v>1</v>
      </c>
    </row>
    <row r="24" spans="2:30" x14ac:dyDescent="0.25">
      <c r="C24" s="176" t="s">
        <v>18</v>
      </c>
      <c r="H24" s="8">
        <f>SUM(H25:H26)</f>
        <v>0</v>
      </c>
      <c r="I24" s="8">
        <f>SUM(I25:I26)</f>
        <v>42.25196236</v>
      </c>
      <c r="J24" s="8">
        <f>SUM(J25:J26)</f>
        <v>1.4284520366</v>
      </c>
      <c r="K24" s="8">
        <f>SUM(K25:K26)</f>
        <v>0.25528918369909998</v>
      </c>
      <c r="L24" s="121">
        <f t="shared" ref="L24:L33" si="3">SUM(H24:K24)</f>
        <v>43.935703580299098</v>
      </c>
      <c r="M24" s="99"/>
      <c r="N24" s="179" t="s">
        <v>18</v>
      </c>
      <c r="O24" s="36">
        <f>'[1]Bilan 2020'!$X$46/11.63</f>
        <v>0</v>
      </c>
      <c r="P24" s="35">
        <f>SUM('[1]Bilan 2020'!$X$41:$X$43)/11.63</f>
        <v>35.668036461633939</v>
      </c>
      <c r="Q24" s="35">
        <f>'[1]Bilan 2020'!$X$13/11.63</f>
        <v>0.71687008340498715</v>
      </c>
      <c r="R24" s="35">
        <f>('[1]Bilan 2020'!$X$22+'[1]Bilan 2020'!$X$30+SUM('[1]Bilan 2020'!$X$36:$X$40)+SUM('[1]Bilan 2020'!$X$44:$X$45)+'[1]Bilan 2020'!$X$47)/11.63</f>
        <v>0.19326865864144452</v>
      </c>
      <c r="S24" s="171">
        <f>SUM(O24:R24)</f>
        <v>36.578175203680367</v>
      </c>
      <c r="T24" s="169"/>
      <c r="U24" s="176" t="s">
        <v>18</v>
      </c>
      <c r="Z24" s="8">
        <v>0</v>
      </c>
      <c r="AA24" s="8">
        <v>43.018744479999995</v>
      </c>
      <c r="AB24" s="8">
        <v>1.8220352072999999</v>
      </c>
      <c r="AC24" s="8">
        <v>0.31541142310885001</v>
      </c>
      <c r="AD24" s="121">
        <v>45.156191110408841</v>
      </c>
    </row>
    <row r="25" spans="2:30" x14ac:dyDescent="0.25">
      <c r="C25" s="177" t="s">
        <v>19</v>
      </c>
      <c r="D25" t="s">
        <v>580</v>
      </c>
      <c r="E25" t="s">
        <v>581</v>
      </c>
      <c r="F25" t="s">
        <v>582</v>
      </c>
      <c r="G25" t="s">
        <v>583</v>
      </c>
      <c r="H25" s="19">
        <f>VLOOKUP(D25,Résultats!$B$2:$AX$476,'T energie vecteurs'!I5,FALSE)</f>
        <v>0</v>
      </c>
      <c r="I25" s="19">
        <f>VLOOKUP(E25,Résultats!$B$2:$AX$476,'T energie vecteurs'!I5,FALSE)</f>
        <v>23.698841340000001</v>
      </c>
      <c r="J25" s="19">
        <f>VLOOKUP(F25,Résultats!$B$2:$AX$476,'T energie vecteurs'!I5,FALSE)</f>
        <v>0.1093786896</v>
      </c>
      <c r="K25" s="19">
        <f>VLOOKUP(G77,Résultats!$B$2:$AX$476,'T energie vecteurs'!I5,FALSE)</f>
        <v>1.6040599099999999E-5</v>
      </c>
      <c r="L25" s="120">
        <f t="shared" si="3"/>
        <v>23.808236070199101</v>
      </c>
      <c r="M25" s="19"/>
      <c r="N25" s="177" t="s">
        <v>19</v>
      </c>
      <c r="O25" s="172"/>
      <c r="P25" s="19"/>
      <c r="Q25" s="55"/>
      <c r="R25" s="19"/>
      <c r="S25" s="120"/>
      <c r="T25" s="169"/>
      <c r="U25" s="177" t="s">
        <v>19</v>
      </c>
      <c r="V25" t="s">
        <v>89</v>
      </c>
      <c r="W25" t="s">
        <v>90</v>
      </c>
      <c r="X25" t="s">
        <v>91</v>
      </c>
      <c r="Y25" t="s">
        <v>92</v>
      </c>
      <c r="Z25" s="19">
        <v>0</v>
      </c>
      <c r="AA25" s="19">
        <v>23.922501159999999</v>
      </c>
      <c r="AB25" s="19">
        <v>0.1058478073</v>
      </c>
      <c r="AC25" s="19">
        <v>9.2348088500000006E-6</v>
      </c>
      <c r="AD25" s="120">
        <v>24.028358202108851</v>
      </c>
    </row>
    <row r="26" spans="2:30" x14ac:dyDescent="0.25">
      <c r="C26" s="178" t="s">
        <v>20</v>
      </c>
      <c r="D26" t="s">
        <v>584</v>
      </c>
      <c r="E26" t="s">
        <v>585</v>
      </c>
      <c r="F26" t="s">
        <v>586</v>
      </c>
      <c r="G26" t="s">
        <v>587</v>
      </c>
      <c r="H26" s="19">
        <f>VLOOKUP(D26,Résultats!$B$2:$AX$476,'T energie vecteurs'!I5,FALSE)</f>
        <v>0</v>
      </c>
      <c r="I26" s="19">
        <f>VLOOKUP(E26,Résultats!$B$2:$AX$476,'T energie vecteurs'!I5,FALSE)</f>
        <v>18.553121019999999</v>
      </c>
      <c r="J26" s="19">
        <f>VLOOKUP(F26,Résultats!$B$2:$AX$476,'T energie vecteurs'!I5,FALSE)</f>
        <v>1.319073347</v>
      </c>
      <c r="K26" s="19">
        <f>VLOOKUP(G26,Résultats!$B$2:$AX$476,'T energie vecteurs'!I5,FALSE)</f>
        <v>0.25527314309999999</v>
      </c>
      <c r="L26" s="120">
        <f t="shared" si="3"/>
        <v>20.127467510099997</v>
      </c>
      <c r="M26" s="19"/>
      <c r="N26" s="178" t="s">
        <v>20</v>
      </c>
      <c r="O26" s="172"/>
      <c r="P26" s="19"/>
      <c r="Q26" s="55"/>
      <c r="R26" s="19"/>
      <c r="S26" s="120"/>
      <c r="T26" s="169"/>
      <c r="U26" s="178" t="s">
        <v>20</v>
      </c>
      <c r="V26" t="s">
        <v>93</v>
      </c>
      <c r="W26" t="s">
        <v>94</v>
      </c>
      <c r="X26" t="s">
        <v>95</v>
      </c>
      <c r="Y26" t="s">
        <v>96</v>
      </c>
      <c r="Z26" s="19">
        <v>0</v>
      </c>
      <c r="AA26" s="19">
        <v>19.096243319999999</v>
      </c>
      <c r="AB26" s="19">
        <v>1.7161873999999999</v>
      </c>
      <c r="AC26" s="19">
        <v>0.3154021883</v>
      </c>
      <c r="AD26" s="120">
        <v>21.127832908299997</v>
      </c>
    </row>
    <row r="27" spans="2:30" x14ac:dyDescent="0.25">
      <c r="C27" s="176" t="s">
        <v>21</v>
      </c>
      <c r="D27" t="s">
        <v>588</v>
      </c>
      <c r="E27" t="s">
        <v>589</v>
      </c>
      <c r="F27" t="s">
        <v>590</v>
      </c>
      <c r="G27" t="s">
        <v>591</v>
      </c>
      <c r="H27" s="8">
        <f>VLOOKUP(D27,Résultats!$B$2:$AX$476,'T energie vecteurs'!I5,FALSE)</f>
        <v>0.26291969450000002</v>
      </c>
      <c r="I27" s="8">
        <f>VLOOKUP(E27,Résultats!$B$2:$AX$476,'T energie vecteurs'!I5,FALSE)</f>
        <v>6.2714561150000003</v>
      </c>
      <c r="J27" s="8">
        <f>VLOOKUP(F27,Résultats!$B$2:$AX$476,'T energie vecteurs'!I5,FALSE)</f>
        <v>14.695407400000001</v>
      </c>
      <c r="K27" s="8">
        <f>VLOOKUP(G27,Résultats!$B$2:$AX$476,'T energie vecteurs'!I5,FALSE)+6</f>
        <v>20.49594183</v>
      </c>
      <c r="L27" s="121">
        <f t="shared" si="3"/>
        <v>41.725725039499999</v>
      </c>
      <c r="M27" s="99"/>
      <c r="N27" s="179" t="s">
        <v>21</v>
      </c>
      <c r="O27" s="36">
        <f>'[1]Bilan 2020'!$V$46/11.63</f>
        <v>2.0700734999999998E-2</v>
      </c>
      <c r="P27" s="35">
        <f>SUM('[1]Bilan 2020'!$V$41:$V$43)/11.63</f>
        <v>4.2874727518867157</v>
      </c>
      <c r="Q27" s="35">
        <f>'[1]Bilan 2020'!$V$13/11.63</f>
        <v>13.618731599337918</v>
      </c>
      <c r="R27" s="35">
        <f>('[1]Bilan 2020'!$V$22+'[1]Bilan 2020'!$V$30+SUM('[1]Bilan 2020'!$V$36:$V$40)+SUM('[1]Bilan 2020'!$V$44:$V$45)+'[1]Bilan 2020'!$V$47)/11.63</f>
        <v>20.408410382607048</v>
      </c>
      <c r="S27" s="171">
        <f t="shared" ref="S27:S33" si="4">SUM(O27:R27)</f>
        <v>38.335315468831681</v>
      </c>
      <c r="T27" s="169"/>
      <c r="U27" s="176" t="s">
        <v>21</v>
      </c>
      <c r="V27" t="s">
        <v>97</v>
      </c>
      <c r="W27" t="s">
        <v>98</v>
      </c>
      <c r="X27" t="s">
        <v>99</v>
      </c>
      <c r="Y27" t="s">
        <v>100</v>
      </c>
      <c r="Z27" s="8">
        <v>0.26184970889999998</v>
      </c>
      <c r="AA27" s="8">
        <v>5.7024644279999999</v>
      </c>
      <c r="AB27" s="8">
        <v>15.25918953</v>
      </c>
      <c r="AC27" s="8">
        <v>20.182440509999999</v>
      </c>
      <c r="AD27" s="121">
        <v>41.4059441769</v>
      </c>
    </row>
    <row r="28" spans="2:30" x14ac:dyDescent="0.25">
      <c r="C28" s="176" t="s">
        <v>22</v>
      </c>
      <c r="D28" t="s">
        <v>592</v>
      </c>
      <c r="E28" t="s">
        <v>593</v>
      </c>
      <c r="F28" t="s">
        <v>594</v>
      </c>
      <c r="G28" t="s">
        <v>595</v>
      </c>
      <c r="H28" s="8">
        <f>VLOOKUP(D28,Résultats!$B$2:$AX$476,'T energie vecteurs'!I5,FALSE)</f>
        <v>0</v>
      </c>
      <c r="I28" s="8">
        <f>VLOOKUP(E28,Résultats!$B$2:$AX$476,'T energie vecteurs'!I5,FALSE)</f>
        <v>3.1173306090000001</v>
      </c>
      <c r="J28" s="8">
        <f>VLOOKUP(F28,Résultats!$B$2:$AX$476,'T energie vecteurs'!I5,FALSE)</f>
        <v>12.975211910000001</v>
      </c>
      <c r="K28" s="8">
        <f>VLOOKUP(G28,Résultats!$B$2:$AX$476,'T energie vecteurs'!I5,FALSE)</f>
        <v>7.9356529910000004</v>
      </c>
      <c r="L28" s="121">
        <f t="shared" si="3"/>
        <v>24.028195510000003</v>
      </c>
      <c r="M28" s="99"/>
      <c r="N28" s="179" t="s">
        <v>22</v>
      </c>
      <c r="O28" s="36">
        <f>('[1]Bilan 2020'!$W$46)/11.63</f>
        <v>3.0546421000000001E-2</v>
      </c>
      <c r="P28" s="35">
        <f>SUM('[1]Bilan 2020'!$W$41:$W$43)/11.63</f>
        <v>2.7068355531694666</v>
      </c>
      <c r="Q28" s="35">
        <f>('[1]Bilan 2020'!$W$13)/11.63</f>
        <v>10.724850576412381</v>
      </c>
      <c r="R28" s="35">
        <f>('[1]Bilan 2020'!$W$22+'[1]Bilan 2020'!$W$30+SUM('[1]Bilan 2020'!$W$36:$W$40)+SUM('[1]Bilan 2020'!$W$44:$W$45)+'[1]Bilan 2020'!$W$47)/11.63</f>
        <v>7.1906336380053082</v>
      </c>
      <c r="S28" s="171">
        <f t="shared" si="4"/>
        <v>20.652866188587154</v>
      </c>
      <c r="T28" s="169"/>
      <c r="U28" s="176" t="s">
        <v>22</v>
      </c>
      <c r="V28" t="s">
        <v>101</v>
      </c>
      <c r="W28" t="s">
        <v>102</v>
      </c>
      <c r="X28" t="s">
        <v>103</v>
      </c>
      <c r="Y28" t="s">
        <v>104</v>
      </c>
      <c r="Z28" s="8">
        <v>0</v>
      </c>
      <c r="AA28" s="8">
        <v>2.5782826139999999</v>
      </c>
      <c r="AB28" s="8">
        <v>12.10446735</v>
      </c>
      <c r="AC28" s="8">
        <v>7.683267743</v>
      </c>
      <c r="AD28" s="121">
        <v>22.366017706999997</v>
      </c>
    </row>
    <row r="29" spans="2:30" x14ac:dyDescent="0.25">
      <c r="C29" s="176" t="s">
        <v>23</v>
      </c>
      <c r="H29" s="8">
        <f>SUM(H30:H32)</f>
        <v>2.6579612358000002</v>
      </c>
      <c r="I29" s="8">
        <f>SUM(I30:I32)</f>
        <v>13.620348347</v>
      </c>
      <c r="J29" s="8">
        <f>SUM(J30:J32)</f>
        <v>9.6460238765999904</v>
      </c>
      <c r="K29" s="8">
        <f>SUM(K30:K32)</f>
        <v>14.3654850049</v>
      </c>
      <c r="L29" s="121">
        <f t="shared" si="3"/>
        <v>40.289818464299991</v>
      </c>
      <c r="M29" s="99"/>
      <c r="N29" s="179" t="s">
        <v>280</v>
      </c>
      <c r="O29" s="36">
        <f>O30+O31</f>
        <v>3.1626378182920636</v>
      </c>
      <c r="P29" s="35">
        <f t="shared" ref="P29:R29" si="5">P30+P31</f>
        <v>13.919973516612528</v>
      </c>
      <c r="Q29" s="35">
        <f t="shared" si="5"/>
        <v>9.0413234941421319</v>
      </c>
      <c r="R29" s="35">
        <f t="shared" si="5"/>
        <v>14.312071337572707</v>
      </c>
      <c r="S29" s="171">
        <f t="shared" si="4"/>
        <v>40.436006166619435</v>
      </c>
      <c r="T29" s="169"/>
      <c r="U29" s="176" t="s">
        <v>23</v>
      </c>
      <c r="Z29" s="8">
        <v>2.9352593538000002</v>
      </c>
      <c r="AA29" s="8">
        <v>14.864282436999998</v>
      </c>
      <c r="AB29" s="8">
        <v>9.5134153553999994</v>
      </c>
      <c r="AC29" s="8">
        <v>13.758628141300001</v>
      </c>
      <c r="AD29" s="121">
        <v>41.0715852875</v>
      </c>
    </row>
    <row r="30" spans="2:30" x14ac:dyDescent="0.25">
      <c r="C30" s="178" t="s">
        <v>24</v>
      </c>
      <c r="D30" t="s">
        <v>596</v>
      </c>
      <c r="E30" t="s">
        <v>597</v>
      </c>
      <c r="F30" t="s">
        <v>598</v>
      </c>
      <c r="G30" t="s">
        <v>599</v>
      </c>
      <c r="H30" s="19">
        <f>VLOOKUP(D30,Résultats!$B$2:$AX$476,'T energie vecteurs'!I5,FALSE)</f>
        <v>1.7896973410000001</v>
      </c>
      <c r="I30" s="19">
        <f>VLOOKUP(E30,Résultats!$B$2:$AX$476,'T energie vecteurs'!I5,FALSE)</f>
        <v>9.3519631719999996</v>
      </c>
      <c r="J30" s="19">
        <f>VLOOKUP(F30,Résultats!$B$2:$AX$476,'T energie vecteurs'!I5,FALSE)</f>
        <v>9.3345402859999904</v>
      </c>
      <c r="K30" s="19">
        <f>VLOOKUP(G30,Résultats!$B$2:$AX$476,'T energie vecteurs'!I5,FALSE)</f>
        <v>11.999934530000001</v>
      </c>
      <c r="L30" s="120">
        <f t="shared" si="3"/>
        <v>32.476135328999987</v>
      </c>
      <c r="M30" s="19"/>
      <c r="N30" s="178" t="s">
        <v>281</v>
      </c>
      <c r="O30" s="172">
        <f>'[1]Bilan 2020'!$U$46/11.63</f>
        <v>0.77267988499999996</v>
      </c>
      <c r="P30" s="37">
        <f>SUM('[1]Bilan 2020'!$U$41:$U$43)/11.63</f>
        <v>2.7003587770125286</v>
      </c>
      <c r="Q30" s="37">
        <f>'[1]Bilan 2020'!$U$13/11.63</f>
        <v>9.0413234941421319</v>
      </c>
      <c r="R30" s="37">
        <f>('[1]Bilan 2020'!$U$22+'[1]Bilan 2020'!$U$30+SUM('[1]Bilan 2020'!$U$36:$U$40)+SUM('[1]Bilan 2020'!$U$44:$U$45)+'[1]Bilan 2020'!$U$47)/11.63</f>
        <v>13.277854957521116</v>
      </c>
      <c r="S30" s="120">
        <f t="shared" si="4"/>
        <v>25.792217113675775</v>
      </c>
      <c r="T30" s="169"/>
      <c r="U30" s="178" t="s">
        <v>24</v>
      </c>
      <c r="V30" t="s">
        <v>105</v>
      </c>
      <c r="W30" t="s">
        <v>106</v>
      </c>
      <c r="X30" t="s">
        <v>107</v>
      </c>
      <c r="Y30" t="s">
        <v>108</v>
      </c>
      <c r="Z30" s="19">
        <v>2.0907212450000001</v>
      </c>
      <c r="AA30" s="19">
        <v>10.561312149999999</v>
      </c>
      <c r="AB30" s="19">
        <v>9.1722502499999994</v>
      </c>
      <c r="AC30" s="19">
        <v>11.439847840000001</v>
      </c>
      <c r="AD30" s="120">
        <v>33.264131485</v>
      </c>
    </row>
    <row r="31" spans="2:30" x14ac:dyDescent="0.25">
      <c r="C31" s="178" t="s">
        <v>153</v>
      </c>
      <c r="D31" t="s">
        <v>600</v>
      </c>
      <c r="E31" t="s">
        <v>601</v>
      </c>
      <c r="F31" t="s">
        <v>602</v>
      </c>
      <c r="G31" t="s">
        <v>603</v>
      </c>
      <c r="H31" s="19">
        <f>VLOOKUP(D31,Résultats!$B$2:$AX$476,'T energie vecteurs'!I5,FALSE)</f>
        <v>0.86826389479999999</v>
      </c>
      <c r="I31" s="19">
        <f>VLOOKUP(E31,Résultats!$B$2:$AX$476,'T energie vecteurs'!I5,FALSE)</f>
        <v>1.887334461</v>
      </c>
      <c r="J31" s="19">
        <f>VLOOKUP(F31,Résultats!$B$2:$AX$476,'T energie vecteurs'!I5,FALSE)</f>
        <v>0</v>
      </c>
      <c r="K31" s="19">
        <f>VLOOKUP(G31,Résultats!$B$2:$AX$476,'T energie vecteurs'!I5,FALSE)</f>
        <v>2.0350647830000002</v>
      </c>
      <c r="L31" s="120">
        <f t="shared" si="3"/>
        <v>4.7906631388000003</v>
      </c>
      <c r="M31" s="19"/>
      <c r="N31" s="178" t="s">
        <v>153</v>
      </c>
      <c r="O31" s="28">
        <f>'[1]Bilan 2020'!$E$52/11.63</f>
        <v>2.3899579332920635</v>
      </c>
      <c r="P31" s="19">
        <f>('[1]Bilan 2020'!$E$54+'[1]Bilan 2020'!$E$56)/11.63</f>
        <v>11.219614739599999</v>
      </c>
      <c r="Q31" s="19">
        <v>0</v>
      </c>
      <c r="R31" s="19">
        <f>('[1]Bilan 2020'!$E$53+'[1]Bilan 2020'!$E$55+'[1]Bilan 2020'!$E$57)/11.63</f>
        <v>1.0342163800515907</v>
      </c>
      <c r="S31" s="120">
        <f t="shared" si="4"/>
        <v>14.643789052943653</v>
      </c>
      <c r="T31" s="169"/>
      <c r="U31" s="178" t="s">
        <v>153</v>
      </c>
      <c r="V31" t="s">
        <v>154</v>
      </c>
      <c r="W31" t="s">
        <v>155</v>
      </c>
      <c r="X31" t="s">
        <v>156</v>
      </c>
      <c r="Y31" t="s">
        <v>157</v>
      </c>
      <c r="Z31" s="19">
        <v>0.84453810880000002</v>
      </c>
      <c r="AA31" s="19">
        <v>1.899081222</v>
      </c>
      <c r="AB31" s="19">
        <v>0</v>
      </c>
      <c r="AC31" s="19">
        <v>1.9869122779999999</v>
      </c>
      <c r="AD31" s="120">
        <v>4.7305316087999998</v>
      </c>
    </row>
    <row r="32" spans="2:30" x14ac:dyDescent="0.25">
      <c r="C32" s="178" t="s">
        <v>25</v>
      </c>
      <c r="D32" t="s">
        <v>604</v>
      </c>
      <c r="E32" t="s">
        <v>605</v>
      </c>
      <c r="F32" t="s">
        <v>606</v>
      </c>
      <c r="G32" t="s">
        <v>607</v>
      </c>
      <c r="H32" s="19">
        <f>VLOOKUP(D32,Résultats!$B$2:$AX$476,'T energie vecteurs'!I5,FALSE)</f>
        <v>0</v>
      </c>
      <c r="I32" s="19">
        <f>VLOOKUP(E32,Résultats!$B$2:$AX$476,'T energie vecteurs'!I5,FALSE)</f>
        <v>2.3810507140000001</v>
      </c>
      <c r="J32" s="19">
        <f>VLOOKUP(F32,Résultats!$B$2:$AX$476,'T energie vecteurs'!I5,FALSE)</f>
        <v>0.31148359060000003</v>
      </c>
      <c r="K32" s="19">
        <f>VLOOKUP(G32,Résultats!$B$2:$AX$476,'T energie vecteurs'!I5,FALSE)</f>
        <v>0.33048569189999999</v>
      </c>
      <c r="L32" s="120">
        <f t="shared" si="3"/>
        <v>3.0230199965</v>
      </c>
      <c r="M32" s="19"/>
      <c r="N32" s="179" t="s">
        <v>25</v>
      </c>
      <c r="O32" s="36">
        <f>'[1]Bilan 2020'!$T$46/11.63</f>
        <v>1.3217009999999998E-3</v>
      </c>
      <c r="P32" s="35">
        <f>SUM('[1]Bilan 2020'!$T$41:$T$43)/11.63</f>
        <v>3.3486884684627563</v>
      </c>
      <c r="Q32" s="35">
        <f>'[1]Bilan 2020'!$T$13/11.63</f>
        <v>0.69143728159498707</v>
      </c>
      <c r="R32" s="35">
        <f>('[1]Bilan 2020'!$T$22+'[1]Bilan 2020'!$T$30+SUM('[1]Bilan 2020'!$T$36:$T$40)+SUM('[1]Bilan 2020'!$T$44:$T$45)+'[1]Bilan 2020'!$T$47)/11.63</f>
        <v>0.41959097162510717</v>
      </c>
      <c r="S32" s="171">
        <f t="shared" si="4"/>
        <v>4.4610384226828508</v>
      </c>
      <c r="T32" s="169"/>
      <c r="U32" s="178" t="s">
        <v>25</v>
      </c>
      <c r="V32" t="s">
        <v>109</v>
      </c>
      <c r="W32" t="s">
        <v>110</v>
      </c>
      <c r="X32" t="s">
        <v>111</v>
      </c>
      <c r="Y32" t="s">
        <v>112</v>
      </c>
      <c r="Z32" s="19">
        <v>0</v>
      </c>
      <c r="AA32" s="19">
        <v>2.403889065</v>
      </c>
      <c r="AB32" s="19">
        <v>0.3411651054</v>
      </c>
      <c r="AC32" s="19">
        <v>0.33186802329999998</v>
      </c>
      <c r="AD32" s="120">
        <v>3.0769221936999998</v>
      </c>
    </row>
    <row r="33" spans="3:30" x14ac:dyDescent="0.25">
      <c r="C33" s="29" t="s">
        <v>26</v>
      </c>
      <c r="D33" s="10"/>
      <c r="E33" s="10"/>
      <c r="F33" s="10"/>
      <c r="G33" s="10"/>
      <c r="H33" s="9">
        <f>SUM(H24,H27:H29)</f>
        <v>2.9208809303000001</v>
      </c>
      <c r="I33" s="9">
        <f>SUM(I24,I27:I29)</f>
        <v>65.261097430999996</v>
      </c>
      <c r="J33" s="9">
        <f>SUM(J24,J27:J29)</f>
        <v>38.745095223199989</v>
      </c>
      <c r="K33" s="9">
        <f>SUM(K24,K27:K29)</f>
        <v>43.052369009599104</v>
      </c>
      <c r="L33" s="123">
        <f t="shared" si="3"/>
        <v>149.97944259409911</v>
      </c>
      <c r="M33" s="105"/>
      <c r="N33" s="180" t="s">
        <v>26</v>
      </c>
      <c r="O33" s="40">
        <f>O24+O27+O28+O29+O32</f>
        <v>3.2152066752920638</v>
      </c>
      <c r="P33" s="38">
        <f>P24+P27+P28+P29+P32</f>
        <v>59.931006751765409</v>
      </c>
      <c r="Q33" s="38">
        <f>Q24+Q27+Q28+Q29+Q32</f>
        <v>34.793213034892403</v>
      </c>
      <c r="R33" s="38">
        <f>R24+R27+R28+R29+R32</f>
        <v>42.523974988451613</v>
      </c>
      <c r="S33" s="173">
        <f t="shared" si="4"/>
        <v>140.46340145040148</v>
      </c>
      <c r="T33" s="105"/>
      <c r="U33" s="29" t="s">
        <v>26</v>
      </c>
      <c r="V33" s="10"/>
      <c r="W33" s="10"/>
      <c r="X33" s="10"/>
      <c r="Y33" s="10"/>
      <c r="Z33" s="9">
        <v>3.1971090627000001</v>
      </c>
      <c r="AA33" s="9">
        <v>66.163773958999997</v>
      </c>
      <c r="AB33" s="9">
        <v>38.699107442699997</v>
      </c>
      <c r="AC33" s="9">
        <v>41.93974781740885</v>
      </c>
      <c r="AD33" s="123">
        <v>149.99973828180885</v>
      </c>
    </row>
    <row r="34" spans="3:30" s="3" customFormat="1" x14ac:dyDescent="0.25">
      <c r="H34" s="69"/>
      <c r="I34" s="69"/>
      <c r="J34" s="69"/>
      <c r="K34" s="69"/>
      <c r="L34" s="69"/>
      <c r="M34" s="69"/>
      <c r="N34" s="69"/>
      <c r="O34" s="103"/>
      <c r="P34" s="103"/>
      <c r="Q34" s="103"/>
      <c r="R34" s="104"/>
      <c r="S34" s="69"/>
      <c r="T34" s="69"/>
      <c r="Z34" s="69"/>
      <c r="AA34" s="69"/>
      <c r="AB34" s="69"/>
      <c r="AC34" s="69"/>
      <c r="AD34" s="69"/>
    </row>
    <row r="35" spans="3:30" s="3" customFormat="1" x14ac:dyDescent="0.25"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Z35" s="69"/>
      <c r="AA35" s="69"/>
      <c r="AB35" s="69"/>
      <c r="AC35" s="69"/>
      <c r="AD35" s="69"/>
    </row>
    <row r="36" spans="3:30" ht="31.5" x14ac:dyDescent="0.35">
      <c r="C36" s="174">
        <v>2022</v>
      </c>
      <c r="D36" s="175"/>
      <c r="E36" s="175"/>
      <c r="F36" s="175"/>
      <c r="G36" s="175"/>
      <c r="H36" s="101" t="s">
        <v>36</v>
      </c>
      <c r="I36" s="101" t="s">
        <v>159</v>
      </c>
      <c r="J36" s="101" t="s">
        <v>38</v>
      </c>
      <c r="K36" s="101" t="s">
        <v>158</v>
      </c>
      <c r="L36" s="118" t="s">
        <v>1</v>
      </c>
      <c r="M36" s="25"/>
      <c r="N36" s="174">
        <v>2022</v>
      </c>
      <c r="O36" s="170" t="s">
        <v>36</v>
      </c>
      <c r="P36" s="101" t="s">
        <v>159</v>
      </c>
      <c r="Q36" s="101" t="s">
        <v>38</v>
      </c>
      <c r="R36" s="101" t="s">
        <v>158</v>
      </c>
      <c r="S36" s="118" t="s">
        <v>1</v>
      </c>
      <c r="T36" s="25"/>
      <c r="U36" s="174">
        <v>2022</v>
      </c>
      <c r="V36" s="175"/>
      <c r="W36" s="175"/>
      <c r="X36" s="175"/>
      <c r="Y36" s="175"/>
      <c r="Z36" s="101" t="s">
        <v>36</v>
      </c>
      <c r="AA36" s="101" t="s">
        <v>159</v>
      </c>
      <c r="AB36" s="101" t="s">
        <v>38</v>
      </c>
      <c r="AC36" s="101" t="s">
        <v>158</v>
      </c>
      <c r="AD36" s="118" t="s">
        <v>1</v>
      </c>
    </row>
    <row r="37" spans="3:30" x14ac:dyDescent="0.25">
      <c r="C37" s="176" t="s">
        <v>18</v>
      </c>
      <c r="H37" s="8">
        <f>SUM(H38:H39)</f>
        <v>0</v>
      </c>
      <c r="I37" s="8">
        <f>SUM(I38:I39)</f>
        <v>41.582451319999997</v>
      </c>
      <c r="J37" s="8">
        <f>SUM(J38:J39)</f>
        <v>1.5231816774000002</v>
      </c>
      <c r="K37" s="8">
        <f>SUM(K38:K39)</f>
        <v>0.3625665823027</v>
      </c>
      <c r="L37" s="121">
        <f t="shared" ref="L37:L46" si="6">SUM(H37:K37)</f>
        <v>43.468199579702691</v>
      </c>
      <c r="M37" s="99"/>
      <c r="N37" s="179" t="s">
        <v>18</v>
      </c>
      <c r="O37" s="36">
        <f>'[1]Bilan 2022 réel'!$X$46/11.63</f>
        <v>0</v>
      </c>
      <c r="P37" s="35">
        <f>SUM('[1]Bilan 2022 réel'!$X$41:$X$43)/11.63</f>
        <v>43.395882986244146</v>
      </c>
      <c r="Q37" s="35">
        <f>'[1]Bilan 2022 réel'!$X$13/11.63</f>
        <v>0.93062751504729158</v>
      </c>
      <c r="R37" s="35">
        <f>('[1]Bilan 2022 réel'!$X$22+'[1]Bilan 2022 réel'!$X$30+SUM('[1]Bilan 2022 réel'!$X$36:$X$40)+SUM('[1]Bilan 2022 réel'!$X$44:$X$45)+'[1]Bilan 2022 réel'!$X$47)/11.63</f>
        <v>0.31885683576956142</v>
      </c>
      <c r="S37" s="171">
        <f>SUM(O37:R37)</f>
        <v>44.645367337060996</v>
      </c>
      <c r="T37" s="99"/>
      <c r="U37" s="176" t="s">
        <v>18</v>
      </c>
      <c r="Z37" s="8">
        <v>0</v>
      </c>
      <c r="AA37" s="8">
        <v>42.966688779999998</v>
      </c>
      <c r="AB37" s="8">
        <v>1.9854484355000002</v>
      </c>
      <c r="AC37" s="8">
        <v>0.44041368824390004</v>
      </c>
      <c r="AD37" s="121">
        <v>45.392550903743896</v>
      </c>
    </row>
    <row r="38" spans="3:30" x14ac:dyDescent="0.25">
      <c r="C38" s="177" t="s">
        <v>19</v>
      </c>
      <c r="D38" t="s">
        <v>580</v>
      </c>
      <c r="E38" t="s">
        <v>581</v>
      </c>
      <c r="F38" t="s">
        <v>582</v>
      </c>
      <c r="G38" t="s">
        <v>583</v>
      </c>
      <c r="H38" s="19">
        <f>VLOOKUP(D38,Résultats!$B$2:$AX$476,'T energie vecteurs'!K5,FALSE)</f>
        <v>0</v>
      </c>
      <c r="I38" s="19">
        <f>VLOOKUP(E38,Résultats!$B$2:$AX$476,'T energie vecteurs'!K5,FALSE)</f>
        <v>22.858451039999998</v>
      </c>
      <c r="J38" s="19">
        <f>VLOOKUP(F38,Résultats!$B$2:$AX$476,'T energie vecteurs'!K5,FALSE)</f>
        <v>0.16593726440000001</v>
      </c>
      <c r="K38" s="19">
        <f>VLOOKUP(G51,Résultats!$B$2:$AX$476,'T energie vecteurs'!K5,FALSE)</f>
        <v>1.8981502700000001E-5</v>
      </c>
      <c r="L38" s="120">
        <f t="shared" si="6"/>
        <v>23.024407285902697</v>
      </c>
      <c r="M38" s="19"/>
      <c r="N38" s="177" t="s">
        <v>19</v>
      </c>
      <c r="O38" s="172"/>
      <c r="P38" s="19"/>
      <c r="Q38" s="55"/>
      <c r="R38" s="19"/>
      <c r="S38" s="120"/>
      <c r="T38" s="19"/>
      <c r="U38" s="177" t="s">
        <v>19</v>
      </c>
      <c r="V38" t="s">
        <v>89</v>
      </c>
      <c r="W38" t="s">
        <v>90</v>
      </c>
      <c r="X38" t="s">
        <v>91</v>
      </c>
      <c r="Y38" t="s">
        <v>92</v>
      </c>
      <c r="Z38" s="19">
        <v>0</v>
      </c>
      <c r="AA38" s="19">
        <v>23.09105083</v>
      </c>
      <c r="AB38" s="19">
        <v>0.1608671015</v>
      </c>
      <c r="AC38" s="19">
        <v>1.1521843900000001E-5</v>
      </c>
      <c r="AD38" s="120">
        <v>23.251929453343898</v>
      </c>
    </row>
    <row r="39" spans="3:30" x14ac:dyDescent="0.25">
      <c r="C39" s="178" t="s">
        <v>20</v>
      </c>
      <c r="D39" t="s">
        <v>584</v>
      </c>
      <c r="E39" t="s">
        <v>585</v>
      </c>
      <c r="F39" t="s">
        <v>586</v>
      </c>
      <c r="G39" t="s">
        <v>587</v>
      </c>
      <c r="H39" s="19">
        <f>VLOOKUP(D39,Résultats!$B$2:$AX$476,'T energie vecteurs'!K5,FALSE)</f>
        <v>0</v>
      </c>
      <c r="I39" s="19">
        <f>VLOOKUP(E39,Résultats!$B$2:$AX$476,'T energie vecteurs'!K5,FALSE)</f>
        <v>18.724000279999998</v>
      </c>
      <c r="J39" s="19">
        <f>VLOOKUP(F39,Résultats!$B$2:$AX$476,'T energie vecteurs'!K5,FALSE)</f>
        <v>1.3572444130000001</v>
      </c>
      <c r="K39" s="19">
        <f>VLOOKUP(G39,Résultats!$B$2:$AX$476,'T energie vecteurs'!K5,FALSE)</f>
        <v>0.36254760079999998</v>
      </c>
      <c r="L39" s="120">
        <f t="shared" si="6"/>
        <v>20.443792293799998</v>
      </c>
      <c r="M39" s="19"/>
      <c r="N39" s="178" t="s">
        <v>20</v>
      </c>
      <c r="O39" s="172"/>
      <c r="P39" s="19"/>
      <c r="Q39" s="55"/>
      <c r="R39" s="19"/>
      <c r="S39" s="120"/>
      <c r="T39" s="19"/>
      <c r="U39" s="178" t="s">
        <v>20</v>
      </c>
      <c r="V39" t="s">
        <v>93</v>
      </c>
      <c r="W39" t="s">
        <v>94</v>
      </c>
      <c r="X39" t="s">
        <v>95</v>
      </c>
      <c r="Y39" t="s">
        <v>96</v>
      </c>
      <c r="Z39" s="19">
        <v>0</v>
      </c>
      <c r="AA39" s="19">
        <v>19.875637950000002</v>
      </c>
      <c r="AB39" s="19">
        <v>1.8245813340000001</v>
      </c>
      <c r="AC39" s="19">
        <v>0.44040216640000002</v>
      </c>
      <c r="AD39" s="120">
        <v>22.140621450400001</v>
      </c>
    </row>
    <row r="40" spans="3:30" x14ac:dyDescent="0.25">
      <c r="C40" s="176" t="s">
        <v>21</v>
      </c>
      <c r="D40" t="s">
        <v>588</v>
      </c>
      <c r="E40" t="s">
        <v>589</v>
      </c>
      <c r="F40" t="s">
        <v>590</v>
      </c>
      <c r="G40" t="s">
        <v>591</v>
      </c>
      <c r="H40" s="8">
        <f>VLOOKUP(D40,Résultats!$B$2:$AX$476,'T energie vecteurs'!K5,FALSE)</f>
        <v>0.24509812180000001</v>
      </c>
      <c r="I40" s="8">
        <f>VLOOKUP(E40,Résultats!$B$2:$AX$476,'T energie vecteurs'!K5,FALSE)</f>
        <v>5.9260819339999999</v>
      </c>
      <c r="J40" s="8">
        <f>VLOOKUP(F40,Résultats!$B$2:$AX$476,'T energie vecteurs'!K5,FALSE)</f>
        <v>14.79150267</v>
      </c>
      <c r="K40" s="8">
        <f>VLOOKUP(G40,Résultats!$B$2:$AX$476,'T energie vecteurs'!K5,FALSE)+8</f>
        <v>21.758443310000001</v>
      </c>
      <c r="L40" s="121">
        <f t="shared" si="6"/>
        <v>42.721126035799998</v>
      </c>
      <c r="M40" s="99"/>
      <c r="N40" s="179" t="s">
        <v>21</v>
      </c>
      <c r="O40" s="36">
        <f>'[1]Bilan 2022 réel'!$V$46/11.63</f>
        <v>2.6476317000000003E-2</v>
      </c>
      <c r="P40" s="35">
        <f>SUM('[1]Bilan 2022 réel'!$V$41:$V$43)/11.63</f>
        <v>3.5006052343</v>
      </c>
      <c r="Q40" s="35">
        <f>'[1]Bilan 2022 réel'!$V$13/11.63</f>
        <v>13.359407222699915</v>
      </c>
      <c r="R40" s="35">
        <f>('[1]Bilan 2022 réel'!$V$22+'[1]Bilan 2022 réel'!$V$30+SUM('[1]Bilan 2022 réel'!$V$36:$V$40)+SUM('[1]Bilan 2022 réel'!$V$44:$V$45)+'[1]Bilan 2022 réel'!$V$47)/11.63</f>
        <v>20.358936597126686</v>
      </c>
      <c r="S40" s="171">
        <f t="shared" ref="S40:S46" si="7">SUM(O40:R40)</f>
        <v>37.245425371126601</v>
      </c>
      <c r="T40" s="99"/>
      <c r="U40" s="176" t="s">
        <v>21</v>
      </c>
      <c r="V40" t="s">
        <v>97</v>
      </c>
      <c r="W40" t="s">
        <v>98</v>
      </c>
      <c r="X40" t="s">
        <v>99</v>
      </c>
      <c r="Y40" t="s">
        <v>100</v>
      </c>
      <c r="Z40" s="263">
        <v>0.24246651059999999</v>
      </c>
      <c r="AA40" s="263">
        <v>5.559916952</v>
      </c>
      <c r="AB40" s="263">
        <v>15.062817750000001</v>
      </c>
      <c r="AC40" s="263">
        <v>21.52460911</v>
      </c>
      <c r="AD40" s="264">
        <v>42.389810322599999</v>
      </c>
    </row>
    <row r="41" spans="3:30" x14ac:dyDescent="0.25">
      <c r="C41" s="176" t="s">
        <v>22</v>
      </c>
      <c r="D41" t="s">
        <v>592</v>
      </c>
      <c r="E41" t="s">
        <v>593</v>
      </c>
      <c r="F41" t="s">
        <v>594</v>
      </c>
      <c r="G41" t="s">
        <v>595</v>
      </c>
      <c r="H41" s="8">
        <f>VLOOKUP(D41,Résultats!$B$2:$AX$476,'T energie vecteurs'!K5,FALSE)</f>
        <v>0</v>
      </c>
      <c r="I41" s="8">
        <f>VLOOKUP(E41,Résultats!$B$2:$AX$476,'T energie vecteurs'!K5,FALSE)</f>
        <v>3.1162613220000002</v>
      </c>
      <c r="J41" s="8">
        <f>VLOOKUP(F41,Résultats!$B$2:$AX$476,'T energie vecteurs'!K5,FALSE)</f>
        <v>13.110018159999999</v>
      </c>
      <c r="K41" s="8">
        <f>VLOOKUP(G41,Résultats!$B$2:$AX$476,'T energie vecteurs'!K5,FALSE)</f>
        <v>7.7875307349999998</v>
      </c>
      <c r="L41" s="121">
        <f t="shared" si="6"/>
        <v>24.013810217</v>
      </c>
      <c r="M41" s="99"/>
      <c r="N41" s="179" t="s">
        <v>22</v>
      </c>
      <c r="O41" s="36">
        <f>('[1]Bilan 2022 réel'!$W$46)/11.63</f>
        <v>3.2835727999999995E-2</v>
      </c>
      <c r="P41" s="35">
        <f>SUM('[1]Bilan 2022 réel'!$W$41:$W$43)/11.63</f>
        <v>2.0815720291000002</v>
      </c>
      <c r="Q41" s="35">
        <f>('[1]Bilan 2022 réel'!$W$13)/11.63</f>
        <v>11.4388796216681</v>
      </c>
      <c r="R41" s="35">
        <f>('[1]Bilan 2022 réel'!$W$22+'[1]Bilan 2022 réel'!$W$30+SUM('[1]Bilan 2022 réel'!$W$36:$W$40)+SUM('[1]Bilan 2022 réel'!$W$44:$W$45)+'[1]Bilan 2022 réel'!$W$47)/11.63</f>
        <v>7.4016622456291197</v>
      </c>
      <c r="S41" s="171">
        <f t="shared" si="7"/>
        <v>20.954949624397219</v>
      </c>
      <c r="T41" s="99"/>
      <c r="U41" s="176" t="s">
        <v>22</v>
      </c>
      <c r="V41" t="s">
        <v>101</v>
      </c>
      <c r="W41" t="s">
        <v>102</v>
      </c>
      <c r="X41" t="s">
        <v>103</v>
      </c>
      <c r="Y41" t="s">
        <v>104</v>
      </c>
      <c r="Z41" s="8">
        <v>0</v>
      </c>
      <c r="AA41" s="8">
        <v>2.6093376460000002</v>
      </c>
      <c r="AB41" s="8">
        <v>12.11176948</v>
      </c>
      <c r="AC41" s="8">
        <v>7.4488841529999998</v>
      </c>
      <c r="AD41" s="121">
        <v>22.169991279000001</v>
      </c>
    </row>
    <row r="42" spans="3:30" x14ac:dyDescent="0.25">
      <c r="C42" s="176" t="s">
        <v>23</v>
      </c>
      <c r="H42" s="8">
        <f>SUM(H43:H45)</f>
        <v>2.6272809995999999</v>
      </c>
      <c r="I42" s="8">
        <f>SUM(I43:I45)</f>
        <v>13.25511573699999</v>
      </c>
      <c r="J42" s="8">
        <f>SUM(J43:J45)</f>
        <v>10.0085239899</v>
      </c>
      <c r="K42" s="8">
        <f>SUM(K43:K45)</f>
        <v>14.5791106485</v>
      </c>
      <c r="L42" s="121">
        <f t="shared" si="6"/>
        <v>40.470031374999991</v>
      </c>
      <c r="M42" s="99"/>
      <c r="N42" s="179" t="s">
        <v>280</v>
      </c>
      <c r="O42" s="36">
        <f>O43+O44</f>
        <v>4.5030917883254036</v>
      </c>
      <c r="P42" s="35">
        <f t="shared" ref="P42:R42" si="8">P43+P44</f>
        <v>11.747675010745624</v>
      </c>
      <c r="Q42" s="35">
        <f t="shared" si="8"/>
        <v>9.2559822012037838</v>
      </c>
      <c r="R42" s="35">
        <f t="shared" si="8"/>
        <v>13.798624448265977</v>
      </c>
      <c r="S42" s="171">
        <f t="shared" si="7"/>
        <v>39.305373448540784</v>
      </c>
      <c r="T42" s="99"/>
      <c r="U42" s="176" t="s">
        <v>23</v>
      </c>
      <c r="Z42" s="8">
        <v>3.0042872987</v>
      </c>
      <c r="AA42" s="8">
        <v>15.48110514</v>
      </c>
      <c r="AB42" s="8">
        <v>9.8959557320000009</v>
      </c>
      <c r="AC42" s="8">
        <v>14.553168923499999</v>
      </c>
      <c r="AD42" s="121">
        <v>42.934517094200004</v>
      </c>
    </row>
    <row r="43" spans="3:30" x14ac:dyDescent="0.25">
      <c r="C43" s="178" t="s">
        <v>24</v>
      </c>
      <c r="D43" t="s">
        <v>596</v>
      </c>
      <c r="E43" t="s">
        <v>597</v>
      </c>
      <c r="F43" t="s">
        <v>598</v>
      </c>
      <c r="G43" t="s">
        <v>599</v>
      </c>
      <c r="H43" s="19">
        <f>VLOOKUP(D43,Résultats!$B$2:$AX$476,'T energie vecteurs'!K5,FALSE)</f>
        <v>1.7434572429999999</v>
      </c>
      <c r="I43" s="19">
        <f>VLOOKUP(E43,Résultats!$B$2:$AX$476,'T energie vecteurs'!K5,FALSE)</f>
        <v>8.9250259599999904</v>
      </c>
      <c r="J43" s="19">
        <f>VLOOKUP(F43,Résultats!$B$2:$AX$476,'T energie vecteurs'!K5,FALSE)</f>
        <v>9.6873318850000008</v>
      </c>
      <c r="K43" s="19">
        <f>VLOOKUP(G43,Résultats!$B$2:$AX$476,'T energie vecteurs'!K5,FALSE)</f>
        <v>12.18399297</v>
      </c>
      <c r="L43" s="120">
        <f t="shared" si="6"/>
        <v>32.539808057999991</v>
      </c>
      <c r="M43" s="19"/>
      <c r="N43" s="178" t="s">
        <v>281</v>
      </c>
      <c r="O43" s="172">
        <f>'[1]Bilan 2022 réel'!$U$46/11.63</f>
        <v>0.63402045200000001</v>
      </c>
      <c r="P43" s="37">
        <f>SUM('[1]Bilan 2022 réel'!$U$41:$U$43)/11.63</f>
        <v>2.4775829957456241</v>
      </c>
      <c r="Q43" s="37">
        <f>'[1]Bilan 2022 réel'!$U$13/11.63</f>
        <v>9.2559822012037838</v>
      </c>
      <c r="R43" s="37">
        <f>('[1]Bilan 2022 réel'!$U$22+'[1]Bilan 2022 réel'!$U$30+SUM('[1]Bilan 2022 réel'!$U$36:$U$40)+SUM('[1]Bilan 2022 réel'!$U$44:$U$45)+'[1]Bilan 2022 réel'!$U$47)/11.63</f>
        <v>12.926272664087129</v>
      </c>
      <c r="S43" s="120">
        <f t="shared" si="7"/>
        <v>25.293858313036537</v>
      </c>
      <c r="T43" s="19"/>
      <c r="U43" s="178" t="s">
        <v>24</v>
      </c>
      <c r="V43" t="s">
        <v>105</v>
      </c>
      <c r="W43" t="s">
        <v>106</v>
      </c>
      <c r="X43" t="s">
        <v>107</v>
      </c>
      <c r="Y43" t="s">
        <v>108</v>
      </c>
      <c r="Z43" s="19">
        <v>2.1281616240000001</v>
      </c>
      <c r="AA43" s="19">
        <v>11.01290726</v>
      </c>
      <c r="AB43" s="19">
        <v>9.5584665710000003</v>
      </c>
      <c r="AC43" s="19">
        <v>12.08815914</v>
      </c>
      <c r="AD43" s="120">
        <v>34.787694595000005</v>
      </c>
    </row>
    <row r="44" spans="3:30" x14ac:dyDescent="0.25">
      <c r="C44" s="178" t="s">
        <v>153</v>
      </c>
      <c r="D44" t="s">
        <v>600</v>
      </c>
      <c r="E44" t="s">
        <v>601</v>
      </c>
      <c r="F44" t="s">
        <v>602</v>
      </c>
      <c r="G44" t="s">
        <v>603</v>
      </c>
      <c r="H44" s="19">
        <f>VLOOKUP(D44,Résultats!$B$2:$AX$476,'T energie vecteurs'!K5,FALSE)</f>
        <v>0.88382375660000001</v>
      </c>
      <c r="I44" s="19">
        <f>VLOOKUP(E44,Résultats!$B$2:$AX$476,'T energie vecteurs'!K5,FALSE)</f>
        <v>1.9147193920000001</v>
      </c>
      <c r="J44" s="19">
        <f>VLOOKUP(F44,Résultats!$B$2:$AX$476,'T energie vecteurs'!K5,FALSE)</f>
        <v>0</v>
      </c>
      <c r="K44" s="19">
        <f>VLOOKUP(G44,Résultats!$B$2:$AX$476,'T energie vecteurs'!K5,FALSE)</f>
        <v>2.0568752749999999</v>
      </c>
      <c r="L44" s="120">
        <f t="shared" si="6"/>
        <v>4.8554184235999998</v>
      </c>
      <c r="M44" s="19"/>
      <c r="N44" s="178" t="s">
        <v>153</v>
      </c>
      <c r="O44" s="28">
        <f>'[1]Bilan 2022 réel'!$E$52/11.63</f>
        <v>3.8690713363254039</v>
      </c>
      <c r="P44" s="19">
        <f>('[1]Bilan 2022 réel'!$E$54+'[1]Bilan 2022 réel'!$E$56)/11.63</f>
        <v>9.2700920149999995</v>
      </c>
      <c r="Q44" s="19">
        <v>0</v>
      </c>
      <c r="R44" s="19">
        <f>('[1]Bilan 2022 réel'!$E$53+'[1]Bilan 2022 réel'!$E$55+'[1]Bilan 2022 réel'!$E$57)/11.63</f>
        <v>0.87235178417884784</v>
      </c>
      <c r="S44" s="120">
        <f t="shared" si="7"/>
        <v>14.011515135504252</v>
      </c>
      <c r="T44" s="19"/>
      <c r="U44" s="178" t="s">
        <v>153</v>
      </c>
      <c r="V44" t="s">
        <v>154</v>
      </c>
      <c r="W44" t="s">
        <v>155</v>
      </c>
      <c r="X44" t="s">
        <v>156</v>
      </c>
      <c r="Y44" t="s">
        <v>157</v>
      </c>
      <c r="Z44" s="19">
        <v>0.87612567470000002</v>
      </c>
      <c r="AA44" s="19">
        <v>2.034113396</v>
      </c>
      <c r="AB44" s="19">
        <v>0</v>
      </c>
      <c r="AC44" s="19">
        <v>2.1331636500000002</v>
      </c>
      <c r="AD44" s="120">
        <v>5.0434027206999996</v>
      </c>
    </row>
    <row r="45" spans="3:30" x14ac:dyDescent="0.25">
      <c r="C45" s="178" t="s">
        <v>25</v>
      </c>
      <c r="D45" t="s">
        <v>604</v>
      </c>
      <c r="E45" t="s">
        <v>605</v>
      </c>
      <c r="F45" t="s">
        <v>606</v>
      </c>
      <c r="G45" t="s">
        <v>607</v>
      </c>
      <c r="H45" s="19">
        <f>VLOOKUP(D45,Résultats!$B$2:$AX$476,'T energie vecteurs'!K5,FALSE)</f>
        <v>0</v>
      </c>
      <c r="I45" s="19">
        <f>VLOOKUP(E45,Résultats!$B$2:$AX$476,'T energie vecteurs'!K5,FALSE)</f>
        <v>2.4153703850000001</v>
      </c>
      <c r="J45" s="19">
        <f>VLOOKUP(F45,Résultats!$B$2:$AX$476,'T energie vecteurs'!K5,FALSE)</f>
        <v>0.3211921049</v>
      </c>
      <c r="K45" s="19">
        <f>VLOOKUP(G45,Résultats!$B$2:$AX$476,'T energie vecteurs'!K5,FALSE)</f>
        <v>0.33824240350000001</v>
      </c>
      <c r="L45" s="120">
        <f t="shared" si="6"/>
        <v>3.0748048934000005</v>
      </c>
      <c r="M45" s="19"/>
      <c r="N45" s="179" t="s">
        <v>25</v>
      </c>
      <c r="O45" s="36">
        <f>'[1]Bilan 2022 réel'!$T$46/11.63</f>
        <v>1.651664E-3</v>
      </c>
      <c r="P45" s="35">
        <f>SUM('[1]Bilan 2022 réel'!$T$41:$T$43)/11.63</f>
        <v>3.5697769387513203</v>
      </c>
      <c r="Q45" s="35">
        <f>'[1]Bilan 2022 réel'!$T$13/11.63</f>
        <v>0.67291487532244199</v>
      </c>
      <c r="R45" s="35">
        <f>('[1]Bilan 2022 réel'!$T$22+'[1]Bilan 2022 réel'!$T$30+SUM('[1]Bilan 2022 réel'!$T$36:$T$40)+SUM('[1]Bilan 2022 réel'!$T$44:$T$45)+'[1]Bilan 2022 réel'!$T$47)/11.63</f>
        <v>0.43996563007547523</v>
      </c>
      <c r="S45" s="171">
        <f t="shared" si="7"/>
        <v>4.6843091081492378</v>
      </c>
      <c r="T45" s="19"/>
      <c r="U45" s="178" t="s">
        <v>25</v>
      </c>
      <c r="V45" t="s">
        <v>109</v>
      </c>
      <c r="W45" t="s">
        <v>110</v>
      </c>
      <c r="X45" t="s">
        <v>111</v>
      </c>
      <c r="Y45" t="s">
        <v>112</v>
      </c>
      <c r="Z45" s="19">
        <v>0</v>
      </c>
      <c r="AA45" s="19">
        <v>2.434084484</v>
      </c>
      <c r="AB45" s="19">
        <v>0.33748916099999998</v>
      </c>
      <c r="AC45" s="19">
        <v>0.33184613349999997</v>
      </c>
      <c r="AD45" s="120">
        <v>3.1034197785000002</v>
      </c>
    </row>
    <row r="46" spans="3:30" x14ac:dyDescent="0.25">
      <c r="C46" s="29" t="s">
        <v>26</v>
      </c>
      <c r="D46" s="10"/>
      <c r="E46" s="10"/>
      <c r="F46" s="10"/>
      <c r="G46" s="10"/>
      <c r="H46" s="9">
        <f>SUM(H37,H40:H42)</f>
        <v>2.8723791213999998</v>
      </c>
      <c r="I46" s="9">
        <f>SUM(I37,I40:I42)</f>
        <v>63.879910312999989</v>
      </c>
      <c r="J46" s="9">
        <f>SUM(J37,J40:J42)</f>
        <v>39.433226497299998</v>
      </c>
      <c r="K46" s="9">
        <f>SUM(K37,K40:K42)</f>
        <v>44.487651275802705</v>
      </c>
      <c r="L46" s="123">
        <f t="shared" si="6"/>
        <v>150.67316720750267</v>
      </c>
      <c r="M46" s="105"/>
      <c r="N46" s="180" t="s">
        <v>26</v>
      </c>
      <c r="O46" s="40">
        <f>O37+O40+O41+O42+O45</f>
        <v>4.5640554973254037</v>
      </c>
      <c r="P46" s="38">
        <f>P37+P40+P41+P42+P45</f>
        <v>64.295512199141086</v>
      </c>
      <c r="Q46" s="38">
        <f>Q37+Q40+Q41+Q42+Q45</f>
        <v>35.657811435941532</v>
      </c>
      <c r="R46" s="38">
        <f>R37+R40+R41+R42+R45</f>
        <v>42.318045756866823</v>
      </c>
      <c r="S46" s="173">
        <f t="shared" si="7"/>
        <v>146.83542488927486</v>
      </c>
      <c r="T46" s="105"/>
      <c r="U46" s="29" t="s">
        <v>26</v>
      </c>
      <c r="V46" s="10"/>
      <c r="W46" s="10"/>
      <c r="X46" s="10"/>
      <c r="Y46" s="10"/>
      <c r="Z46" s="9">
        <v>3.2467538092999999</v>
      </c>
      <c r="AA46" s="9">
        <v>66.617048518000004</v>
      </c>
      <c r="AB46" s="9">
        <v>39.055991397500001</v>
      </c>
      <c r="AC46" s="9">
        <v>43.967075874743898</v>
      </c>
      <c r="AD46" s="123">
        <v>152.8868695995439</v>
      </c>
    </row>
    <row r="47" spans="3:30" s="3" customFormat="1" x14ac:dyDescent="0.25">
      <c r="H47" s="69"/>
      <c r="I47" s="69"/>
      <c r="J47" s="69"/>
      <c r="K47" s="69"/>
      <c r="L47" s="69"/>
      <c r="M47" s="69"/>
      <c r="N47" s="69"/>
      <c r="O47" s="103"/>
      <c r="P47" s="103"/>
      <c r="Q47" s="103"/>
      <c r="R47" s="104"/>
      <c r="S47" s="69"/>
      <c r="T47" s="69"/>
      <c r="Z47" s="69"/>
      <c r="AA47" s="69"/>
      <c r="AB47" s="69"/>
      <c r="AC47" s="69"/>
      <c r="AD47" s="69"/>
    </row>
    <row r="48" spans="3:30" s="3" customFormat="1" x14ac:dyDescent="0.25"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Z48" s="69"/>
      <c r="AA48" s="69"/>
      <c r="AB48" s="69"/>
      <c r="AC48" s="69"/>
      <c r="AD48" s="69"/>
    </row>
    <row r="49" spans="2:30" ht="31.5" x14ac:dyDescent="0.35">
      <c r="C49" s="174">
        <v>2023</v>
      </c>
      <c r="D49" s="175"/>
      <c r="E49" s="175"/>
      <c r="F49" s="175"/>
      <c r="G49" s="175"/>
      <c r="H49" s="101" t="s">
        <v>36</v>
      </c>
      <c r="I49" s="101" t="s">
        <v>159</v>
      </c>
      <c r="J49" s="101" t="s">
        <v>38</v>
      </c>
      <c r="K49" s="101" t="s">
        <v>158</v>
      </c>
      <c r="L49" s="118" t="s">
        <v>1</v>
      </c>
      <c r="M49" s="25"/>
      <c r="N49" s="174">
        <v>2023</v>
      </c>
      <c r="O49" s="170" t="s">
        <v>36</v>
      </c>
      <c r="P49" s="101" t="s">
        <v>159</v>
      </c>
      <c r="Q49" s="101" t="s">
        <v>38</v>
      </c>
      <c r="R49" s="101" t="s">
        <v>158</v>
      </c>
      <c r="S49" s="118" t="s">
        <v>1</v>
      </c>
      <c r="T49" s="25"/>
      <c r="U49" s="174">
        <v>2023</v>
      </c>
      <c r="V49" s="175"/>
      <c r="W49" s="175"/>
      <c r="X49" s="175"/>
      <c r="Y49" s="175"/>
      <c r="Z49" s="101" t="s">
        <v>36</v>
      </c>
      <c r="AA49" s="101" t="s">
        <v>159</v>
      </c>
      <c r="AB49" s="101" t="s">
        <v>38</v>
      </c>
      <c r="AC49" s="101" t="s">
        <v>158</v>
      </c>
      <c r="AD49" s="118" t="s">
        <v>1</v>
      </c>
    </row>
    <row r="50" spans="2:30" x14ac:dyDescent="0.25">
      <c r="C50" s="176" t="s">
        <v>18</v>
      </c>
      <c r="H50" s="8">
        <f>SUM(H51:H52)</f>
        <v>0</v>
      </c>
      <c r="I50" s="8">
        <f>SUM(I51:I52)</f>
        <v>41.273759429999998</v>
      </c>
      <c r="J50" s="8">
        <f>SUM(J51:J52)</f>
        <v>1.5931569155</v>
      </c>
      <c r="K50" s="8">
        <f>SUM(K51:K52)</f>
        <v>0.40526513870969999</v>
      </c>
      <c r="L50" s="121">
        <f>SUM(H50:K50)</f>
        <v>43.272181484209703</v>
      </c>
      <c r="M50" s="99"/>
      <c r="N50" s="179" t="s">
        <v>18</v>
      </c>
      <c r="O50" s="36">
        <f>'[1]Bilan 2023 réel'!$X$46/11.63</f>
        <v>0</v>
      </c>
      <c r="P50" s="35">
        <f>SUM('[1]Bilan 2023 réel'!$X$41:$X$43)/11.63</f>
        <v>42.139633010859157</v>
      </c>
      <c r="Q50" s="35">
        <f>'[1]Bilan 2023 réel'!$X$13/11.63</f>
        <v>0.9065512467755803</v>
      </c>
      <c r="R50" s="35">
        <f>('[1]Bilan 2023 réel'!$X$22+'[1]Bilan 2023 réel'!$X$30+SUM('[1]Bilan 2023 réel'!$X$36:$X$40)+SUM('[1]Bilan 2023 réel'!$X$44:$X$45)+'[1]Bilan 2023 réel'!$X$47)/11.63</f>
        <v>0.31885683576956142</v>
      </c>
      <c r="S50" s="171">
        <f>SUM(O50:R50)</f>
        <v>43.365041093404294</v>
      </c>
      <c r="T50" s="245"/>
      <c r="U50" s="176" t="s">
        <v>18</v>
      </c>
      <c r="Z50" s="8">
        <v>0</v>
      </c>
      <c r="AA50" s="8">
        <v>42.795846499999996</v>
      </c>
      <c r="AB50" s="8">
        <v>2.0406269565000001</v>
      </c>
      <c r="AC50" s="8">
        <v>0.48883759963529999</v>
      </c>
      <c r="AD50" s="121">
        <v>45.325311056135298</v>
      </c>
    </row>
    <row r="51" spans="2:30" x14ac:dyDescent="0.25">
      <c r="C51" s="177" t="s">
        <v>19</v>
      </c>
      <c r="D51" t="s">
        <v>580</v>
      </c>
      <c r="E51" t="s">
        <v>581</v>
      </c>
      <c r="F51" t="s">
        <v>582</v>
      </c>
      <c r="G51" t="s">
        <v>583</v>
      </c>
      <c r="H51" s="19">
        <f>VLOOKUP(D51,Résultats!$B$2:$AX$476,'T energie vecteurs'!L5,FALSE)</f>
        <v>0</v>
      </c>
      <c r="I51" s="19">
        <f>VLOOKUP(E51,Résultats!$B$2:$AX$476,'T energie vecteurs'!L5,FALSE)</f>
        <v>22.311646750000001</v>
      </c>
      <c r="J51" s="19">
        <f>VLOOKUP(F51,Résultats!$B$2:$AX$476,'T energie vecteurs'!L5,FALSE)</f>
        <v>0.20525683450000001</v>
      </c>
      <c r="K51" s="19">
        <f>VLOOKUP(G51,Résultats!$B$2:$AX$476,'T energie vecteurs'!L5,FALSE)</f>
        <v>2.10563097E-5</v>
      </c>
      <c r="L51" s="120">
        <f t="shared" ref="L51:L52" si="9">SUM(H51:K51)</f>
        <v>22.516924640809698</v>
      </c>
      <c r="M51" s="19"/>
      <c r="N51" s="177" t="s">
        <v>19</v>
      </c>
      <c r="O51" s="172"/>
      <c r="P51" s="19"/>
      <c r="Q51" s="55"/>
      <c r="R51" s="19"/>
      <c r="S51" s="120"/>
      <c r="T51" s="245"/>
      <c r="U51" s="177" t="s">
        <v>19</v>
      </c>
      <c r="V51" t="s">
        <v>89</v>
      </c>
      <c r="W51" t="s">
        <v>90</v>
      </c>
      <c r="X51" t="s">
        <v>91</v>
      </c>
      <c r="Y51" t="s">
        <v>92</v>
      </c>
      <c r="Z51" s="19">
        <v>0</v>
      </c>
      <c r="AA51" s="19">
        <v>22.561407509999999</v>
      </c>
      <c r="AB51" s="19">
        <v>0.1998115415</v>
      </c>
      <c r="AC51" s="19">
        <v>1.32188353E-5</v>
      </c>
      <c r="AD51" s="120">
        <v>22.761232270335299</v>
      </c>
    </row>
    <row r="52" spans="2:30" x14ac:dyDescent="0.25">
      <c r="C52" s="178" t="s">
        <v>20</v>
      </c>
      <c r="D52" t="s">
        <v>584</v>
      </c>
      <c r="E52" t="s">
        <v>585</v>
      </c>
      <c r="F52" t="s">
        <v>586</v>
      </c>
      <c r="G52" t="s">
        <v>587</v>
      </c>
      <c r="H52" s="19">
        <f>VLOOKUP(D52,Résultats!$B$2:$AX$476,'T energie vecteurs'!L5,FALSE)</f>
        <v>0</v>
      </c>
      <c r="I52" s="19">
        <f>VLOOKUP(E52,Résultats!$B$2:$AX$476,'T energie vecteurs'!L5,FALSE)</f>
        <v>18.962112680000001</v>
      </c>
      <c r="J52" s="19">
        <f>VLOOKUP(F52,Résultats!$B$2:$AX$476,'T energie vecteurs'!L5,FALSE)</f>
        <v>1.387900081</v>
      </c>
      <c r="K52" s="19">
        <f>VLOOKUP(G52,Résultats!$B$2:$AX$476,'T energie vecteurs'!L5,FALSE)</f>
        <v>0.40524408239999998</v>
      </c>
      <c r="L52" s="120">
        <f t="shared" si="9"/>
        <v>20.755256843400002</v>
      </c>
      <c r="M52" s="19"/>
      <c r="N52" s="178" t="s">
        <v>20</v>
      </c>
      <c r="O52" s="172"/>
      <c r="P52" s="19"/>
      <c r="Q52" s="55"/>
      <c r="R52" s="19"/>
      <c r="S52" s="120"/>
      <c r="T52" s="245"/>
      <c r="U52" s="178" t="s">
        <v>20</v>
      </c>
      <c r="V52" t="s">
        <v>93</v>
      </c>
      <c r="W52" t="s">
        <v>94</v>
      </c>
      <c r="X52" t="s">
        <v>95</v>
      </c>
      <c r="Y52" t="s">
        <v>96</v>
      </c>
      <c r="Z52" s="19">
        <v>0</v>
      </c>
      <c r="AA52" s="19">
        <v>20.234438990000001</v>
      </c>
      <c r="AB52" s="19">
        <v>1.840815415</v>
      </c>
      <c r="AC52" s="19">
        <v>0.48882438080000001</v>
      </c>
      <c r="AD52" s="120">
        <v>22.564078785800003</v>
      </c>
    </row>
    <row r="53" spans="2:30" x14ac:dyDescent="0.25">
      <c r="C53" s="176" t="s">
        <v>21</v>
      </c>
      <c r="D53" t="s">
        <v>588</v>
      </c>
      <c r="E53" t="s">
        <v>589</v>
      </c>
      <c r="F53" t="s">
        <v>590</v>
      </c>
      <c r="G53" t="s">
        <v>591</v>
      </c>
      <c r="H53" s="8">
        <f>VLOOKUP(D53,Résultats!$B$2:$AX$476,'T energie vecteurs'!L5,FALSE)</f>
        <v>0.23618288600000001</v>
      </c>
      <c r="I53" s="8">
        <f>VLOOKUP(E53,Résultats!$B$2:$AX$476,'T energie vecteurs'!L5,FALSE)</f>
        <v>5.7342240950000001</v>
      </c>
      <c r="J53" s="8">
        <f>VLOOKUP(F53,Résultats!$B$2:$AX$476,'T energie vecteurs'!L5,FALSE)</f>
        <v>14.912745579999999</v>
      </c>
      <c r="K53" s="8">
        <f>VLOOKUP(G53,Résultats!$B$2:$AX$476,'T energie vecteurs'!L5,FALSE)+8</f>
        <v>21.434000349999998</v>
      </c>
      <c r="L53" s="121">
        <f>SUM(H53:K53)</f>
        <v>42.317152910999994</v>
      </c>
      <c r="M53" s="99"/>
      <c r="N53" s="179" t="s">
        <v>21</v>
      </c>
      <c r="O53" s="36">
        <f>'[1]Bilan 2023 réel'!$V$46/11.63</f>
        <v>1.9785054E-2</v>
      </c>
      <c r="P53" s="35">
        <f>SUM('[1]Bilan 2023 réel'!$V$41:$V$43)/11.63</f>
        <v>3.0423469738</v>
      </c>
      <c r="Q53" s="35">
        <f>'[1]Bilan 2023 réel'!$V$13/11.63</f>
        <v>13.020267239896821</v>
      </c>
      <c r="R53" s="35">
        <f>('[1]Bilan 2023 réel'!$V$22+'[1]Bilan 2023 réel'!$V$30+SUM('[1]Bilan 2023 réel'!$V$36:$V$40)+SUM('[1]Bilan 2023 réel'!$V$44:$V$45)+'[1]Bilan 2023 réel'!$V$47)/11.63</f>
        <v>20.330842243575045</v>
      </c>
      <c r="S53" s="171">
        <f t="shared" ref="S53:S59" si="10">SUM(O53:R53)</f>
        <v>36.413241511271863</v>
      </c>
      <c r="T53" s="245"/>
      <c r="U53" s="176" t="s">
        <v>21</v>
      </c>
      <c r="V53" t="s">
        <v>97</v>
      </c>
      <c r="W53" t="s">
        <v>98</v>
      </c>
      <c r="X53" t="s">
        <v>99</v>
      </c>
      <c r="Y53" t="s">
        <v>100</v>
      </c>
      <c r="Z53" s="263">
        <v>0.23206824070000001</v>
      </c>
      <c r="AA53" s="263">
        <v>5.4374454109999997</v>
      </c>
      <c r="AB53" s="263">
        <v>15.022933159999999</v>
      </c>
      <c r="AC53" s="263">
        <v>21.18374021</v>
      </c>
      <c r="AD53" s="264">
        <v>41.876187021699998</v>
      </c>
    </row>
    <row r="54" spans="2:30" x14ac:dyDescent="0.25">
      <c r="C54" s="176" t="s">
        <v>22</v>
      </c>
      <c r="D54" t="s">
        <v>592</v>
      </c>
      <c r="E54" t="s">
        <v>593</v>
      </c>
      <c r="F54" t="s">
        <v>594</v>
      </c>
      <c r="G54" t="s">
        <v>595</v>
      </c>
      <c r="H54" s="8">
        <f>VLOOKUP(D54,Résultats!$B$2:$AX$476,'T energie vecteurs'!L5,FALSE)</f>
        <v>0</v>
      </c>
      <c r="I54" s="8">
        <f>VLOOKUP(E54,Résultats!$B$2:$AX$476,'T energie vecteurs'!L5,FALSE)</f>
        <v>3.1213910880000002</v>
      </c>
      <c r="J54" s="8">
        <f>VLOOKUP(F54,Résultats!$B$2:$AX$476,'T energie vecteurs'!L5,FALSE)</f>
        <v>13.159087230000001</v>
      </c>
      <c r="K54" s="8">
        <f>VLOOKUP(G54,Résultats!$B$2:$AX$476,'T energie vecteurs'!L5,FALSE)</f>
        <v>7.6960613200000001</v>
      </c>
      <c r="L54" s="121">
        <f t="shared" ref="L54:L56" si="11">SUM(H54:K54)</f>
        <v>23.976539637999998</v>
      </c>
      <c r="M54" s="99"/>
      <c r="N54" s="179" t="s">
        <v>22</v>
      </c>
      <c r="O54" s="36">
        <f>('[1]Bilan 2023 réel'!$W$46)/11.63</f>
        <v>2.9470376E-2</v>
      </c>
      <c r="P54" s="35">
        <f>SUM('[1]Bilan 2023 réel'!$W$41:$W$43)/11.63</f>
        <v>2.063881609425366</v>
      </c>
      <c r="Q54" s="35">
        <f>('[1]Bilan 2023 réel'!$W$13)/11.63</f>
        <v>11.200373602751505</v>
      </c>
      <c r="R54" s="35">
        <f>('[1]Bilan 2023 réel'!$W$22+'[1]Bilan 2023 réel'!$W$30+SUM('[1]Bilan 2023 réel'!$W$36:$W$40)+SUM('[1]Bilan 2023 réel'!$W$44:$W$45)+'[1]Bilan 2023 réel'!$W$47)/11.63</f>
        <v>7.0633917765357781</v>
      </c>
      <c r="S54" s="171">
        <f t="shared" si="10"/>
        <v>20.35711736471265</v>
      </c>
      <c r="T54" s="245"/>
      <c r="U54" s="176" t="s">
        <v>22</v>
      </c>
      <c r="V54" t="s">
        <v>101</v>
      </c>
      <c r="W54" t="s">
        <v>102</v>
      </c>
      <c r="X54" t="s">
        <v>103</v>
      </c>
      <c r="Y54" t="s">
        <v>104</v>
      </c>
      <c r="Z54" s="8">
        <v>0</v>
      </c>
      <c r="AA54" s="8">
        <v>2.6397847670000001</v>
      </c>
      <c r="AB54" s="8">
        <v>12.036809610000001</v>
      </c>
      <c r="AC54" s="8">
        <v>7.320463395</v>
      </c>
      <c r="AD54" s="121">
        <v>21.997057772000002</v>
      </c>
    </row>
    <row r="55" spans="2:30" x14ac:dyDescent="0.25">
      <c r="C55" s="176" t="s">
        <v>23</v>
      </c>
      <c r="H55" s="8">
        <f>SUM(H56:H58)</f>
        <v>2.6349476899000002</v>
      </c>
      <c r="I55" s="8">
        <f>SUM(I56:I58)</f>
        <v>13.20407237499999</v>
      </c>
      <c r="J55" s="8">
        <f>SUM(J56:J58)</f>
        <v>10.3462029459</v>
      </c>
      <c r="K55" s="8">
        <f>SUM(K56:K58)</f>
        <v>14.772424825199998</v>
      </c>
      <c r="L55" s="121">
        <f t="shared" si="11"/>
        <v>40.957647835999992</v>
      </c>
      <c r="M55" s="99"/>
      <c r="N55" s="179" t="s">
        <v>280</v>
      </c>
      <c r="O55" s="36">
        <f>O56+O57</f>
        <v>3.8091541290558895</v>
      </c>
      <c r="P55" s="35">
        <f t="shared" ref="P55:R55" si="12">P56+P57</f>
        <v>12.120619615422576</v>
      </c>
      <c r="Q55" s="35">
        <f t="shared" si="12"/>
        <v>8.8688043852106624</v>
      </c>
      <c r="R55" s="35">
        <f t="shared" si="12"/>
        <v>13.00955432637566</v>
      </c>
      <c r="S55" s="171">
        <f t="shared" si="10"/>
        <v>37.808132456064783</v>
      </c>
      <c r="T55" s="245"/>
      <c r="U55" s="176" t="s">
        <v>23</v>
      </c>
      <c r="Z55" s="244">
        <v>3.0747745164000002</v>
      </c>
      <c r="AA55" s="244">
        <v>15.84569046</v>
      </c>
      <c r="AB55" s="8">
        <v>10.0922613549</v>
      </c>
      <c r="AC55" s="244">
        <v>14.850558835699999</v>
      </c>
      <c r="AD55" s="121">
        <v>43.863285167000001</v>
      </c>
    </row>
    <row r="56" spans="2:30" x14ac:dyDescent="0.25">
      <c r="C56" s="178" t="s">
        <v>24</v>
      </c>
      <c r="D56" t="s">
        <v>596</v>
      </c>
      <c r="E56" t="s">
        <v>597</v>
      </c>
      <c r="F56" t="s">
        <v>598</v>
      </c>
      <c r="G56" t="s">
        <v>599</v>
      </c>
      <c r="H56" s="19">
        <f>VLOOKUP(D56,Résultats!$B$2:$AX$476,'T energie vecteurs'!L5,FALSE)</f>
        <v>1.7357094930000001</v>
      </c>
      <c r="I56" s="19">
        <f>VLOOKUP(E56,Résultats!$B$2:$AX$476,'T energie vecteurs'!L5,FALSE)</f>
        <v>8.8019764219999903</v>
      </c>
      <c r="J56" s="19">
        <f>VLOOKUP(F56,Résultats!$B$2:$AX$476,'T energie vecteurs'!L5,FALSE)</f>
        <v>10.01653067</v>
      </c>
      <c r="K56" s="19">
        <f>VLOOKUP(G56,Résultats!$B$2:$AX$476,'T energie vecteurs'!L5,FALSE)</f>
        <v>12.343598439999999</v>
      </c>
      <c r="L56" s="120">
        <f t="shared" si="11"/>
        <v>32.897815024999993</v>
      </c>
      <c r="M56" s="19"/>
      <c r="N56" s="178" t="s">
        <v>281</v>
      </c>
      <c r="O56" s="172">
        <f>'[1]Bilan 2023 réel'!$U$46/11.63</f>
        <v>0.58092196100000004</v>
      </c>
      <c r="P56" s="37">
        <f>SUM('[1]Bilan 2023 réel'!$U$41:$U$43)/11.63</f>
        <v>2.395717067522579</v>
      </c>
      <c r="Q56" s="37">
        <f>'[1]Bilan 2023 réel'!$U$13/11.63</f>
        <v>8.8688043852106624</v>
      </c>
      <c r="R56" s="37">
        <f>('[1]Bilan 2023 réel'!$U$22+'[1]Bilan 2023 réel'!$U$30+SUM('[1]Bilan 2023 réel'!$U$36:$U$40)+SUM('[1]Bilan 2023 réel'!$U$44:$U$45)+'[1]Bilan 2023 réel'!$U$47)/11.63</f>
        <v>12.148361914509795</v>
      </c>
      <c r="S56" s="120">
        <f t="shared" si="10"/>
        <v>23.993805328243035</v>
      </c>
      <c r="T56" s="245"/>
      <c r="U56" s="178" t="s">
        <v>24</v>
      </c>
      <c r="V56" t="s">
        <v>105</v>
      </c>
      <c r="W56" t="s">
        <v>106</v>
      </c>
      <c r="X56" t="s">
        <v>107</v>
      </c>
      <c r="Y56" t="s">
        <v>108</v>
      </c>
      <c r="Z56" s="19">
        <v>2.1817270600000001</v>
      </c>
      <c r="AA56" s="19">
        <v>11.317897370000001</v>
      </c>
      <c r="AB56" s="19">
        <v>9.7594965400000007</v>
      </c>
      <c r="AC56" s="19">
        <v>12.32752153</v>
      </c>
      <c r="AD56" s="120">
        <v>35.586642500000004</v>
      </c>
    </row>
    <row r="57" spans="2:30" x14ac:dyDescent="0.25">
      <c r="C57" s="178" t="s">
        <v>153</v>
      </c>
      <c r="D57" t="s">
        <v>600</v>
      </c>
      <c r="E57" t="s">
        <v>601</v>
      </c>
      <c r="F57" t="s">
        <v>602</v>
      </c>
      <c r="G57" t="s">
        <v>603</v>
      </c>
      <c r="H57" s="19">
        <f>VLOOKUP(D57,Résultats!$B$2:$AX$476,'T energie vecteurs'!L5,FALSE)</f>
        <v>0.89923819689999995</v>
      </c>
      <c r="I57" s="19">
        <f>VLOOKUP(E57,Résultats!$B$2:$AX$476,'T energie vecteurs'!L5,FALSE)</f>
        <v>1.9506333090000001</v>
      </c>
      <c r="J57" s="19">
        <f>VLOOKUP(F57,Résultats!$B$2:$AX$476,'T energie vecteurs'!L5,FALSE)</f>
        <v>0</v>
      </c>
      <c r="K57" s="19">
        <f>VLOOKUP(G57,Résultats!$B$2:$AX$476,'T energie vecteurs'!L5,FALSE)</f>
        <v>2.0836251469999998</v>
      </c>
      <c r="L57" s="120">
        <f>SUM(H57:K57)</f>
        <v>4.9334966528999997</v>
      </c>
      <c r="M57" s="19"/>
      <c r="N57" s="178" t="s">
        <v>153</v>
      </c>
      <c r="O57" s="28">
        <f>'[1]Bilan 2023 réel'!$E$52/11.63</f>
        <v>3.2282321680558894</v>
      </c>
      <c r="P57" s="19">
        <f>('[1]Bilan 2023 réel'!$E$54+'[1]Bilan 2023 réel'!$E$56)/11.63</f>
        <v>9.7249025478999975</v>
      </c>
      <c r="Q57" s="19">
        <v>0</v>
      </c>
      <c r="R57" s="19">
        <f>('[1]Bilan 2023 réel'!$E$53+'[1]Bilan 2023 réel'!$E$55+'[1]Bilan 2023 réel'!$E$57)/11.63</f>
        <v>0.86119241186586415</v>
      </c>
      <c r="S57" s="120">
        <f t="shared" si="10"/>
        <v>13.814327127821752</v>
      </c>
      <c r="T57" s="245"/>
      <c r="U57" s="178" t="s">
        <v>153</v>
      </c>
      <c r="V57" t="s">
        <v>154</v>
      </c>
      <c r="W57" t="s">
        <v>155</v>
      </c>
      <c r="X57" t="s">
        <v>156</v>
      </c>
      <c r="Y57" t="s">
        <v>157</v>
      </c>
      <c r="Z57" s="19">
        <v>0.89304745640000005</v>
      </c>
      <c r="AA57" s="19">
        <v>2.1002378620000002</v>
      </c>
      <c r="AB57" s="19">
        <v>0</v>
      </c>
      <c r="AC57" s="19">
        <v>2.1932316489999999</v>
      </c>
      <c r="AD57" s="120">
        <v>5.1865169674000002</v>
      </c>
    </row>
    <row r="58" spans="2:30" x14ac:dyDescent="0.25">
      <c r="C58" s="178" t="s">
        <v>25</v>
      </c>
      <c r="D58" t="s">
        <v>604</v>
      </c>
      <c r="E58" t="s">
        <v>605</v>
      </c>
      <c r="F58" t="s">
        <v>606</v>
      </c>
      <c r="G58" t="s">
        <v>607</v>
      </c>
      <c r="H58" s="19">
        <f>VLOOKUP(D58,Résultats!$B$2:$AX$476,'T energie vecteurs'!L5,FALSE)</f>
        <v>0</v>
      </c>
      <c r="I58" s="19">
        <f>VLOOKUP(E58,Résultats!$B$2:$AX$476,'T energie vecteurs'!L5,FALSE)</f>
        <v>2.4514626439999998</v>
      </c>
      <c r="J58" s="19">
        <f>VLOOKUP(F58,Résultats!$B$2:$AX$476,'T energie vecteurs'!L5,FALSE)</f>
        <v>0.32967227589999998</v>
      </c>
      <c r="K58" s="19">
        <f>VLOOKUP(G58,Résultats!$B$2:$AX$476,'T energie vecteurs'!L5,FALSE)</f>
        <v>0.34520123819999998</v>
      </c>
      <c r="L58" s="120">
        <f t="shared" ref="L58" si="13">SUM(H58:K58)</f>
        <v>3.1263361581</v>
      </c>
      <c r="M58" s="19"/>
      <c r="N58" s="179" t="s">
        <v>25</v>
      </c>
      <c r="O58" s="36">
        <f>'[1]Bilan 2023 réel'!$T$46/11.63</f>
        <v>1.221354E-3</v>
      </c>
      <c r="P58" s="35">
        <f>SUM('[1]Bilan 2023 réel'!$T$41:$T$43)/11.63</f>
        <v>3.4194391444513199</v>
      </c>
      <c r="Q58" s="35">
        <f>'[1]Bilan 2023 réel'!$T$13/11.63</f>
        <v>0.65647798796216683</v>
      </c>
      <c r="R58" s="35">
        <f>('[1]Bilan 2023 réel'!$T$22+'[1]Bilan 2023 réel'!$T$30+SUM('[1]Bilan 2023 réel'!$T$36:$T$40)+SUM('[1]Bilan 2023 réel'!$T$44:$T$45)+'[1]Bilan 2023 réel'!$T$47)/11.63</f>
        <v>0.44186481322250887</v>
      </c>
      <c r="S58" s="171">
        <f t="shared" si="10"/>
        <v>4.5190032996359957</v>
      </c>
      <c r="T58" s="245"/>
      <c r="U58" s="178" t="s">
        <v>25</v>
      </c>
      <c r="V58" t="s">
        <v>109</v>
      </c>
      <c r="W58" t="s">
        <v>110</v>
      </c>
      <c r="X58" t="s">
        <v>111</v>
      </c>
      <c r="Y58" t="s">
        <v>112</v>
      </c>
      <c r="Z58" s="19">
        <v>0</v>
      </c>
      <c r="AA58" s="19">
        <v>2.4275552280000001</v>
      </c>
      <c r="AB58" s="19">
        <v>0.33276481489999998</v>
      </c>
      <c r="AC58" s="19">
        <v>0.3298056567</v>
      </c>
      <c r="AD58" s="120">
        <v>3.0901256996000002</v>
      </c>
    </row>
    <row r="59" spans="2:30" x14ac:dyDescent="0.25">
      <c r="C59" s="29" t="s">
        <v>26</v>
      </c>
      <c r="D59" s="10"/>
      <c r="E59" s="10"/>
      <c r="F59" s="10"/>
      <c r="G59" s="10"/>
      <c r="H59" s="9">
        <f>SUM(H50,H53:H55)</f>
        <v>2.8711305759000001</v>
      </c>
      <c r="I59" s="9">
        <f>SUM(I50,I53:I55)</f>
        <v>63.333446987999992</v>
      </c>
      <c r="J59" s="9">
        <f>SUM(J50,J53:J55)</f>
        <v>40.011192671399996</v>
      </c>
      <c r="K59" s="9">
        <f>SUM(K50,K53:K55)</f>
        <v>44.307751633909696</v>
      </c>
      <c r="L59" s="123">
        <f>SUM(H59:K59)</f>
        <v>150.52352186920967</v>
      </c>
      <c r="M59" s="105"/>
      <c r="N59" s="180" t="s">
        <v>26</v>
      </c>
      <c r="O59" s="40">
        <f>O50+O53+O54+O55+O58</f>
        <v>3.8596309130558897</v>
      </c>
      <c r="P59" s="38">
        <f>P50+P53+P54+P55+P58</f>
        <v>62.785920353958417</v>
      </c>
      <c r="Q59" s="38">
        <f>Q50+Q53+Q54+Q55+Q58</f>
        <v>34.652474462596736</v>
      </c>
      <c r="R59" s="38">
        <f>R50+R53+R54+R55+R58</f>
        <v>41.164509995478554</v>
      </c>
      <c r="S59" s="173">
        <f t="shared" si="10"/>
        <v>142.46253572508959</v>
      </c>
      <c r="T59" s="105"/>
      <c r="U59" s="29" t="s">
        <v>26</v>
      </c>
      <c r="V59" s="10"/>
      <c r="W59" s="10"/>
      <c r="X59" s="10"/>
      <c r="Y59" s="10"/>
      <c r="Z59" s="9">
        <v>3.3068427571000001</v>
      </c>
      <c r="AA59" s="9">
        <v>66.718767138000004</v>
      </c>
      <c r="AB59" s="9">
        <v>39.192631081399995</v>
      </c>
      <c r="AC59" s="9">
        <v>43.843600040335303</v>
      </c>
      <c r="AD59" s="123">
        <v>153.0618410168353</v>
      </c>
    </row>
    <row r="60" spans="2:30" s="3" customFormat="1" x14ac:dyDescent="0.25">
      <c r="O60" s="103"/>
      <c r="P60" s="103"/>
      <c r="Q60" s="103"/>
      <c r="R60" s="104"/>
      <c r="S60" s="69"/>
    </row>
    <row r="61" spans="2:30" s="3" customFormat="1" x14ac:dyDescent="0.25">
      <c r="B61" s="84"/>
      <c r="K61" s="71"/>
      <c r="O61" s="105"/>
      <c r="P61" s="105"/>
      <c r="Q61" s="105"/>
      <c r="R61" s="106"/>
      <c r="S61" s="107"/>
      <c r="AC61" s="71"/>
    </row>
    <row r="62" spans="2:30" ht="31.5" x14ac:dyDescent="0.35">
      <c r="C62" s="174">
        <v>2025</v>
      </c>
      <c r="D62" s="175"/>
      <c r="E62" s="175"/>
      <c r="F62" s="175"/>
      <c r="G62" s="175"/>
      <c r="H62" s="101" t="s">
        <v>36</v>
      </c>
      <c r="I62" s="101" t="s">
        <v>159</v>
      </c>
      <c r="J62" s="101" t="s">
        <v>38</v>
      </c>
      <c r="K62" s="101" t="s">
        <v>158</v>
      </c>
      <c r="L62" s="118" t="s">
        <v>1</v>
      </c>
      <c r="M62" s="25"/>
      <c r="N62" s="174">
        <v>2025</v>
      </c>
      <c r="O62" s="170" t="s">
        <v>36</v>
      </c>
      <c r="P62" s="101" t="s">
        <v>159</v>
      </c>
      <c r="Q62" s="101" t="s">
        <v>38</v>
      </c>
      <c r="R62" s="101" t="s">
        <v>158</v>
      </c>
      <c r="S62" s="118" t="s">
        <v>1</v>
      </c>
      <c r="T62" s="25"/>
      <c r="U62" s="174">
        <v>2025</v>
      </c>
      <c r="V62" s="175"/>
      <c r="W62" s="175"/>
      <c r="X62" s="175"/>
      <c r="Y62" s="175"/>
      <c r="Z62" s="101" t="s">
        <v>36</v>
      </c>
      <c r="AA62" s="101" t="s">
        <v>159</v>
      </c>
      <c r="AB62" s="101" t="s">
        <v>38</v>
      </c>
      <c r="AC62" s="101" t="s">
        <v>158</v>
      </c>
      <c r="AD62" s="118" t="s">
        <v>1</v>
      </c>
    </row>
    <row r="63" spans="2:30" x14ac:dyDescent="0.25">
      <c r="C63" s="176" t="s">
        <v>18</v>
      </c>
      <c r="H63" s="8">
        <f>SUM(H64:H65)</f>
        <v>0</v>
      </c>
      <c r="I63" s="8">
        <f>SUM(I64:I65)</f>
        <v>40.339491449999997</v>
      </c>
      <c r="J63" s="8">
        <f>SUM(J64:J65)</f>
        <v>1.7572450407</v>
      </c>
      <c r="K63" s="8">
        <f>SUM(K64:K65)</f>
        <v>0.5680483405615</v>
      </c>
      <c r="L63" s="121">
        <f t="shared" ref="L63:L72" si="14">SUM(H63:K63)</f>
        <v>42.6647848312615</v>
      </c>
      <c r="M63" s="99"/>
      <c r="N63" s="179" t="s">
        <v>18</v>
      </c>
      <c r="O63" s="36">
        <f>'[1]Bilan 2025'!$X$46/11.63</f>
        <v>0</v>
      </c>
      <c r="P63" s="35">
        <f>SUM('[1]Bilan 2025'!$X$41:$X$43)/11.63</f>
        <v>38.545929814739537</v>
      </c>
      <c r="Q63" s="35">
        <f>'[1]Bilan 2025'!$X$13/11.63</f>
        <v>1.5398477407339692</v>
      </c>
      <c r="R63" s="35">
        <f>('[1]Bilan 2025'!$X$22+'[1]Bilan 2025'!$X$30+SUM('[1]Bilan 2025'!$X$36:$X$40)+SUM('[1]Bilan 2025'!$X$44:$X$45)+'[1]Bilan 2025'!$X$47)/11.63</f>
        <v>0.58333134363889538</v>
      </c>
      <c r="S63" s="171">
        <f>SUM(O63:R63)</f>
        <v>40.669108899112402</v>
      </c>
      <c r="T63" s="99"/>
      <c r="U63" s="176" t="s">
        <v>18</v>
      </c>
      <c r="Z63" s="8">
        <v>0</v>
      </c>
      <c r="AA63" s="8">
        <v>42.185575020000002</v>
      </c>
      <c r="AB63" s="8">
        <v>2.2049147527000001</v>
      </c>
      <c r="AC63" s="8">
        <v>0.67795165934269996</v>
      </c>
      <c r="AD63" s="121">
        <v>45.068441432042704</v>
      </c>
    </row>
    <row r="64" spans="2:30" x14ac:dyDescent="0.25">
      <c r="C64" s="177" t="s">
        <v>19</v>
      </c>
      <c r="D64" t="s">
        <v>580</v>
      </c>
      <c r="E64" t="s">
        <v>581</v>
      </c>
      <c r="F64" t="s">
        <v>582</v>
      </c>
      <c r="G64" t="s">
        <v>583</v>
      </c>
      <c r="H64" s="19">
        <f>VLOOKUP(D64,Résultats!$B$2:$AX$476,'T energie vecteurs'!N5,FALSE)</f>
        <v>0</v>
      </c>
      <c r="I64" s="19">
        <f>VLOOKUP(E64,Résultats!$B$2:$AX$476,'T energie vecteurs'!N5,FALSE)</f>
        <v>21.208999760000001</v>
      </c>
      <c r="J64" s="19">
        <f>VLOOKUP(F64,Résultats!$B$2:$AX$476,'T energie vecteurs'!N5,FALSE)</f>
        <v>0.30708602670000001</v>
      </c>
      <c r="K64" s="19">
        <f>VLOOKUP(G77,Résultats!$B$2:$AX$476,'T energie vecteurs'!N5,FALSE)</f>
        <v>2.4956561499999999E-5</v>
      </c>
      <c r="L64" s="120">
        <f t="shared" si="14"/>
        <v>21.5161107432615</v>
      </c>
      <c r="M64" s="19"/>
      <c r="N64" s="177" t="s">
        <v>19</v>
      </c>
      <c r="O64" s="172"/>
      <c r="P64" s="19"/>
      <c r="Q64" s="55"/>
      <c r="R64" s="19"/>
      <c r="S64" s="120"/>
      <c r="T64" s="19"/>
      <c r="U64" s="177" t="s">
        <v>19</v>
      </c>
      <c r="V64" t="s">
        <v>89</v>
      </c>
      <c r="W64" t="s">
        <v>90</v>
      </c>
      <c r="X64" t="s">
        <v>91</v>
      </c>
      <c r="Y64" t="s">
        <v>92</v>
      </c>
      <c r="Z64" s="19">
        <v>0</v>
      </c>
      <c r="AA64" s="19">
        <v>21.485258959999999</v>
      </c>
      <c r="AB64" s="19">
        <v>0.30036180169999999</v>
      </c>
      <c r="AC64" s="19">
        <v>1.6350542700000002E-5</v>
      </c>
      <c r="AD64" s="120">
        <v>21.7856371122427</v>
      </c>
    </row>
    <row r="65" spans="3:30" x14ac:dyDescent="0.25">
      <c r="C65" s="178" t="s">
        <v>20</v>
      </c>
      <c r="D65" t="s">
        <v>584</v>
      </c>
      <c r="E65" t="s">
        <v>585</v>
      </c>
      <c r="F65" t="s">
        <v>586</v>
      </c>
      <c r="G65" t="s">
        <v>587</v>
      </c>
      <c r="H65" s="19">
        <f>VLOOKUP(D65,Résultats!$B$2:$AX$476,'T energie vecteurs'!N5,FALSE)</f>
        <v>0</v>
      </c>
      <c r="I65" s="19">
        <f>VLOOKUP(E65,Résultats!$B$2:$AX$476,'T energie vecteurs'!N5,FALSE)</f>
        <v>19.130491689999999</v>
      </c>
      <c r="J65" s="19">
        <f>VLOOKUP(F65,Résultats!$B$2:$AX$476,'T energie vecteurs'!N5,FALSE)</f>
        <v>1.450159014</v>
      </c>
      <c r="K65" s="19">
        <f>VLOOKUP(G65,Résultats!$B$2:$AX$476,'T energie vecteurs'!N5,FALSE)</f>
        <v>0.56802338399999996</v>
      </c>
      <c r="L65" s="120">
        <f t="shared" si="14"/>
        <v>21.148674088</v>
      </c>
      <c r="M65" s="19"/>
      <c r="N65" s="178" t="s">
        <v>20</v>
      </c>
      <c r="O65" s="172"/>
      <c r="P65" s="19"/>
      <c r="Q65" s="55"/>
      <c r="R65" s="19"/>
      <c r="S65" s="120"/>
      <c r="T65" s="19"/>
      <c r="U65" s="178" t="s">
        <v>20</v>
      </c>
      <c r="V65" t="s">
        <v>93</v>
      </c>
      <c r="W65" t="s">
        <v>94</v>
      </c>
      <c r="X65" t="s">
        <v>95</v>
      </c>
      <c r="Y65" t="s">
        <v>96</v>
      </c>
      <c r="Z65" s="19">
        <v>0</v>
      </c>
      <c r="AA65" s="19">
        <v>20.700316059999999</v>
      </c>
      <c r="AB65" s="19">
        <v>1.9045529510000001</v>
      </c>
      <c r="AC65" s="19">
        <v>0.67793530879999997</v>
      </c>
      <c r="AD65" s="120">
        <v>23.282804319799997</v>
      </c>
    </row>
    <row r="66" spans="3:30" x14ac:dyDescent="0.25">
      <c r="C66" s="176" t="s">
        <v>21</v>
      </c>
      <c r="D66" t="s">
        <v>588</v>
      </c>
      <c r="E66" t="s">
        <v>589</v>
      </c>
      <c r="F66" t="s">
        <v>590</v>
      </c>
      <c r="G66" t="s">
        <v>591</v>
      </c>
      <c r="H66" s="8">
        <f>VLOOKUP(D66,Résultats!$B$2:$AX$476,'T energie vecteurs'!N5,FALSE)</f>
        <v>0.2205016316</v>
      </c>
      <c r="I66" s="8">
        <f>VLOOKUP(E66,Résultats!$B$2:$AX$476,'T energie vecteurs'!N5,FALSE)</f>
        <v>5.3591721469999998</v>
      </c>
      <c r="J66" s="8">
        <f>VLOOKUP(F66,Résultats!$B$2:$AX$476,'T energie vecteurs'!N5,FALSE)</f>
        <v>15.12564456</v>
      </c>
      <c r="K66" s="8">
        <f>VLOOKUP(G66,Résultats!$B$2:$AX$476,'T energie vecteurs'!N5,FALSE)+8</f>
        <v>21.082867620000002</v>
      </c>
      <c r="L66" s="121">
        <f t="shared" si="14"/>
        <v>41.788185958600003</v>
      </c>
      <c r="M66" s="99"/>
      <c r="N66" s="179" t="s">
        <v>21</v>
      </c>
      <c r="O66" s="36">
        <f>'[1]Bilan 2025'!$V$46/11.63</f>
        <v>0</v>
      </c>
      <c r="P66" s="35">
        <f>SUM('[1]Bilan 2025'!$V$41:$V$43)/11.63</f>
        <v>3.5326526805330594</v>
      </c>
      <c r="Q66" s="35">
        <f>'[1]Bilan 2025'!$V$13/11.63</f>
        <v>14.460312572692807</v>
      </c>
      <c r="R66" s="35">
        <f>('[1]Bilan 2025'!$V$22+'[1]Bilan 2025'!$V$30+SUM('[1]Bilan 2025'!$V$36:$V$40)+SUM('[1]Bilan 2025'!$V$44:$V$45)+'[1]Bilan 2025'!$V$47)/11.63</f>
        <v>21.112528803330196</v>
      </c>
      <c r="S66" s="171">
        <f t="shared" ref="S66:S72" si="15">SUM(O66:R66)</f>
        <v>39.105494056556061</v>
      </c>
      <c r="T66" s="99"/>
      <c r="U66" s="176" t="s">
        <v>21</v>
      </c>
      <c r="V66" t="s">
        <v>97</v>
      </c>
      <c r="W66" t="s">
        <v>98</v>
      </c>
      <c r="X66" t="s">
        <v>99</v>
      </c>
      <c r="Y66" t="s">
        <v>100</v>
      </c>
      <c r="Z66" s="263">
        <v>0.2127020067</v>
      </c>
      <c r="AA66" s="263">
        <v>5.0926712209999998</v>
      </c>
      <c r="AB66" s="263">
        <v>14.91479638</v>
      </c>
      <c r="AC66" s="263">
        <v>20.802555349999999</v>
      </c>
      <c r="AD66" s="264">
        <v>41.022724957699999</v>
      </c>
    </row>
    <row r="67" spans="3:30" x14ac:dyDescent="0.25">
      <c r="C67" s="176" t="s">
        <v>22</v>
      </c>
      <c r="D67" t="s">
        <v>592</v>
      </c>
      <c r="E67" t="s">
        <v>593</v>
      </c>
      <c r="F67" t="s">
        <v>594</v>
      </c>
      <c r="G67" t="s">
        <v>595</v>
      </c>
      <c r="H67" s="8">
        <f>VLOOKUP(D67,Résultats!$B$2:$AX$476,'T energie vecteurs'!N5,FALSE)</f>
        <v>0</v>
      </c>
      <c r="I67" s="8">
        <f>VLOOKUP(E67,Résultats!$B$2:$AX$476,'T energie vecteurs'!N5,FALSE)</f>
        <v>2.9027526360000002</v>
      </c>
      <c r="J67" s="8">
        <f>VLOOKUP(F67,Résultats!$B$2:$AX$476,'T energie vecteurs'!N5,FALSE)</f>
        <v>13.74261547</v>
      </c>
      <c r="K67" s="8">
        <f>VLOOKUP(G67,Résultats!$B$2:$AX$476,'T energie vecteurs'!N5,FALSE)</f>
        <v>7.869495336</v>
      </c>
      <c r="L67" s="121">
        <f t="shared" si="14"/>
        <v>24.514863441999999</v>
      </c>
      <c r="M67" s="99"/>
      <c r="N67" s="179" t="s">
        <v>22</v>
      </c>
      <c r="O67" s="36">
        <f>('[1]Bilan 2025'!$W$46)/11.63</f>
        <v>0</v>
      </c>
      <c r="P67" s="35">
        <f>SUM('[1]Bilan 2025'!$W$41:$W$43)/11.63</f>
        <v>1.829600236722577</v>
      </c>
      <c r="Q67" s="35">
        <f>('[1]Bilan 2025'!$W$13)/11.63</f>
        <v>11.310258924417251</v>
      </c>
      <c r="R67" s="35">
        <f>('[1]Bilan 2025'!$W$22+'[1]Bilan 2025'!$W$30+SUM('[1]Bilan 2025'!$W$36:$W$40)+SUM('[1]Bilan 2025'!$W$44:$W$45)+'[1]Bilan 2025'!$W$47)/11.63</f>
        <v>7.3063892907205394</v>
      </c>
      <c r="S67" s="171">
        <f t="shared" si="15"/>
        <v>20.446248451860367</v>
      </c>
      <c r="T67" s="99"/>
      <c r="U67" s="176" t="s">
        <v>22</v>
      </c>
      <c r="V67" t="s">
        <v>101</v>
      </c>
      <c r="W67" t="s">
        <v>102</v>
      </c>
      <c r="X67" t="s">
        <v>103</v>
      </c>
      <c r="Y67" t="s">
        <v>104</v>
      </c>
      <c r="Z67" s="8">
        <v>0</v>
      </c>
      <c r="AA67" s="8">
        <v>2.5387753740000001</v>
      </c>
      <c r="AB67" s="8">
        <v>12.130408040000001</v>
      </c>
      <c r="AC67" s="8">
        <v>7.3230770300000003</v>
      </c>
      <c r="AD67" s="121">
        <v>21.992260444000003</v>
      </c>
    </row>
    <row r="68" spans="3:30" x14ac:dyDescent="0.25">
      <c r="C68" s="176" t="s">
        <v>23</v>
      </c>
      <c r="H68" s="8">
        <f>SUM(H69:H71)</f>
        <v>2.5774752432999999</v>
      </c>
      <c r="I68" s="8">
        <f>SUM(I69:I71)</f>
        <v>12.93633838799999</v>
      </c>
      <c r="J68" s="8">
        <f>SUM(J69:J71)</f>
        <v>11.061639307</v>
      </c>
      <c r="K68" s="8">
        <f>SUM(K69:K71)</f>
        <v>15.0746527199</v>
      </c>
      <c r="L68" s="121">
        <f t="shared" si="14"/>
        <v>41.65010565819999</v>
      </c>
      <c r="M68" s="99"/>
      <c r="N68" s="179" t="s">
        <v>280</v>
      </c>
      <c r="O68" s="36">
        <f>O69+O70</f>
        <v>4.2119673749809596</v>
      </c>
      <c r="P68" s="35">
        <f t="shared" ref="P68:R68" si="16">P69+P70</f>
        <v>13.344099936220454</v>
      </c>
      <c r="Q68" s="35">
        <f t="shared" si="16"/>
        <v>9.4854890713287645</v>
      </c>
      <c r="R68" s="35">
        <f t="shared" si="16"/>
        <v>13.855608235952786</v>
      </c>
      <c r="S68" s="171">
        <f t="shared" si="15"/>
        <v>40.897164618482961</v>
      </c>
      <c r="T68" s="99"/>
      <c r="U68" s="176" t="s">
        <v>23</v>
      </c>
      <c r="Z68" s="8">
        <v>3.2028718037999999</v>
      </c>
      <c r="AA68" s="8">
        <v>16.496629178999999</v>
      </c>
      <c r="AB68" s="8">
        <v>10.4818738513</v>
      </c>
      <c r="AC68" s="8">
        <v>15.5080600384</v>
      </c>
      <c r="AD68" s="121">
        <v>45.689434872500001</v>
      </c>
    </row>
    <row r="69" spans="3:30" x14ac:dyDescent="0.25">
      <c r="C69" s="178" t="s">
        <v>24</v>
      </c>
      <c r="D69" t="s">
        <v>596</v>
      </c>
      <c r="E69" t="s">
        <v>597</v>
      </c>
      <c r="F69" t="s">
        <v>598</v>
      </c>
      <c r="G69" t="s">
        <v>599</v>
      </c>
      <c r="H69" s="19">
        <f>VLOOKUP(D69,Résultats!$B$2:$AX$476,'T energie vecteurs'!N5,FALSE)</f>
        <v>1.6678686629999999</v>
      </c>
      <c r="I69" s="19">
        <f>VLOOKUP(E69,Résultats!$B$2:$AX$476,'T energie vecteurs'!N5,FALSE)</f>
        <v>8.4629118049999903</v>
      </c>
      <c r="J69" s="19">
        <f>VLOOKUP(F69,Résultats!$B$2:$AX$476,'T energie vecteurs'!N5,FALSE)</f>
        <v>10.72241586</v>
      </c>
      <c r="K69" s="19">
        <f>VLOOKUP(G69,Résultats!$B$2:$AX$476,'T energie vecteurs'!N5,FALSE)</f>
        <v>12.590006109999999</v>
      </c>
      <c r="L69" s="120">
        <f t="shared" si="14"/>
        <v>33.443202437999986</v>
      </c>
      <c r="M69" s="19"/>
      <c r="N69" s="178" t="s">
        <v>281</v>
      </c>
      <c r="O69" s="172">
        <f>'[1]Bilan 2025'!$U$46/11.63</f>
        <v>0.6091486948433853</v>
      </c>
      <c r="P69" s="37">
        <f>SUM('[1]Bilan 2025'!$U$41:$U$43)/11.63</f>
        <v>2.4024529807619608</v>
      </c>
      <c r="Q69" s="37">
        <f>'[1]Bilan 2025'!$U$13/11.63</f>
        <v>9.4854890713287645</v>
      </c>
      <c r="R69" s="37">
        <f>('[1]Bilan 2025'!$U$22+'[1]Bilan 2025'!$U$30+SUM('[1]Bilan 2025'!$U$36:$U$40)+SUM('[1]Bilan 2025'!$U$44:$U$45)+'[1]Bilan 2025'!$U$47)/11.63</f>
        <v>12.777479857495365</v>
      </c>
      <c r="S69" s="120">
        <f t="shared" si="15"/>
        <v>25.274570604429478</v>
      </c>
      <c r="T69" s="19"/>
      <c r="U69" s="178" t="s">
        <v>24</v>
      </c>
      <c r="V69" t="s">
        <v>105</v>
      </c>
      <c r="W69" t="s">
        <v>106</v>
      </c>
      <c r="X69" t="s">
        <v>107</v>
      </c>
      <c r="Y69" t="s">
        <v>108</v>
      </c>
      <c r="Z69" s="19">
        <v>2.2810592999999999</v>
      </c>
      <c r="AA69" s="19">
        <v>11.881499249999999</v>
      </c>
      <c r="AB69" s="19">
        <v>10.15468869</v>
      </c>
      <c r="AC69" s="19">
        <v>12.86976907</v>
      </c>
      <c r="AD69" s="120">
        <v>37.187016310000004</v>
      </c>
    </row>
    <row r="70" spans="3:30" x14ac:dyDescent="0.25">
      <c r="C70" s="178" t="s">
        <v>153</v>
      </c>
      <c r="D70" t="s">
        <v>600</v>
      </c>
      <c r="E70" t="s">
        <v>601</v>
      </c>
      <c r="F70" t="s">
        <v>602</v>
      </c>
      <c r="G70" t="s">
        <v>603</v>
      </c>
      <c r="H70" s="19">
        <f>VLOOKUP(D70,Résultats!$B$2:$AX$476,'T energie vecteurs'!N5,FALSE)</f>
        <v>0.90960658029999997</v>
      </c>
      <c r="I70" s="19">
        <f>VLOOKUP(E70,Résultats!$B$2:$AX$476,'T energie vecteurs'!N5,FALSE)</f>
        <v>2.003022627</v>
      </c>
      <c r="J70" s="19">
        <f>VLOOKUP(F70,Résultats!$B$2:$AX$476,'T energie vecteurs'!N5,FALSE)</f>
        <v>0</v>
      </c>
      <c r="K70" s="19">
        <f>VLOOKUP(G70,Résultats!$B$2:$AX$476,'T energie vecteurs'!N5,FALSE)</f>
        <v>2.129093766</v>
      </c>
      <c r="L70" s="120">
        <f t="shared" si="14"/>
        <v>5.0417229733000006</v>
      </c>
      <c r="M70" s="19"/>
      <c r="N70" s="178" t="s">
        <v>153</v>
      </c>
      <c r="O70" s="28">
        <f>'[1]Bilan 2025'!$E$52/11.63</f>
        <v>3.6028186801375743</v>
      </c>
      <c r="P70" s="19">
        <f>('[1]Bilan 2025'!$E$54+'[1]Bilan 2025'!$E$56)/11.63</f>
        <v>10.941646955458493</v>
      </c>
      <c r="Q70" s="19">
        <v>0</v>
      </c>
      <c r="R70" s="19">
        <f>('[1]Bilan 2025'!$E$53+'[1]Bilan 2025'!$E$55+'[1]Bilan 2025'!$E$57)/11.63</f>
        <v>1.0781283784574212</v>
      </c>
      <c r="S70" s="120">
        <f t="shared" si="15"/>
        <v>15.622594014053488</v>
      </c>
      <c r="T70" s="19"/>
      <c r="U70" s="178" t="s">
        <v>153</v>
      </c>
      <c r="V70" t="s">
        <v>154</v>
      </c>
      <c r="W70" t="s">
        <v>155</v>
      </c>
      <c r="X70" t="s">
        <v>156</v>
      </c>
      <c r="Y70" t="s">
        <v>157</v>
      </c>
      <c r="Z70" s="19">
        <v>0.92181250380000002</v>
      </c>
      <c r="AA70" s="19">
        <v>2.2161908910000001</v>
      </c>
      <c r="AB70" s="19">
        <v>0</v>
      </c>
      <c r="AC70" s="19">
        <v>2.306016912</v>
      </c>
      <c r="AD70" s="120">
        <v>5.4440203068000006</v>
      </c>
    </row>
    <row r="71" spans="3:30" x14ac:dyDescent="0.25">
      <c r="C71" s="178" t="s">
        <v>25</v>
      </c>
      <c r="D71" t="s">
        <v>604</v>
      </c>
      <c r="E71" t="s">
        <v>605</v>
      </c>
      <c r="F71" t="s">
        <v>606</v>
      </c>
      <c r="G71" t="s">
        <v>607</v>
      </c>
      <c r="H71" s="19">
        <f>VLOOKUP(D71,Résultats!$B$2:$AX$476,'T energie vecteurs'!N5,FALSE)</f>
        <v>0</v>
      </c>
      <c r="I71" s="19">
        <f>VLOOKUP(E71,Résultats!$B$2:$AX$476,'T energie vecteurs'!N5,FALSE)</f>
        <v>2.4704039560000002</v>
      </c>
      <c r="J71" s="19">
        <f>VLOOKUP(F71,Résultats!$B$2:$AX$476,'T energie vecteurs'!N5,FALSE)</f>
        <v>0.33922344700000001</v>
      </c>
      <c r="K71" s="19">
        <f>VLOOKUP(G71,Résultats!$B$2:$AX$476,'T energie vecteurs'!N5,FALSE)</f>
        <v>0.35555284390000003</v>
      </c>
      <c r="L71" s="120">
        <f t="shared" si="14"/>
        <v>3.1651802469000003</v>
      </c>
      <c r="M71" s="19"/>
      <c r="N71" s="179" t="s">
        <v>25</v>
      </c>
      <c r="O71" s="36">
        <f>'[1]Bilan 2025'!$T$46/11.63</f>
        <v>0</v>
      </c>
      <c r="P71" s="35">
        <f>SUM('[1]Bilan 2025'!$T$41:$T$43)/11.63</f>
        <v>3.1602006312216266</v>
      </c>
      <c r="Q71" s="35">
        <f>'[1]Bilan 2025'!$T$13/11.63</f>
        <v>0.70898600777464971</v>
      </c>
      <c r="R71" s="35">
        <f>('[1]Bilan 2025'!$T$22+'[1]Bilan 2025'!$T$30+SUM('[1]Bilan 2025'!$T$36:$T$40)+SUM('[1]Bilan 2025'!$T$44:$T$45)+'[1]Bilan 2025'!$T$47)/11.63</f>
        <v>0.28264741564176488</v>
      </c>
      <c r="S71" s="171">
        <f t="shared" si="15"/>
        <v>4.1518340546380408</v>
      </c>
      <c r="T71" s="19"/>
      <c r="U71" s="178" t="s">
        <v>25</v>
      </c>
      <c r="V71" t="s">
        <v>109</v>
      </c>
      <c r="W71" t="s">
        <v>110</v>
      </c>
      <c r="X71" t="s">
        <v>111</v>
      </c>
      <c r="Y71" t="s">
        <v>112</v>
      </c>
      <c r="Z71" s="19">
        <v>0</v>
      </c>
      <c r="AA71" s="19">
        <v>2.398939038</v>
      </c>
      <c r="AB71" s="19">
        <v>0.32718516130000003</v>
      </c>
      <c r="AC71" s="19">
        <v>0.33227405640000002</v>
      </c>
      <c r="AD71" s="120">
        <v>3.0583982557000002</v>
      </c>
    </row>
    <row r="72" spans="3:30" x14ac:dyDescent="0.25">
      <c r="C72" s="29" t="s">
        <v>26</v>
      </c>
      <c r="D72" s="10"/>
      <c r="E72" s="10"/>
      <c r="F72" s="10"/>
      <c r="G72" s="10"/>
      <c r="H72" s="9">
        <f>SUM(H63,H66:H68)</f>
        <v>2.7979768748999998</v>
      </c>
      <c r="I72" s="9">
        <f>SUM(I63,I66:I68)</f>
        <v>61.537754620999991</v>
      </c>
      <c r="J72" s="9">
        <f>SUM(J63,J66:J68)</f>
        <v>41.687144377700001</v>
      </c>
      <c r="K72" s="9">
        <f>SUM(K63,K66:K68)</f>
        <v>44.5950640164615</v>
      </c>
      <c r="L72" s="123">
        <f t="shared" si="14"/>
        <v>150.61793989006148</v>
      </c>
      <c r="M72" s="105"/>
      <c r="N72" s="180" t="s">
        <v>26</v>
      </c>
      <c r="O72" s="40">
        <f>O63+O66+O67+O68+O71</f>
        <v>4.2119673749809596</v>
      </c>
      <c r="P72" s="38">
        <f>P63+P66+P67+P68+P71</f>
        <v>60.412483299437255</v>
      </c>
      <c r="Q72" s="38">
        <f>Q63+Q66+Q67+Q68+Q71</f>
        <v>37.504894316947436</v>
      </c>
      <c r="R72" s="38">
        <f>R63+R66+R67+R68+R71</f>
        <v>43.140505089284176</v>
      </c>
      <c r="S72" s="173">
        <f t="shared" si="15"/>
        <v>145.26985008064983</v>
      </c>
      <c r="T72" s="105"/>
      <c r="U72" s="29" t="s">
        <v>26</v>
      </c>
      <c r="V72" s="10"/>
      <c r="W72" s="10"/>
      <c r="X72" s="10"/>
      <c r="Y72" s="10"/>
      <c r="Z72" s="9">
        <v>3.4155738104999998</v>
      </c>
      <c r="AA72" s="9">
        <v>66.313650793999997</v>
      </c>
      <c r="AB72" s="9">
        <v>39.731993024000005</v>
      </c>
      <c r="AC72" s="9">
        <v>44.311644077742699</v>
      </c>
      <c r="AD72" s="123">
        <v>153.77286170624268</v>
      </c>
    </row>
    <row r="73" spans="3:30" s="3" customFormat="1" x14ac:dyDescent="0.25">
      <c r="H73" s="69"/>
      <c r="I73" s="69"/>
      <c r="J73" s="69"/>
      <c r="K73" s="69"/>
      <c r="L73" s="69"/>
      <c r="M73" s="69"/>
      <c r="N73" s="69"/>
      <c r="O73" s="103"/>
      <c r="P73" s="103"/>
      <c r="Q73" s="103"/>
      <c r="R73" s="104"/>
      <c r="S73" s="69"/>
      <c r="T73" s="69"/>
      <c r="Z73" s="69"/>
      <c r="AA73" s="69"/>
      <c r="AB73" s="69"/>
      <c r="AC73" s="69"/>
      <c r="AD73" s="69"/>
    </row>
    <row r="74" spans="3:30" s="3" customFormat="1" x14ac:dyDescent="0.25"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Z74" s="69"/>
      <c r="AA74" s="69"/>
      <c r="AB74" s="69"/>
      <c r="AC74" s="69"/>
      <c r="AD74" s="69"/>
    </row>
    <row r="75" spans="3:30" ht="31.5" x14ac:dyDescent="0.35">
      <c r="C75" s="174">
        <v>2030</v>
      </c>
      <c r="D75" s="175"/>
      <c r="E75" s="175"/>
      <c r="F75" s="175"/>
      <c r="G75" s="175"/>
      <c r="H75" s="101" t="s">
        <v>36</v>
      </c>
      <c r="I75" s="101" t="s">
        <v>159</v>
      </c>
      <c r="J75" s="101" t="s">
        <v>38</v>
      </c>
      <c r="K75" s="101" t="s">
        <v>158</v>
      </c>
      <c r="L75" s="118" t="s">
        <v>1</v>
      </c>
      <c r="M75" s="25"/>
      <c r="N75" s="174">
        <v>2030</v>
      </c>
      <c r="O75" s="170" t="s">
        <v>36</v>
      </c>
      <c r="P75" s="101" t="s">
        <v>159</v>
      </c>
      <c r="Q75" s="101" t="s">
        <v>38</v>
      </c>
      <c r="R75" s="101" t="s">
        <v>158</v>
      </c>
      <c r="S75" s="118" t="s">
        <v>1</v>
      </c>
      <c r="T75" s="25"/>
      <c r="U75" s="174">
        <v>2030</v>
      </c>
      <c r="V75" s="175"/>
      <c r="W75" s="175"/>
      <c r="X75" s="175"/>
      <c r="Y75" s="175"/>
      <c r="Z75" s="101" t="s">
        <v>36</v>
      </c>
      <c r="AA75" s="101" t="s">
        <v>159</v>
      </c>
      <c r="AB75" s="101" t="s">
        <v>38</v>
      </c>
      <c r="AC75" s="101" t="s">
        <v>158</v>
      </c>
      <c r="AD75" s="118" t="s">
        <v>1</v>
      </c>
    </row>
    <row r="76" spans="3:30" x14ac:dyDescent="0.25">
      <c r="C76" s="176" t="s">
        <v>18</v>
      </c>
      <c r="H76" s="8">
        <f>SUM(H77:H78)</f>
        <v>0</v>
      </c>
      <c r="I76" s="8">
        <f>SUM(I77:I78)</f>
        <v>37.992963520000004</v>
      </c>
      <c r="J76" s="8">
        <f>SUM(J77:J78)</f>
        <v>2.4815557169</v>
      </c>
      <c r="K76" s="8">
        <f>SUM(K77:K78)</f>
        <v>1.3236651652039999</v>
      </c>
      <c r="L76" s="121">
        <f>SUM(H76:K76)</f>
        <v>41.798184402103999</v>
      </c>
      <c r="M76" s="99"/>
      <c r="N76" s="179" t="s">
        <v>18</v>
      </c>
      <c r="O76" s="36">
        <f>'[1]Bilan 2030'!$X$46/11.63</f>
        <v>0</v>
      </c>
      <c r="P76" s="35">
        <f>SUM('[1]Bilan 2030'!$X$41:$X$43)/11.63</f>
        <v>32.470940737285289</v>
      </c>
      <c r="Q76" s="35">
        <f>'[1]Bilan 2030'!$X$13/11.63</f>
        <v>2.5998015829265277</v>
      </c>
      <c r="R76" s="35">
        <f>('[1]Bilan 2030'!$X$22+'[1]Bilan 2030'!$X$30+SUM('[1]Bilan 2030'!$X$36:$X$40)+SUM('[1]Bilan 2030'!$X$44:$X$45)+'[1]Bilan 2030'!$X$47)/11.63</f>
        <v>1.3190285045112766</v>
      </c>
      <c r="S76" s="171">
        <f>SUM(O76:R76)</f>
        <v>36.389770824723101</v>
      </c>
      <c r="T76" s="245">
        <f>S76-'[1]Bilan 2030'!$X$5/11.63</f>
        <v>0</v>
      </c>
      <c r="U76" s="176" t="s">
        <v>18</v>
      </c>
      <c r="Z76" s="8">
        <v>0</v>
      </c>
      <c r="AA76" s="8">
        <v>40.853511490000002</v>
      </c>
      <c r="AB76" s="8">
        <v>3.1193281531999997</v>
      </c>
      <c r="AC76" s="8">
        <v>1.5414298451549</v>
      </c>
      <c r="AD76" s="121">
        <v>45.514269488354905</v>
      </c>
    </row>
    <row r="77" spans="3:30" x14ac:dyDescent="0.25">
      <c r="C77" s="177" t="s">
        <v>19</v>
      </c>
      <c r="D77" t="s">
        <v>580</v>
      </c>
      <c r="E77" t="s">
        <v>581</v>
      </c>
      <c r="F77" t="s">
        <v>582</v>
      </c>
      <c r="G77" t="s">
        <v>583</v>
      </c>
      <c r="H77" s="19">
        <f>VLOOKUP(D77,Résultats!$B$2:$AX$476,'T energie vecteurs'!S5,FALSE)</f>
        <v>0</v>
      </c>
      <c r="I77" s="19">
        <f>VLOOKUP(E77,Résultats!$B$2:$AX$476,'T energie vecteurs'!S5,FALSE)</f>
        <v>18.969340720000002</v>
      </c>
      <c r="J77" s="19">
        <f>VLOOKUP(F77,Résultats!$B$2:$AX$476,'T energie vecteurs'!S5,FALSE)</f>
        <v>0.75816053390000004</v>
      </c>
      <c r="K77" s="19">
        <f>VLOOKUP(G77,Résultats!$B$2:$AX$476,'T energie vecteurs'!S5,FALSE)</f>
        <v>3.5070203999999999E-5</v>
      </c>
      <c r="L77" s="120">
        <f t="shared" ref="L77:L84" si="17">SUM(H77:K77)</f>
        <v>19.727536324104001</v>
      </c>
      <c r="M77" s="19"/>
      <c r="N77" s="177" t="s">
        <v>19</v>
      </c>
      <c r="O77" s="172"/>
      <c r="P77" s="19"/>
      <c r="Q77" s="55"/>
      <c r="R77" s="19"/>
      <c r="S77" s="120"/>
      <c r="T77" s="245"/>
      <c r="U77" s="177" t="s">
        <v>19</v>
      </c>
      <c r="V77" t="s">
        <v>89</v>
      </c>
      <c r="W77" t="s">
        <v>90</v>
      </c>
      <c r="X77" t="s">
        <v>91</v>
      </c>
      <c r="Y77" t="s">
        <v>92</v>
      </c>
      <c r="Z77" s="19">
        <v>0</v>
      </c>
      <c r="AA77" s="19">
        <v>19.358452450000001</v>
      </c>
      <c r="AB77" s="19">
        <v>0.75402416120000004</v>
      </c>
      <c r="AC77" s="19">
        <v>2.4245154900000002E-5</v>
      </c>
      <c r="AD77" s="120">
        <v>20.112500856354902</v>
      </c>
    </row>
    <row r="78" spans="3:30" x14ac:dyDescent="0.25">
      <c r="C78" s="178" t="s">
        <v>20</v>
      </c>
      <c r="D78" t="s">
        <v>584</v>
      </c>
      <c r="E78" t="s">
        <v>585</v>
      </c>
      <c r="F78" t="s">
        <v>586</v>
      </c>
      <c r="G78" t="s">
        <v>587</v>
      </c>
      <c r="H78" s="19">
        <f>VLOOKUP(D78,Résultats!$B$2:$AX$476,'T energie vecteurs'!S5,FALSE)</f>
        <v>0</v>
      </c>
      <c r="I78" s="19">
        <f>VLOOKUP(E78,Résultats!$B$2:$AX$476,'T energie vecteurs'!S5,FALSE)</f>
        <v>19.023622799999998</v>
      </c>
      <c r="J78" s="19">
        <f>VLOOKUP(F78,Résultats!$B$2:$AX$476,'T energie vecteurs'!S5,FALSE)</f>
        <v>1.7233951830000001</v>
      </c>
      <c r="K78" s="19">
        <f>VLOOKUP(G78,Résultats!$B$2:$AX$476,'T energie vecteurs'!S5,FALSE)</f>
        <v>1.323630095</v>
      </c>
      <c r="L78" s="120">
        <f t="shared" si="17"/>
        <v>22.070648077999998</v>
      </c>
      <c r="M78" s="19"/>
      <c r="N78" s="178" t="s">
        <v>20</v>
      </c>
      <c r="O78" s="172"/>
      <c r="P78" s="19"/>
      <c r="Q78" s="55"/>
      <c r="R78" s="19"/>
      <c r="S78" s="120"/>
      <c r="T78" s="245"/>
      <c r="U78" s="178" t="s">
        <v>20</v>
      </c>
      <c r="V78" t="s">
        <v>93</v>
      </c>
      <c r="W78" t="s">
        <v>94</v>
      </c>
      <c r="X78" t="s">
        <v>95</v>
      </c>
      <c r="Y78" t="s">
        <v>96</v>
      </c>
      <c r="Z78" s="19">
        <v>0</v>
      </c>
      <c r="AA78" s="19">
        <v>21.495059040000001</v>
      </c>
      <c r="AB78" s="19">
        <v>2.3653039919999999</v>
      </c>
      <c r="AC78" s="19">
        <v>1.5414056</v>
      </c>
      <c r="AD78" s="120">
        <v>25.401768632000003</v>
      </c>
    </row>
    <row r="79" spans="3:30" x14ac:dyDescent="0.25">
      <c r="C79" s="176" t="s">
        <v>21</v>
      </c>
      <c r="D79" t="s">
        <v>588</v>
      </c>
      <c r="E79" t="s">
        <v>589</v>
      </c>
      <c r="F79" t="s">
        <v>590</v>
      </c>
      <c r="G79" t="s">
        <v>591</v>
      </c>
      <c r="H79" s="8">
        <f>VLOOKUP(D79,Résultats!$B$2:$AX$476,'T energie vecteurs'!S5,FALSE)</f>
        <v>0.19496785119999999</v>
      </c>
      <c r="I79" s="8">
        <f>VLOOKUP(E79,Résultats!$B$2:$AX$476,'T energie vecteurs'!S5,FALSE)</f>
        <v>5.0112821780000001</v>
      </c>
      <c r="J79" s="8">
        <f>VLOOKUP(F79,Résultats!$B$2:$AX$476,'T energie vecteurs'!S5,FALSE)</f>
        <v>15.65703897</v>
      </c>
      <c r="K79" s="8">
        <f>VLOOKUP(G79,Résultats!$B$2:$AX$476,'T energie vecteurs'!S5,FALSE)+8</f>
        <v>20.48270978</v>
      </c>
      <c r="L79" s="121">
        <f>SUM(H79:K79)</f>
        <v>41.345998779200002</v>
      </c>
      <c r="M79" s="99"/>
      <c r="N79" s="179" t="s">
        <v>21</v>
      </c>
      <c r="O79" s="36">
        <f>'[1]Bilan 2030'!$V$46/11.63</f>
        <v>0</v>
      </c>
      <c r="P79" s="35">
        <f>SUM('[1]Bilan 2030'!$V$41:$V$43)/11.63</f>
        <v>2.7093021384311076</v>
      </c>
      <c r="Q79" s="35">
        <f>'[1]Bilan 2030'!$V$13/11.63</f>
        <v>15.128221930185923</v>
      </c>
      <c r="R79" s="35">
        <f>('[1]Bilan 2030'!$V$22+'[1]Bilan 2030'!$V$30+SUM('[1]Bilan 2030'!$V$36:$V$40)+SUM('[1]Bilan 2030'!$V$44:$V$45)+'[1]Bilan 2030'!$V$47)/11.63</f>
        <v>20.957031397748882</v>
      </c>
      <c r="S79" s="171">
        <f t="shared" ref="S79:S85" si="18">SUM(O79:R79)</f>
        <v>38.794555466365907</v>
      </c>
      <c r="T79" s="245">
        <f>S79-'[1]Bilan 2030'!$V$5/11.63</f>
        <v>0</v>
      </c>
      <c r="U79" s="176" t="s">
        <v>21</v>
      </c>
      <c r="V79" t="s">
        <v>97</v>
      </c>
      <c r="W79" t="s">
        <v>98</v>
      </c>
      <c r="X79" t="s">
        <v>99</v>
      </c>
      <c r="Y79" t="s">
        <v>100</v>
      </c>
      <c r="Z79" s="263">
        <v>0.1805846381</v>
      </c>
      <c r="AA79" s="263">
        <v>4.4292818440000001</v>
      </c>
      <c r="AB79" s="263">
        <v>15.093857529999999</v>
      </c>
      <c r="AC79" s="263">
        <v>19.98849293</v>
      </c>
      <c r="AD79" s="264">
        <v>39.692216942100004</v>
      </c>
    </row>
    <row r="80" spans="3:30" x14ac:dyDescent="0.25">
      <c r="C80" s="176" t="s">
        <v>22</v>
      </c>
      <c r="D80" t="s">
        <v>592</v>
      </c>
      <c r="E80" t="s">
        <v>593</v>
      </c>
      <c r="F80" t="s">
        <v>594</v>
      </c>
      <c r="G80" t="s">
        <v>595</v>
      </c>
      <c r="H80" s="8">
        <f>VLOOKUP(D80,Résultats!$B$2:$AX$476,'T energie vecteurs'!S5,FALSE)</f>
        <v>0</v>
      </c>
      <c r="I80" s="8">
        <f>VLOOKUP(E80,Résultats!$B$2:$AX$476,'T energie vecteurs'!S5,FALSE)</f>
        <v>2.516092811</v>
      </c>
      <c r="J80" s="8">
        <f>VLOOKUP(F80,Résultats!$B$2:$AX$476,'T energie vecteurs'!S5,FALSE)</f>
        <v>14.550137640000001</v>
      </c>
      <c r="K80" s="8">
        <f>VLOOKUP(G80,Résultats!$B$2:$AX$476,'T energie vecteurs'!S5,FALSE)</f>
        <v>7.9283858360000004</v>
      </c>
      <c r="L80" s="121">
        <f t="shared" si="17"/>
        <v>24.994616287000003</v>
      </c>
      <c r="M80" s="99"/>
      <c r="N80" s="179" t="s">
        <v>22</v>
      </c>
      <c r="O80" s="36">
        <f>('[1]Bilan 2030'!$W$46)/11.63</f>
        <v>0</v>
      </c>
      <c r="P80" s="35">
        <f>SUM('[1]Bilan 2030'!$W$41:$W$43)/11.63</f>
        <v>1.1254931356288962</v>
      </c>
      <c r="Q80" s="35">
        <f>('[1]Bilan 2030'!$W$13)/11.63</f>
        <v>11.284622800503366</v>
      </c>
      <c r="R80" s="35">
        <f>('[1]Bilan 2030'!$W$22+'[1]Bilan 2030'!$W$30+SUM('[1]Bilan 2030'!$W$36:$W$40)+SUM('[1]Bilan 2030'!$W$44:$W$45)+'[1]Bilan 2030'!$W$47)/11.63</f>
        <v>6.9189644390334015</v>
      </c>
      <c r="S80" s="171">
        <f t="shared" si="18"/>
        <v>19.329080375165663</v>
      </c>
      <c r="T80" s="245">
        <f>S80-'[1]Bilan 2030'!$W$5/11.63</f>
        <v>0</v>
      </c>
      <c r="U80" s="176" t="s">
        <v>22</v>
      </c>
      <c r="V80" t="s">
        <v>101</v>
      </c>
      <c r="W80" t="s">
        <v>102</v>
      </c>
      <c r="X80" t="s">
        <v>103</v>
      </c>
      <c r="Y80" t="s">
        <v>104</v>
      </c>
      <c r="Z80" s="8">
        <v>0</v>
      </c>
      <c r="AA80" s="8">
        <v>2.184145623</v>
      </c>
      <c r="AB80" s="8">
        <v>12.712587640000001</v>
      </c>
      <c r="AC80" s="8">
        <v>7.6433201009999996</v>
      </c>
      <c r="AD80" s="121">
        <v>22.540053364000002</v>
      </c>
    </row>
    <row r="81" spans="2:30" x14ac:dyDescent="0.25">
      <c r="C81" s="176" t="s">
        <v>23</v>
      </c>
      <c r="H81" s="8">
        <f>SUM(H82:H84)</f>
        <v>2.7395610122999998</v>
      </c>
      <c r="I81" s="8">
        <f>SUM(I82:I84)</f>
        <v>14.636328978000002</v>
      </c>
      <c r="J81" s="8">
        <f>SUM(J82:J84)</f>
        <v>12.6848678975</v>
      </c>
      <c r="K81" s="8">
        <f>SUM(K82:K84)</f>
        <v>16.758682547199999</v>
      </c>
      <c r="L81" s="121">
        <f t="shared" si="17"/>
        <v>46.819440435000004</v>
      </c>
      <c r="M81" s="99"/>
      <c r="N81" s="179" t="s">
        <v>280</v>
      </c>
      <c r="O81" s="36">
        <f>O82+O83</f>
        <v>3.9851054274374702</v>
      </c>
      <c r="P81" s="35">
        <f t="shared" ref="P81:R81" si="19">P82+P83</f>
        <v>12.588919196501005</v>
      </c>
      <c r="Q81" s="35">
        <f t="shared" si="19"/>
        <v>9.4169455866228393</v>
      </c>
      <c r="R81" s="35">
        <f t="shared" si="19"/>
        <v>13.466989601471942</v>
      </c>
      <c r="S81" s="171">
        <f t="shared" si="18"/>
        <v>39.457959812033259</v>
      </c>
      <c r="T81" s="245"/>
      <c r="U81" s="176" t="s">
        <v>23</v>
      </c>
      <c r="Z81" s="244">
        <v>3.58849989</v>
      </c>
      <c r="AA81" s="244">
        <v>18.760202760999999</v>
      </c>
      <c r="AB81" s="8">
        <v>11.873285237700001</v>
      </c>
      <c r="AC81" s="244">
        <v>17.769262412</v>
      </c>
      <c r="AD81" s="121">
        <v>51.991250300700003</v>
      </c>
    </row>
    <row r="82" spans="2:30" x14ac:dyDescent="0.25">
      <c r="C82" s="178" t="s">
        <v>24</v>
      </c>
      <c r="D82" t="s">
        <v>596</v>
      </c>
      <c r="E82" t="s">
        <v>597</v>
      </c>
      <c r="F82" t="s">
        <v>598</v>
      </c>
      <c r="G82" t="s">
        <v>599</v>
      </c>
      <c r="H82" s="19">
        <f>VLOOKUP(D82,Résultats!$B$2:$AX$476,'T energie vecteurs'!S5,FALSE)</f>
        <v>1.7903860789999999</v>
      </c>
      <c r="I82" s="19">
        <f>VLOOKUP(E82,Résultats!$B$2:$AX$476,'T energie vecteurs'!S5,FALSE)</f>
        <v>9.7902504330000006</v>
      </c>
      <c r="J82" s="19">
        <f>VLOOKUP(F82,Résultats!$B$2:$AX$476,'T energie vecteurs'!S5,FALSE)</f>
        <v>12.32894387</v>
      </c>
      <c r="K82" s="19">
        <f>VLOOKUP(G82,Résultats!$B$2:$AX$476,'T energie vecteurs'!S5,FALSE)</f>
        <v>14.08790319</v>
      </c>
      <c r="L82" s="120">
        <f t="shared" si="17"/>
        <v>37.997483572</v>
      </c>
      <c r="M82" s="19"/>
      <c r="N82" s="178" t="s">
        <v>281</v>
      </c>
      <c r="O82" s="172">
        <f>'[1]Bilan 2030'!$U$46/11.63</f>
        <v>0.55918092587900114</v>
      </c>
      <c r="P82" s="37">
        <f>SUM('[1]Bilan 2030'!$U$41:$U$43)/11.63</f>
        <v>2.2272873473675703</v>
      </c>
      <c r="Q82" s="37">
        <f>'[1]Bilan 2030'!$U$13/11.63</f>
        <v>9.4169455866228393</v>
      </c>
      <c r="R82" s="37">
        <f>('[1]Bilan 2030'!$U$22+'[1]Bilan 2030'!$U$30+SUM('[1]Bilan 2030'!$U$36:$U$40)+SUM('[1]Bilan 2030'!$U$44:$U$45)+'[1]Bilan 2030'!$U$47)/11.63</f>
        <v>12.399810480766773</v>
      </c>
      <c r="S82" s="120">
        <f t="shared" si="18"/>
        <v>24.603224340636181</v>
      </c>
      <c r="T82" s="245">
        <f>S82-'[1]Bilan 2030'!$U$5/11.63</f>
        <v>0</v>
      </c>
      <c r="U82" s="178" t="s">
        <v>24</v>
      </c>
      <c r="V82" t="s">
        <v>105</v>
      </c>
      <c r="W82" t="s">
        <v>106</v>
      </c>
      <c r="X82" t="s">
        <v>107</v>
      </c>
      <c r="Y82" t="s">
        <v>108</v>
      </c>
      <c r="Z82" s="19">
        <v>2.5639056579999999</v>
      </c>
      <c r="AA82" s="19">
        <v>13.677651389999999</v>
      </c>
      <c r="AB82" s="19">
        <v>11.519283420000001</v>
      </c>
      <c r="AC82" s="19">
        <v>14.77519219</v>
      </c>
      <c r="AD82" s="120">
        <v>42.536032658000003</v>
      </c>
    </row>
    <row r="83" spans="2:30" x14ac:dyDescent="0.25">
      <c r="C83" s="178" t="s">
        <v>153</v>
      </c>
      <c r="D83" t="s">
        <v>600</v>
      </c>
      <c r="E83" t="s">
        <v>601</v>
      </c>
      <c r="F83" t="s">
        <v>602</v>
      </c>
      <c r="G83" t="s">
        <v>603</v>
      </c>
      <c r="H83" s="19">
        <f>VLOOKUP(D83,Résultats!$B$2:$AX$476,'T energie vecteurs'!S5,FALSE)</f>
        <v>0.94917493330000002</v>
      </c>
      <c r="I83" s="19">
        <f>VLOOKUP(E83,Résultats!$B$2:$AX$476,'T energie vecteurs'!S5,FALSE)</f>
        <v>2.1968761130000001</v>
      </c>
      <c r="J83" s="19">
        <f>VLOOKUP(F83,Résultats!$B$2:$AX$476,'T energie vecteurs'!S5,FALSE)</f>
        <v>0</v>
      </c>
      <c r="K83" s="19">
        <f>VLOOKUP(G83,Résultats!$B$2:$AX$476,'T energie vecteurs'!S5,FALSE)</f>
        <v>2.2973276720000002</v>
      </c>
      <c r="L83" s="120">
        <f>SUM(H83:K83)</f>
        <v>5.4433787183</v>
      </c>
      <c r="M83" s="19"/>
      <c r="N83" s="178" t="s">
        <v>153</v>
      </c>
      <c r="O83" s="28">
        <f>'[1]Bilan 2030'!$E$52/11.63</f>
        <v>3.4259245015584692</v>
      </c>
      <c r="P83" s="19">
        <f>('[1]Bilan 2030'!$E$54+'[1]Bilan 2030'!$E$56)/11.63</f>
        <v>10.361631849133435</v>
      </c>
      <c r="Q83" s="19">
        <v>0</v>
      </c>
      <c r="R83" s="19">
        <f>('[1]Bilan 2030'!$E$53+'[1]Bilan 2030'!$E$55+'[1]Bilan 2030'!$E$57)/11.63</f>
        <v>1.0671791207051695</v>
      </c>
      <c r="S83" s="120">
        <f t="shared" si="18"/>
        <v>14.854735471397074</v>
      </c>
      <c r="T83" s="245">
        <f>S83-SUM('[1]Bilan 2030'!$E$52:$E$57)/11.63</f>
        <v>0</v>
      </c>
      <c r="U83" s="178" t="s">
        <v>153</v>
      </c>
      <c r="V83" t="s">
        <v>154</v>
      </c>
      <c r="W83" t="s">
        <v>155</v>
      </c>
      <c r="X83" t="s">
        <v>156</v>
      </c>
      <c r="Y83" t="s">
        <v>157</v>
      </c>
      <c r="Z83" s="19">
        <v>1.0245942320000001</v>
      </c>
      <c r="AA83" s="19">
        <v>2.516253807</v>
      </c>
      <c r="AB83" s="19">
        <v>0</v>
      </c>
      <c r="AC83" s="19">
        <v>2.624489487</v>
      </c>
      <c r="AD83" s="120">
        <v>6.1653375260000001</v>
      </c>
    </row>
    <row r="84" spans="2:30" x14ac:dyDescent="0.25">
      <c r="C84" s="178" t="s">
        <v>25</v>
      </c>
      <c r="D84" t="s">
        <v>604</v>
      </c>
      <c r="E84" t="s">
        <v>605</v>
      </c>
      <c r="F84" t="s">
        <v>606</v>
      </c>
      <c r="G84" t="s">
        <v>607</v>
      </c>
      <c r="H84" s="19">
        <f>VLOOKUP(D84,Résultats!$B$2:$AX$476,'T energie vecteurs'!S5,FALSE)</f>
        <v>0</v>
      </c>
      <c r="I84" s="19">
        <f>VLOOKUP(E84,Résultats!$B$2:$AX$476,'T energie vecteurs'!S5,FALSE)</f>
        <v>2.6492024320000001</v>
      </c>
      <c r="J84" s="19">
        <f>VLOOKUP(F84,Résultats!$B$2:$AX$476,'T energie vecteurs'!S5,FALSE)</f>
        <v>0.35592402750000002</v>
      </c>
      <c r="K84" s="19">
        <f>VLOOKUP(G84,Résultats!$B$2:$AX$476,'T energie vecteurs'!S5,FALSE)</f>
        <v>0.37345168519999999</v>
      </c>
      <c r="L84" s="120">
        <f t="shared" si="17"/>
        <v>3.3785781447000001</v>
      </c>
      <c r="M84" s="19"/>
      <c r="N84" s="179" t="s">
        <v>25</v>
      </c>
      <c r="O84" s="36">
        <f>'[1]Bilan 2030'!$T$46/11.63</f>
        <v>0</v>
      </c>
      <c r="P84" s="35">
        <f>SUM('[1]Bilan 2030'!$T$41:$T$43)/11.63</f>
        <v>3.0639411119175732</v>
      </c>
      <c r="Q84" s="35">
        <f>'[1]Bilan 2030'!$T$13/11.63</f>
        <v>0.66849749048065465</v>
      </c>
      <c r="R84" s="35">
        <f>('[1]Bilan 2030'!$T$22+'[1]Bilan 2030'!$T$30+SUM('[1]Bilan 2030'!$T$36:$T$40)+SUM('[1]Bilan 2030'!$T$44:$T$45)+'[1]Bilan 2030'!$T$47)/11.63</f>
        <v>0.321548699857926</v>
      </c>
      <c r="S84" s="171">
        <f t="shared" si="18"/>
        <v>4.0539873022561537</v>
      </c>
      <c r="T84" s="245">
        <f>S84-'[1]Bilan 2030'!$T$5/11.63</f>
        <v>0</v>
      </c>
      <c r="U84" s="178" t="s">
        <v>25</v>
      </c>
      <c r="V84" t="s">
        <v>109</v>
      </c>
      <c r="W84" t="s">
        <v>110</v>
      </c>
      <c r="X84" t="s">
        <v>111</v>
      </c>
      <c r="Y84" t="s">
        <v>112</v>
      </c>
      <c r="Z84" s="19">
        <v>0</v>
      </c>
      <c r="AA84" s="19">
        <v>2.5662975640000001</v>
      </c>
      <c r="AB84" s="19">
        <v>0.3540018177</v>
      </c>
      <c r="AC84" s="19">
        <v>0.36958073499999999</v>
      </c>
      <c r="AD84" s="120">
        <v>3.2898801167</v>
      </c>
    </row>
    <row r="85" spans="2:30" x14ac:dyDescent="0.25">
      <c r="C85" s="29" t="s">
        <v>26</v>
      </c>
      <c r="D85" s="10"/>
      <c r="E85" s="10"/>
      <c r="F85" s="10"/>
      <c r="G85" s="10"/>
      <c r="H85" s="9">
        <f>SUM(H76,H79:H81)</f>
        <v>2.9345288634999998</v>
      </c>
      <c r="I85" s="9">
        <f>SUM(I76,I79:I81)</f>
        <v>60.156667487000007</v>
      </c>
      <c r="J85" s="9">
        <f>SUM(J76,J79:J81)</f>
        <v>45.373600224400001</v>
      </c>
      <c r="K85" s="9">
        <f>SUM(K76,K79:K81)</f>
        <v>46.493443328403998</v>
      </c>
      <c r="L85" s="123">
        <f>SUM(H85:K85)</f>
        <v>154.95823990330399</v>
      </c>
      <c r="M85" s="105"/>
      <c r="N85" s="180" t="s">
        <v>26</v>
      </c>
      <c r="O85" s="40">
        <f>O76+O79+O80+O81+O84</f>
        <v>3.9851054274374702</v>
      </c>
      <c r="P85" s="38">
        <f>P76+P79+P80+P81+P84</f>
        <v>51.958596319763863</v>
      </c>
      <c r="Q85" s="38">
        <f>Q76+Q79+Q80+Q81+Q84</f>
        <v>39.098089390719309</v>
      </c>
      <c r="R85" s="38">
        <f>R76+R79+R80+R81+R84</f>
        <v>42.983562642623433</v>
      </c>
      <c r="S85" s="173">
        <f t="shared" si="18"/>
        <v>138.02535378054407</v>
      </c>
      <c r="T85" s="105"/>
      <c r="U85" s="29" t="s">
        <v>26</v>
      </c>
      <c r="V85" s="10"/>
      <c r="W85" s="10"/>
      <c r="X85" s="10"/>
      <c r="Y85" s="10"/>
      <c r="Z85" s="9">
        <v>3.7690845281000001</v>
      </c>
      <c r="AA85" s="9">
        <v>66.227141717999999</v>
      </c>
      <c r="AB85" s="9">
        <v>42.799058560900001</v>
      </c>
      <c r="AC85" s="9">
        <v>46.942505288154905</v>
      </c>
      <c r="AD85" s="123">
        <v>159.73779009515491</v>
      </c>
    </row>
    <row r="86" spans="2:30" s="3" customFormat="1" x14ac:dyDescent="0.25">
      <c r="O86" s="103"/>
      <c r="P86" s="103"/>
      <c r="Q86" s="103"/>
      <c r="R86" s="104"/>
      <c r="S86" s="69"/>
    </row>
    <row r="87" spans="2:30" s="3" customFormat="1" x14ac:dyDescent="0.25">
      <c r="B87" s="84"/>
      <c r="K87" s="71"/>
      <c r="O87" s="105"/>
      <c r="P87" s="105"/>
      <c r="Q87" s="105"/>
      <c r="R87" s="106"/>
      <c r="S87" s="107"/>
      <c r="AC87" s="71"/>
    </row>
    <row r="88" spans="2:30" ht="31.5" x14ac:dyDescent="0.35">
      <c r="C88" s="174">
        <v>2035</v>
      </c>
      <c r="D88" s="175"/>
      <c r="E88" s="175"/>
      <c r="F88" s="175"/>
      <c r="G88" s="175"/>
      <c r="H88" s="101" t="s">
        <v>36</v>
      </c>
      <c r="I88" s="101" t="s">
        <v>159</v>
      </c>
      <c r="J88" s="101" t="s">
        <v>38</v>
      </c>
      <c r="K88" s="101" t="s">
        <v>158</v>
      </c>
      <c r="L88" s="118" t="s">
        <v>1</v>
      </c>
      <c r="M88" s="25"/>
      <c r="N88" s="174">
        <v>2035</v>
      </c>
      <c r="O88" s="170" t="s">
        <v>36</v>
      </c>
      <c r="P88" s="101" t="s">
        <v>159</v>
      </c>
      <c r="Q88" s="101" t="s">
        <v>38</v>
      </c>
      <c r="R88" s="101" t="s">
        <v>158</v>
      </c>
      <c r="S88" s="118" t="s">
        <v>1</v>
      </c>
      <c r="T88" s="25"/>
      <c r="U88" s="174">
        <v>2035</v>
      </c>
      <c r="V88" s="175"/>
      <c r="W88" s="175"/>
      <c r="X88" s="175"/>
      <c r="Y88" s="175"/>
      <c r="Z88" s="101" t="s">
        <v>36</v>
      </c>
      <c r="AA88" s="101" t="s">
        <v>159</v>
      </c>
      <c r="AB88" s="101" t="s">
        <v>38</v>
      </c>
      <c r="AC88" s="101" t="s">
        <v>158</v>
      </c>
      <c r="AD88" s="118" t="s">
        <v>1</v>
      </c>
    </row>
    <row r="89" spans="2:30" x14ac:dyDescent="0.25">
      <c r="C89" s="176" t="s">
        <v>18</v>
      </c>
      <c r="H89" s="8">
        <f>SUM(H90:H91)</f>
        <v>0</v>
      </c>
      <c r="I89" s="8">
        <f>SUM(I90:I91)</f>
        <v>34.985623599999997</v>
      </c>
      <c r="J89" s="8">
        <f>SUM(J90:J91)</f>
        <v>3.4745010930000002</v>
      </c>
      <c r="K89" s="8">
        <f>SUM(K90:K91)</f>
        <v>2.3023872677483999</v>
      </c>
      <c r="L89" s="121">
        <f t="shared" ref="L89:L98" si="20">SUM(H89:K89)</f>
        <v>40.762511960748398</v>
      </c>
      <c r="M89" s="99"/>
      <c r="N89" s="179" t="s">
        <v>18</v>
      </c>
      <c r="O89" s="36">
        <f>'[1]Bilan 2035'!$X$46/11.63</f>
        <v>0</v>
      </c>
      <c r="P89" s="35">
        <f>SUM('[1]Bilan 2035'!$X$41:$X$43)/11.63</f>
        <v>27.486457521711181</v>
      </c>
      <c r="Q89" s="35">
        <f>'[1]Bilan 2035'!$X$13/11.63</f>
        <v>4.0115827656184662</v>
      </c>
      <c r="R89" s="35">
        <f>('[1]Bilan 2035'!$X$22+'[1]Bilan 2035'!$X$30+SUM('[1]Bilan 2035'!$X$36:$X$40)+SUM('[1]Bilan 2035'!$X$44:$X$45)+'[1]Bilan 2035'!$X$47)/11.63</f>
        <v>2.2033171859401204</v>
      </c>
      <c r="S89" s="171">
        <f>SUM(O89:R89)</f>
        <v>33.701357473269766</v>
      </c>
      <c r="T89" s="99"/>
      <c r="U89" s="176" t="s">
        <v>18</v>
      </c>
      <c r="Z89" s="8">
        <v>0</v>
      </c>
      <c r="AA89" s="8">
        <v>38.668277180000004</v>
      </c>
      <c r="AB89" s="8">
        <v>4.3734985540000002</v>
      </c>
      <c r="AC89" s="8">
        <v>2.7136197354418998</v>
      </c>
      <c r="AD89" s="121">
        <v>45.755395469441908</v>
      </c>
    </row>
    <row r="90" spans="2:30" x14ac:dyDescent="0.25">
      <c r="C90" s="177" t="s">
        <v>19</v>
      </c>
      <c r="D90" t="s">
        <v>580</v>
      </c>
      <c r="E90" t="s">
        <v>581</v>
      </c>
      <c r="F90" t="s">
        <v>582</v>
      </c>
      <c r="G90" t="s">
        <v>583</v>
      </c>
      <c r="H90" s="19">
        <f>VLOOKUP(D90,Résultats!$B$2:$AX$476,'T energie vecteurs'!T5,FALSE)</f>
        <v>0</v>
      </c>
      <c r="I90" s="19">
        <f>VLOOKUP(E90,Résultats!$B$2:$AX$476,'T energie vecteurs'!T5,FALSE)</f>
        <v>16.551796899999999</v>
      </c>
      <c r="J90" s="19">
        <f>VLOOKUP(F90,Résultats!$B$2:$AX$476,'T energie vecteurs'!T5,FALSE)</f>
        <v>1.367120018</v>
      </c>
      <c r="K90" s="19">
        <f>VLOOKUP(G90,Résultats!$B$2:$AX$476,'T energie vecteurs'!T5,FALSE)</f>
        <v>4.1038748400000002E-5</v>
      </c>
      <c r="L90" s="120">
        <f t="shared" si="20"/>
        <v>17.9189579567484</v>
      </c>
      <c r="M90" s="19"/>
      <c r="N90" s="177" t="s">
        <v>19</v>
      </c>
      <c r="O90" s="172"/>
      <c r="P90" s="19"/>
      <c r="Q90" s="55"/>
      <c r="R90" s="19"/>
      <c r="S90" s="120"/>
      <c r="T90" s="19"/>
      <c r="U90" s="177" t="s">
        <v>19</v>
      </c>
      <c r="V90" t="s">
        <v>89</v>
      </c>
      <c r="W90" t="s">
        <v>90</v>
      </c>
      <c r="X90" t="s">
        <v>91</v>
      </c>
      <c r="Y90" t="s">
        <v>92</v>
      </c>
      <c r="Z90" s="19">
        <v>0</v>
      </c>
      <c r="AA90" s="19">
        <v>16.9723297</v>
      </c>
      <c r="AB90" s="59">
        <v>1.366200434</v>
      </c>
      <c r="AC90" s="19">
        <v>2.9232441900000001E-5</v>
      </c>
      <c r="AD90" s="120">
        <v>18.338559366441899</v>
      </c>
    </row>
    <row r="91" spans="2:30" x14ac:dyDescent="0.25">
      <c r="C91" s="178" t="s">
        <v>20</v>
      </c>
      <c r="D91" t="s">
        <v>584</v>
      </c>
      <c r="E91" t="s">
        <v>585</v>
      </c>
      <c r="F91" t="s">
        <v>586</v>
      </c>
      <c r="G91" t="s">
        <v>587</v>
      </c>
      <c r="H91" s="19">
        <f>VLOOKUP(D91,Résultats!$B$2:$AX$476,'T energie vecteurs'!T5,FALSE)</f>
        <v>0</v>
      </c>
      <c r="I91" s="19">
        <f>VLOOKUP(E91,Résultats!$B$2:$AX$476,'T energie vecteurs'!T5,FALSE)</f>
        <v>18.433826700000001</v>
      </c>
      <c r="J91" s="19">
        <f>VLOOKUP(F91,Résultats!$B$2:$AX$476,'T energie vecteurs'!T5,FALSE)</f>
        <v>2.1073810750000002</v>
      </c>
      <c r="K91" s="19">
        <f>VLOOKUP(G91,Résultats!$B$2:$AX$476,'T energie vecteurs'!T5,FALSE)</f>
        <v>2.3023462289999999</v>
      </c>
      <c r="L91" s="120">
        <f t="shared" si="20"/>
        <v>22.843554004000001</v>
      </c>
      <c r="M91" s="19"/>
      <c r="N91" s="178" t="s">
        <v>20</v>
      </c>
      <c r="O91" s="172"/>
      <c r="P91" s="19"/>
      <c r="Q91" s="55"/>
      <c r="R91" s="19"/>
      <c r="S91" s="120"/>
      <c r="T91" s="19"/>
      <c r="U91" s="178" t="s">
        <v>20</v>
      </c>
      <c r="V91" t="s">
        <v>93</v>
      </c>
      <c r="W91" t="s">
        <v>94</v>
      </c>
      <c r="X91" t="s">
        <v>95</v>
      </c>
      <c r="Y91" t="s">
        <v>96</v>
      </c>
      <c r="Z91" s="19">
        <v>0</v>
      </c>
      <c r="AA91" s="19">
        <v>21.695947480000001</v>
      </c>
      <c r="AB91" s="19">
        <v>3.0072981200000002</v>
      </c>
      <c r="AC91" s="19">
        <v>2.7135905029999998</v>
      </c>
      <c r="AD91" s="120">
        <v>27.416836103000001</v>
      </c>
    </row>
    <row r="92" spans="2:30" x14ac:dyDescent="0.25">
      <c r="C92" s="176" t="s">
        <v>21</v>
      </c>
      <c r="D92" t="s">
        <v>588</v>
      </c>
      <c r="E92" t="s">
        <v>589</v>
      </c>
      <c r="F92" t="s">
        <v>590</v>
      </c>
      <c r="G92" t="s">
        <v>591</v>
      </c>
      <c r="H92" s="8">
        <f>VLOOKUP(D92,Résultats!$B$2:$AX$476,'T energie vecteurs'!T5,FALSE)</f>
        <v>0.17667208879999999</v>
      </c>
      <c r="I92" s="8">
        <f>VLOOKUP(E92,Résultats!$B$2:$AX$476,'T energie vecteurs'!T5,FALSE)</f>
        <v>4.7686168110000002</v>
      </c>
      <c r="J92" s="8">
        <f>VLOOKUP(F92,Résultats!$B$2:$AX$476,'T energie vecteurs'!T5,FALSE)</f>
        <v>16.186967549999999</v>
      </c>
      <c r="K92" s="8">
        <f>VLOOKUP(G92,Résultats!$B$2:$AX$476,'T energie vecteurs'!T5,FALSE)+8</f>
        <v>20.049491109999998</v>
      </c>
      <c r="L92" s="121">
        <f t="shared" si="20"/>
        <v>41.181747559800002</v>
      </c>
      <c r="M92" s="99"/>
      <c r="N92" s="179" t="s">
        <v>21</v>
      </c>
      <c r="O92" s="36">
        <f>'[1]Bilan 2035'!$V$46/11.63</f>
        <v>0</v>
      </c>
      <c r="P92" s="35">
        <f>SUM('[1]Bilan 2035'!$V$41:$V$43)/11.63</f>
        <v>2.0951035895513908</v>
      </c>
      <c r="Q92" s="35">
        <f>'[1]Bilan 2035'!$V$13/11.63</f>
        <v>15.742193210619391</v>
      </c>
      <c r="R92" s="35">
        <f>('[1]Bilan 2035'!$V$22+'[1]Bilan 2035'!$V$30+SUM('[1]Bilan 2035'!$V$36:$V$40)+SUM('[1]Bilan 2035'!$V$44:$V$45)+'[1]Bilan 2035'!$V$47)/11.63</f>
        <v>20.967584673572926</v>
      </c>
      <c r="S92" s="171">
        <f t="shared" ref="S92:S98" si="21">SUM(O92:R92)</f>
        <v>38.804881473743706</v>
      </c>
      <c r="T92" s="99"/>
      <c r="U92" s="176" t="s">
        <v>21</v>
      </c>
      <c r="V92" t="s">
        <v>97</v>
      </c>
      <c r="W92" t="s">
        <v>98</v>
      </c>
      <c r="X92" t="s">
        <v>99</v>
      </c>
      <c r="Y92" t="s">
        <v>100</v>
      </c>
      <c r="Z92" s="263">
        <v>0.1572168089</v>
      </c>
      <c r="AA92" s="263">
        <v>3.899314553</v>
      </c>
      <c r="AB92" s="263">
        <v>15.55518461</v>
      </c>
      <c r="AC92" s="263">
        <v>18.95424723</v>
      </c>
      <c r="AD92" s="264">
        <v>38.565963201900004</v>
      </c>
    </row>
    <row r="93" spans="2:30" x14ac:dyDescent="0.25">
      <c r="C93" s="176" t="s">
        <v>22</v>
      </c>
      <c r="D93" t="s">
        <v>592</v>
      </c>
      <c r="E93" t="s">
        <v>593</v>
      </c>
      <c r="F93" t="s">
        <v>594</v>
      </c>
      <c r="G93" t="s">
        <v>595</v>
      </c>
      <c r="H93" s="8">
        <f>VLOOKUP(D93,Résultats!$B$2:$AX$476,'T energie vecteurs'!T5,FALSE)</f>
        <v>0</v>
      </c>
      <c r="I93" s="8">
        <f>VLOOKUP(E93,Résultats!$B$2:$AX$476,'T energie vecteurs'!T5,FALSE)</f>
        <v>2.2456288780000002</v>
      </c>
      <c r="J93" s="8">
        <f>VLOOKUP(F93,Résultats!$B$2:$AX$476,'T energie vecteurs'!T5,FALSE)</f>
        <v>14.89394826</v>
      </c>
      <c r="K93" s="8">
        <f>VLOOKUP(G93,Résultats!$B$2:$AX$476,'T energie vecteurs'!T5,FALSE)</f>
        <v>7.7228422490000002</v>
      </c>
      <c r="L93" s="121">
        <f t="shared" si="20"/>
        <v>24.862419386999999</v>
      </c>
      <c r="M93" s="99"/>
      <c r="N93" s="179" t="s">
        <v>22</v>
      </c>
      <c r="O93" s="36">
        <f>('[1]Bilan 2035'!$W$46)/11.63</f>
        <v>0</v>
      </c>
      <c r="P93" s="35">
        <f>SUM('[1]Bilan 2035'!$W$41:$W$43)/11.63</f>
        <v>0.78619437858671104</v>
      </c>
      <c r="Q93" s="35">
        <f>('[1]Bilan 2035'!$W$13)/11.63</f>
        <v>11.60340380118288</v>
      </c>
      <c r="R93" s="35">
        <f>('[1]Bilan 2035'!$W$22+'[1]Bilan 2035'!$W$30+SUM('[1]Bilan 2035'!$W$36:$W$40)+SUM('[1]Bilan 2035'!$W$44:$W$45)+'[1]Bilan 2035'!$W$47)/11.63</f>
        <v>6.9321344622243126</v>
      </c>
      <c r="S93" s="171">
        <f t="shared" si="21"/>
        <v>19.321732641993904</v>
      </c>
      <c r="T93" s="99"/>
      <c r="U93" s="176" t="s">
        <v>22</v>
      </c>
      <c r="V93" t="s">
        <v>101</v>
      </c>
      <c r="W93" t="s">
        <v>102</v>
      </c>
      <c r="X93" t="s">
        <v>103</v>
      </c>
      <c r="Y93" t="s">
        <v>104</v>
      </c>
      <c r="Z93" s="8">
        <v>0</v>
      </c>
      <c r="AA93" s="8">
        <v>1.9031772140000001</v>
      </c>
      <c r="AB93" s="8">
        <v>13.323713789999999</v>
      </c>
      <c r="AC93" s="8">
        <v>7.4212506149999999</v>
      </c>
      <c r="AD93" s="121">
        <v>22.648141619</v>
      </c>
    </row>
    <row r="94" spans="2:30" x14ac:dyDescent="0.25">
      <c r="C94" s="176" t="s">
        <v>23</v>
      </c>
      <c r="H94" s="8">
        <f>SUM(H95:H97)</f>
        <v>2.8204574306000003</v>
      </c>
      <c r="I94" s="8">
        <f>SUM(I95:I97)</f>
        <v>15.639835766999999</v>
      </c>
      <c r="J94" s="8">
        <f>SUM(J95:J97)</f>
        <v>13.4848469983</v>
      </c>
      <c r="K94" s="8">
        <f>SUM(K95:K97)</f>
        <v>17.469465742199997</v>
      </c>
      <c r="L94" s="121">
        <f t="shared" si="20"/>
        <v>49.414605938099996</v>
      </c>
      <c r="M94" s="99"/>
      <c r="N94" s="179" t="s">
        <v>280</v>
      </c>
      <c r="O94" s="36">
        <f>O95+O96</f>
        <v>3.9553292854700368</v>
      </c>
      <c r="P94" s="35">
        <f t="shared" ref="P94:R94" si="22">P95+P96</f>
        <v>11.944511664213444</v>
      </c>
      <c r="Q94" s="35">
        <f t="shared" si="22"/>
        <v>9.4578136584636443</v>
      </c>
      <c r="R94" s="35">
        <f t="shared" si="22"/>
        <v>13.231890023314502</v>
      </c>
      <c r="S94" s="171">
        <f t="shared" si="21"/>
        <v>38.589544631461621</v>
      </c>
      <c r="T94" s="99"/>
      <c r="U94" s="176" t="s">
        <v>23</v>
      </c>
      <c r="Z94" s="8">
        <v>3.9399808370000002</v>
      </c>
      <c r="AA94" s="8">
        <v>20.543176041000002</v>
      </c>
      <c r="AB94" s="8">
        <v>13.378807820700001</v>
      </c>
      <c r="AC94" s="8">
        <v>19.409515790299999</v>
      </c>
      <c r="AD94" s="121">
        <v>57.271480489000005</v>
      </c>
    </row>
    <row r="95" spans="2:30" x14ac:dyDescent="0.25">
      <c r="C95" s="178" t="s">
        <v>24</v>
      </c>
      <c r="D95" t="s">
        <v>596</v>
      </c>
      <c r="E95" t="s">
        <v>597</v>
      </c>
      <c r="F95" t="s">
        <v>598</v>
      </c>
      <c r="G95" t="s">
        <v>599</v>
      </c>
      <c r="H95" s="19">
        <f>VLOOKUP(D95,Résultats!$B$2:$AX$476,'T energie vecteurs'!T5,FALSE)</f>
        <v>1.8585838830000001</v>
      </c>
      <c r="I95" s="19">
        <f>VLOOKUP(E95,Résultats!$B$2:$AX$476,'T energie vecteurs'!T5,FALSE)</f>
        <v>10.44965841</v>
      </c>
      <c r="J95" s="19">
        <f>VLOOKUP(F95,Résultats!$B$2:$AX$476,'T energie vecteurs'!T5,FALSE)</f>
        <v>13.10612512</v>
      </c>
      <c r="K95" s="19">
        <f>VLOOKUP(G95,Résultats!$B$2:$AX$476,'T energie vecteurs'!T5,FALSE)</f>
        <v>14.685685729999999</v>
      </c>
      <c r="L95" s="120">
        <f t="shared" si="20"/>
        <v>40.100053142999997</v>
      </c>
      <c r="M95" s="19"/>
      <c r="N95" s="178" t="s">
        <v>281</v>
      </c>
      <c r="O95" s="172">
        <f>'[1]Bilan 2035'!$U$46/11.63</f>
        <v>0.53312193513684658</v>
      </c>
      <c r="P95" s="37">
        <f>SUM('[1]Bilan 2035'!$U$41:$U$43)/11.63</f>
        <v>2.0748420527036808</v>
      </c>
      <c r="Q95" s="37">
        <f>'[1]Bilan 2035'!$U$13/11.63</f>
        <v>9.4578136584636443</v>
      </c>
      <c r="R95" s="37">
        <f>('[1]Bilan 2035'!$U$22+'[1]Bilan 2035'!$U$30+SUM('[1]Bilan 2035'!$U$36:$U$40)+SUM('[1]Bilan 2035'!$U$44:$U$45)+'[1]Bilan 2035'!$U$47)/11.63</f>
        <v>12.12241416055519</v>
      </c>
      <c r="S95" s="120">
        <f t="shared" si="21"/>
        <v>24.188191806859361</v>
      </c>
      <c r="T95" s="19"/>
      <c r="U95" s="178" t="s">
        <v>24</v>
      </c>
      <c r="V95" t="s">
        <v>105</v>
      </c>
      <c r="W95" t="s">
        <v>106</v>
      </c>
      <c r="X95" t="s">
        <v>107</v>
      </c>
      <c r="Y95" t="s">
        <v>108</v>
      </c>
      <c r="Z95" s="19">
        <v>2.8145349749999999</v>
      </c>
      <c r="AA95" s="19">
        <v>14.926587850000001</v>
      </c>
      <c r="AB95" s="19">
        <v>12.97554289</v>
      </c>
      <c r="AC95" s="19">
        <v>16.085233370000001</v>
      </c>
      <c r="AD95" s="120">
        <v>46.801899085000002</v>
      </c>
    </row>
    <row r="96" spans="2:30" x14ac:dyDescent="0.25">
      <c r="C96" s="178" t="s">
        <v>153</v>
      </c>
      <c r="D96" t="s">
        <v>600</v>
      </c>
      <c r="E96" t="s">
        <v>601</v>
      </c>
      <c r="F96" t="s">
        <v>602</v>
      </c>
      <c r="G96" t="s">
        <v>603</v>
      </c>
      <c r="H96" s="19">
        <f>VLOOKUP(D96,Résultats!$B$2:$AX$476,'T energie vecteurs'!T5,FALSE)</f>
        <v>0.96187354759999999</v>
      </c>
      <c r="I96" s="19">
        <f>VLOOKUP(E96,Résultats!$B$2:$AX$476,'T energie vecteurs'!T5,FALSE)</f>
        <v>2.3220422159999998</v>
      </c>
      <c r="J96" s="19">
        <f>VLOOKUP(F96,Résultats!$B$2:$AX$476,'T energie vecteurs'!T5,FALSE)</f>
        <v>0</v>
      </c>
      <c r="K96" s="19">
        <f>VLOOKUP(G96,Résultats!$B$2:$AX$476,'T energie vecteurs'!T5,FALSE)</f>
        <v>2.3899154380000001</v>
      </c>
      <c r="L96" s="120">
        <f t="shared" si="20"/>
        <v>5.6738312015999997</v>
      </c>
      <c r="M96" s="19"/>
      <c r="N96" s="178" t="s">
        <v>153</v>
      </c>
      <c r="O96" s="28">
        <f>'[1]Bilan 2035'!$E$52/11.63</f>
        <v>3.4222073503331902</v>
      </c>
      <c r="P96" s="19">
        <f>('[1]Bilan 2035'!$E$54+'[1]Bilan 2035'!$E$56)/11.63</f>
        <v>9.8696696115097637</v>
      </c>
      <c r="Q96" s="19">
        <v>0</v>
      </c>
      <c r="R96" s="19">
        <f>('[1]Bilan 2035'!$E$53+'[1]Bilan 2035'!$E$55+'[1]Bilan 2035'!$E$57)/11.63</f>
        <v>1.1094758627593131</v>
      </c>
      <c r="S96" s="120">
        <f t="shared" si="21"/>
        <v>14.401352824602267</v>
      </c>
      <c r="T96" s="19"/>
      <c r="U96" s="178" t="s">
        <v>153</v>
      </c>
      <c r="V96" t="s">
        <v>154</v>
      </c>
      <c r="W96" t="s">
        <v>155</v>
      </c>
      <c r="X96" t="s">
        <v>156</v>
      </c>
      <c r="Y96" t="s">
        <v>157</v>
      </c>
      <c r="Z96" s="19">
        <v>1.1254458620000001</v>
      </c>
      <c r="AA96" s="19">
        <v>2.8182461910000001</v>
      </c>
      <c r="AB96" s="19">
        <v>0</v>
      </c>
      <c r="AC96" s="19">
        <v>2.9238783970000002</v>
      </c>
      <c r="AD96" s="120">
        <v>6.8675704500000005</v>
      </c>
    </row>
    <row r="97" spans="3:30" x14ac:dyDescent="0.25">
      <c r="C97" s="178" t="s">
        <v>25</v>
      </c>
      <c r="D97" t="s">
        <v>604</v>
      </c>
      <c r="E97" t="s">
        <v>605</v>
      </c>
      <c r="F97" t="s">
        <v>606</v>
      </c>
      <c r="G97" t="s">
        <v>607</v>
      </c>
      <c r="H97" s="19">
        <f>VLOOKUP(D97,Résultats!$B$2:$AX$476,'T energie vecteurs'!T5,FALSE)</f>
        <v>0</v>
      </c>
      <c r="I97" s="19">
        <f>VLOOKUP(E97,Résultats!$B$2:$AX$476,'T energie vecteurs'!T5,FALSE)</f>
        <v>2.8681351410000002</v>
      </c>
      <c r="J97" s="19">
        <f>VLOOKUP(F97,Résultats!$B$2:$AX$476,'T energie vecteurs'!T5,FALSE)</f>
        <v>0.37872187829999998</v>
      </c>
      <c r="K97" s="19">
        <f>VLOOKUP(G97,Résultats!$B$2:$AX$476,'T energie vecteurs'!T5,FALSE)</f>
        <v>0.39386457419999998</v>
      </c>
      <c r="L97" s="120">
        <f t="shared" si="20"/>
        <v>3.6407215935000004</v>
      </c>
      <c r="M97" s="19"/>
      <c r="N97" s="179" t="s">
        <v>25</v>
      </c>
      <c r="O97" s="36">
        <f>'[1]Bilan 2035'!$T$46/11.63</f>
        <v>0</v>
      </c>
      <c r="P97" s="35">
        <f>SUM('[1]Bilan 2035'!$T$41:$T$43)/11.63</f>
        <v>2.9333630598729807</v>
      </c>
      <c r="Q97" s="35">
        <f>'[1]Bilan 2035'!$T$13/11.63</f>
        <v>0.61074147074884144</v>
      </c>
      <c r="R97" s="35">
        <f>('[1]Bilan 2035'!$T$22+'[1]Bilan 2035'!$T$30+SUM('[1]Bilan 2035'!$T$36:$T$40)+SUM('[1]Bilan 2035'!$T$44:$T$45)+'[1]Bilan 2035'!$T$47)/11.63</f>
        <v>0.3773602321326443</v>
      </c>
      <c r="S97" s="171">
        <f t="shared" si="21"/>
        <v>3.9214647627544661</v>
      </c>
      <c r="T97" s="19"/>
      <c r="U97" s="178" t="s">
        <v>25</v>
      </c>
      <c r="V97" t="s">
        <v>109</v>
      </c>
      <c r="W97" t="s">
        <v>110</v>
      </c>
      <c r="X97" t="s">
        <v>111</v>
      </c>
      <c r="Y97" t="s">
        <v>112</v>
      </c>
      <c r="Z97" s="19">
        <v>0</v>
      </c>
      <c r="AA97" s="19">
        <v>2.7983419999999999</v>
      </c>
      <c r="AB97" s="19">
        <v>0.40326493070000002</v>
      </c>
      <c r="AC97" s="19">
        <v>0.40040402330000002</v>
      </c>
      <c r="AD97" s="120">
        <v>3.6020109539999998</v>
      </c>
    </row>
    <row r="98" spans="3:30" x14ac:dyDescent="0.25">
      <c r="C98" s="29" t="s">
        <v>26</v>
      </c>
      <c r="D98" s="10"/>
      <c r="E98" s="10"/>
      <c r="F98" s="10"/>
      <c r="G98" s="10"/>
      <c r="H98" s="9">
        <f>SUM(H89,H92:H94)</f>
        <v>2.9971295194000005</v>
      </c>
      <c r="I98" s="9">
        <f>SUM(I89,I92:I94)</f>
        <v>57.639705055999997</v>
      </c>
      <c r="J98" s="9">
        <f>SUM(J89,J92:J94)</f>
        <v>48.040263901300001</v>
      </c>
      <c r="K98" s="9">
        <f>SUM(K89,K92:K94)</f>
        <v>47.544186368948395</v>
      </c>
      <c r="L98" s="123">
        <f t="shared" si="20"/>
        <v>156.2212848456484</v>
      </c>
      <c r="M98" s="105"/>
      <c r="N98" s="180" t="s">
        <v>26</v>
      </c>
      <c r="O98" s="40">
        <f>O89+O92+O93+O94+O97</f>
        <v>3.9553292854700368</v>
      </c>
      <c r="P98" s="38">
        <f>P89+P92+P93+P94+P97</f>
        <v>45.245630213935705</v>
      </c>
      <c r="Q98" s="38">
        <f>Q89+Q92+Q93+Q94+Q97</f>
        <v>41.425734906633224</v>
      </c>
      <c r="R98" s="38">
        <f>R89+R92+R93+R94+R97</f>
        <v>43.7122865771845</v>
      </c>
      <c r="S98" s="173">
        <f t="shared" si="21"/>
        <v>134.33898098322345</v>
      </c>
      <c r="T98" s="105"/>
      <c r="U98" s="29" t="s">
        <v>26</v>
      </c>
      <c r="V98" s="10"/>
      <c r="W98" s="10"/>
      <c r="X98" s="10"/>
      <c r="Y98" s="10"/>
      <c r="Z98" s="9">
        <v>4.0971976459000006</v>
      </c>
      <c r="AA98" s="9">
        <v>65.013944988000006</v>
      </c>
      <c r="AB98" s="9">
        <v>46.631204774699995</v>
      </c>
      <c r="AC98" s="9">
        <v>48.498633370741899</v>
      </c>
      <c r="AD98" s="123">
        <v>164.2409807793419</v>
      </c>
    </row>
    <row r="99" spans="3:30" s="3" customFormat="1" x14ac:dyDescent="0.25"/>
    <row r="100" spans="3:30" s="3" customFormat="1" x14ac:dyDescent="0.25"/>
    <row r="101" spans="3:30" s="3" customFormat="1" ht="31.5" x14ac:dyDescent="0.35">
      <c r="C101" s="174">
        <v>2040</v>
      </c>
      <c r="D101" s="175"/>
      <c r="E101" s="175"/>
      <c r="F101" s="175"/>
      <c r="G101" s="175"/>
      <c r="H101" s="101" t="s">
        <v>36</v>
      </c>
      <c r="I101" s="101" t="s">
        <v>159</v>
      </c>
      <c r="J101" s="101" t="s">
        <v>38</v>
      </c>
      <c r="K101" s="101" t="s">
        <v>158</v>
      </c>
      <c r="L101" s="118" t="s">
        <v>1</v>
      </c>
      <c r="M101" s="25"/>
      <c r="N101" s="174">
        <v>2040</v>
      </c>
      <c r="O101" s="170" t="s">
        <v>36</v>
      </c>
      <c r="P101" s="101" t="s">
        <v>159</v>
      </c>
      <c r="Q101" s="101" t="s">
        <v>38</v>
      </c>
      <c r="R101" s="101" t="s">
        <v>158</v>
      </c>
      <c r="S101" s="118" t="s">
        <v>1</v>
      </c>
      <c r="U101" s="174">
        <v>2040</v>
      </c>
      <c r="V101" s="175"/>
      <c r="W101" s="175"/>
      <c r="X101" s="175"/>
      <c r="Y101" s="175"/>
      <c r="Z101" s="101" t="s">
        <v>36</v>
      </c>
      <c r="AA101" s="101" t="s">
        <v>159</v>
      </c>
      <c r="AB101" s="101" t="s">
        <v>38</v>
      </c>
      <c r="AC101" s="101" t="s">
        <v>158</v>
      </c>
      <c r="AD101" s="118" t="s">
        <v>1</v>
      </c>
    </row>
    <row r="102" spans="3:30" s="3" customFormat="1" x14ac:dyDescent="0.25">
      <c r="C102" s="176" t="s">
        <v>18</v>
      </c>
      <c r="D102"/>
      <c r="E102"/>
      <c r="F102"/>
      <c r="G102"/>
      <c r="H102" s="8">
        <f>SUM(H103:H104)</f>
        <v>0</v>
      </c>
      <c r="I102" s="8">
        <f>SUM(I103:I104)</f>
        <v>32.632158789999998</v>
      </c>
      <c r="J102" s="8">
        <f>SUM(J103:J104)</f>
        <v>4.530914546</v>
      </c>
      <c r="K102" s="8">
        <f>SUM(K103:K104)</f>
        <v>3.1522009511617002</v>
      </c>
      <c r="L102" s="121">
        <f t="shared" ref="L102:L111" si="23">SUM(H102:K102)</f>
        <v>40.315274287161699</v>
      </c>
      <c r="M102" s="99"/>
      <c r="N102" s="179" t="s">
        <v>18</v>
      </c>
      <c r="O102" s="36">
        <f>'[1]Bilan 2040'!$X$46/11.63</f>
        <v>0</v>
      </c>
      <c r="P102" s="35">
        <f>SUM('[1]Bilan 2040'!$X$41:$X$43)/11.63</f>
        <v>23.504697168694122</v>
      </c>
      <c r="Q102" s="35">
        <f>'[1]Bilan 2040'!$X$13/11.63</f>
        <v>5.3384407017958537</v>
      </c>
      <c r="R102" s="35">
        <f>('[1]Bilan 2040'!$X$22+'[1]Bilan 2040'!$X$30+SUM('[1]Bilan 2040'!$X$36:$X$40)+SUM('[1]Bilan 2040'!$X$44:$X$45)+'[1]Bilan 2040'!$X$47)/11.63</f>
        <v>2.7897080492637398</v>
      </c>
      <c r="S102" s="171">
        <f>SUM(O102:R102)</f>
        <v>31.632845919753716</v>
      </c>
      <c r="U102" s="176" t="s">
        <v>18</v>
      </c>
      <c r="V102"/>
      <c r="W102"/>
      <c r="X102"/>
      <c r="Y102"/>
      <c r="Z102" s="8">
        <v>0</v>
      </c>
      <c r="AA102" s="8">
        <v>36.959097059999998</v>
      </c>
      <c r="AB102" s="8">
        <v>5.7191832749999998</v>
      </c>
      <c r="AC102" s="8">
        <v>3.7855244943277997</v>
      </c>
      <c r="AD102" s="121">
        <v>46.463804829327799</v>
      </c>
    </row>
    <row r="103" spans="3:30" s="3" customFormat="1" x14ac:dyDescent="0.25">
      <c r="C103" s="177" t="s">
        <v>19</v>
      </c>
      <c r="D103" t="s">
        <v>580</v>
      </c>
      <c r="E103" t="s">
        <v>581</v>
      </c>
      <c r="F103" t="s">
        <v>582</v>
      </c>
      <c r="G103" t="s">
        <v>583</v>
      </c>
      <c r="H103" s="37">
        <f>VLOOKUP(D103,Résultats!$B$2:$AX$476,'T energie vecteurs'!U5,FALSE)</f>
        <v>0</v>
      </c>
      <c r="I103" s="37">
        <f>VLOOKUP(E103,Résultats!$B$2:$AX$476,'T energie vecteurs'!U5,FALSE)</f>
        <v>14.219226799999999</v>
      </c>
      <c r="J103" s="37">
        <f>VLOOKUP(F103,Résultats!$B$2:$AX$476,'T energie vecteurs'!U5,FALSE)</f>
        <v>2.0301768550000001</v>
      </c>
      <c r="K103" s="37">
        <f>VLOOKUP(G103,Résultats!$B$2:$AX$476,'T energie vecteurs'!U5,FALSE)</f>
        <v>4.42501617E-5</v>
      </c>
      <c r="L103" s="266">
        <f t="shared" si="23"/>
        <v>16.249447905161698</v>
      </c>
      <c r="M103" s="19"/>
      <c r="N103" s="177" t="s">
        <v>19</v>
      </c>
      <c r="O103" s="172"/>
      <c r="P103" s="19"/>
      <c r="Q103" s="55"/>
      <c r="R103" s="19"/>
      <c r="S103" s="120"/>
      <c r="U103" s="177" t="s">
        <v>19</v>
      </c>
      <c r="V103" t="s">
        <v>89</v>
      </c>
      <c r="W103" t="s">
        <v>90</v>
      </c>
      <c r="X103" t="s">
        <v>91</v>
      </c>
      <c r="Y103" t="s">
        <v>92</v>
      </c>
      <c r="Z103" s="37">
        <v>0</v>
      </c>
      <c r="AA103" s="37">
        <v>14.646265290000001</v>
      </c>
      <c r="AB103" s="265">
        <v>2.037764567</v>
      </c>
      <c r="AC103" s="37">
        <v>3.2073327799999997E-5</v>
      </c>
      <c r="AD103" s="266">
        <v>16.6840619303278</v>
      </c>
    </row>
    <row r="104" spans="3:30" s="3" customFormat="1" x14ac:dyDescent="0.25">
      <c r="C104" s="178" t="s">
        <v>20</v>
      </c>
      <c r="D104" t="s">
        <v>584</v>
      </c>
      <c r="E104" t="s">
        <v>585</v>
      </c>
      <c r="F104" t="s">
        <v>586</v>
      </c>
      <c r="G104" t="s">
        <v>587</v>
      </c>
      <c r="H104" s="37">
        <f>VLOOKUP(D104,Résultats!$B$2:$AX$476,'T energie vecteurs'!U5,FALSE)</f>
        <v>0</v>
      </c>
      <c r="I104" s="37">
        <f>VLOOKUP(E104,Résultats!$B$2:$AX$476,'T energie vecteurs'!U5,FALSE)</f>
        <v>18.412931990000001</v>
      </c>
      <c r="J104" s="37">
        <f>VLOOKUP(F104,Résultats!$B$2:$AX$476,'T energie vecteurs'!U5,FALSE)</f>
        <v>2.5007376909999999</v>
      </c>
      <c r="K104" s="37">
        <f>VLOOKUP(G104,Résultats!$B$2:$AX$476,'T energie vecteurs'!U5,FALSE)</f>
        <v>3.152156701</v>
      </c>
      <c r="L104" s="266">
        <f t="shared" si="23"/>
        <v>24.065826382000001</v>
      </c>
      <c r="M104" s="19"/>
      <c r="N104" s="178" t="s">
        <v>20</v>
      </c>
      <c r="O104" s="172"/>
      <c r="P104" s="19"/>
      <c r="Q104" s="55"/>
      <c r="R104" s="19"/>
      <c r="S104" s="120"/>
      <c r="U104" s="178" t="s">
        <v>20</v>
      </c>
      <c r="V104" t="s">
        <v>93</v>
      </c>
      <c r="W104" t="s">
        <v>94</v>
      </c>
      <c r="X104" t="s">
        <v>95</v>
      </c>
      <c r="Y104" t="s">
        <v>96</v>
      </c>
      <c r="Z104" s="37">
        <v>0</v>
      </c>
      <c r="AA104" s="37">
        <v>22.312831769999999</v>
      </c>
      <c r="AB104" s="37">
        <v>3.6814187079999998</v>
      </c>
      <c r="AC104" s="37">
        <v>3.7854924209999998</v>
      </c>
      <c r="AD104" s="266">
        <v>29.779742898999999</v>
      </c>
    </row>
    <row r="105" spans="3:30" s="3" customFormat="1" x14ac:dyDescent="0.25">
      <c r="C105" s="176" t="s">
        <v>21</v>
      </c>
      <c r="D105" t="s">
        <v>588</v>
      </c>
      <c r="E105" t="s">
        <v>589</v>
      </c>
      <c r="F105" t="s">
        <v>590</v>
      </c>
      <c r="G105" t="s">
        <v>591</v>
      </c>
      <c r="H105" s="267">
        <f>VLOOKUP(D105,Résultats!$B$2:$AX$476,'T energie vecteurs'!U5,FALSE)</f>
        <v>0.16123782819999999</v>
      </c>
      <c r="I105" s="267">
        <f>VLOOKUP(E105,Résultats!$B$2:$AX$476,'T energie vecteurs'!U5,FALSE)</f>
        <v>4.5737219119999999</v>
      </c>
      <c r="J105" s="267">
        <f>VLOOKUP(F105,Résultats!$B$2:$AX$476,'T energie vecteurs'!U5,FALSE)</f>
        <v>16.63329521</v>
      </c>
      <c r="K105" s="267">
        <f>VLOOKUP(G105,Résultats!$B$2:$AX$476,'T energie vecteurs'!U5,FALSE)+8</f>
        <v>19.647149750000001</v>
      </c>
      <c r="L105" s="268">
        <f t="shared" si="23"/>
        <v>41.015404700200001</v>
      </c>
      <c r="M105" s="99"/>
      <c r="N105" s="179" t="s">
        <v>21</v>
      </c>
      <c r="O105" s="36">
        <f>'[1]Bilan 2040'!$V$46/11.63</f>
        <v>0</v>
      </c>
      <c r="P105" s="35">
        <f>SUM('[1]Bilan 2040'!$V$41:$V$43)/11.63</f>
        <v>1.5217705718446504</v>
      </c>
      <c r="Q105" s="35">
        <f>'[1]Bilan 2040'!$V$13/11.63</f>
        <v>16.100467182146332</v>
      </c>
      <c r="R105" s="35">
        <f>('[1]Bilan 2040'!$V$22+'[1]Bilan 2040'!$V$30+SUM('[1]Bilan 2040'!$V$36:$V$40)+SUM('[1]Bilan 2040'!$V$44:$V$45)+'[1]Bilan 2040'!$V$47)/11.63</f>
        <v>20.91841103225741</v>
      </c>
      <c r="S105" s="171">
        <f t="shared" ref="S105:S111" si="24">SUM(O105:R105)</f>
        <v>38.540648786248397</v>
      </c>
      <c r="U105" s="176" t="s">
        <v>21</v>
      </c>
      <c r="V105" t="s">
        <v>97</v>
      </c>
      <c r="W105" t="s">
        <v>98</v>
      </c>
      <c r="X105" t="s">
        <v>99</v>
      </c>
      <c r="Y105" t="s">
        <v>100</v>
      </c>
      <c r="Z105" s="267">
        <v>0.1379359845</v>
      </c>
      <c r="AA105" s="267">
        <v>3.449879954</v>
      </c>
      <c r="AB105" s="267">
        <v>15.996784570000001</v>
      </c>
      <c r="AC105" s="267">
        <v>18.099164890000001</v>
      </c>
      <c r="AD105" s="268">
        <v>37.6837653985</v>
      </c>
    </row>
    <row r="106" spans="3:30" s="3" customFormat="1" x14ac:dyDescent="0.25">
      <c r="C106" s="176" t="s">
        <v>22</v>
      </c>
      <c r="D106" t="s">
        <v>592</v>
      </c>
      <c r="E106" t="s">
        <v>593</v>
      </c>
      <c r="F106" t="s">
        <v>594</v>
      </c>
      <c r="G106" t="s">
        <v>595</v>
      </c>
      <c r="H106" s="267">
        <f>VLOOKUP(D106,Résultats!$B$2:$AX$476,'T energie vecteurs'!U5,FALSE)</f>
        <v>0</v>
      </c>
      <c r="I106" s="267">
        <f>VLOOKUP(E106,Résultats!$B$2:$AX$476,'T energie vecteurs'!U5,FALSE)</f>
        <v>2.042253476</v>
      </c>
      <c r="J106" s="267">
        <f>VLOOKUP(F106,Résultats!$B$2:$AX$476,'T energie vecteurs'!U5,FALSE)</f>
        <v>14.92160631</v>
      </c>
      <c r="K106" s="267">
        <f>VLOOKUP(G106,Résultats!$B$2:$AX$476,'T energie vecteurs'!U5,FALSE)</f>
        <v>7.416252278</v>
      </c>
      <c r="L106" s="268">
        <f t="shared" si="23"/>
        <v>24.380112064000002</v>
      </c>
      <c r="M106" s="99"/>
      <c r="N106" s="179" t="s">
        <v>22</v>
      </c>
      <c r="O106" s="36">
        <f>('[1]Bilan 2040'!$W$46)/11.63</f>
        <v>0</v>
      </c>
      <c r="P106" s="35">
        <f>SUM('[1]Bilan 2040'!$W$41:$W$43)/11.63</f>
        <v>0.4952300504112862</v>
      </c>
      <c r="Q106" s="35">
        <f>('[1]Bilan 2040'!$W$13)/11.63</f>
        <v>11.924705484934304</v>
      </c>
      <c r="R106" s="35">
        <f>('[1]Bilan 2040'!$W$22+'[1]Bilan 2040'!$W$30+SUM('[1]Bilan 2040'!$W$36:$W$40)+SUM('[1]Bilan 2040'!$W$44:$W$45)+'[1]Bilan 2040'!$W$47)/11.63</f>
        <v>6.9475060506073669</v>
      </c>
      <c r="S106" s="171">
        <f t="shared" si="24"/>
        <v>19.367441585952957</v>
      </c>
      <c r="U106" s="176" t="s">
        <v>22</v>
      </c>
      <c r="V106" t="s">
        <v>101</v>
      </c>
      <c r="W106" t="s">
        <v>102</v>
      </c>
      <c r="X106" t="s">
        <v>103</v>
      </c>
      <c r="Y106" t="s">
        <v>104</v>
      </c>
      <c r="Z106" s="267">
        <v>0</v>
      </c>
      <c r="AA106" s="267">
        <v>1.6772777619999999</v>
      </c>
      <c r="AB106" s="267">
        <v>13.688227769999999</v>
      </c>
      <c r="AC106" s="267">
        <v>7.1040742950000002</v>
      </c>
      <c r="AD106" s="268">
        <v>22.469579826999997</v>
      </c>
    </row>
    <row r="107" spans="3:30" s="3" customFormat="1" x14ac:dyDescent="0.25">
      <c r="C107" s="176" t="s">
        <v>23</v>
      </c>
      <c r="D107"/>
      <c r="E107"/>
      <c r="F107"/>
      <c r="G107"/>
      <c r="H107" s="267">
        <f>SUM(H108:H110)</f>
        <v>2.9527985856000001</v>
      </c>
      <c r="I107" s="267">
        <f>SUM(I108:I110)</f>
        <v>16.917948521</v>
      </c>
      <c r="J107" s="267">
        <f>SUM(J108:J110)</f>
        <v>14.594839882899999</v>
      </c>
      <c r="K107" s="267">
        <f>SUM(K108:K110)</f>
        <v>18.4942603609</v>
      </c>
      <c r="L107" s="268">
        <f t="shared" si="23"/>
        <v>52.959847350399997</v>
      </c>
      <c r="M107" s="99"/>
      <c r="N107" s="179" t="s">
        <v>280</v>
      </c>
      <c r="O107" s="36">
        <f>O108+O109</f>
        <v>3.8874337769367404</v>
      </c>
      <c r="P107" s="35">
        <f t="shared" ref="P107:R107" si="25">P108+P109</f>
        <v>11.388314604220763</v>
      </c>
      <c r="Q107" s="35">
        <f t="shared" si="25"/>
        <v>9.6134424318279077</v>
      </c>
      <c r="R107" s="35">
        <f t="shared" si="25"/>
        <v>13.104002297133148</v>
      </c>
      <c r="S107" s="171">
        <f t="shared" si="24"/>
        <v>37.993193110118561</v>
      </c>
      <c r="U107" s="176" t="s">
        <v>23</v>
      </c>
      <c r="V107"/>
      <c r="W107"/>
      <c r="X107"/>
      <c r="Y107"/>
      <c r="Z107" s="267">
        <v>4.3400296889999996</v>
      </c>
      <c r="AA107" s="267">
        <v>22.625466808999999</v>
      </c>
      <c r="AB107" s="267">
        <v>15.1917268877</v>
      </c>
      <c r="AC107" s="267">
        <v>21.330928298400003</v>
      </c>
      <c r="AD107" s="268">
        <v>63.488151684100004</v>
      </c>
    </row>
    <row r="108" spans="3:30" s="3" customFormat="1" x14ac:dyDescent="0.25">
      <c r="C108" s="178" t="s">
        <v>24</v>
      </c>
      <c r="D108" t="s">
        <v>596</v>
      </c>
      <c r="E108" t="s">
        <v>597</v>
      </c>
      <c r="F108" t="s">
        <v>598</v>
      </c>
      <c r="G108" t="s">
        <v>599</v>
      </c>
      <c r="H108" s="37">
        <f>VLOOKUP(D108,Résultats!$B$2:$AX$476,'T energie vecteurs'!U5,FALSE)</f>
        <v>1.9596871899999999</v>
      </c>
      <c r="I108" s="37">
        <f>VLOOKUP(E108,Résultats!$B$2:$AX$476,'T energie vecteurs'!U5,FALSE)</f>
        <v>11.282176359999999</v>
      </c>
      <c r="J108" s="37">
        <f>VLOOKUP(F108,Résultats!$B$2:$AX$476,'T energie vecteurs'!U5,FALSE)</f>
        <v>14.185976459999999</v>
      </c>
      <c r="K108" s="37">
        <f>VLOOKUP(G108,Résultats!$B$2:$AX$476,'T energie vecteurs'!U5,FALSE)</f>
        <v>15.54217092</v>
      </c>
      <c r="L108" s="266">
        <f t="shared" si="23"/>
        <v>42.970010930000001</v>
      </c>
      <c r="M108" s="19"/>
      <c r="N108" s="178" t="s">
        <v>281</v>
      </c>
      <c r="O108" s="172">
        <f>'[1]Bilan 2040'!$U$46/11.63</f>
        <v>0.46996817074585479</v>
      </c>
      <c r="P108" s="37">
        <f>SUM('[1]Bilan 2040'!$U$41:$U$43)/11.63</f>
        <v>1.9564072098333778</v>
      </c>
      <c r="Q108" s="37">
        <f>'[1]Bilan 2040'!$U$13/11.63</f>
        <v>9.6134424318279077</v>
      </c>
      <c r="R108" s="37">
        <f>('[1]Bilan 2040'!$U$22+'[1]Bilan 2040'!$U$30+SUM('[1]Bilan 2040'!$U$36:$U$40)+SUM('[1]Bilan 2040'!$U$44:$U$45)+'[1]Bilan 2040'!$U$47)/11.63</f>
        <v>11.936351978766361</v>
      </c>
      <c r="S108" s="120">
        <f t="shared" si="24"/>
        <v>23.976169791173501</v>
      </c>
      <c r="U108" s="178" t="s">
        <v>24</v>
      </c>
      <c r="V108" t="s">
        <v>105</v>
      </c>
      <c r="W108" t="s">
        <v>106</v>
      </c>
      <c r="X108" t="s">
        <v>107</v>
      </c>
      <c r="Y108" t="s">
        <v>108</v>
      </c>
      <c r="Z108" s="37">
        <v>3.0981000710000002</v>
      </c>
      <c r="AA108" s="37">
        <v>16.407926639999999</v>
      </c>
      <c r="AB108" s="37">
        <v>14.72986798</v>
      </c>
      <c r="AC108" s="37">
        <v>17.628857150000002</v>
      </c>
      <c r="AD108" s="266">
        <v>51.864751841</v>
      </c>
    </row>
    <row r="109" spans="3:30" s="3" customFormat="1" x14ac:dyDescent="0.25">
      <c r="C109" s="178" t="s">
        <v>153</v>
      </c>
      <c r="D109" t="s">
        <v>600</v>
      </c>
      <c r="E109" t="s">
        <v>601</v>
      </c>
      <c r="F109" t="s">
        <v>602</v>
      </c>
      <c r="G109" t="s">
        <v>603</v>
      </c>
      <c r="H109" s="37">
        <f>VLOOKUP(D109,Résultats!$B$2:$AX$476,'T energie vecteurs'!U5,FALSE)</f>
        <v>0.99311139559999995</v>
      </c>
      <c r="I109" s="37">
        <f>VLOOKUP(E109,Résultats!$B$2:$AX$476,'T energie vecteurs'!U5,FALSE)</f>
        <v>2.4952193509999998</v>
      </c>
      <c r="J109" s="37">
        <f>VLOOKUP(F109,Résultats!$B$2:$AX$476,'T energie vecteurs'!U5,FALSE)</f>
        <v>0</v>
      </c>
      <c r="K109" s="37">
        <f>VLOOKUP(G109,Résultats!$B$2:$AX$476,'T energie vecteurs'!U5,FALSE)</f>
        <v>2.5308836399999999</v>
      </c>
      <c r="L109" s="266">
        <f t="shared" si="23"/>
        <v>6.0192143865999999</v>
      </c>
      <c r="M109" s="19"/>
      <c r="N109" s="178" t="s">
        <v>153</v>
      </c>
      <c r="O109" s="28">
        <f>'[1]Bilan 2040'!$E$52/11.63</f>
        <v>3.4174656061908855</v>
      </c>
      <c r="P109" s="19">
        <f>('[1]Bilan 2040'!$E$54+'[1]Bilan 2040'!$E$56)/11.63</f>
        <v>9.4319073943873857</v>
      </c>
      <c r="Q109" s="19">
        <v>0</v>
      </c>
      <c r="R109" s="19">
        <f>('[1]Bilan 2040'!$E$53+'[1]Bilan 2040'!$E$55+'[1]Bilan 2040'!$E$57)/11.63</f>
        <v>1.1676503183667879</v>
      </c>
      <c r="S109" s="120">
        <f t="shared" si="24"/>
        <v>14.017023318945059</v>
      </c>
      <c r="U109" s="178" t="s">
        <v>153</v>
      </c>
      <c r="V109" t="s">
        <v>154</v>
      </c>
      <c r="W109" t="s">
        <v>155</v>
      </c>
      <c r="X109" t="s">
        <v>156</v>
      </c>
      <c r="Y109" t="s">
        <v>157</v>
      </c>
      <c r="Z109" s="37">
        <v>1.2419296179999999</v>
      </c>
      <c r="AA109" s="37">
        <v>3.1616425499999998</v>
      </c>
      <c r="AB109" s="37">
        <v>0</v>
      </c>
      <c r="AC109" s="37">
        <v>3.2657716809999999</v>
      </c>
      <c r="AD109" s="266">
        <v>7.6693438490000005</v>
      </c>
    </row>
    <row r="110" spans="3:30" s="3" customFormat="1" x14ac:dyDescent="0.25">
      <c r="C110" s="178" t="s">
        <v>25</v>
      </c>
      <c r="D110" t="s">
        <v>604</v>
      </c>
      <c r="E110" t="s">
        <v>605</v>
      </c>
      <c r="F110" t="s">
        <v>606</v>
      </c>
      <c r="G110" t="s">
        <v>607</v>
      </c>
      <c r="H110" s="37">
        <f>VLOOKUP(D110,Résultats!$B$2:$AX$476,'T energie vecteurs'!U5,FALSE)</f>
        <v>0</v>
      </c>
      <c r="I110" s="37">
        <f>VLOOKUP(E110,Résultats!$B$2:$AX$476,'T energie vecteurs'!U5,FALSE)</f>
        <v>3.14055281</v>
      </c>
      <c r="J110" s="37">
        <f>VLOOKUP(F110,Résultats!$B$2:$AX$476,'T energie vecteurs'!U5,FALSE)</f>
        <v>0.4088634229</v>
      </c>
      <c r="K110" s="37">
        <f>VLOOKUP(G110,Résultats!$B$2:$AX$476,'T energie vecteurs'!U5,FALSE)</f>
        <v>0.42120580089999998</v>
      </c>
      <c r="L110" s="266">
        <f t="shared" si="23"/>
        <v>3.9706220338000002</v>
      </c>
      <c r="M110" s="19"/>
      <c r="N110" s="179" t="s">
        <v>25</v>
      </c>
      <c r="O110" s="36">
        <f>'[1]Bilan 2040'!$T$46/11.63</f>
        <v>0</v>
      </c>
      <c r="P110" s="35">
        <f>SUM('[1]Bilan 2040'!$T$41:$T$43)/11.63</f>
        <v>2.79232070662915</v>
      </c>
      <c r="Q110" s="35">
        <f>'[1]Bilan 2040'!$T$13/11.63</f>
        <v>0.54723304841648379</v>
      </c>
      <c r="R110" s="35">
        <f>('[1]Bilan 2040'!$T$22+'[1]Bilan 2040'!$T$30+SUM('[1]Bilan 2040'!$T$36:$T$40)+SUM('[1]Bilan 2040'!$T$44:$T$45)+'[1]Bilan 2040'!$T$47)/11.63</f>
        <v>0.43855300175211398</v>
      </c>
      <c r="S110" s="171">
        <f t="shared" si="24"/>
        <v>3.7781067567977473</v>
      </c>
      <c r="U110" s="178" t="s">
        <v>25</v>
      </c>
      <c r="V110" t="s">
        <v>109</v>
      </c>
      <c r="W110" t="s">
        <v>110</v>
      </c>
      <c r="X110" t="s">
        <v>111</v>
      </c>
      <c r="Y110" t="s">
        <v>112</v>
      </c>
      <c r="Z110" s="37">
        <v>0</v>
      </c>
      <c r="AA110" s="37">
        <v>3.055897619</v>
      </c>
      <c r="AB110" s="37">
        <v>0.46185890769999999</v>
      </c>
      <c r="AC110" s="37">
        <v>0.43629946739999997</v>
      </c>
      <c r="AD110" s="266">
        <v>3.9540559941</v>
      </c>
    </row>
    <row r="111" spans="3:30" s="3" customFormat="1" x14ac:dyDescent="0.25">
      <c r="C111" s="29" t="s">
        <v>26</v>
      </c>
      <c r="D111" s="10"/>
      <c r="E111" s="10"/>
      <c r="F111" s="10"/>
      <c r="G111" s="10"/>
      <c r="H111" s="269">
        <f>SUM(H102,H105:H107)</f>
        <v>3.1140364138000001</v>
      </c>
      <c r="I111" s="269">
        <f>SUM(I102,I105:I107)</f>
        <v>56.166082699</v>
      </c>
      <c r="J111" s="269">
        <f>SUM(J102,J105:J107)</f>
        <v>50.680655948899997</v>
      </c>
      <c r="K111" s="269">
        <f>SUM(K102,K105:K107)</f>
        <v>48.709863340061702</v>
      </c>
      <c r="L111" s="270">
        <f t="shared" si="23"/>
        <v>158.67063840176169</v>
      </c>
      <c r="M111" s="105"/>
      <c r="N111" s="180" t="s">
        <v>26</v>
      </c>
      <c r="O111" s="40">
        <f>O102+O105+O106+O107+O110</f>
        <v>3.8874337769367404</v>
      </c>
      <c r="P111" s="38">
        <f>P102+P105+P106+P107+P110</f>
        <v>39.702333101799972</v>
      </c>
      <c r="Q111" s="38">
        <f>Q102+Q105+Q106+Q107+Q110</f>
        <v>43.524288849120879</v>
      </c>
      <c r="R111" s="38">
        <f>R102+R105+R106+R107+R110</f>
        <v>44.198180431013775</v>
      </c>
      <c r="S111" s="173">
        <f t="shared" si="24"/>
        <v>131.31223615887137</v>
      </c>
      <c r="U111" s="29" t="s">
        <v>26</v>
      </c>
      <c r="V111" s="10"/>
      <c r="W111" s="10"/>
      <c r="X111" s="10"/>
      <c r="Y111" s="10"/>
      <c r="Z111" s="269">
        <v>4.4779656735</v>
      </c>
      <c r="AA111" s="269">
        <v>64.711721585000006</v>
      </c>
      <c r="AB111" s="269">
        <v>50.595922502699999</v>
      </c>
      <c r="AC111" s="269">
        <v>50.3196919777278</v>
      </c>
      <c r="AD111" s="270">
        <v>170.10530173892778</v>
      </c>
    </row>
    <row r="112" spans="3:30" s="3" customFormat="1" x14ac:dyDescent="0.25"/>
    <row r="113" spans="3:30" s="3" customFormat="1" x14ac:dyDescent="0.25"/>
    <row r="114" spans="3:30" ht="31.5" x14ac:dyDescent="0.35">
      <c r="C114" s="174">
        <v>2050</v>
      </c>
      <c r="D114" s="175"/>
      <c r="E114" s="175"/>
      <c r="F114" s="175"/>
      <c r="G114" s="175"/>
      <c r="H114" s="101" t="s">
        <v>36</v>
      </c>
      <c r="I114" s="101" t="s">
        <v>159</v>
      </c>
      <c r="J114" s="101" t="s">
        <v>38</v>
      </c>
      <c r="K114" s="101" t="s">
        <v>158</v>
      </c>
      <c r="L114" s="118" t="s">
        <v>1</v>
      </c>
      <c r="M114" s="25"/>
      <c r="N114" s="174">
        <v>2050</v>
      </c>
      <c r="O114" s="170" t="s">
        <v>36</v>
      </c>
      <c r="P114" s="101" t="s">
        <v>159</v>
      </c>
      <c r="Q114" s="101" t="s">
        <v>38</v>
      </c>
      <c r="R114" s="101" t="s">
        <v>158</v>
      </c>
      <c r="S114" s="118" t="s">
        <v>1</v>
      </c>
      <c r="T114" s="25"/>
      <c r="U114" s="174">
        <v>2050</v>
      </c>
      <c r="V114" s="175"/>
      <c r="W114" s="175"/>
      <c r="X114" s="175"/>
      <c r="Y114" s="175"/>
      <c r="Z114" s="101" t="s">
        <v>36</v>
      </c>
      <c r="AA114" s="101" t="s">
        <v>159</v>
      </c>
      <c r="AB114" s="101" t="s">
        <v>38</v>
      </c>
      <c r="AC114" s="101" t="s">
        <v>158</v>
      </c>
      <c r="AD114" s="118" t="s">
        <v>1</v>
      </c>
    </row>
    <row r="115" spans="3:30" x14ac:dyDescent="0.25">
      <c r="C115" s="176" t="s">
        <v>18</v>
      </c>
      <c r="H115" s="8">
        <f>SUM(H116:H117)</f>
        <v>0</v>
      </c>
      <c r="I115" s="8">
        <f>SUM(I116:I117)</f>
        <v>30.634589470000002</v>
      </c>
      <c r="J115" s="8">
        <f>SUM(J116:J117)</f>
        <v>6.2432536499999998</v>
      </c>
      <c r="K115" s="8">
        <f>SUM(K116:K117)</f>
        <v>3.8738426965403003</v>
      </c>
      <c r="L115" s="121">
        <f>SUM(H115:K115)</f>
        <v>40.751685816540302</v>
      </c>
      <c r="M115" s="99"/>
      <c r="N115" s="179" t="s">
        <v>18</v>
      </c>
      <c r="O115" s="36">
        <f>'[1]Bilan 2050'!$X$46/11.63</f>
        <v>0</v>
      </c>
      <c r="P115" s="35">
        <f>SUM('[1]Bilan 2050'!$X$41:$X$43)/11.63</f>
        <v>20.444690116616325</v>
      </c>
      <c r="Q115" s="35">
        <f>'[1]Bilan 2050'!$X$13/11.63</f>
        <v>6.9492063867804656</v>
      </c>
      <c r="R115" s="35">
        <f>('[1]Bilan 2050'!$X$22+'[1]Bilan 2050'!$X$30+SUM('[1]Bilan 2050'!$X$36:$X$40)+SUM('[1]Bilan 2050'!$X$44:$X$45)+'[1]Bilan 2050'!$X$47)/11.63</f>
        <v>3.1240940704702966</v>
      </c>
      <c r="S115" s="171">
        <f>SUM(O115:R115)</f>
        <v>30.517990573867085</v>
      </c>
      <c r="T115" s="245"/>
      <c r="U115" s="176" t="s">
        <v>18</v>
      </c>
      <c r="Z115" s="8">
        <v>0</v>
      </c>
      <c r="AA115" s="8">
        <v>36.484483330000003</v>
      </c>
      <c r="AB115" s="8">
        <v>8.0463840350000009</v>
      </c>
      <c r="AC115" s="8">
        <v>4.8678335704380995</v>
      </c>
      <c r="AD115" s="121">
        <v>49.398700935438107</v>
      </c>
    </row>
    <row r="116" spans="3:30" x14ac:dyDescent="0.25">
      <c r="C116" s="177" t="s">
        <v>19</v>
      </c>
      <c r="D116" t="s">
        <v>580</v>
      </c>
      <c r="E116" t="s">
        <v>581</v>
      </c>
      <c r="F116" t="s">
        <v>582</v>
      </c>
      <c r="G116" t="s">
        <v>583</v>
      </c>
      <c r="H116" s="19">
        <f>VLOOKUP(D116,Résultats!$B$2:$AX$476,'T energie vecteurs'!W5,FALSE)</f>
        <v>0</v>
      </c>
      <c r="I116" s="19">
        <f>VLOOKUP(E116,Résultats!$B$2:$AX$476,'T energie vecteurs'!W5,FALSE)</f>
        <v>10.197592930000001</v>
      </c>
      <c r="J116" s="19">
        <f>VLOOKUP(F116,Résultats!$B$2:$AX$476,'T energie vecteurs'!W5,FALSE)</f>
        <v>3.329694645</v>
      </c>
      <c r="K116" s="19">
        <f>VLOOKUP(G116,Résultats!$B$2:$AX$476,'T energie vecteurs'!W5,FALSE)</f>
        <v>4.7918540300000003E-5</v>
      </c>
      <c r="L116" s="120">
        <f t="shared" ref="L116:L124" si="26">SUM(H116:K116)</f>
        <v>13.527335493540301</v>
      </c>
      <c r="M116" s="19"/>
      <c r="N116" s="177" t="s">
        <v>19</v>
      </c>
      <c r="O116" s="172"/>
      <c r="P116" s="19"/>
      <c r="Q116" s="55"/>
      <c r="R116" s="19"/>
      <c r="S116" s="120"/>
      <c r="T116" s="245"/>
      <c r="U116" s="177" t="s">
        <v>19</v>
      </c>
      <c r="V116" t="s">
        <v>89</v>
      </c>
      <c r="W116" t="s">
        <v>90</v>
      </c>
      <c r="X116" t="s">
        <v>91</v>
      </c>
      <c r="Y116" t="s">
        <v>92</v>
      </c>
      <c r="Z116" s="19">
        <v>0</v>
      </c>
      <c r="AA116" s="19">
        <v>10.6065296</v>
      </c>
      <c r="AB116" s="19">
        <v>3.3682351330000002</v>
      </c>
      <c r="AC116" s="19">
        <v>3.5815438099999998E-5</v>
      </c>
      <c r="AD116" s="120">
        <v>13.9748005484381</v>
      </c>
    </row>
    <row r="117" spans="3:30" x14ac:dyDescent="0.25">
      <c r="C117" s="178" t="s">
        <v>20</v>
      </c>
      <c r="D117" t="s">
        <v>584</v>
      </c>
      <c r="E117" t="s">
        <v>585</v>
      </c>
      <c r="F117" t="s">
        <v>586</v>
      </c>
      <c r="G117" t="s">
        <v>587</v>
      </c>
      <c r="H117" s="19">
        <f>VLOOKUP(D117,Résultats!$B$2:$AX$476,'T energie vecteurs'!W5,FALSE)</f>
        <v>0</v>
      </c>
      <c r="I117" s="19">
        <f>VLOOKUP(E117,Résultats!$B$2:$AX$476,'T energie vecteurs'!W5,FALSE)</f>
        <v>20.436996539999999</v>
      </c>
      <c r="J117" s="19">
        <f>VLOOKUP(F117,Résultats!$B$2:$AX$476,'T energie vecteurs'!W5,FALSE)</f>
        <v>2.9135590050000002</v>
      </c>
      <c r="K117" s="19">
        <f>VLOOKUP(G117,Résultats!$B$2:$AX$476,'T energie vecteurs'!W5,FALSE)</f>
        <v>3.8737947780000002</v>
      </c>
      <c r="L117" s="120">
        <f t="shared" si="26"/>
        <v>27.224350322999999</v>
      </c>
      <c r="M117" s="19"/>
      <c r="N117" s="178" t="s">
        <v>20</v>
      </c>
      <c r="O117" s="172"/>
      <c r="P117" s="19"/>
      <c r="Q117" s="55"/>
      <c r="R117" s="19"/>
      <c r="S117" s="120"/>
      <c r="T117" s="245"/>
      <c r="U117" s="178" t="s">
        <v>20</v>
      </c>
      <c r="V117" t="s">
        <v>93</v>
      </c>
      <c r="W117" t="s">
        <v>94</v>
      </c>
      <c r="X117" t="s">
        <v>95</v>
      </c>
      <c r="Y117" t="s">
        <v>96</v>
      </c>
      <c r="Z117" s="19">
        <v>0</v>
      </c>
      <c r="AA117" s="19">
        <v>25.877953730000002</v>
      </c>
      <c r="AB117" s="19">
        <v>4.6781489020000002</v>
      </c>
      <c r="AC117" s="19">
        <v>4.8677977549999998</v>
      </c>
      <c r="AD117" s="120">
        <v>35.423900387000003</v>
      </c>
    </row>
    <row r="118" spans="3:30" x14ac:dyDescent="0.25">
      <c r="C118" s="176" t="s">
        <v>21</v>
      </c>
      <c r="D118" t="s">
        <v>588</v>
      </c>
      <c r="E118" t="s">
        <v>589</v>
      </c>
      <c r="F118" t="s">
        <v>590</v>
      </c>
      <c r="G118" t="s">
        <v>591</v>
      </c>
      <c r="H118" s="8">
        <f>VLOOKUP(D118,Résultats!$B$2:$AX$476,'T energie vecteurs'!W5,FALSE)</f>
        <v>0.13192926769999999</v>
      </c>
      <c r="I118" s="8">
        <f>VLOOKUP(E118,Résultats!$B$2:$AX$476,'T energie vecteurs'!W5,FALSE)</f>
        <v>3.9697326749999999</v>
      </c>
      <c r="J118" s="8">
        <f>VLOOKUP(F118,Résultats!$B$2:$AX$476,'T energie vecteurs'!W5,FALSE)</f>
        <v>17.093452039999999</v>
      </c>
      <c r="K118" s="8">
        <f>VLOOKUP(G118,Résultats!$B$2:$AX$476,'T energie vecteurs'!W5,FALSE)+8</f>
        <v>18.539798140000002</v>
      </c>
      <c r="L118" s="121">
        <f t="shared" si="26"/>
        <v>39.734912122700003</v>
      </c>
      <c r="M118" s="99"/>
      <c r="N118" s="179" t="s">
        <v>21</v>
      </c>
      <c r="O118" s="36">
        <f>'[1]Bilan 2050'!$V$46/11.63</f>
        <v>0</v>
      </c>
      <c r="P118" s="35">
        <f>SUM('[1]Bilan 2050'!$V$41:$V$43)/11.63</f>
        <v>0.44793357100944881</v>
      </c>
      <c r="Q118" s="35">
        <f>'[1]Bilan 2050'!$V$13/11.63</f>
        <v>16.722069816294518</v>
      </c>
      <c r="R118" s="35">
        <f>('[1]Bilan 2050'!$V$22+'[1]Bilan 2050'!$V$30+SUM('[1]Bilan 2050'!$V$36:$V$40)+SUM('[1]Bilan 2050'!$V$44:$V$45)+'[1]Bilan 2050'!$V$47)/11.63</f>
        <v>20.626598768707204</v>
      </c>
      <c r="S118" s="171">
        <f t="shared" ref="S118:S124" si="27">SUM(O118:R118)</f>
        <v>37.796602156011176</v>
      </c>
      <c r="T118" s="245"/>
      <c r="U118" s="176" t="s">
        <v>21</v>
      </c>
      <c r="V118" t="s">
        <v>97</v>
      </c>
      <c r="W118" t="s">
        <v>98</v>
      </c>
      <c r="X118" t="s">
        <v>99</v>
      </c>
      <c r="Y118" t="s">
        <v>100</v>
      </c>
      <c r="Z118" s="263">
        <v>0.1047875102</v>
      </c>
      <c r="AA118" s="263">
        <v>2.5498981110000001</v>
      </c>
      <c r="AB118" s="263">
        <v>16.573729669999999</v>
      </c>
      <c r="AC118" s="263">
        <v>16.247589345000002</v>
      </c>
      <c r="AD118" s="264">
        <v>35.476004636200003</v>
      </c>
    </row>
    <row r="119" spans="3:30" x14ac:dyDescent="0.25">
      <c r="C119" s="176" t="s">
        <v>22</v>
      </c>
      <c r="D119" t="s">
        <v>592</v>
      </c>
      <c r="E119" t="s">
        <v>593</v>
      </c>
      <c r="F119" t="s">
        <v>594</v>
      </c>
      <c r="G119" t="s">
        <v>595</v>
      </c>
      <c r="H119" s="8">
        <f>VLOOKUP(D119,Résultats!$B$2:$AX$476,'T energie vecteurs'!W5,FALSE)</f>
        <v>0</v>
      </c>
      <c r="I119" s="8">
        <f>VLOOKUP(E119,Résultats!$B$2:$AX$476,'T energie vecteurs'!W5,FALSE)</f>
        <v>2.0002851530000001</v>
      </c>
      <c r="J119" s="8">
        <f>VLOOKUP(F119,Résultats!$B$2:$AX$476,'T energie vecteurs'!W5,FALSE)</f>
        <v>13.19566777</v>
      </c>
      <c r="K119" s="8">
        <f>VLOOKUP(G119,Résultats!$B$2:$AX$476,'T energie vecteurs'!W5,FALSE)</f>
        <v>6.283304051</v>
      </c>
      <c r="L119" s="121">
        <f t="shared" si="26"/>
        <v>21.479256974000002</v>
      </c>
      <c r="M119" s="99"/>
      <c r="N119" s="179" t="s">
        <v>22</v>
      </c>
      <c r="O119" s="36">
        <f>('[1]Bilan 2050'!$W$46)/11.63</f>
        <v>0</v>
      </c>
      <c r="P119" s="35">
        <f>SUM('[1]Bilan 2050'!$W$41:$W$43)/11.63</f>
        <v>0.19932306002356692</v>
      </c>
      <c r="Q119" s="35">
        <f>('[1]Bilan 2050'!$W$13)/11.63</f>
        <v>12.561375724275205</v>
      </c>
      <c r="R119" s="35">
        <f>('[1]Bilan 2050'!$W$22+'[1]Bilan 2050'!$W$30+SUM('[1]Bilan 2050'!$W$36:$W$40)+SUM('[1]Bilan 2050'!$W$44:$W$45)+'[1]Bilan 2050'!$W$47)/11.63</f>
        <v>6.8359123459815141</v>
      </c>
      <c r="S119" s="171">
        <f t="shared" si="27"/>
        <v>19.596611130280287</v>
      </c>
      <c r="T119" s="245"/>
      <c r="U119" s="176" t="s">
        <v>22</v>
      </c>
      <c r="V119" t="s">
        <v>101</v>
      </c>
      <c r="W119" t="s">
        <v>102</v>
      </c>
      <c r="X119" t="s">
        <v>103</v>
      </c>
      <c r="Y119" t="s">
        <v>104</v>
      </c>
      <c r="Z119" s="8">
        <v>0</v>
      </c>
      <c r="AA119" s="8">
        <v>1.523110929</v>
      </c>
      <c r="AB119" s="8">
        <v>13.12631228</v>
      </c>
      <c r="AC119" s="8">
        <v>5.8285237130000001</v>
      </c>
      <c r="AD119" s="121">
        <v>20.477946922000001</v>
      </c>
    </row>
    <row r="120" spans="3:30" x14ac:dyDescent="0.25">
      <c r="C120" s="176" t="s">
        <v>23</v>
      </c>
      <c r="H120" s="8">
        <f>SUM(H121:H123)</f>
        <v>2.9732382509999997</v>
      </c>
      <c r="I120" s="8">
        <f>SUM(I121:I123)</f>
        <v>18.109476172000001</v>
      </c>
      <c r="J120" s="8">
        <f>SUM(J121:J123)</f>
        <v>17.6193451215</v>
      </c>
      <c r="K120" s="8">
        <f>SUM(K121:K123)</f>
        <v>20.431124134599997</v>
      </c>
      <c r="L120" s="8">
        <f>SUM(L121:L123)</f>
        <v>59.1331836791</v>
      </c>
      <c r="M120" s="99"/>
      <c r="N120" s="179" t="s">
        <v>280</v>
      </c>
      <c r="O120" s="36">
        <f>O121+O122</f>
        <v>3.7208173415817956</v>
      </c>
      <c r="P120" s="35">
        <f t="shared" ref="P120:R120" si="28">P121+P122</f>
        <v>10.357640817267992</v>
      </c>
      <c r="Q120" s="35">
        <f t="shared" si="28"/>
        <v>9.8880397220191174</v>
      </c>
      <c r="R120" s="35">
        <f t="shared" si="28"/>
        <v>12.816914942214364</v>
      </c>
      <c r="S120" s="171">
        <f t="shared" si="27"/>
        <v>36.783412823083268</v>
      </c>
      <c r="T120" s="245"/>
      <c r="U120" s="176" t="s">
        <v>23</v>
      </c>
      <c r="Z120" s="8">
        <v>5.1412328250000003</v>
      </c>
      <c r="AA120" s="8">
        <v>26.462387749999998</v>
      </c>
      <c r="AB120" s="8">
        <v>19.642527276599999</v>
      </c>
      <c r="AC120" s="8">
        <v>25.1580574169</v>
      </c>
      <c r="AD120" s="8">
        <v>76.404205268499993</v>
      </c>
    </row>
    <row r="121" spans="3:30" x14ac:dyDescent="0.25">
      <c r="C121" s="178" t="s">
        <v>24</v>
      </c>
      <c r="D121" t="s">
        <v>596</v>
      </c>
      <c r="E121" t="s">
        <v>597</v>
      </c>
      <c r="F121" t="s">
        <v>598</v>
      </c>
      <c r="G121" t="s">
        <v>599</v>
      </c>
      <c r="H121" s="19">
        <f>VLOOKUP(D121,Résultats!$B$2:$AX$476,'T energie vecteurs'!W5,FALSE)</f>
        <v>1.923006072</v>
      </c>
      <c r="I121" s="19">
        <f>VLOOKUP(E121,Résultats!$B$2:$AX$476,'T energie vecteurs'!W5,FALSE)</f>
        <v>11.535884830000001</v>
      </c>
      <c r="J121" s="19">
        <f>VLOOKUP(F121,Résultats!$B$2:$AX$476,'T energie vecteurs'!W5,FALSE)</f>
        <v>17.1440895</v>
      </c>
      <c r="K121" s="19">
        <f>VLOOKUP(G121,Résultats!$B$2:$AX$476,'T energie vecteurs'!W5,FALSE)</f>
        <v>17.06690304</v>
      </c>
      <c r="L121" s="120">
        <f t="shared" si="26"/>
        <v>47.669883442</v>
      </c>
      <c r="M121" s="19"/>
      <c r="N121" s="178" t="s">
        <v>281</v>
      </c>
      <c r="O121" s="172">
        <f>'[1]Bilan 2050'!$U$46/11.63</f>
        <v>0.31585492622281036</v>
      </c>
      <c r="P121" s="37">
        <f>SUM('[1]Bilan 2050'!$U$41:$U$43)/11.63</f>
        <v>1.7544463445123659</v>
      </c>
      <c r="Q121" s="37">
        <f>'[1]Bilan 2050'!$U$13/11.63</f>
        <v>9.8880397220191174</v>
      </c>
      <c r="R121" s="37">
        <f>('[1]Bilan 2050'!$U$22+'[1]Bilan 2050'!$U$30+SUM('[1]Bilan 2050'!$U$36:$U$40)+SUM('[1]Bilan 2050'!$U$44:$U$45)+'[1]Bilan 2050'!$U$47)/11.63</f>
        <v>11.51748338251616</v>
      </c>
      <c r="S121" s="120">
        <f t="shared" si="27"/>
        <v>23.475824375270456</v>
      </c>
      <c r="T121" s="245"/>
      <c r="U121" s="178" t="s">
        <v>24</v>
      </c>
      <c r="V121" t="s">
        <v>105</v>
      </c>
      <c r="W121" t="s">
        <v>106</v>
      </c>
      <c r="X121" t="s">
        <v>107</v>
      </c>
      <c r="Y121" t="s">
        <v>108</v>
      </c>
      <c r="Z121" s="19">
        <v>3.6650423980000002</v>
      </c>
      <c r="AA121" s="19">
        <v>19.122842460000001</v>
      </c>
      <c r="AB121" s="19">
        <v>19.030234780000001</v>
      </c>
      <c r="AC121" s="19">
        <v>20.668763089999999</v>
      </c>
      <c r="AD121" s="120">
        <v>62.486882727999998</v>
      </c>
    </row>
    <row r="122" spans="3:30" x14ac:dyDescent="0.25">
      <c r="C122" s="178" t="s">
        <v>153</v>
      </c>
      <c r="D122" t="s">
        <v>600</v>
      </c>
      <c r="E122" t="s">
        <v>601</v>
      </c>
      <c r="F122" t="s">
        <v>602</v>
      </c>
      <c r="G122" t="s">
        <v>603</v>
      </c>
      <c r="H122" s="19">
        <f>VLOOKUP(D122,Résultats!$B$2:$AX$476,'T energie vecteurs'!W5,FALSE)</f>
        <v>1.050232179</v>
      </c>
      <c r="I122" s="19">
        <f>VLOOKUP(E122,Résultats!$B$2:$AX$476,'T energie vecteurs'!W5,FALSE)</f>
        <v>2.8997326430000001</v>
      </c>
      <c r="J122" s="19">
        <f>VLOOKUP(F122,Résultats!$B$2:$AX$476,'T energie vecteurs'!W5,FALSE)</f>
        <v>0</v>
      </c>
      <c r="K122" s="19">
        <f>VLOOKUP(G122,Résultats!$B$2:$AX$476,'T energie vecteurs'!W5,FALSE)</f>
        <v>2.8787531959999999</v>
      </c>
      <c r="L122" s="120">
        <f t="shared" si="26"/>
        <v>6.828718018</v>
      </c>
      <c r="M122" s="19"/>
      <c r="N122" s="178" t="s">
        <v>153</v>
      </c>
      <c r="O122" s="28">
        <f>'[1]Bilan 2050'!$E$52/11.63</f>
        <v>3.4049624153589853</v>
      </c>
      <c r="P122" s="19">
        <f>('[1]Bilan 2050'!$E$54+'[1]Bilan 2050'!$E$56)/11.63</f>
        <v>8.6031944727556251</v>
      </c>
      <c r="Q122" s="19">
        <v>0</v>
      </c>
      <c r="R122" s="19">
        <f>('[1]Bilan 2050'!$E$53+'[1]Bilan 2050'!$E$55+'[1]Bilan 2050'!$E$57)/11.63</f>
        <v>1.2994315596982036</v>
      </c>
      <c r="S122" s="120">
        <f t="shared" si="27"/>
        <v>13.307588447812815</v>
      </c>
      <c r="T122" s="245"/>
      <c r="U122" s="178" t="s">
        <v>153</v>
      </c>
      <c r="V122" t="s">
        <v>154</v>
      </c>
      <c r="W122" t="s">
        <v>155</v>
      </c>
      <c r="X122" t="s">
        <v>156</v>
      </c>
      <c r="Y122" t="s">
        <v>157</v>
      </c>
      <c r="Z122" s="19">
        <v>1.4761904269999999</v>
      </c>
      <c r="AA122" s="19">
        <v>3.8824293000000001</v>
      </c>
      <c r="AB122" s="19">
        <v>0</v>
      </c>
      <c r="AC122" s="19">
        <v>3.9789644160000002</v>
      </c>
      <c r="AD122" s="120">
        <v>9.3375841430000008</v>
      </c>
    </row>
    <row r="123" spans="3:30" x14ac:dyDescent="0.25">
      <c r="C123" s="178" t="s">
        <v>25</v>
      </c>
      <c r="D123" t="s">
        <v>604</v>
      </c>
      <c r="E123" t="s">
        <v>605</v>
      </c>
      <c r="F123" t="s">
        <v>606</v>
      </c>
      <c r="G123" t="s">
        <v>607</v>
      </c>
      <c r="H123" s="19">
        <f>VLOOKUP(D123,Résultats!$B$2:$AX$476,'T energie vecteurs'!W5,FALSE)</f>
        <v>0</v>
      </c>
      <c r="I123" s="19">
        <f>VLOOKUP(E123,Résultats!$B$2:$AX$476,'T energie vecteurs'!W5,FALSE)</f>
        <v>3.6738586990000002</v>
      </c>
      <c r="J123" s="19">
        <f>VLOOKUP(F123,Résultats!$B$2:$AX$476,'T energie vecteurs'!W5,FALSE)</f>
        <v>0.4752556215</v>
      </c>
      <c r="K123" s="19">
        <f>VLOOKUP(G123,Résultats!$B$2:$AX$476,'T energie vecteurs'!W5,FALSE)</f>
        <v>0.4854678986</v>
      </c>
      <c r="L123" s="120">
        <f t="shared" si="26"/>
        <v>4.6345822190999995</v>
      </c>
      <c r="M123" s="19"/>
      <c r="N123" s="179" t="s">
        <v>25</v>
      </c>
      <c r="O123" s="36">
        <f>'[1]Bilan 2050'!$T$46/11.63</f>
        <v>0</v>
      </c>
      <c r="P123" s="35">
        <f>SUM('[1]Bilan 2050'!$T$41:$T$43)/11.63</f>
        <v>2.6210382547955651</v>
      </c>
      <c r="Q123" s="35">
        <f>'[1]Bilan 2050'!$T$13/11.63</f>
        <v>0.47494021651696666</v>
      </c>
      <c r="R123" s="35">
        <f>('[1]Bilan 2050'!$T$22+'[1]Bilan 2050'!$T$30+SUM('[1]Bilan 2050'!$T$36:$T$40)+SUM('[1]Bilan 2050'!$T$44:$T$45)+'[1]Bilan 2050'!$T$47)/11.63</f>
        <v>0.5067259755592558</v>
      </c>
      <c r="S123" s="171">
        <f t="shared" si="27"/>
        <v>3.6027044468717877</v>
      </c>
      <c r="T123" s="245"/>
      <c r="U123" s="178" t="s">
        <v>25</v>
      </c>
      <c r="V123" t="s">
        <v>109</v>
      </c>
      <c r="W123" t="s">
        <v>110</v>
      </c>
      <c r="X123" t="s">
        <v>111</v>
      </c>
      <c r="Y123" t="s">
        <v>112</v>
      </c>
      <c r="Z123" s="19">
        <v>0</v>
      </c>
      <c r="AA123" s="19">
        <v>3.4571159900000001</v>
      </c>
      <c r="AB123" s="19">
        <v>0.61229249659999996</v>
      </c>
      <c r="AC123" s="19">
        <v>0.51032991090000002</v>
      </c>
      <c r="AD123" s="120">
        <v>4.5797383975000008</v>
      </c>
    </row>
    <row r="124" spans="3:30" x14ac:dyDescent="0.25">
      <c r="C124" s="29" t="s">
        <v>26</v>
      </c>
      <c r="D124" s="10"/>
      <c r="E124" s="10"/>
      <c r="F124" s="10"/>
      <c r="G124" s="10"/>
      <c r="H124" s="9">
        <f>SUM(H115,H118:H120)</f>
        <v>3.1051675186999996</v>
      </c>
      <c r="I124" s="9">
        <f>SUM(I115,I118:I120)</f>
        <v>54.714083470000006</v>
      </c>
      <c r="J124" s="9">
        <f>SUM(J115,J118:J120)</f>
        <v>54.151718581500006</v>
      </c>
      <c r="K124" s="9">
        <f>SUM(K115,K118:K120)</f>
        <v>49.128069022140302</v>
      </c>
      <c r="L124" s="123">
        <f t="shared" si="26"/>
        <v>161.09903859234032</v>
      </c>
      <c r="M124" s="105"/>
      <c r="N124" s="180" t="s">
        <v>26</v>
      </c>
      <c r="O124" s="40">
        <f>O115+O118+O119+O120+O123</f>
        <v>3.7208173415817956</v>
      </c>
      <c r="P124" s="38">
        <f>P115+P118+P119+P120+P123</f>
        <v>34.070625819712902</v>
      </c>
      <c r="Q124" s="38">
        <f>Q115+Q118+Q119+Q120+Q123</f>
        <v>46.595631865886276</v>
      </c>
      <c r="R124" s="38">
        <f>R115+R118+R119+R120+R123</f>
        <v>43.910246102932639</v>
      </c>
      <c r="S124" s="173">
        <f t="shared" si="27"/>
        <v>128.2973211301136</v>
      </c>
      <c r="T124" s="105"/>
      <c r="U124" s="29" t="s">
        <v>26</v>
      </c>
      <c r="V124" s="10"/>
      <c r="W124" s="10"/>
      <c r="X124" s="10"/>
      <c r="Y124" s="10"/>
      <c r="Z124" s="9">
        <v>5.2460203352000008</v>
      </c>
      <c r="AA124" s="9">
        <v>67.019880119999996</v>
      </c>
      <c r="AB124" s="9">
        <v>57.388953261600001</v>
      </c>
      <c r="AC124" s="9">
        <v>52.102004045338106</v>
      </c>
      <c r="AD124" s="123">
        <v>181.75685776213811</v>
      </c>
    </row>
    <row r="125" spans="3:30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69"/>
      <c r="M125" s="3"/>
      <c r="O125" s="103"/>
      <c r="P125" s="103"/>
      <c r="Q125" s="103"/>
      <c r="R125" s="104"/>
      <c r="S125" s="69"/>
      <c r="U125" s="3"/>
      <c r="V125" s="3"/>
      <c r="W125" s="3"/>
      <c r="X125" s="3"/>
      <c r="Y125" s="3"/>
      <c r="Z125" s="3"/>
      <c r="AA125" s="3"/>
      <c r="AB125" s="3"/>
      <c r="AC125" s="3"/>
      <c r="AD125" s="69"/>
    </row>
    <row r="126" spans="3:30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3:30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x14ac:dyDescent="0.25">
      <c r="C128" s="84" t="s">
        <v>250</v>
      </c>
      <c r="D128" s="3"/>
      <c r="E128" s="3"/>
      <c r="F128" s="3">
        <f>0.1/0.028*51.84</f>
        <v>185.14285714285717</v>
      </c>
      <c r="G128" s="3"/>
      <c r="H128" s="3"/>
      <c r="I128" s="3"/>
      <c r="J128" s="3"/>
      <c r="K128" s="3"/>
      <c r="L128" s="3"/>
      <c r="M128" s="3"/>
      <c r="N128" s="84" t="s">
        <v>251</v>
      </c>
      <c r="O128" s="3"/>
      <c r="P128" s="3"/>
      <c r="Q128" s="3"/>
      <c r="R128" s="3"/>
      <c r="S128" s="3"/>
      <c r="U128" s="84" t="s">
        <v>250</v>
      </c>
      <c r="V128" s="3"/>
      <c r="W128" s="3"/>
      <c r="X128" s="3">
        <v>185.14285714285717</v>
      </c>
      <c r="Y128" s="3"/>
      <c r="Z128" s="3"/>
      <c r="AA128" s="3"/>
      <c r="AB128" s="3"/>
      <c r="AC128" s="3"/>
      <c r="AD128" s="3"/>
    </row>
    <row r="129" spans="3:30" s="3" customFormat="1" ht="31.5" x14ac:dyDescent="0.35">
      <c r="C129" s="174">
        <v>2050</v>
      </c>
      <c r="D129" s="175"/>
      <c r="E129" s="175"/>
      <c r="F129" s="175"/>
      <c r="G129" s="175"/>
      <c r="H129" s="101" t="s">
        <v>36</v>
      </c>
      <c r="I129" s="101" t="s">
        <v>159</v>
      </c>
      <c r="J129" s="101" t="s">
        <v>38</v>
      </c>
      <c r="K129" s="101" t="s">
        <v>158</v>
      </c>
      <c r="L129" s="118" t="s">
        <v>1</v>
      </c>
      <c r="N129" s="174">
        <v>2050</v>
      </c>
      <c r="O129" s="170" t="s">
        <v>36</v>
      </c>
      <c r="P129" s="101" t="s">
        <v>159</v>
      </c>
      <c r="Q129" s="101" t="s">
        <v>38</v>
      </c>
      <c r="R129" s="101" t="s">
        <v>158</v>
      </c>
      <c r="S129" s="118" t="s">
        <v>1</v>
      </c>
      <c r="U129" s="174">
        <v>2050</v>
      </c>
      <c r="V129" s="175"/>
      <c r="W129" s="175"/>
      <c r="X129" s="175"/>
      <c r="Y129" s="175"/>
      <c r="Z129" s="101" t="s">
        <v>36</v>
      </c>
      <c r="AA129" s="101" t="s">
        <v>159</v>
      </c>
      <c r="AB129" s="101" t="s">
        <v>38</v>
      </c>
      <c r="AC129" s="101" t="s">
        <v>158</v>
      </c>
      <c r="AD129" s="118" t="s">
        <v>1</v>
      </c>
    </row>
    <row r="130" spans="3:30" s="3" customFormat="1" x14ac:dyDescent="0.25">
      <c r="C130" s="248" t="s">
        <v>18</v>
      </c>
      <c r="D130" s="249"/>
      <c r="E130" s="249"/>
      <c r="F130" s="249"/>
      <c r="G130" s="249"/>
      <c r="H130" s="250" t="e">
        <f>H115-#REF!</f>
        <v>#REF!</v>
      </c>
      <c r="I130" s="251" t="e">
        <f>I115-#REF!</f>
        <v>#REF!</v>
      </c>
      <c r="J130" s="251" t="e">
        <f>J115-#REF!</f>
        <v>#REF!</v>
      </c>
      <c r="K130" s="251" t="e">
        <f>K115-#REF!</f>
        <v>#REF!</v>
      </c>
      <c r="L130" s="252" t="e">
        <f>L115-#REF!</f>
        <v>#REF!</v>
      </c>
      <c r="N130" s="248" t="s">
        <v>18</v>
      </c>
      <c r="O130" s="250">
        <f>H115-O115</f>
        <v>0</v>
      </c>
      <c r="P130" s="251">
        <f t="shared" ref="P130:S139" si="29">I115-P115</f>
        <v>10.189899353383677</v>
      </c>
      <c r="Q130" s="251">
        <f t="shared" si="29"/>
        <v>-0.70595273678046588</v>
      </c>
      <c r="R130" s="251">
        <f t="shared" si="29"/>
        <v>0.7497486260700037</v>
      </c>
      <c r="S130" s="252">
        <f t="shared" si="29"/>
        <v>10.233695242673218</v>
      </c>
      <c r="U130" s="248" t="s">
        <v>18</v>
      </c>
      <c r="V130" s="249"/>
      <c r="W130" s="249"/>
      <c r="X130" s="249"/>
      <c r="Y130" s="249"/>
      <c r="Z130" s="250" t="e">
        <v>#REF!</v>
      </c>
      <c r="AA130" s="251" t="e">
        <v>#REF!</v>
      </c>
      <c r="AB130" s="251" t="e">
        <v>#REF!</v>
      </c>
      <c r="AC130" s="251" t="e">
        <v>#REF!</v>
      </c>
      <c r="AD130" s="252" t="e">
        <v>#REF!</v>
      </c>
    </row>
    <row r="131" spans="3:30" s="3" customFormat="1" x14ac:dyDescent="0.25">
      <c r="C131" s="177" t="s">
        <v>19</v>
      </c>
      <c r="D131" t="s">
        <v>252</v>
      </c>
      <c r="E131" t="s">
        <v>253</v>
      </c>
      <c r="F131" t="s">
        <v>254</v>
      </c>
      <c r="G131" t="s">
        <v>255</v>
      </c>
      <c r="H131" s="253" t="e">
        <f>H116-#REF!</f>
        <v>#REF!</v>
      </c>
      <c r="I131" s="55" t="e">
        <f>I116-#REF!</f>
        <v>#REF!</v>
      </c>
      <c r="J131" s="55" t="e">
        <f>J116-#REF!</f>
        <v>#REF!</v>
      </c>
      <c r="K131" s="55" t="e">
        <f>K116-#REF!</f>
        <v>#REF!</v>
      </c>
      <c r="L131" s="254" t="e">
        <f>L116-#REF!</f>
        <v>#REF!</v>
      </c>
      <c r="N131" s="177" t="s">
        <v>19</v>
      </c>
      <c r="O131" s="253">
        <f t="shared" ref="O131:O139" si="30">H116-O116</f>
        <v>0</v>
      </c>
      <c r="P131" s="55">
        <f t="shared" si="29"/>
        <v>10.197592930000001</v>
      </c>
      <c r="Q131" s="55">
        <f t="shared" si="29"/>
        <v>3.329694645</v>
      </c>
      <c r="R131" s="55">
        <f t="shared" si="29"/>
        <v>4.7918540300000003E-5</v>
      </c>
      <c r="S131" s="254">
        <f t="shared" si="29"/>
        <v>13.527335493540301</v>
      </c>
      <c r="U131" s="177" t="s">
        <v>19</v>
      </c>
      <c r="V131" t="s">
        <v>252</v>
      </c>
      <c r="W131" t="s">
        <v>253</v>
      </c>
      <c r="X131" t="s">
        <v>254</v>
      </c>
      <c r="Y131" t="s">
        <v>255</v>
      </c>
      <c r="Z131" s="253" t="e">
        <v>#REF!</v>
      </c>
      <c r="AA131" s="55" t="e">
        <v>#REF!</v>
      </c>
      <c r="AB131" s="55" t="e">
        <v>#REF!</v>
      </c>
      <c r="AC131" s="55" t="e">
        <v>#REF!</v>
      </c>
      <c r="AD131" s="254" t="e">
        <v>#REF!</v>
      </c>
    </row>
    <row r="132" spans="3:30" s="3" customFormat="1" x14ac:dyDescent="0.25">
      <c r="C132" s="178" t="s">
        <v>20</v>
      </c>
      <c r="D132" t="s">
        <v>256</v>
      </c>
      <c r="E132" t="s">
        <v>257</v>
      </c>
      <c r="F132" t="s">
        <v>258</v>
      </c>
      <c r="G132" t="s">
        <v>259</v>
      </c>
      <c r="H132" s="253" t="e">
        <f>H117-#REF!</f>
        <v>#REF!</v>
      </c>
      <c r="I132" s="55" t="e">
        <f>I117-#REF!</f>
        <v>#REF!</v>
      </c>
      <c r="J132" s="55" t="e">
        <f>J117-#REF!</f>
        <v>#REF!</v>
      </c>
      <c r="K132" s="55" t="e">
        <f>K117-#REF!</f>
        <v>#REF!</v>
      </c>
      <c r="L132" s="254" t="e">
        <f>L117-#REF!</f>
        <v>#REF!</v>
      </c>
      <c r="N132" s="178" t="s">
        <v>20</v>
      </c>
      <c r="O132" s="253">
        <f t="shared" si="30"/>
        <v>0</v>
      </c>
      <c r="P132" s="55">
        <f t="shared" si="29"/>
        <v>20.436996539999999</v>
      </c>
      <c r="Q132" s="55">
        <f t="shared" si="29"/>
        <v>2.9135590050000002</v>
      </c>
      <c r="R132" s="55">
        <f t="shared" si="29"/>
        <v>3.8737947780000002</v>
      </c>
      <c r="S132" s="254">
        <f t="shared" si="29"/>
        <v>27.224350322999999</v>
      </c>
      <c r="U132" s="178" t="s">
        <v>20</v>
      </c>
      <c r="V132" t="s">
        <v>256</v>
      </c>
      <c r="W132" t="s">
        <v>257</v>
      </c>
      <c r="X132" t="s">
        <v>258</v>
      </c>
      <c r="Y132" t="s">
        <v>259</v>
      </c>
      <c r="Z132" s="253" t="e">
        <v>#REF!</v>
      </c>
      <c r="AA132" s="55" t="e">
        <v>#REF!</v>
      </c>
      <c r="AB132" s="55" t="e">
        <v>#REF!</v>
      </c>
      <c r="AC132" s="55" t="e">
        <v>#REF!</v>
      </c>
      <c r="AD132" s="254" t="e">
        <v>#REF!</v>
      </c>
    </row>
    <row r="133" spans="3:30" s="3" customFormat="1" x14ac:dyDescent="0.25">
      <c r="C133" s="248" t="s">
        <v>21</v>
      </c>
      <c r="D133" s="249" t="s">
        <v>260</v>
      </c>
      <c r="E133" s="249" t="s">
        <v>261</v>
      </c>
      <c r="F133" s="249" t="s">
        <v>262</v>
      </c>
      <c r="G133" s="249" t="s">
        <v>263</v>
      </c>
      <c r="H133" s="255" t="e">
        <f>H118-#REF!</f>
        <v>#REF!</v>
      </c>
      <c r="I133" s="251" t="e">
        <f>I118-#REF!</f>
        <v>#REF!</v>
      </c>
      <c r="J133" s="251" t="e">
        <f>J118-#REF!</f>
        <v>#REF!</v>
      </c>
      <c r="K133" s="251" t="e">
        <f>K118-#REF!</f>
        <v>#REF!</v>
      </c>
      <c r="L133" s="252" t="e">
        <f>L118-#REF!</f>
        <v>#REF!</v>
      </c>
      <c r="N133" s="248" t="s">
        <v>21</v>
      </c>
      <c r="O133" s="255">
        <f t="shared" si="30"/>
        <v>0.13192926769999999</v>
      </c>
      <c r="P133" s="251">
        <f t="shared" si="29"/>
        <v>3.521799103990551</v>
      </c>
      <c r="Q133" s="251">
        <f t="shared" si="29"/>
        <v>0.37138222370548135</v>
      </c>
      <c r="R133" s="251">
        <f t="shared" si="29"/>
        <v>-2.0868006287072021</v>
      </c>
      <c r="S133" s="252">
        <f t="shared" si="29"/>
        <v>1.938309966688827</v>
      </c>
      <c r="U133" s="248" t="s">
        <v>21</v>
      </c>
      <c r="V133" s="249" t="s">
        <v>260</v>
      </c>
      <c r="W133" s="249" t="s">
        <v>261</v>
      </c>
      <c r="X133" s="249" t="s">
        <v>262</v>
      </c>
      <c r="Y133" s="249" t="s">
        <v>263</v>
      </c>
      <c r="Z133" s="255" t="e">
        <v>#REF!</v>
      </c>
      <c r="AA133" s="251" t="e">
        <v>#REF!</v>
      </c>
      <c r="AB133" s="251" t="e">
        <v>#REF!</v>
      </c>
      <c r="AC133" s="251" t="e">
        <v>#REF!</v>
      </c>
      <c r="AD133" s="252" t="e">
        <v>#REF!</v>
      </c>
    </row>
    <row r="134" spans="3:30" s="3" customFormat="1" x14ac:dyDescent="0.25">
      <c r="C134" s="248" t="s">
        <v>22</v>
      </c>
      <c r="D134" s="249" t="s">
        <v>264</v>
      </c>
      <c r="E134" s="249" t="s">
        <v>265</v>
      </c>
      <c r="F134" s="249" t="s">
        <v>266</v>
      </c>
      <c r="G134" s="249" t="s">
        <v>267</v>
      </c>
      <c r="H134" s="255" t="e">
        <f>H119-#REF!</f>
        <v>#REF!</v>
      </c>
      <c r="I134" s="251" t="e">
        <f>I119-#REF!</f>
        <v>#REF!</v>
      </c>
      <c r="J134" s="251" t="e">
        <f>J119-#REF!</f>
        <v>#REF!</v>
      </c>
      <c r="K134" s="251" t="e">
        <f>K119-#REF!</f>
        <v>#REF!</v>
      </c>
      <c r="L134" s="252" t="e">
        <f>L119-#REF!</f>
        <v>#REF!</v>
      </c>
      <c r="N134" s="248" t="s">
        <v>22</v>
      </c>
      <c r="O134" s="255">
        <f t="shared" si="30"/>
        <v>0</v>
      </c>
      <c r="P134" s="251">
        <f t="shared" si="29"/>
        <v>1.8009620929764332</v>
      </c>
      <c r="Q134" s="251">
        <f t="shared" si="29"/>
        <v>0.63429204572479492</v>
      </c>
      <c r="R134" s="251">
        <f t="shared" si="29"/>
        <v>-0.55260829498151409</v>
      </c>
      <c r="S134" s="252">
        <f t="shared" si="29"/>
        <v>1.8826458437197147</v>
      </c>
      <c r="U134" s="248" t="s">
        <v>22</v>
      </c>
      <c r="V134" s="249" t="s">
        <v>264</v>
      </c>
      <c r="W134" s="249" t="s">
        <v>265</v>
      </c>
      <c r="X134" s="249" t="s">
        <v>266</v>
      </c>
      <c r="Y134" s="249" t="s">
        <v>267</v>
      </c>
      <c r="Z134" s="255" t="e">
        <v>#REF!</v>
      </c>
      <c r="AA134" s="251" t="e">
        <v>#REF!</v>
      </c>
      <c r="AB134" s="251" t="e">
        <v>#REF!</v>
      </c>
      <c r="AC134" s="251" t="e">
        <v>#REF!</v>
      </c>
      <c r="AD134" s="252" t="e">
        <v>#REF!</v>
      </c>
    </row>
    <row r="135" spans="3:30" s="3" customFormat="1" x14ac:dyDescent="0.25">
      <c r="C135" s="248" t="s">
        <v>23</v>
      </c>
      <c r="D135" s="249"/>
      <c r="E135" s="249"/>
      <c r="F135" s="249"/>
      <c r="G135" s="249"/>
      <c r="H135" s="255" t="e">
        <f>H120-#REF!</f>
        <v>#REF!</v>
      </c>
      <c r="I135" s="251" t="e">
        <f>I120-#REF!</f>
        <v>#REF!</v>
      </c>
      <c r="J135" s="251" t="e">
        <f>J120-#REF!</f>
        <v>#REF!</v>
      </c>
      <c r="K135" s="251" t="e">
        <f>K120-#REF!</f>
        <v>#REF!</v>
      </c>
      <c r="L135" s="252" t="e">
        <f>L120-#REF!</f>
        <v>#REF!</v>
      </c>
      <c r="N135" s="248" t="s">
        <v>23</v>
      </c>
      <c r="O135" s="255">
        <f t="shared" si="30"/>
        <v>-0.74757909058179584</v>
      </c>
      <c r="P135" s="251">
        <f t="shared" si="29"/>
        <v>7.7518353547320089</v>
      </c>
      <c r="Q135" s="251">
        <f t="shared" si="29"/>
        <v>7.7313053994808829</v>
      </c>
      <c r="R135" s="251">
        <f t="shared" si="29"/>
        <v>7.6142091923856334</v>
      </c>
      <c r="S135" s="252">
        <f t="shared" si="29"/>
        <v>22.349770856016733</v>
      </c>
      <c r="U135" s="248" t="s">
        <v>23</v>
      </c>
      <c r="V135" s="249"/>
      <c r="W135" s="249"/>
      <c r="X135" s="249"/>
      <c r="Y135" s="249"/>
      <c r="Z135" s="255" t="e">
        <v>#REF!</v>
      </c>
      <c r="AA135" s="251" t="e">
        <v>#REF!</v>
      </c>
      <c r="AB135" s="251" t="e">
        <v>#REF!</v>
      </c>
      <c r="AC135" s="251" t="e">
        <v>#REF!</v>
      </c>
      <c r="AD135" s="252" t="e">
        <v>#REF!</v>
      </c>
    </row>
    <row r="136" spans="3:30" s="3" customFormat="1" x14ac:dyDescent="0.25">
      <c r="C136" s="178" t="s">
        <v>24</v>
      </c>
      <c r="D136" t="s">
        <v>268</v>
      </c>
      <c r="E136" t="s">
        <v>269</v>
      </c>
      <c r="F136" t="s">
        <v>270</v>
      </c>
      <c r="G136" t="s">
        <v>271</v>
      </c>
      <c r="H136" s="253" t="e">
        <f>H121-#REF!</f>
        <v>#REF!</v>
      </c>
      <c r="I136" s="256" t="e">
        <f>I121-#REF!</f>
        <v>#REF!</v>
      </c>
      <c r="J136" s="256" t="e">
        <f>J121-#REF!</f>
        <v>#REF!</v>
      </c>
      <c r="K136" s="256" t="e">
        <f>K121-#REF!</f>
        <v>#REF!</v>
      </c>
      <c r="L136" s="254" t="e">
        <f>L121-#REF!</f>
        <v>#REF!</v>
      </c>
      <c r="N136" s="178" t="s">
        <v>24</v>
      </c>
      <c r="O136" s="253">
        <f t="shared" si="30"/>
        <v>1.6071511457771896</v>
      </c>
      <c r="P136" s="256">
        <f t="shared" si="29"/>
        <v>9.7814384854876337</v>
      </c>
      <c r="Q136" s="256">
        <f t="shared" si="29"/>
        <v>7.2560497779808824</v>
      </c>
      <c r="R136" s="256">
        <f t="shared" si="29"/>
        <v>5.5494196574838401</v>
      </c>
      <c r="S136" s="254">
        <f t="shared" si="29"/>
        <v>24.194059066729544</v>
      </c>
      <c r="U136" s="178" t="s">
        <v>24</v>
      </c>
      <c r="V136" t="s">
        <v>268</v>
      </c>
      <c r="W136" t="s">
        <v>269</v>
      </c>
      <c r="X136" t="s">
        <v>270</v>
      </c>
      <c r="Y136" t="s">
        <v>271</v>
      </c>
      <c r="Z136" s="253" t="e">
        <v>#REF!</v>
      </c>
      <c r="AA136" s="256" t="e">
        <v>#REF!</v>
      </c>
      <c r="AB136" s="256" t="e">
        <v>#REF!</v>
      </c>
      <c r="AC136" s="256" t="e">
        <v>#REF!</v>
      </c>
      <c r="AD136" s="254" t="e">
        <v>#REF!</v>
      </c>
    </row>
    <row r="137" spans="3:30" s="3" customFormat="1" x14ac:dyDescent="0.25">
      <c r="C137" s="178" t="s">
        <v>153</v>
      </c>
      <c r="D137" t="s">
        <v>272</v>
      </c>
      <c r="E137" t="s">
        <v>273</v>
      </c>
      <c r="F137" t="s">
        <v>274</v>
      </c>
      <c r="G137" t="s">
        <v>275</v>
      </c>
      <c r="H137" s="257" t="e">
        <f>H122-#REF!</f>
        <v>#REF!</v>
      </c>
      <c r="I137" s="55" t="e">
        <f>I122-#REF!</f>
        <v>#REF!</v>
      </c>
      <c r="J137" s="55" t="e">
        <f>J122-#REF!</f>
        <v>#REF!</v>
      </c>
      <c r="K137" s="55" t="e">
        <f>K122-#REF!</f>
        <v>#REF!</v>
      </c>
      <c r="L137" s="254" t="e">
        <f>L122-#REF!</f>
        <v>#REF!</v>
      </c>
      <c r="N137" s="178" t="s">
        <v>153</v>
      </c>
      <c r="O137" s="257">
        <f t="shared" si="30"/>
        <v>-2.3547302363589853</v>
      </c>
      <c r="P137" s="55">
        <f t="shared" si="29"/>
        <v>-5.703461829755625</v>
      </c>
      <c r="Q137" s="55">
        <f t="shared" si="29"/>
        <v>0</v>
      </c>
      <c r="R137" s="55">
        <f t="shared" si="29"/>
        <v>1.5793216363017963</v>
      </c>
      <c r="S137" s="254">
        <f t="shared" si="29"/>
        <v>-6.4788704298128152</v>
      </c>
      <c r="U137" s="178" t="s">
        <v>153</v>
      </c>
      <c r="V137" t="s">
        <v>272</v>
      </c>
      <c r="W137" t="s">
        <v>273</v>
      </c>
      <c r="X137" t="s">
        <v>274</v>
      </c>
      <c r="Y137" t="s">
        <v>275</v>
      </c>
      <c r="Z137" s="257" t="e">
        <v>#REF!</v>
      </c>
      <c r="AA137" s="55" t="e">
        <v>#REF!</v>
      </c>
      <c r="AB137" s="55" t="e">
        <v>#REF!</v>
      </c>
      <c r="AC137" s="55" t="e">
        <v>#REF!</v>
      </c>
      <c r="AD137" s="254" t="e">
        <v>#REF!</v>
      </c>
    </row>
    <row r="138" spans="3:30" s="3" customFormat="1" x14ac:dyDescent="0.25">
      <c r="C138" s="178" t="s">
        <v>25</v>
      </c>
      <c r="D138" t="s">
        <v>276</v>
      </c>
      <c r="E138" t="s">
        <v>277</v>
      </c>
      <c r="F138" t="s">
        <v>278</v>
      </c>
      <c r="G138" t="s">
        <v>279</v>
      </c>
      <c r="H138" s="253" t="e">
        <f>H123-#REF!</f>
        <v>#REF!</v>
      </c>
      <c r="I138" s="256" t="e">
        <f>I123-#REF!</f>
        <v>#REF!</v>
      </c>
      <c r="J138" s="256" t="e">
        <f>J123-#REF!</f>
        <v>#REF!</v>
      </c>
      <c r="K138" s="256" t="e">
        <f>K123-#REF!</f>
        <v>#REF!</v>
      </c>
      <c r="L138" s="254" t="e">
        <f>L123-#REF!</f>
        <v>#REF!</v>
      </c>
      <c r="N138" s="178" t="s">
        <v>25</v>
      </c>
      <c r="O138" s="253">
        <f t="shared" si="30"/>
        <v>0</v>
      </c>
      <c r="P138" s="256">
        <f t="shared" si="29"/>
        <v>1.0528204442044351</v>
      </c>
      <c r="Q138" s="256">
        <f t="shared" si="29"/>
        <v>3.1540498303334052E-4</v>
      </c>
      <c r="R138" s="256">
        <f t="shared" si="29"/>
        <v>-2.1258076959255801E-2</v>
      </c>
      <c r="S138" s="254">
        <f t="shared" si="29"/>
        <v>1.0318777722282118</v>
      </c>
      <c r="U138" s="178" t="s">
        <v>25</v>
      </c>
      <c r="V138" t="s">
        <v>276</v>
      </c>
      <c r="W138" t="s">
        <v>277</v>
      </c>
      <c r="X138" t="s">
        <v>278</v>
      </c>
      <c r="Y138" t="s">
        <v>279</v>
      </c>
      <c r="Z138" s="253" t="e">
        <v>#REF!</v>
      </c>
      <c r="AA138" s="256" t="e">
        <v>#REF!</v>
      </c>
      <c r="AB138" s="256" t="e">
        <v>#REF!</v>
      </c>
      <c r="AC138" s="256" t="e">
        <v>#REF!</v>
      </c>
      <c r="AD138" s="254" t="e">
        <v>#REF!</v>
      </c>
    </row>
    <row r="139" spans="3:30" s="3" customFormat="1" x14ac:dyDescent="0.25">
      <c r="C139" s="258" t="s">
        <v>26</v>
      </c>
      <c r="D139" s="259"/>
      <c r="E139" s="259"/>
      <c r="F139" s="259"/>
      <c r="G139" s="259"/>
      <c r="H139" s="260" t="e">
        <f>H124-#REF!</f>
        <v>#REF!</v>
      </c>
      <c r="I139" s="261" t="e">
        <f>I124-#REF!</f>
        <v>#REF!</v>
      </c>
      <c r="J139" s="261" t="e">
        <f>J124-#REF!</f>
        <v>#REF!</v>
      </c>
      <c r="K139" s="261" t="e">
        <f>K124-#REF!</f>
        <v>#REF!</v>
      </c>
      <c r="L139" s="262" t="e">
        <f>L124-#REF!</f>
        <v>#REF!</v>
      </c>
      <c r="N139" s="258" t="s">
        <v>26</v>
      </c>
      <c r="O139" s="260">
        <f t="shared" si="30"/>
        <v>-0.61564982288179593</v>
      </c>
      <c r="P139" s="261">
        <f t="shared" si="29"/>
        <v>20.643457650287104</v>
      </c>
      <c r="Q139" s="261">
        <f t="shared" si="29"/>
        <v>7.5560867156137306</v>
      </c>
      <c r="R139" s="261">
        <f t="shared" si="29"/>
        <v>5.2178229192076628</v>
      </c>
      <c r="S139" s="262">
        <f t="shared" si="29"/>
        <v>32.801717462226719</v>
      </c>
      <c r="U139" s="258" t="s">
        <v>26</v>
      </c>
      <c r="V139" s="259"/>
      <c r="W139" s="259"/>
      <c r="X139" s="259"/>
      <c r="Y139" s="259"/>
      <c r="Z139" s="260" t="e">
        <v>#REF!</v>
      </c>
      <c r="AA139" s="261" t="e">
        <v>#REF!</v>
      </c>
      <c r="AB139" s="261" t="e">
        <v>#REF!</v>
      </c>
      <c r="AC139" s="261" t="e">
        <v>#REF!</v>
      </c>
      <c r="AD139" s="262" t="e">
        <v>#REF!</v>
      </c>
    </row>
    <row r="140" spans="3:30" s="3" customFormat="1" x14ac:dyDescent="0.25"/>
    <row r="141" spans="3:30" s="3" customFormat="1" x14ac:dyDescent="0.25"/>
    <row r="142" spans="3:30" s="3" customFormat="1" x14ac:dyDescent="0.25"/>
    <row r="143" spans="3:30" s="3" customFormat="1" x14ac:dyDescent="0.25"/>
    <row r="144" spans="3:30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AB121"/>
  <sheetViews>
    <sheetView topLeftCell="A40" workbookViewId="0">
      <selection activeCell="E22" sqref="E22"/>
    </sheetView>
  </sheetViews>
  <sheetFormatPr baseColWidth="10" defaultRowHeight="15" x14ac:dyDescent="0.25"/>
  <cols>
    <col min="1" max="1" width="29.85546875" customWidth="1"/>
    <col min="5" max="6" width="11.42578125" customWidth="1"/>
    <col min="9" max="9" width="13.140625" customWidth="1"/>
    <col min="13" max="13" width="11.42578125" customWidth="1"/>
    <col min="16" max="16" width="13.42578125" customWidth="1"/>
    <col min="20" max="20" width="11.42578125" customWidth="1"/>
  </cols>
  <sheetData>
    <row r="1" spans="1:28" ht="23.25" x14ac:dyDescent="0.35">
      <c r="A1" s="1" t="s">
        <v>232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8" ht="18.75" x14ac:dyDescent="0.3">
      <c r="A2" s="6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5"/>
      <c r="S2" s="3"/>
      <c r="T2" s="3"/>
      <c r="U2" s="3"/>
      <c r="V2" s="69"/>
      <c r="W2" s="69"/>
      <c r="X2" s="3"/>
      <c r="Y2" s="3"/>
    </row>
    <row r="3" spans="1:28" ht="23.25" x14ac:dyDescent="0.35">
      <c r="A3" s="194" t="str">
        <f>Résultats!B1</f>
        <v>TEND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65"/>
      <c r="S3" s="3"/>
      <c r="T3" s="3"/>
      <c r="U3" s="3"/>
      <c r="V3" s="69"/>
      <c r="W3" s="69"/>
      <c r="X3" s="3"/>
      <c r="Y3" s="3"/>
    </row>
    <row r="4" spans="1:28" x14ac:dyDescent="0.25">
      <c r="A4" s="3"/>
      <c r="B4" s="67"/>
      <c r="C4" s="67"/>
      <c r="D4" s="67"/>
      <c r="E4" s="67"/>
      <c r="F4" s="68"/>
      <c r="G4" s="3"/>
      <c r="H4" s="3"/>
      <c r="I4" s="3"/>
      <c r="J4" s="43"/>
      <c r="K4" s="43"/>
      <c r="L4" s="43"/>
      <c r="M4" s="43"/>
      <c r="O4" s="12"/>
      <c r="Q4" s="43"/>
      <c r="R4" s="43"/>
      <c r="S4" s="43"/>
      <c r="T4" s="43"/>
      <c r="X4" s="43"/>
      <c r="Y4" s="43"/>
      <c r="Z4" s="43"/>
      <c r="AA4" s="43"/>
    </row>
    <row r="5" spans="1:28" ht="21" x14ac:dyDescent="0.35">
      <c r="A5" s="174">
        <v>2015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118" t="s">
        <v>1</v>
      </c>
      <c r="H5" s="3"/>
      <c r="I5" s="2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 x14ac:dyDescent="0.25">
      <c r="A6" s="195" t="s">
        <v>18</v>
      </c>
      <c r="B6" s="57">
        <f>B7+B8</f>
        <v>0</v>
      </c>
      <c r="C6" s="57">
        <f>C7+C8</f>
        <v>130.10436022208455</v>
      </c>
      <c r="D6" s="57">
        <f>D7+D8</f>
        <v>0.59898156980466088</v>
      </c>
      <c r="E6" s="57">
        <f>E7+E8</f>
        <v>0.38537939401781107</v>
      </c>
      <c r="F6" s="57">
        <f>F7+F8</f>
        <v>0</v>
      </c>
      <c r="G6" s="196">
        <f t="shared" ref="G6:G15" si="0">SUM(B6:F6)</f>
        <v>131.08872118590702</v>
      </c>
      <c r="H6" s="3"/>
      <c r="I6" s="203"/>
      <c r="J6" s="51"/>
      <c r="K6" s="51" t="s">
        <v>235</v>
      </c>
      <c r="L6" s="51"/>
      <c r="M6" s="51"/>
      <c r="N6" s="53"/>
      <c r="O6" s="54"/>
      <c r="P6" s="54"/>
      <c r="Q6" s="54"/>
      <c r="R6" s="54"/>
      <c r="S6" s="54"/>
      <c r="T6" s="46"/>
      <c r="U6" s="53"/>
      <c r="V6" s="24"/>
      <c r="W6" s="45"/>
      <c r="X6" s="52"/>
      <c r="Y6" s="52"/>
      <c r="Z6" s="52"/>
      <c r="AA6" s="52"/>
      <c r="AB6" s="52"/>
    </row>
    <row r="7" spans="1:28" x14ac:dyDescent="0.25">
      <c r="A7" s="177" t="s">
        <v>19</v>
      </c>
      <c r="B7" s="19">
        <v>0</v>
      </c>
      <c r="C7" s="19">
        <f>'T energie usages'!I12*3.2*Résultats!L250</f>
        <v>74.627347992884566</v>
      </c>
      <c r="D7" s="19">
        <f>'T energie usages'!J12/'T energie usages'!J$20*(Résultats!N$159+Résultats!N$60+Résultats!N$161)/1000000</f>
        <v>9.4329669396726653E-3</v>
      </c>
      <c r="E7" s="19">
        <f>'T energie usages'!K12*2.394*Résultats!L251</f>
        <v>2.3008897811069461E-5</v>
      </c>
      <c r="F7" s="19">
        <v>0</v>
      </c>
      <c r="G7" s="120">
        <f t="shared" si="0"/>
        <v>74.636803968722049</v>
      </c>
      <c r="H7" s="3"/>
      <c r="I7" s="203"/>
      <c r="J7" s="51"/>
      <c r="K7" s="208"/>
      <c r="L7" s="209">
        <v>2020</v>
      </c>
      <c r="M7" s="209">
        <v>2030</v>
      </c>
      <c r="N7" s="210">
        <v>2050</v>
      </c>
      <c r="O7" s="54"/>
      <c r="P7" s="54"/>
      <c r="Q7" s="54"/>
      <c r="R7" s="54"/>
      <c r="S7" s="54"/>
      <c r="T7" s="46"/>
      <c r="U7" s="53"/>
      <c r="V7" s="24"/>
      <c r="W7" s="41"/>
      <c r="X7" s="52"/>
      <c r="Y7" s="52"/>
      <c r="Z7" s="52"/>
      <c r="AA7" s="52"/>
      <c r="AB7" s="52"/>
    </row>
    <row r="8" spans="1:28" x14ac:dyDescent="0.25">
      <c r="A8" s="178" t="s">
        <v>20</v>
      </c>
      <c r="B8" s="19">
        <v>0</v>
      </c>
      <c r="C8" s="19">
        <f>(Résultats!N$150+Résultats!N$151+Résultats!N$152+Résultats!N$153+Résultats!N$154)/1000000</f>
        <v>55.4770122292</v>
      </c>
      <c r="D8" s="19">
        <f>'T energie usages'!J13/'T energie usages'!J$20*(Résultats!N$159+Résultats!N$160+Résultats!N$161)/1000000</f>
        <v>0.58954860286498822</v>
      </c>
      <c r="E8" s="19">
        <f>(Résultats!N$176+Résultats!N$177+Résultats!N$178+Résultats!N$179+Résultats!N$180)/1000000</f>
        <v>0.38535638511999998</v>
      </c>
      <c r="F8" s="19">
        <v>0</v>
      </c>
      <c r="G8" s="120">
        <f t="shared" si="0"/>
        <v>56.451917217184985</v>
      </c>
      <c r="H8" s="3"/>
      <c r="I8" s="203"/>
      <c r="J8" s="51"/>
      <c r="K8" s="211" t="s">
        <v>18</v>
      </c>
      <c r="L8" s="24">
        <f>G19</f>
        <v>126.95565515017762</v>
      </c>
      <c r="M8" s="24">
        <f>G45</f>
        <v>113.8327552596751</v>
      </c>
      <c r="N8" s="214">
        <f>G71</f>
        <v>95.700988793477194</v>
      </c>
      <c r="O8" s="54"/>
      <c r="P8" s="54"/>
      <c r="Q8" s="54"/>
      <c r="R8" s="54"/>
      <c r="S8" s="54"/>
      <c r="T8" s="46"/>
      <c r="U8" s="53"/>
      <c r="V8" s="24"/>
      <c r="W8" s="41"/>
      <c r="X8" s="52"/>
      <c r="Y8" s="52"/>
      <c r="Z8" s="52"/>
      <c r="AA8" s="52"/>
      <c r="AB8" s="52"/>
    </row>
    <row r="9" spans="1:28" x14ac:dyDescent="0.25">
      <c r="A9" s="195" t="s">
        <v>21</v>
      </c>
      <c r="B9" s="57">
        <f>Résultats!N$102/1000000</f>
        <v>0.90043686140000001</v>
      </c>
      <c r="C9" s="57">
        <f>'T energie usages'!I14*3.2*Résultats!L250</f>
        <v>22.123012816712368</v>
      </c>
      <c r="D9" s="57">
        <f>'T energie usages'!J14/'T energie usages'!J$20*(Résultats!N$159+Résultats!N$160+Résultats!N$161)/1000000</f>
        <v>6.9660181601042606</v>
      </c>
      <c r="E9" s="57">
        <f>('T energie usages'!K14-5)*2.394*Résultats!L251</f>
        <v>35.454436908422757</v>
      </c>
      <c r="F9" s="57">
        <v>0</v>
      </c>
      <c r="G9" s="196">
        <f t="shared" si="0"/>
        <v>65.44390474663939</v>
      </c>
      <c r="H9" s="3"/>
      <c r="I9" s="203"/>
      <c r="J9" s="51"/>
      <c r="K9" s="211" t="s">
        <v>233</v>
      </c>
      <c r="L9" s="24">
        <f>G22</f>
        <v>54.964057902017686</v>
      </c>
      <c r="M9" s="24">
        <f>G48</f>
        <v>45.310525387538121</v>
      </c>
      <c r="N9" s="214">
        <f>G74</f>
        <v>39.110074900213398</v>
      </c>
      <c r="O9" s="54"/>
      <c r="P9" s="54"/>
      <c r="Q9" s="54"/>
      <c r="R9" s="54"/>
      <c r="S9" s="54"/>
      <c r="T9" s="46"/>
      <c r="U9" s="53"/>
      <c r="V9" s="24"/>
      <c r="W9" s="45"/>
      <c r="X9" s="52"/>
      <c r="Y9" s="52"/>
      <c r="Z9" s="52"/>
      <c r="AA9" s="52"/>
      <c r="AB9" s="52"/>
    </row>
    <row r="10" spans="1:28" x14ac:dyDescent="0.25">
      <c r="A10" s="195" t="s">
        <v>22</v>
      </c>
      <c r="B10" s="57">
        <f>(Résultats!N$135+Résultats!N$136)/1000000</f>
        <v>0</v>
      </c>
      <c r="C10" s="57">
        <f>(Résultats!N$155+Résultats!N$156)/1000000</f>
        <v>12.462402564200001</v>
      </c>
      <c r="D10" s="57">
        <f>'T energie usages'!J15/'T energie usages'!J$20*(Résultats!N$159+Résultats!N$160+Résultats!N$161)/1000000</f>
        <v>6.6120428696815363</v>
      </c>
      <c r="E10" s="57">
        <f>(Résultats!N$181+Résultats!N$182)/1000000</f>
        <v>16.321584764000001</v>
      </c>
      <c r="F10" s="57">
        <v>0</v>
      </c>
      <c r="G10" s="196">
        <f t="shared" si="0"/>
        <v>35.396030197881537</v>
      </c>
      <c r="H10" s="3"/>
      <c r="I10" s="203"/>
      <c r="J10" s="51"/>
      <c r="K10" s="212" t="s">
        <v>22</v>
      </c>
      <c r="L10" s="24">
        <f>G23</f>
        <v>26.808207262582762</v>
      </c>
      <c r="M10" s="24">
        <f>G49</f>
        <v>21.154626779179694</v>
      </c>
      <c r="N10" s="214">
        <f>G75</f>
        <v>16.752541162318174</v>
      </c>
      <c r="O10" s="54"/>
      <c r="P10" s="54"/>
      <c r="Q10" s="54"/>
      <c r="R10" s="54"/>
      <c r="S10" s="54"/>
      <c r="T10" s="46"/>
      <c r="U10" s="53"/>
      <c r="V10" s="24"/>
      <c r="W10" s="45"/>
      <c r="X10" s="52"/>
      <c r="Y10" s="52"/>
      <c r="Z10" s="52"/>
      <c r="AA10" s="52"/>
      <c r="AB10" s="52"/>
    </row>
    <row r="11" spans="1:28" x14ac:dyDescent="0.25">
      <c r="A11" s="195" t="s">
        <v>23</v>
      </c>
      <c r="B11" s="57">
        <f>B12+B13</f>
        <v>19.550145682900002</v>
      </c>
      <c r="C11" s="57">
        <f>C12+C13</f>
        <v>62.829798116731737</v>
      </c>
      <c r="D11" s="57">
        <f>D12+D13</f>
        <v>5.626047843736778</v>
      </c>
      <c r="E11" s="57">
        <f>E12+E13</f>
        <v>24.348839165357798</v>
      </c>
      <c r="F11" s="57">
        <f>F12+F13</f>
        <v>12.05881789</v>
      </c>
      <c r="G11" s="196">
        <f t="shared" si="0"/>
        <v>124.41364869872633</v>
      </c>
      <c r="H11" s="3"/>
      <c r="I11" s="203"/>
      <c r="J11" s="51"/>
      <c r="K11" s="213" t="s">
        <v>234</v>
      </c>
      <c r="L11" s="215">
        <f>G24</f>
        <v>96.100582331488113</v>
      </c>
      <c r="M11" s="215">
        <f>G50</f>
        <v>105.86991681638756</v>
      </c>
      <c r="N11" s="216">
        <f>G76</f>
        <v>124.47345580669756</v>
      </c>
      <c r="O11" s="54"/>
      <c r="P11" s="54"/>
      <c r="Q11" s="54"/>
      <c r="R11" s="54"/>
      <c r="S11" s="54"/>
      <c r="T11" s="46"/>
      <c r="U11" s="53"/>
      <c r="V11" s="24"/>
      <c r="W11" s="45"/>
      <c r="X11" s="52"/>
      <c r="Y11" s="52"/>
      <c r="Z11" s="52"/>
      <c r="AA11" s="52"/>
      <c r="AB11" s="52"/>
    </row>
    <row r="12" spans="1:28" x14ac:dyDescent="0.25">
      <c r="A12" s="178" t="s">
        <v>24</v>
      </c>
      <c r="B12" s="19">
        <f>(Résultats!N$129+Résultats!N$130+Résultats!N$131+Résultats!N$132+Résultats!N$133+Résultats!N$134)/1000000</f>
        <v>19.550145682900002</v>
      </c>
      <c r="C12" s="19">
        <f>(Résultats!N$138+Résultats!N$140+Résultats!N$141+Résultats!N$142+Résultats!N$143+Résultats!N$144+Résultats!N$145+Résultats!N$146+Résultats!N$147+Résultats!N$148+Résultats!N$149)/1000000</f>
        <v>55.739318580731741</v>
      </c>
      <c r="D12" s="19">
        <f>'T energie usages'!J17/'T energie usages'!J$20*(Résultats!N$159+Résultats!N$160+Résultats!N$161)/1000000</f>
        <v>5.4691951985562053</v>
      </c>
      <c r="E12" s="19">
        <f>(Résultats!N$164+Résultats!N$165+Résultats!N$166+Résultats!N$167+Résultats!N$168+Résultats!N$169+Résultats!N$170+Résultats!N$171+Résultats!N$172+Résultats!N$173+Résultats!N$174+Résultats!N$175+Résultats!N$183+Résultats!N$185)/1000000</f>
        <v>23.736805077757797</v>
      </c>
      <c r="F12" s="19">
        <f>Résultats!N$100/1000000</f>
        <v>12.05881789</v>
      </c>
      <c r="G12" s="120">
        <f t="shared" si="0"/>
        <v>116.55428242994574</v>
      </c>
      <c r="H12" s="3"/>
      <c r="I12" s="203"/>
      <c r="J12" s="51"/>
      <c r="K12" s="217" t="s">
        <v>1</v>
      </c>
      <c r="L12" s="218">
        <f>SUM(L8:L11)</f>
        <v>304.8285026462662</v>
      </c>
      <c r="M12" s="218">
        <f t="shared" ref="M12:N12" si="1">SUM(M8:M11)</f>
        <v>286.16782424278045</v>
      </c>
      <c r="N12" s="218">
        <f t="shared" si="1"/>
        <v>276.03706066270632</v>
      </c>
      <c r="O12" s="54"/>
      <c r="P12" s="54"/>
      <c r="Q12" s="54"/>
      <c r="R12" s="54"/>
      <c r="S12" s="54"/>
      <c r="T12" s="46"/>
      <c r="U12" s="53"/>
      <c r="V12" s="24"/>
      <c r="W12" s="41"/>
      <c r="X12" s="52"/>
      <c r="Y12" s="52"/>
      <c r="Z12" s="52"/>
      <c r="AA12" s="52"/>
      <c r="AB12" s="52"/>
    </row>
    <row r="13" spans="1:28" x14ac:dyDescent="0.25">
      <c r="A13" s="178" t="s">
        <v>25</v>
      </c>
      <c r="B13" s="19">
        <v>0</v>
      </c>
      <c r="C13" s="19">
        <f>(Résultats!N$139)/1000000</f>
        <v>7.0904795360000001</v>
      </c>
      <c r="D13" s="19">
        <f>'T energie usages'!J19/'T energie usages'!J$20*(Résultats!N$159+Résultats!N$160+Résultats!N$161)/1000000</f>
        <v>0.15685264518057307</v>
      </c>
      <c r="E13" s="19">
        <f>(Résultats!N$163)/1000000</f>
        <v>0.6120340876</v>
      </c>
      <c r="F13" s="19">
        <v>0</v>
      </c>
      <c r="G13" s="120">
        <f t="shared" si="0"/>
        <v>7.8593662687805725</v>
      </c>
      <c r="H13" s="3"/>
      <c r="I13" s="203"/>
      <c r="J13" s="51"/>
      <c r="K13" s="51"/>
      <c r="L13" s="51"/>
      <c r="M13" s="51"/>
      <c r="N13" s="53"/>
      <c r="O13" s="54"/>
      <c r="P13" s="54"/>
      <c r="Q13" s="54"/>
      <c r="R13" s="54"/>
      <c r="S13" s="54"/>
      <c r="T13" s="46"/>
      <c r="U13" s="53"/>
      <c r="V13" s="24"/>
      <c r="W13" s="41"/>
      <c r="X13" s="52"/>
      <c r="Y13" s="52"/>
      <c r="Z13" s="52"/>
      <c r="AA13" s="52"/>
      <c r="AB13" s="52"/>
    </row>
    <row r="14" spans="1:28" x14ac:dyDescent="0.25">
      <c r="A14" s="72" t="s">
        <v>41</v>
      </c>
      <c r="B14" s="58">
        <f>SUM(B9:B11)+B6</f>
        <v>20.450582544300001</v>
      </c>
      <c r="C14" s="58">
        <f>SUM(C9:C11)+C6</f>
        <v>227.51957371972867</v>
      </c>
      <c r="D14" s="58">
        <f>SUM(D9:D11)+D6</f>
        <v>19.803090443327235</v>
      </c>
      <c r="E14" s="58">
        <f>SUM(E9:E11)+E6</f>
        <v>76.510240231798377</v>
      </c>
      <c r="F14" s="58">
        <f>SUM(F9:F11)+F6</f>
        <v>12.05881789</v>
      </c>
      <c r="G14" s="197">
        <f t="shared" si="0"/>
        <v>356.34230482915427</v>
      </c>
      <c r="H14" s="3"/>
      <c r="I14" s="203"/>
      <c r="J14" s="51"/>
      <c r="K14" s="51"/>
      <c r="L14" s="51"/>
      <c r="M14" s="51"/>
      <c r="N14" s="53"/>
      <c r="O14" s="54"/>
      <c r="P14" s="54"/>
      <c r="Q14" s="54"/>
      <c r="R14" s="54"/>
      <c r="S14" s="54"/>
      <c r="T14" s="46"/>
      <c r="U14" s="53"/>
      <c r="V14" s="24"/>
      <c r="W14" s="47"/>
      <c r="X14" s="52"/>
      <c r="Y14" s="52"/>
      <c r="Z14" s="52"/>
      <c r="AA14" s="52"/>
      <c r="AB14" s="52"/>
    </row>
    <row r="15" spans="1:28" x14ac:dyDescent="0.25">
      <c r="A15" s="198" t="s">
        <v>43</v>
      </c>
      <c r="B15" s="201">
        <f>(Résultats!N$102+Résultats!N$129+Résultats!N$130+Résultats!N$131+Résultats!N$132+Résultats!N$133+Résultats!N$134+Résultats!N$135+Résultats!N$136)/1000000</f>
        <v>20.450582544300001</v>
      </c>
      <c r="C15" s="201">
        <f>(Résultats!N$104+Résultats!N$138+Résultats!N$139+Résultats!N$140+Résultats!N$141+Résultats!N$142+Résultats!N$143+Résultats!N$144+Résultats!N$145+Résultats!N$146+Résultats!N$147+Résultats!N$148+Résultats!N$149+Résultats!N$150+Résultats!N$151+Résultats!N$152+Résultats!N$153+Résultats!N$154+Résultats!N$155+Résultats!N$156)/1000000</f>
        <v>226.78486286013174</v>
      </c>
      <c r="D15" s="201">
        <f>(Résultats!N$159+Résultats!N$160+Résultats!N$161)/1000000</f>
        <v>19.807992332000001</v>
      </c>
      <c r="E15" s="201">
        <f>(Résultats!N$106+Résultats!N$163+Résultats!N$164+Résultats!N$165+Résultats!N$166+Résultats!N$167+Résultats!N$168+Résultats!N$169+Résultats!N$170+Résultats!N$171+Résultats!N$172+Résultats!N$173+Résultats!N$174+Résultats!N$175+Résultats!N$176+Résultats!N$177+Résultats!N$178+Résultats!N$179+Résultats!N$180+Résultats!N$181+Résultats!N$182+Résultats!N$183+Résultats!N$185)/1000000</f>
        <v>68.206643064477802</v>
      </c>
      <c r="F15" s="201">
        <f>Résultats!N$100/1000000</f>
        <v>12.05881789</v>
      </c>
      <c r="G15" s="202">
        <f t="shared" si="0"/>
        <v>347.30889869090959</v>
      </c>
      <c r="H15" s="3"/>
      <c r="I15" s="203"/>
      <c r="J15" s="51"/>
      <c r="K15" s="51"/>
      <c r="L15" s="51"/>
      <c r="M15" s="46"/>
      <c r="N15" s="24"/>
      <c r="O15" s="51"/>
      <c r="P15" s="51"/>
      <c r="Q15" s="51"/>
      <c r="R15" s="51"/>
      <c r="S15" s="46"/>
      <c r="T15" s="46"/>
      <c r="U15" s="24"/>
      <c r="V15" s="24"/>
      <c r="W15" s="48"/>
      <c r="X15" s="52"/>
      <c r="Y15" s="52"/>
      <c r="Z15" s="52"/>
      <c r="AA15" s="52"/>
      <c r="AB15" s="52"/>
    </row>
    <row r="16" spans="1:28" x14ac:dyDescent="0.25">
      <c r="A16" s="198"/>
      <c r="B16" s="199"/>
      <c r="C16" s="199"/>
      <c r="D16" s="199"/>
      <c r="E16" s="199"/>
      <c r="F16" s="199"/>
      <c r="G16" s="200">
        <f>Résultats!N$194/1000000</f>
        <v>347.308898</v>
      </c>
      <c r="H16" s="3"/>
      <c r="I16" s="203"/>
      <c r="J16" s="51"/>
      <c r="K16" s="51"/>
      <c r="L16" s="51"/>
      <c r="M16" s="46"/>
      <c r="N16" s="50"/>
      <c r="O16" s="51"/>
      <c r="P16" s="51"/>
      <c r="Q16" s="51"/>
      <c r="R16" s="51"/>
      <c r="S16" s="46"/>
      <c r="T16" s="46"/>
      <c r="U16" s="50"/>
      <c r="V16" s="50"/>
      <c r="W16" s="49"/>
      <c r="X16" s="52"/>
      <c r="Y16" s="52"/>
      <c r="Z16" s="52"/>
      <c r="AA16" s="52"/>
      <c r="AB16" s="52"/>
    </row>
    <row r="17" spans="1:28" x14ac:dyDescent="0.25">
      <c r="A17" s="3"/>
      <c r="B17" s="64"/>
      <c r="C17" s="64"/>
      <c r="D17" s="64"/>
      <c r="E17" s="64"/>
      <c r="F17" s="64"/>
      <c r="G17" s="3"/>
      <c r="H17" s="3"/>
      <c r="I17" s="203"/>
      <c r="J17" s="51"/>
      <c r="K17" s="51"/>
      <c r="L17" s="51"/>
      <c r="M17" s="46"/>
      <c r="O17" s="51"/>
      <c r="P17" s="51"/>
      <c r="Q17" s="51"/>
      <c r="R17" s="51"/>
      <c r="S17" s="46"/>
      <c r="T17" s="46"/>
      <c r="X17" s="52"/>
      <c r="Y17" s="52"/>
      <c r="Z17" s="52"/>
      <c r="AA17" s="52"/>
      <c r="AB17" s="52"/>
    </row>
    <row r="18" spans="1:28" ht="21" x14ac:dyDescent="0.35">
      <c r="A18" s="174">
        <v>2020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40</v>
      </c>
      <c r="G18" s="118" t="s">
        <v>1</v>
      </c>
      <c r="H18" s="3"/>
      <c r="I18" s="2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W18" s="44"/>
      <c r="X18" s="44"/>
      <c r="Y18" s="44"/>
      <c r="Z18" s="44"/>
      <c r="AA18" s="44"/>
      <c r="AB18" s="52"/>
    </row>
    <row r="19" spans="1:28" x14ac:dyDescent="0.25">
      <c r="A19" s="195" t="s">
        <v>18</v>
      </c>
      <c r="B19" s="57">
        <f>B20+B21</f>
        <v>0</v>
      </c>
      <c r="C19" s="57">
        <f>C20+C21</f>
        <v>126.0161072294961</v>
      </c>
      <c r="D19" s="57">
        <f>D20+D21</f>
        <v>0.52019736206596778</v>
      </c>
      <c r="E19" s="61">
        <f>E20+E21</f>
        <v>0.41935055861555076</v>
      </c>
      <c r="F19" s="57">
        <f>F20+F21</f>
        <v>0</v>
      </c>
      <c r="G19" s="196">
        <f>SUM(B19:F19)</f>
        <v>126.95565515017762</v>
      </c>
      <c r="H19" s="3"/>
      <c r="I19" s="203"/>
      <c r="J19" s="51"/>
      <c r="K19" s="51"/>
      <c r="L19" s="51"/>
      <c r="M19" s="51"/>
      <c r="N19" s="53"/>
      <c r="O19" s="54"/>
      <c r="P19" s="54"/>
      <c r="Q19" s="54"/>
      <c r="R19" s="54"/>
      <c r="S19" s="54"/>
      <c r="T19" s="46"/>
      <c r="U19" s="34"/>
      <c r="W19" s="45"/>
      <c r="X19" s="52"/>
      <c r="Y19" s="52"/>
      <c r="Z19" s="52"/>
      <c r="AA19" s="52"/>
      <c r="AB19" s="52"/>
    </row>
    <row r="20" spans="1:28" x14ac:dyDescent="0.25">
      <c r="A20" s="177" t="s">
        <v>19</v>
      </c>
      <c r="B20" s="19">
        <v>0</v>
      </c>
      <c r="C20" s="19">
        <f>'T energie usages'!I25*3.2*Résultats!S250</f>
        <v>72.167009267996093</v>
      </c>
      <c r="D20" s="19">
        <f>'T energie usages'!J25/'T energie usages'!J$33*(Résultats!S$159+Résultats!S$160+Résultats!S$161)/1000000</f>
        <v>3.9832283015663633E-2</v>
      </c>
      <c r="E20" s="55">
        <f>'T energie usages'!K25*2.394*Résultats!S251</f>
        <v>3.5310255550801453E-5</v>
      </c>
      <c r="F20" s="19">
        <v>0</v>
      </c>
      <c r="G20" s="120">
        <f>SUM(B20:F20)</f>
        <v>72.206876861267318</v>
      </c>
      <c r="H20" s="3"/>
      <c r="I20" s="203"/>
      <c r="J20" s="51"/>
      <c r="K20" s="51"/>
      <c r="L20" s="51"/>
      <c r="M20" s="51"/>
      <c r="N20" s="53"/>
      <c r="O20" s="54"/>
      <c r="P20" s="54"/>
      <c r="Q20" s="54"/>
      <c r="R20" s="54"/>
      <c r="S20" s="54"/>
      <c r="T20" s="46"/>
      <c r="U20" s="42"/>
      <c r="W20" s="41"/>
      <c r="X20" s="52"/>
      <c r="Y20" s="52"/>
      <c r="Z20" s="52"/>
      <c r="AA20" s="52"/>
      <c r="AB20" s="52"/>
    </row>
    <row r="21" spans="1:28" x14ac:dyDescent="0.25">
      <c r="A21" s="178" t="s">
        <v>20</v>
      </c>
      <c r="B21" s="19">
        <v>0</v>
      </c>
      <c r="C21" s="19">
        <f>(Résultats!S$150+Résultats!S$151+Résultats!S$152+Résultats!S$153+Résultats!S$154)/1000000</f>
        <v>53.849097961500007</v>
      </c>
      <c r="D21" s="19">
        <f>'T energie usages'!J26/'T energie usages'!J$33*(Résultats!S$159+Résultats!S$160+Résultats!S$161)/1000000</f>
        <v>0.48036507905030418</v>
      </c>
      <c r="E21" s="55">
        <f>(Résultats!S$176+Résultats!S$177+Résultats!S$178+Résultats!S$179+Résultats!S$180)/1000000</f>
        <v>0.41931524835999995</v>
      </c>
      <c r="F21" s="19">
        <v>0</v>
      </c>
      <c r="G21" s="120">
        <f>SUM(B21:F21)</f>
        <v>54.748778288910309</v>
      </c>
      <c r="H21" s="3"/>
      <c r="I21" s="203"/>
      <c r="J21" s="51"/>
      <c r="K21" s="51"/>
      <c r="L21" s="51"/>
      <c r="M21" s="51"/>
      <c r="N21" s="53"/>
      <c r="O21" s="54"/>
      <c r="P21" s="54"/>
      <c r="Q21" s="54"/>
      <c r="R21" s="54"/>
      <c r="S21" s="54"/>
      <c r="T21" s="46"/>
      <c r="U21" s="42"/>
      <c r="W21" s="41"/>
      <c r="X21" s="52"/>
      <c r="Y21" s="52"/>
      <c r="Z21" s="52"/>
      <c r="AA21" s="52"/>
      <c r="AB21" s="52"/>
    </row>
    <row r="22" spans="1:28" x14ac:dyDescent="0.25">
      <c r="A22" s="195" t="s">
        <v>21</v>
      </c>
      <c r="B22" s="57">
        <f>Résultats!S$102/1000000</f>
        <v>0.80611178319999999</v>
      </c>
      <c r="C22" s="57">
        <f>'T energie usages'!I27*3.2*Résultats!S250</f>
        <v>19.097652289486813</v>
      </c>
      <c r="D22" s="57">
        <f>'T energie usages'!J27/'T energie usages'!J$33*(Résultats!S$159+Résultats!S$160+Résultats!S$161)/1000000</f>
        <v>5.3516057719096839</v>
      </c>
      <c r="E22" s="57">
        <f>('T energie usages'!K27-7)*2.394*Résultats!S251</f>
        <v>29.708688057421188</v>
      </c>
      <c r="F22" s="57">
        <v>0</v>
      </c>
      <c r="G22" s="196">
        <f>SUM(B22:F22)</f>
        <v>54.964057902017686</v>
      </c>
      <c r="H22" s="3"/>
      <c r="I22" s="203"/>
      <c r="J22" s="51"/>
      <c r="K22" s="51"/>
      <c r="L22" s="51"/>
      <c r="M22" s="51"/>
      <c r="N22" s="53"/>
      <c r="O22" s="54"/>
      <c r="P22" s="54"/>
      <c r="Q22" s="54"/>
      <c r="R22" s="54"/>
      <c r="S22" s="54"/>
      <c r="T22" s="46"/>
      <c r="U22" s="34"/>
      <c r="W22" s="45"/>
      <c r="X22" s="52"/>
      <c r="Y22" s="52"/>
      <c r="Z22" s="52"/>
      <c r="AA22" s="52"/>
      <c r="AB22" s="52"/>
    </row>
    <row r="23" spans="1:28" x14ac:dyDescent="0.25">
      <c r="A23" s="195" t="s">
        <v>22</v>
      </c>
      <c r="B23" s="57">
        <f>(Résultats!S$135+Résultats!S$136)/1000000</f>
        <v>0</v>
      </c>
      <c r="C23" s="57">
        <f>(Résultats!S$155+Résultats!S$156)/1000000</f>
        <v>9.0478276494000003</v>
      </c>
      <c r="D23" s="57">
        <f>'T energie usages'!J28/'T energie usages'!J$33*(Résultats!S$159+Résultats!S$160+Résultats!S$161)/1000000</f>
        <v>4.7251646081827756</v>
      </c>
      <c r="E23" s="57">
        <f>(Résultats!S$181+Résultats!S$182)/1000000</f>
        <v>13.035215004999989</v>
      </c>
      <c r="F23" s="57">
        <v>0</v>
      </c>
      <c r="G23" s="196">
        <f t="shared" ref="G23:G28" si="2">SUM(B23:F23)</f>
        <v>26.808207262582762</v>
      </c>
      <c r="H23" s="3"/>
      <c r="I23" s="203"/>
      <c r="J23" s="51"/>
      <c r="K23" s="51"/>
      <c r="L23" s="51"/>
      <c r="M23" s="51"/>
      <c r="N23" s="53"/>
      <c r="O23" s="54"/>
      <c r="P23" s="54"/>
      <c r="Q23" s="54"/>
      <c r="R23" s="54"/>
      <c r="S23" s="54"/>
      <c r="T23" s="46"/>
      <c r="U23" s="34"/>
      <c r="W23" s="45"/>
      <c r="X23" s="52"/>
      <c r="Y23" s="52"/>
      <c r="Z23" s="52"/>
      <c r="AA23" s="52"/>
      <c r="AB23" s="52"/>
    </row>
    <row r="24" spans="1:28" x14ac:dyDescent="0.25">
      <c r="A24" s="195" t="s">
        <v>23</v>
      </c>
      <c r="B24" s="57">
        <f>B25+B26</f>
        <v>10.631844943700001</v>
      </c>
      <c r="C24" s="57">
        <f>C25+C26</f>
        <v>44.303423420619517</v>
      </c>
      <c r="D24" s="57">
        <f>D25+D26</f>
        <v>3.5127789008415742</v>
      </c>
      <c r="E24" s="57">
        <f>E25+E26</f>
        <v>24.160874496327018</v>
      </c>
      <c r="F24" s="57">
        <f>F25+F26</f>
        <v>13.491660570000001</v>
      </c>
      <c r="G24" s="196">
        <f t="shared" si="2"/>
        <v>96.100582331488113</v>
      </c>
      <c r="H24" s="3"/>
      <c r="I24" s="203"/>
      <c r="J24" s="51"/>
      <c r="K24" s="51"/>
      <c r="L24" s="51"/>
      <c r="M24" s="51"/>
      <c r="N24" s="53"/>
      <c r="O24" s="54"/>
      <c r="P24" s="54"/>
      <c r="Q24" s="54"/>
      <c r="R24" s="54"/>
      <c r="S24" s="54"/>
      <c r="T24" s="46"/>
      <c r="U24" s="34"/>
      <c r="W24" s="45"/>
      <c r="X24" s="52"/>
      <c r="Y24" s="52"/>
      <c r="Z24" s="52"/>
      <c r="AA24" s="52"/>
      <c r="AB24" s="52"/>
    </row>
    <row r="25" spans="1:28" x14ac:dyDescent="0.25">
      <c r="A25" s="178" t="s">
        <v>24</v>
      </c>
      <c r="B25" s="19">
        <f>(Résultats!S$129+Résultats!S$130+Résultats!S$131+Résultats!S$132+Résultats!S$133+Résultats!S$134)/1000000</f>
        <v>10.631844943700001</v>
      </c>
      <c r="C25" s="19">
        <f>(Résultats!S$138+Résultats!S$140+Résultats!S$141+Résultats!S$142+Résultats!S$143+Résultats!S$144+Résultats!S$145+Résultats!S$146+Résultats!S$147+Résultats!S$148+Résultats!V$149)/1000000</f>
        <v>37.392595154619514</v>
      </c>
      <c r="D25" s="19">
        <f>'T energie usages'!J30/'T energie usages'!J$33*(Résultats!S$159+Résultats!S$160+Résultats!S$161)/1000000</f>
        <v>3.399346361277539</v>
      </c>
      <c r="E25" s="19">
        <f>(Résultats!S$164+Résultats!S$165+Résultats!S$166+Résultats!S$167+Résultats!S$168+Résultats!S$169+Résultats!S$170+Résultats!S$171+Résultats!S$172+Résultats!S$173+Résultats!S$174+Résultats!S$175+Résultats!S$183+Résultats!S$185)/1000000</f>
        <v>23.618014059327017</v>
      </c>
      <c r="F25" s="19">
        <f>Résultats!S$100/1000000</f>
        <v>13.491660570000001</v>
      </c>
      <c r="G25" s="120">
        <f t="shared" si="2"/>
        <v>88.533461088924071</v>
      </c>
      <c r="H25" s="3"/>
      <c r="I25" s="203"/>
      <c r="J25" s="51"/>
      <c r="K25" s="51"/>
      <c r="L25" s="51"/>
      <c r="M25" s="51"/>
      <c r="N25" s="53"/>
      <c r="O25" s="54"/>
      <c r="P25" s="54"/>
      <c r="Q25" s="54"/>
      <c r="R25" s="54"/>
      <c r="S25" s="54"/>
      <c r="T25" s="46"/>
      <c r="U25" s="42"/>
      <c r="W25" s="41"/>
      <c r="X25" s="52"/>
      <c r="Y25" s="52"/>
      <c r="Z25" s="52"/>
      <c r="AA25" s="52"/>
      <c r="AB25" s="52"/>
    </row>
    <row r="26" spans="1:28" x14ac:dyDescent="0.25">
      <c r="A26" s="178" t="s">
        <v>25</v>
      </c>
      <c r="B26" s="19">
        <v>0</v>
      </c>
      <c r="C26" s="19">
        <f>(Résultats!S$139)/1000000</f>
        <v>6.9108282660000002</v>
      </c>
      <c r="D26" s="19">
        <f>'T energie usages'!J32/'T energie usages'!J$33*(Résultats!S$159+Résultats!S$160+Résultats!S$161)/1000000</f>
        <v>0.11343253956403501</v>
      </c>
      <c r="E26" s="19">
        <f>(Résultats!S$163)/1000000</f>
        <v>0.54286043700000008</v>
      </c>
      <c r="F26" s="19">
        <v>0</v>
      </c>
      <c r="G26" s="120">
        <f t="shared" si="2"/>
        <v>7.5671212425640348</v>
      </c>
      <c r="H26" s="3"/>
      <c r="I26" s="203"/>
      <c r="J26" s="51"/>
      <c r="K26" s="51"/>
      <c r="L26" s="51"/>
      <c r="M26" s="51"/>
      <c r="N26" s="53"/>
      <c r="O26" s="54"/>
      <c r="P26" s="54"/>
      <c r="Q26" s="54"/>
      <c r="R26" s="54"/>
      <c r="S26" s="54"/>
      <c r="T26" s="46"/>
      <c r="U26" s="42"/>
      <c r="W26" s="41"/>
      <c r="X26" s="52"/>
      <c r="Y26" s="52"/>
      <c r="Z26" s="52"/>
      <c r="AA26" s="52"/>
      <c r="AB26" s="52"/>
    </row>
    <row r="27" spans="1:28" x14ac:dyDescent="0.25">
      <c r="A27" s="72" t="s">
        <v>41</v>
      </c>
      <c r="B27" s="58">
        <f>SUM(B22:B24)+B19</f>
        <v>11.437956726900001</v>
      </c>
      <c r="C27" s="58">
        <f>SUM(C22:C24)+C19</f>
        <v>198.46501058900242</v>
      </c>
      <c r="D27" s="58">
        <f>SUM(D22:D24)+D19</f>
        <v>14.109746643000001</v>
      </c>
      <c r="E27" s="58">
        <f>SUM(E22:E24)+E19</f>
        <v>67.324128117363742</v>
      </c>
      <c r="F27" s="58">
        <f>SUM(F22:F24)+F19</f>
        <v>13.491660570000001</v>
      </c>
      <c r="G27" s="197">
        <f t="shared" si="2"/>
        <v>304.8285026462662</v>
      </c>
      <c r="H27" s="3"/>
      <c r="I27" s="203"/>
      <c r="J27" s="51"/>
      <c r="K27" s="51"/>
      <c r="L27" s="51"/>
      <c r="M27" s="51"/>
      <c r="N27" s="53"/>
      <c r="O27" s="54"/>
      <c r="P27" s="54"/>
      <c r="Q27" s="54"/>
      <c r="R27" s="54"/>
      <c r="S27" s="54"/>
      <c r="T27" s="46"/>
      <c r="U27" s="48"/>
      <c r="W27" s="47"/>
      <c r="X27" s="52"/>
      <c r="Y27" s="52"/>
      <c r="Z27" s="52"/>
      <c r="AA27" s="52"/>
      <c r="AB27" s="52"/>
    </row>
    <row r="28" spans="1:28" x14ac:dyDescent="0.25">
      <c r="A28" s="198" t="s">
        <v>43</v>
      </c>
      <c r="B28" s="201">
        <f>(Résultats!S$102+Résultats!S$129+Résultats!S$130+Résultats!S$131+Résultats!S$132+Résultats!S$133+Résultats!S$134+Résultats!S$135+Résultats!S$136)/1000000</f>
        <v>11.4379567269</v>
      </c>
      <c r="C28" s="201">
        <f>(Résultats!S$104+Résultats!S$138+Résultats!S$139+Résultats!S$140+Résultats!S$141+Résultats!S$142+Résultats!S$143+Résultats!S$144+Résultats!S$145+Résultats!S$146+Résultats!S$147+Résultats!S$148+Résultats!S$149+Résultats!S$150+Résultats!S$151+Résultats!S$152+Résultats!S$153+Résultats!S$154+Résultats!S$155+Résultats!S$156)/1000000</f>
        <v>198.52016184067631</v>
      </c>
      <c r="D28" s="201">
        <f>(Résultats!S$159+Résultats!S$160+Résultats!S$161)/1000000</f>
        <v>14.109746643000001</v>
      </c>
      <c r="E28" s="200">
        <f>(Résultats!S$106+Résultats!S$163+Résultats!S$164+Résultats!S$165+Résultats!S$166+Résultats!S$167+Résultats!S$168+Résultats!S$169+Résultats!S$170+Résultats!S$171+Résultats!S$172+Résultats!S$173+Résultats!S$174+Résultats!S$175+Résultats!S$176+Résultats!S$177+Résultats!S$178+Résultats!S$179+Résultats!S$180+Résultats!S$181+Résultats!S$182+Résultats!S$183)/1000000</f>
        <v>61.254416649387011</v>
      </c>
      <c r="F28" s="201">
        <f>Résultats!S$100/1000000</f>
        <v>13.491660570000001</v>
      </c>
      <c r="G28" s="202">
        <f t="shared" si="2"/>
        <v>298.81394242996333</v>
      </c>
      <c r="H28" s="3"/>
      <c r="I28" s="203"/>
      <c r="J28" s="51"/>
      <c r="K28" s="51"/>
      <c r="L28" s="51"/>
      <c r="M28" s="51"/>
      <c r="N28" s="24"/>
      <c r="O28" s="51"/>
      <c r="P28" s="51"/>
      <c r="Q28" s="51"/>
      <c r="R28" s="51"/>
      <c r="S28" s="51"/>
      <c r="T28" s="46"/>
      <c r="U28" s="24"/>
      <c r="V28" s="24"/>
      <c r="W28" s="24"/>
      <c r="X28" s="52"/>
      <c r="Y28" s="52"/>
      <c r="Z28" s="52"/>
      <c r="AA28" s="52"/>
      <c r="AB28" s="52"/>
    </row>
    <row r="29" spans="1:28" x14ac:dyDescent="0.25">
      <c r="A29" s="198"/>
      <c r="B29" s="199"/>
      <c r="C29" s="199"/>
      <c r="D29" s="199"/>
      <c r="E29" s="199"/>
      <c r="F29" s="199"/>
      <c r="G29" s="200">
        <f>Résultats!S$194/1000000</f>
        <v>299.09433749999999</v>
      </c>
      <c r="H29" s="3"/>
      <c r="I29" s="203"/>
      <c r="J29" s="51"/>
      <c r="K29" s="51"/>
      <c r="L29" s="51"/>
      <c r="M29" s="51"/>
      <c r="N29" s="24"/>
      <c r="O29" s="51"/>
      <c r="P29" s="51"/>
      <c r="Q29" s="51"/>
      <c r="R29" s="51"/>
      <c r="S29" s="51"/>
      <c r="T29" s="46"/>
      <c r="U29" s="24"/>
      <c r="V29" s="24"/>
      <c r="W29" s="24"/>
      <c r="X29" s="52"/>
      <c r="Y29" s="52"/>
      <c r="Z29" s="52"/>
      <c r="AA29" s="52"/>
      <c r="AB29" s="52"/>
    </row>
    <row r="30" spans="1:28" x14ac:dyDescent="0.25">
      <c r="A30" s="3"/>
      <c r="B30" s="63"/>
      <c r="C30" s="63"/>
      <c r="D30" s="63"/>
      <c r="E30" s="63"/>
      <c r="F30" s="64"/>
      <c r="G30" s="69"/>
      <c r="H30" s="3"/>
      <c r="I30" s="203"/>
      <c r="J30" s="51"/>
      <c r="K30" s="51"/>
      <c r="L30" s="51"/>
      <c r="N30" s="24"/>
      <c r="O30" s="51"/>
      <c r="P30" s="51"/>
      <c r="Q30" s="51"/>
      <c r="R30" s="51"/>
      <c r="S30" s="51"/>
      <c r="T30" s="46"/>
      <c r="U30" s="24"/>
      <c r="V30" s="24"/>
      <c r="W30" s="24"/>
      <c r="X30" s="52"/>
      <c r="Y30" s="52"/>
      <c r="Z30" s="52"/>
      <c r="AA30" s="52"/>
      <c r="AB30" s="52"/>
    </row>
    <row r="31" spans="1:28" ht="21" x14ac:dyDescent="0.35">
      <c r="A31" s="174">
        <v>2025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40</v>
      </c>
      <c r="G31" s="118" t="s">
        <v>1</v>
      </c>
      <c r="H31" s="3"/>
      <c r="I31" s="25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24"/>
      <c r="W31" s="44"/>
      <c r="X31" s="44"/>
      <c r="Y31" s="44"/>
      <c r="Z31" s="44"/>
      <c r="AA31" s="44"/>
      <c r="AB31" s="52"/>
    </row>
    <row r="32" spans="1:28" x14ac:dyDescent="0.25">
      <c r="A32" s="195" t="s">
        <v>18</v>
      </c>
      <c r="B32" s="57">
        <f>B33+B34</f>
        <v>0</v>
      </c>
      <c r="C32" s="57">
        <f>C33+C34</f>
        <v>118.53625709318231</v>
      </c>
      <c r="D32" s="57">
        <f>D33+D34</f>
        <v>0.28006273032519557</v>
      </c>
      <c r="E32" s="61">
        <f>E33+E34</f>
        <v>0.90148456954069012</v>
      </c>
      <c r="F32" s="57">
        <f>F33+F34</f>
        <v>0</v>
      </c>
      <c r="G32" s="196">
        <f>SUM(B32:F32)</f>
        <v>119.7178043930482</v>
      </c>
      <c r="H32" s="3"/>
      <c r="I32" s="203"/>
      <c r="J32" s="51"/>
      <c r="K32" s="51"/>
      <c r="L32" s="51"/>
      <c r="M32" s="51"/>
      <c r="N32" s="53"/>
      <c r="O32" s="54"/>
      <c r="P32" s="54"/>
      <c r="Q32" s="54"/>
      <c r="R32" s="54"/>
      <c r="S32" s="54"/>
      <c r="T32" s="46"/>
      <c r="U32" s="34"/>
      <c r="V32" s="24"/>
      <c r="W32" s="45"/>
      <c r="X32" s="52"/>
      <c r="Y32" s="52"/>
      <c r="Z32" s="52"/>
      <c r="AA32" s="52"/>
      <c r="AB32" s="52"/>
    </row>
    <row r="33" spans="1:28" x14ac:dyDescent="0.25">
      <c r="A33" s="177" t="s">
        <v>19</v>
      </c>
      <c r="B33" s="19">
        <v>0</v>
      </c>
      <c r="C33" s="19">
        <f>'T energie usages'!I64*3.2*Résultats!X250</f>
        <v>63.738848588182314</v>
      </c>
      <c r="D33" s="19">
        <f>'T energie usages'!J64/'T energie usages'!J$72*(Résultats!X$159+Résultats!X$160+Résultats!X$161)/1000000</f>
        <v>4.8942150406102961E-2</v>
      </c>
      <c r="E33" s="55">
        <f>'T energie usages'!K64*2.394*Résultats!X251</f>
        <v>5.4937010690223716E-5</v>
      </c>
      <c r="F33" s="19">
        <v>0</v>
      </c>
      <c r="G33" s="120">
        <f>SUM(B33:F33)</f>
        <v>63.787845675599108</v>
      </c>
      <c r="H33" s="3"/>
      <c r="I33" s="203"/>
      <c r="J33" s="51"/>
      <c r="K33" s="51"/>
      <c r="L33" s="51"/>
      <c r="M33" s="51"/>
      <c r="N33" s="53"/>
      <c r="O33" s="54"/>
      <c r="P33" s="54"/>
      <c r="Q33" s="54"/>
      <c r="R33" s="54"/>
      <c r="S33" s="54"/>
      <c r="T33" s="46"/>
      <c r="U33" s="42"/>
      <c r="V33" s="24"/>
      <c r="W33" s="41"/>
      <c r="X33" s="52"/>
      <c r="Y33" s="52"/>
      <c r="Z33" s="52"/>
      <c r="AA33" s="52"/>
      <c r="AB33" s="52"/>
    </row>
    <row r="34" spans="1:28" x14ac:dyDescent="0.25">
      <c r="A34" s="178" t="s">
        <v>20</v>
      </c>
      <c r="B34" s="19">
        <v>0</v>
      </c>
      <c r="C34" s="19">
        <f>(Résultats!X$150+Résultats!X$151+Résultats!X$152+Résultats!X$153+Résultats!X$154)/1000000</f>
        <v>54.797408505</v>
      </c>
      <c r="D34" s="19">
        <f>'T energie usages'!J65/'T energie usages'!J$72*(Résultats!X$159+Résultats!X$160+Résultats!X$161)/1000000</f>
        <v>0.23112057991909263</v>
      </c>
      <c r="E34" s="55">
        <f>(Résultats!X$176+Résultats!X$177+Résultats!X$178+Résultats!X$179+Résultats!X$180)/1000000</f>
        <v>0.90142963252999986</v>
      </c>
      <c r="F34" s="19">
        <v>0</v>
      </c>
      <c r="G34" s="120">
        <f>SUM(B34:F34)</f>
        <v>55.92995871744909</v>
      </c>
      <c r="H34" s="3"/>
      <c r="I34" s="203"/>
      <c r="J34" s="51"/>
      <c r="K34" s="51"/>
      <c r="L34" s="51"/>
      <c r="M34" s="51"/>
      <c r="N34" s="53"/>
      <c r="O34" s="54"/>
      <c r="P34" s="54"/>
      <c r="Q34" s="54"/>
      <c r="R34" s="54"/>
      <c r="S34" s="54"/>
      <c r="T34" s="46"/>
      <c r="U34" s="42"/>
      <c r="V34" s="24"/>
      <c r="W34" s="41"/>
      <c r="X34" s="52"/>
      <c r="Y34" s="52"/>
      <c r="Z34" s="52"/>
      <c r="AA34" s="52"/>
      <c r="AB34" s="52"/>
    </row>
    <row r="35" spans="1:28" x14ac:dyDescent="0.25">
      <c r="A35" s="195" t="s">
        <v>21</v>
      </c>
      <c r="B35" s="57">
        <f>Résultats!X$102/1000000</f>
        <v>0.67605800249999992</v>
      </c>
      <c r="C35" s="57">
        <f>'T energie usages'!I66*3.2*Résultats!X250</f>
        <v>16.105778957094813</v>
      </c>
      <c r="D35" s="57">
        <f>'T energie usages'!J66/'T energie usages'!J$72*(Résultats!X$159+Résultats!X$160+Résultats!X$161)/1000000</f>
        <v>2.4106651123138616</v>
      </c>
      <c r="E35" s="57">
        <f>('T energie usages'!K66-8)*2.394*Résultats!X251</f>
        <v>28.799385616432847</v>
      </c>
      <c r="F35" s="57">
        <v>0</v>
      </c>
      <c r="G35" s="196">
        <f>SUM(B35:F35)</f>
        <v>47.991887688341521</v>
      </c>
      <c r="H35" s="3"/>
      <c r="I35" s="203"/>
      <c r="J35" s="51"/>
      <c r="K35" s="51"/>
      <c r="L35" s="51"/>
      <c r="M35" s="51"/>
      <c r="N35" s="53"/>
      <c r="O35" s="54"/>
      <c r="P35" s="54"/>
      <c r="Q35" s="54"/>
      <c r="R35" s="54"/>
      <c r="S35" s="54"/>
      <c r="T35" s="46"/>
      <c r="U35" s="34"/>
      <c r="V35" s="24"/>
      <c r="W35" s="45"/>
      <c r="X35" s="52"/>
      <c r="Y35" s="52"/>
      <c r="Z35" s="52"/>
      <c r="AA35" s="52"/>
      <c r="AB35" s="52"/>
    </row>
    <row r="36" spans="1:28" x14ac:dyDescent="0.25">
      <c r="A36" s="195" t="s">
        <v>22</v>
      </c>
      <c r="B36" s="57">
        <f>(Résultats!X$135+Résultats!X$136)/1000000</f>
        <v>0</v>
      </c>
      <c r="C36" s="57">
        <f>(Résultats!X$155+Résultats!X$156)/1000000</f>
        <v>8.314648913200001</v>
      </c>
      <c r="D36" s="57">
        <f>'T energie usages'!J67/'T energie usages'!J$72*(Résultats!X$159+Résultats!X$160+Résultats!X$161)/1000000</f>
        <v>2.190243432870524</v>
      </c>
      <c r="E36" s="57">
        <f>(Résultats!X$181+Résultats!X$182)/1000000</f>
        <v>12.48856383</v>
      </c>
      <c r="F36" s="57">
        <v>0</v>
      </c>
      <c r="G36" s="196">
        <f t="shared" ref="G36:G41" si="3">SUM(B36:F36)</f>
        <v>22.993456176070524</v>
      </c>
      <c r="H36" s="3"/>
      <c r="I36" s="203"/>
      <c r="J36" s="51"/>
      <c r="K36" s="51"/>
      <c r="L36" s="51"/>
      <c r="M36" s="51"/>
      <c r="N36" s="53"/>
      <c r="O36" s="54"/>
      <c r="P36" s="54"/>
      <c r="Q36" s="54"/>
      <c r="R36" s="54"/>
      <c r="S36" s="54"/>
      <c r="T36" s="46"/>
      <c r="U36" s="34"/>
      <c r="V36" s="24"/>
      <c r="W36" s="45"/>
      <c r="X36" s="52"/>
      <c r="Y36" s="52"/>
      <c r="Z36" s="52"/>
      <c r="AA36" s="52"/>
      <c r="AB36" s="52"/>
    </row>
    <row r="37" spans="1:28" x14ac:dyDescent="0.25">
      <c r="A37" s="195" t="s">
        <v>23</v>
      </c>
      <c r="B37" s="57">
        <f>B38+B39</f>
        <v>10.309900972100001</v>
      </c>
      <c r="C37" s="57">
        <f>C38+C39</f>
        <v>46.773328227503569</v>
      </c>
      <c r="D37" s="57">
        <f>D38+D39</f>
        <v>1.7629601076904178</v>
      </c>
      <c r="E37" s="57">
        <f>E38+E39</f>
        <v>24.456854281895101</v>
      </c>
      <c r="F37" s="57">
        <f>F38+F39</f>
        <v>14.40698117</v>
      </c>
      <c r="G37" s="196">
        <f t="shared" si="3"/>
        <v>97.710024759189082</v>
      </c>
      <c r="H37" s="3"/>
      <c r="I37" s="203"/>
      <c r="J37" s="51"/>
      <c r="K37" s="51"/>
      <c r="L37" s="51"/>
      <c r="M37" s="51"/>
      <c r="N37" s="53"/>
      <c r="O37" s="54"/>
      <c r="P37" s="54"/>
      <c r="Q37" s="54"/>
      <c r="R37" s="54"/>
      <c r="S37" s="54"/>
      <c r="T37" s="46"/>
      <c r="U37" s="34"/>
      <c r="V37" s="24"/>
      <c r="W37" s="45"/>
      <c r="X37" s="52"/>
      <c r="Y37" s="52"/>
      <c r="Z37" s="52"/>
      <c r="AA37" s="52"/>
      <c r="AB37" s="52"/>
    </row>
    <row r="38" spans="1:28" x14ac:dyDescent="0.25">
      <c r="A38" s="178" t="s">
        <v>24</v>
      </c>
      <c r="B38" s="19">
        <f>(Résultats!X$129+Résultats!X$130+Résultats!X$131+Résultats!X$132+Résultats!X$133+Résultats!X$134)/1000000</f>
        <v>10.309900972100001</v>
      </c>
      <c r="C38" s="19">
        <f>(Résultats!X$138+Résultats!X$140+Résultats!X$141+Résultats!X$142+Résultats!X$143+Résultats!X$144+Résultats!X$145+Résultats!X$146+Résultats!X$147+Résultats!X$148+Résultats!X149)/1000000</f>
        <v>39.697099507503573</v>
      </c>
      <c r="D38" s="19">
        <f>'T energie usages'!J69/'T energie usages'!J$72*(Résultats!X$159+Résultats!X$160+Résultats!X$161)/1000000</f>
        <v>1.7088960229687449</v>
      </c>
      <c r="E38" s="19">
        <f>(Résultats!X$164+Résultats!X$165+Résultats!X$166+Résultats!X$167+Résultats!X$168+Résultats!X$169+Résultats!X$170+Résultats!X$171+Résultats!X$172+Résultats!X$173+Résultats!X$174+Résultats!X$175+Résultats!X$183+Résultats!X$185)/1000000</f>
        <v>23.892606614495101</v>
      </c>
      <c r="F38" s="19">
        <f>Résultats!X$100/1000000</f>
        <v>14.40698117</v>
      </c>
      <c r="G38" s="120">
        <f t="shared" si="3"/>
        <v>90.015484287067409</v>
      </c>
      <c r="H38" s="3"/>
      <c r="I38" s="203"/>
      <c r="J38" s="51"/>
      <c r="K38" s="51"/>
      <c r="L38" s="51"/>
      <c r="M38" s="51"/>
      <c r="N38" s="53"/>
      <c r="O38" s="54"/>
      <c r="P38" s="54"/>
      <c r="Q38" s="54"/>
      <c r="R38" s="54"/>
      <c r="S38" s="54"/>
      <c r="T38" s="46"/>
      <c r="U38" s="42"/>
      <c r="V38" s="24"/>
      <c r="W38" s="41"/>
      <c r="X38" s="52"/>
      <c r="Y38" s="52"/>
      <c r="Z38" s="52"/>
      <c r="AA38" s="52"/>
      <c r="AB38" s="52"/>
    </row>
    <row r="39" spans="1:28" x14ac:dyDescent="0.25">
      <c r="A39" s="178" t="s">
        <v>25</v>
      </c>
      <c r="B39" s="19">
        <v>0</v>
      </c>
      <c r="C39" s="19">
        <f>(Résultats!X$139)/1000000</f>
        <v>7.0762287199999996</v>
      </c>
      <c r="D39" s="19">
        <f>'T energie usages'!J71/'T energie usages'!J$72*(Résultats!X$159+Résultats!X$160+Résultats!X$161)/1000000</f>
        <v>5.4064084721672866E-2</v>
      </c>
      <c r="E39" s="19">
        <f>(Résultats!X$163)/1000000</f>
        <v>0.56424766739999999</v>
      </c>
      <c r="F39" s="19">
        <v>0</v>
      </c>
      <c r="G39" s="120">
        <f t="shared" si="3"/>
        <v>7.6945404721216724</v>
      </c>
      <c r="H39" s="3"/>
      <c r="I39" s="203"/>
      <c r="J39" s="51"/>
      <c r="K39" s="51"/>
      <c r="L39" s="51"/>
      <c r="M39" s="51"/>
      <c r="N39" s="53"/>
      <c r="O39" s="54"/>
      <c r="P39" s="54"/>
      <c r="Q39" s="54"/>
      <c r="R39" s="54"/>
      <c r="S39" s="54"/>
      <c r="T39" s="46"/>
      <c r="U39" s="42"/>
      <c r="V39" s="24"/>
      <c r="W39" s="41"/>
      <c r="X39" s="52"/>
      <c r="Y39" s="52"/>
      <c r="Z39" s="52"/>
      <c r="AA39" s="52"/>
      <c r="AB39" s="52"/>
    </row>
    <row r="40" spans="1:28" x14ac:dyDescent="0.25">
      <c r="A40" s="72" t="s">
        <v>41</v>
      </c>
      <c r="B40" s="58">
        <f>SUM(B35:B37)+B32</f>
        <v>10.985958974600001</v>
      </c>
      <c r="C40" s="58">
        <f>SUM(C35:C37)+C32</f>
        <v>189.73001319098069</v>
      </c>
      <c r="D40" s="58">
        <f>SUM(D35:D37)+D32</f>
        <v>6.6439313831999991</v>
      </c>
      <c r="E40" s="58">
        <f>SUM(E35:E37)+E32</f>
        <v>66.646288297868637</v>
      </c>
      <c r="F40" s="58">
        <f>SUM(F35:F37)+F32</f>
        <v>14.40698117</v>
      </c>
      <c r="G40" s="197">
        <f t="shared" si="3"/>
        <v>288.41317301664935</v>
      </c>
      <c r="H40" s="3"/>
      <c r="I40" s="203"/>
      <c r="J40" s="51"/>
      <c r="K40" s="51"/>
      <c r="L40" s="51"/>
      <c r="M40" s="51"/>
      <c r="N40" s="53"/>
      <c r="O40" s="54"/>
      <c r="P40" s="54"/>
      <c r="Q40" s="54"/>
      <c r="R40" s="54"/>
      <c r="S40" s="54"/>
      <c r="T40" s="46"/>
      <c r="U40" s="48"/>
      <c r="V40" s="24"/>
      <c r="W40" s="47"/>
      <c r="X40" s="52"/>
      <c r="Y40" s="52"/>
      <c r="Z40" s="52"/>
      <c r="AA40" s="52"/>
      <c r="AB40" s="52"/>
    </row>
    <row r="41" spans="1:28" x14ac:dyDescent="0.25">
      <c r="A41" s="198" t="s">
        <v>43</v>
      </c>
      <c r="B41" s="201">
        <f>(Résultats!X$102+Résultats!X$129+Résultats!X$130+Résultats!X$131+Résultats!X$132+Résultats!X$133+Résultats!X$134+Résultats!X$135+Résultats!X$136)/1000000</f>
        <v>10.985958974600001</v>
      </c>
      <c r="C41" s="201">
        <f>(Résultats!X$104+Résultats!X$139+Résultats!X$140+Résultats!X$141+Résultats!X$142+Résultats!X$143+Résultats!X$144+Résultats!X$145+Résultats!X$146+Résultats!X$147+Résultats!X$148+Résultats!X$149+Résultats!X$150+Résultats!X$151+Résultats!X$152+Résultats!X$153+Résultats!X$154+Résultats!X$155+Résultats!X$156++Résultats!X$157)/1000000</f>
        <v>189.77826291570358</v>
      </c>
      <c r="D41" s="201">
        <f>(Résultats!X$159+Résultats!X$160+Résultats!X$161)/1000000</f>
        <v>6.6439313831999991</v>
      </c>
      <c r="E41" s="200">
        <f>(Résultats!X$106+Résultats!X$163+Résultats!X$164+Résultats!X$165+Résultats!X$166+Résultats!X$167+Résultats!X$168+Résultats!X$169+Résultats!X$170+Résultats!X$171+Résultats!X$172+Résultats!X$173+Résultats!X$174+Résultats!X$175+Résultats!X$176+Résultats!X$177+Résultats!X$178+Résultats!X$179+Résultats!X$180+Résultats!X$181+Résultats!X$182+Résultats!X$183)/1000000</f>
        <v>58.455730160425105</v>
      </c>
      <c r="F41" s="201">
        <f>Résultats!X$100/1000000</f>
        <v>14.40698117</v>
      </c>
      <c r="G41" s="202">
        <f t="shared" si="3"/>
        <v>280.27086460392866</v>
      </c>
      <c r="H41" s="3"/>
      <c r="I41" s="203"/>
      <c r="J41" s="51"/>
      <c r="K41" s="51"/>
      <c r="L41" s="51"/>
      <c r="M41" s="46"/>
      <c r="N41" s="24"/>
      <c r="O41" s="51"/>
      <c r="P41" s="51"/>
      <c r="Q41" s="51"/>
      <c r="R41" s="51"/>
      <c r="S41" s="46"/>
      <c r="T41" s="46"/>
      <c r="U41" s="24"/>
      <c r="V41" s="24"/>
      <c r="W41" s="24"/>
      <c r="X41" s="52"/>
      <c r="Y41" s="52"/>
      <c r="Z41" s="52"/>
      <c r="AA41" s="52"/>
      <c r="AB41" s="52"/>
    </row>
    <row r="42" spans="1:28" x14ac:dyDescent="0.25">
      <c r="A42" s="198"/>
      <c r="B42" s="199"/>
      <c r="C42" s="199"/>
      <c r="D42" s="199"/>
      <c r="E42" s="199"/>
      <c r="F42" s="199"/>
      <c r="G42" s="200">
        <f>Résultats!X$194/1000000</f>
        <v>280.5182868</v>
      </c>
      <c r="H42" s="3"/>
      <c r="I42" s="203"/>
      <c r="J42" s="51"/>
      <c r="K42" s="51"/>
      <c r="L42" s="51"/>
      <c r="M42" s="46"/>
      <c r="N42" s="24"/>
      <c r="O42" s="51"/>
      <c r="P42" s="51"/>
      <c r="Q42" s="51"/>
      <c r="R42" s="51"/>
      <c r="S42" s="46"/>
      <c r="T42" s="46"/>
      <c r="U42" s="24"/>
      <c r="V42" s="24"/>
      <c r="W42" s="24"/>
      <c r="X42" s="52"/>
      <c r="Y42" s="52"/>
      <c r="Z42" s="52"/>
      <c r="AA42" s="52"/>
      <c r="AB42" s="52"/>
    </row>
    <row r="43" spans="1:28" x14ac:dyDescent="0.25">
      <c r="A43" s="3"/>
      <c r="B43" s="64"/>
      <c r="C43" s="64"/>
      <c r="D43" s="64"/>
      <c r="E43" s="64"/>
      <c r="F43" s="64"/>
      <c r="G43" s="69"/>
      <c r="H43" s="3"/>
      <c r="I43" s="203"/>
      <c r="J43" s="51"/>
      <c r="K43" s="51"/>
      <c r="L43" s="51"/>
      <c r="M43" s="46"/>
      <c r="N43" s="24"/>
      <c r="O43" s="51"/>
      <c r="P43" s="51"/>
      <c r="Q43" s="51"/>
      <c r="R43" s="51"/>
      <c r="S43" s="46"/>
      <c r="T43" s="46"/>
      <c r="U43" s="24"/>
      <c r="V43" s="24"/>
      <c r="W43" s="48"/>
      <c r="X43" s="52"/>
      <c r="Y43" s="52"/>
      <c r="Z43" s="52"/>
      <c r="AA43" s="52"/>
      <c r="AB43" s="52"/>
    </row>
    <row r="44" spans="1:28" ht="21" x14ac:dyDescent="0.35">
      <c r="A44" s="174">
        <v>2030</v>
      </c>
      <c r="B44" s="4" t="s">
        <v>36</v>
      </c>
      <c r="C44" s="4" t="s">
        <v>37</v>
      </c>
      <c r="D44" s="4" t="s">
        <v>38</v>
      </c>
      <c r="E44" s="4" t="s">
        <v>39</v>
      </c>
      <c r="F44" s="4" t="s">
        <v>40</v>
      </c>
      <c r="G44" s="118" t="s">
        <v>1</v>
      </c>
      <c r="H44" s="3"/>
      <c r="I44" s="2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W44" s="44"/>
      <c r="X44" s="44"/>
      <c r="Y44" s="44"/>
      <c r="Z44" s="44"/>
      <c r="AA44" s="44"/>
      <c r="AB44" s="52"/>
    </row>
    <row r="45" spans="1:28" x14ac:dyDescent="0.25">
      <c r="A45" s="195" t="s">
        <v>18</v>
      </c>
      <c r="B45" s="57">
        <f>B46+B47</f>
        <v>0</v>
      </c>
      <c r="C45" s="57">
        <f>C46+C47</f>
        <v>111.49685330619883</v>
      </c>
      <c r="D45" s="57">
        <f>D46+D47</f>
        <v>0.34465631649089262</v>
      </c>
      <c r="E45" s="61">
        <f>E46+E47</f>
        <v>1.9912456369853619</v>
      </c>
      <c r="F45" s="57">
        <f>F46+F47</f>
        <v>0</v>
      </c>
      <c r="G45" s="196">
        <f>SUM(B45:F45)</f>
        <v>113.8327552596751</v>
      </c>
      <c r="H45" s="3"/>
      <c r="I45" s="203"/>
      <c r="J45" s="51"/>
      <c r="K45" s="51"/>
      <c r="L45" s="51"/>
      <c r="M45" s="51"/>
      <c r="N45" s="53"/>
      <c r="O45" s="54"/>
      <c r="P45" s="54"/>
      <c r="Q45" s="54"/>
      <c r="R45" s="54"/>
      <c r="S45" s="54"/>
      <c r="T45" s="46"/>
      <c r="U45" s="34"/>
      <c r="W45" s="45"/>
      <c r="X45" s="52"/>
      <c r="Y45" s="52"/>
      <c r="Z45" s="52"/>
      <c r="AA45" s="52"/>
      <c r="AB45" s="52"/>
    </row>
    <row r="46" spans="1:28" x14ac:dyDescent="0.25">
      <c r="A46" s="177" t="s">
        <v>19</v>
      </c>
      <c r="B46" s="19">
        <v>0</v>
      </c>
      <c r="C46" s="19">
        <f>'T energie usages'!I77*3.2*Résultats!AC250</f>
        <v>57.006782023098836</v>
      </c>
      <c r="D46" s="19">
        <f>'T energie usages'!J77/'T energie usages'!J$85*(Résultats!AC$159+Résultats!AC$160+Résultats!AC$161)/1000000</f>
        <v>0.1052987910540122</v>
      </c>
      <c r="E46" s="55">
        <f>'T energie usages'!K77*2.394*Résultats!AC251</f>
        <v>7.7200225361828245E-5</v>
      </c>
      <c r="F46" s="19">
        <v>0</v>
      </c>
      <c r="G46" s="120">
        <f>SUM(B46:F46)</f>
        <v>57.11215801437821</v>
      </c>
      <c r="H46" s="3"/>
      <c r="I46" s="203"/>
      <c r="J46" s="51"/>
      <c r="K46" s="51"/>
      <c r="L46" s="51"/>
      <c r="M46" s="51"/>
      <c r="N46" s="53"/>
      <c r="O46" s="54"/>
      <c r="P46" s="54"/>
      <c r="Q46" s="54"/>
      <c r="R46" s="54"/>
      <c r="S46" s="54"/>
      <c r="T46" s="46"/>
      <c r="U46" s="42"/>
      <c r="W46" s="41"/>
      <c r="X46" s="52"/>
      <c r="Y46" s="52"/>
      <c r="Z46" s="52"/>
      <c r="AA46" s="52"/>
      <c r="AB46" s="52"/>
    </row>
    <row r="47" spans="1:28" x14ac:dyDescent="0.25">
      <c r="A47" s="178" t="s">
        <v>20</v>
      </c>
      <c r="B47" s="19">
        <v>0</v>
      </c>
      <c r="C47" s="19">
        <f>(Résultats!AC$150+Résultats!AC$151+Résultats!AC$152+Résultats!AC$153+Résultats!AC$154)/1000000</f>
        <v>54.490071283100001</v>
      </c>
      <c r="D47" s="19">
        <f>'T energie usages'!J78/'T energie usages'!J$85*(Résultats!AC$159+Résultats!AC$160+Résultats!AC$161)/1000000</f>
        <v>0.23935752543688044</v>
      </c>
      <c r="E47" s="55">
        <f>(Résultats!AC$176+Résultats!AC$177+Résultats!AC$178+Résultats!AC$179+Résultats!AC$180)/1000000</f>
        <v>1.9911684367600002</v>
      </c>
      <c r="F47" s="19">
        <v>0</v>
      </c>
      <c r="G47" s="120">
        <f>SUM(B47:F47)</f>
        <v>56.720597245296879</v>
      </c>
      <c r="H47" s="3"/>
      <c r="I47" s="203"/>
      <c r="J47" s="51"/>
      <c r="K47" s="51"/>
      <c r="L47" s="51"/>
      <c r="M47" s="51"/>
      <c r="N47" s="53"/>
      <c r="O47" s="54"/>
      <c r="P47" s="54"/>
      <c r="Q47" s="54"/>
      <c r="R47" s="54"/>
      <c r="S47" s="54"/>
      <c r="T47" s="46"/>
      <c r="U47" s="42"/>
      <c r="W47" s="41"/>
      <c r="X47" s="52"/>
      <c r="Y47" s="52"/>
      <c r="Z47" s="52"/>
      <c r="AA47" s="52"/>
      <c r="AB47" s="52"/>
    </row>
    <row r="48" spans="1:28" x14ac:dyDescent="0.25">
      <c r="A48" s="195" t="s">
        <v>21</v>
      </c>
      <c r="B48" s="57">
        <f>Résultats!AC$102/1000000</f>
        <v>0.59777143169999991</v>
      </c>
      <c r="C48" s="57">
        <f>'T energie usages'!I79*3.2*Résultats!AC250</f>
        <v>15.059936715475159</v>
      </c>
      <c r="D48" s="57">
        <f>'T energie usages'!J79/'T energie usages'!J$85*(Résultats!AC$159+Résultats!AC$160+Résultats!AC$161)/1000000</f>
        <v>2.1745622481109161</v>
      </c>
      <c r="E48" s="57">
        <f>('T energie usages'!K79-8)*2.394*Résultats!AC251</f>
        <v>27.478254992252044</v>
      </c>
      <c r="F48" s="57">
        <v>0</v>
      </c>
      <c r="G48" s="196">
        <f>SUM(B48:F48)</f>
        <v>45.310525387538121</v>
      </c>
      <c r="H48" s="3"/>
      <c r="I48" s="203"/>
      <c r="J48" s="51"/>
      <c r="K48" s="51"/>
      <c r="L48" s="51"/>
      <c r="M48" s="51"/>
      <c r="N48" s="53"/>
      <c r="O48" s="54"/>
      <c r="P48" s="54"/>
      <c r="Q48" s="54"/>
      <c r="R48" s="54"/>
      <c r="S48" s="54"/>
      <c r="T48" s="46"/>
      <c r="U48" s="34"/>
      <c r="W48" s="45"/>
      <c r="X48" s="52"/>
      <c r="Y48" s="52"/>
      <c r="Z48" s="52"/>
      <c r="AA48" s="52"/>
      <c r="AB48" s="52"/>
    </row>
    <row r="49" spans="1:28" x14ac:dyDescent="0.25">
      <c r="A49" s="195" t="s">
        <v>22</v>
      </c>
      <c r="B49" s="57">
        <f>(Résultats!AC$135+Résultats!AC$136)/1000000</f>
        <v>0</v>
      </c>
      <c r="C49" s="57">
        <f>(Résultats!AC$155+Résultats!AC$156)/1000000</f>
        <v>7.2069383486000005</v>
      </c>
      <c r="D49" s="57">
        <f>'T energie usages'!J80/'T energie usages'!J$85*(Résultats!AC$159+Résultats!AC$160+Résultats!AC$161)/1000000</f>
        <v>2.0208278255796959</v>
      </c>
      <c r="E49" s="57">
        <f>(Résultats!AC$181+Résultats!AC$182)/1000000</f>
        <v>11.926860605</v>
      </c>
      <c r="F49" s="57">
        <v>0</v>
      </c>
      <c r="G49" s="196">
        <f t="shared" ref="G49:G53" si="4">SUM(B49:F49)</f>
        <v>21.154626779179694</v>
      </c>
      <c r="H49" s="3"/>
      <c r="I49" s="203"/>
      <c r="J49" s="51"/>
      <c r="K49" s="51"/>
      <c r="L49" s="51"/>
      <c r="M49" s="51"/>
      <c r="N49" s="53"/>
      <c r="O49" s="54"/>
      <c r="P49" s="54"/>
      <c r="Q49" s="54"/>
      <c r="R49" s="54"/>
      <c r="S49" s="54"/>
      <c r="T49" s="46"/>
      <c r="U49" s="34"/>
      <c r="W49" s="45"/>
      <c r="X49" s="52"/>
      <c r="Y49" s="52"/>
      <c r="Z49" s="52"/>
      <c r="AA49" s="52"/>
      <c r="AB49" s="52"/>
    </row>
    <row r="50" spans="1:28" x14ac:dyDescent="0.25">
      <c r="A50" s="195" t="s">
        <v>23</v>
      </c>
      <c r="B50" s="57">
        <f>B51+B52</f>
        <v>10.958244051300001</v>
      </c>
      <c r="C50" s="57">
        <f>C51+C52</f>
        <v>52.54100978701058</v>
      </c>
      <c r="D50" s="57">
        <f>D51+D52</f>
        <v>1.7617657403184956</v>
      </c>
      <c r="E50" s="57">
        <f>E51+E52</f>
        <v>25.746232047758475</v>
      </c>
      <c r="F50" s="57">
        <f>F51+F52</f>
        <v>14.86266519</v>
      </c>
      <c r="G50" s="196">
        <f t="shared" si="4"/>
        <v>105.86991681638756</v>
      </c>
      <c r="H50" s="3"/>
      <c r="I50" s="203"/>
      <c r="J50" s="51"/>
      <c r="K50" s="51"/>
      <c r="L50" s="51"/>
      <c r="M50" s="51"/>
      <c r="N50" s="53"/>
      <c r="O50" s="54"/>
      <c r="P50" s="54"/>
      <c r="Q50" s="54"/>
      <c r="R50" s="54"/>
      <c r="S50" s="54"/>
      <c r="T50" s="46"/>
      <c r="U50" s="34"/>
      <c r="W50" s="45"/>
      <c r="X50" s="52"/>
      <c r="Y50" s="52"/>
      <c r="Z50" s="52"/>
      <c r="AA50" s="52"/>
      <c r="AB50" s="52"/>
    </row>
    <row r="51" spans="1:28" x14ac:dyDescent="0.25">
      <c r="A51" s="178" t="s">
        <v>24</v>
      </c>
      <c r="B51" s="19">
        <f>(Résultats!AC$129+Résultats!AC$130+Résultats!AC$131+Résultats!AC$132+Résultats!AC$133+Résultats!AC$134)/1000000</f>
        <v>10.958244051300001</v>
      </c>
      <c r="C51" s="19">
        <f>(Résultats!AC$138+Résultats!AC$140+Résultats!AC$141+Résultats!AC$142+Résultats!AC$143+Résultats!AC$144+Résultats!AC$145+Résultats!AC$146+Résultats!AC$147+Résultats!AC$148+Résultats!AC$149)/1000000</f>
        <v>44.952800595010579</v>
      </c>
      <c r="D51" s="19">
        <f>'T energie usages'!J82/'T energie usages'!J$85*(Résultats!AC$159+Résultats!AC$160+Résultats!AC$161)/1000000</f>
        <v>1.7123324499702957</v>
      </c>
      <c r="E51" s="19">
        <f>(Résultats!AC$164+Résultats!AC$165+Résultats!AC$166+Résultats!AC$167+Résultats!AC$168+Résultats!AC$169+Résultats!AC$170+Résultats!AC$171+Résultats!AC$172+Résultats!AC$173+Résultats!AC$174+Résultats!AC$175+Résultats!AC$183+Résultats!AC$185)/1000000</f>
        <v>25.184439737858476</v>
      </c>
      <c r="F51" s="19">
        <f>Résultats!AC$100/1000000</f>
        <v>14.86266519</v>
      </c>
      <c r="G51" s="120">
        <f t="shared" si="4"/>
        <v>97.670482024139346</v>
      </c>
      <c r="H51" s="3"/>
      <c r="I51" s="203"/>
      <c r="J51" s="51"/>
      <c r="K51" s="51"/>
      <c r="L51" s="51"/>
      <c r="M51" s="51"/>
      <c r="N51" s="53"/>
      <c r="O51" s="54"/>
      <c r="P51" s="54"/>
      <c r="Q51" s="54"/>
      <c r="R51" s="54"/>
      <c r="S51" s="54"/>
      <c r="T51" s="46"/>
      <c r="U51" s="42"/>
      <c r="W51" s="41"/>
      <c r="X51" s="52"/>
      <c r="Y51" s="52"/>
      <c r="Z51" s="52"/>
      <c r="AA51" s="52"/>
      <c r="AB51" s="52"/>
    </row>
    <row r="52" spans="1:28" x14ac:dyDescent="0.25">
      <c r="A52" s="178" t="s">
        <v>25</v>
      </c>
      <c r="B52" s="19">
        <v>0</v>
      </c>
      <c r="C52" s="19">
        <f>(Résultats!AC$139)/1000000</f>
        <v>7.5882091919999999</v>
      </c>
      <c r="D52" s="19">
        <f>'T energie usages'!J84/'T energie usages'!J$85*(Résultats!AC$159+Résultats!AC$160+Résultats!AC$161)/1000000</f>
        <v>4.9433290348199953E-2</v>
      </c>
      <c r="E52" s="19">
        <f>(Résultats!AC$163)/1000000</f>
        <v>0.56179230989999995</v>
      </c>
      <c r="F52" s="19">
        <v>0</v>
      </c>
      <c r="G52" s="120">
        <f t="shared" si="4"/>
        <v>8.1994347922481996</v>
      </c>
      <c r="H52" s="3"/>
      <c r="I52" s="203"/>
      <c r="J52" s="51"/>
      <c r="K52" s="51"/>
      <c r="L52" s="51"/>
      <c r="M52" s="51"/>
      <c r="N52" s="53"/>
      <c r="O52" s="54"/>
      <c r="P52" s="54"/>
      <c r="Q52" s="54"/>
      <c r="R52" s="54"/>
      <c r="S52" s="54"/>
      <c r="T52" s="46"/>
      <c r="U52" s="42"/>
      <c r="W52" s="41"/>
      <c r="X52" s="52"/>
      <c r="Y52" s="52"/>
      <c r="Z52" s="52"/>
      <c r="AA52" s="52"/>
      <c r="AB52" s="52"/>
    </row>
    <row r="53" spans="1:28" x14ac:dyDescent="0.25">
      <c r="A53" s="72" t="s">
        <v>41</v>
      </c>
      <c r="B53" s="58">
        <f>SUM(B48:B50)+B45</f>
        <v>11.556015483000001</v>
      </c>
      <c r="C53" s="58">
        <f>SUM(C48:C50)+C45</f>
        <v>186.30473815728456</v>
      </c>
      <c r="D53" s="58">
        <f>SUM(D48:D50)+D45</f>
        <v>6.301812130500001</v>
      </c>
      <c r="E53" s="58">
        <f>SUM(E48:E50)+E45</f>
        <v>67.142593281995886</v>
      </c>
      <c r="F53" s="58">
        <f>SUM(F48:F50)+F45</f>
        <v>14.86266519</v>
      </c>
      <c r="G53" s="197">
        <f t="shared" si="4"/>
        <v>286.16782424278045</v>
      </c>
      <c r="H53" s="3"/>
      <c r="I53" s="203"/>
      <c r="J53" s="51"/>
      <c r="K53" s="51"/>
      <c r="L53" s="51"/>
      <c r="M53" s="51"/>
      <c r="N53" s="53"/>
      <c r="O53" s="54"/>
      <c r="P53" s="54"/>
      <c r="Q53" s="54"/>
      <c r="R53" s="54"/>
      <c r="S53" s="54"/>
      <c r="T53" s="46"/>
      <c r="U53" s="48"/>
      <c r="W53" s="47"/>
      <c r="X53" s="52"/>
      <c r="Y53" s="52"/>
      <c r="Z53" s="52"/>
      <c r="AA53" s="52"/>
      <c r="AB53" s="52"/>
    </row>
    <row r="54" spans="1:28" x14ac:dyDescent="0.25">
      <c r="A54" s="198" t="s">
        <v>43</v>
      </c>
      <c r="B54" s="201">
        <f>(Résultats!AC$102+Résultats!AC$129+Résultats!AC$130+Résultats!AC$131+Résultats!AC$132+Résultats!AC$133+Résultats!AC$134+Résultats!AC$135+Résultats!AC$136)/1000000</f>
        <v>11.556015483000001</v>
      </c>
      <c r="C54" s="201">
        <f>(Résultats!AC$104+Résultats!AC$138+Résultats!AC$139+Résultats!AC$140+Résultats!AC$141+Résultats!AC$142+Résultats!AC$143+Résultats!AC$144+Résultats!AC$145+Résultats!AC$146+Résultats!AC$147+Résultats!AC$148+Résultats!AC$149+Résultats!AC$150+Résultats!AC$151+Résultats!AC$152+Résultats!AC$153+Résultats!AC$154+Résultats!AC$155+Résultats!AC$156)/1000000</f>
        <v>186.34828818871057</v>
      </c>
      <c r="D54" s="201">
        <f>(Résultats!AC$159+Résultats!AC$160+Résultats!AC$161)/1000000</f>
        <v>6.3018121305000001</v>
      </c>
      <c r="E54" s="200">
        <f>(Résultats!AC$106+Résultats!AC$163+Résultats!AC$164+Résultats!AC$165+Résultats!AC$166+Résultats!AC$167+Résultats!AC$168+Résultats!AC$169+Résultats!AC$170+Résultats!AC$171+Résultats!AC$172+Résultats!AC$173+Résultats!AC$174+Résultats!AC$175+Résultats!AC$176+Résultats!AC$177+Résultats!AC$178+Résultats!AC$179+Résultats!AC$180+Résultats!AC$181+Résultats!AC$182+Résultats!AC$183)/1000000</f>
        <v>58.285016926418479</v>
      </c>
      <c r="F54" s="201">
        <f>Résultats!AC$100/1000000</f>
        <v>14.86266519</v>
      </c>
      <c r="G54" s="202">
        <f>SUM(B54:F54)</f>
        <v>277.35379791862903</v>
      </c>
      <c r="H54" s="3"/>
      <c r="I54" s="203"/>
      <c r="J54" s="51"/>
      <c r="K54" s="51"/>
      <c r="L54" s="51"/>
      <c r="M54" s="46"/>
      <c r="O54" s="51"/>
      <c r="P54" s="51"/>
      <c r="Q54" s="51"/>
      <c r="R54" s="51"/>
      <c r="S54" s="46"/>
      <c r="T54" s="46"/>
      <c r="X54" s="52"/>
      <c r="Y54" s="52"/>
      <c r="Z54" s="52"/>
      <c r="AA54" s="52"/>
      <c r="AB54" s="52"/>
    </row>
    <row r="55" spans="1:28" x14ac:dyDescent="0.25">
      <c r="A55" s="198"/>
      <c r="B55" s="199"/>
      <c r="C55" s="199"/>
      <c r="D55" s="199"/>
      <c r="E55" s="199"/>
      <c r="F55" s="199"/>
      <c r="G55" s="200">
        <f>Résultats!AC$194/1000000</f>
        <v>277.59641800000003</v>
      </c>
      <c r="H55" s="3"/>
      <c r="I55" s="203"/>
      <c r="J55" s="51"/>
      <c r="K55" s="51"/>
      <c r="L55" s="51"/>
      <c r="M55" s="46"/>
      <c r="O55" s="51"/>
      <c r="P55" s="51"/>
      <c r="Q55" s="51"/>
      <c r="R55" s="51"/>
      <c r="S55" s="46"/>
      <c r="T55" s="46"/>
      <c r="W55" s="48"/>
      <c r="X55" s="52"/>
      <c r="Y55" s="52"/>
      <c r="Z55" s="52"/>
      <c r="AA55" s="52"/>
      <c r="AB55" s="52"/>
    </row>
    <row r="56" spans="1:28" x14ac:dyDescent="0.25">
      <c r="A56" s="3"/>
      <c r="B56" s="64"/>
      <c r="C56" s="64"/>
      <c r="D56" s="64"/>
      <c r="E56" s="64"/>
      <c r="F56" s="64"/>
      <c r="G56" s="3"/>
      <c r="H56" s="3"/>
      <c r="I56" s="203"/>
      <c r="J56" s="51"/>
      <c r="K56" s="51"/>
      <c r="L56" s="51"/>
      <c r="M56" s="46"/>
      <c r="O56" s="51"/>
      <c r="P56" s="51"/>
      <c r="Q56" s="51"/>
      <c r="R56" s="51"/>
      <c r="S56" s="46"/>
      <c r="T56" s="46"/>
      <c r="W56" s="49"/>
      <c r="X56" s="52"/>
      <c r="Y56" s="52"/>
      <c r="Z56" s="52"/>
      <c r="AA56" s="52"/>
      <c r="AB56" s="52"/>
    </row>
    <row r="57" spans="1:28" ht="21" x14ac:dyDescent="0.35">
      <c r="A57" s="174">
        <v>2035</v>
      </c>
      <c r="B57" s="4" t="s">
        <v>36</v>
      </c>
      <c r="C57" s="4" t="s">
        <v>37</v>
      </c>
      <c r="D57" s="4" t="s">
        <v>38</v>
      </c>
      <c r="E57" s="4" t="s">
        <v>39</v>
      </c>
      <c r="F57" s="4" t="s">
        <v>40</v>
      </c>
      <c r="G57" s="118" t="s">
        <v>1</v>
      </c>
      <c r="H57" s="3"/>
      <c r="I57" s="2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W57" s="44"/>
      <c r="X57" s="44"/>
      <c r="Y57" s="44"/>
      <c r="Z57" s="44"/>
      <c r="AA57" s="44"/>
      <c r="AB57" s="52"/>
    </row>
    <row r="58" spans="1:28" x14ac:dyDescent="0.25">
      <c r="A58" s="195" t="s">
        <v>18</v>
      </c>
      <c r="B58" s="57">
        <f>B59+B60</f>
        <v>0</v>
      </c>
      <c r="C58" s="57">
        <f>C59+C60</f>
        <v>102.57147523781893</v>
      </c>
      <c r="D58" s="57">
        <f>D59+D60</f>
        <v>0.46967518848555456</v>
      </c>
      <c r="E58" s="61">
        <f>E59+E60</f>
        <v>3.296287090783685</v>
      </c>
      <c r="F58" s="57">
        <f>F59+F60</f>
        <v>0</v>
      </c>
      <c r="G58" s="196">
        <f t="shared" ref="G58:G67" si="5">SUM(B58:F58)</f>
        <v>106.33743751708816</v>
      </c>
      <c r="H58" s="3"/>
      <c r="I58" s="203"/>
      <c r="J58" s="51"/>
      <c r="K58" s="51"/>
      <c r="L58" s="51"/>
      <c r="M58" s="51"/>
      <c r="N58" s="53"/>
      <c r="O58" s="51"/>
      <c r="P58" s="51"/>
      <c r="Q58" s="51"/>
      <c r="R58" s="51"/>
      <c r="S58" s="51"/>
      <c r="T58" s="46"/>
      <c r="U58" s="34"/>
      <c r="W58" s="45"/>
      <c r="X58" s="52"/>
      <c r="Y58" s="52"/>
      <c r="Z58" s="52"/>
      <c r="AA58" s="52"/>
      <c r="AB58" s="52"/>
    </row>
    <row r="59" spans="1:28" x14ac:dyDescent="0.25">
      <c r="A59" s="177" t="s">
        <v>19</v>
      </c>
      <c r="B59" s="19">
        <v>0</v>
      </c>
      <c r="C59" s="19">
        <f>'T energie usages'!I90*3.2*Résultats!AH250</f>
        <v>49.755735717118938</v>
      </c>
      <c r="D59" s="19">
        <f>'T energie usages'!J90/'T energie usages'!J$98*(Résultats!AH$159+Résultats!AH$160+Résultats!AH$161)/1000000</f>
        <v>0.1848041876947899</v>
      </c>
      <c r="E59" s="55">
        <f>'T energie usages'!K90*2.394*Résultats!AH251</f>
        <v>9.0338813684898121E-5</v>
      </c>
      <c r="F59" s="19">
        <v>0</v>
      </c>
      <c r="G59" s="120">
        <f t="shared" si="5"/>
        <v>49.94063024362741</v>
      </c>
      <c r="H59" s="3"/>
      <c r="I59" s="203"/>
      <c r="J59" s="51"/>
      <c r="K59" s="51"/>
      <c r="L59" s="51"/>
      <c r="M59" s="51"/>
      <c r="N59" s="53"/>
      <c r="O59" s="51"/>
      <c r="P59" s="51"/>
      <c r="Q59" s="51"/>
      <c r="R59" s="51"/>
      <c r="S59" s="51"/>
      <c r="T59" s="46"/>
      <c r="U59" s="42"/>
      <c r="W59" s="41"/>
      <c r="X59" s="52"/>
      <c r="Y59" s="52"/>
      <c r="Z59" s="52"/>
      <c r="AA59" s="52"/>
      <c r="AB59" s="52"/>
    </row>
    <row r="60" spans="1:28" x14ac:dyDescent="0.25">
      <c r="A60" s="178" t="s">
        <v>20</v>
      </c>
      <c r="B60" s="19">
        <v>0</v>
      </c>
      <c r="C60" s="19">
        <f>(Résultats!AH$150+Résultats!AH$151+Résultats!AH$152+Résultats!AH$153+Résultats!AH$154)/1000000</f>
        <v>52.815739520699999</v>
      </c>
      <c r="D60" s="19">
        <f>'T energie usages'!J91/'T energie usages'!J$98*(Résultats!AH$159+Résultats!AH$160+Résultats!AH$161)/1000000</f>
        <v>0.28487100079076466</v>
      </c>
      <c r="E60" s="55">
        <f>(Résultats!AH$176+Résultats!AH$177+Résultats!AH$178+Résultats!AH$179+Résultats!AH$180)/1000000</f>
        <v>3.2961967519700002</v>
      </c>
      <c r="F60" s="19">
        <v>0</v>
      </c>
      <c r="G60" s="120">
        <f t="shared" si="5"/>
        <v>56.396807273460766</v>
      </c>
      <c r="H60" s="3"/>
      <c r="I60" s="203"/>
      <c r="J60" s="51"/>
      <c r="K60" s="51"/>
      <c r="L60" s="51"/>
      <c r="M60" s="51"/>
      <c r="N60" s="53"/>
      <c r="O60" s="51"/>
      <c r="P60" s="51"/>
      <c r="Q60" s="51"/>
      <c r="R60" s="51"/>
      <c r="S60" s="51"/>
      <c r="T60" s="46"/>
      <c r="U60" s="42"/>
      <c r="W60" s="41"/>
      <c r="X60" s="52"/>
      <c r="Y60" s="52"/>
      <c r="Z60" s="52"/>
      <c r="AA60" s="52"/>
      <c r="AB60" s="52"/>
    </row>
    <row r="61" spans="1:28" x14ac:dyDescent="0.25">
      <c r="A61" s="195" t="s">
        <v>21</v>
      </c>
      <c r="B61" s="57">
        <f>Résultats!AH$102/1000000</f>
        <v>0.54167662430000008</v>
      </c>
      <c r="C61" s="57">
        <f>'T energie usages'!I92*3.2*Résultats!AH250</f>
        <v>14.334760099933714</v>
      </c>
      <c r="D61" s="57">
        <f>'T energie usages'!J92/'T energie usages'!J$98*(Résultats!AH$159+Résultats!AH$160+Résultats!AH$161)/1000000</f>
        <v>2.1881176121580816</v>
      </c>
      <c r="E61" s="57">
        <f>('T energie usages'!K92-8)*2.394*Résultats!AH251</f>
        <v>26.524608445030601</v>
      </c>
      <c r="F61" s="57">
        <v>0</v>
      </c>
      <c r="G61" s="196">
        <f t="shared" si="5"/>
        <v>43.589162781422402</v>
      </c>
      <c r="H61" s="3"/>
      <c r="I61" s="203"/>
      <c r="J61" s="51"/>
      <c r="K61" s="51"/>
      <c r="L61" s="51"/>
      <c r="M61" s="51"/>
      <c r="N61" s="53"/>
      <c r="O61" s="51"/>
      <c r="P61" s="51"/>
      <c r="Q61" s="51"/>
      <c r="R61" s="51"/>
      <c r="S61" s="51"/>
      <c r="T61" s="46"/>
      <c r="U61" s="34"/>
      <c r="W61" s="45"/>
      <c r="X61" s="52"/>
      <c r="Y61" s="52"/>
      <c r="Z61" s="52"/>
      <c r="AA61" s="52"/>
      <c r="AB61" s="52"/>
    </row>
    <row r="62" spans="1:28" x14ac:dyDescent="0.25">
      <c r="A62" s="195" t="s">
        <v>22</v>
      </c>
      <c r="B62" s="57">
        <f>(Résultats!AH$135+Résultats!AH$136)/1000000</f>
        <v>0</v>
      </c>
      <c r="C62" s="57">
        <f>(Résultats!AH$155+Résultats!AH$156)/1000000</f>
        <v>6.4340710026000005</v>
      </c>
      <c r="D62" s="57">
        <f>'T energie usages'!J93/'T energie usages'!J$98*(Résultats!AH$159+Résultats!AH$160+Résultats!AH$161)/1000000</f>
        <v>2.0133301930463938</v>
      </c>
      <c r="E62" s="57">
        <f>(Résultats!AH$181+Résultats!AH$182)/1000000</f>
        <v>11.056550583</v>
      </c>
      <c r="F62" s="57">
        <v>0</v>
      </c>
      <c r="G62" s="196">
        <f t="shared" si="5"/>
        <v>19.503951778646396</v>
      </c>
      <c r="H62" s="3"/>
      <c r="I62" s="203"/>
      <c r="J62" s="51"/>
      <c r="K62" s="51"/>
      <c r="L62" s="51"/>
      <c r="M62" s="51"/>
      <c r="N62" s="53"/>
      <c r="O62" s="51"/>
      <c r="P62" s="51"/>
      <c r="Q62" s="51"/>
      <c r="R62" s="51"/>
      <c r="S62" s="51"/>
      <c r="T62" s="46"/>
      <c r="U62" s="34"/>
      <c r="W62" s="45"/>
      <c r="X62" s="52"/>
      <c r="Y62" s="52"/>
      <c r="Z62" s="52"/>
      <c r="AA62" s="52"/>
      <c r="AB62" s="52"/>
    </row>
    <row r="63" spans="1:28" x14ac:dyDescent="0.25">
      <c r="A63" s="195" t="s">
        <v>23</v>
      </c>
      <c r="B63" s="57">
        <f>B64+B65</f>
        <v>11.281829722200001</v>
      </c>
      <c r="C63" s="57">
        <f>C64+C65</f>
        <v>56.026358687568177</v>
      </c>
      <c r="D63" s="57">
        <f>D64+D65</f>
        <v>1.8228510759099699</v>
      </c>
      <c r="E63" s="57">
        <f>E64+E65</f>
        <v>25.535309769147272</v>
      </c>
      <c r="F63" s="57">
        <f>F64+F65</f>
        <v>15.31277117</v>
      </c>
      <c r="G63" s="196">
        <f t="shared" si="5"/>
        <v>109.97912042482542</v>
      </c>
      <c r="H63" s="3"/>
      <c r="I63" s="203"/>
      <c r="J63" s="51"/>
      <c r="K63" s="51"/>
      <c r="L63" s="51"/>
      <c r="M63" s="51"/>
      <c r="N63" s="53"/>
      <c r="O63" s="51"/>
      <c r="P63" s="51"/>
      <c r="Q63" s="51"/>
      <c r="R63" s="51"/>
      <c r="S63" s="51"/>
      <c r="T63" s="46"/>
      <c r="U63" s="34"/>
      <c r="W63" s="45"/>
      <c r="X63" s="52"/>
      <c r="Y63" s="52"/>
      <c r="Z63" s="52"/>
      <c r="AA63" s="52"/>
      <c r="AB63" s="52"/>
    </row>
    <row r="64" spans="1:28" x14ac:dyDescent="0.25">
      <c r="A64" s="178" t="s">
        <v>24</v>
      </c>
      <c r="B64" s="99">
        <f>(Résultats!AH$129+Résultats!AH$130+Résultats!AH$131+Résultats!AH$132+Résultats!AH$133+Résultats!AH$134)/1000000</f>
        <v>11.281829722200001</v>
      </c>
      <c r="C64" s="19">
        <f>(Résultats!AH$138+Résultats!AH$140+Résultats!AH$141+Résultats!AH$142+Résultats!AH$143+Résultats!AH$144+Résultats!AH$145+Résultats!AH$146+Résultats!AH$147+Résultats!AH$148+Résultats!AH$149)/1000000</f>
        <v>47.808711806568176</v>
      </c>
      <c r="D64" s="19">
        <f>'T energie usages'!J95/'T energie usages'!J$98*(Résultats!AH$159+Résultats!AH$160+Résultats!AH$161)/1000000</f>
        <v>1.771656310154242</v>
      </c>
      <c r="E64" s="19">
        <f>(Résultats!AH$164+Résultats!AH$165+Résultats!AH$166+Résultats!AH$167+Résultats!AH$168+Résultats!AH$169+Résultats!AH$170+Résultats!AH$171+Résultats!AH$172+Résultats!AH$173+Résultats!AH$174+Résultats!AH$175+Résultats!AH$183+Résultats!AH$185)/1000000</f>
        <v>24.971426234147273</v>
      </c>
      <c r="F64" s="19">
        <f>Résultats!AH$100/1000000</f>
        <v>15.31277117</v>
      </c>
      <c r="G64" s="120">
        <f t="shared" si="5"/>
        <v>101.1463952430697</v>
      </c>
      <c r="H64" s="3"/>
      <c r="I64" s="203"/>
      <c r="K64" s="51"/>
      <c r="L64" s="51"/>
      <c r="M64" s="51"/>
      <c r="N64" s="53"/>
      <c r="O64" s="51"/>
      <c r="P64" s="51"/>
      <c r="Q64" s="51"/>
      <c r="R64" s="51"/>
      <c r="S64" s="51"/>
      <c r="T64" s="46"/>
      <c r="U64" s="42"/>
      <c r="W64" s="41"/>
      <c r="X64" s="52"/>
      <c r="Y64" s="52"/>
      <c r="Z64" s="52"/>
      <c r="AA64" s="52"/>
      <c r="AB64" s="52"/>
    </row>
    <row r="65" spans="1:28" x14ac:dyDescent="0.25">
      <c r="A65" s="178" t="s">
        <v>25</v>
      </c>
      <c r="B65" s="19">
        <v>0</v>
      </c>
      <c r="C65" s="19">
        <f>(Résultats!AH$139)/1000000</f>
        <v>8.2176468810000003</v>
      </c>
      <c r="D65" s="19">
        <f>'T energie usages'!J97/'T energie usages'!J$98*(Résultats!AH$159+Résultats!AH$160+Résultats!AH$161)/1000000</f>
        <v>5.1194765755727949E-2</v>
      </c>
      <c r="E65" s="19">
        <f>(Résultats!AH$163)/1000000</f>
        <v>0.56388353499999999</v>
      </c>
      <c r="F65" s="19">
        <v>0</v>
      </c>
      <c r="G65" s="120">
        <f t="shared" si="5"/>
        <v>8.8327251817557286</v>
      </c>
      <c r="H65" s="3"/>
      <c r="I65" s="203"/>
      <c r="K65" s="51"/>
      <c r="L65" s="51"/>
      <c r="M65" s="51"/>
      <c r="N65" s="53"/>
      <c r="O65" s="51"/>
      <c r="P65" s="51"/>
      <c r="Q65" s="51"/>
      <c r="R65" s="51"/>
      <c r="S65" s="51"/>
      <c r="T65" s="46"/>
      <c r="U65" s="42"/>
      <c r="W65" s="41"/>
      <c r="X65" s="52"/>
      <c r="Y65" s="52"/>
      <c r="Z65" s="52"/>
      <c r="AA65" s="52"/>
      <c r="AB65" s="52"/>
    </row>
    <row r="66" spans="1:28" x14ac:dyDescent="0.25">
      <c r="A66" s="72" t="s">
        <v>41</v>
      </c>
      <c r="B66" s="58">
        <f>SUM(B61:B63)+B58</f>
        <v>11.823506346500002</v>
      </c>
      <c r="C66" s="58">
        <f>SUM(C61:C63)+C58</f>
        <v>179.36666502792082</v>
      </c>
      <c r="D66" s="58">
        <f>SUM(D61:D63)+D58</f>
        <v>6.4939740696000001</v>
      </c>
      <c r="E66" s="58">
        <f>SUM(E61:E63)+E58</f>
        <v>66.412755887961552</v>
      </c>
      <c r="F66" s="58">
        <f>SUM(F61:F63)+F58</f>
        <v>15.31277117</v>
      </c>
      <c r="G66" s="204">
        <f t="shared" si="5"/>
        <v>279.40967250198241</v>
      </c>
      <c r="H66" s="3"/>
      <c r="I66" s="105"/>
      <c r="J66" s="100"/>
      <c r="K66" s="51"/>
      <c r="L66" s="51"/>
      <c r="M66" s="51"/>
      <c r="N66" s="53"/>
      <c r="O66" s="51"/>
      <c r="P66" s="51"/>
      <c r="Q66" s="51"/>
      <c r="R66" s="51"/>
      <c r="S66" s="51"/>
      <c r="T66" s="46"/>
      <c r="U66" s="48"/>
      <c r="W66" s="47"/>
      <c r="X66" s="52"/>
      <c r="Y66" s="52"/>
      <c r="Z66" s="52"/>
      <c r="AA66" s="52"/>
      <c r="AB66" s="52"/>
    </row>
    <row r="67" spans="1:28" x14ac:dyDescent="0.25">
      <c r="A67" s="198" t="s">
        <v>43</v>
      </c>
      <c r="B67" s="201">
        <f>(Résultats!AH$102+Résultats!AH$129+Résultats!AH$130+Résultats!AH$131+Résultats!AH$132+Résultats!AH$133+Résultats!AH$134+Résultats!AH$135+Résultats!AH$136)/1000000</f>
        <v>11.8235063465</v>
      </c>
      <c r="C67" s="201">
        <f>(Résultats!AH$104+Résultats!AH$138+Résultats!AH$139+Résultats!AH$140+Résultats!AH$141+Résultats!AH$142+Résultats!AH$143+Résultats!AH$144+Résultats!AH$145+Résultats!AH$146+Résultats!AH$147+Résultats!AH$148+Résultats!AH$149+Résultats!AH$150+Résultats!AH$151+Résultats!AH$152+Résultats!AH$153+Résultats!AH$154+Résultats!AH$155+Résultats!AH$156)/1000000</f>
        <v>179.40539503086816</v>
      </c>
      <c r="D67" s="201">
        <f>(Résultats!AH$159+Résultats!AH$160+Résultats!AH$161)/1000000</f>
        <v>6.4939740696000001</v>
      </c>
      <c r="E67" s="200">
        <f>(Résultats!AH$106+Résultats!AH$163+Résultats!AH$164+Résultats!AH$165+Résultats!AH$166+Résultats!AH$167+Résultats!AH$168+Résultats!AH$169+Résultats!AH$170+Résultats!AH$171+Résultats!AH$172+Résultats!AH$173+Résultats!AH$174+Résultats!AH$175+Résultats!AH$176+Résultats!AH$177+Résultats!AH$178+Résultats!AH$179+Résultats!AH$180+Résultats!AH$181+Résultats!AH$182+Résultats!AH$183)/1000000</f>
        <v>56.982727632417259</v>
      </c>
      <c r="F67" s="201">
        <f>Résultats!AH$100/1000000</f>
        <v>15.31277117</v>
      </c>
      <c r="G67" s="202">
        <f t="shared" si="5"/>
        <v>270.01837424938543</v>
      </c>
      <c r="H67" s="3"/>
      <c r="I67" s="69"/>
      <c r="K67" s="24"/>
      <c r="L67" s="51"/>
    </row>
    <row r="68" spans="1:28" x14ac:dyDescent="0.25">
      <c r="A68" s="198"/>
      <c r="B68" s="198"/>
      <c r="C68" s="198"/>
      <c r="D68" s="198"/>
      <c r="E68" s="198"/>
      <c r="F68" s="198"/>
      <c r="G68" s="200">
        <f>Résultats!AH$194/1000000</f>
        <v>270.25298850000001</v>
      </c>
      <c r="H68" s="3"/>
      <c r="I68" s="69"/>
      <c r="K68" s="24"/>
      <c r="L68" s="51"/>
    </row>
    <row r="69" spans="1:28" x14ac:dyDescent="0.25">
      <c r="A69" s="3"/>
      <c r="B69" s="3"/>
      <c r="C69" s="3"/>
      <c r="D69" s="3"/>
      <c r="E69" s="3"/>
      <c r="F69" s="3"/>
      <c r="G69" s="3"/>
      <c r="H69" s="3"/>
      <c r="I69" s="69"/>
      <c r="K69" s="24"/>
      <c r="L69" s="51"/>
    </row>
    <row r="70" spans="1:28" ht="21" x14ac:dyDescent="0.35">
      <c r="A70" s="174">
        <v>2050</v>
      </c>
      <c r="B70" s="4" t="s">
        <v>36</v>
      </c>
      <c r="C70" s="4" t="s">
        <v>37</v>
      </c>
      <c r="D70" s="4" t="s">
        <v>38</v>
      </c>
      <c r="E70" s="4" t="s">
        <v>39</v>
      </c>
      <c r="F70" s="4" t="s">
        <v>40</v>
      </c>
      <c r="G70" s="118" t="s">
        <v>1</v>
      </c>
      <c r="H70" s="3"/>
      <c r="I70" s="3"/>
    </row>
    <row r="71" spans="1:28" x14ac:dyDescent="0.25">
      <c r="A71" s="195" t="s">
        <v>18</v>
      </c>
      <c r="B71" s="57">
        <f>B72+B73</f>
        <v>0.3586030147</v>
      </c>
      <c r="C71" s="57">
        <f>C72+C73</f>
        <v>88.935835184930284</v>
      </c>
      <c r="D71" s="57">
        <f>D72+D73</f>
        <v>1.3176630800909725</v>
      </c>
      <c r="E71" s="57">
        <f>E72+E73</f>
        <v>5.0888875137559442</v>
      </c>
      <c r="F71" s="57">
        <f>F72+F73</f>
        <v>0</v>
      </c>
      <c r="G71" s="196">
        <f t="shared" ref="G71:G80" si="6">SUM(B71:F71)</f>
        <v>95.700988793477194</v>
      </c>
      <c r="H71" s="3"/>
      <c r="I71" s="3"/>
    </row>
    <row r="72" spans="1:28" x14ac:dyDescent="0.25">
      <c r="A72" s="177" t="s">
        <v>19</v>
      </c>
      <c r="B72" s="19">
        <f>Résultats!AF$118/1000000</f>
        <v>0.3586030147</v>
      </c>
      <c r="C72" s="19">
        <f>'T energie usages'!I116*3.2*Résultats!AW250</f>
        <v>30.560484811230278</v>
      </c>
      <c r="D72" s="19">
        <f>'T energie usages'!J116/'T energie usages'!J$124*(Résultats!AW$159+Résultats!AW$160+Résultats!AW$161)/1000000</f>
        <v>0.70274506653964275</v>
      </c>
      <c r="E72" s="19">
        <f>'T energie usages'!K116*2.394*Résultats!AW251</f>
        <v>1.0548333594437744E-4</v>
      </c>
      <c r="F72" s="19">
        <v>0</v>
      </c>
      <c r="G72" s="120">
        <f t="shared" si="6"/>
        <v>31.621938375805865</v>
      </c>
      <c r="H72" s="3"/>
      <c r="I72" s="3"/>
    </row>
    <row r="73" spans="1:28" x14ac:dyDescent="0.25">
      <c r="A73" s="178" t="s">
        <v>20</v>
      </c>
      <c r="B73" s="19">
        <v>0</v>
      </c>
      <c r="C73" s="19">
        <f>(Résultats!AW$150+Résultats!AW$151+Résultats!AW$152+Résultats!AW$153+Résultats!AW$154)/1000000</f>
        <v>58.375350373700002</v>
      </c>
      <c r="D73" s="19">
        <f>'T energie usages'!J117/'T energie usages'!J$124*(Résultats!AW$159+Résultats!AW$160+Résultats!AW$161)/1000000</f>
        <v>0.6149180135513298</v>
      </c>
      <c r="E73" s="19">
        <f>(Résultats!AW$176+Résultats!AW$177+Résultats!AW$178+Résultats!AW$179+Résultats!AW$180)/1000000</f>
        <v>5.08878203042</v>
      </c>
      <c r="F73" s="19">
        <v>0</v>
      </c>
      <c r="G73" s="120">
        <f t="shared" si="6"/>
        <v>64.07905041767134</v>
      </c>
      <c r="H73" s="3"/>
      <c r="I73" s="3"/>
    </row>
    <row r="74" spans="1:28" x14ac:dyDescent="0.25">
      <c r="A74" s="195" t="s">
        <v>21</v>
      </c>
      <c r="B74" s="57">
        <f>Résultats!AW$102/1000000</f>
        <v>0.40449513459999997</v>
      </c>
      <c r="C74" s="57">
        <f>'T energie usages'!I118*3.2*Résultats!AW250</f>
        <v>11.89662658156154</v>
      </c>
      <c r="D74" s="57">
        <f>'T energie usages'!J118/'T energie usages'!J$124*(Résultats!AW$159+Résultats!AW$160+Résultats!AW$161)/1000000</f>
        <v>3.6076398504830434</v>
      </c>
      <c r="E74" s="57">
        <f>('T energie usages'!K118-8)*2.394*Résultats!AW251</f>
        <v>23.201313333568816</v>
      </c>
      <c r="F74" s="57">
        <v>0</v>
      </c>
      <c r="G74" s="196">
        <f t="shared" si="6"/>
        <v>39.110074900213398</v>
      </c>
      <c r="H74" s="3"/>
      <c r="I74" s="3"/>
    </row>
    <row r="75" spans="1:28" x14ac:dyDescent="0.25">
      <c r="A75" s="195" t="s">
        <v>22</v>
      </c>
      <c r="B75" s="57">
        <f>(Résultats!AW$135+Résultats!AW$136)/1000000</f>
        <v>0</v>
      </c>
      <c r="C75" s="57">
        <f>(Résultats!AW$155+Résultats!AW$156)/1000000</f>
        <v>5.7135277407</v>
      </c>
      <c r="D75" s="57">
        <f>'T energie usages'!J119/'T energie usages'!J$124*(Résultats!AW$159+Résultats!AW$160+Résultats!AW$161)/1000000</f>
        <v>2.7849972486181742</v>
      </c>
      <c r="E75" s="57">
        <f>(Résultats!AW$181+Résultats!AW$182)/1000000</f>
        <v>8.2540161730000001</v>
      </c>
      <c r="F75" s="57">
        <v>0</v>
      </c>
      <c r="G75" s="196">
        <f t="shared" si="6"/>
        <v>16.752541162318174</v>
      </c>
      <c r="H75" s="3"/>
      <c r="I75" s="3"/>
    </row>
    <row r="76" spans="1:28" x14ac:dyDescent="0.25">
      <c r="A76" s="195" t="s">
        <v>23</v>
      </c>
      <c r="B76" s="57">
        <f>B77+B78</f>
        <v>11.89295300479999</v>
      </c>
      <c r="C76" s="57">
        <f>C77+C78</f>
        <v>64.159982966950579</v>
      </c>
      <c r="D76" s="57">
        <f>D77+D78</f>
        <v>3.7186316404078088</v>
      </c>
      <c r="E76" s="57">
        <f>E77+E78</f>
        <v>27.371750984539172</v>
      </c>
      <c r="F76" s="57">
        <f>F77+F78</f>
        <v>17.33013721</v>
      </c>
      <c r="G76" s="196">
        <f t="shared" si="6"/>
        <v>124.47345580669756</v>
      </c>
      <c r="H76" s="3"/>
      <c r="I76" s="3"/>
    </row>
    <row r="77" spans="1:28" x14ac:dyDescent="0.25">
      <c r="A77" s="178" t="s">
        <v>24</v>
      </c>
      <c r="B77" s="19">
        <f>(Résultats!AW$129+Résultats!AW$130+Résultats!AW$131+Résultats!AW$132+Résultats!AW$133+Résultats!AW$134)/1000000</f>
        <v>11.89295300479999</v>
      </c>
      <c r="C77" s="19">
        <f>(Résultats!AW$138+Résultats!AW$140+Résultats!AW$141+Résultats!AW$142+Résultats!AW$143+Résultats!AW$144+Résultats!AW$145+Résultats!AW$146+Résultats!AW$147+Résultats!AW$148+Résultats!AW$149)/1000000</f>
        <v>53.666132346950576</v>
      </c>
      <c r="D77" s="19">
        <f>'T energie usages'!J121/'T energie usages'!J$124*(Résultats!AW$159+Résultats!AW$160+Résultats!AW$161)/1000000</f>
        <v>3.6183270842960704</v>
      </c>
      <c r="E77" s="19">
        <f>(Résultats!AW162+Résultats!AW$164+Résultats!AW$165+Résultats!AW$166+Résultats!AW$167+Résultats!AW$168+Résultats!AW$169+Résultats!AW$170+Résultats!AW$171+Résultats!AW$172+Résultats!AW$173+Résultats!AW$174+Résultats!AW$175+Résultats!AW$183)/1000000</f>
        <v>26.734019648539171</v>
      </c>
      <c r="F77" s="19">
        <f>Résultats!AW$100/1000000</f>
        <v>17.33013721</v>
      </c>
      <c r="G77" s="120">
        <f t="shared" si="6"/>
        <v>113.24156929458582</v>
      </c>
      <c r="H77" s="3"/>
      <c r="I77" s="3"/>
    </row>
    <row r="78" spans="1:28" x14ac:dyDescent="0.25">
      <c r="A78" s="178" t="s">
        <v>25</v>
      </c>
      <c r="B78" s="19">
        <v>0</v>
      </c>
      <c r="C78" s="19">
        <f>(Résultats!AW$139)/1000000</f>
        <v>10.49385062</v>
      </c>
      <c r="D78" s="19">
        <f>'T energie usages'!J123/'T energie usages'!J$124*(Résultats!AW$159+Résultats!AW$160+Résultats!AW$161)/1000000</f>
        <v>0.10030455611173821</v>
      </c>
      <c r="E78" s="19">
        <f>(Résultats!AW$163)/1000000</f>
        <v>0.63773133599999998</v>
      </c>
      <c r="F78" s="19">
        <v>0</v>
      </c>
      <c r="G78" s="120">
        <f t="shared" si="6"/>
        <v>11.231886512111737</v>
      </c>
      <c r="H78" s="3"/>
      <c r="I78" s="3"/>
    </row>
    <row r="79" spans="1:28" x14ac:dyDescent="0.25">
      <c r="A79" s="72" t="s">
        <v>41</v>
      </c>
      <c r="B79" s="58">
        <f>SUM(B74:B76)+B71</f>
        <v>12.656051154099989</v>
      </c>
      <c r="C79" s="58">
        <f>SUM(C74:C76)+C71</f>
        <v>170.70597247414241</v>
      </c>
      <c r="D79" s="58">
        <f>SUM(D74:D76)+D71</f>
        <v>11.428931819599999</v>
      </c>
      <c r="E79" s="60">
        <f>SUM(E74:E76)+E71</f>
        <v>63.915968004863934</v>
      </c>
      <c r="F79" s="58">
        <f>SUM(F74:F76)+F71</f>
        <v>17.33013721</v>
      </c>
      <c r="G79" s="197">
        <f t="shared" si="6"/>
        <v>276.03706066270632</v>
      </c>
      <c r="H79" s="3"/>
      <c r="I79" s="3"/>
    </row>
    <row r="80" spans="1:28" x14ac:dyDescent="0.25">
      <c r="A80" s="198" t="s">
        <v>43</v>
      </c>
      <c r="B80" s="201">
        <f>(Résultats!AW$102+Résultats!AW$129+Résultats!AW$130+Résultats!AW$131+Résultats!AW$132+Résultats!AW$133+Résultats!AW$134+Résultats!AW$135+Résultats!AW$136)/1000000</f>
        <v>12.297448139399988</v>
      </c>
      <c r="C80" s="201">
        <f>(Résultats!AW$104+Résultats!AW$138+Résultats!AW$139+Résultats!AW$140+Résultats!AW$141+Résultats!AW$142+Résultats!AW$143+Résultats!AW$144+Résultats!AW$145+Résultats!AW$146+Résultats!AW$147+Résultats!AW$148+Résultats!AW$149+Résultats!AW$150+Résultats!AW$151+Résultats!AW$152+Résultats!AW$153+Résultats!AW$154+Résultats!AW$155+Résultats!AW$156)/1000000</f>
        <v>170.73162938135061</v>
      </c>
      <c r="D80" s="201">
        <f>(Résultats!AW$159+Résultats!AW$160+Résultats!AW$161)/1000000</f>
        <v>11.428931819600001</v>
      </c>
      <c r="E80" s="200">
        <f>(Résultats!AW$106+Résultats!AW162+Résultats!AW$163+Résultats!AW$164+Résultats!AW$165+Résultats!AW$166+Résultats!AW$167+Résultats!AW$168+Résultats!AW$169+Résultats!AW$170+Résultats!AW$171+Résultats!AW$172+Résultats!AW$173+Résultats!AW$174+Résultats!AW$175+Résultats!AW$176+Résultats!AW$177+Résultats!AW$178+Résultats!AW$179+Résultats!AW$180+Résultats!AW181+Résultats!AW182+Résultats!AW183)/1000000</f>
        <v>54.62302301795917</v>
      </c>
      <c r="F80" s="201">
        <f>Résultats!AW100/1000000</f>
        <v>17.33013721</v>
      </c>
      <c r="G80" s="202">
        <f t="shared" si="6"/>
        <v>266.41116956830973</v>
      </c>
      <c r="H80" s="3"/>
      <c r="I80" s="71"/>
    </row>
    <row r="81" spans="1:9" x14ac:dyDescent="0.25">
      <c r="A81" s="198"/>
      <c r="B81" s="201"/>
      <c r="C81" s="201"/>
      <c r="D81" s="201"/>
      <c r="E81" s="198"/>
      <c r="F81" s="198"/>
      <c r="G81" s="200">
        <f>Résultats!AW194/1000000</f>
        <v>266.41116919999996</v>
      </c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F85" s="24"/>
    </row>
    <row r="86" spans="1:9" x14ac:dyDescent="0.25">
      <c r="G86" s="39"/>
    </row>
    <row r="87" spans="1:9" x14ac:dyDescent="0.25">
      <c r="B87" s="24"/>
      <c r="G87" s="39"/>
    </row>
    <row r="88" spans="1:9" x14ac:dyDescent="0.25">
      <c r="B88" s="24"/>
      <c r="G88" s="39"/>
    </row>
    <row r="89" spans="1:9" x14ac:dyDescent="0.25">
      <c r="B89" s="24"/>
      <c r="G89" s="39"/>
    </row>
    <row r="90" spans="1:9" x14ac:dyDescent="0.25">
      <c r="B90" s="24"/>
      <c r="G90" s="39"/>
    </row>
    <row r="91" spans="1:9" x14ac:dyDescent="0.25">
      <c r="B91" s="24"/>
      <c r="G91" s="39"/>
    </row>
    <row r="92" spans="1:9" x14ac:dyDescent="0.25">
      <c r="B92" s="24"/>
    </row>
    <row r="93" spans="1:9" x14ac:dyDescent="0.25">
      <c r="B93" s="24"/>
    </row>
    <row r="94" spans="1:9" x14ac:dyDescent="0.25">
      <c r="B94" s="24"/>
    </row>
    <row r="95" spans="1:9" x14ac:dyDescent="0.25">
      <c r="B95" s="24"/>
    </row>
    <row r="96" spans="1:9" x14ac:dyDescent="0.25">
      <c r="B96" s="24"/>
    </row>
    <row r="97" spans="2:4" x14ac:dyDescent="0.25">
      <c r="B97" s="24"/>
    </row>
    <row r="98" spans="2:4" x14ac:dyDescent="0.25">
      <c r="B98" s="24"/>
    </row>
    <row r="99" spans="2:4" x14ac:dyDescent="0.25">
      <c r="B99" s="24"/>
    </row>
    <row r="100" spans="2:4" x14ac:dyDescent="0.25">
      <c r="B100" s="24"/>
    </row>
    <row r="101" spans="2:4" x14ac:dyDescent="0.25">
      <c r="B101" s="24"/>
    </row>
    <row r="102" spans="2:4" x14ac:dyDescent="0.25">
      <c r="B102" s="24"/>
    </row>
    <row r="104" spans="2:4" x14ac:dyDescent="0.25">
      <c r="B104" s="24"/>
    </row>
    <row r="105" spans="2:4" x14ac:dyDescent="0.25">
      <c r="B105" s="24"/>
    </row>
    <row r="106" spans="2:4" x14ac:dyDescent="0.25">
      <c r="B106" s="24"/>
    </row>
    <row r="107" spans="2:4" x14ac:dyDescent="0.25">
      <c r="B107" s="24"/>
    </row>
    <row r="108" spans="2:4" x14ac:dyDescent="0.25">
      <c r="B108" s="24"/>
    </row>
    <row r="109" spans="2:4" x14ac:dyDescent="0.25">
      <c r="B109" s="24"/>
    </row>
    <row r="110" spans="2:4" x14ac:dyDescent="0.25">
      <c r="B110" s="24"/>
    </row>
    <row r="111" spans="2:4" x14ac:dyDescent="0.25">
      <c r="B111" s="24"/>
    </row>
    <row r="112" spans="2:4" x14ac:dyDescent="0.25">
      <c r="B112" s="24"/>
      <c r="C112" s="21"/>
      <c r="D112" s="21"/>
    </row>
    <row r="113" spans="2:2" x14ac:dyDescent="0.25">
      <c r="B113" s="24"/>
    </row>
    <row r="114" spans="2:2" x14ac:dyDescent="0.25">
      <c r="B114" s="24"/>
    </row>
    <row r="115" spans="2:2" x14ac:dyDescent="0.25">
      <c r="B115" s="24"/>
    </row>
    <row r="116" spans="2:2" x14ac:dyDescent="0.25">
      <c r="B116" s="24"/>
    </row>
    <row r="117" spans="2:2" x14ac:dyDescent="0.25">
      <c r="B117" s="24"/>
    </row>
    <row r="118" spans="2:2" x14ac:dyDescent="0.25">
      <c r="B118" s="24"/>
    </row>
    <row r="119" spans="2:2" x14ac:dyDescent="0.25">
      <c r="B119" s="24"/>
    </row>
    <row r="120" spans="2:2" x14ac:dyDescent="0.25">
      <c r="B120" s="24"/>
    </row>
    <row r="121" spans="2:2" x14ac:dyDescent="0.25">
      <c r="B121" s="2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N108"/>
  <sheetViews>
    <sheetView topLeftCell="AB23" zoomScale="80" zoomScaleNormal="80" workbookViewId="0">
      <selection activeCell="AM26" sqref="AM26"/>
    </sheetView>
  </sheetViews>
  <sheetFormatPr baseColWidth="10" defaultRowHeight="15" x14ac:dyDescent="0.25"/>
  <cols>
    <col min="2" max="2" width="17.140625" customWidth="1"/>
    <col min="3" max="3" width="28.140625" bestFit="1" customWidth="1"/>
    <col min="4" max="4" width="41" hidden="1" customWidth="1"/>
    <col min="5" max="8" width="20.140625" hidden="1" customWidth="1"/>
    <col min="9" max="39" width="20.140625" customWidth="1"/>
    <col min="40" max="40" width="13" customWidth="1"/>
  </cols>
  <sheetData>
    <row r="1" spans="1:39" ht="23.25" x14ac:dyDescent="0.35">
      <c r="A1" s="15" t="s">
        <v>179</v>
      </c>
      <c r="C1" s="1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3.25" x14ac:dyDescent="0.35">
      <c r="A2" s="1"/>
      <c r="C2" s="230"/>
      <c r="E2" s="238">
        <f>Résultats!E1</f>
        <v>4</v>
      </c>
      <c r="F2" s="238">
        <f>Résultats!N1</f>
        <v>13</v>
      </c>
      <c r="G2" s="238">
        <f>F2+3</f>
        <v>16</v>
      </c>
      <c r="H2" s="238">
        <f t="shared" ref="H2:AA2" si="0">G2+1</f>
        <v>17</v>
      </c>
      <c r="I2" s="238">
        <f t="shared" si="0"/>
        <v>18</v>
      </c>
      <c r="J2" s="238">
        <f t="shared" si="0"/>
        <v>19</v>
      </c>
      <c r="K2" s="238">
        <f t="shared" si="0"/>
        <v>20</v>
      </c>
      <c r="L2" s="238">
        <f t="shared" si="0"/>
        <v>21</v>
      </c>
      <c r="M2" s="238">
        <f t="shared" si="0"/>
        <v>22</v>
      </c>
      <c r="N2" s="238">
        <f t="shared" si="0"/>
        <v>23</v>
      </c>
      <c r="O2" s="238">
        <f t="shared" si="0"/>
        <v>24</v>
      </c>
      <c r="P2" s="238">
        <f t="shared" si="0"/>
        <v>25</v>
      </c>
      <c r="Q2" s="238">
        <f t="shared" si="0"/>
        <v>26</v>
      </c>
      <c r="R2" s="238">
        <f t="shared" si="0"/>
        <v>27</v>
      </c>
      <c r="S2" s="238">
        <f t="shared" si="0"/>
        <v>28</v>
      </c>
      <c r="T2" s="238">
        <f t="shared" si="0"/>
        <v>29</v>
      </c>
      <c r="U2" s="238">
        <f t="shared" si="0"/>
        <v>30</v>
      </c>
      <c r="V2" s="238">
        <f t="shared" si="0"/>
        <v>31</v>
      </c>
      <c r="W2" s="238">
        <f t="shared" si="0"/>
        <v>32</v>
      </c>
      <c r="X2" s="238">
        <f>S2+5</f>
        <v>33</v>
      </c>
      <c r="Y2" s="238">
        <f t="shared" si="0"/>
        <v>34</v>
      </c>
      <c r="Z2" s="238">
        <f t="shared" ref="Z2" si="1">U2+5</f>
        <v>35</v>
      </c>
      <c r="AA2" s="238">
        <f t="shared" si="0"/>
        <v>36</v>
      </c>
      <c r="AB2" s="238">
        <f t="shared" ref="AB2" si="2">W2+5</f>
        <v>37</v>
      </c>
      <c r="AC2" s="238">
        <f>X2+5</f>
        <v>38</v>
      </c>
      <c r="AD2" s="238">
        <f t="shared" ref="AD2:AG2" si="3">Y2+5</f>
        <v>39</v>
      </c>
      <c r="AE2" s="238">
        <f t="shared" si="3"/>
        <v>40</v>
      </c>
      <c r="AF2" s="238">
        <f t="shared" si="3"/>
        <v>41</v>
      </c>
      <c r="AG2" s="238">
        <f t="shared" si="3"/>
        <v>42</v>
      </c>
      <c r="AH2" s="238">
        <f>AC2+5</f>
        <v>43</v>
      </c>
      <c r="AI2" s="238">
        <f t="shared" ref="AI2:AL2" si="4">AD2+5</f>
        <v>44</v>
      </c>
      <c r="AJ2" s="238">
        <f t="shared" si="4"/>
        <v>45</v>
      </c>
      <c r="AK2" s="238">
        <f t="shared" si="4"/>
        <v>46</v>
      </c>
      <c r="AL2" s="238">
        <f t="shared" si="4"/>
        <v>47</v>
      </c>
      <c r="AM2" s="238">
        <f>AH2+5</f>
        <v>48</v>
      </c>
    </row>
    <row r="3" spans="1:39" ht="23.25" x14ac:dyDescent="0.35">
      <c r="B3" s="1"/>
      <c r="C3" s="229"/>
      <c r="D3" s="175"/>
      <c r="E3" s="117">
        <v>2006</v>
      </c>
      <c r="F3" s="117">
        <v>2015</v>
      </c>
      <c r="G3" s="117">
        <v>2018</v>
      </c>
      <c r="H3" s="117">
        <v>2019</v>
      </c>
      <c r="I3" s="117">
        <v>2020</v>
      </c>
      <c r="J3" s="26">
        <v>2021</v>
      </c>
      <c r="K3" s="4">
        <v>2022</v>
      </c>
      <c r="L3" s="4">
        <v>2023</v>
      </c>
      <c r="M3" s="4">
        <v>2024</v>
      </c>
      <c r="N3" s="117">
        <v>2025</v>
      </c>
      <c r="O3" s="26">
        <v>2026</v>
      </c>
      <c r="P3" s="4">
        <v>2027</v>
      </c>
      <c r="Q3" s="4">
        <v>2028</v>
      </c>
      <c r="R3" s="4">
        <v>2029</v>
      </c>
      <c r="S3" s="117">
        <v>2030</v>
      </c>
      <c r="T3" s="4">
        <v>2031</v>
      </c>
      <c r="U3" s="117">
        <v>2032</v>
      </c>
      <c r="V3" s="4">
        <v>2033</v>
      </c>
      <c r="W3" s="117">
        <v>2034</v>
      </c>
      <c r="X3" s="4">
        <v>2035</v>
      </c>
      <c r="Y3" s="117">
        <v>2036</v>
      </c>
      <c r="Z3" s="4">
        <v>2037</v>
      </c>
      <c r="AA3" s="117">
        <v>2038</v>
      </c>
      <c r="AB3" s="4">
        <v>2039</v>
      </c>
      <c r="AC3" s="118">
        <v>2040</v>
      </c>
      <c r="AD3" s="4">
        <v>2041</v>
      </c>
      <c r="AE3" s="118">
        <v>2042</v>
      </c>
      <c r="AF3" s="4">
        <v>2043</v>
      </c>
      <c r="AG3" s="118">
        <v>2044</v>
      </c>
      <c r="AH3" s="4">
        <v>2045</v>
      </c>
      <c r="AI3" s="118">
        <v>2046</v>
      </c>
      <c r="AJ3" s="4">
        <v>2047</v>
      </c>
      <c r="AK3" s="118">
        <v>2048</v>
      </c>
      <c r="AL3" s="4">
        <v>2049</v>
      </c>
      <c r="AM3" s="118">
        <v>2050</v>
      </c>
    </row>
    <row r="4" spans="1:39" x14ac:dyDescent="0.25">
      <c r="A4" s="181" t="str">
        <f>Résultats!B1</f>
        <v>TEND</v>
      </c>
      <c r="C4" s="231" t="s">
        <v>181</v>
      </c>
      <c r="D4" s="82" t="s">
        <v>45</v>
      </c>
      <c r="E4" s="83" t="e">
        <f t="shared" ref="E4:F4" si="5">E44</f>
        <v>#N/A</v>
      </c>
      <c r="F4" s="83" t="e">
        <f t="shared" si="5"/>
        <v>#N/A</v>
      </c>
      <c r="G4" s="83" t="e">
        <f>G44</f>
        <v>#N/A</v>
      </c>
      <c r="H4" s="83" t="e">
        <f t="shared" ref="H4:AM4" si="6">H44</f>
        <v>#N/A</v>
      </c>
      <c r="I4" s="83" t="e">
        <f t="shared" si="6"/>
        <v>#N/A</v>
      </c>
      <c r="J4" s="83" t="e">
        <f t="shared" si="6"/>
        <v>#N/A</v>
      </c>
      <c r="K4" s="83" t="e">
        <f t="shared" si="6"/>
        <v>#N/A</v>
      </c>
      <c r="L4" s="83" t="e">
        <f t="shared" si="6"/>
        <v>#N/A</v>
      </c>
      <c r="M4" s="83" t="e">
        <f t="shared" si="6"/>
        <v>#N/A</v>
      </c>
      <c r="N4" s="83" t="e">
        <f t="shared" si="6"/>
        <v>#N/A</v>
      </c>
      <c r="O4" s="83" t="e">
        <f t="shared" si="6"/>
        <v>#N/A</v>
      </c>
      <c r="P4" s="83" t="e">
        <f t="shared" si="6"/>
        <v>#N/A</v>
      </c>
      <c r="Q4" s="83" t="e">
        <f t="shared" si="6"/>
        <v>#N/A</v>
      </c>
      <c r="R4" s="83" t="e">
        <f t="shared" si="6"/>
        <v>#N/A</v>
      </c>
      <c r="S4" s="83" t="e">
        <f t="shared" si="6"/>
        <v>#N/A</v>
      </c>
      <c r="T4" s="83" t="e">
        <f t="shared" si="6"/>
        <v>#N/A</v>
      </c>
      <c r="U4" s="83" t="e">
        <f t="shared" si="6"/>
        <v>#N/A</v>
      </c>
      <c r="V4" s="83" t="e">
        <f t="shared" si="6"/>
        <v>#N/A</v>
      </c>
      <c r="W4" s="83" t="e">
        <f t="shared" si="6"/>
        <v>#N/A</v>
      </c>
      <c r="X4" s="83" t="e">
        <f t="shared" si="6"/>
        <v>#N/A</v>
      </c>
      <c r="Y4" s="83" t="e">
        <f t="shared" si="6"/>
        <v>#N/A</v>
      </c>
      <c r="Z4" s="83" t="e">
        <f t="shared" si="6"/>
        <v>#N/A</v>
      </c>
      <c r="AA4" s="83" t="e">
        <f t="shared" si="6"/>
        <v>#N/A</v>
      </c>
      <c r="AB4" s="83" t="e">
        <f t="shared" si="6"/>
        <v>#N/A</v>
      </c>
      <c r="AC4" s="83" t="e">
        <f t="shared" si="6"/>
        <v>#N/A</v>
      </c>
      <c r="AD4" s="83" t="e">
        <f t="shared" si="6"/>
        <v>#N/A</v>
      </c>
      <c r="AE4" s="83" t="e">
        <f t="shared" si="6"/>
        <v>#N/A</v>
      </c>
      <c r="AF4" s="83" t="e">
        <f t="shared" si="6"/>
        <v>#N/A</v>
      </c>
      <c r="AG4" s="83" t="e">
        <f t="shared" si="6"/>
        <v>#N/A</v>
      </c>
      <c r="AH4" s="83" t="e">
        <f t="shared" si="6"/>
        <v>#N/A</v>
      </c>
      <c r="AI4" s="83" t="e">
        <f t="shared" si="6"/>
        <v>#N/A</v>
      </c>
      <c r="AJ4" s="83" t="e">
        <f t="shared" si="6"/>
        <v>#N/A</v>
      </c>
      <c r="AK4" s="83" t="e">
        <f t="shared" si="6"/>
        <v>#N/A</v>
      </c>
      <c r="AL4" s="83" t="e">
        <f t="shared" si="6"/>
        <v>#N/A</v>
      </c>
      <c r="AM4" s="128" t="e">
        <f t="shared" si="6"/>
        <v>#N/A</v>
      </c>
    </row>
    <row r="5" spans="1:39" x14ac:dyDescent="0.25">
      <c r="C5" s="231" t="s">
        <v>182</v>
      </c>
      <c r="D5" s="82" t="s">
        <v>186</v>
      </c>
      <c r="E5" s="184"/>
      <c r="F5" s="184"/>
      <c r="G5" s="184" t="e">
        <f t="shared" ref="G5:AM5" si="7">G4/1000</f>
        <v>#N/A</v>
      </c>
      <c r="H5" s="184" t="e">
        <f t="shared" si="7"/>
        <v>#N/A</v>
      </c>
      <c r="I5" s="184" t="e">
        <f t="shared" si="7"/>
        <v>#N/A</v>
      </c>
      <c r="J5" s="184" t="e">
        <f t="shared" si="7"/>
        <v>#N/A</v>
      </c>
      <c r="K5" s="184" t="e">
        <f t="shared" si="7"/>
        <v>#N/A</v>
      </c>
      <c r="L5" s="184" t="e">
        <f t="shared" si="7"/>
        <v>#N/A</v>
      </c>
      <c r="M5" s="184" t="e">
        <f t="shared" si="7"/>
        <v>#N/A</v>
      </c>
      <c r="N5" s="184" t="e">
        <f t="shared" si="7"/>
        <v>#N/A</v>
      </c>
      <c r="O5" s="184" t="e">
        <f t="shared" si="7"/>
        <v>#N/A</v>
      </c>
      <c r="P5" s="184" t="e">
        <f t="shared" si="7"/>
        <v>#N/A</v>
      </c>
      <c r="Q5" s="184" t="e">
        <f t="shared" si="7"/>
        <v>#N/A</v>
      </c>
      <c r="R5" s="184" t="e">
        <f t="shared" si="7"/>
        <v>#N/A</v>
      </c>
      <c r="S5" s="184" t="e">
        <f t="shared" si="7"/>
        <v>#N/A</v>
      </c>
      <c r="T5" s="184" t="e">
        <f t="shared" si="7"/>
        <v>#N/A</v>
      </c>
      <c r="U5" s="184" t="e">
        <f t="shared" si="7"/>
        <v>#N/A</v>
      </c>
      <c r="V5" s="184" t="e">
        <f t="shared" si="7"/>
        <v>#N/A</v>
      </c>
      <c r="W5" s="184" t="e">
        <f t="shared" si="7"/>
        <v>#N/A</v>
      </c>
      <c r="X5" s="184" t="e">
        <f t="shared" si="7"/>
        <v>#N/A</v>
      </c>
      <c r="Y5" s="184" t="e">
        <f t="shared" si="7"/>
        <v>#N/A</v>
      </c>
      <c r="Z5" s="184" t="e">
        <f t="shared" si="7"/>
        <v>#N/A</v>
      </c>
      <c r="AA5" s="184" t="e">
        <f t="shared" si="7"/>
        <v>#N/A</v>
      </c>
      <c r="AB5" s="184" t="e">
        <f t="shared" si="7"/>
        <v>#N/A</v>
      </c>
      <c r="AC5" s="184" t="e">
        <f t="shared" si="7"/>
        <v>#N/A</v>
      </c>
      <c r="AD5" s="184" t="e">
        <f t="shared" si="7"/>
        <v>#N/A</v>
      </c>
      <c r="AE5" s="184" t="e">
        <f t="shared" si="7"/>
        <v>#N/A</v>
      </c>
      <c r="AF5" s="184" t="e">
        <f t="shared" si="7"/>
        <v>#N/A</v>
      </c>
      <c r="AG5" s="184" t="e">
        <f t="shared" si="7"/>
        <v>#N/A</v>
      </c>
      <c r="AH5" s="184" t="e">
        <f t="shared" si="7"/>
        <v>#N/A</v>
      </c>
      <c r="AI5" s="184" t="e">
        <f t="shared" si="7"/>
        <v>#N/A</v>
      </c>
      <c r="AJ5" s="184" t="e">
        <f t="shared" si="7"/>
        <v>#N/A</v>
      </c>
      <c r="AK5" s="184" t="e">
        <f t="shared" si="7"/>
        <v>#N/A</v>
      </c>
      <c r="AL5" s="184" t="e">
        <f t="shared" si="7"/>
        <v>#N/A</v>
      </c>
      <c r="AM5" s="232" t="e">
        <f t="shared" si="7"/>
        <v>#N/A</v>
      </c>
    </row>
    <row r="6" spans="1:39" x14ac:dyDescent="0.25">
      <c r="C6" s="187" t="s">
        <v>183</v>
      </c>
      <c r="D6" s="3" t="s">
        <v>187</v>
      </c>
      <c r="E6" s="185"/>
      <c r="F6" s="185"/>
      <c r="G6" s="185" t="e">
        <f>G93</f>
        <v>#N/A</v>
      </c>
      <c r="H6" s="185" t="e">
        <f t="shared" ref="H6:AM6" si="8">H93</f>
        <v>#N/A</v>
      </c>
      <c r="I6" s="185" t="e">
        <f t="shared" si="8"/>
        <v>#N/A</v>
      </c>
      <c r="J6" s="185" t="e">
        <f t="shared" si="8"/>
        <v>#N/A</v>
      </c>
      <c r="K6" s="185" t="e">
        <f t="shared" si="8"/>
        <v>#N/A</v>
      </c>
      <c r="L6" s="185" t="e">
        <f t="shared" si="8"/>
        <v>#N/A</v>
      </c>
      <c r="M6" s="185" t="e">
        <f t="shared" si="8"/>
        <v>#N/A</v>
      </c>
      <c r="N6" s="185" t="e">
        <f t="shared" si="8"/>
        <v>#N/A</v>
      </c>
      <c r="O6" s="185" t="e">
        <f t="shared" si="8"/>
        <v>#N/A</v>
      </c>
      <c r="P6" s="185" t="e">
        <f t="shared" si="8"/>
        <v>#N/A</v>
      </c>
      <c r="Q6" s="185" t="e">
        <f t="shared" si="8"/>
        <v>#N/A</v>
      </c>
      <c r="R6" s="185" t="e">
        <f t="shared" si="8"/>
        <v>#N/A</v>
      </c>
      <c r="S6" s="185" t="e">
        <f t="shared" si="8"/>
        <v>#N/A</v>
      </c>
      <c r="T6" s="185" t="e">
        <f t="shared" si="8"/>
        <v>#N/A</v>
      </c>
      <c r="U6" s="185" t="e">
        <f t="shared" si="8"/>
        <v>#N/A</v>
      </c>
      <c r="V6" s="185" t="e">
        <f t="shared" si="8"/>
        <v>#N/A</v>
      </c>
      <c r="W6" s="185" t="e">
        <f t="shared" si="8"/>
        <v>#N/A</v>
      </c>
      <c r="X6" s="185" t="e">
        <f t="shared" si="8"/>
        <v>#N/A</v>
      </c>
      <c r="Y6" s="185" t="e">
        <f t="shared" si="8"/>
        <v>#N/A</v>
      </c>
      <c r="Z6" s="185" t="e">
        <f t="shared" si="8"/>
        <v>#N/A</v>
      </c>
      <c r="AA6" s="185" t="e">
        <f t="shared" si="8"/>
        <v>#N/A</v>
      </c>
      <c r="AB6" s="185" t="e">
        <f t="shared" si="8"/>
        <v>#N/A</v>
      </c>
      <c r="AC6" s="185" t="e">
        <f t="shared" si="8"/>
        <v>#N/A</v>
      </c>
      <c r="AD6" s="185" t="e">
        <f t="shared" si="8"/>
        <v>#N/A</v>
      </c>
      <c r="AE6" s="185" t="e">
        <f t="shared" si="8"/>
        <v>#N/A</v>
      </c>
      <c r="AF6" s="185" t="e">
        <f t="shared" si="8"/>
        <v>#N/A</v>
      </c>
      <c r="AG6" s="185" t="e">
        <f t="shared" si="8"/>
        <v>#N/A</v>
      </c>
      <c r="AH6" s="185" t="e">
        <f t="shared" si="8"/>
        <v>#N/A</v>
      </c>
      <c r="AI6" s="185" t="e">
        <f t="shared" si="8"/>
        <v>#N/A</v>
      </c>
      <c r="AJ6" s="185" t="e">
        <f t="shared" si="8"/>
        <v>#N/A</v>
      </c>
      <c r="AK6" s="185" t="e">
        <f t="shared" si="8"/>
        <v>#N/A</v>
      </c>
      <c r="AL6" s="185" t="e">
        <f t="shared" si="8"/>
        <v>#N/A</v>
      </c>
      <c r="AM6" s="233" t="e">
        <f t="shared" si="8"/>
        <v>#N/A</v>
      </c>
    </row>
    <row r="7" spans="1:39" x14ac:dyDescent="0.25">
      <c r="C7" s="234" t="s">
        <v>188</v>
      </c>
      <c r="D7" s="7" t="s">
        <v>211</v>
      </c>
      <c r="E7" s="235"/>
      <c r="F7" s="235"/>
      <c r="G7" s="235" t="e">
        <f>G101</f>
        <v>#N/A</v>
      </c>
      <c r="H7" s="235" t="e">
        <f t="shared" ref="H7:AM7" si="9">H101</f>
        <v>#N/A</v>
      </c>
      <c r="I7" s="235" t="e">
        <f t="shared" si="9"/>
        <v>#N/A</v>
      </c>
      <c r="J7" s="235" t="e">
        <f t="shared" si="9"/>
        <v>#N/A</v>
      </c>
      <c r="K7" s="235" t="e">
        <f t="shared" si="9"/>
        <v>#N/A</v>
      </c>
      <c r="L7" s="235" t="e">
        <f t="shared" si="9"/>
        <v>#N/A</v>
      </c>
      <c r="M7" s="235" t="e">
        <f t="shared" si="9"/>
        <v>#N/A</v>
      </c>
      <c r="N7" s="235" t="e">
        <f t="shared" si="9"/>
        <v>#N/A</v>
      </c>
      <c r="O7" s="235" t="e">
        <f t="shared" si="9"/>
        <v>#N/A</v>
      </c>
      <c r="P7" s="235" t="e">
        <f t="shared" si="9"/>
        <v>#N/A</v>
      </c>
      <c r="Q7" s="235" t="e">
        <f t="shared" si="9"/>
        <v>#N/A</v>
      </c>
      <c r="R7" s="235" t="e">
        <f t="shared" si="9"/>
        <v>#N/A</v>
      </c>
      <c r="S7" s="235" t="e">
        <f t="shared" si="9"/>
        <v>#N/A</v>
      </c>
      <c r="T7" s="235" t="e">
        <f t="shared" si="9"/>
        <v>#N/A</v>
      </c>
      <c r="U7" s="235" t="e">
        <f t="shared" si="9"/>
        <v>#N/A</v>
      </c>
      <c r="V7" s="235" t="e">
        <f t="shared" si="9"/>
        <v>#N/A</v>
      </c>
      <c r="W7" s="235" t="e">
        <f t="shared" si="9"/>
        <v>#N/A</v>
      </c>
      <c r="X7" s="235" t="e">
        <f t="shared" si="9"/>
        <v>#N/A</v>
      </c>
      <c r="Y7" s="235" t="e">
        <f t="shared" si="9"/>
        <v>#N/A</v>
      </c>
      <c r="Z7" s="235" t="e">
        <f t="shared" si="9"/>
        <v>#N/A</v>
      </c>
      <c r="AA7" s="235" t="e">
        <f t="shared" si="9"/>
        <v>#N/A</v>
      </c>
      <c r="AB7" s="235" t="e">
        <f t="shared" si="9"/>
        <v>#N/A</v>
      </c>
      <c r="AC7" s="235" t="e">
        <f t="shared" si="9"/>
        <v>#N/A</v>
      </c>
      <c r="AD7" s="235" t="e">
        <f t="shared" si="9"/>
        <v>#N/A</v>
      </c>
      <c r="AE7" s="235" t="e">
        <f t="shared" si="9"/>
        <v>#N/A</v>
      </c>
      <c r="AF7" s="235" t="e">
        <f t="shared" si="9"/>
        <v>#N/A</v>
      </c>
      <c r="AG7" s="235" t="e">
        <f t="shared" si="9"/>
        <v>#N/A</v>
      </c>
      <c r="AH7" s="235" t="e">
        <f t="shared" si="9"/>
        <v>#N/A</v>
      </c>
      <c r="AI7" s="235" t="e">
        <f t="shared" si="9"/>
        <v>#N/A</v>
      </c>
      <c r="AJ7" s="235" t="e">
        <f t="shared" si="9"/>
        <v>#N/A</v>
      </c>
      <c r="AK7" s="235" t="e">
        <f t="shared" si="9"/>
        <v>#N/A</v>
      </c>
      <c r="AL7" s="235" t="e">
        <f t="shared" si="9"/>
        <v>#N/A</v>
      </c>
      <c r="AM7" s="236" t="e">
        <f t="shared" si="9"/>
        <v>#N/A</v>
      </c>
    </row>
    <row r="8" spans="1:39" x14ac:dyDescent="0.25">
      <c r="C8" s="182" t="s">
        <v>180</v>
      </c>
      <c r="E8" s="183"/>
      <c r="F8" s="183"/>
      <c r="G8" s="183" t="e">
        <f>SUM(G6:G7)</f>
        <v>#N/A</v>
      </c>
      <c r="H8" s="183" t="e">
        <f t="shared" ref="H8:AM8" si="10">SUM(H6:H7)</f>
        <v>#N/A</v>
      </c>
      <c r="I8" s="183" t="e">
        <f t="shared" si="10"/>
        <v>#N/A</v>
      </c>
      <c r="J8" s="183" t="e">
        <f t="shared" si="10"/>
        <v>#N/A</v>
      </c>
      <c r="K8" s="183" t="e">
        <f t="shared" si="10"/>
        <v>#N/A</v>
      </c>
      <c r="L8" s="183" t="e">
        <f t="shared" si="10"/>
        <v>#N/A</v>
      </c>
      <c r="M8" s="183" t="e">
        <f t="shared" si="10"/>
        <v>#N/A</v>
      </c>
      <c r="N8" s="183" t="e">
        <f t="shared" si="10"/>
        <v>#N/A</v>
      </c>
      <c r="O8" s="183" t="e">
        <f t="shared" si="10"/>
        <v>#N/A</v>
      </c>
      <c r="P8" s="183" t="e">
        <f t="shared" si="10"/>
        <v>#N/A</v>
      </c>
      <c r="Q8" s="183" t="e">
        <f t="shared" si="10"/>
        <v>#N/A</v>
      </c>
      <c r="R8" s="183" t="e">
        <f t="shared" si="10"/>
        <v>#N/A</v>
      </c>
      <c r="S8" s="183" t="e">
        <f t="shared" si="10"/>
        <v>#N/A</v>
      </c>
      <c r="T8" s="183" t="e">
        <f t="shared" si="10"/>
        <v>#N/A</v>
      </c>
      <c r="U8" s="183" t="e">
        <f t="shared" si="10"/>
        <v>#N/A</v>
      </c>
      <c r="V8" s="183" t="e">
        <f t="shared" si="10"/>
        <v>#N/A</v>
      </c>
      <c r="W8" s="183" t="e">
        <f t="shared" si="10"/>
        <v>#N/A</v>
      </c>
      <c r="X8" s="183" t="e">
        <f t="shared" si="10"/>
        <v>#N/A</v>
      </c>
      <c r="Y8" s="183" t="e">
        <f t="shared" si="10"/>
        <v>#N/A</v>
      </c>
      <c r="Z8" s="183" t="e">
        <f t="shared" si="10"/>
        <v>#N/A</v>
      </c>
      <c r="AA8" s="183" t="e">
        <f t="shared" si="10"/>
        <v>#N/A</v>
      </c>
      <c r="AB8" s="183" t="e">
        <f t="shared" si="10"/>
        <v>#N/A</v>
      </c>
      <c r="AC8" s="183" t="e">
        <f t="shared" si="10"/>
        <v>#N/A</v>
      </c>
      <c r="AD8" s="183" t="e">
        <f t="shared" si="10"/>
        <v>#N/A</v>
      </c>
      <c r="AE8" s="183" t="e">
        <f t="shared" si="10"/>
        <v>#N/A</v>
      </c>
      <c r="AF8" s="183" t="e">
        <f t="shared" si="10"/>
        <v>#N/A</v>
      </c>
      <c r="AG8" s="183" t="e">
        <f t="shared" si="10"/>
        <v>#N/A</v>
      </c>
      <c r="AH8" s="183" t="e">
        <f t="shared" si="10"/>
        <v>#N/A</v>
      </c>
      <c r="AI8" s="183" t="e">
        <f t="shared" si="10"/>
        <v>#N/A</v>
      </c>
      <c r="AJ8" s="183" t="e">
        <f t="shared" si="10"/>
        <v>#N/A</v>
      </c>
      <c r="AK8" s="183" t="e">
        <f t="shared" si="10"/>
        <v>#N/A</v>
      </c>
      <c r="AL8" s="183" t="e">
        <f t="shared" si="10"/>
        <v>#N/A</v>
      </c>
      <c r="AM8" s="183" t="e">
        <f t="shared" si="10"/>
        <v>#N/A</v>
      </c>
    </row>
    <row r="12" spans="1:39" x14ac:dyDescent="0.25">
      <c r="C12" s="186"/>
      <c r="E12" s="26"/>
      <c r="F12" s="26"/>
      <c r="G12" s="26"/>
      <c r="H12" s="26"/>
      <c r="I12" s="26">
        <v>2020</v>
      </c>
      <c r="J12" s="118">
        <v>2030</v>
      </c>
      <c r="K12" s="118">
        <v>2050</v>
      </c>
    </row>
    <row r="13" spans="1:39" x14ac:dyDescent="0.25">
      <c r="C13" s="187" t="s">
        <v>183</v>
      </c>
      <c r="E13" s="167"/>
      <c r="F13" s="167"/>
      <c r="G13" s="167"/>
      <c r="H13" s="167"/>
      <c r="I13" s="167" t="e">
        <f>I93</f>
        <v>#N/A</v>
      </c>
      <c r="J13" s="168" t="e">
        <f>S93</f>
        <v>#N/A</v>
      </c>
      <c r="K13" s="168" t="e">
        <f>AM93</f>
        <v>#N/A</v>
      </c>
    </row>
    <row r="14" spans="1:39" x14ac:dyDescent="0.25">
      <c r="C14" s="188" t="s">
        <v>169</v>
      </c>
      <c r="E14" s="189"/>
      <c r="F14" s="189"/>
      <c r="G14" s="189"/>
      <c r="H14" s="189"/>
      <c r="I14" s="189" t="e">
        <f>I93</f>
        <v>#N/A</v>
      </c>
      <c r="J14" s="189" t="e">
        <f>S93</f>
        <v>#N/A</v>
      </c>
      <c r="K14" s="189" t="e">
        <f>AM93</f>
        <v>#N/A</v>
      </c>
    </row>
    <row r="15" spans="1:39" x14ac:dyDescent="0.25">
      <c r="C15" s="187" t="s">
        <v>184</v>
      </c>
      <c r="E15" s="167"/>
      <c r="F15" s="167"/>
      <c r="G15" s="167"/>
      <c r="H15" s="167"/>
      <c r="I15" s="167" t="e">
        <f>I101</f>
        <v>#N/A</v>
      </c>
      <c r="J15" s="167" t="e">
        <f>S101</f>
        <v>#N/A</v>
      </c>
      <c r="K15" s="168" t="e">
        <f>AM101</f>
        <v>#N/A</v>
      </c>
    </row>
    <row r="16" spans="1:39" x14ac:dyDescent="0.25">
      <c r="C16" s="188" t="s">
        <v>166</v>
      </c>
      <c r="E16" s="190"/>
      <c r="F16" s="190"/>
      <c r="G16" s="190"/>
      <c r="H16" s="190"/>
      <c r="I16" s="190" t="e">
        <f>I102+I103</f>
        <v>#N/A</v>
      </c>
      <c r="J16" s="190" t="e">
        <f>S102+S103</f>
        <v>#N/A</v>
      </c>
      <c r="K16" s="190" t="e">
        <f>AM102+AM103</f>
        <v>#N/A</v>
      </c>
    </row>
    <row r="17" spans="1:39" x14ac:dyDescent="0.25">
      <c r="C17" s="191" t="s">
        <v>167</v>
      </c>
      <c r="E17" s="189"/>
      <c r="F17" s="189"/>
      <c r="G17" s="189"/>
      <c r="H17" s="189"/>
      <c r="I17" s="189" t="e">
        <f>I104+I105+I106</f>
        <v>#N/A</v>
      </c>
      <c r="J17" s="189" t="e">
        <f>S104+S105+S106</f>
        <v>#N/A</v>
      </c>
      <c r="K17" s="189" t="e">
        <f>AM104+AM105+AM106</f>
        <v>#N/A</v>
      </c>
    </row>
    <row r="18" spans="1:39" x14ac:dyDescent="0.25">
      <c r="C18" s="191" t="s">
        <v>168</v>
      </c>
      <c r="E18" s="189"/>
      <c r="F18" s="189"/>
      <c r="G18" s="189"/>
      <c r="H18" s="189"/>
      <c r="I18" s="189" t="e">
        <f>I107+I108</f>
        <v>#N/A</v>
      </c>
      <c r="J18" s="189" t="e">
        <f>S107+S108</f>
        <v>#N/A</v>
      </c>
      <c r="K18" s="189" t="e">
        <f>AM107+AM108</f>
        <v>#N/A</v>
      </c>
    </row>
    <row r="19" spans="1:39" x14ac:dyDescent="0.25">
      <c r="C19" s="192" t="s">
        <v>180</v>
      </c>
      <c r="E19" s="193"/>
      <c r="F19" s="193"/>
      <c r="G19" s="193"/>
      <c r="H19" s="193"/>
      <c r="I19" s="193" t="e">
        <f>SUM(I16:I18)</f>
        <v>#N/A</v>
      </c>
      <c r="J19" s="193" t="e">
        <f>SUM(J16:J18)</f>
        <v>#N/A</v>
      </c>
      <c r="K19" s="193" t="e">
        <f>SUM(K16:K18)</f>
        <v>#N/A</v>
      </c>
    </row>
    <row r="23" spans="1:39" ht="23.25" x14ac:dyDescent="0.35">
      <c r="B23" s="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ht="23.25" x14ac:dyDescent="0.35">
      <c r="A24" s="15" t="s">
        <v>189</v>
      </c>
      <c r="C24" s="1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C25" s="12"/>
      <c r="D25" s="12"/>
      <c r="E25" s="117">
        <v>2006</v>
      </c>
      <c r="F25" s="117">
        <v>2015</v>
      </c>
      <c r="G25" s="117">
        <v>2018</v>
      </c>
      <c r="H25" s="117">
        <v>2019</v>
      </c>
      <c r="I25" s="117">
        <v>2020</v>
      </c>
      <c r="J25" s="26">
        <v>2021</v>
      </c>
      <c r="K25" s="4">
        <v>2022</v>
      </c>
      <c r="L25" s="4">
        <v>2023</v>
      </c>
      <c r="M25" s="4">
        <v>2024</v>
      </c>
      <c r="N25" s="117">
        <v>2025</v>
      </c>
      <c r="O25" s="26">
        <v>2026</v>
      </c>
      <c r="P25" s="4">
        <v>2027</v>
      </c>
      <c r="Q25" s="4">
        <v>2028</v>
      </c>
      <c r="R25" s="4">
        <v>2029</v>
      </c>
      <c r="S25" s="117">
        <v>2030</v>
      </c>
      <c r="T25" s="4">
        <v>2031</v>
      </c>
      <c r="U25" s="117">
        <v>2032</v>
      </c>
      <c r="V25" s="4">
        <v>2033</v>
      </c>
      <c r="W25" s="117">
        <v>2034</v>
      </c>
      <c r="X25" s="4">
        <v>2035</v>
      </c>
      <c r="Y25" s="117">
        <v>2036</v>
      </c>
      <c r="Z25" s="4">
        <v>2037</v>
      </c>
      <c r="AA25" s="117">
        <v>2038</v>
      </c>
      <c r="AB25" s="4">
        <v>2039</v>
      </c>
      <c r="AC25" s="118">
        <v>2040</v>
      </c>
      <c r="AD25" s="4"/>
      <c r="AE25" s="4"/>
      <c r="AF25" s="4"/>
      <c r="AG25" s="4"/>
      <c r="AH25" s="4">
        <v>2045</v>
      </c>
      <c r="AI25" s="4"/>
      <c r="AJ25" s="4"/>
      <c r="AK25" s="4"/>
      <c r="AL25" s="4"/>
      <c r="AM25" s="118">
        <v>2050</v>
      </c>
    </row>
    <row r="26" spans="1:39" x14ac:dyDescent="0.25">
      <c r="A26" s="181" t="str">
        <f>Résultats!B1</f>
        <v>TEND</v>
      </c>
      <c r="B26" s="23" t="s">
        <v>190</v>
      </c>
      <c r="C26" s="74" t="s">
        <v>161</v>
      </c>
      <c r="D26" s="74" t="s">
        <v>64</v>
      </c>
      <c r="E26" s="75" t="e">
        <f>VLOOKUP($D26,Résultats!$B$2:$AZ$251,E$2,FALSE)</f>
        <v>#N/A</v>
      </c>
      <c r="F26" s="75" t="e">
        <f>VLOOKUP($D26,Résultats!$B$2:$AZ$251,F$2,FALSE)</f>
        <v>#N/A</v>
      </c>
      <c r="G26" s="75" t="e">
        <f>VLOOKUP($D26,Résultats!$B$2:$AZ$251,G$2,FALSE)</f>
        <v>#N/A</v>
      </c>
      <c r="H26" s="75" t="e">
        <f>VLOOKUP($D26,Résultats!$B$2:$AZ$251,H$2,FALSE)</f>
        <v>#N/A</v>
      </c>
      <c r="I26" s="75" t="e">
        <f>VLOOKUP($D26,Résultats!$B$2:$AZ$251,I$2,FALSE)</f>
        <v>#N/A</v>
      </c>
      <c r="J26" s="75" t="e">
        <f>VLOOKUP($D26,Résultats!$B$2:$AZ$251,J$2,FALSE)</f>
        <v>#N/A</v>
      </c>
      <c r="K26" s="75" t="e">
        <f>VLOOKUP($D26,Résultats!$B$2:$AZ$251,K$2,FALSE)</f>
        <v>#N/A</v>
      </c>
      <c r="L26" s="75" t="e">
        <f>VLOOKUP($D26,Résultats!$B$2:$AZ$251,L$2,FALSE)</f>
        <v>#N/A</v>
      </c>
      <c r="M26" s="75" t="e">
        <f>VLOOKUP($D26,Résultats!$B$2:$AZ$251,M$2,FALSE)</f>
        <v>#N/A</v>
      </c>
      <c r="N26" s="75" t="e">
        <f>VLOOKUP($D26,Résultats!$B$2:$AZ$251,N$2,FALSE)</f>
        <v>#N/A</v>
      </c>
      <c r="O26" s="75" t="e">
        <f>VLOOKUP($D26,Résultats!$B$2:$AZ$251,O$2,FALSE)</f>
        <v>#N/A</v>
      </c>
      <c r="P26" s="75" t="e">
        <f>VLOOKUP($D26,Résultats!$B$2:$AZ$251,P$2,FALSE)</f>
        <v>#N/A</v>
      </c>
      <c r="Q26" s="75" t="e">
        <f>VLOOKUP($D26,Résultats!$B$2:$AZ$251,Q$2,FALSE)</f>
        <v>#N/A</v>
      </c>
      <c r="R26" s="75" t="e">
        <f>VLOOKUP($D26,Résultats!$B$2:$AZ$251,R$2,FALSE)</f>
        <v>#N/A</v>
      </c>
      <c r="S26" s="75" t="e">
        <f>VLOOKUP($D26,Résultats!$B$2:$AZ$251,S$2,FALSE)</f>
        <v>#N/A</v>
      </c>
      <c r="T26" s="75" t="e">
        <f>VLOOKUP($D26,Résultats!$B$2:$AZ$251,T$2,FALSE)</f>
        <v>#N/A</v>
      </c>
      <c r="U26" s="75" t="e">
        <f>VLOOKUP($D26,Résultats!$B$2:$AZ$251,U$2,FALSE)</f>
        <v>#N/A</v>
      </c>
      <c r="V26" s="75" t="e">
        <f>VLOOKUP($D26,Résultats!$B$2:$AZ$251,V$2,FALSE)</f>
        <v>#N/A</v>
      </c>
      <c r="W26" s="75" t="e">
        <f>VLOOKUP($D26,Résultats!$B$2:$AZ$251,W$2,FALSE)</f>
        <v>#N/A</v>
      </c>
      <c r="X26" s="75" t="e">
        <f>VLOOKUP($D26,Résultats!$B$2:$AZ$251,X$2,FALSE)</f>
        <v>#N/A</v>
      </c>
      <c r="Y26" s="75" t="e">
        <f>VLOOKUP($D26,Résultats!$B$2:$AZ$251,Y$2,FALSE)</f>
        <v>#N/A</v>
      </c>
      <c r="Z26" s="75" t="e">
        <f>VLOOKUP($D26,Résultats!$B$2:$AZ$251,Z$2,FALSE)</f>
        <v>#N/A</v>
      </c>
      <c r="AA26" s="75" t="e">
        <f>VLOOKUP($D26,Résultats!$B$2:$AZ$251,AA$2,FALSE)</f>
        <v>#N/A</v>
      </c>
      <c r="AB26" s="75" t="e">
        <f>VLOOKUP($D26,Résultats!$B$2:$AZ$251,AB$2,FALSE)</f>
        <v>#N/A</v>
      </c>
      <c r="AC26" s="75" t="e">
        <f>VLOOKUP($D26,Résultats!$B$2:$AZ$251,AC$2,FALSE)</f>
        <v>#N/A</v>
      </c>
      <c r="AD26" s="75" t="e">
        <f>VLOOKUP($D26,Résultats!$B$2:$AZ$251,AD$2,FALSE)</f>
        <v>#N/A</v>
      </c>
      <c r="AE26" s="75" t="e">
        <f>VLOOKUP($D26,Résultats!$B$2:$AZ$251,AE$2,FALSE)</f>
        <v>#N/A</v>
      </c>
      <c r="AF26" s="75" t="e">
        <f>VLOOKUP($D26,Résultats!$B$2:$AZ$251,AF$2,FALSE)</f>
        <v>#N/A</v>
      </c>
      <c r="AG26" s="75" t="e">
        <f>VLOOKUP($D26,Résultats!$B$2:$AZ$251,AG$2,FALSE)</f>
        <v>#N/A</v>
      </c>
      <c r="AH26" s="75" t="e">
        <f>VLOOKUP($D26,Résultats!$B$2:$AZ$251,AH$2,FALSE)</f>
        <v>#N/A</v>
      </c>
      <c r="AI26" s="75" t="e">
        <f>VLOOKUP($D26,Résultats!$B$2:$AZ$251,AI$2,FALSE)</f>
        <v>#N/A</v>
      </c>
      <c r="AJ26" s="75" t="e">
        <f>VLOOKUP($D26,Résultats!$B$2:$AZ$251,AJ$2,FALSE)</f>
        <v>#N/A</v>
      </c>
      <c r="AK26" s="75" t="e">
        <f>VLOOKUP($D26,Résultats!$B$2:$AZ$251,AK$2,FALSE)</f>
        <v>#N/A</v>
      </c>
      <c r="AL26" s="75" t="e">
        <f>VLOOKUP($D26,Résultats!$B$2:$AZ$251,AL$2,FALSE)</f>
        <v>#N/A</v>
      </c>
      <c r="AM26" s="75" t="e">
        <f>VLOOKUP($D26,Résultats!$B$2:$AZ$251,AM$2,FALSE)</f>
        <v>#N/A</v>
      </c>
    </row>
    <row r="27" spans="1:39" x14ac:dyDescent="0.25">
      <c r="C27" s="76" t="s">
        <v>118</v>
      </c>
      <c r="D27" s="76" t="s">
        <v>73</v>
      </c>
      <c r="E27" s="77" t="e">
        <f>VLOOKUP($D27,Résultats!$B$2:$AZ$251,E$2,FALSE)</f>
        <v>#N/A</v>
      </c>
      <c r="F27" s="77" t="e">
        <f>VLOOKUP($D27,Résultats!$B$2:$AZ$251,F$2,FALSE)</f>
        <v>#N/A</v>
      </c>
      <c r="G27" s="77" t="e">
        <f>VLOOKUP($D27,Résultats!$B$2:$AZ$251,G$2,FALSE)</f>
        <v>#N/A</v>
      </c>
      <c r="H27" s="77" t="e">
        <f>VLOOKUP($D27,Résultats!$B$2:$AZ$251,H$2,FALSE)</f>
        <v>#N/A</v>
      </c>
      <c r="I27" s="77" t="e">
        <f>VLOOKUP($D27,Résultats!$B$2:$AZ$251,I$2,FALSE)</f>
        <v>#N/A</v>
      </c>
      <c r="J27" s="77" t="e">
        <f>VLOOKUP($D27,Résultats!$B$2:$AZ$251,J$2,FALSE)</f>
        <v>#N/A</v>
      </c>
      <c r="K27" s="77" t="e">
        <f>VLOOKUP($D27,Résultats!$B$2:$AZ$251,K$2,FALSE)</f>
        <v>#N/A</v>
      </c>
      <c r="L27" s="77" t="e">
        <f>VLOOKUP($D27,Résultats!$B$2:$AZ$251,L$2,FALSE)</f>
        <v>#N/A</v>
      </c>
      <c r="M27" s="77" t="e">
        <f>VLOOKUP($D27,Résultats!$B$2:$AZ$251,M$2,FALSE)</f>
        <v>#N/A</v>
      </c>
      <c r="N27" s="77" t="e">
        <f>VLOOKUP($D27,Résultats!$B$2:$AZ$251,N$2,FALSE)</f>
        <v>#N/A</v>
      </c>
      <c r="O27" s="77" t="e">
        <f>VLOOKUP($D27,Résultats!$B$2:$AZ$251,O$2,FALSE)</f>
        <v>#N/A</v>
      </c>
      <c r="P27" s="77" t="e">
        <f>VLOOKUP($D27,Résultats!$B$2:$AZ$251,P$2,FALSE)</f>
        <v>#N/A</v>
      </c>
      <c r="Q27" s="77" t="e">
        <f>VLOOKUP($D27,Résultats!$B$2:$AZ$251,Q$2,FALSE)</f>
        <v>#N/A</v>
      </c>
      <c r="R27" s="77" t="e">
        <f>VLOOKUP($D27,Résultats!$B$2:$AZ$251,R$2,FALSE)</f>
        <v>#N/A</v>
      </c>
      <c r="S27" s="77" t="e">
        <f>VLOOKUP($D27,Résultats!$B$2:$AZ$251,S$2,FALSE)</f>
        <v>#N/A</v>
      </c>
      <c r="T27" s="77" t="e">
        <f>VLOOKUP($D27,Résultats!$B$2:$AZ$251,T$2,FALSE)</f>
        <v>#N/A</v>
      </c>
      <c r="U27" s="77" t="e">
        <f>VLOOKUP($D27,Résultats!$B$2:$AZ$251,U$2,FALSE)</f>
        <v>#N/A</v>
      </c>
      <c r="V27" s="77" t="e">
        <f>VLOOKUP($D27,Résultats!$B$2:$AZ$251,V$2,FALSE)</f>
        <v>#N/A</v>
      </c>
      <c r="W27" s="77" t="e">
        <f>VLOOKUP($D27,Résultats!$B$2:$AZ$251,W$2,FALSE)</f>
        <v>#N/A</v>
      </c>
      <c r="X27" s="77" t="e">
        <f>VLOOKUP($D27,Résultats!$B$2:$AZ$251,X$2,FALSE)</f>
        <v>#N/A</v>
      </c>
      <c r="Y27" s="77" t="e">
        <f>VLOOKUP($D27,Résultats!$B$2:$AZ$251,Y$2,FALSE)</f>
        <v>#N/A</v>
      </c>
      <c r="Z27" s="77" t="e">
        <f>VLOOKUP($D27,Résultats!$B$2:$AZ$251,Z$2,FALSE)</f>
        <v>#N/A</v>
      </c>
      <c r="AA27" s="77" t="e">
        <f>VLOOKUP($D27,Résultats!$B$2:$AZ$251,AA$2,FALSE)</f>
        <v>#N/A</v>
      </c>
      <c r="AB27" s="77" t="e">
        <f>VLOOKUP($D27,Résultats!$B$2:$AZ$251,AB$2,FALSE)</f>
        <v>#N/A</v>
      </c>
      <c r="AC27" s="77" t="e">
        <f>VLOOKUP($D27,Résultats!$B$2:$AZ$251,AC$2,FALSE)</f>
        <v>#N/A</v>
      </c>
      <c r="AD27" s="77" t="e">
        <f>VLOOKUP($D27,Résultats!$B$2:$AZ$251,AD$2,FALSE)</f>
        <v>#N/A</v>
      </c>
      <c r="AE27" s="77" t="e">
        <f>VLOOKUP($D27,Résultats!$B$2:$AZ$251,AE$2,FALSE)</f>
        <v>#N/A</v>
      </c>
      <c r="AF27" s="77" t="e">
        <f>VLOOKUP($D27,Résultats!$B$2:$AZ$251,AF$2,FALSE)</f>
        <v>#N/A</v>
      </c>
      <c r="AG27" s="77" t="e">
        <f>VLOOKUP($D27,Résultats!$B$2:$AZ$251,AG$2,FALSE)</f>
        <v>#N/A</v>
      </c>
      <c r="AH27" s="77" t="e">
        <f>VLOOKUP($D27,Résultats!$B$2:$AZ$251,AH$2,FALSE)</f>
        <v>#N/A</v>
      </c>
      <c r="AI27" s="77" t="e">
        <f>VLOOKUP($D27,Résultats!$B$2:$AZ$251,AI$2,FALSE)</f>
        <v>#N/A</v>
      </c>
      <c r="AJ27" s="77" t="e">
        <f>VLOOKUP($D27,Résultats!$B$2:$AZ$251,AJ$2,FALSE)</f>
        <v>#N/A</v>
      </c>
      <c r="AK27" s="77" t="e">
        <f>VLOOKUP($D27,Résultats!$B$2:$AZ$251,AK$2,FALSE)</f>
        <v>#N/A</v>
      </c>
      <c r="AL27" s="77" t="e">
        <f>VLOOKUP($D27,Résultats!$B$2:$AZ$251,AL$2,FALSE)</f>
        <v>#N/A</v>
      </c>
      <c r="AM27" s="77" t="e">
        <f>VLOOKUP($D27,Résultats!$B$2:$AZ$251,AM$2,FALSE)</f>
        <v>#N/A</v>
      </c>
    </row>
    <row r="28" spans="1:39" x14ac:dyDescent="0.25">
      <c r="C28" s="56" t="s">
        <v>27</v>
      </c>
      <c r="D28" s="78" t="s">
        <v>74</v>
      </c>
      <c r="E28" s="31" t="e">
        <f>VLOOKUP($D28,Résultats!$B$2:$AZ$251,E$2,FALSE)</f>
        <v>#N/A</v>
      </c>
      <c r="F28" s="31" t="e">
        <f>VLOOKUP($D28,Résultats!$B$2:$AZ$251,F$2,FALSE)</f>
        <v>#N/A</v>
      </c>
      <c r="G28" s="31" t="e">
        <f>VLOOKUP($D28,Résultats!$B$2:$AZ$251,G$2,FALSE)</f>
        <v>#N/A</v>
      </c>
      <c r="H28" s="31" t="e">
        <f>VLOOKUP($D28,Résultats!$B$2:$AZ$251,H$2,FALSE)</f>
        <v>#N/A</v>
      </c>
      <c r="I28" s="31" t="e">
        <f>VLOOKUP($D28,Résultats!$B$2:$AZ$251,I$2,FALSE)</f>
        <v>#N/A</v>
      </c>
      <c r="J28" s="31" t="e">
        <f>VLOOKUP($D28,Résultats!$B$2:$AZ$251,J$2,FALSE)</f>
        <v>#N/A</v>
      </c>
      <c r="K28" s="31" t="e">
        <f>VLOOKUP($D28,Résultats!$B$2:$AZ$251,K$2,FALSE)</f>
        <v>#N/A</v>
      </c>
      <c r="L28" s="31" t="e">
        <f>VLOOKUP($D28,Résultats!$B$2:$AZ$251,L$2,FALSE)</f>
        <v>#N/A</v>
      </c>
      <c r="M28" s="31" t="e">
        <f>VLOOKUP($D28,Résultats!$B$2:$AZ$251,M$2,FALSE)</f>
        <v>#N/A</v>
      </c>
      <c r="N28" s="31" t="e">
        <f>VLOOKUP($D28,Résultats!$B$2:$AZ$251,N$2,FALSE)</f>
        <v>#N/A</v>
      </c>
      <c r="O28" s="31" t="e">
        <f>VLOOKUP($D28,Résultats!$B$2:$AZ$251,O$2,FALSE)</f>
        <v>#N/A</v>
      </c>
      <c r="P28" s="31" t="e">
        <f>VLOOKUP($D28,Résultats!$B$2:$AZ$251,P$2,FALSE)</f>
        <v>#N/A</v>
      </c>
      <c r="Q28" s="31" t="e">
        <f>VLOOKUP($D28,Résultats!$B$2:$AZ$251,Q$2,FALSE)</f>
        <v>#N/A</v>
      </c>
      <c r="R28" s="31" t="e">
        <f>VLOOKUP($D28,Résultats!$B$2:$AZ$251,R$2,FALSE)</f>
        <v>#N/A</v>
      </c>
      <c r="S28" s="31" t="e">
        <f>VLOOKUP($D28,Résultats!$B$2:$AZ$251,S$2,FALSE)</f>
        <v>#N/A</v>
      </c>
      <c r="T28" s="31" t="e">
        <f>VLOOKUP($D28,Résultats!$B$2:$AZ$251,T$2,FALSE)</f>
        <v>#N/A</v>
      </c>
      <c r="U28" s="31" t="e">
        <f>VLOOKUP($D28,Résultats!$B$2:$AZ$251,U$2,FALSE)</f>
        <v>#N/A</v>
      </c>
      <c r="V28" s="31" t="e">
        <f>VLOOKUP($D28,Résultats!$B$2:$AZ$251,V$2,FALSE)</f>
        <v>#N/A</v>
      </c>
      <c r="W28" s="31" t="e">
        <f>VLOOKUP($D28,Résultats!$B$2:$AZ$251,W$2,FALSE)</f>
        <v>#N/A</v>
      </c>
      <c r="X28" s="31" t="e">
        <f>VLOOKUP($D28,Résultats!$B$2:$AZ$251,X$2,FALSE)</f>
        <v>#N/A</v>
      </c>
      <c r="Y28" s="31" t="e">
        <f>VLOOKUP($D28,Résultats!$B$2:$AZ$251,Y$2,FALSE)</f>
        <v>#N/A</v>
      </c>
      <c r="Z28" s="31" t="e">
        <f>VLOOKUP($D28,Résultats!$B$2:$AZ$251,Z$2,FALSE)</f>
        <v>#N/A</v>
      </c>
      <c r="AA28" s="31" t="e">
        <f>VLOOKUP($D28,Résultats!$B$2:$AZ$251,AA$2,FALSE)</f>
        <v>#N/A</v>
      </c>
      <c r="AB28" s="31" t="e">
        <f>VLOOKUP($D28,Résultats!$B$2:$AZ$251,AB$2,FALSE)</f>
        <v>#N/A</v>
      </c>
      <c r="AC28" s="31" t="e">
        <f>VLOOKUP($D28,Résultats!$B$2:$AZ$251,AC$2,FALSE)</f>
        <v>#N/A</v>
      </c>
      <c r="AD28" s="31" t="e">
        <f>VLOOKUP($D28,Résultats!$B$2:$AZ$251,AD$2,FALSE)</f>
        <v>#N/A</v>
      </c>
      <c r="AE28" s="31" t="e">
        <f>VLOOKUP($D28,Résultats!$B$2:$AZ$251,AE$2,FALSE)</f>
        <v>#N/A</v>
      </c>
      <c r="AF28" s="31" t="e">
        <f>VLOOKUP($D28,Résultats!$B$2:$AZ$251,AF$2,FALSE)</f>
        <v>#N/A</v>
      </c>
      <c r="AG28" s="31" t="e">
        <f>VLOOKUP($D28,Résultats!$B$2:$AZ$251,AG$2,FALSE)</f>
        <v>#N/A</v>
      </c>
      <c r="AH28" s="31" t="e">
        <f>VLOOKUP($D28,Résultats!$B$2:$AZ$251,AH$2,FALSE)</f>
        <v>#N/A</v>
      </c>
      <c r="AI28" s="31" t="e">
        <f>VLOOKUP($D28,Résultats!$B$2:$AZ$251,AI$2,FALSE)</f>
        <v>#N/A</v>
      </c>
      <c r="AJ28" s="31" t="e">
        <f>VLOOKUP($D28,Résultats!$B$2:$AZ$251,AJ$2,FALSE)</f>
        <v>#N/A</v>
      </c>
      <c r="AK28" s="31" t="e">
        <f>VLOOKUP($D28,Résultats!$B$2:$AZ$251,AK$2,FALSE)</f>
        <v>#N/A</v>
      </c>
      <c r="AL28" s="31" t="e">
        <f>VLOOKUP($D28,Résultats!$B$2:$AZ$251,AL$2,FALSE)</f>
        <v>#N/A</v>
      </c>
      <c r="AM28" s="31" t="e">
        <f>VLOOKUP($D28,Résultats!$B$2:$AZ$251,AM$2,FALSE)</f>
        <v>#N/A</v>
      </c>
    </row>
    <row r="29" spans="1:39" x14ac:dyDescent="0.25">
      <c r="C29" s="56" t="s">
        <v>28</v>
      </c>
      <c r="D29" s="78" t="s">
        <v>75</v>
      </c>
      <c r="E29" s="31" t="e">
        <f>VLOOKUP($D29,Résultats!$B$2:$AZ$251,E$2,FALSE)</f>
        <v>#N/A</v>
      </c>
      <c r="F29" s="31" t="e">
        <f>VLOOKUP($D29,Résultats!$B$2:$AZ$251,F$2,FALSE)</f>
        <v>#N/A</v>
      </c>
      <c r="G29" s="31" t="e">
        <f>VLOOKUP($D29,Résultats!$B$2:$AZ$251,G$2,FALSE)</f>
        <v>#N/A</v>
      </c>
      <c r="H29" s="31" t="e">
        <f>VLOOKUP($D29,Résultats!$B$2:$AZ$251,H$2,FALSE)</f>
        <v>#N/A</v>
      </c>
      <c r="I29" s="31" t="e">
        <f>VLOOKUP($D29,Résultats!$B$2:$AZ$251,I$2,FALSE)</f>
        <v>#N/A</v>
      </c>
      <c r="J29" s="31" t="e">
        <f>VLOOKUP($D29,Résultats!$B$2:$AZ$251,J$2,FALSE)</f>
        <v>#N/A</v>
      </c>
      <c r="K29" s="31" t="e">
        <f>VLOOKUP($D29,Résultats!$B$2:$AZ$251,K$2,FALSE)</f>
        <v>#N/A</v>
      </c>
      <c r="L29" s="31" t="e">
        <f>VLOOKUP($D29,Résultats!$B$2:$AZ$251,L$2,FALSE)</f>
        <v>#N/A</v>
      </c>
      <c r="M29" s="31" t="e">
        <f>VLOOKUP($D29,Résultats!$B$2:$AZ$251,M$2,FALSE)</f>
        <v>#N/A</v>
      </c>
      <c r="N29" s="31" t="e">
        <f>VLOOKUP($D29,Résultats!$B$2:$AZ$251,N$2,FALSE)</f>
        <v>#N/A</v>
      </c>
      <c r="O29" s="31" t="e">
        <f>VLOOKUP($D29,Résultats!$B$2:$AZ$251,O$2,FALSE)</f>
        <v>#N/A</v>
      </c>
      <c r="P29" s="31" t="e">
        <f>VLOOKUP($D29,Résultats!$B$2:$AZ$251,P$2,FALSE)</f>
        <v>#N/A</v>
      </c>
      <c r="Q29" s="31" t="e">
        <f>VLOOKUP($D29,Résultats!$B$2:$AZ$251,Q$2,FALSE)</f>
        <v>#N/A</v>
      </c>
      <c r="R29" s="31" t="e">
        <f>VLOOKUP($D29,Résultats!$B$2:$AZ$251,R$2,FALSE)</f>
        <v>#N/A</v>
      </c>
      <c r="S29" s="31" t="e">
        <f>VLOOKUP($D29,Résultats!$B$2:$AZ$251,S$2,FALSE)</f>
        <v>#N/A</v>
      </c>
      <c r="T29" s="31" t="e">
        <f>VLOOKUP($D29,Résultats!$B$2:$AZ$251,T$2,FALSE)</f>
        <v>#N/A</v>
      </c>
      <c r="U29" s="31" t="e">
        <f>VLOOKUP($D29,Résultats!$B$2:$AZ$251,U$2,FALSE)</f>
        <v>#N/A</v>
      </c>
      <c r="V29" s="31" t="e">
        <f>VLOOKUP($D29,Résultats!$B$2:$AZ$251,V$2,FALSE)</f>
        <v>#N/A</v>
      </c>
      <c r="W29" s="31" t="e">
        <f>VLOOKUP($D29,Résultats!$B$2:$AZ$251,W$2,FALSE)</f>
        <v>#N/A</v>
      </c>
      <c r="X29" s="31" t="e">
        <f>VLOOKUP($D29,Résultats!$B$2:$AZ$251,X$2,FALSE)</f>
        <v>#N/A</v>
      </c>
      <c r="Y29" s="31" t="e">
        <f>VLOOKUP($D29,Résultats!$B$2:$AZ$251,Y$2,FALSE)</f>
        <v>#N/A</v>
      </c>
      <c r="Z29" s="31" t="e">
        <f>VLOOKUP($D29,Résultats!$B$2:$AZ$251,Z$2,FALSE)</f>
        <v>#N/A</v>
      </c>
      <c r="AA29" s="31" t="e">
        <f>VLOOKUP($D29,Résultats!$B$2:$AZ$251,AA$2,FALSE)</f>
        <v>#N/A</v>
      </c>
      <c r="AB29" s="31" t="e">
        <f>VLOOKUP($D29,Résultats!$B$2:$AZ$251,AB$2,FALSE)</f>
        <v>#N/A</v>
      </c>
      <c r="AC29" s="31" t="e">
        <f>VLOOKUP($D29,Résultats!$B$2:$AZ$251,AC$2,FALSE)</f>
        <v>#N/A</v>
      </c>
      <c r="AD29" s="31" t="e">
        <f>VLOOKUP($D29,Résultats!$B$2:$AZ$251,AD$2,FALSE)</f>
        <v>#N/A</v>
      </c>
      <c r="AE29" s="31" t="e">
        <f>VLOOKUP($D29,Résultats!$B$2:$AZ$251,AE$2,FALSE)</f>
        <v>#N/A</v>
      </c>
      <c r="AF29" s="31" t="e">
        <f>VLOOKUP($D29,Résultats!$B$2:$AZ$251,AF$2,FALSE)</f>
        <v>#N/A</v>
      </c>
      <c r="AG29" s="31" t="e">
        <f>VLOOKUP($D29,Résultats!$B$2:$AZ$251,AG$2,FALSE)</f>
        <v>#N/A</v>
      </c>
      <c r="AH29" s="31" t="e">
        <f>VLOOKUP($D29,Résultats!$B$2:$AZ$251,AH$2,FALSE)</f>
        <v>#N/A</v>
      </c>
      <c r="AI29" s="31" t="e">
        <f>VLOOKUP($D29,Résultats!$B$2:$AZ$251,AI$2,FALSE)</f>
        <v>#N/A</v>
      </c>
      <c r="AJ29" s="31" t="e">
        <f>VLOOKUP($D29,Résultats!$B$2:$AZ$251,AJ$2,FALSE)</f>
        <v>#N/A</v>
      </c>
      <c r="AK29" s="31" t="e">
        <f>VLOOKUP($D29,Résultats!$B$2:$AZ$251,AK$2,FALSE)</f>
        <v>#N/A</v>
      </c>
      <c r="AL29" s="31" t="e">
        <f>VLOOKUP($D29,Résultats!$B$2:$AZ$251,AL$2,FALSE)</f>
        <v>#N/A</v>
      </c>
      <c r="AM29" s="31" t="e">
        <f>VLOOKUP($D29,Résultats!$B$2:$AZ$251,AM$2,FALSE)</f>
        <v>#N/A</v>
      </c>
    </row>
    <row r="30" spans="1:39" x14ac:dyDescent="0.25">
      <c r="C30" s="56" t="s">
        <v>29</v>
      </c>
      <c r="D30" s="78" t="s">
        <v>76</v>
      </c>
      <c r="E30" s="31" t="e">
        <f>VLOOKUP($D30,Résultats!$B$2:$AZ$251,E$2,FALSE)</f>
        <v>#N/A</v>
      </c>
      <c r="F30" s="31" t="e">
        <f>VLOOKUP($D30,Résultats!$B$2:$AZ$251,F$2,FALSE)</f>
        <v>#N/A</v>
      </c>
      <c r="G30" s="31" t="e">
        <f>VLOOKUP($D30,Résultats!$B$2:$AZ$251,G$2,FALSE)</f>
        <v>#N/A</v>
      </c>
      <c r="H30" s="31" t="e">
        <f>VLOOKUP($D30,Résultats!$B$2:$AZ$251,H$2,FALSE)</f>
        <v>#N/A</v>
      </c>
      <c r="I30" s="31" t="e">
        <f>VLOOKUP($D30,Résultats!$B$2:$AZ$251,I$2,FALSE)</f>
        <v>#N/A</v>
      </c>
      <c r="J30" s="31" t="e">
        <f>VLOOKUP($D30,Résultats!$B$2:$AZ$251,J$2,FALSE)</f>
        <v>#N/A</v>
      </c>
      <c r="K30" s="31" t="e">
        <f>VLOOKUP($D30,Résultats!$B$2:$AZ$251,K$2,FALSE)</f>
        <v>#N/A</v>
      </c>
      <c r="L30" s="31" t="e">
        <f>VLOOKUP($D30,Résultats!$B$2:$AZ$251,L$2,FALSE)</f>
        <v>#N/A</v>
      </c>
      <c r="M30" s="31" t="e">
        <f>VLOOKUP($D30,Résultats!$B$2:$AZ$251,M$2,FALSE)</f>
        <v>#N/A</v>
      </c>
      <c r="N30" s="31" t="e">
        <f>VLOOKUP($D30,Résultats!$B$2:$AZ$251,N$2,FALSE)</f>
        <v>#N/A</v>
      </c>
      <c r="O30" s="31" t="e">
        <f>VLOOKUP($D30,Résultats!$B$2:$AZ$251,O$2,FALSE)</f>
        <v>#N/A</v>
      </c>
      <c r="P30" s="31" t="e">
        <f>VLOOKUP($D30,Résultats!$B$2:$AZ$251,P$2,FALSE)</f>
        <v>#N/A</v>
      </c>
      <c r="Q30" s="31" t="e">
        <f>VLOOKUP($D30,Résultats!$B$2:$AZ$251,Q$2,FALSE)</f>
        <v>#N/A</v>
      </c>
      <c r="R30" s="31" t="e">
        <f>VLOOKUP($D30,Résultats!$B$2:$AZ$251,R$2,FALSE)</f>
        <v>#N/A</v>
      </c>
      <c r="S30" s="31" t="e">
        <f>VLOOKUP($D30,Résultats!$B$2:$AZ$251,S$2,FALSE)</f>
        <v>#N/A</v>
      </c>
      <c r="T30" s="31" t="e">
        <f>VLOOKUP($D30,Résultats!$B$2:$AZ$251,T$2,FALSE)</f>
        <v>#N/A</v>
      </c>
      <c r="U30" s="31" t="e">
        <f>VLOOKUP($D30,Résultats!$B$2:$AZ$251,U$2,FALSE)</f>
        <v>#N/A</v>
      </c>
      <c r="V30" s="31" t="e">
        <f>VLOOKUP($D30,Résultats!$B$2:$AZ$251,V$2,FALSE)</f>
        <v>#N/A</v>
      </c>
      <c r="W30" s="31" t="e">
        <f>VLOOKUP($D30,Résultats!$B$2:$AZ$251,W$2,FALSE)</f>
        <v>#N/A</v>
      </c>
      <c r="X30" s="31" t="e">
        <f>VLOOKUP($D30,Résultats!$B$2:$AZ$251,X$2,FALSE)</f>
        <v>#N/A</v>
      </c>
      <c r="Y30" s="31" t="e">
        <f>VLOOKUP($D30,Résultats!$B$2:$AZ$251,Y$2,FALSE)</f>
        <v>#N/A</v>
      </c>
      <c r="Z30" s="31" t="e">
        <f>VLOOKUP($D30,Résultats!$B$2:$AZ$251,Z$2,FALSE)</f>
        <v>#N/A</v>
      </c>
      <c r="AA30" s="31" t="e">
        <f>VLOOKUP($D30,Résultats!$B$2:$AZ$251,AA$2,FALSE)</f>
        <v>#N/A</v>
      </c>
      <c r="AB30" s="31" t="e">
        <f>VLOOKUP($D30,Résultats!$B$2:$AZ$251,AB$2,FALSE)</f>
        <v>#N/A</v>
      </c>
      <c r="AC30" s="31" t="e">
        <f>VLOOKUP($D30,Résultats!$B$2:$AZ$251,AC$2,FALSE)</f>
        <v>#N/A</v>
      </c>
      <c r="AD30" s="31" t="e">
        <f>VLOOKUP($D30,Résultats!$B$2:$AZ$251,AD$2,FALSE)</f>
        <v>#N/A</v>
      </c>
      <c r="AE30" s="31" t="e">
        <f>VLOOKUP($D30,Résultats!$B$2:$AZ$251,AE$2,FALSE)</f>
        <v>#N/A</v>
      </c>
      <c r="AF30" s="31" t="e">
        <f>VLOOKUP($D30,Résultats!$B$2:$AZ$251,AF$2,FALSE)</f>
        <v>#N/A</v>
      </c>
      <c r="AG30" s="31" t="e">
        <f>VLOOKUP($D30,Résultats!$B$2:$AZ$251,AG$2,FALSE)</f>
        <v>#N/A</v>
      </c>
      <c r="AH30" s="31" t="e">
        <f>VLOOKUP($D30,Résultats!$B$2:$AZ$251,AH$2,FALSE)</f>
        <v>#N/A</v>
      </c>
      <c r="AI30" s="31" t="e">
        <f>VLOOKUP($D30,Résultats!$B$2:$AZ$251,AI$2,FALSE)</f>
        <v>#N/A</v>
      </c>
      <c r="AJ30" s="31" t="e">
        <f>VLOOKUP($D30,Résultats!$B$2:$AZ$251,AJ$2,FALSE)</f>
        <v>#N/A</v>
      </c>
      <c r="AK30" s="31" t="e">
        <f>VLOOKUP($D30,Résultats!$B$2:$AZ$251,AK$2,FALSE)</f>
        <v>#N/A</v>
      </c>
      <c r="AL30" s="31" t="e">
        <f>VLOOKUP($D30,Résultats!$B$2:$AZ$251,AL$2,FALSE)</f>
        <v>#N/A</v>
      </c>
      <c r="AM30" s="31" t="e">
        <f>VLOOKUP($D30,Résultats!$B$2:$AZ$251,AM$2,FALSE)</f>
        <v>#N/A</v>
      </c>
    </row>
    <row r="31" spans="1:39" x14ac:dyDescent="0.25">
      <c r="C31" s="56" t="s">
        <v>30</v>
      </c>
      <c r="D31" s="78" t="s">
        <v>77</v>
      </c>
      <c r="E31" s="31" t="e">
        <f>VLOOKUP($D31,Résultats!$B$2:$AZ$251,E$2,FALSE)</f>
        <v>#N/A</v>
      </c>
      <c r="F31" s="31" t="e">
        <f>VLOOKUP($D31,Résultats!$B$2:$AZ$251,F$2,FALSE)</f>
        <v>#N/A</v>
      </c>
      <c r="G31" s="31" t="e">
        <f>VLOOKUP($D31,Résultats!$B$2:$AZ$251,G$2,FALSE)</f>
        <v>#N/A</v>
      </c>
      <c r="H31" s="31" t="e">
        <f>VLOOKUP($D31,Résultats!$B$2:$AZ$251,H$2,FALSE)</f>
        <v>#N/A</v>
      </c>
      <c r="I31" s="31" t="e">
        <f>VLOOKUP($D31,Résultats!$B$2:$AZ$251,I$2,FALSE)</f>
        <v>#N/A</v>
      </c>
      <c r="J31" s="31" t="e">
        <f>VLOOKUP($D31,Résultats!$B$2:$AZ$251,J$2,FALSE)</f>
        <v>#N/A</v>
      </c>
      <c r="K31" s="31" t="e">
        <f>VLOOKUP($D31,Résultats!$B$2:$AZ$251,K$2,FALSE)</f>
        <v>#N/A</v>
      </c>
      <c r="L31" s="31" t="e">
        <f>VLOOKUP($D31,Résultats!$B$2:$AZ$251,L$2,FALSE)</f>
        <v>#N/A</v>
      </c>
      <c r="M31" s="31" t="e">
        <f>VLOOKUP($D31,Résultats!$B$2:$AZ$251,M$2,FALSE)</f>
        <v>#N/A</v>
      </c>
      <c r="N31" s="31" t="e">
        <f>VLOOKUP($D31,Résultats!$B$2:$AZ$251,N$2,FALSE)</f>
        <v>#N/A</v>
      </c>
      <c r="O31" s="31" t="e">
        <f>VLOOKUP($D31,Résultats!$B$2:$AZ$251,O$2,FALSE)</f>
        <v>#N/A</v>
      </c>
      <c r="P31" s="31" t="e">
        <f>VLOOKUP($D31,Résultats!$B$2:$AZ$251,P$2,FALSE)</f>
        <v>#N/A</v>
      </c>
      <c r="Q31" s="31" t="e">
        <f>VLOOKUP($D31,Résultats!$B$2:$AZ$251,Q$2,FALSE)</f>
        <v>#N/A</v>
      </c>
      <c r="R31" s="31" t="e">
        <f>VLOOKUP($D31,Résultats!$B$2:$AZ$251,R$2,FALSE)</f>
        <v>#N/A</v>
      </c>
      <c r="S31" s="31" t="e">
        <f>VLOOKUP($D31,Résultats!$B$2:$AZ$251,S$2,FALSE)</f>
        <v>#N/A</v>
      </c>
      <c r="T31" s="31" t="e">
        <f>VLOOKUP($D31,Résultats!$B$2:$AZ$251,T$2,FALSE)</f>
        <v>#N/A</v>
      </c>
      <c r="U31" s="31" t="e">
        <f>VLOOKUP($D31,Résultats!$B$2:$AZ$251,U$2,FALSE)</f>
        <v>#N/A</v>
      </c>
      <c r="V31" s="31" t="e">
        <f>VLOOKUP($D31,Résultats!$B$2:$AZ$251,V$2,FALSE)</f>
        <v>#N/A</v>
      </c>
      <c r="W31" s="31" t="e">
        <f>VLOOKUP($D31,Résultats!$B$2:$AZ$251,W$2,FALSE)</f>
        <v>#N/A</v>
      </c>
      <c r="X31" s="31" t="e">
        <f>VLOOKUP($D31,Résultats!$B$2:$AZ$251,X$2,FALSE)</f>
        <v>#N/A</v>
      </c>
      <c r="Y31" s="31" t="e">
        <f>VLOOKUP($D31,Résultats!$B$2:$AZ$251,Y$2,FALSE)</f>
        <v>#N/A</v>
      </c>
      <c r="Z31" s="31" t="e">
        <f>VLOOKUP($D31,Résultats!$B$2:$AZ$251,Z$2,FALSE)</f>
        <v>#N/A</v>
      </c>
      <c r="AA31" s="31" t="e">
        <f>VLOOKUP($D31,Résultats!$B$2:$AZ$251,AA$2,FALSE)</f>
        <v>#N/A</v>
      </c>
      <c r="AB31" s="31" t="e">
        <f>VLOOKUP($D31,Résultats!$B$2:$AZ$251,AB$2,FALSE)</f>
        <v>#N/A</v>
      </c>
      <c r="AC31" s="31" t="e">
        <f>VLOOKUP($D31,Résultats!$B$2:$AZ$251,AC$2,FALSE)</f>
        <v>#N/A</v>
      </c>
      <c r="AD31" s="31" t="e">
        <f>VLOOKUP($D31,Résultats!$B$2:$AZ$251,AD$2,FALSE)</f>
        <v>#N/A</v>
      </c>
      <c r="AE31" s="31" t="e">
        <f>VLOOKUP($D31,Résultats!$B$2:$AZ$251,AE$2,FALSE)</f>
        <v>#N/A</v>
      </c>
      <c r="AF31" s="31" t="e">
        <f>VLOOKUP($D31,Résultats!$B$2:$AZ$251,AF$2,FALSE)</f>
        <v>#N/A</v>
      </c>
      <c r="AG31" s="31" t="e">
        <f>VLOOKUP($D31,Résultats!$B$2:$AZ$251,AG$2,FALSE)</f>
        <v>#N/A</v>
      </c>
      <c r="AH31" s="31" t="e">
        <f>VLOOKUP($D31,Résultats!$B$2:$AZ$251,AH$2,FALSE)</f>
        <v>#N/A</v>
      </c>
      <c r="AI31" s="31" t="e">
        <f>VLOOKUP($D31,Résultats!$B$2:$AZ$251,AI$2,FALSE)</f>
        <v>#N/A</v>
      </c>
      <c r="AJ31" s="31" t="e">
        <f>VLOOKUP($D31,Résultats!$B$2:$AZ$251,AJ$2,FALSE)</f>
        <v>#N/A</v>
      </c>
      <c r="AK31" s="31" t="e">
        <f>VLOOKUP($D31,Résultats!$B$2:$AZ$251,AK$2,FALSE)</f>
        <v>#N/A</v>
      </c>
      <c r="AL31" s="31" t="e">
        <f>VLOOKUP($D31,Résultats!$B$2:$AZ$251,AL$2,FALSE)</f>
        <v>#N/A</v>
      </c>
      <c r="AM31" s="31" t="e">
        <f>VLOOKUP($D31,Résultats!$B$2:$AZ$251,AM$2,FALSE)</f>
        <v>#N/A</v>
      </c>
    </row>
    <row r="32" spans="1:39" x14ac:dyDescent="0.25">
      <c r="C32" s="56" t="s">
        <v>31</v>
      </c>
      <c r="D32" s="78" t="s">
        <v>78</v>
      </c>
      <c r="E32" s="31" t="e">
        <f>VLOOKUP($D32,Résultats!$B$2:$AZ$251,E$2,FALSE)</f>
        <v>#N/A</v>
      </c>
      <c r="F32" s="31" t="e">
        <f>VLOOKUP($D32,Résultats!$B$2:$AZ$251,F$2,FALSE)</f>
        <v>#N/A</v>
      </c>
      <c r="G32" s="31" t="e">
        <f>VLOOKUP($D32,Résultats!$B$2:$AZ$251,G$2,FALSE)</f>
        <v>#N/A</v>
      </c>
      <c r="H32" s="31" t="e">
        <f>VLOOKUP($D32,Résultats!$B$2:$AZ$251,H$2,FALSE)</f>
        <v>#N/A</v>
      </c>
      <c r="I32" s="31" t="e">
        <f>VLOOKUP($D32,Résultats!$B$2:$AZ$251,I$2,FALSE)</f>
        <v>#N/A</v>
      </c>
      <c r="J32" s="31" t="e">
        <f>VLOOKUP($D32,Résultats!$B$2:$AZ$251,J$2,FALSE)</f>
        <v>#N/A</v>
      </c>
      <c r="K32" s="31" t="e">
        <f>VLOOKUP($D32,Résultats!$B$2:$AZ$251,K$2,FALSE)</f>
        <v>#N/A</v>
      </c>
      <c r="L32" s="31" t="e">
        <f>VLOOKUP($D32,Résultats!$B$2:$AZ$251,L$2,FALSE)</f>
        <v>#N/A</v>
      </c>
      <c r="M32" s="31" t="e">
        <f>VLOOKUP($D32,Résultats!$B$2:$AZ$251,M$2,FALSE)</f>
        <v>#N/A</v>
      </c>
      <c r="N32" s="31" t="e">
        <f>VLOOKUP($D32,Résultats!$B$2:$AZ$251,N$2,FALSE)</f>
        <v>#N/A</v>
      </c>
      <c r="O32" s="31" t="e">
        <f>VLOOKUP($D32,Résultats!$B$2:$AZ$251,O$2,FALSE)</f>
        <v>#N/A</v>
      </c>
      <c r="P32" s="31" t="e">
        <f>VLOOKUP($D32,Résultats!$B$2:$AZ$251,P$2,FALSE)</f>
        <v>#N/A</v>
      </c>
      <c r="Q32" s="31" t="e">
        <f>VLOOKUP($D32,Résultats!$B$2:$AZ$251,Q$2,FALSE)</f>
        <v>#N/A</v>
      </c>
      <c r="R32" s="31" t="e">
        <f>VLOOKUP($D32,Résultats!$B$2:$AZ$251,R$2,FALSE)</f>
        <v>#N/A</v>
      </c>
      <c r="S32" s="31" t="e">
        <f>VLOOKUP($D32,Résultats!$B$2:$AZ$251,S$2,FALSE)</f>
        <v>#N/A</v>
      </c>
      <c r="T32" s="31" t="e">
        <f>VLOOKUP($D32,Résultats!$B$2:$AZ$251,T$2,FALSE)</f>
        <v>#N/A</v>
      </c>
      <c r="U32" s="31" t="e">
        <f>VLOOKUP($D32,Résultats!$B$2:$AZ$251,U$2,FALSE)</f>
        <v>#N/A</v>
      </c>
      <c r="V32" s="31" t="e">
        <f>VLOOKUP($D32,Résultats!$B$2:$AZ$251,V$2,FALSE)</f>
        <v>#N/A</v>
      </c>
      <c r="W32" s="31" t="e">
        <f>VLOOKUP($D32,Résultats!$B$2:$AZ$251,W$2,FALSE)</f>
        <v>#N/A</v>
      </c>
      <c r="X32" s="31" t="e">
        <f>VLOOKUP($D32,Résultats!$B$2:$AZ$251,X$2,FALSE)</f>
        <v>#N/A</v>
      </c>
      <c r="Y32" s="31" t="e">
        <f>VLOOKUP($D32,Résultats!$B$2:$AZ$251,Y$2,FALSE)</f>
        <v>#N/A</v>
      </c>
      <c r="Z32" s="31" t="e">
        <f>VLOOKUP($D32,Résultats!$B$2:$AZ$251,Z$2,FALSE)</f>
        <v>#N/A</v>
      </c>
      <c r="AA32" s="31" t="e">
        <f>VLOOKUP($D32,Résultats!$B$2:$AZ$251,AA$2,FALSE)</f>
        <v>#N/A</v>
      </c>
      <c r="AB32" s="31" t="e">
        <f>VLOOKUP($D32,Résultats!$B$2:$AZ$251,AB$2,FALSE)</f>
        <v>#N/A</v>
      </c>
      <c r="AC32" s="31" t="e">
        <f>VLOOKUP($D32,Résultats!$B$2:$AZ$251,AC$2,FALSE)</f>
        <v>#N/A</v>
      </c>
      <c r="AD32" s="31" t="e">
        <f>VLOOKUP($D32,Résultats!$B$2:$AZ$251,AD$2,FALSE)</f>
        <v>#N/A</v>
      </c>
      <c r="AE32" s="31" t="e">
        <f>VLOOKUP($D32,Résultats!$B$2:$AZ$251,AE$2,FALSE)</f>
        <v>#N/A</v>
      </c>
      <c r="AF32" s="31" t="e">
        <f>VLOOKUP($D32,Résultats!$B$2:$AZ$251,AF$2,FALSE)</f>
        <v>#N/A</v>
      </c>
      <c r="AG32" s="31" t="e">
        <f>VLOOKUP($D32,Résultats!$B$2:$AZ$251,AG$2,FALSE)</f>
        <v>#N/A</v>
      </c>
      <c r="AH32" s="31" t="e">
        <f>VLOOKUP($D32,Résultats!$B$2:$AZ$251,AH$2,FALSE)</f>
        <v>#N/A</v>
      </c>
      <c r="AI32" s="31" t="e">
        <f>VLOOKUP($D32,Résultats!$B$2:$AZ$251,AI$2,FALSE)</f>
        <v>#N/A</v>
      </c>
      <c r="AJ32" s="31" t="e">
        <f>VLOOKUP($D32,Résultats!$B$2:$AZ$251,AJ$2,FALSE)</f>
        <v>#N/A</v>
      </c>
      <c r="AK32" s="31" t="e">
        <f>VLOOKUP($D32,Résultats!$B$2:$AZ$251,AK$2,FALSE)</f>
        <v>#N/A</v>
      </c>
      <c r="AL32" s="31" t="e">
        <f>VLOOKUP($D32,Résultats!$B$2:$AZ$251,AL$2,FALSE)</f>
        <v>#N/A</v>
      </c>
      <c r="AM32" s="31" t="e">
        <f>VLOOKUP($D32,Résultats!$B$2:$AZ$251,AM$2,FALSE)</f>
        <v>#N/A</v>
      </c>
    </row>
    <row r="33" spans="2:39" x14ac:dyDescent="0.25">
      <c r="C33" s="56" t="s">
        <v>32</v>
      </c>
      <c r="D33" s="78" t="s">
        <v>79</v>
      </c>
      <c r="E33" s="31" t="e">
        <f>VLOOKUP($D33,Résultats!$B$2:$AZ$251,E$2,FALSE)</f>
        <v>#N/A</v>
      </c>
      <c r="F33" s="31" t="e">
        <f>VLOOKUP($D33,Résultats!$B$2:$AZ$251,F$2,FALSE)</f>
        <v>#N/A</v>
      </c>
      <c r="G33" s="31" t="e">
        <f>VLOOKUP($D33,Résultats!$B$2:$AZ$251,G$2,FALSE)</f>
        <v>#N/A</v>
      </c>
      <c r="H33" s="31" t="e">
        <f>VLOOKUP($D33,Résultats!$B$2:$AZ$251,H$2,FALSE)</f>
        <v>#N/A</v>
      </c>
      <c r="I33" s="31" t="e">
        <f>VLOOKUP($D33,Résultats!$B$2:$AZ$251,I$2,FALSE)</f>
        <v>#N/A</v>
      </c>
      <c r="J33" s="31" t="e">
        <f>VLOOKUP($D33,Résultats!$B$2:$AZ$251,J$2,FALSE)</f>
        <v>#N/A</v>
      </c>
      <c r="K33" s="31" t="e">
        <f>VLOOKUP($D33,Résultats!$B$2:$AZ$251,K$2,FALSE)</f>
        <v>#N/A</v>
      </c>
      <c r="L33" s="31" t="e">
        <f>VLOOKUP($D33,Résultats!$B$2:$AZ$251,L$2,FALSE)</f>
        <v>#N/A</v>
      </c>
      <c r="M33" s="31" t="e">
        <f>VLOOKUP($D33,Résultats!$B$2:$AZ$251,M$2,FALSE)</f>
        <v>#N/A</v>
      </c>
      <c r="N33" s="31" t="e">
        <f>VLOOKUP($D33,Résultats!$B$2:$AZ$251,N$2,FALSE)</f>
        <v>#N/A</v>
      </c>
      <c r="O33" s="31" t="e">
        <f>VLOOKUP($D33,Résultats!$B$2:$AZ$251,O$2,FALSE)</f>
        <v>#N/A</v>
      </c>
      <c r="P33" s="31" t="e">
        <f>VLOOKUP($D33,Résultats!$B$2:$AZ$251,P$2,FALSE)</f>
        <v>#N/A</v>
      </c>
      <c r="Q33" s="31" t="e">
        <f>VLOOKUP($D33,Résultats!$B$2:$AZ$251,Q$2,FALSE)</f>
        <v>#N/A</v>
      </c>
      <c r="R33" s="31" t="e">
        <f>VLOOKUP($D33,Résultats!$B$2:$AZ$251,R$2,FALSE)</f>
        <v>#N/A</v>
      </c>
      <c r="S33" s="31" t="e">
        <f>VLOOKUP($D33,Résultats!$B$2:$AZ$251,S$2,FALSE)</f>
        <v>#N/A</v>
      </c>
      <c r="T33" s="31" t="e">
        <f>VLOOKUP($D33,Résultats!$B$2:$AZ$251,T$2,FALSE)</f>
        <v>#N/A</v>
      </c>
      <c r="U33" s="31" t="e">
        <f>VLOOKUP($D33,Résultats!$B$2:$AZ$251,U$2,FALSE)</f>
        <v>#N/A</v>
      </c>
      <c r="V33" s="31" t="e">
        <f>VLOOKUP($D33,Résultats!$B$2:$AZ$251,V$2,FALSE)</f>
        <v>#N/A</v>
      </c>
      <c r="W33" s="31" t="e">
        <f>VLOOKUP($D33,Résultats!$B$2:$AZ$251,W$2,FALSE)</f>
        <v>#N/A</v>
      </c>
      <c r="X33" s="31" t="e">
        <f>VLOOKUP($D33,Résultats!$B$2:$AZ$251,X$2,FALSE)</f>
        <v>#N/A</v>
      </c>
      <c r="Y33" s="31" t="e">
        <f>VLOOKUP($D33,Résultats!$B$2:$AZ$251,Y$2,FALSE)</f>
        <v>#N/A</v>
      </c>
      <c r="Z33" s="31" t="e">
        <f>VLOOKUP($D33,Résultats!$B$2:$AZ$251,Z$2,FALSE)</f>
        <v>#N/A</v>
      </c>
      <c r="AA33" s="31" t="e">
        <f>VLOOKUP($D33,Résultats!$B$2:$AZ$251,AA$2,FALSE)</f>
        <v>#N/A</v>
      </c>
      <c r="AB33" s="31" t="e">
        <f>VLOOKUP($D33,Résultats!$B$2:$AZ$251,AB$2,FALSE)</f>
        <v>#N/A</v>
      </c>
      <c r="AC33" s="31" t="e">
        <f>VLOOKUP($D33,Résultats!$B$2:$AZ$251,AC$2,FALSE)</f>
        <v>#N/A</v>
      </c>
      <c r="AD33" s="31" t="e">
        <f>VLOOKUP($D33,Résultats!$B$2:$AZ$251,AD$2,FALSE)</f>
        <v>#N/A</v>
      </c>
      <c r="AE33" s="31" t="e">
        <f>VLOOKUP($D33,Résultats!$B$2:$AZ$251,AE$2,FALSE)</f>
        <v>#N/A</v>
      </c>
      <c r="AF33" s="31" t="e">
        <f>VLOOKUP($D33,Résultats!$B$2:$AZ$251,AF$2,FALSE)</f>
        <v>#N/A</v>
      </c>
      <c r="AG33" s="31" t="e">
        <f>VLOOKUP($D33,Résultats!$B$2:$AZ$251,AG$2,FALSE)</f>
        <v>#N/A</v>
      </c>
      <c r="AH33" s="31" t="e">
        <f>VLOOKUP($D33,Résultats!$B$2:$AZ$251,AH$2,FALSE)</f>
        <v>#N/A</v>
      </c>
      <c r="AI33" s="31" t="e">
        <f>VLOOKUP($D33,Résultats!$B$2:$AZ$251,AI$2,FALSE)</f>
        <v>#N/A</v>
      </c>
      <c r="AJ33" s="31" t="e">
        <f>VLOOKUP($D33,Résultats!$B$2:$AZ$251,AJ$2,FALSE)</f>
        <v>#N/A</v>
      </c>
      <c r="AK33" s="31" t="e">
        <f>VLOOKUP($D33,Résultats!$B$2:$AZ$251,AK$2,FALSE)</f>
        <v>#N/A</v>
      </c>
      <c r="AL33" s="31" t="e">
        <f>VLOOKUP($D33,Résultats!$B$2:$AZ$251,AL$2,FALSE)</f>
        <v>#N/A</v>
      </c>
      <c r="AM33" s="31" t="e">
        <f>VLOOKUP($D33,Résultats!$B$2:$AZ$251,AM$2,FALSE)</f>
        <v>#N/A</v>
      </c>
    </row>
    <row r="34" spans="2:39" x14ac:dyDescent="0.25">
      <c r="C34" s="56" t="s">
        <v>33</v>
      </c>
      <c r="D34" s="78" t="s">
        <v>80</v>
      </c>
      <c r="E34" s="79" t="e">
        <f>VLOOKUP($D34,Résultats!$B$2:$AZ$251,E$2,FALSE)</f>
        <v>#N/A</v>
      </c>
      <c r="F34" s="79" t="e">
        <f>VLOOKUP($D34,Résultats!$B$2:$AZ$251,F$2,FALSE)</f>
        <v>#N/A</v>
      </c>
      <c r="G34" s="79" t="e">
        <f>VLOOKUP($D34,Résultats!$B$2:$AZ$251,G$2,FALSE)</f>
        <v>#N/A</v>
      </c>
      <c r="H34" s="79" t="e">
        <f>VLOOKUP($D34,Résultats!$B$2:$AZ$251,H$2,FALSE)</f>
        <v>#N/A</v>
      </c>
      <c r="I34" s="79" t="e">
        <f>VLOOKUP($D34,Résultats!$B$2:$AZ$251,I$2,FALSE)</f>
        <v>#N/A</v>
      </c>
      <c r="J34" s="79" t="e">
        <f>VLOOKUP($D34,Résultats!$B$2:$AZ$251,J$2,FALSE)</f>
        <v>#N/A</v>
      </c>
      <c r="K34" s="79" t="e">
        <f>VLOOKUP($D34,Résultats!$B$2:$AZ$251,K$2,FALSE)</f>
        <v>#N/A</v>
      </c>
      <c r="L34" s="79" t="e">
        <f>VLOOKUP($D34,Résultats!$B$2:$AZ$251,L$2,FALSE)</f>
        <v>#N/A</v>
      </c>
      <c r="M34" s="79" t="e">
        <f>VLOOKUP($D34,Résultats!$B$2:$AZ$251,M$2,FALSE)</f>
        <v>#N/A</v>
      </c>
      <c r="N34" s="79" t="e">
        <f>VLOOKUP($D34,Résultats!$B$2:$AZ$251,N$2,FALSE)</f>
        <v>#N/A</v>
      </c>
      <c r="O34" s="79" t="e">
        <f>VLOOKUP($D34,Résultats!$B$2:$AZ$251,O$2,FALSE)</f>
        <v>#N/A</v>
      </c>
      <c r="P34" s="79" t="e">
        <f>VLOOKUP($D34,Résultats!$B$2:$AZ$251,P$2,FALSE)</f>
        <v>#N/A</v>
      </c>
      <c r="Q34" s="79" t="e">
        <f>VLOOKUP($D34,Résultats!$B$2:$AZ$251,Q$2,FALSE)</f>
        <v>#N/A</v>
      </c>
      <c r="R34" s="79" t="e">
        <f>VLOOKUP($D34,Résultats!$B$2:$AZ$251,R$2,FALSE)</f>
        <v>#N/A</v>
      </c>
      <c r="S34" s="79" t="e">
        <f>VLOOKUP($D34,Résultats!$B$2:$AZ$251,S$2,FALSE)</f>
        <v>#N/A</v>
      </c>
      <c r="T34" s="79" t="e">
        <f>VLOOKUP($D34,Résultats!$B$2:$AZ$251,T$2,FALSE)</f>
        <v>#N/A</v>
      </c>
      <c r="U34" s="79" t="e">
        <f>VLOOKUP($D34,Résultats!$B$2:$AZ$251,U$2,FALSE)</f>
        <v>#N/A</v>
      </c>
      <c r="V34" s="79" t="e">
        <f>VLOOKUP($D34,Résultats!$B$2:$AZ$251,V$2,FALSE)</f>
        <v>#N/A</v>
      </c>
      <c r="W34" s="79" t="e">
        <f>VLOOKUP($D34,Résultats!$B$2:$AZ$251,W$2,FALSE)</f>
        <v>#N/A</v>
      </c>
      <c r="X34" s="79" t="e">
        <f>VLOOKUP($D34,Résultats!$B$2:$AZ$251,X$2,FALSE)</f>
        <v>#N/A</v>
      </c>
      <c r="Y34" s="79" t="e">
        <f>VLOOKUP($D34,Résultats!$B$2:$AZ$251,Y$2,FALSE)</f>
        <v>#N/A</v>
      </c>
      <c r="Z34" s="79" t="e">
        <f>VLOOKUP($D34,Résultats!$B$2:$AZ$251,Z$2,FALSE)</f>
        <v>#N/A</v>
      </c>
      <c r="AA34" s="79" t="e">
        <f>VLOOKUP($D34,Résultats!$B$2:$AZ$251,AA$2,FALSE)</f>
        <v>#N/A</v>
      </c>
      <c r="AB34" s="79" t="e">
        <f>VLOOKUP($D34,Résultats!$B$2:$AZ$251,AB$2,FALSE)</f>
        <v>#N/A</v>
      </c>
      <c r="AC34" s="79" t="e">
        <f>VLOOKUP($D34,Résultats!$B$2:$AZ$251,AC$2,FALSE)</f>
        <v>#N/A</v>
      </c>
      <c r="AD34" s="79" t="e">
        <f>VLOOKUP($D34,Résultats!$B$2:$AZ$251,AD$2,FALSE)</f>
        <v>#N/A</v>
      </c>
      <c r="AE34" s="79" t="e">
        <f>VLOOKUP($D34,Résultats!$B$2:$AZ$251,AE$2,FALSE)</f>
        <v>#N/A</v>
      </c>
      <c r="AF34" s="79" t="e">
        <f>VLOOKUP($D34,Résultats!$B$2:$AZ$251,AF$2,FALSE)</f>
        <v>#N/A</v>
      </c>
      <c r="AG34" s="79" t="e">
        <f>VLOOKUP($D34,Résultats!$B$2:$AZ$251,AG$2,FALSE)</f>
        <v>#N/A</v>
      </c>
      <c r="AH34" s="79" t="e">
        <f>VLOOKUP($D34,Résultats!$B$2:$AZ$251,AH$2,FALSE)</f>
        <v>#N/A</v>
      </c>
      <c r="AI34" s="79" t="e">
        <f>VLOOKUP($D34,Résultats!$B$2:$AZ$251,AI$2,FALSE)</f>
        <v>#N/A</v>
      </c>
      <c r="AJ34" s="79" t="e">
        <f>VLOOKUP($D34,Résultats!$B$2:$AZ$251,AJ$2,FALSE)</f>
        <v>#N/A</v>
      </c>
      <c r="AK34" s="79" t="e">
        <f>VLOOKUP($D34,Résultats!$B$2:$AZ$251,AK$2,FALSE)</f>
        <v>#N/A</v>
      </c>
      <c r="AL34" s="79" t="e">
        <f>VLOOKUP($D34,Résultats!$B$2:$AZ$251,AL$2,FALSE)</f>
        <v>#N/A</v>
      </c>
      <c r="AM34" s="79" t="e">
        <f>VLOOKUP($D34,Résultats!$B$2:$AZ$251,AM$2,FALSE)</f>
        <v>#N/A</v>
      </c>
    </row>
    <row r="35" spans="2:39" x14ac:dyDescent="0.25">
      <c r="C35" s="76" t="s">
        <v>119</v>
      </c>
      <c r="D35" s="76" t="s">
        <v>65</v>
      </c>
      <c r="E35" s="77" t="e">
        <f>VLOOKUP($D35,Résultats!$B$2:$AZ$251,E$2,FALSE)</f>
        <v>#N/A</v>
      </c>
      <c r="F35" s="77" t="e">
        <f>VLOOKUP($D35,Résultats!$B$2:$AZ$251,F$2,FALSE)</f>
        <v>#N/A</v>
      </c>
      <c r="G35" s="77" t="e">
        <f>VLOOKUP($D35,Résultats!$B$2:$AZ$251,G$2,FALSE)</f>
        <v>#N/A</v>
      </c>
      <c r="H35" s="77" t="e">
        <f>VLOOKUP($D35,Résultats!$B$2:$AZ$251,H$2,FALSE)</f>
        <v>#N/A</v>
      </c>
      <c r="I35" s="77" t="e">
        <f>VLOOKUP($D35,Résultats!$B$2:$AZ$251,I$2,FALSE)</f>
        <v>#N/A</v>
      </c>
      <c r="J35" s="77" t="e">
        <f>VLOOKUP($D35,Résultats!$B$2:$AZ$251,J$2,FALSE)</f>
        <v>#N/A</v>
      </c>
      <c r="K35" s="77" t="e">
        <f>VLOOKUP($D35,Résultats!$B$2:$AZ$251,K$2,FALSE)</f>
        <v>#N/A</v>
      </c>
      <c r="L35" s="77" t="e">
        <f>VLOOKUP($D35,Résultats!$B$2:$AZ$251,L$2,FALSE)</f>
        <v>#N/A</v>
      </c>
      <c r="M35" s="77" t="e">
        <f>VLOOKUP($D35,Résultats!$B$2:$AZ$251,M$2,FALSE)</f>
        <v>#N/A</v>
      </c>
      <c r="N35" s="77" t="e">
        <f>VLOOKUP($D35,Résultats!$B$2:$AZ$251,N$2,FALSE)</f>
        <v>#N/A</v>
      </c>
      <c r="O35" s="77" t="e">
        <f>VLOOKUP($D35,Résultats!$B$2:$AZ$251,O$2,FALSE)</f>
        <v>#N/A</v>
      </c>
      <c r="P35" s="77" t="e">
        <f>VLOOKUP($D35,Résultats!$B$2:$AZ$251,P$2,FALSE)</f>
        <v>#N/A</v>
      </c>
      <c r="Q35" s="77" t="e">
        <f>VLOOKUP($D35,Résultats!$B$2:$AZ$251,Q$2,FALSE)</f>
        <v>#N/A</v>
      </c>
      <c r="R35" s="77" t="e">
        <f>VLOOKUP($D35,Résultats!$B$2:$AZ$251,R$2,FALSE)</f>
        <v>#N/A</v>
      </c>
      <c r="S35" s="77" t="e">
        <f>VLOOKUP($D35,Résultats!$B$2:$AZ$251,S$2,FALSE)</f>
        <v>#N/A</v>
      </c>
      <c r="T35" s="77" t="e">
        <f>VLOOKUP($D35,Résultats!$B$2:$AZ$251,T$2,FALSE)</f>
        <v>#N/A</v>
      </c>
      <c r="U35" s="77" t="e">
        <f>VLOOKUP($D35,Résultats!$B$2:$AZ$251,U$2,FALSE)</f>
        <v>#N/A</v>
      </c>
      <c r="V35" s="77" t="e">
        <f>VLOOKUP($D35,Résultats!$B$2:$AZ$251,V$2,FALSE)</f>
        <v>#N/A</v>
      </c>
      <c r="W35" s="77" t="e">
        <f>VLOOKUP($D35,Résultats!$B$2:$AZ$251,W$2,FALSE)</f>
        <v>#N/A</v>
      </c>
      <c r="X35" s="77" t="e">
        <f>VLOOKUP($D35,Résultats!$B$2:$AZ$251,X$2,FALSE)</f>
        <v>#N/A</v>
      </c>
      <c r="Y35" s="77" t="e">
        <f>VLOOKUP($D35,Résultats!$B$2:$AZ$251,Y$2,FALSE)</f>
        <v>#N/A</v>
      </c>
      <c r="Z35" s="77" t="e">
        <f>VLOOKUP($D35,Résultats!$B$2:$AZ$251,Z$2,FALSE)</f>
        <v>#N/A</v>
      </c>
      <c r="AA35" s="77" t="e">
        <f>VLOOKUP($D35,Résultats!$B$2:$AZ$251,AA$2,FALSE)</f>
        <v>#N/A</v>
      </c>
      <c r="AB35" s="77" t="e">
        <f>VLOOKUP($D35,Résultats!$B$2:$AZ$251,AB$2,FALSE)</f>
        <v>#N/A</v>
      </c>
      <c r="AC35" s="77" t="e">
        <f>VLOOKUP($D35,Résultats!$B$2:$AZ$251,AC$2,FALSE)</f>
        <v>#N/A</v>
      </c>
      <c r="AD35" s="77" t="e">
        <f>VLOOKUP($D35,Résultats!$B$2:$AZ$251,AD$2,FALSE)</f>
        <v>#N/A</v>
      </c>
      <c r="AE35" s="77" t="e">
        <f>VLOOKUP($D35,Résultats!$B$2:$AZ$251,AE$2,FALSE)</f>
        <v>#N/A</v>
      </c>
      <c r="AF35" s="77" t="e">
        <f>VLOOKUP($D35,Résultats!$B$2:$AZ$251,AF$2,FALSE)</f>
        <v>#N/A</v>
      </c>
      <c r="AG35" s="77" t="e">
        <f>VLOOKUP($D35,Résultats!$B$2:$AZ$251,AG$2,FALSE)</f>
        <v>#N/A</v>
      </c>
      <c r="AH35" s="77" t="e">
        <f>VLOOKUP($D35,Résultats!$B$2:$AZ$251,AH$2,FALSE)</f>
        <v>#N/A</v>
      </c>
      <c r="AI35" s="77" t="e">
        <f>VLOOKUP($D35,Résultats!$B$2:$AZ$251,AI$2,FALSE)</f>
        <v>#N/A</v>
      </c>
      <c r="AJ35" s="77" t="e">
        <f>VLOOKUP($D35,Résultats!$B$2:$AZ$251,AJ$2,FALSE)</f>
        <v>#N/A</v>
      </c>
      <c r="AK35" s="77" t="e">
        <f>VLOOKUP($D35,Résultats!$B$2:$AZ$251,AK$2,FALSE)</f>
        <v>#N/A</v>
      </c>
      <c r="AL35" s="77" t="e">
        <f>VLOOKUP($D35,Résultats!$B$2:$AZ$251,AL$2,FALSE)</f>
        <v>#N/A</v>
      </c>
      <c r="AM35" s="77" t="e">
        <f>VLOOKUP($D35,Résultats!$B$2:$AZ$251,AM$2,FALSE)</f>
        <v>#N/A</v>
      </c>
    </row>
    <row r="36" spans="2:39" x14ac:dyDescent="0.25">
      <c r="C36" s="56" t="s">
        <v>27</v>
      </c>
      <c r="D36" s="3" t="s">
        <v>66</v>
      </c>
      <c r="E36" s="31" t="e">
        <f>VLOOKUP($D36,Résultats!$B$2:$AZ$251,E$2,FALSE)</f>
        <v>#N/A</v>
      </c>
      <c r="F36" s="31" t="e">
        <f>VLOOKUP($D36,Résultats!$B$2:$AZ$251,F$2,FALSE)</f>
        <v>#N/A</v>
      </c>
      <c r="G36" s="31" t="e">
        <f>VLOOKUP($D36,Résultats!$B$2:$AZ$251,G$2,FALSE)</f>
        <v>#N/A</v>
      </c>
      <c r="H36" s="31" t="e">
        <f>VLOOKUP($D36,Résultats!$B$2:$AZ$251,H$2,FALSE)</f>
        <v>#N/A</v>
      </c>
      <c r="I36" s="31" t="e">
        <f>VLOOKUP($D36,Résultats!$B$2:$AZ$251,I$2,FALSE)</f>
        <v>#N/A</v>
      </c>
      <c r="J36" s="31" t="e">
        <f>VLOOKUP($D36,Résultats!$B$2:$AZ$251,J$2,FALSE)</f>
        <v>#N/A</v>
      </c>
      <c r="K36" s="31" t="e">
        <f>VLOOKUP($D36,Résultats!$B$2:$AZ$251,K$2,FALSE)</f>
        <v>#N/A</v>
      </c>
      <c r="L36" s="31" t="e">
        <f>VLOOKUP($D36,Résultats!$B$2:$AZ$251,L$2,FALSE)</f>
        <v>#N/A</v>
      </c>
      <c r="M36" s="31" t="e">
        <f>VLOOKUP($D36,Résultats!$B$2:$AZ$251,M$2,FALSE)</f>
        <v>#N/A</v>
      </c>
      <c r="N36" s="31" t="e">
        <f>VLOOKUP($D36,Résultats!$B$2:$AZ$251,N$2,FALSE)</f>
        <v>#N/A</v>
      </c>
      <c r="O36" s="31" t="e">
        <f>VLOOKUP($D36,Résultats!$B$2:$AZ$251,O$2,FALSE)</f>
        <v>#N/A</v>
      </c>
      <c r="P36" s="31" t="e">
        <f>VLOOKUP($D36,Résultats!$B$2:$AZ$251,P$2,FALSE)</f>
        <v>#N/A</v>
      </c>
      <c r="Q36" s="31" t="e">
        <f>VLOOKUP($D36,Résultats!$B$2:$AZ$251,Q$2,FALSE)</f>
        <v>#N/A</v>
      </c>
      <c r="R36" s="31" t="e">
        <f>VLOOKUP($D36,Résultats!$B$2:$AZ$251,R$2,FALSE)</f>
        <v>#N/A</v>
      </c>
      <c r="S36" s="31" t="e">
        <f>VLOOKUP($D36,Résultats!$B$2:$AZ$251,S$2,FALSE)</f>
        <v>#N/A</v>
      </c>
      <c r="T36" s="31" t="e">
        <f>VLOOKUP($D36,Résultats!$B$2:$AZ$251,T$2,FALSE)</f>
        <v>#N/A</v>
      </c>
      <c r="U36" s="31" t="e">
        <f>VLOOKUP($D36,Résultats!$B$2:$AZ$251,U$2,FALSE)</f>
        <v>#N/A</v>
      </c>
      <c r="V36" s="31" t="e">
        <f>VLOOKUP($D36,Résultats!$B$2:$AZ$251,V$2,FALSE)</f>
        <v>#N/A</v>
      </c>
      <c r="W36" s="31" t="e">
        <f>VLOOKUP($D36,Résultats!$B$2:$AZ$251,W$2,FALSE)</f>
        <v>#N/A</v>
      </c>
      <c r="X36" s="31" t="e">
        <f>VLOOKUP($D36,Résultats!$B$2:$AZ$251,X$2,FALSE)</f>
        <v>#N/A</v>
      </c>
      <c r="Y36" s="31" t="e">
        <f>VLOOKUP($D36,Résultats!$B$2:$AZ$251,Y$2,FALSE)</f>
        <v>#N/A</v>
      </c>
      <c r="Z36" s="31" t="e">
        <f>VLOOKUP($D36,Résultats!$B$2:$AZ$251,Z$2,FALSE)</f>
        <v>#N/A</v>
      </c>
      <c r="AA36" s="31" t="e">
        <f>VLOOKUP($D36,Résultats!$B$2:$AZ$251,AA$2,FALSE)</f>
        <v>#N/A</v>
      </c>
      <c r="AB36" s="31" t="e">
        <f>VLOOKUP($D36,Résultats!$B$2:$AZ$251,AB$2,FALSE)</f>
        <v>#N/A</v>
      </c>
      <c r="AC36" s="31" t="e">
        <f>VLOOKUP($D36,Résultats!$B$2:$AZ$251,AC$2,FALSE)</f>
        <v>#N/A</v>
      </c>
      <c r="AD36" s="31" t="e">
        <f>VLOOKUP($D36,Résultats!$B$2:$AZ$251,AD$2,FALSE)</f>
        <v>#N/A</v>
      </c>
      <c r="AE36" s="31" t="e">
        <f>VLOOKUP($D36,Résultats!$B$2:$AZ$251,AE$2,FALSE)</f>
        <v>#N/A</v>
      </c>
      <c r="AF36" s="31" t="e">
        <f>VLOOKUP($D36,Résultats!$B$2:$AZ$251,AF$2,FALSE)</f>
        <v>#N/A</v>
      </c>
      <c r="AG36" s="31" t="e">
        <f>VLOOKUP($D36,Résultats!$B$2:$AZ$251,AG$2,FALSE)</f>
        <v>#N/A</v>
      </c>
      <c r="AH36" s="31" t="e">
        <f>VLOOKUP($D36,Résultats!$B$2:$AZ$251,AH$2,FALSE)</f>
        <v>#N/A</v>
      </c>
      <c r="AI36" s="31" t="e">
        <f>VLOOKUP($D36,Résultats!$B$2:$AZ$251,AI$2,FALSE)</f>
        <v>#N/A</v>
      </c>
      <c r="AJ36" s="31" t="e">
        <f>VLOOKUP($D36,Résultats!$B$2:$AZ$251,AJ$2,FALSE)</f>
        <v>#N/A</v>
      </c>
      <c r="AK36" s="31" t="e">
        <f>VLOOKUP($D36,Résultats!$B$2:$AZ$251,AK$2,FALSE)</f>
        <v>#N/A</v>
      </c>
      <c r="AL36" s="31" t="e">
        <f>VLOOKUP($D36,Résultats!$B$2:$AZ$251,AL$2,FALSE)</f>
        <v>#N/A</v>
      </c>
      <c r="AM36" s="31" t="e">
        <f>VLOOKUP($D36,Résultats!$B$2:$AZ$251,AM$2,FALSE)</f>
        <v>#N/A</v>
      </c>
    </row>
    <row r="37" spans="2:39" x14ac:dyDescent="0.25">
      <c r="C37" s="56" t="s">
        <v>28</v>
      </c>
      <c r="D37" s="3" t="s">
        <v>67</v>
      </c>
      <c r="E37" s="31" t="e">
        <f>VLOOKUP($D37,Résultats!$B$2:$AZ$251,E$2,FALSE)</f>
        <v>#N/A</v>
      </c>
      <c r="F37" s="31" t="e">
        <f>VLOOKUP($D37,Résultats!$B$2:$AZ$251,F$2,FALSE)</f>
        <v>#N/A</v>
      </c>
      <c r="G37" s="31" t="e">
        <f>VLOOKUP($D37,Résultats!$B$2:$AZ$251,G$2,FALSE)</f>
        <v>#N/A</v>
      </c>
      <c r="H37" s="31" t="e">
        <f>VLOOKUP($D37,Résultats!$B$2:$AZ$251,H$2,FALSE)</f>
        <v>#N/A</v>
      </c>
      <c r="I37" s="31" t="e">
        <f>VLOOKUP($D37,Résultats!$B$2:$AZ$251,I$2,FALSE)</f>
        <v>#N/A</v>
      </c>
      <c r="J37" s="31" t="e">
        <f>VLOOKUP($D37,Résultats!$B$2:$AZ$251,J$2,FALSE)</f>
        <v>#N/A</v>
      </c>
      <c r="K37" s="31" t="e">
        <f>VLOOKUP($D37,Résultats!$B$2:$AZ$251,K$2,FALSE)</f>
        <v>#N/A</v>
      </c>
      <c r="L37" s="31" t="e">
        <f>VLOOKUP($D37,Résultats!$B$2:$AZ$251,L$2,FALSE)</f>
        <v>#N/A</v>
      </c>
      <c r="M37" s="31" t="e">
        <f>VLOOKUP($D37,Résultats!$B$2:$AZ$251,M$2,FALSE)</f>
        <v>#N/A</v>
      </c>
      <c r="N37" s="31" t="e">
        <f>VLOOKUP($D37,Résultats!$B$2:$AZ$251,N$2,FALSE)</f>
        <v>#N/A</v>
      </c>
      <c r="O37" s="31" t="e">
        <f>VLOOKUP($D37,Résultats!$B$2:$AZ$251,O$2,FALSE)</f>
        <v>#N/A</v>
      </c>
      <c r="P37" s="31" t="e">
        <f>VLOOKUP($D37,Résultats!$B$2:$AZ$251,P$2,FALSE)</f>
        <v>#N/A</v>
      </c>
      <c r="Q37" s="31" t="e">
        <f>VLOOKUP($D37,Résultats!$B$2:$AZ$251,Q$2,FALSE)</f>
        <v>#N/A</v>
      </c>
      <c r="R37" s="31" t="e">
        <f>VLOOKUP($D37,Résultats!$B$2:$AZ$251,R$2,FALSE)</f>
        <v>#N/A</v>
      </c>
      <c r="S37" s="31" t="e">
        <f>VLOOKUP($D37,Résultats!$B$2:$AZ$251,S$2,FALSE)</f>
        <v>#N/A</v>
      </c>
      <c r="T37" s="31" t="e">
        <f>VLOOKUP($D37,Résultats!$B$2:$AZ$251,T$2,FALSE)</f>
        <v>#N/A</v>
      </c>
      <c r="U37" s="31" t="e">
        <f>VLOOKUP($D37,Résultats!$B$2:$AZ$251,U$2,FALSE)</f>
        <v>#N/A</v>
      </c>
      <c r="V37" s="31" t="e">
        <f>VLOOKUP($D37,Résultats!$B$2:$AZ$251,V$2,FALSE)</f>
        <v>#N/A</v>
      </c>
      <c r="W37" s="31" t="e">
        <f>VLOOKUP($D37,Résultats!$B$2:$AZ$251,W$2,FALSE)</f>
        <v>#N/A</v>
      </c>
      <c r="X37" s="31" t="e">
        <f>VLOOKUP($D37,Résultats!$B$2:$AZ$251,X$2,FALSE)</f>
        <v>#N/A</v>
      </c>
      <c r="Y37" s="31" t="e">
        <f>VLOOKUP($D37,Résultats!$B$2:$AZ$251,Y$2,FALSE)</f>
        <v>#N/A</v>
      </c>
      <c r="Z37" s="31" t="e">
        <f>VLOOKUP($D37,Résultats!$B$2:$AZ$251,Z$2,FALSE)</f>
        <v>#N/A</v>
      </c>
      <c r="AA37" s="31" t="e">
        <f>VLOOKUP($D37,Résultats!$B$2:$AZ$251,AA$2,FALSE)</f>
        <v>#N/A</v>
      </c>
      <c r="AB37" s="31" t="e">
        <f>VLOOKUP($D37,Résultats!$B$2:$AZ$251,AB$2,FALSE)</f>
        <v>#N/A</v>
      </c>
      <c r="AC37" s="31" t="e">
        <f>VLOOKUP($D37,Résultats!$B$2:$AZ$251,AC$2,FALSE)</f>
        <v>#N/A</v>
      </c>
      <c r="AD37" s="31" t="e">
        <f>VLOOKUP($D37,Résultats!$B$2:$AZ$251,AD$2,FALSE)</f>
        <v>#N/A</v>
      </c>
      <c r="AE37" s="31" t="e">
        <f>VLOOKUP($D37,Résultats!$B$2:$AZ$251,AE$2,FALSE)</f>
        <v>#N/A</v>
      </c>
      <c r="AF37" s="31" t="e">
        <f>VLOOKUP($D37,Résultats!$B$2:$AZ$251,AF$2,FALSE)</f>
        <v>#N/A</v>
      </c>
      <c r="AG37" s="31" t="e">
        <f>VLOOKUP($D37,Résultats!$B$2:$AZ$251,AG$2,FALSE)</f>
        <v>#N/A</v>
      </c>
      <c r="AH37" s="31" t="e">
        <f>VLOOKUP($D37,Résultats!$B$2:$AZ$251,AH$2,FALSE)</f>
        <v>#N/A</v>
      </c>
      <c r="AI37" s="31" t="e">
        <f>VLOOKUP($D37,Résultats!$B$2:$AZ$251,AI$2,FALSE)</f>
        <v>#N/A</v>
      </c>
      <c r="AJ37" s="31" t="e">
        <f>VLOOKUP($D37,Résultats!$B$2:$AZ$251,AJ$2,FALSE)</f>
        <v>#N/A</v>
      </c>
      <c r="AK37" s="31" t="e">
        <f>VLOOKUP($D37,Résultats!$B$2:$AZ$251,AK$2,FALSE)</f>
        <v>#N/A</v>
      </c>
      <c r="AL37" s="31" t="e">
        <f>VLOOKUP($D37,Résultats!$B$2:$AZ$251,AL$2,FALSE)</f>
        <v>#N/A</v>
      </c>
      <c r="AM37" s="31" t="e">
        <f>VLOOKUP($D37,Résultats!$B$2:$AZ$251,AM$2,FALSE)</f>
        <v>#N/A</v>
      </c>
    </row>
    <row r="38" spans="2:39" x14ac:dyDescent="0.25">
      <c r="C38" s="56" t="s">
        <v>29</v>
      </c>
      <c r="D38" s="3" t="s">
        <v>68</v>
      </c>
      <c r="E38" s="31" t="e">
        <f>VLOOKUP($D38,Résultats!$B$2:$AZ$251,E$2,FALSE)</f>
        <v>#N/A</v>
      </c>
      <c r="F38" s="31" t="e">
        <f>VLOOKUP($D38,Résultats!$B$2:$AZ$251,F$2,FALSE)</f>
        <v>#N/A</v>
      </c>
      <c r="G38" s="31" t="e">
        <f>VLOOKUP($D38,Résultats!$B$2:$AZ$251,G$2,FALSE)</f>
        <v>#N/A</v>
      </c>
      <c r="H38" s="31" t="e">
        <f>VLOOKUP($D38,Résultats!$B$2:$AZ$251,H$2,FALSE)</f>
        <v>#N/A</v>
      </c>
      <c r="I38" s="31" t="e">
        <f>VLOOKUP($D38,Résultats!$B$2:$AZ$251,I$2,FALSE)</f>
        <v>#N/A</v>
      </c>
      <c r="J38" s="31" t="e">
        <f>VLOOKUP($D38,Résultats!$B$2:$AZ$251,J$2,FALSE)</f>
        <v>#N/A</v>
      </c>
      <c r="K38" s="31" t="e">
        <f>VLOOKUP($D38,Résultats!$B$2:$AZ$251,K$2,FALSE)</f>
        <v>#N/A</v>
      </c>
      <c r="L38" s="31" t="e">
        <f>VLOOKUP($D38,Résultats!$B$2:$AZ$251,L$2,FALSE)</f>
        <v>#N/A</v>
      </c>
      <c r="M38" s="31" t="e">
        <f>VLOOKUP($D38,Résultats!$B$2:$AZ$251,M$2,FALSE)</f>
        <v>#N/A</v>
      </c>
      <c r="N38" s="31" t="e">
        <f>VLOOKUP($D38,Résultats!$B$2:$AZ$251,N$2,FALSE)</f>
        <v>#N/A</v>
      </c>
      <c r="O38" s="31" t="e">
        <f>VLOOKUP($D38,Résultats!$B$2:$AZ$251,O$2,FALSE)</f>
        <v>#N/A</v>
      </c>
      <c r="P38" s="31" t="e">
        <f>VLOOKUP($D38,Résultats!$B$2:$AZ$251,P$2,FALSE)</f>
        <v>#N/A</v>
      </c>
      <c r="Q38" s="31" t="e">
        <f>VLOOKUP($D38,Résultats!$B$2:$AZ$251,Q$2,FALSE)</f>
        <v>#N/A</v>
      </c>
      <c r="R38" s="31" t="e">
        <f>VLOOKUP($D38,Résultats!$B$2:$AZ$251,R$2,FALSE)</f>
        <v>#N/A</v>
      </c>
      <c r="S38" s="31" t="e">
        <f>VLOOKUP($D38,Résultats!$B$2:$AZ$251,S$2,FALSE)</f>
        <v>#N/A</v>
      </c>
      <c r="T38" s="31" t="e">
        <f>VLOOKUP($D38,Résultats!$B$2:$AZ$251,T$2,FALSE)</f>
        <v>#N/A</v>
      </c>
      <c r="U38" s="31" t="e">
        <f>VLOOKUP($D38,Résultats!$B$2:$AZ$251,U$2,FALSE)</f>
        <v>#N/A</v>
      </c>
      <c r="V38" s="31" t="e">
        <f>VLOOKUP($D38,Résultats!$B$2:$AZ$251,V$2,FALSE)</f>
        <v>#N/A</v>
      </c>
      <c r="W38" s="31" t="e">
        <f>VLOOKUP($D38,Résultats!$B$2:$AZ$251,W$2,FALSE)</f>
        <v>#N/A</v>
      </c>
      <c r="X38" s="31" t="e">
        <f>VLOOKUP($D38,Résultats!$B$2:$AZ$251,X$2,FALSE)</f>
        <v>#N/A</v>
      </c>
      <c r="Y38" s="31" t="e">
        <f>VLOOKUP($D38,Résultats!$B$2:$AZ$251,Y$2,FALSE)</f>
        <v>#N/A</v>
      </c>
      <c r="Z38" s="31" t="e">
        <f>VLOOKUP($D38,Résultats!$B$2:$AZ$251,Z$2,FALSE)</f>
        <v>#N/A</v>
      </c>
      <c r="AA38" s="31" t="e">
        <f>VLOOKUP($D38,Résultats!$B$2:$AZ$251,AA$2,FALSE)</f>
        <v>#N/A</v>
      </c>
      <c r="AB38" s="31" t="e">
        <f>VLOOKUP($D38,Résultats!$B$2:$AZ$251,AB$2,FALSE)</f>
        <v>#N/A</v>
      </c>
      <c r="AC38" s="31" t="e">
        <f>VLOOKUP($D38,Résultats!$B$2:$AZ$251,AC$2,FALSE)</f>
        <v>#N/A</v>
      </c>
      <c r="AD38" s="31" t="e">
        <f>VLOOKUP($D38,Résultats!$B$2:$AZ$251,AD$2,FALSE)</f>
        <v>#N/A</v>
      </c>
      <c r="AE38" s="31" t="e">
        <f>VLOOKUP($D38,Résultats!$B$2:$AZ$251,AE$2,FALSE)</f>
        <v>#N/A</v>
      </c>
      <c r="AF38" s="31" t="e">
        <f>VLOOKUP($D38,Résultats!$B$2:$AZ$251,AF$2,FALSE)</f>
        <v>#N/A</v>
      </c>
      <c r="AG38" s="31" t="e">
        <f>VLOOKUP($D38,Résultats!$B$2:$AZ$251,AG$2,FALSE)</f>
        <v>#N/A</v>
      </c>
      <c r="AH38" s="31" t="e">
        <f>VLOOKUP($D38,Résultats!$B$2:$AZ$251,AH$2,FALSE)</f>
        <v>#N/A</v>
      </c>
      <c r="AI38" s="31" t="e">
        <f>VLOOKUP($D38,Résultats!$B$2:$AZ$251,AI$2,FALSE)</f>
        <v>#N/A</v>
      </c>
      <c r="AJ38" s="31" t="e">
        <f>VLOOKUP($D38,Résultats!$B$2:$AZ$251,AJ$2,FALSE)</f>
        <v>#N/A</v>
      </c>
      <c r="AK38" s="31" t="e">
        <f>VLOOKUP($D38,Résultats!$B$2:$AZ$251,AK$2,FALSE)</f>
        <v>#N/A</v>
      </c>
      <c r="AL38" s="31" t="e">
        <f>VLOOKUP($D38,Résultats!$B$2:$AZ$251,AL$2,FALSE)</f>
        <v>#N/A</v>
      </c>
      <c r="AM38" s="31" t="e">
        <f>VLOOKUP($D38,Résultats!$B$2:$AZ$251,AM$2,FALSE)</f>
        <v>#N/A</v>
      </c>
    </row>
    <row r="39" spans="2:39" x14ac:dyDescent="0.25">
      <c r="C39" s="56" t="s">
        <v>30</v>
      </c>
      <c r="D39" s="3" t="s">
        <v>69</v>
      </c>
      <c r="E39" s="31" t="e">
        <f>VLOOKUP($D39,Résultats!$B$2:$AZ$251,E$2,FALSE)</f>
        <v>#N/A</v>
      </c>
      <c r="F39" s="31" t="e">
        <f>VLOOKUP($D39,Résultats!$B$2:$AZ$251,F$2,FALSE)</f>
        <v>#N/A</v>
      </c>
      <c r="G39" s="31" t="e">
        <f>VLOOKUP($D39,Résultats!$B$2:$AZ$251,G$2,FALSE)</f>
        <v>#N/A</v>
      </c>
      <c r="H39" s="31" t="e">
        <f>VLOOKUP($D39,Résultats!$B$2:$AZ$251,H$2,FALSE)</f>
        <v>#N/A</v>
      </c>
      <c r="I39" s="31" t="e">
        <f>VLOOKUP($D39,Résultats!$B$2:$AZ$251,I$2,FALSE)</f>
        <v>#N/A</v>
      </c>
      <c r="J39" s="31" t="e">
        <f>VLOOKUP($D39,Résultats!$B$2:$AZ$251,J$2,FALSE)</f>
        <v>#N/A</v>
      </c>
      <c r="K39" s="31" t="e">
        <f>VLOOKUP($D39,Résultats!$B$2:$AZ$251,K$2,FALSE)</f>
        <v>#N/A</v>
      </c>
      <c r="L39" s="31" t="e">
        <f>VLOOKUP($D39,Résultats!$B$2:$AZ$251,L$2,FALSE)</f>
        <v>#N/A</v>
      </c>
      <c r="M39" s="31" t="e">
        <f>VLOOKUP($D39,Résultats!$B$2:$AZ$251,M$2,FALSE)</f>
        <v>#N/A</v>
      </c>
      <c r="N39" s="31" t="e">
        <f>VLOOKUP($D39,Résultats!$B$2:$AZ$251,N$2,FALSE)</f>
        <v>#N/A</v>
      </c>
      <c r="O39" s="31" t="e">
        <f>VLOOKUP($D39,Résultats!$B$2:$AZ$251,O$2,FALSE)</f>
        <v>#N/A</v>
      </c>
      <c r="P39" s="31" t="e">
        <f>VLOOKUP($D39,Résultats!$B$2:$AZ$251,P$2,FALSE)</f>
        <v>#N/A</v>
      </c>
      <c r="Q39" s="31" t="e">
        <f>VLOOKUP($D39,Résultats!$B$2:$AZ$251,Q$2,FALSE)</f>
        <v>#N/A</v>
      </c>
      <c r="R39" s="31" t="e">
        <f>VLOOKUP($D39,Résultats!$B$2:$AZ$251,R$2,FALSE)</f>
        <v>#N/A</v>
      </c>
      <c r="S39" s="31" t="e">
        <f>VLOOKUP($D39,Résultats!$B$2:$AZ$251,S$2,FALSE)</f>
        <v>#N/A</v>
      </c>
      <c r="T39" s="31" t="e">
        <f>VLOOKUP($D39,Résultats!$B$2:$AZ$251,T$2,FALSE)</f>
        <v>#N/A</v>
      </c>
      <c r="U39" s="31" t="e">
        <f>VLOOKUP($D39,Résultats!$B$2:$AZ$251,U$2,FALSE)</f>
        <v>#N/A</v>
      </c>
      <c r="V39" s="31" t="e">
        <f>VLOOKUP($D39,Résultats!$B$2:$AZ$251,V$2,FALSE)</f>
        <v>#N/A</v>
      </c>
      <c r="W39" s="31" t="e">
        <f>VLOOKUP($D39,Résultats!$B$2:$AZ$251,W$2,FALSE)</f>
        <v>#N/A</v>
      </c>
      <c r="X39" s="31" t="e">
        <f>VLOOKUP($D39,Résultats!$B$2:$AZ$251,X$2,FALSE)</f>
        <v>#N/A</v>
      </c>
      <c r="Y39" s="31" t="e">
        <f>VLOOKUP($D39,Résultats!$B$2:$AZ$251,Y$2,FALSE)</f>
        <v>#N/A</v>
      </c>
      <c r="Z39" s="31" t="e">
        <f>VLOOKUP($D39,Résultats!$B$2:$AZ$251,Z$2,FALSE)</f>
        <v>#N/A</v>
      </c>
      <c r="AA39" s="31" t="e">
        <f>VLOOKUP($D39,Résultats!$B$2:$AZ$251,AA$2,FALSE)</f>
        <v>#N/A</v>
      </c>
      <c r="AB39" s="31" t="e">
        <f>VLOOKUP($D39,Résultats!$B$2:$AZ$251,AB$2,FALSE)</f>
        <v>#N/A</v>
      </c>
      <c r="AC39" s="31" t="e">
        <f>VLOOKUP($D39,Résultats!$B$2:$AZ$251,AC$2,FALSE)</f>
        <v>#N/A</v>
      </c>
      <c r="AD39" s="31" t="e">
        <f>VLOOKUP($D39,Résultats!$B$2:$AZ$251,AD$2,FALSE)</f>
        <v>#N/A</v>
      </c>
      <c r="AE39" s="31" t="e">
        <f>VLOOKUP($D39,Résultats!$B$2:$AZ$251,AE$2,FALSE)</f>
        <v>#N/A</v>
      </c>
      <c r="AF39" s="31" t="e">
        <f>VLOOKUP($D39,Résultats!$B$2:$AZ$251,AF$2,FALSE)</f>
        <v>#N/A</v>
      </c>
      <c r="AG39" s="31" t="e">
        <f>VLOOKUP($D39,Résultats!$B$2:$AZ$251,AG$2,FALSE)</f>
        <v>#N/A</v>
      </c>
      <c r="AH39" s="31" t="e">
        <f>VLOOKUP($D39,Résultats!$B$2:$AZ$251,AH$2,FALSE)</f>
        <v>#N/A</v>
      </c>
      <c r="AI39" s="31" t="e">
        <f>VLOOKUP($D39,Résultats!$B$2:$AZ$251,AI$2,FALSE)</f>
        <v>#N/A</v>
      </c>
      <c r="AJ39" s="31" t="e">
        <f>VLOOKUP($D39,Résultats!$B$2:$AZ$251,AJ$2,FALSE)</f>
        <v>#N/A</v>
      </c>
      <c r="AK39" s="31" t="e">
        <f>VLOOKUP($D39,Résultats!$B$2:$AZ$251,AK$2,FALSE)</f>
        <v>#N/A</v>
      </c>
      <c r="AL39" s="31" t="e">
        <f>VLOOKUP($D39,Résultats!$B$2:$AZ$251,AL$2,FALSE)</f>
        <v>#N/A</v>
      </c>
      <c r="AM39" s="31" t="e">
        <f>VLOOKUP($D39,Résultats!$B$2:$AZ$251,AM$2,FALSE)</f>
        <v>#N/A</v>
      </c>
    </row>
    <row r="40" spans="2:39" x14ac:dyDescent="0.25">
      <c r="C40" s="56" t="s">
        <v>31</v>
      </c>
      <c r="D40" s="3" t="s">
        <v>70</v>
      </c>
      <c r="E40" s="31" t="e">
        <f>VLOOKUP($D40,Résultats!$B$2:$AZ$251,E$2,FALSE)</f>
        <v>#N/A</v>
      </c>
      <c r="F40" s="31" t="e">
        <f>VLOOKUP($D40,Résultats!$B$2:$AZ$251,F$2,FALSE)</f>
        <v>#N/A</v>
      </c>
      <c r="G40" s="31" t="e">
        <f>VLOOKUP($D40,Résultats!$B$2:$AZ$251,G$2,FALSE)</f>
        <v>#N/A</v>
      </c>
      <c r="H40" s="31" t="e">
        <f>VLOOKUP($D40,Résultats!$B$2:$AZ$251,H$2,FALSE)</f>
        <v>#N/A</v>
      </c>
      <c r="I40" s="31" t="e">
        <f>VLOOKUP($D40,Résultats!$B$2:$AZ$251,I$2,FALSE)</f>
        <v>#N/A</v>
      </c>
      <c r="J40" s="31" t="e">
        <f>VLOOKUP($D40,Résultats!$B$2:$AZ$251,J$2,FALSE)</f>
        <v>#N/A</v>
      </c>
      <c r="K40" s="31" t="e">
        <f>VLOOKUP($D40,Résultats!$B$2:$AZ$251,K$2,FALSE)</f>
        <v>#N/A</v>
      </c>
      <c r="L40" s="31" t="e">
        <f>VLOOKUP($D40,Résultats!$B$2:$AZ$251,L$2,FALSE)</f>
        <v>#N/A</v>
      </c>
      <c r="M40" s="31" t="e">
        <f>VLOOKUP($D40,Résultats!$B$2:$AZ$251,M$2,FALSE)</f>
        <v>#N/A</v>
      </c>
      <c r="N40" s="31" t="e">
        <f>VLOOKUP($D40,Résultats!$B$2:$AZ$251,N$2,FALSE)</f>
        <v>#N/A</v>
      </c>
      <c r="O40" s="31" t="e">
        <f>VLOOKUP($D40,Résultats!$B$2:$AZ$251,O$2,FALSE)</f>
        <v>#N/A</v>
      </c>
      <c r="P40" s="31" t="e">
        <f>VLOOKUP($D40,Résultats!$B$2:$AZ$251,P$2,FALSE)</f>
        <v>#N/A</v>
      </c>
      <c r="Q40" s="31" t="e">
        <f>VLOOKUP($D40,Résultats!$B$2:$AZ$251,Q$2,FALSE)</f>
        <v>#N/A</v>
      </c>
      <c r="R40" s="31" t="e">
        <f>VLOOKUP($D40,Résultats!$B$2:$AZ$251,R$2,FALSE)</f>
        <v>#N/A</v>
      </c>
      <c r="S40" s="31" t="e">
        <f>VLOOKUP($D40,Résultats!$B$2:$AZ$251,S$2,FALSE)</f>
        <v>#N/A</v>
      </c>
      <c r="T40" s="31" t="e">
        <f>VLOOKUP($D40,Résultats!$B$2:$AZ$251,T$2,FALSE)</f>
        <v>#N/A</v>
      </c>
      <c r="U40" s="31" t="e">
        <f>VLOOKUP($D40,Résultats!$B$2:$AZ$251,U$2,FALSE)</f>
        <v>#N/A</v>
      </c>
      <c r="V40" s="31" t="e">
        <f>VLOOKUP($D40,Résultats!$B$2:$AZ$251,V$2,FALSE)</f>
        <v>#N/A</v>
      </c>
      <c r="W40" s="31" t="e">
        <f>VLOOKUP($D40,Résultats!$B$2:$AZ$251,W$2,FALSE)</f>
        <v>#N/A</v>
      </c>
      <c r="X40" s="31" t="e">
        <f>VLOOKUP($D40,Résultats!$B$2:$AZ$251,X$2,FALSE)</f>
        <v>#N/A</v>
      </c>
      <c r="Y40" s="31" t="e">
        <f>VLOOKUP($D40,Résultats!$B$2:$AZ$251,Y$2,FALSE)</f>
        <v>#N/A</v>
      </c>
      <c r="Z40" s="31" t="e">
        <f>VLOOKUP($D40,Résultats!$B$2:$AZ$251,Z$2,FALSE)</f>
        <v>#N/A</v>
      </c>
      <c r="AA40" s="31" t="e">
        <f>VLOOKUP($D40,Résultats!$B$2:$AZ$251,AA$2,FALSE)</f>
        <v>#N/A</v>
      </c>
      <c r="AB40" s="31" t="e">
        <f>VLOOKUP($D40,Résultats!$B$2:$AZ$251,AB$2,FALSE)</f>
        <v>#N/A</v>
      </c>
      <c r="AC40" s="31" t="e">
        <f>VLOOKUP($D40,Résultats!$B$2:$AZ$251,AC$2,FALSE)</f>
        <v>#N/A</v>
      </c>
      <c r="AD40" s="31" t="e">
        <f>VLOOKUP($D40,Résultats!$B$2:$AZ$251,AD$2,FALSE)</f>
        <v>#N/A</v>
      </c>
      <c r="AE40" s="31" t="e">
        <f>VLOOKUP($D40,Résultats!$B$2:$AZ$251,AE$2,FALSE)</f>
        <v>#N/A</v>
      </c>
      <c r="AF40" s="31" t="e">
        <f>VLOOKUP($D40,Résultats!$B$2:$AZ$251,AF$2,FALSE)</f>
        <v>#N/A</v>
      </c>
      <c r="AG40" s="31" t="e">
        <f>VLOOKUP($D40,Résultats!$B$2:$AZ$251,AG$2,FALSE)</f>
        <v>#N/A</v>
      </c>
      <c r="AH40" s="31" t="e">
        <f>VLOOKUP($D40,Résultats!$B$2:$AZ$251,AH$2,FALSE)</f>
        <v>#N/A</v>
      </c>
      <c r="AI40" s="31" t="e">
        <f>VLOOKUP($D40,Résultats!$B$2:$AZ$251,AI$2,FALSE)</f>
        <v>#N/A</v>
      </c>
      <c r="AJ40" s="31" t="e">
        <f>VLOOKUP($D40,Résultats!$B$2:$AZ$251,AJ$2,FALSE)</f>
        <v>#N/A</v>
      </c>
      <c r="AK40" s="31" t="e">
        <f>VLOOKUP($D40,Résultats!$B$2:$AZ$251,AK$2,FALSE)</f>
        <v>#N/A</v>
      </c>
      <c r="AL40" s="31" t="e">
        <f>VLOOKUP($D40,Résultats!$B$2:$AZ$251,AL$2,FALSE)</f>
        <v>#N/A</v>
      </c>
      <c r="AM40" s="31" t="e">
        <f>VLOOKUP($D40,Résultats!$B$2:$AZ$251,AM$2,FALSE)</f>
        <v>#N/A</v>
      </c>
    </row>
    <row r="41" spans="2:39" x14ac:dyDescent="0.25">
      <c r="C41" s="56" t="s">
        <v>32</v>
      </c>
      <c r="D41" s="3" t="s">
        <v>71</v>
      </c>
      <c r="E41" s="31" t="e">
        <f>VLOOKUP($D41,Résultats!$B$2:$AZ$251,E$2,FALSE)</f>
        <v>#N/A</v>
      </c>
      <c r="F41" s="31" t="e">
        <f>VLOOKUP($D41,Résultats!$B$2:$AZ$251,F$2,FALSE)</f>
        <v>#N/A</v>
      </c>
      <c r="G41" s="31" t="e">
        <f>VLOOKUP($D41,Résultats!$B$2:$AZ$251,G$2,FALSE)</f>
        <v>#N/A</v>
      </c>
      <c r="H41" s="31" t="e">
        <f>VLOOKUP($D41,Résultats!$B$2:$AZ$251,H$2,FALSE)</f>
        <v>#N/A</v>
      </c>
      <c r="I41" s="31" t="e">
        <f>VLOOKUP($D41,Résultats!$B$2:$AZ$251,I$2,FALSE)</f>
        <v>#N/A</v>
      </c>
      <c r="J41" s="31" t="e">
        <f>VLOOKUP($D41,Résultats!$B$2:$AZ$251,J$2,FALSE)</f>
        <v>#N/A</v>
      </c>
      <c r="K41" s="31" t="e">
        <f>VLOOKUP($D41,Résultats!$B$2:$AZ$251,K$2,FALSE)</f>
        <v>#N/A</v>
      </c>
      <c r="L41" s="31" t="e">
        <f>VLOOKUP($D41,Résultats!$B$2:$AZ$251,L$2,FALSE)</f>
        <v>#N/A</v>
      </c>
      <c r="M41" s="31" t="e">
        <f>VLOOKUP($D41,Résultats!$B$2:$AZ$251,M$2,FALSE)</f>
        <v>#N/A</v>
      </c>
      <c r="N41" s="31" t="e">
        <f>VLOOKUP($D41,Résultats!$B$2:$AZ$251,N$2,FALSE)</f>
        <v>#N/A</v>
      </c>
      <c r="O41" s="31" t="e">
        <f>VLOOKUP($D41,Résultats!$B$2:$AZ$251,O$2,FALSE)</f>
        <v>#N/A</v>
      </c>
      <c r="P41" s="31" t="e">
        <f>VLOOKUP($D41,Résultats!$B$2:$AZ$251,P$2,FALSE)</f>
        <v>#N/A</v>
      </c>
      <c r="Q41" s="31" t="e">
        <f>VLOOKUP($D41,Résultats!$B$2:$AZ$251,Q$2,FALSE)</f>
        <v>#N/A</v>
      </c>
      <c r="R41" s="31" t="e">
        <f>VLOOKUP($D41,Résultats!$B$2:$AZ$251,R$2,FALSE)</f>
        <v>#N/A</v>
      </c>
      <c r="S41" s="31" t="e">
        <f>VLOOKUP($D41,Résultats!$B$2:$AZ$251,S$2,FALSE)</f>
        <v>#N/A</v>
      </c>
      <c r="T41" s="31" t="e">
        <f>VLOOKUP($D41,Résultats!$B$2:$AZ$251,T$2,FALSE)</f>
        <v>#N/A</v>
      </c>
      <c r="U41" s="31" t="e">
        <f>VLOOKUP($D41,Résultats!$B$2:$AZ$251,U$2,FALSE)</f>
        <v>#N/A</v>
      </c>
      <c r="V41" s="31" t="e">
        <f>VLOOKUP($D41,Résultats!$B$2:$AZ$251,V$2,FALSE)</f>
        <v>#N/A</v>
      </c>
      <c r="W41" s="31" t="e">
        <f>VLOOKUP($D41,Résultats!$B$2:$AZ$251,W$2,FALSE)</f>
        <v>#N/A</v>
      </c>
      <c r="X41" s="31" t="e">
        <f>VLOOKUP($D41,Résultats!$B$2:$AZ$251,X$2,FALSE)</f>
        <v>#N/A</v>
      </c>
      <c r="Y41" s="31" t="e">
        <f>VLOOKUP($D41,Résultats!$B$2:$AZ$251,Y$2,FALSE)</f>
        <v>#N/A</v>
      </c>
      <c r="Z41" s="31" t="e">
        <f>VLOOKUP($D41,Résultats!$B$2:$AZ$251,Z$2,FALSE)</f>
        <v>#N/A</v>
      </c>
      <c r="AA41" s="31" t="e">
        <f>VLOOKUP($D41,Résultats!$B$2:$AZ$251,AA$2,FALSE)</f>
        <v>#N/A</v>
      </c>
      <c r="AB41" s="31" t="e">
        <f>VLOOKUP($D41,Résultats!$B$2:$AZ$251,AB$2,FALSE)</f>
        <v>#N/A</v>
      </c>
      <c r="AC41" s="31" t="e">
        <f>VLOOKUP($D41,Résultats!$B$2:$AZ$251,AC$2,FALSE)</f>
        <v>#N/A</v>
      </c>
      <c r="AD41" s="31" t="e">
        <f>VLOOKUP($D41,Résultats!$B$2:$AZ$251,AD$2,FALSE)</f>
        <v>#N/A</v>
      </c>
      <c r="AE41" s="31" t="e">
        <f>VLOOKUP($D41,Résultats!$B$2:$AZ$251,AE$2,FALSE)</f>
        <v>#N/A</v>
      </c>
      <c r="AF41" s="31" t="e">
        <f>VLOOKUP($D41,Résultats!$B$2:$AZ$251,AF$2,FALSE)</f>
        <v>#N/A</v>
      </c>
      <c r="AG41" s="31" t="e">
        <f>VLOOKUP($D41,Résultats!$B$2:$AZ$251,AG$2,FALSE)</f>
        <v>#N/A</v>
      </c>
      <c r="AH41" s="31" t="e">
        <f>VLOOKUP($D41,Résultats!$B$2:$AZ$251,AH$2,FALSE)</f>
        <v>#N/A</v>
      </c>
      <c r="AI41" s="31" t="e">
        <f>VLOOKUP($D41,Résultats!$B$2:$AZ$251,AI$2,FALSE)</f>
        <v>#N/A</v>
      </c>
      <c r="AJ41" s="31" t="e">
        <f>VLOOKUP($D41,Résultats!$B$2:$AZ$251,AJ$2,FALSE)</f>
        <v>#N/A</v>
      </c>
      <c r="AK41" s="31" t="e">
        <f>VLOOKUP($D41,Résultats!$B$2:$AZ$251,AK$2,FALSE)</f>
        <v>#N/A</v>
      </c>
      <c r="AL41" s="31" t="e">
        <f>VLOOKUP($D41,Résultats!$B$2:$AZ$251,AL$2,FALSE)</f>
        <v>#N/A</v>
      </c>
      <c r="AM41" s="31" t="e">
        <f>VLOOKUP($D41,Résultats!$B$2:$AZ$251,AM$2,FALSE)</f>
        <v>#N/A</v>
      </c>
    </row>
    <row r="42" spans="2:39" x14ac:dyDescent="0.25">
      <c r="C42" s="80" t="s">
        <v>33</v>
      </c>
      <c r="D42" s="7" t="s">
        <v>72</v>
      </c>
      <c r="E42" s="81" t="e">
        <f>VLOOKUP($D42,Résultats!$B$2:$AZ$251,E$2,FALSE)</f>
        <v>#N/A</v>
      </c>
      <c r="F42" s="81" t="e">
        <f>VLOOKUP($D42,Résultats!$B$2:$AZ$251,F$2,FALSE)</f>
        <v>#N/A</v>
      </c>
      <c r="G42" s="81" t="e">
        <f>VLOOKUP($D42,Résultats!$B$2:$AZ$251,G$2,FALSE)</f>
        <v>#N/A</v>
      </c>
      <c r="H42" s="81" t="e">
        <f>VLOOKUP($D42,Résultats!$B$2:$AZ$251,H$2,FALSE)</f>
        <v>#N/A</v>
      </c>
      <c r="I42" s="81" t="e">
        <f>VLOOKUP($D42,Résultats!$B$2:$AZ$251,I$2,FALSE)</f>
        <v>#N/A</v>
      </c>
      <c r="J42" s="81" t="e">
        <f>VLOOKUP($D42,Résultats!$B$2:$AZ$251,J$2,FALSE)</f>
        <v>#N/A</v>
      </c>
      <c r="K42" s="81" t="e">
        <f>VLOOKUP($D42,Résultats!$B$2:$AZ$251,K$2,FALSE)</f>
        <v>#N/A</v>
      </c>
      <c r="L42" s="81" t="e">
        <f>VLOOKUP($D42,Résultats!$B$2:$AZ$251,L$2,FALSE)</f>
        <v>#N/A</v>
      </c>
      <c r="M42" s="81" t="e">
        <f>VLOOKUP($D42,Résultats!$B$2:$AZ$251,M$2,FALSE)</f>
        <v>#N/A</v>
      </c>
      <c r="N42" s="81" t="e">
        <f>VLOOKUP($D42,Résultats!$B$2:$AZ$251,N$2,FALSE)</f>
        <v>#N/A</v>
      </c>
      <c r="O42" s="81" t="e">
        <f>VLOOKUP($D42,Résultats!$B$2:$AZ$251,O$2,FALSE)</f>
        <v>#N/A</v>
      </c>
      <c r="P42" s="81" t="e">
        <f>VLOOKUP($D42,Résultats!$B$2:$AZ$251,P$2,FALSE)</f>
        <v>#N/A</v>
      </c>
      <c r="Q42" s="81" t="e">
        <f>VLOOKUP($D42,Résultats!$B$2:$AZ$251,Q$2,FALSE)</f>
        <v>#N/A</v>
      </c>
      <c r="R42" s="81" t="e">
        <f>VLOOKUP($D42,Résultats!$B$2:$AZ$251,R$2,FALSE)</f>
        <v>#N/A</v>
      </c>
      <c r="S42" s="81" t="e">
        <f>VLOOKUP($D42,Résultats!$B$2:$AZ$251,S$2,FALSE)</f>
        <v>#N/A</v>
      </c>
      <c r="T42" s="81" t="e">
        <f>VLOOKUP($D42,Résultats!$B$2:$AZ$251,T$2,FALSE)</f>
        <v>#N/A</v>
      </c>
      <c r="U42" s="81" t="e">
        <f>VLOOKUP($D42,Résultats!$B$2:$AZ$251,U$2,FALSE)</f>
        <v>#N/A</v>
      </c>
      <c r="V42" s="81" t="e">
        <f>VLOOKUP($D42,Résultats!$B$2:$AZ$251,V$2,FALSE)</f>
        <v>#N/A</v>
      </c>
      <c r="W42" s="81" t="e">
        <f>VLOOKUP($D42,Résultats!$B$2:$AZ$251,W$2,FALSE)</f>
        <v>#N/A</v>
      </c>
      <c r="X42" s="81" t="e">
        <f>VLOOKUP($D42,Résultats!$B$2:$AZ$251,X$2,FALSE)</f>
        <v>#N/A</v>
      </c>
      <c r="Y42" s="81" t="e">
        <f>VLOOKUP($D42,Résultats!$B$2:$AZ$251,Y$2,FALSE)</f>
        <v>#N/A</v>
      </c>
      <c r="Z42" s="81" t="e">
        <f>VLOOKUP($D42,Résultats!$B$2:$AZ$251,Z$2,FALSE)</f>
        <v>#N/A</v>
      </c>
      <c r="AA42" s="81" t="e">
        <f>VLOOKUP($D42,Résultats!$B$2:$AZ$251,AA$2,FALSE)</f>
        <v>#N/A</v>
      </c>
      <c r="AB42" s="81" t="e">
        <f>VLOOKUP($D42,Résultats!$B$2:$AZ$251,AB$2,FALSE)</f>
        <v>#N/A</v>
      </c>
      <c r="AC42" s="81" t="e">
        <f>VLOOKUP($D42,Résultats!$B$2:$AZ$251,AC$2,FALSE)</f>
        <v>#N/A</v>
      </c>
      <c r="AD42" s="81" t="e">
        <f>VLOOKUP($D42,Résultats!$B$2:$AZ$251,AD$2,FALSE)</f>
        <v>#N/A</v>
      </c>
      <c r="AE42" s="81" t="e">
        <f>VLOOKUP($D42,Résultats!$B$2:$AZ$251,AE$2,FALSE)</f>
        <v>#N/A</v>
      </c>
      <c r="AF42" s="81" t="e">
        <f>VLOOKUP($D42,Résultats!$B$2:$AZ$251,AF$2,FALSE)</f>
        <v>#N/A</v>
      </c>
      <c r="AG42" s="81" t="e">
        <f>VLOOKUP($D42,Résultats!$B$2:$AZ$251,AG$2,FALSE)</f>
        <v>#N/A</v>
      </c>
      <c r="AH42" s="81" t="e">
        <f>VLOOKUP($D42,Résultats!$B$2:$AZ$251,AH$2,FALSE)</f>
        <v>#N/A</v>
      </c>
      <c r="AI42" s="81" t="e">
        <f>VLOOKUP($D42,Résultats!$B$2:$AZ$251,AI$2,FALSE)</f>
        <v>#N/A</v>
      </c>
      <c r="AJ42" s="81" t="e">
        <f>VLOOKUP($D42,Résultats!$B$2:$AZ$251,AJ$2,FALSE)</f>
        <v>#N/A</v>
      </c>
      <c r="AK42" s="81" t="e">
        <f>VLOOKUP($D42,Résultats!$B$2:$AZ$251,AK$2,FALSE)</f>
        <v>#N/A</v>
      </c>
      <c r="AL42" s="81" t="e">
        <f>VLOOKUP($D42,Résultats!$B$2:$AZ$251,AL$2,FALSE)</f>
        <v>#N/A</v>
      </c>
      <c r="AM42" s="81" t="e">
        <f>VLOOKUP($D42,Résultats!$B$2:$AZ$251,AM$2,FALSE)</f>
        <v>#N/A</v>
      </c>
    </row>
    <row r="43" spans="2:39" x14ac:dyDescent="0.25">
      <c r="C43" s="56"/>
      <c r="D43" s="3"/>
      <c r="E43" s="127"/>
      <c r="F43" s="127"/>
      <c r="G43" s="127"/>
      <c r="H43" s="127"/>
      <c r="I43" s="127"/>
      <c r="J43" s="126"/>
      <c r="K43" s="31"/>
      <c r="L43" s="31"/>
      <c r="M43" s="31"/>
      <c r="N43" s="127"/>
      <c r="O43" s="126"/>
      <c r="P43" s="31"/>
      <c r="Q43" s="31"/>
      <c r="R43" s="31"/>
      <c r="S43" s="127"/>
      <c r="T43" s="127"/>
      <c r="U43" s="127"/>
      <c r="V43" s="127"/>
      <c r="W43" s="127"/>
      <c r="X43" s="31"/>
      <c r="Y43" s="31"/>
      <c r="Z43" s="31"/>
      <c r="AA43" s="31"/>
      <c r="AB43" s="31"/>
      <c r="AC43" s="130"/>
      <c r="AD43" s="130"/>
      <c r="AE43" s="130"/>
      <c r="AF43" s="130"/>
      <c r="AG43" s="130"/>
      <c r="AH43" s="31"/>
      <c r="AI43" s="31"/>
      <c r="AJ43" s="31"/>
      <c r="AK43" s="31"/>
      <c r="AL43" s="31"/>
      <c r="AM43" s="130"/>
    </row>
    <row r="44" spans="2:39" x14ac:dyDescent="0.25">
      <c r="B44" s="23" t="s">
        <v>191</v>
      </c>
      <c r="C44" s="82" t="s">
        <v>162</v>
      </c>
      <c r="D44" s="82" t="s">
        <v>45</v>
      </c>
      <c r="E44" s="124" t="e">
        <f>VLOOKUP($D49,Résultats!$B$2:$AZ$212,E$2,FALSE)</f>
        <v>#N/A</v>
      </c>
      <c r="F44" s="124" t="e">
        <f>VLOOKUP($D49,Résultats!$B$2:$AZ$212,F$2,FALSE)</f>
        <v>#N/A</v>
      </c>
      <c r="G44" s="124" t="e">
        <f>VLOOKUP($D49,Résultats!$B$2:$AZ$212,G$2,FALSE)</f>
        <v>#N/A</v>
      </c>
      <c r="H44" s="124" t="e">
        <f>VLOOKUP($D49,Résultats!$B$2:$AZ$212,H$2,FALSE)</f>
        <v>#N/A</v>
      </c>
      <c r="I44" s="124" t="e">
        <f>VLOOKUP($D49,Résultats!$B$2:$AZ$212,I$2,FALSE)</f>
        <v>#N/A</v>
      </c>
      <c r="J44" s="124" t="e">
        <f>VLOOKUP($D49,Résultats!$B$2:$AZ$212,J$2,FALSE)</f>
        <v>#N/A</v>
      </c>
      <c r="K44" s="124" t="e">
        <f>VLOOKUP($D49,Résultats!$B$2:$AZ$212,K$2,FALSE)</f>
        <v>#N/A</v>
      </c>
      <c r="L44" s="124" t="e">
        <f>VLOOKUP($D49,Résultats!$B$2:$AZ$212,L$2,FALSE)</f>
        <v>#N/A</v>
      </c>
      <c r="M44" s="124" t="e">
        <f>VLOOKUP($D49,Résultats!$B$2:$AZ$212,M$2,FALSE)</f>
        <v>#N/A</v>
      </c>
      <c r="N44" s="124" t="e">
        <f>VLOOKUP($D49,Résultats!$B$2:$AZ$212,N$2,FALSE)</f>
        <v>#N/A</v>
      </c>
      <c r="O44" s="124" t="e">
        <f>VLOOKUP($D49,Résultats!$B$2:$AZ$212,O$2,FALSE)</f>
        <v>#N/A</v>
      </c>
      <c r="P44" s="124" t="e">
        <f>VLOOKUP($D49,Résultats!$B$2:$AZ$212,P$2,FALSE)</f>
        <v>#N/A</v>
      </c>
      <c r="Q44" s="124" t="e">
        <f>VLOOKUP($D49,Résultats!$B$2:$AZ$212,Q$2,FALSE)</f>
        <v>#N/A</v>
      </c>
      <c r="R44" s="124" t="e">
        <f>VLOOKUP($D49,Résultats!$B$2:$AZ$212,R$2,FALSE)</f>
        <v>#N/A</v>
      </c>
      <c r="S44" s="124" t="e">
        <f>VLOOKUP($D49,Résultats!$B$2:$AZ$212,S$2,FALSE)</f>
        <v>#N/A</v>
      </c>
      <c r="T44" s="124" t="e">
        <f>VLOOKUP($D49,Résultats!$B$2:$AZ$212,T$2,FALSE)</f>
        <v>#N/A</v>
      </c>
      <c r="U44" s="124" t="e">
        <f>VLOOKUP($D49,Résultats!$B$2:$AZ$212,U$2,FALSE)</f>
        <v>#N/A</v>
      </c>
      <c r="V44" s="124" t="e">
        <f>VLOOKUP($D49,Résultats!$B$2:$AZ$212,V$2,FALSE)</f>
        <v>#N/A</v>
      </c>
      <c r="W44" s="124" t="e">
        <f>VLOOKUP($D49,Résultats!$B$2:$AZ$212,W$2,FALSE)</f>
        <v>#N/A</v>
      </c>
      <c r="X44" s="124" t="e">
        <f>VLOOKUP($D49,Résultats!$B$2:$AZ$212,X$2,FALSE)</f>
        <v>#N/A</v>
      </c>
      <c r="Y44" s="124" t="e">
        <f>VLOOKUP($D49,Résultats!$B$2:$AZ$212,Y$2,FALSE)</f>
        <v>#N/A</v>
      </c>
      <c r="Z44" s="124" t="e">
        <f>VLOOKUP($D49,Résultats!$B$2:$AZ$212,Z$2,FALSE)</f>
        <v>#N/A</v>
      </c>
      <c r="AA44" s="124" t="e">
        <f>VLOOKUP($D49,Résultats!$B$2:$AZ$212,AA$2,FALSE)</f>
        <v>#N/A</v>
      </c>
      <c r="AB44" s="124" t="e">
        <f>VLOOKUP($D49,Résultats!$B$2:$AZ$212,AB$2,FALSE)</f>
        <v>#N/A</v>
      </c>
      <c r="AC44" s="124" t="e">
        <f>VLOOKUP($D49,Résultats!$B$2:$AZ$212,AC$2,FALSE)</f>
        <v>#N/A</v>
      </c>
      <c r="AD44" s="124" t="e">
        <f>VLOOKUP($D49,Résultats!$B$2:$AZ$212,AD$2,FALSE)</f>
        <v>#N/A</v>
      </c>
      <c r="AE44" s="124" t="e">
        <f>VLOOKUP($D49,Résultats!$B$2:$AZ$212,AE$2,FALSE)</f>
        <v>#N/A</v>
      </c>
      <c r="AF44" s="124" t="e">
        <f>VLOOKUP($D49,Résultats!$B$2:$AZ$212,AF$2,FALSE)</f>
        <v>#N/A</v>
      </c>
      <c r="AG44" s="124" t="e">
        <f>VLOOKUP($D49,Résultats!$B$2:$AZ$212,AG$2,FALSE)</f>
        <v>#N/A</v>
      </c>
      <c r="AH44" s="124" t="e">
        <f>VLOOKUP($D49,Résultats!$B$2:$AZ$212,AH$2,FALSE)</f>
        <v>#N/A</v>
      </c>
      <c r="AI44" s="124" t="e">
        <f>VLOOKUP($D49,Résultats!$B$2:$AZ$212,AI$2,FALSE)</f>
        <v>#N/A</v>
      </c>
      <c r="AJ44" s="124" t="e">
        <f>VLOOKUP($D49,Résultats!$B$2:$AZ$212,AJ$2,FALSE)</f>
        <v>#N/A</v>
      </c>
      <c r="AK44" s="124" t="e">
        <f>VLOOKUP($D49,Résultats!$B$2:$AZ$212,AK$2,FALSE)</f>
        <v>#N/A</v>
      </c>
      <c r="AL44" s="124" t="e">
        <f>VLOOKUP($D49,Résultats!$B$2:$AZ$212,AL$2,FALSE)</f>
        <v>#N/A</v>
      </c>
      <c r="AM44" s="124" t="e">
        <f>VLOOKUP($D49,Résultats!$B$2:$AZ$212,AM$2,FALSE)</f>
        <v>#N/A</v>
      </c>
    </row>
    <row r="45" spans="2:39" x14ac:dyDescent="0.25">
      <c r="C45" s="56" t="s">
        <v>8</v>
      </c>
      <c r="D45" s="78" t="s">
        <v>60</v>
      </c>
      <c r="E45" s="31" t="e">
        <f>VLOOKUP($D45,Résultats!$B$2:$AZ$212,E$2,FALSE)</f>
        <v>#N/A</v>
      </c>
      <c r="F45" s="31" t="e">
        <f>VLOOKUP($D45,Résultats!$B$2:$AZ$212,F$2,FALSE)</f>
        <v>#N/A</v>
      </c>
      <c r="G45" s="31" t="e">
        <f>VLOOKUP($D45,Résultats!$B$2:$AZ$212,G$2,FALSE)</f>
        <v>#N/A</v>
      </c>
      <c r="H45" s="31" t="e">
        <f>VLOOKUP($D45,Résultats!$B$2:$AZ$212,H$2,FALSE)</f>
        <v>#N/A</v>
      </c>
      <c r="I45" s="31" t="e">
        <f>VLOOKUP($D45,Résultats!$B$2:$AZ$212,I$2,FALSE)</f>
        <v>#N/A</v>
      </c>
      <c r="J45" s="31" t="e">
        <f>VLOOKUP($D45,Résultats!$B$2:$AZ$212,J$2,FALSE)</f>
        <v>#N/A</v>
      </c>
      <c r="K45" s="31" t="e">
        <f>VLOOKUP($D45,Résultats!$B$2:$AZ$212,K$2,FALSE)</f>
        <v>#N/A</v>
      </c>
      <c r="L45" s="31" t="e">
        <f>VLOOKUP($D45,Résultats!$B$2:$AZ$212,L$2,FALSE)</f>
        <v>#N/A</v>
      </c>
      <c r="M45" s="31" t="e">
        <f>VLOOKUP($D45,Résultats!$B$2:$AZ$212,M$2,FALSE)</f>
        <v>#N/A</v>
      </c>
      <c r="N45" s="31" t="e">
        <f>VLOOKUP($D45,Résultats!$B$2:$AZ$212,N$2,FALSE)</f>
        <v>#N/A</v>
      </c>
      <c r="O45" s="31" t="e">
        <f>VLOOKUP($D45,Résultats!$B$2:$AZ$212,O$2,FALSE)</f>
        <v>#N/A</v>
      </c>
      <c r="P45" s="31" t="e">
        <f>VLOOKUP($D45,Résultats!$B$2:$AZ$212,P$2,FALSE)</f>
        <v>#N/A</v>
      </c>
      <c r="Q45" s="31" t="e">
        <f>VLOOKUP($D45,Résultats!$B$2:$AZ$212,Q$2,FALSE)</f>
        <v>#N/A</v>
      </c>
      <c r="R45" s="31" t="e">
        <f>VLOOKUP($D45,Résultats!$B$2:$AZ$212,R$2,FALSE)</f>
        <v>#N/A</v>
      </c>
      <c r="S45" s="31" t="e">
        <f>VLOOKUP($D45,Résultats!$B$2:$AZ$212,S$2,FALSE)</f>
        <v>#N/A</v>
      </c>
      <c r="T45" s="31" t="e">
        <f>VLOOKUP($D45,Résultats!$B$2:$AZ$212,T$2,FALSE)</f>
        <v>#N/A</v>
      </c>
      <c r="U45" s="31" t="e">
        <f>VLOOKUP($D45,Résultats!$B$2:$AZ$212,U$2,FALSE)</f>
        <v>#N/A</v>
      </c>
      <c r="V45" s="31" t="e">
        <f>VLOOKUP($D45,Résultats!$B$2:$AZ$212,V$2,FALSE)</f>
        <v>#N/A</v>
      </c>
      <c r="W45" s="31" t="e">
        <f>VLOOKUP($D45,Résultats!$B$2:$AZ$212,W$2,FALSE)</f>
        <v>#N/A</v>
      </c>
      <c r="X45" s="31" t="e">
        <f>VLOOKUP($D45,Résultats!$B$2:$AZ$212,X$2,FALSE)</f>
        <v>#N/A</v>
      </c>
      <c r="Y45" s="31" t="e">
        <f>VLOOKUP($D45,Résultats!$B$2:$AZ$212,Y$2,FALSE)</f>
        <v>#N/A</v>
      </c>
      <c r="Z45" s="31" t="e">
        <f>VLOOKUP($D45,Résultats!$B$2:$AZ$212,Z$2,FALSE)</f>
        <v>#N/A</v>
      </c>
      <c r="AA45" s="31" t="e">
        <f>VLOOKUP($D45,Résultats!$B$2:$AZ$212,AA$2,FALSE)</f>
        <v>#N/A</v>
      </c>
      <c r="AB45" s="31" t="e">
        <f>VLOOKUP($D45,Résultats!$B$2:$AZ$212,AB$2,FALSE)</f>
        <v>#N/A</v>
      </c>
      <c r="AC45" s="31" t="e">
        <f>VLOOKUP($D45,Résultats!$B$2:$AZ$212,AC$2,FALSE)</f>
        <v>#N/A</v>
      </c>
      <c r="AD45" s="31" t="e">
        <f>VLOOKUP($D45,Résultats!$B$2:$AZ$212,AD$2,FALSE)</f>
        <v>#N/A</v>
      </c>
      <c r="AE45" s="31" t="e">
        <f>VLOOKUP($D45,Résultats!$B$2:$AZ$212,AE$2,FALSE)</f>
        <v>#N/A</v>
      </c>
      <c r="AF45" s="31" t="e">
        <f>VLOOKUP($D45,Résultats!$B$2:$AZ$212,AF$2,FALSE)</f>
        <v>#N/A</v>
      </c>
      <c r="AG45" s="31" t="e">
        <f>VLOOKUP($D45,Résultats!$B$2:$AZ$212,AG$2,FALSE)</f>
        <v>#N/A</v>
      </c>
      <c r="AH45" s="31" t="e">
        <f>VLOOKUP($D45,Résultats!$B$2:$AZ$212,AH$2,FALSE)</f>
        <v>#N/A</v>
      </c>
      <c r="AI45" s="31" t="e">
        <f>VLOOKUP($D45,Résultats!$B$2:$AZ$212,AI$2,FALSE)</f>
        <v>#N/A</v>
      </c>
      <c r="AJ45" s="31" t="e">
        <f>VLOOKUP($D45,Résultats!$B$2:$AZ$212,AJ$2,FALSE)</f>
        <v>#N/A</v>
      </c>
      <c r="AK45" s="31" t="e">
        <f>VLOOKUP($D45,Résultats!$B$2:$AZ$212,AK$2,FALSE)</f>
        <v>#N/A</v>
      </c>
      <c r="AL45" s="31" t="e">
        <f>VLOOKUP($D45,Résultats!$B$2:$AZ$212,AL$2,FALSE)</f>
        <v>#N/A</v>
      </c>
      <c r="AM45" s="31" t="e">
        <f>VLOOKUP($D45,Résultats!$B$2:$AZ$212,AM$2,FALSE)</f>
        <v>#N/A</v>
      </c>
    </row>
    <row r="46" spans="2:39" x14ac:dyDescent="0.25">
      <c r="C46" s="56" t="s">
        <v>6</v>
      </c>
      <c r="D46" s="3" t="s">
        <v>61</v>
      </c>
      <c r="E46" s="31" t="e">
        <f>VLOOKUP($D46,Résultats!$B$2:$AZ$212,E$2,FALSE)</f>
        <v>#N/A</v>
      </c>
      <c r="F46" s="31" t="e">
        <f>VLOOKUP($D46,Résultats!$B$2:$AZ$212,F$2,FALSE)</f>
        <v>#N/A</v>
      </c>
      <c r="G46" s="31" t="e">
        <f>VLOOKUP($D46,Résultats!$B$2:$AZ$212,G$2,FALSE)</f>
        <v>#N/A</v>
      </c>
      <c r="H46" s="31" t="e">
        <f>VLOOKUP($D46,Résultats!$B$2:$AZ$212,H$2,FALSE)</f>
        <v>#N/A</v>
      </c>
      <c r="I46" s="31" t="e">
        <f>VLOOKUP($D46,Résultats!$B$2:$AZ$212,I$2,FALSE)</f>
        <v>#N/A</v>
      </c>
      <c r="J46" s="31" t="e">
        <f>VLOOKUP($D46,Résultats!$B$2:$AZ$212,J$2,FALSE)</f>
        <v>#N/A</v>
      </c>
      <c r="K46" s="31" t="e">
        <f>VLOOKUP($D46,Résultats!$B$2:$AZ$212,K$2,FALSE)</f>
        <v>#N/A</v>
      </c>
      <c r="L46" s="31" t="e">
        <f>VLOOKUP($D46,Résultats!$B$2:$AZ$212,L$2,FALSE)</f>
        <v>#N/A</v>
      </c>
      <c r="M46" s="31" t="e">
        <f>VLOOKUP($D46,Résultats!$B$2:$AZ$212,M$2,FALSE)</f>
        <v>#N/A</v>
      </c>
      <c r="N46" s="31" t="e">
        <f>VLOOKUP($D46,Résultats!$B$2:$AZ$212,N$2,FALSE)</f>
        <v>#N/A</v>
      </c>
      <c r="O46" s="31" t="e">
        <f>VLOOKUP($D46,Résultats!$B$2:$AZ$212,O$2,FALSE)</f>
        <v>#N/A</v>
      </c>
      <c r="P46" s="31" t="e">
        <f>VLOOKUP($D46,Résultats!$B$2:$AZ$212,P$2,FALSE)</f>
        <v>#N/A</v>
      </c>
      <c r="Q46" s="31" t="e">
        <f>VLOOKUP($D46,Résultats!$B$2:$AZ$212,Q$2,FALSE)</f>
        <v>#N/A</v>
      </c>
      <c r="R46" s="31" t="e">
        <f>VLOOKUP($D46,Résultats!$B$2:$AZ$212,R$2,FALSE)</f>
        <v>#N/A</v>
      </c>
      <c r="S46" s="31" t="e">
        <f>VLOOKUP($D46,Résultats!$B$2:$AZ$212,S$2,FALSE)</f>
        <v>#N/A</v>
      </c>
      <c r="T46" s="31" t="e">
        <f>VLOOKUP($D46,Résultats!$B$2:$AZ$212,T$2,FALSE)</f>
        <v>#N/A</v>
      </c>
      <c r="U46" s="31" t="e">
        <f>VLOOKUP($D46,Résultats!$B$2:$AZ$212,U$2,FALSE)</f>
        <v>#N/A</v>
      </c>
      <c r="V46" s="31" t="e">
        <f>VLOOKUP($D46,Résultats!$B$2:$AZ$212,V$2,FALSE)</f>
        <v>#N/A</v>
      </c>
      <c r="W46" s="31" t="e">
        <f>VLOOKUP($D46,Résultats!$B$2:$AZ$212,W$2,FALSE)</f>
        <v>#N/A</v>
      </c>
      <c r="X46" s="31" t="e">
        <f>VLOOKUP($D46,Résultats!$B$2:$AZ$212,X$2,FALSE)</f>
        <v>#N/A</v>
      </c>
      <c r="Y46" s="31" t="e">
        <f>VLOOKUP($D46,Résultats!$B$2:$AZ$212,Y$2,FALSE)</f>
        <v>#N/A</v>
      </c>
      <c r="Z46" s="31" t="e">
        <f>VLOOKUP($D46,Résultats!$B$2:$AZ$212,Z$2,FALSE)</f>
        <v>#N/A</v>
      </c>
      <c r="AA46" s="31" t="e">
        <f>VLOOKUP($D46,Résultats!$B$2:$AZ$212,AA$2,FALSE)</f>
        <v>#N/A</v>
      </c>
      <c r="AB46" s="31" t="e">
        <f>VLOOKUP($D46,Résultats!$B$2:$AZ$212,AB$2,FALSE)</f>
        <v>#N/A</v>
      </c>
      <c r="AC46" s="31" t="e">
        <f>VLOOKUP($D46,Résultats!$B$2:$AZ$212,AC$2,FALSE)</f>
        <v>#N/A</v>
      </c>
      <c r="AD46" s="31" t="e">
        <f>VLOOKUP($D46,Résultats!$B$2:$AZ$212,AD$2,FALSE)</f>
        <v>#N/A</v>
      </c>
      <c r="AE46" s="31" t="e">
        <f>VLOOKUP($D46,Résultats!$B$2:$AZ$212,AE$2,FALSE)</f>
        <v>#N/A</v>
      </c>
      <c r="AF46" s="31" t="e">
        <f>VLOOKUP($D46,Résultats!$B$2:$AZ$212,AF$2,FALSE)</f>
        <v>#N/A</v>
      </c>
      <c r="AG46" s="31" t="e">
        <f>VLOOKUP($D46,Résultats!$B$2:$AZ$212,AG$2,FALSE)</f>
        <v>#N/A</v>
      </c>
      <c r="AH46" s="31" t="e">
        <f>VLOOKUP($D46,Résultats!$B$2:$AZ$212,AH$2,FALSE)</f>
        <v>#N/A</v>
      </c>
      <c r="AI46" s="31" t="e">
        <f>VLOOKUP($D46,Résultats!$B$2:$AZ$212,AI$2,FALSE)</f>
        <v>#N/A</v>
      </c>
      <c r="AJ46" s="31" t="e">
        <f>VLOOKUP($D46,Résultats!$B$2:$AZ$212,AJ$2,FALSE)</f>
        <v>#N/A</v>
      </c>
      <c r="AK46" s="31" t="e">
        <f>VLOOKUP($D46,Résultats!$B$2:$AZ$212,AK$2,FALSE)</f>
        <v>#N/A</v>
      </c>
      <c r="AL46" s="31" t="e">
        <f>VLOOKUP($D46,Résultats!$B$2:$AZ$212,AL$2,FALSE)</f>
        <v>#N/A</v>
      </c>
      <c r="AM46" s="31" t="e">
        <f>VLOOKUP($D46,Résultats!$B$2:$AZ$212,AM$2,FALSE)</f>
        <v>#N/A</v>
      </c>
    </row>
    <row r="47" spans="2:39" x14ac:dyDescent="0.25">
      <c r="C47" s="56" t="s">
        <v>34</v>
      </c>
      <c r="D47" s="3" t="s">
        <v>62</v>
      </c>
      <c r="E47" s="31" t="e">
        <f>VLOOKUP($D47,Résultats!$B$2:$AZ$212,E$2,FALSE)</f>
        <v>#N/A</v>
      </c>
      <c r="F47" s="31" t="e">
        <f>VLOOKUP($D47,Résultats!$B$2:$AZ$212,F$2,FALSE)</f>
        <v>#N/A</v>
      </c>
      <c r="G47" s="31" t="e">
        <f>VLOOKUP($D47,Résultats!$B$2:$AZ$212,G$2,FALSE)</f>
        <v>#N/A</v>
      </c>
      <c r="H47" s="31" t="e">
        <f>VLOOKUP($D47,Résultats!$B$2:$AZ$212,H$2,FALSE)</f>
        <v>#N/A</v>
      </c>
      <c r="I47" s="31" t="e">
        <f>VLOOKUP($D47,Résultats!$B$2:$AZ$212,I$2,FALSE)</f>
        <v>#N/A</v>
      </c>
      <c r="J47" s="31" t="e">
        <f>VLOOKUP($D47,Résultats!$B$2:$AZ$212,J$2,FALSE)</f>
        <v>#N/A</v>
      </c>
      <c r="K47" s="31" t="e">
        <f>VLOOKUP($D47,Résultats!$B$2:$AZ$212,K$2,FALSE)</f>
        <v>#N/A</v>
      </c>
      <c r="L47" s="31" t="e">
        <f>VLOOKUP($D47,Résultats!$B$2:$AZ$212,L$2,FALSE)</f>
        <v>#N/A</v>
      </c>
      <c r="M47" s="31" t="e">
        <f>VLOOKUP($D47,Résultats!$B$2:$AZ$212,M$2,FALSE)</f>
        <v>#N/A</v>
      </c>
      <c r="N47" s="31" t="e">
        <f>VLOOKUP($D47,Résultats!$B$2:$AZ$212,N$2,FALSE)</f>
        <v>#N/A</v>
      </c>
      <c r="O47" s="31" t="e">
        <f>VLOOKUP($D47,Résultats!$B$2:$AZ$212,O$2,FALSE)</f>
        <v>#N/A</v>
      </c>
      <c r="P47" s="31" t="e">
        <f>VLOOKUP($D47,Résultats!$B$2:$AZ$212,P$2,FALSE)</f>
        <v>#N/A</v>
      </c>
      <c r="Q47" s="31" t="e">
        <f>VLOOKUP($D47,Résultats!$B$2:$AZ$212,Q$2,FALSE)</f>
        <v>#N/A</v>
      </c>
      <c r="R47" s="31" t="e">
        <f>VLOOKUP($D47,Résultats!$B$2:$AZ$212,R$2,FALSE)</f>
        <v>#N/A</v>
      </c>
      <c r="S47" s="31" t="e">
        <f>VLOOKUP($D47,Résultats!$B$2:$AZ$212,S$2,FALSE)</f>
        <v>#N/A</v>
      </c>
      <c r="T47" s="31" t="e">
        <f>VLOOKUP($D47,Résultats!$B$2:$AZ$212,T$2,FALSE)</f>
        <v>#N/A</v>
      </c>
      <c r="U47" s="31" t="e">
        <f>VLOOKUP($D47,Résultats!$B$2:$AZ$212,U$2,FALSE)</f>
        <v>#N/A</v>
      </c>
      <c r="V47" s="31" t="e">
        <f>VLOOKUP($D47,Résultats!$B$2:$AZ$212,V$2,FALSE)</f>
        <v>#N/A</v>
      </c>
      <c r="W47" s="31" t="e">
        <f>VLOOKUP($D47,Résultats!$B$2:$AZ$212,W$2,FALSE)</f>
        <v>#N/A</v>
      </c>
      <c r="X47" s="31" t="e">
        <f>VLOOKUP($D47,Résultats!$B$2:$AZ$212,X$2,FALSE)</f>
        <v>#N/A</v>
      </c>
      <c r="Y47" s="31" t="e">
        <f>VLOOKUP($D47,Résultats!$B$2:$AZ$212,Y$2,FALSE)</f>
        <v>#N/A</v>
      </c>
      <c r="Z47" s="31" t="e">
        <f>VLOOKUP($D47,Résultats!$B$2:$AZ$212,Z$2,FALSE)</f>
        <v>#N/A</v>
      </c>
      <c r="AA47" s="31" t="e">
        <f>VLOOKUP($D47,Résultats!$B$2:$AZ$212,AA$2,FALSE)</f>
        <v>#N/A</v>
      </c>
      <c r="AB47" s="31" t="e">
        <f>VLOOKUP($D47,Résultats!$B$2:$AZ$212,AB$2,FALSE)</f>
        <v>#N/A</v>
      </c>
      <c r="AC47" s="31" t="e">
        <f>VLOOKUP($D47,Résultats!$B$2:$AZ$212,AC$2,FALSE)</f>
        <v>#N/A</v>
      </c>
      <c r="AD47" s="31" t="e">
        <f>VLOOKUP($D47,Résultats!$B$2:$AZ$212,AD$2,FALSE)</f>
        <v>#N/A</v>
      </c>
      <c r="AE47" s="31" t="e">
        <f>VLOOKUP($D47,Résultats!$B$2:$AZ$212,AE$2,FALSE)</f>
        <v>#N/A</v>
      </c>
      <c r="AF47" s="31" t="e">
        <f>VLOOKUP($D47,Résultats!$B$2:$AZ$212,AF$2,FALSE)</f>
        <v>#N/A</v>
      </c>
      <c r="AG47" s="31" t="e">
        <f>VLOOKUP($D47,Résultats!$B$2:$AZ$212,AG$2,FALSE)</f>
        <v>#N/A</v>
      </c>
      <c r="AH47" s="31" t="e">
        <f>VLOOKUP($D47,Résultats!$B$2:$AZ$212,AH$2,FALSE)</f>
        <v>#N/A</v>
      </c>
      <c r="AI47" s="31" t="e">
        <f>VLOOKUP($D47,Résultats!$B$2:$AZ$212,AI$2,FALSE)</f>
        <v>#N/A</v>
      </c>
      <c r="AJ47" s="31" t="e">
        <f>VLOOKUP($D47,Résultats!$B$2:$AZ$212,AJ$2,FALSE)</f>
        <v>#N/A</v>
      </c>
      <c r="AK47" s="31" t="e">
        <f>VLOOKUP($D47,Résultats!$B$2:$AZ$212,AK$2,FALSE)</f>
        <v>#N/A</v>
      </c>
      <c r="AL47" s="31" t="e">
        <f>VLOOKUP($D47,Résultats!$B$2:$AZ$212,AL$2,FALSE)</f>
        <v>#N/A</v>
      </c>
      <c r="AM47" s="31" t="e">
        <f>VLOOKUP($D47,Résultats!$B$2:$AZ$212,AM$2,FALSE)</f>
        <v>#N/A</v>
      </c>
    </row>
    <row r="48" spans="2:39" x14ac:dyDescent="0.25">
      <c r="C48" s="56" t="s">
        <v>35</v>
      </c>
      <c r="D48" s="3" t="s">
        <v>63</v>
      </c>
      <c r="E48" s="31" t="e">
        <f>VLOOKUP($D48,Résultats!$B$2:$AZ$212,E$2,FALSE)</f>
        <v>#N/A</v>
      </c>
      <c r="F48" s="31" t="e">
        <f>VLOOKUP($D48,Résultats!$B$2:$AZ$212,F$2,FALSE)</f>
        <v>#N/A</v>
      </c>
      <c r="G48" s="31" t="e">
        <f>VLOOKUP($D48,Résultats!$B$2:$AZ$212,G$2,FALSE)</f>
        <v>#N/A</v>
      </c>
      <c r="H48" s="31" t="e">
        <f>VLOOKUP($D48,Résultats!$B$2:$AZ$212,H$2,FALSE)</f>
        <v>#N/A</v>
      </c>
      <c r="I48" s="31" t="e">
        <f>VLOOKUP($D48,Résultats!$B$2:$AZ$212,I$2,FALSE)</f>
        <v>#N/A</v>
      </c>
      <c r="J48" s="31" t="e">
        <f>VLOOKUP($D48,Résultats!$B$2:$AZ$212,J$2,FALSE)</f>
        <v>#N/A</v>
      </c>
      <c r="K48" s="31" t="e">
        <f>VLOOKUP($D48,Résultats!$B$2:$AZ$212,K$2,FALSE)</f>
        <v>#N/A</v>
      </c>
      <c r="L48" s="31" t="e">
        <f>VLOOKUP($D48,Résultats!$B$2:$AZ$212,L$2,FALSE)</f>
        <v>#N/A</v>
      </c>
      <c r="M48" s="31" t="e">
        <f>VLOOKUP($D48,Résultats!$B$2:$AZ$212,M$2,FALSE)</f>
        <v>#N/A</v>
      </c>
      <c r="N48" s="31" t="e">
        <f>VLOOKUP($D48,Résultats!$B$2:$AZ$212,N$2,FALSE)</f>
        <v>#N/A</v>
      </c>
      <c r="O48" s="31" t="e">
        <f>VLOOKUP($D48,Résultats!$B$2:$AZ$212,O$2,FALSE)</f>
        <v>#N/A</v>
      </c>
      <c r="P48" s="31" t="e">
        <f>VLOOKUP($D48,Résultats!$B$2:$AZ$212,P$2,FALSE)</f>
        <v>#N/A</v>
      </c>
      <c r="Q48" s="31" t="e">
        <f>VLOOKUP($D48,Résultats!$B$2:$AZ$212,Q$2,FALSE)</f>
        <v>#N/A</v>
      </c>
      <c r="R48" s="31" t="e">
        <f>VLOOKUP($D48,Résultats!$B$2:$AZ$212,R$2,FALSE)</f>
        <v>#N/A</v>
      </c>
      <c r="S48" s="31" t="e">
        <f>VLOOKUP($D48,Résultats!$B$2:$AZ$212,S$2,FALSE)</f>
        <v>#N/A</v>
      </c>
      <c r="T48" s="31" t="e">
        <f>VLOOKUP($D48,Résultats!$B$2:$AZ$212,T$2,FALSE)</f>
        <v>#N/A</v>
      </c>
      <c r="U48" s="31" t="e">
        <f>VLOOKUP($D48,Résultats!$B$2:$AZ$212,U$2,FALSE)</f>
        <v>#N/A</v>
      </c>
      <c r="V48" s="31" t="e">
        <f>VLOOKUP($D48,Résultats!$B$2:$AZ$212,V$2,FALSE)</f>
        <v>#N/A</v>
      </c>
      <c r="W48" s="31" t="e">
        <f>VLOOKUP($D48,Résultats!$B$2:$AZ$212,W$2,FALSE)</f>
        <v>#N/A</v>
      </c>
      <c r="X48" s="31" t="e">
        <f>VLOOKUP($D48,Résultats!$B$2:$AZ$212,X$2,FALSE)</f>
        <v>#N/A</v>
      </c>
      <c r="Y48" s="31" t="e">
        <f>VLOOKUP($D48,Résultats!$B$2:$AZ$212,Y$2,FALSE)</f>
        <v>#N/A</v>
      </c>
      <c r="Z48" s="31" t="e">
        <f>VLOOKUP($D48,Résultats!$B$2:$AZ$212,Z$2,FALSE)</f>
        <v>#N/A</v>
      </c>
      <c r="AA48" s="31" t="e">
        <f>VLOOKUP($D48,Résultats!$B$2:$AZ$212,AA$2,FALSE)</f>
        <v>#N/A</v>
      </c>
      <c r="AB48" s="31" t="e">
        <f>VLOOKUP($D48,Résultats!$B$2:$AZ$212,AB$2,FALSE)</f>
        <v>#N/A</v>
      </c>
      <c r="AC48" s="31" t="e">
        <f>VLOOKUP($D48,Résultats!$B$2:$AZ$212,AC$2,FALSE)</f>
        <v>#N/A</v>
      </c>
      <c r="AD48" s="31" t="e">
        <f>VLOOKUP($D48,Résultats!$B$2:$AZ$212,AD$2,FALSE)</f>
        <v>#N/A</v>
      </c>
      <c r="AE48" s="31" t="e">
        <f>VLOOKUP($D48,Résultats!$B$2:$AZ$212,AE$2,FALSE)</f>
        <v>#N/A</v>
      </c>
      <c r="AF48" s="31" t="e">
        <f>VLOOKUP($D48,Résultats!$B$2:$AZ$212,AF$2,FALSE)</f>
        <v>#N/A</v>
      </c>
      <c r="AG48" s="31" t="e">
        <f>VLOOKUP($D48,Résultats!$B$2:$AZ$212,AG$2,FALSE)</f>
        <v>#N/A</v>
      </c>
      <c r="AH48" s="31" t="e">
        <f>VLOOKUP($D48,Résultats!$B$2:$AZ$212,AH$2,FALSE)</f>
        <v>#N/A</v>
      </c>
      <c r="AI48" s="31" t="e">
        <f>VLOOKUP($D48,Résultats!$B$2:$AZ$212,AI$2,FALSE)</f>
        <v>#N/A</v>
      </c>
      <c r="AJ48" s="31" t="e">
        <f>VLOOKUP($D48,Résultats!$B$2:$AZ$212,AJ$2,FALSE)</f>
        <v>#N/A</v>
      </c>
      <c r="AK48" s="31" t="e">
        <f>VLOOKUP($D48,Résultats!$B$2:$AZ$212,AK$2,FALSE)</f>
        <v>#N/A</v>
      </c>
      <c r="AL48" s="31" t="e">
        <f>VLOOKUP($D48,Résultats!$B$2:$AZ$212,AL$2,FALSE)</f>
        <v>#N/A</v>
      </c>
      <c r="AM48" s="31" t="e">
        <f>VLOOKUP($D48,Résultats!$B$2:$AZ$212,AM$2,FALSE)</f>
        <v>#N/A</v>
      </c>
    </row>
    <row r="49" spans="3:40" x14ac:dyDescent="0.25">
      <c r="C49" s="82" t="s">
        <v>162</v>
      </c>
      <c r="D49" s="82" t="s">
        <v>45</v>
      </c>
      <c r="E49" s="83" t="e">
        <f>VLOOKUP($D49,Résultats!$B$2:$AZ$212,E$2,FALSE)</f>
        <v>#N/A</v>
      </c>
      <c r="F49" s="83" t="e">
        <f>VLOOKUP($D49,Résultats!$B$2:$AZ$212,F$2,FALSE)</f>
        <v>#N/A</v>
      </c>
      <c r="G49" s="83" t="e">
        <f>VLOOKUP($D49,Résultats!$B$2:$AZ$212,G$2,FALSE)</f>
        <v>#N/A</v>
      </c>
      <c r="H49" s="83" t="e">
        <f>VLOOKUP($D49,Résultats!$B$2:$AZ$212,H$2,FALSE)</f>
        <v>#N/A</v>
      </c>
      <c r="I49" s="83" t="e">
        <f>VLOOKUP($D49,Résultats!$B$2:$AZ$212,I$2,FALSE)</f>
        <v>#N/A</v>
      </c>
      <c r="J49" s="83" t="e">
        <f>VLOOKUP($D49,Résultats!$B$2:$AZ$212,J$2,FALSE)</f>
        <v>#N/A</v>
      </c>
      <c r="K49" s="83" t="e">
        <f>VLOOKUP($D49,Résultats!$B$2:$AZ$212,K$2,FALSE)</f>
        <v>#N/A</v>
      </c>
      <c r="L49" s="83" t="e">
        <f>VLOOKUP($D49,Résultats!$B$2:$AZ$212,L$2,FALSE)</f>
        <v>#N/A</v>
      </c>
      <c r="M49" s="83" t="e">
        <f>VLOOKUP($D49,Résultats!$B$2:$AZ$212,M$2,FALSE)</f>
        <v>#N/A</v>
      </c>
      <c r="N49" s="83" t="e">
        <f>VLOOKUP($D49,Résultats!$B$2:$AZ$212,N$2,FALSE)</f>
        <v>#N/A</v>
      </c>
      <c r="O49" s="83" t="e">
        <f>VLOOKUP($D49,Résultats!$B$2:$AZ$212,O$2,FALSE)</f>
        <v>#N/A</v>
      </c>
      <c r="P49" s="83" t="e">
        <f>VLOOKUP($D49,Résultats!$B$2:$AZ$212,P$2,FALSE)</f>
        <v>#N/A</v>
      </c>
      <c r="Q49" s="83" t="e">
        <f>VLOOKUP($D49,Résultats!$B$2:$AZ$212,Q$2,FALSE)</f>
        <v>#N/A</v>
      </c>
      <c r="R49" s="83" t="e">
        <f>VLOOKUP($D49,Résultats!$B$2:$AZ$212,R$2,FALSE)</f>
        <v>#N/A</v>
      </c>
      <c r="S49" s="83" t="e">
        <f>VLOOKUP($D49,Résultats!$B$2:$AZ$212,S$2,FALSE)</f>
        <v>#N/A</v>
      </c>
      <c r="T49" s="83" t="e">
        <f>VLOOKUP($D49,Résultats!$B$2:$AZ$212,T$2,FALSE)</f>
        <v>#N/A</v>
      </c>
      <c r="U49" s="83" t="e">
        <f>VLOOKUP($D49,Résultats!$B$2:$AZ$212,U$2,FALSE)</f>
        <v>#N/A</v>
      </c>
      <c r="V49" s="83" t="e">
        <f>VLOOKUP($D49,Résultats!$B$2:$AZ$212,V$2,FALSE)</f>
        <v>#N/A</v>
      </c>
      <c r="W49" s="83" t="e">
        <f>VLOOKUP($D49,Résultats!$B$2:$AZ$212,W$2,FALSE)</f>
        <v>#N/A</v>
      </c>
      <c r="X49" s="83" t="e">
        <f>VLOOKUP($D49,Résultats!$B$2:$AZ$212,X$2,FALSE)</f>
        <v>#N/A</v>
      </c>
      <c r="Y49" s="83" t="e">
        <f>VLOOKUP($D49,Résultats!$B$2:$AZ$212,Y$2,FALSE)</f>
        <v>#N/A</v>
      </c>
      <c r="Z49" s="83" t="e">
        <f>VLOOKUP($D49,Résultats!$B$2:$AZ$212,Z$2,FALSE)</f>
        <v>#N/A</v>
      </c>
      <c r="AA49" s="83" t="e">
        <f>VLOOKUP($D49,Résultats!$B$2:$AZ$212,AA$2,FALSE)</f>
        <v>#N/A</v>
      </c>
      <c r="AB49" s="83" t="e">
        <f>VLOOKUP($D49,Résultats!$B$2:$AZ$212,AB$2,FALSE)</f>
        <v>#N/A</v>
      </c>
      <c r="AC49" s="83" t="e">
        <f>VLOOKUP($D49,Résultats!$B$2:$AZ$212,AC$2,FALSE)</f>
        <v>#N/A</v>
      </c>
      <c r="AD49" s="83" t="e">
        <f>VLOOKUP($D49,Résultats!$B$2:$AZ$212,AD$2,FALSE)</f>
        <v>#N/A</v>
      </c>
      <c r="AE49" s="83" t="e">
        <f>VLOOKUP($D49,Résultats!$B$2:$AZ$212,AE$2,FALSE)</f>
        <v>#N/A</v>
      </c>
      <c r="AF49" s="83" t="e">
        <f>VLOOKUP($D49,Résultats!$B$2:$AZ$212,AF$2,FALSE)</f>
        <v>#N/A</v>
      </c>
      <c r="AG49" s="83" t="e">
        <f>VLOOKUP($D49,Résultats!$B$2:$AZ$212,AG$2,FALSE)</f>
        <v>#N/A</v>
      </c>
      <c r="AH49" s="83" t="e">
        <f>VLOOKUP($D49,Résultats!$B$2:$AZ$212,AH$2,FALSE)</f>
        <v>#N/A</v>
      </c>
      <c r="AI49" s="83" t="e">
        <f>VLOOKUP($D49,Résultats!$B$2:$AZ$212,AI$2,FALSE)</f>
        <v>#N/A</v>
      </c>
      <c r="AJ49" s="83" t="e">
        <f>VLOOKUP($D49,Résultats!$B$2:$AZ$212,AJ$2,FALSE)</f>
        <v>#N/A</v>
      </c>
      <c r="AK49" s="83" t="e">
        <f>VLOOKUP($D49,Résultats!$B$2:$AZ$212,AK$2,FALSE)</f>
        <v>#N/A</v>
      </c>
      <c r="AL49" s="83" t="e">
        <f>VLOOKUP($D49,Résultats!$B$2:$AZ$212,AL$2,FALSE)</f>
        <v>#N/A</v>
      </c>
      <c r="AM49" s="83" t="e">
        <f>VLOOKUP($D49,Résultats!$B$2:$AZ$212,AM$2,FALSE)</f>
        <v>#N/A</v>
      </c>
    </row>
    <row r="50" spans="3:40" x14ac:dyDescent="0.25">
      <c r="C50" s="84" t="s">
        <v>118</v>
      </c>
      <c r="D50" s="3" t="s">
        <v>62</v>
      </c>
      <c r="E50" s="85" t="e">
        <f>VLOOKUP($D50,Résultats!$B$2:$AZ$212,E$2,FALSE)</f>
        <v>#N/A</v>
      </c>
      <c r="F50" s="85" t="e">
        <f>VLOOKUP($D50,Résultats!$B$2:$AZ$212,F$2,FALSE)</f>
        <v>#N/A</v>
      </c>
      <c r="G50" s="85" t="e">
        <f>VLOOKUP($D50,Résultats!$B$2:$AZ$212,G$2,FALSE)</f>
        <v>#N/A</v>
      </c>
      <c r="H50" s="85" t="e">
        <f>VLOOKUP($D50,Résultats!$B$2:$AZ$212,H$2,FALSE)</f>
        <v>#N/A</v>
      </c>
      <c r="I50" s="85" t="e">
        <f>VLOOKUP($D50,Résultats!$B$2:$AZ$212,I$2,FALSE)</f>
        <v>#N/A</v>
      </c>
      <c r="J50" s="85" t="e">
        <f>VLOOKUP($D50,Résultats!$B$2:$AZ$212,J$2,FALSE)</f>
        <v>#N/A</v>
      </c>
      <c r="K50" s="85" t="e">
        <f>VLOOKUP($D50,Résultats!$B$2:$AZ$212,K$2,FALSE)</f>
        <v>#N/A</v>
      </c>
      <c r="L50" s="85" t="e">
        <f>VLOOKUP($D50,Résultats!$B$2:$AZ$212,L$2,FALSE)</f>
        <v>#N/A</v>
      </c>
      <c r="M50" s="85" t="e">
        <f>VLOOKUP($D50,Résultats!$B$2:$AZ$212,M$2,FALSE)</f>
        <v>#N/A</v>
      </c>
      <c r="N50" s="85" t="e">
        <f>VLOOKUP($D50,Résultats!$B$2:$AZ$212,N$2,FALSE)</f>
        <v>#N/A</v>
      </c>
      <c r="O50" s="85" t="e">
        <f>VLOOKUP($D50,Résultats!$B$2:$AZ$212,O$2,FALSE)</f>
        <v>#N/A</v>
      </c>
      <c r="P50" s="85" t="e">
        <f>VLOOKUP($D50,Résultats!$B$2:$AZ$212,P$2,FALSE)</f>
        <v>#N/A</v>
      </c>
      <c r="Q50" s="85" t="e">
        <f>VLOOKUP($D50,Résultats!$B$2:$AZ$212,Q$2,FALSE)</f>
        <v>#N/A</v>
      </c>
      <c r="R50" s="85" t="e">
        <f>VLOOKUP($D50,Résultats!$B$2:$AZ$212,R$2,FALSE)</f>
        <v>#N/A</v>
      </c>
      <c r="S50" s="85" t="e">
        <f>VLOOKUP($D50,Résultats!$B$2:$AZ$212,S$2,FALSE)</f>
        <v>#N/A</v>
      </c>
      <c r="T50" s="85" t="e">
        <f>VLOOKUP($D50,Résultats!$B$2:$AZ$212,T$2,FALSE)</f>
        <v>#N/A</v>
      </c>
      <c r="U50" s="85" t="e">
        <f>VLOOKUP($D50,Résultats!$B$2:$AZ$212,U$2,FALSE)</f>
        <v>#N/A</v>
      </c>
      <c r="V50" s="85" t="e">
        <f>VLOOKUP($D50,Résultats!$B$2:$AZ$212,V$2,FALSE)</f>
        <v>#N/A</v>
      </c>
      <c r="W50" s="85" t="e">
        <f>VLOOKUP($D50,Résultats!$B$2:$AZ$212,W$2,FALSE)</f>
        <v>#N/A</v>
      </c>
      <c r="X50" s="85" t="e">
        <f>VLOOKUP($D50,Résultats!$B$2:$AZ$212,X$2,FALSE)</f>
        <v>#N/A</v>
      </c>
      <c r="Y50" s="85" t="e">
        <f>VLOOKUP($D50,Résultats!$B$2:$AZ$212,Y$2,FALSE)</f>
        <v>#N/A</v>
      </c>
      <c r="Z50" s="85" t="e">
        <f>VLOOKUP($D50,Résultats!$B$2:$AZ$212,Z$2,FALSE)</f>
        <v>#N/A</v>
      </c>
      <c r="AA50" s="85" t="e">
        <f>VLOOKUP($D50,Résultats!$B$2:$AZ$212,AA$2,FALSE)</f>
        <v>#N/A</v>
      </c>
      <c r="AB50" s="85" t="e">
        <f>VLOOKUP($D50,Résultats!$B$2:$AZ$212,AB$2,FALSE)</f>
        <v>#N/A</v>
      </c>
      <c r="AC50" s="85" t="e">
        <f>VLOOKUP($D50,Résultats!$B$2:$AZ$212,AC$2,FALSE)</f>
        <v>#N/A</v>
      </c>
      <c r="AD50" s="85" t="e">
        <f>VLOOKUP($D50,Résultats!$B$2:$AZ$212,AD$2,FALSE)</f>
        <v>#N/A</v>
      </c>
      <c r="AE50" s="85" t="e">
        <f>VLOOKUP($D50,Résultats!$B$2:$AZ$212,AE$2,FALSE)</f>
        <v>#N/A</v>
      </c>
      <c r="AF50" s="85" t="e">
        <f>VLOOKUP($D50,Résultats!$B$2:$AZ$212,AF$2,FALSE)</f>
        <v>#N/A</v>
      </c>
      <c r="AG50" s="85" t="e">
        <f>VLOOKUP($D50,Résultats!$B$2:$AZ$212,AG$2,FALSE)</f>
        <v>#N/A</v>
      </c>
      <c r="AH50" s="85" t="e">
        <f>VLOOKUP($D50,Résultats!$B$2:$AZ$212,AH$2,FALSE)</f>
        <v>#N/A</v>
      </c>
      <c r="AI50" s="85" t="e">
        <f>VLOOKUP($D50,Résultats!$B$2:$AZ$212,AI$2,FALSE)</f>
        <v>#N/A</v>
      </c>
      <c r="AJ50" s="85" t="e">
        <f>VLOOKUP($D50,Résultats!$B$2:$AZ$212,AJ$2,FALSE)</f>
        <v>#N/A</v>
      </c>
      <c r="AK50" s="85" t="e">
        <f>VLOOKUP($D50,Résultats!$B$2:$AZ$212,AK$2,FALSE)</f>
        <v>#N/A</v>
      </c>
      <c r="AL50" s="85" t="e">
        <f>VLOOKUP($D50,Résultats!$B$2:$AZ$212,AL$2,FALSE)</f>
        <v>#N/A</v>
      </c>
      <c r="AM50" s="85" t="e">
        <f>VLOOKUP($D50,Résultats!$B$2:$AZ$212,AM$2,FALSE)</f>
        <v>#N/A</v>
      </c>
    </row>
    <row r="51" spans="3:40" x14ac:dyDescent="0.25">
      <c r="C51" s="86" t="s">
        <v>27</v>
      </c>
      <c r="D51" s="87" t="s">
        <v>53</v>
      </c>
      <c r="E51" s="31" t="e">
        <f>VLOOKUP($D51,Résultats!$B$2:$AZ$212,E$2,FALSE)</f>
        <v>#N/A</v>
      </c>
      <c r="F51" s="31" t="e">
        <f>VLOOKUP($D51,Résultats!$B$2:$AZ$212,F$2,FALSE)</f>
        <v>#N/A</v>
      </c>
      <c r="G51" s="31" t="e">
        <f>VLOOKUP($D51,Résultats!$B$2:$AZ$212,G$2,FALSE)</f>
        <v>#N/A</v>
      </c>
      <c r="H51" s="31" t="e">
        <f>VLOOKUP($D51,Résultats!$B$2:$AZ$212,H$2,FALSE)</f>
        <v>#N/A</v>
      </c>
      <c r="I51" s="31" t="e">
        <f>VLOOKUP($D51,Résultats!$B$2:$AZ$212,I$2,FALSE)</f>
        <v>#N/A</v>
      </c>
      <c r="J51" s="31" t="e">
        <f>VLOOKUP($D51,Résultats!$B$2:$AZ$212,J$2,FALSE)</f>
        <v>#N/A</v>
      </c>
      <c r="K51" s="31" t="e">
        <f>VLOOKUP($D51,Résultats!$B$2:$AZ$212,K$2,FALSE)</f>
        <v>#N/A</v>
      </c>
      <c r="L51" s="31" t="e">
        <f>VLOOKUP($D51,Résultats!$B$2:$AZ$212,L$2,FALSE)</f>
        <v>#N/A</v>
      </c>
      <c r="M51" s="31" t="e">
        <f>VLOOKUP($D51,Résultats!$B$2:$AZ$212,M$2,FALSE)</f>
        <v>#N/A</v>
      </c>
      <c r="N51" s="31" t="e">
        <f>VLOOKUP($D51,Résultats!$B$2:$AZ$212,N$2,FALSE)</f>
        <v>#N/A</v>
      </c>
      <c r="O51" s="31" t="e">
        <f>VLOOKUP($D51,Résultats!$B$2:$AZ$212,O$2,FALSE)</f>
        <v>#N/A</v>
      </c>
      <c r="P51" s="31" t="e">
        <f>VLOOKUP($D51,Résultats!$B$2:$AZ$212,P$2,FALSE)</f>
        <v>#N/A</v>
      </c>
      <c r="Q51" s="31" t="e">
        <f>VLOOKUP($D51,Résultats!$B$2:$AZ$212,Q$2,FALSE)</f>
        <v>#N/A</v>
      </c>
      <c r="R51" s="31" t="e">
        <f>VLOOKUP($D51,Résultats!$B$2:$AZ$212,R$2,FALSE)</f>
        <v>#N/A</v>
      </c>
      <c r="S51" s="31" t="e">
        <f>VLOOKUP($D51,Résultats!$B$2:$AZ$212,S$2,FALSE)</f>
        <v>#N/A</v>
      </c>
      <c r="T51" s="31" t="e">
        <f>VLOOKUP($D51,Résultats!$B$2:$AZ$212,T$2,FALSE)</f>
        <v>#N/A</v>
      </c>
      <c r="U51" s="31" t="e">
        <f>VLOOKUP($D51,Résultats!$B$2:$AZ$212,U$2,FALSE)</f>
        <v>#N/A</v>
      </c>
      <c r="V51" s="31" t="e">
        <f>VLOOKUP($D51,Résultats!$B$2:$AZ$212,V$2,FALSE)</f>
        <v>#N/A</v>
      </c>
      <c r="W51" s="31" t="e">
        <f>VLOOKUP($D51,Résultats!$B$2:$AZ$212,W$2,FALSE)</f>
        <v>#N/A</v>
      </c>
      <c r="X51" s="31" t="e">
        <f>VLOOKUP($D51,Résultats!$B$2:$AZ$212,X$2,FALSE)</f>
        <v>#N/A</v>
      </c>
      <c r="Y51" s="31" t="e">
        <f>VLOOKUP($D51,Résultats!$B$2:$AZ$212,Y$2,FALSE)</f>
        <v>#N/A</v>
      </c>
      <c r="Z51" s="31" t="e">
        <f>VLOOKUP($D51,Résultats!$B$2:$AZ$212,Z$2,FALSE)</f>
        <v>#N/A</v>
      </c>
      <c r="AA51" s="31" t="e">
        <f>VLOOKUP($D51,Résultats!$B$2:$AZ$212,AA$2,FALSE)</f>
        <v>#N/A</v>
      </c>
      <c r="AB51" s="31" t="e">
        <f>VLOOKUP($D51,Résultats!$B$2:$AZ$212,AB$2,FALSE)</f>
        <v>#N/A</v>
      </c>
      <c r="AC51" s="31" t="e">
        <f>VLOOKUP($D51,Résultats!$B$2:$AZ$212,AC$2,FALSE)</f>
        <v>#N/A</v>
      </c>
      <c r="AD51" s="31" t="e">
        <f>VLOOKUP($D51,Résultats!$B$2:$AZ$212,AD$2,FALSE)</f>
        <v>#N/A</v>
      </c>
      <c r="AE51" s="31" t="e">
        <f>VLOOKUP($D51,Résultats!$B$2:$AZ$212,AE$2,FALSE)</f>
        <v>#N/A</v>
      </c>
      <c r="AF51" s="31" t="e">
        <f>VLOOKUP($D51,Résultats!$B$2:$AZ$212,AF$2,FALSE)</f>
        <v>#N/A</v>
      </c>
      <c r="AG51" s="31" t="e">
        <f>VLOOKUP($D51,Résultats!$B$2:$AZ$212,AG$2,FALSE)</f>
        <v>#N/A</v>
      </c>
      <c r="AH51" s="31" t="e">
        <f>VLOOKUP($D51,Résultats!$B$2:$AZ$212,AH$2,FALSE)</f>
        <v>#N/A</v>
      </c>
      <c r="AI51" s="31" t="e">
        <f>VLOOKUP($D51,Résultats!$B$2:$AZ$212,AI$2,FALSE)</f>
        <v>#N/A</v>
      </c>
      <c r="AJ51" s="31" t="e">
        <f>VLOOKUP($D51,Résultats!$B$2:$AZ$212,AJ$2,FALSE)</f>
        <v>#N/A</v>
      </c>
      <c r="AK51" s="31" t="e">
        <f>VLOOKUP($D51,Résultats!$B$2:$AZ$212,AK$2,FALSE)</f>
        <v>#N/A</v>
      </c>
      <c r="AL51" s="31" t="e">
        <f>VLOOKUP($D51,Résultats!$B$2:$AZ$212,AL$2,FALSE)</f>
        <v>#N/A</v>
      </c>
      <c r="AM51" s="31" t="e">
        <f>VLOOKUP($D51,Résultats!$B$2:$AZ$212,AM$2,FALSE)</f>
        <v>#N/A</v>
      </c>
    </row>
    <row r="52" spans="3:40" x14ac:dyDescent="0.25">
      <c r="C52" s="56" t="s">
        <v>28</v>
      </c>
      <c r="D52" s="78" t="s">
        <v>54</v>
      </c>
      <c r="E52" s="31" t="e">
        <f>VLOOKUP($D52,Résultats!$B$2:$AZ$212,E$2,FALSE)</f>
        <v>#N/A</v>
      </c>
      <c r="F52" s="31" t="e">
        <f>VLOOKUP($D52,Résultats!$B$2:$AZ$212,F$2,FALSE)</f>
        <v>#N/A</v>
      </c>
      <c r="G52" s="31" t="e">
        <f>VLOOKUP($D52,Résultats!$B$2:$AZ$212,G$2,FALSE)</f>
        <v>#N/A</v>
      </c>
      <c r="H52" s="31" t="e">
        <f>VLOOKUP($D52,Résultats!$B$2:$AZ$212,H$2,FALSE)</f>
        <v>#N/A</v>
      </c>
      <c r="I52" s="31" t="e">
        <f>VLOOKUP($D52,Résultats!$B$2:$AZ$212,I$2,FALSE)</f>
        <v>#N/A</v>
      </c>
      <c r="J52" s="31" t="e">
        <f>VLOOKUP($D52,Résultats!$B$2:$AZ$212,J$2,FALSE)</f>
        <v>#N/A</v>
      </c>
      <c r="K52" s="31" t="e">
        <f>VLOOKUP($D52,Résultats!$B$2:$AZ$212,K$2,FALSE)</f>
        <v>#N/A</v>
      </c>
      <c r="L52" s="31" t="e">
        <f>VLOOKUP($D52,Résultats!$B$2:$AZ$212,L$2,FALSE)</f>
        <v>#N/A</v>
      </c>
      <c r="M52" s="31" t="e">
        <f>VLOOKUP($D52,Résultats!$B$2:$AZ$212,M$2,FALSE)</f>
        <v>#N/A</v>
      </c>
      <c r="N52" s="31" t="e">
        <f>VLOOKUP($D52,Résultats!$B$2:$AZ$212,N$2,FALSE)</f>
        <v>#N/A</v>
      </c>
      <c r="O52" s="31" t="e">
        <f>VLOOKUP($D52,Résultats!$B$2:$AZ$212,O$2,FALSE)</f>
        <v>#N/A</v>
      </c>
      <c r="P52" s="31" t="e">
        <f>VLOOKUP($D52,Résultats!$B$2:$AZ$212,P$2,FALSE)</f>
        <v>#N/A</v>
      </c>
      <c r="Q52" s="31" t="e">
        <f>VLOOKUP($D52,Résultats!$B$2:$AZ$212,Q$2,FALSE)</f>
        <v>#N/A</v>
      </c>
      <c r="R52" s="31" t="e">
        <f>VLOOKUP($D52,Résultats!$B$2:$AZ$212,R$2,FALSE)</f>
        <v>#N/A</v>
      </c>
      <c r="S52" s="31" t="e">
        <f>VLOOKUP($D52,Résultats!$B$2:$AZ$212,S$2,FALSE)</f>
        <v>#N/A</v>
      </c>
      <c r="T52" s="31" t="e">
        <f>VLOOKUP($D52,Résultats!$B$2:$AZ$212,T$2,FALSE)</f>
        <v>#N/A</v>
      </c>
      <c r="U52" s="31" t="e">
        <f>VLOOKUP($D52,Résultats!$B$2:$AZ$212,U$2,FALSE)</f>
        <v>#N/A</v>
      </c>
      <c r="V52" s="31" t="e">
        <f>VLOOKUP($D52,Résultats!$B$2:$AZ$212,V$2,FALSE)</f>
        <v>#N/A</v>
      </c>
      <c r="W52" s="31" t="e">
        <f>VLOOKUP($D52,Résultats!$B$2:$AZ$212,W$2,FALSE)</f>
        <v>#N/A</v>
      </c>
      <c r="X52" s="31" t="e">
        <f>VLOOKUP($D52,Résultats!$B$2:$AZ$212,X$2,FALSE)</f>
        <v>#N/A</v>
      </c>
      <c r="Y52" s="31" t="e">
        <f>VLOOKUP($D52,Résultats!$B$2:$AZ$212,Y$2,FALSE)</f>
        <v>#N/A</v>
      </c>
      <c r="Z52" s="31" t="e">
        <f>VLOOKUP($D52,Résultats!$B$2:$AZ$212,Z$2,FALSE)</f>
        <v>#N/A</v>
      </c>
      <c r="AA52" s="31" t="e">
        <f>VLOOKUP($D52,Résultats!$B$2:$AZ$212,AA$2,FALSE)</f>
        <v>#N/A</v>
      </c>
      <c r="AB52" s="31" t="e">
        <f>VLOOKUP($D52,Résultats!$B$2:$AZ$212,AB$2,FALSE)</f>
        <v>#N/A</v>
      </c>
      <c r="AC52" s="31" t="e">
        <f>VLOOKUP($D52,Résultats!$B$2:$AZ$212,AC$2,FALSE)</f>
        <v>#N/A</v>
      </c>
      <c r="AD52" s="31" t="e">
        <f>VLOOKUP($D52,Résultats!$B$2:$AZ$212,AD$2,FALSE)</f>
        <v>#N/A</v>
      </c>
      <c r="AE52" s="31" t="e">
        <f>VLOOKUP($D52,Résultats!$B$2:$AZ$212,AE$2,FALSE)</f>
        <v>#N/A</v>
      </c>
      <c r="AF52" s="31" t="e">
        <f>VLOOKUP($D52,Résultats!$B$2:$AZ$212,AF$2,FALSE)</f>
        <v>#N/A</v>
      </c>
      <c r="AG52" s="31" t="e">
        <f>VLOOKUP($D52,Résultats!$B$2:$AZ$212,AG$2,FALSE)</f>
        <v>#N/A</v>
      </c>
      <c r="AH52" s="31" t="e">
        <f>VLOOKUP($D52,Résultats!$B$2:$AZ$212,AH$2,FALSE)</f>
        <v>#N/A</v>
      </c>
      <c r="AI52" s="31" t="e">
        <f>VLOOKUP($D52,Résultats!$B$2:$AZ$212,AI$2,FALSE)</f>
        <v>#N/A</v>
      </c>
      <c r="AJ52" s="31" t="e">
        <f>VLOOKUP($D52,Résultats!$B$2:$AZ$212,AJ$2,FALSE)</f>
        <v>#N/A</v>
      </c>
      <c r="AK52" s="31" t="e">
        <f>VLOOKUP($D52,Résultats!$B$2:$AZ$212,AK$2,FALSE)</f>
        <v>#N/A</v>
      </c>
      <c r="AL52" s="31" t="e">
        <f>VLOOKUP($D52,Résultats!$B$2:$AZ$212,AL$2,FALSE)</f>
        <v>#N/A</v>
      </c>
      <c r="AM52" s="31" t="e">
        <f>VLOOKUP($D52,Résultats!$B$2:$AZ$212,AM$2,FALSE)</f>
        <v>#N/A</v>
      </c>
    </row>
    <row r="53" spans="3:40" x14ac:dyDescent="0.25">
      <c r="C53" s="56" t="s">
        <v>29</v>
      </c>
      <c r="D53" s="78" t="s">
        <v>55</v>
      </c>
      <c r="E53" s="31" t="e">
        <f>VLOOKUP($D53,Résultats!$B$2:$AZ$212,E$2,FALSE)</f>
        <v>#N/A</v>
      </c>
      <c r="F53" s="31" t="e">
        <f>VLOOKUP($D53,Résultats!$B$2:$AZ$212,F$2,FALSE)</f>
        <v>#N/A</v>
      </c>
      <c r="G53" s="31" t="e">
        <f>VLOOKUP($D53,Résultats!$B$2:$AZ$212,G$2,FALSE)</f>
        <v>#N/A</v>
      </c>
      <c r="H53" s="31" t="e">
        <f>VLOOKUP($D53,Résultats!$B$2:$AZ$212,H$2,FALSE)</f>
        <v>#N/A</v>
      </c>
      <c r="I53" s="31" t="e">
        <f>VLOOKUP($D53,Résultats!$B$2:$AZ$212,I$2,FALSE)</f>
        <v>#N/A</v>
      </c>
      <c r="J53" s="31" t="e">
        <f>VLOOKUP($D53,Résultats!$B$2:$AZ$212,J$2,FALSE)</f>
        <v>#N/A</v>
      </c>
      <c r="K53" s="31" t="e">
        <f>VLOOKUP($D53,Résultats!$B$2:$AZ$212,K$2,FALSE)</f>
        <v>#N/A</v>
      </c>
      <c r="L53" s="31" t="e">
        <f>VLOOKUP($D53,Résultats!$B$2:$AZ$212,L$2,FALSE)</f>
        <v>#N/A</v>
      </c>
      <c r="M53" s="31" t="e">
        <f>VLOOKUP($D53,Résultats!$B$2:$AZ$212,M$2,FALSE)</f>
        <v>#N/A</v>
      </c>
      <c r="N53" s="31" t="e">
        <f>VLOOKUP($D53,Résultats!$B$2:$AZ$212,N$2,FALSE)</f>
        <v>#N/A</v>
      </c>
      <c r="O53" s="31" t="e">
        <f>VLOOKUP($D53,Résultats!$B$2:$AZ$212,O$2,FALSE)</f>
        <v>#N/A</v>
      </c>
      <c r="P53" s="31" t="e">
        <f>VLOOKUP($D53,Résultats!$B$2:$AZ$212,P$2,FALSE)</f>
        <v>#N/A</v>
      </c>
      <c r="Q53" s="31" t="e">
        <f>VLOOKUP($D53,Résultats!$B$2:$AZ$212,Q$2,FALSE)</f>
        <v>#N/A</v>
      </c>
      <c r="R53" s="31" t="e">
        <f>VLOOKUP($D53,Résultats!$B$2:$AZ$212,R$2,FALSE)</f>
        <v>#N/A</v>
      </c>
      <c r="S53" s="31" t="e">
        <f>VLOOKUP($D53,Résultats!$B$2:$AZ$212,S$2,FALSE)</f>
        <v>#N/A</v>
      </c>
      <c r="T53" s="31" t="e">
        <f>VLOOKUP($D53,Résultats!$B$2:$AZ$212,T$2,FALSE)</f>
        <v>#N/A</v>
      </c>
      <c r="U53" s="31" t="e">
        <f>VLOOKUP($D53,Résultats!$B$2:$AZ$212,U$2,FALSE)</f>
        <v>#N/A</v>
      </c>
      <c r="V53" s="31" t="e">
        <f>VLOOKUP($D53,Résultats!$B$2:$AZ$212,V$2,FALSE)</f>
        <v>#N/A</v>
      </c>
      <c r="W53" s="31" t="e">
        <f>VLOOKUP($D53,Résultats!$B$2:$AZ$212,W$2,FALSE)</f>
        <v>#N/A</v>
      </c>
      <c r="X53" s="31" t="e">
        <f>VLOOKUP($D53,Résultats!$B$2:$AZ$212,X$2,FALSE)</f>
        <v>#N/A</v>
      </c>
      <c r="Y53" s="31" t="e">
        <f>VLOOKUP($D53,Résultats!$B$2:$AZ$212,Y$2,FALSE)</f>
        <v>#N/A</v>
      </c>
      <c r="Z53" s="31" t="e">
        <f>VLOOKUP($D53,Résultats!$B$2:$AZ$212,Z$2,FALSE)</f>
        <v>#N/A</v>
      </c>
      <c r="AA53" s="31" t="e">
        <f>VLOOKUP($D53,Résultats!$B$2:$AZ$212,AA$2,FALSE)</f>
        <v>#N/A</v>
      </c>
      <c r="AB53" s="31" t="e">
        <f>VLOOKUP($D53,Résultats!$B$2:$AZ$212,AB$2,FALSE)</f>
        <v>#N/A</v>
      </c>
      <c r="AC53" s="31" t="e">
        <f>VLOOKUP($D53,Résultats!$B$2:$AZ$212,AC$2,FALSE)</f>
        <v>#N/A</v>
      </c>
      <c r="AD53" s="31" t="e">
        <f>VLOOKUP($D53,Résultats!$B$2:$AZ$212,AD$2,FALSE)</f>
        <v>#N/A</v>
      </c>
      <c r="AE53" s="31" t="e">
        <f>VLOOKUP($D53,Résultats!$B$2:$AZ$212,AE$2,FALSE)</f>
        <v>#N/A</v>
      </c>
      <c r="AF53" s="31" t="e">
        <f>VLOOKUP($D53,Résultats!$B$2:$AZ$212,AF$2,FALSE)</f>
        <v>#N/A</v>
      </c>
      <c r="AG53" s="31" t="e">
        <f>VLOOKUP($D53,Résultats!$B$2:$AZ$212,AG$2,FALSE)</f>
        <v>#N/A</v>
      </c>
      <c r="AH53" s="31" t="e">
        <f>VLOOKUP($D53,Résultats!$B$2:$AZ$212,AH$2,FALSE)</f>
        <v>#N/A</v>
      </c>
      <c r="AI53" s="31" t="e">
        <f>VLOOKUP($D53,Résultats!$B$2:$AZ$212,AI$2,FALSE)</f>
        <v>#N/A</v>
      </c>
      <c r="AJ53" s="31" t="e">
        <f>VLOOKUP($D53,Résultats!$B$2:$AZ$212,AJ$2,FALSE)</f>
        <v>#N/A</v>
      </c>
      <c r="AK53" s="31" t="e">
        <f>VLOOKUP($D53,Résultats!$B$2:$AZ$212,AK$2,FALSE)</f>
        <v>#N/A</v>
      </c>
      <c r="AL53" s="31" t="e">
        <f>VLOOKUP($D53,Résultats!$B$2:$AZ$212,AL$2,FALSE)</f>
        <v>#N/A</v>
      </c>
      <c r="AM53" s="31" t="e">
        <f>VLOOKUP($D53,Résultats!$B$2:$AZ$212,AM$2,FALSE)</f>
        <v>#N/A</v>
      </c>
    </row>
    <row r="54" spans="3:40" x14ac:dyDescent="0.25">
      <c r="C54" s="56" t="s">
        <v>30</v>
      </c>
      <c r="D54" s="78" t="s">
        <v>56</v>
      </c>
      <c r="E54" s="31" t="e">
        <f>VLOOKUP($D54,Résultats!$B$2:$AZ$212,E$2,FALSE)</f>
        <v>#N/A</v>
      </c>
      <c r="F54" s="31" t="e">
        <f>VLOOKUP($D54,Résultats!$B$2:$AZ$212,F$2,FALSE)</f>
        <v>#N/A</v>
      </c>
      <c r="G54" s="31" t="e">
        <f>VLOOKUP($D54,Résultats!$B$2:$AZ$212,G$2,FALSE)</f>
        <v>#N/A</v>
      </c>
      <c r="H54" s="31" t="e">
        <f>VLOOKUP($D54,Résultats!$B$2:$AZ$212,H$2,FALSE)</f>
        <v>#N/A</v>
      </c>
      <c r="I54" s="31" t="e">
        <f>VLOOKUP($D54,Résultats!$B$2:$AZ$212,I$2,FALSE)</f>
        <v>#N/A</v>
      </c>
      <c r="J54" s="31" t="e">
        <f>VLOOKUP($D54,Résultats!$B$2:$AZ$212,J$2,FALSE)</f>
        <v>#N/A</v>
      </c>
      <c r="K54" s="31" t="e">
        <f>VLOOKUP($D54,Résultats!$B$2:$AZ$212,K$2,FALSE)</f>
        <v>#N/A</v>
      </c>
      <c r="L54" s="31" t="e">
        <f>VLOOKUP($D54,Résultats!$B$2:$AZ$212,L$2,FALSE)</f>
        <v>#N/A</v>
      </c>
      <c r="M54" s="31" t="e">
        <f>VLOOKUP($D54,Résultats!$B$2:$AZ$212,M$2,FALSE)</f>
        <v>#N/A</v>
      </c>
      <c r="N54" s="31" t="e">
        <f>VLOOKUP($D54,Résultats!$B$2:$AZ$212,N$2,FALSE)</f>
        <v>#N/A</v>
      </c>
      <c r="O54" s="31" t="e">
        <f>VLOOKUP($D54,Résultats!$B$2:$AZ$212,O$2,FALSE)</f>
        <v>#N/A</v>
      </c>
      <c r="P54" s="31" t="e">
        <f>VLOOKUP($D54,Résultats!$B$2:$AZ$212,P$2,FALSE)</f>
        <v>#N/A</v>
      </c>
      <c r="Q54" s="31" t="e">
        <f>VLOOKUP($D54,Résultats!$B$2:$AZ$212,Q$2,FALSE)</f>
        <v>#N/A</v>
      </c>
      <c r="R54" s="31" t="e">
        <f>VLOOKUP($D54,Résultats!$B$2:$AZ$212,R$2,FALSE)</f>
        <v>#N/A</v>
      </c>
      <c r="S54" s="31" t="e">
        <f>VLOOKUP($D54,Résultats!$B$2:$AZ$212,S$2,FALSE)</f>
        <v>#N/A</v>
      </c>
      <c r="T54" s="31" t="e">
        <f>VLOOKUP($D54,Résultats!$B$2:$AZ$212,T$2,FALSE)</f>
        <v>#N/A</v>
      </c>
      <c r="U54" s="31" t="e">
        <f>VLOOKUP($D54,Résultats!$B$2:$AZ$212,U$2,FALSE)</f>
        <v>#N/A</v>
      </c>
      <c r="V54" s="31" t="e">
        <f>VLOOKUP($D54,Résultats!$B$2:$AZ$212,V$2,FALSE)</f>
        <v>#N/A</v>
      </c>
      <c r="W54" s="31" t="e">
        <f>VLOOKUP($D54,Résultats!$B$2:$AZ$212,W$2,FALSE)</f>
        <v>#N/A</v>
      </c>
      <c r="X54" s="31" t="e">
        <f>VLOOKUP($D54,Résultats!$B$2:$AZ$212,X$2,FALSE)</f>
        <v>#N/A</v>
      </c>
      <c r="Y54" s="31" t="e">
        <f>VLOOKUP($D54,Résultats!$B$2:$AZ$212,Y$2,FALSE)</f>
        <v>#N/A</v>
      </c>
      <c r="Z54" s="31" t="e">
        <f>VLOOKUP($D54,Résultats!$B$2:$AZ$212,Z$2,FALSE)</f>
        <v>#N/A</v>
      </c>
      <c r="AA54" s="31" t="e">
        <f>VLOOKUP($D54,Résultats!$B$2:$AZ$212,AA$2,FALSE)</f>
        <v>#N/A</v>
      </c>
      <c r="AB54" s="31" t="e">
        <f>VLOOKUP($D54,Résultats!$B$2:$AZ$212,AB$2,FALSE)</f>
        <v>#N/A</v>
      </c>
      <c r="AC54" s="31" t="e">
        <f>VLOOKUP($D54,Résultats!$B$2:$AZ$212,AC$2,FALSE)</f>
        <v>#N/A</v>
      </c>
      <c r="AD54" s="31" t="e">
        <f>VLOOKUP($D54,Résultats!$B$2:$AZ$212,AD$2,FALSE)</f>
        <v>#N/A</v>
      </c>
      <c r="AE54" s="31" t="e">
        <f>VLOOKUP($D54,Résultats!$B$2:$AZ$212,AE$2,FALSE)</f>
        <v>#N/A</v>
      </c>
      <c r="AF54" s="31" t="e">
        <f>VLOOKUP($D54,Résultats!$B$2:$AZ$212,AF$2,FALSE)</f>
        <v>#N/A</v>
      </c>
      <c r="AG54" s="31" t="e">
        <f>VLOOKUP($D54,Résultats!$B$2:$AZ$212,AG$2,FALSE)</f>
        <v>#N/A</v>
      </c>
      <c r="AH54" s="31" t="e">
        <f>VLOOKUP($D54,Résultats!$B$2:$AZ$212,AH$2,FALSE)</f>
        <v>#N/A</v>
      </c>
      <c r="AI54" s="31" t="e">
        <f>VLOOKUP($D54,Résultats!$B$2:$AZ$212,AI$2,FALSE)</f>
        <v>#N/A</v>
      </c>
      <c r="AJ54" s="31" t="e">
        <f>VLOOKUP($D54,Résultats!$B$2:$AZ$212,AJ$2,FALSE)</f>
        <v>#N/A</v>
      </c>
      <c r="AK54" s="31" t="e">
        <f>VLOOKUP($D54,Résultats!$B$2:$AZ$212,AK$2,FALSE)</f>
        <v>#N/A</v>
      </c>
      <c r="AL54" s="31" t="e">
        <f>VLOOKUP($D54,Résultats!$B$2:$AZ$212,AL$2,FALSE)</f>
        <v>#N/A</v>
      </c>
      <c r="AM54" s="31" t="e">
        <f>VLOOKUP($D54,Résultats!$B$2:$AZ$212,AM$2,FALSE)</f>
        <v>#N/A</v>
      </c>
    </row>
    <row r="55" spans="3:40" x14ac:dyDescent="0.25">
      <c r="C55" s="56" t="s">
        <v>31</v>
      </c>
      <c r="D55" s="78" t="s">
        <v>57</v>
      </c>
      <c r="E55" s="31" t="e">
        <f>VLOOKUP($D55,Résultats!$B$2:$AZ$212,E$2,FALSE)</f>
        <v>#N/A</v>
      </c>
      <c r="F55" s="31" t="e">
        <f>VLOOKUP($D55,Résultats!$B$2:$AZ$212,F$2,FALSE)</f>
        <v>#N/A</v>
      </c>
      <c r="G55" s="31" t="e">
        <f>VLOOKUP($D55,Résultats!$B$2:$AZ$212,G$2,FALSE)</f>
        <v>#N/A</v>
      </c>
      <c r="H55" s="31" t="e">
        <f>VLOOKUP($D55,Résultats!$B$2:$AZ$212,H$2,FALSE)</f>
        <v>#N/A</v>
      </c>
      <c r="I55" s="31" t="e">
        <f>VLOOKUP($D55,Résultats!$B$2:$AZ$212,I$2,FALSE)</f>
        <v>#N/A</v>
      </c>
      <c r="J55" s="31" t="e">
        <f>VLOOKUP($D55,Résultats!$B$2:$AZ$212,J$2,FALSE)</f>
        <v>#N/A</v>
      </c>
      <c r="K55" s="31" t="e">
        <f>VLOOKUP($D55,Résultats!$B$2:$AZ$212,K$2,FALSE)</f>
        <v>#N/A</v>
      </c>
      <c r="L55" s="31" t="e">
        <f>VLOOKUP($D55,Résultats!$B$2:$AZ$212,L$2,FALSE)</f>
        <v>#N/A</v>
      </c>
      <c r="M55" s="31" t="e">
        <f>VLOOKUP($D55,Résultats!$B$2:$AZ$212,M$2,FALSE)</f>
        <v>#N/A</v>
      </c>
      <c r="N55" s="31" t="e">
        <f>VLOOKUP($D55,Résultats!$B$2:$AZ$212,N$2,FALSE)</f>
        <v>#N/A</v>
      </c>
      <c r="O55" s="31" t="e">
        <f>VLOOKUP($D55,Résultats!$B$2:$AZ$212,O$2,FALSE)</f>
        <v>#N/A</v>
      </c>
      <c r="P55" s="31" t="e">
        <f>VLOOKUP($D55,Résultats!$B$2:$AZ$212,P$2,FALSE)</f>
        <v>#N/A</v>
      </c>
      <c r="Q55" s="31" t="e">
        <f>VLOOKUP($D55,Résultats!$B$2:$AZ$212,Q$2,FALSE)</f>
        <v>#N/A</v>
      </c>
      <c r="R55" s="31" t="e">
        <f>VLOOKUP($D55,Résultats!$B$2:$AZ$212,R$2,FALSE)</f>
        <v>#N/A</v>
      </c>
      <c r="S55" s="31" t="e">
        <f>VLOOKUP($D55,Résultats!$B$2:$AZ$212,S$2,FALSE)</f>
        <v>#N/A</v>
      </c>
      <c r="T55" s="31" t="e">
        <f>VLOOKUP($D55,Résultats!$B$2:$AZ$212,T$2,FALSE)</f>
        <v>#N/A</v>
      </c>
      <c r="U55" s="31" t="e">
        <f>VLOOKUP($D55,Résultats!$B$2:$AZ$212,U$2,FALSE)</f>
        <v>#N/A</v>
      </c>
      <c r="V55" s="31" t="e">
        <f>VLOOKUP($D55,Résultats!$B$2:$AZ$212,V$2,FALSE)</f>
        <v>#N/A</v>
      </c>
      <c r="W55" s="31" t="e">
        <f>VLOOKUP($D55,Résultats!$B$2:$AZ$212,W$2,FALSE)</f>
        <v>#N/A</v>
      </c>
      <c r="X55" s="31" t="e">
        <f>VLOOKUP($D55,Résultats!$B$2:$AZ$212,X$2,FALSE)</f>
        <v>#N/A</v>
      </c>
      <c r="Y55" s="31" t="e">
        <f>VLOOKUP($D55,Résultats!$B$2:$AZ$212,Y$2,FALSE)</f>
        <v>#N/A</v>
      </c>
      <c r="Z55" s="31" t="e">
        <f>VLOOKUP($D55,Résultats!$B$2:$AZ$212,Z$2,FALSE)</f>
        <v>#N/A</v>
      </c>
      <c r="AA55" s="31" t="e">
        <f>VLOOKUP($D55,Résultats!$B$2:$AZ$212,AA$2,FALSE)</f>
        <v>#N/A</v>
      </c>
      <c r="AB55" s="31" t="e">
        <f>VLOOKUP($D55,Résultats!$B$2:$AZ$212,AB$2,FALSE)</f>
        <v>#N/A</v>
      </c>
      <c r="AC55" s="31" t="e">
        <f>VLOOKUP($D55,Résultats!$B$2:$AZ$212,AC$2,FALSE)</f>
        <v>#N/A</v>
      </c>
      <c r="AD55" s="31" t="e">
        <f>VLOOKUP($D55,Résultats!$B$2:$AZ$212,AD$2,FALSE)</f>
        <v>#N/A</v>
      </c>
      <c r="AE55" s="31" t="e">
        <f>VLOOKUP($D55,Résultats!$B$2:$AZ$212,AE$2,FALSE)</f>
        <v>#N/A</v>
      </c>
      <c r="AF55" s="31" t="e">
        <f>VLOOKUP($D55,Résultats!$B$2:$AZ$212,AF$2,FALSE)</f>
        <v>#N/A</v>
      </c>
      <c r="AG55" s="31" t="e">
        <f>VLOOKUP($D55,Résultats!$B$2:$AZ$212,AG$2,FALSE)</f>
        <v>#N/A</v>
      </c>
      <c r="AH55" s="31" t="e">
        <f>VLOOKUP($D55,Résultats!$B$2:$AZ$212,AH$2,FALSE)</f>
        <v>#N/A</v>
      </c>
      <c r="AI55" s="31" t="e">
        <f>VLOOKUP($D55,Résultats!$B$2:$AZ$212,AI$2,FALSE)</f>
        <v>#N/A</v>
      </c>
      <c r="AJ55" s="31" t="e">
        <f>VLOOKUP($D55,Résultats!$B$2:$AZ$212,AJ$2,FALSE)</f>
        <v>#N/A</v>
      </c>
      <c r="AK55" s="31" t="e">
        <f>VLOOKUP($D55,Résultats!$B$2:$AZ$212,AK$2,FALSE)</f>
        <v>#N/A</v>
      </c>
      <c r="AL55" s="31" t="e">
        <f>VLOOKUP($D55,Résultats!$B$2:$AZ$212,AL$2,FALSE)</f>
        <v>#N/A</v>
      </c>
      <c r="AM55" s="31" t="e">
        <f>VLOOKUP($D55,Résultats!$B$2:$AZ$212,AM$2,FALSE)</f>
        <v>#N/A</v>
      </c>
    </row>
    <row r="56" spans="3:40" x14ac:dyDescent="0.25">
      <c r="C56" s="56" t="s">
        <v>32</v>
      </c>
      <c r="D56" s="78" t="s">
        <v>58</v>
      </c>
      <c r="E56" s="31" t="e">
        <f>VLOOKUP($D56,Résultats!$B$2:$AZ$212,E$2,FALSE)</f>
        <v>#N/A</v>
      </c>
      <c r="F56" s="31" t="e">
        <f>VLOOKUP($D56,Résultats!$B$2:$AZ$212,F$2,FALSE)</f>
        <v>#N/A</v>
      </c>
      <c r="G56" s="31" t="e">
        <f>VLOOKUP($D56,Résultats!$B$2:$AZ$212,G$2,FALSE)</f>
        <v>#N/A</v>
      </c>
      <c r="H56" s="31" t="e">
        <f>VLOOKUP($D56,Résultats!$B$2:$AZ$212,H$2,FALSE)</f>
        <v>#N/A</v>
      </c>
      <c r="I56" s="31" t="e">
        <f>VLOOKUP($D56,Résultats!$B$2:$AZ$212,I$2,FALSE)</f>
        <v>#N/A</v>
      </c>
      <c r="J56" s="31" t="e">
        <f>VLOOKUP($D56,Résultats!$B$2:$AZ$212,J$2,FALSE)</f>
        <v>#N/A</v>
      </c>
      <c r="K56" s="31" t="e">
        <f>VLOOKUP($D56,Résultats!$B$2:$AZ$212,K$2,FALSE)</f>
        <v>#N/A</v>
      </c>
      <c r="L56" s="31" t="e">
        <f>VLOOKUP($D56,Résultats!$B$2:$AZ$212,L$2,FALSE)</f>
        <v>#N/A</v>
      </c>
      <c r="M56" s="31" t="e">
        <f>VLOOKUP($D56,Résultats!$B$2:$AZ$212,M$2,FALSE)</f>
        <v>#N/A</v>
      </c>
      <c r="N56" s="31" t="e">
        <f>VLOOKUP($D56,Résultats!$B$2:$AZ$212,N$2,FALSE)</f>
        <v>#N/A</v>
      </c>
      <c r="O56" s="31" t="e">
        <f>VLOOKUP($D56,Résultats!$B$2:$AZ$212,O$2,FALSE)</f>
        <v>#N/A</v>
      </c>
      <c r="P56" s="31" t="e">
        <f>VLOOKUP($D56,Résultats!$B$2:$AZ$212,P$2,FALSE)</f>
        <v>#N/A</v>
      </c>
      <c r="Q56" s="31" t="e">
        <f>VLOOKUP($D56,Résultats!$B$2:$AZ$212,Q$2,FALSE)</f>
        <v>#N/A</v>
      </c>
      <c r="R56" s="31" t="e">
        <f>VLOOKUP($D56,Résultats!$B$2:$AZ$212,R$2,FALSE)</f>
        <v>#N/A</v>
      </c>
      <c r="S56" s="31" t="e">
        <f>VLOOKUP($D56,Résultats!$B$2:$AZ$212,S$2,FALSE)</f>
        <v>#N/A</v>
      </c>
      <c r="T56" s="31" t="e">
        <f>VLOOKUP($D56,Résultats!$B$2:$AZ$212,T$2,FALSE)</f>
        <v>#N/A</v>
      </c>
      <c r="U56" s="31" t="e">
        <f>VLOOKUP($D56,Résultats!$B$2:$AZ$212,U$2,FALSE)</f>
        <v>#N/A</v>
      </c>
      <c r="V56" s="31" t="e">
        <f>VLOOKUP($D56,Résultats!$B$2:$AZ$212,V$2,FALSE)</f>
        <v>#N/A</v>
      </c>
      <c r="W56" s="31" t="e">
        <f>VLOOKUP($D56,Résultats!$B$2:$AZ$212,W$2,FALSE)</f>
        <v>#N/A</v>
      </c>
      <c r="X56" s="31" t="e">
        <f>VLOOKUP($D56,Résultats!$B$2:$AZ$212,X$2,FALSE)</f>
        <v>#N/A</v>
      </c>
      <c r="Y56" s="31" t="e">
        <f>VLOOKUP($D56,Résultats!$B$2:$AZ$212,Y$2,FALSE)</f>
        <v>#N/A</v>
      </c>
      <c r="Z56" s="31" t="e">
        <f>VLOOKUP($D56,Résultats!$B$2:$AZ$212,Z$2,FALSE)</f>
        <v>#N/A</v>
      </c>
      <c r="AA56" s="31" t="e">
        <f>VLOOKUP($D56,Résultats!$B$2:$AZ$212,AA$2,FALSE)</f>
        <v>#N/A</v>
      </c>
      <c r="AB56" s="31" t="e">
        <f>VLOOKUP($D56,Résultats!$B$2:$AZ$212,AB$2,FALSE)</f>
        <v>#N/A</v>
      </c>
      <c r="AC56" s="31" t="e">
        <f>VLOOKUP($D56,Résultats!$B$2:$AZ$212,AC$2,FALSE)</f>
        <v>#N/A</v>
      </c>
      <c r="AD56" s="31" t="e">
        <f>VLOOKUP($D56,Résultats!$B$2:$AZ$212,AD$2,FALSE)</f>
        <v>#N/A</v>
      </c>
      <c r="AE56" s="31" t="e">
        <f>VLOOKUP($D56,Résultats!$B$2:$AZ$212,AE$2,FALSE)</f>
        <v>#N/A</v>
      </c>
      <c r="AF56" s="31" t="e">
        <f>VLOOKUP($D56,Résultats!$B$2:$AZ$212,AF$2,FALSE)</f>
        <v>#N/A</v>
      </c>
      <c r="AG56" s="31" t="e">
        <f>VLOOKUP($D56,Résultats!$B$2:$AZ$212,AG$2,FALSE)</f>
        <v>#N/A</v>
      </c>
      <c r="AH56" s="31" t="e">
        <f>VLOOKUP($D56,Résultats!$B$2:$AZ$212,AH$2,FALSE)</f>
        <v>#N/A</v>
      </c>
      <c r="AI56" s="31" t="e">
        <f>VLOOKUP($D56,Résultats!$B$2:$AZ$212,AI$2,FALSE)</f>
        <v>#N/A</v>
      </c>
      <c r="AJ56" s="31" t="e">
        <f>VLOOKUP($D56,Résultats!$B$2:$AZ$212,AJ$2,FALSE)</f>
        <v>#N/A</v>
      </c>
      <c r="AK56" s="31" t="e">
        <f>VLOOKUP($D56,Résultats!$B$2:$AZ$212,AK$2,FALSE)</f>
        <v>#N/A</v>
      </c>
      <c r="AL56" s="31" t="e">
        <f>VLOOKUP($D56,Résultats!$B$2:$AZ$212,AL$2,FALSE)</f>
        <v>#N/A</v>
      </c>
      <c r="AM56" s="31" t="e">
        <f>VLOOKUP($D56,Résultats!$B$2:$AZ$212,AM$2,FALSE)</f>
        <v>#N/A</v>
      </c>
    </row>
    <row r="57" spans="3:40" x14ac:dyDescent="0.25">
      <c r="C57" s="56" t="s">
        <v>33</v>
      </c>
      <c r="D57" s="78" t="s">
        <v>59</v>
      </c>
      <c r="E57" s="31" t="e">
        <f>VLOOKUP($D57,Résultats!$B$2:$AZ$212,E$2,FALSE)</f>
        <v>#N/A</v>
      </c>
      <c r="F57" s="31" t="e">
        <f>VLOOKUP($D57,Résultats!$B$2:$AZ$212,F$2,FALSE)</f>
        <v>#N/A</v>
      </c>
      <c r="G57" s="31" t="e">
        <f>VLOOKUP($D57,Résultats!$B$2:$AZ$212,G$2,FALSE)</f>
        <v>#N/A</v>
      </c>
      <c r="H57" s="31" t="e">
        <f>VLOOKUP($D57,Résultats!$B$2:$AZ$212,H$2,FALSE)</f>
        <v>#N/A</v>
      </c>
      <c r="I57" s="31" t="e">
        <f>VLOOKUP($D57,Résultats!$B$2:$AZ$212,I$2,FALSE)</f>
        <v>#N/A</v>
      </c>
      <c r="J57" s="31" t="e">
        <f>VLOOKUP($D57,Résultats!$B$2:$AZ$212,J$2,FALSE)</f>
        <v>#N/A</v>
      </c>
      <c r="K57" s="31" t="e">
        <f>VLOOKUP($D57,Résultats!$B$2:$AZ$212,K$2,FALSE)</f>
        <v>#N/A</v>
      </c>
      <c r="L57" s="31" t="e">
        <f>VLOOKUP($D57,Résultats!$B$2:$AZ$212,L$2,FALSE)</f>
        <v>#N/A</v>
      </c>
      <c r="M57" s="31" t="e">
        <f>VLOOKUP($D57,Résultats!$B$2:$AZ$212,M$2,FALSE)</f>
        <v>#N/A</v>
      </c>
      <c r="N57" s="31" t="e">
        <f>VLOOKUP($D57,Résultats!$B$2:$AZ$212,N$2,FALSE)</f>
        <v>#N/A</v>
      </c>
      <c r="O57" s="31" t="e">
        <f>VLOOKUP($D57,Résultats!$B$2:$AZ$212,O$2,FALSE)</f>
        <v>#N/A</v>
      </c>
      <c r="P57" s="31" t="e">
        <f>VLOOKUP($D57,Résultats!$B$2:$AZ$212,P$2,FALSE)</f>
        <v>#N/A</v>
      </c>
      <c r="Q57" s="31" t="e">
        <f>VLOOKUP($D57,Résultats!$B$2:$AZ$212,Q$2,FALSE)</f>
        <v>#N/A</v>
      </c>
      <c r="R57" s="31" t="e">
        <f>VLOOKUP($D57,Résultats!$B$2:$AZ$212,R$2,FALSE)</f>
        <v>#N/A</v>
      </c>
      <c r="S57" s="31" t="e">
        <f>VLOOKUP($D57,Résultats!$B$2:$AZ$212,S$2,FALSE)</f>
        <v>#N/A</v>
      </c>
      <c r="T57" s="31" t="e">
        <f>VLOOKUP($D57,Résultats!$B$2:$AZ$212,T$2,FALSE)</f>
        <v>#N/A</v>
      </c>
      <c r="U57" s="31" t="e">
        <f>VLOOKUP($D57,Résultats!$B$2:$AZ$212,U$2,FALSE)</f>
        <v>#N/A</v>
      </c>
      <c r="V57" s="31" t="e">
        <f>VLOOKUP($D57,Résultats!$B$2:$AZ$212,V$2,FALSE)</f>
        <v>#N/A</v>
      </c>
      <c r="W57" s="31" t="e">
        <f>VLOOKUP($D57,Résultats!$B$2:$AZ$212,W$2,FALSE)</f>
        <v>#N/A</v>
      </c>
      <c r="X57" s="31" t="e">
        <f>VLOOKUP($D57,Résultats!$B$2:$AZ$212,X$2,FALSE)</f>
        <v>#N/A</v>
      </c>
      <c r="Y57" s="31" t="e">
        <f>VLOOKUP($D57,Résultats!$B$2:$AZ$212,Y$2,FALSE)</f>
        <v>#N/A</v>
      </c>
      <c r="Z57" s="31" t="e">
        <f>VLOOKUP($D57,Résultats!$B$2:$AZ$212,Z$2,FALSE)</f>
        <v>#N/A</v>
      </c>
      <c r="AA57" s="31" t="e">
        <f>VLOOKUP($D57,Résultats!$B$2:$AZ$212,AA$2,FALSE)</f>
        <v>#N/A</v>
      </c>
      <c r="AB57" s="31" t="e">
        <f>VLOOKUP($D57,Résultats!$B$2:$AZ$212,AB$2,FALSE)</f>
        <v>#N/A</v>
      </c>
      <c r="AC57" s="31" t="e">
        <f>VLOOKUP($D57,Résultats!$B$2:$AZ$212,AC$2,FALSE)</f>
        <v>#N/A</v>
      </c>
      <c r="AD57" s="31" t="e">
        <f>VLOOKUP($D57,Résultats!$B$2:$AZ$212,AD$2,FALSE)</f>
        <v>#N/A</v>
      </c>
      <c r="AE57" s="31" t="e">
        <f>VLOOKUP($D57,Résultats!$B$2:$AZ$212,AE$2,FALSE)</f>
        <v>#N/A</v>
      </c>
      <c r="AF57" s="31" t="e">
        <f>VLOOKUP($D57,Résultats!$B$2:$AZ$212,AF$2,FALSE)</f>
        <v>#N/A</v>
      </c>
      <c r="AG57" s="31" t="e">
        <f>VLOOKUP($D57,Résultats!$B$2:$AZ$212,AG$2,FALSE)</f>
        <v>#N/A</v>
      </c>
      <c r="AH57" s="31" t="e">
        <f>VLOOKUP($D57,Résultats!$B$2:$AZ$212,AH$2,FALSE)</f>
        <v>#N/A</v>
      </c>
      <c r="AI57" s="31" t="e">
        <f>VLOOKUP($D57,Résultats!$B$2:$AZ$212,AI$2,FALSE)</f>
        <v>#N/A</v>
      </c>
      <c r="AJ57" s="31" t="e">
        <f>VLOOKUP($D57,Résultats!$B$2:$AZ$212,AJ$2,FALSE)</f>
        <v>#N/A</v>
      </c>
      <c r="AK57" s="31" t="e">
        <f>VLOOKUP($D57,Résultats!$B$2:$AZ$212,AK$2,FALSE)</f>
        <v>#N/A</v>
      </c>
      <c r="AL57" s="31" t="e">
        <f>VLOOKUP($D57,Résultats!$B$2:$AZ$212,AL$2,FALSE)</f>
        <v>#N/A</v>
      </c>
      <c r="AM57" s="31" t="e">
        <f>VLOOKUP($D57,Résultats!$B$2:$AZ$212,AM$2,FALSE)</f>
        <v>#N/A</v>
      </c>
    </row>
    <row r="58" spans="3:40" x14ac:dyDescent="0.25">
      <c r="C58" s="88" t="s">
        <v>119</v>
      </c>
      <c r="D58" s="76" t="s">
        <v>61</v>
      </c>
      <c r="E58" s="85" t="e">
        <f>VLOOKUP($D58,Résultats!$B$2:$AZ$212,E$2,FALSE)</f>
        <v>#N/A</v>
      </c>
      <c r="F58" s="85" t="e">
        <f>VLOOKUP($D58,Résultats!$B$2:$AZ$212,F$2,FALSE)</f>
        <v>#N/A</v>
      </c>
      <c r="G58" s="85" t="e">
        <f>VLOOKUP($D58,Résultats!$B$2:$AZ$212,G$2,FALSE)</f>
        <v>#N/A</v>
      </c>
      <c r="H58" s="85" t="e">
        <f>VLOOKUP($D58,Résultats!$B$2:$AZ$212,H$2,FALSE)</f>
        <v>#N/A</v>
      </c>
      <c r="I58" s="85" t="e">
        <f>VLOOKUP($D58,Résultats!$B$2:$AZ$212,I$2,FALSE)</f>
        <v>#N/A</v>
      </c>
      <c r="J58" s="85" t="e">
        <f>VLOOKUP($D58,Résultats!$B$2:$AZ$212,J$2,FALSE)</f>
        <v>#N/A</v>
      </c>
      <c r="K58" s="85" t="e">
        <f>VLOOKUP($D58,Résultats!$B$2:$AZ$212,K$2,FALSE)</f>
        <v>#N/A</v>
      </c>
      <c r="L58" s="85" t="e">
        <f>VLOOKUP($D58,Résultats!$B$2:$AZ$212,L$2,FALSE)</f>
        <v>#N/A</v>
      </c>
      <c r="M58" s="85" t="e">
        <f>VLOOKUP($D58,Résultats!$B$2:$AZ$212,M$2,FALSE)</f>
        <v>#N/A</v>
      </c>
      <c r="N58" s="85" t="e">
        <f>VLOOKUP($D58,Résultats!$B$2:$AZ$212,N$2,FALSE)</f>
        <v>#N/A</v>
      </c>
      <c r="O58" s="85" t="e">
        <f>VLOOKUP($D58,Résultats!$B$2:$AZ$212,O$2,FALSE)</f>
        <v>#N/A</v>
      </c>
      <c r="P58" s="85" t="e">
        <f>VLOOKUP($D58,Résultats!$B$2:$AZ$212,P$2,FALSE)</f>
        <v>#N/A</v>
      </c>
      <c r="Q58" s="85" t="e">
        <f>VLOOKUP($D58,Résultats!$B$2:$AZ$212,Q$2,FALSE)</f>
        <v>#N/A</v>
      </c>
      <c r="R58" s="85" t="e">
        <f>VLOOKUP($D58,Résultats!$B$2:$AZ$212,R$2,FALSE)</f>
        <v>#N/A</v>
      </c>
      <c r="S58" s="85" t="e">
        <f>VLOOKUP($D58,Résultats!$B$2:$AZ$212,S$2,FALSE)</f>
        <v>#N/A</v>
      </c>
      <c r="T58" s="85" t="e">
        <f>VLOOKUP($D58,Résultats!$B$2:$AZ$212,T$2,FALSE)</f>
        <v>#N/A</v>
      </c>
      <c r="U58" s="85" t="e">
        <f>VLOOKUP($D58,Résultats!$B$2:$AZ$212,U$2,FALSE)</f>
        <v>#N/A</v>
      </c>
      <c r="V58" s="85" t="e">
        <f>VLOOKUP($D58,Résultats!$B$2:$AZ$212,V$2,FALSE)</f>
        <v>#N/A</v>
      </c>
      <c r="W58" s="85" t="e">
        <f>VLOOKUP($D58,Résultats!$B$2:$AZ$212,W$2,FALSE)</f>
        <v>#N/A</v>
      </c>
      <c r="X58" s="85" t="e">
        <f>VLOOKUP($D58,Résultats!$B$2:$AZ$212,X$2,FALSE)</f>
        <v>#N/A</v>
      </c>
      <c r="Y58" s="85" t="e">
        <f>VLOOKUP($D58,Résultats!$B$2:$AZ$212,Y$2,FALSE)</f>
        <v>#N/A</v>
      </c>
      <c r="Z58" s="85" t="e">
        <f>VLOOKUP($D58,Résultats!$B$2:$AZ$212,Z$2,FALSE)</f>
        <v>#N/A</v>
      </c>
      <c r="AA58" s="85" t="e">
        <f>VLOOKUP($D58,Résultats!$B$2:$AZ$212,AA$2,FALSE)</f>
        <v>#N/A</v>
      </c>
      <c r="AB58" s="85" t="e">
        <f>VLOOKUP($D58,Résultats!$B$2:$AZ$212,AB$2,FALSE)</f>
        <v>#N/A</v>
      </c>
      <c r="AC58" s="85" t="e">
        <f>VLOOKUP($D58,Résultats!$B$2:$AZ$212,AC$2,FALSE)</f>
        <v>#N/A</v>
      </c>
      <c r="AD58" s="85" t="e">
        <f>VLOOKUP($D58,Résultats!$B$2:$AZ$212,AD$2,FALSE)</f>
        <v>#N/A</v>
      </c>
      <c r="AE58" s="85" t="e">
        <f>VLOOKUP($D58,Résultats!$B$2:$AZ$212,AE$2,FALSE)</f>
        <v>#N/A</v>
      </c>
      <c r="AF58" s="85" t="e">
        <f>VLOOKUP($D58,Résultats!$B$2:$AZ$212,AF$2,FALSE)</f>
        <v>#N/A</v>
      </c>
      <c r="AG58" s="85" t="e">
        <f>VLOOKUP($D58,Résultats!$B$2:$AZ$212,AG$2,FALSE)</f>
        <v>#N/A</v>
      </c>
      <c r="AH58" s="85" t="e">
        <f>VLOOKUP($D58,Résultats!$B$2:$AZ$212,AH$2,FALSE)</f>
        <v>#N/A</v>
      </c>
      <c r="AI58" s="85" t="e">
        <f>VLOOKUP($D58,Résultats!$B$2:$AZ$212,AI$2,FALSE)</f>
        <v>#N/A</v>
      </c>
      <c r="AJ58" s="85" t="e">
        <f>VLOOKUP($D58,Résultats!$B$2:$AZ$212,AJ$2,FALSE)</f>
        <v>#N/A</v>
      </c>
      <c r="AK58" s="85" t="e">
        <f>VLOOKUP($D58,Résultats!$B$2:$AZ$212,AK$2,FALSE)</f>
        <v>#N/A</v>
      </c>
      <c r="AL58" s="85" t="e">
        <f>VLOOKUP($D58,Résultats!$B$2:$AZ$212,AL$2,FALSE)</f>
        <v>#N/A</v>
      </c>
      <c r="AM58" s="85" t="e">
        <f>VLOOKUP($D58,Résultats!$B$2:$AZ$212,AM$2,FALSE)</f>
        <v>#N/A</v>
      </c>
      <c r="AN58" s="21"/>
    </row>
    <row r="59" spans="3:40" x14ac:dyDescent="0.25">
      <c r="C59" s="56" t="s">
        <v>27</v>
      </c>
      <c r="D59" s="78" t="s">
        <v>46</v>
      </c>
      <c r="E59" s="89" t="e">
        <f>VLOOKUP($D59,Résultats!$B$2:$AZ$212,E$2,FALSE)</f>
        <v>#N/A</v>
      </c>
      <c r="F59" s="89" t="e">
        <f>VLOOKUP($D59,Résultats!$B$2:$AZ$212,F$2,FALSE)</f>
        <v>#N/A</v>
      </c>
      <c r="G59" s="89" t="e">
        <f>VLOOKUP($D59,Résultats!$B$2:$AZ$212,G$2,FALSE)</f>
        <v>#N/A</v>
      </c>
      <c r="H59" s="89" t="e">
        <f>VLOOKUP($D59,Résultats!$B$2:$AZ$212,H$2,FALSE)</f>
        <v>#N/A</v>
      </c>
      <c r="I59" s="89" t="e">
        <f>VLOOKUP($D59,Résultats!$B$2:$AZ$212,I$2,FALSE)</f>
        <v>#N/A</v>
      </c>
      <c r="J59" s="89" t="e">
        <f>VLOOKUP($D59,Résultats!$B$2:$AZ$212,J$2,FALSE)</f>
        <v>#N/A</v>
      </c>
      <c r="K59" s="89" t="e">
        <f>VLOOKUP($D59,Résultats!$B$2:$AZ$212,K$2,FALSE)</f>
        <v>#N/A</v>
      </c>
      <c r="L59" s="89" t="e">
        <f>VLOOKUP($D59,Résultats!$B$2:$AZ$212,L$2,FALSE)</f>
        <v>#N/A</v>
      </c>
      <c r="M59" s="89" t="e">
        <f>VLOOKUP($D59,Résultats!$B$2:$AZ$212,M$2,FALSE)</f>
        <v>#N/A</v>
      </c>
      <c r="N59" s="89" t="e">
        <f>VLOOKUP($D59,Résultats!$B$2:$AZ$212,N$2,FALSE)</f>
        <v>#N/A</v>
      </c>
      <c r="O59" s="89" t="e">
        <f>VLOOKUP($D59,Résultats!$B$2:$AZ$212,O$2,FALSE)</f>
        <v>#N/A</v>
      </c>
      <c r="P59" s="89" t="e">
        <f>VLOOKUP($D59,Résultats!$B$2:$AZ$212,P$2,FALSE)</f>
        <v>#N/A</v>
      </c>
      <c r="Q59" s="89" t="e">
        <f>VLOOKUP($D59,Résultats!$B$2:$AZ$212,Q$2,FALSE)</f>
        <v>#N/A</v>
      </c>
      <c r="R59" s="89" t="e">
        <f>VLOOKUP($D59,Résultats!$B$2:$AZ$212,R$2,FALSE)</f>
        <v>#N/A</v>
      </c>
      <c r="S59" s="89" t="e">
        <f>VLOOKUP($D59,Résultats!$B$2:$AZ$212,S$2,FALSE)</f>
        <v>#N/A</v>
      </c>
      <c r="T59" s="89" t="e">
        <f>VLOOKUP($D59,Résultats!$B$2:$AZ$212,T$2,FALSE)</f>
        <v>#N/A</v>
      </c>
      <c r="U59" s="89" t="e">
        <f>VLOOKUP($D59,Résultats!$B$2:$AZ$212,U$2,FALSE)</f>
        <v>#N/A</v>
      </c>
      <c r="V59" s="89" t="e">
        <f>VLOOKUP($D59,Résultats!$B$2:$AZ$212,V$2,FALSE)</f>
        <v>#N/A</v>
      </c>
      <c r="W59" s="89" t="e">
        <f>VLOOKUP($D59,Résultats!$B$2:$AZ$212,W$2,FALSE)</f>
        <v>#N/A</v>
      </c>
      <c r="X59" s="89" t="e">
        <f>VLOOKUP($D59,Résultats!$B$2:$AZ$212,X$2,FALSE)</f>
        <v>#N/A</v>
      </c>
      <c r="Y59" s="89" t="e">
        <f>VLOOKUP($D59,Résultats!$B$2:$AZ$212,Y$2,FALSE)</f>
        <v>#N/A</v>
      </c>
      <c r="Z59" s="89" t="e">
        <f>VLOOKUP($D59,Résultats!$B$2:$AZ$212,Z$2,FALSE)</f>
        <v>#N/A</v>
      </c>
      <c r="AA59" s="89" t="e">
        <f>VLOOKUP($D59,Résultats!$B$2:$AZ$212,AA$2,FALSE)</f>
        <v>#N/A</v>
      </c>
      <c r="AB59" s="89" t="e">
        <f>VLOOKUP($D59,Résultats!$B$2:$AZ$212,AB$2,FALSE)</f>
        <v>#N/A</v>
      </c>
      <c r="AC59" s="89" t="e">
        <f>VLOOKUP($D59,Résultats!$B$2:$AZ$212,AC$2,FALSE)</f>
        <v>#N/A</v>
      </c>
      <c r="AD59" s="89" t="e">
        <f>VLOOKUP($D59,Résultats!$B$2:$AZ$212,AD$2,FALSE)</f>
        <v>#N/A</v>
      </c>
      <c r="AE59" s="89" t="e">
        <f>VLOOKUP($D59,Résultats!$B$2:$AZ$212,AE$2,FALSE)</f>
        <v>#N/A</v>
      </c>
      <c r="AF59" s="89" t="e">
        <f>VLOOKUP($D59,Résultats!$B$2:$AZ$212,AF$2,FALSE)</f>
        <v>#N/A</v>
      </c>
      <c r="AG59" s="89" t="e">
        <f>VLOOKUP($D59,Résultats!$B$2:$AZ$212,AG$2,FALSE)</f>
        <v>#N/A</v>
      </c>
      <c r="AH59" s="89" t="e">
        <f>VLOOKUP($D59,Résultats!$B$2:$AZ$212,AH$2,FALSE)</f>
        <v>#N/A</v>
      </c>
      <c r="AI59" s="89" t="e">
        <f>VLOOKUP($D59,Résultats!$B$2:$AZ$212,AI$2,FALSE)</f>
        <v>#N/A</v>
      </c>
      <c r="AJ59" s="89" t="e">
        <f>VLOOKUP($D59,Résultats!$B$2:$AZ$212,AJ$2,FALSE)</f>
        <v>#N/A</v>
      </c>
      <c r="AK59" s="89" t="e">
        <f>VLOOKUP($D59,Résultats!$B$2:$AZ$212,AK$2,FALSE)</f>
        <v>#N/A</v>
      </c>
      <c r="AL59" s="89" t="e">
        <f>VLOOKUP($D59,Résultats!$B$2:$AZ$212,AL$2,FALSE)</f>
        <v>#N/A</v>
      </c>
      <c r="AM59" s="89" t="e">
        <f>VLOOKUP($D59,Résultats!$B$2:$AZ$212,AM$2,FALSE)</f>
        <v>#N/A</v>
      </c>
    </row>
    <row r="60" spans="3:40" x14ac:dyDescent="0.25">
      <c r="C60" s="56" t="s">
        <v>28</v>
      </c>
      <c r="D60" s="78" t="s">
        <v>47</v>
      </c>
      <c r="E60" s="89" t="e">
        <f>VLOOKUP($D60,Résultats!$B$2:$AZ$212,E$2,FALSE)</f>
        <v>#N/A</v>
      </c>
      <c r="F60" s="89" t="e">
        <f>VLOOKUP($D60,Résultats!$B$2:$AZ$212,F$2,FALSE)</f>
        <v>#N/A</v>
      </c>
      <c r="G60" s="89" t="e">
        <f>VLOOKUP($D60,Résultats!$B$2:$AZ$212,G$2,FALSE)</f>
        <v>#N/A</v>
      </c>
      <c r="H60" s="89" t="e">
        <f>VLOOKUP($D60,Résultats!$B$2:$AZ$212,H$2,FALSE)</f>
        <v>#N/A</v>
      </c>
      <c r="I60" s="89" t="e">
        <f>VLOOKUP($D60,Résultats!$B$2:$AZ$212,I$2,FALSE)</f>
        <v>#N/A</v>
      </c>
      <c r="J60" s="89" t="e">
        <f>VLOOKUP($D60,Résultats!$B$2:$AZ$212,J$2,FALSE)</f>
        <v>#N/A</v>
      </c>
      <c r="K60" s="89" t="e">
        <f>VLOOKUP($D60,Résultats!$B$2:$AZ$212,K$2,FALSE)</f>
        <v>#N/A</v>
      </c>
      <c r="L60" s="89" t="e">
        <f>VLOOKUP($D60,Résultats!$B$2:$AZ$212,L$2,FALSE)</f>
        <v>#N/A</v>
      </c>
      <c r="M60" s="89" t="e">
        <f>VLOOKUP($D60,Résultats!$B$2:$AZ$212,M$2,FALSE)</f>
        <v>#N/A</v>
      </c>
      <c r="N60" s="89" t="e">
        <f>VLOOKUP($D60,Résultats!$B$2:$AZ$212,N$2,FALSE)</f>
        <v>#N/A</v>
      </c>
      <c r="O60" s="89" t="e">
        <f>VLOOKUP($D60,Résultats!$B$2:$AZ$212,O$2,FALSE)</f>
        <v>#N/A</v>
      </c>
      <c r="P60" s="89" t="e">
        <f>VLOOKUP($D60,Résultats!$B$2:$AZ$212,P$2,FALSE)</f>
        <v>#N/A</v>
      </c>
      <c r="Q60" s="89" t="e">
        <f>VLOOKUP($D60,Résultats!$B$2:$AZ$212,Q$2,FALSE)</f>
        <v>#N/A</v>
      </c>
      <c r="R60" s="89" t="e">
        <f>VLOOKUP($D60,Résultats!$B$2:$AZ$212,R$2,FALSE)</f>
        <v>#N/A</v>
      </c>
      <c r="S60" s="89" t="e">
        <f>VLOOKUP($D60,Résultats!$B$2:$AZ$212,S$2,FALSE)</f>
        <v>#N/A</v>
      </c>
      <c r="T60" s="89" t="e">
        <f>VLOOKUP($D60,Résultats!$B$2:$AZ$212,T$2,FALSE)</f>
        <v>#N/A</v>
      </c>
      <c r="U60" s="89" t="e">
        <f>VLOOKUP($D60,Résultats!$B$2:$AZ$212,U$2,FALSE)</f>
        <v>#N/A</v>
      </c>
      <c r="V60" s="89" t="e">
        <f>VLOOKUP($D60,Résultats!$B$2:$AZ$212,V$2,FALSE)</f>
        <v>#N/A</v>
      </c>
      <c r="W60" s="89" t="e">
        <f>VLOOKUP($D60,Résultats!$B$2:$AZ$212,W$2,FALSE)</f>
        <v>#N/A</v>
      </c>
      <c r="X60" s="89" t="e">
        <f>VLOOKUP($D60,Résultats!$B$2:$AZ$212,X$2,FALSE)</f>
        <v>#N/A</v>
      </c>
      <c r="Y60" s="89" t="e">
        <f>VLOOKUP($D60,Résultats!$B$2:$AZ$212,Y$2,FALSE)</f>
        <v>#N/A</v>
      </c>
      <c r="Z60" s="89" t="e">
        <f>VLOOKUP($D60,Résultats!$B$2:$AZ$212,Z$2,FALSE)</f>
        <v>#N/A</v>
      </c>
      <c r="AA60" s="89" t="e">
        <f>VLOOKUP($D60,Résultats!$B$2:$AZ$212,AA$2,FALSE)</f>
        <v>#N/A</v>
      </c>
      <c r="AB60" s="89" t="e">
        <f>VLOOKUP($D60,Résultats!$B$2:$AZ$212,AB$2,FALSE)</f>
        <v>#N/A</v>
      </c>
      <c r="AC60" s="89" t="e">
        <f>VLOOKUP($D60,Résultats!$B$2:$AZ$212,AC$2,FALSE)</f>
        <v>#N/A</v>
      </c>
      <c r="AD60" s="89" t="e">
        <f>VLOOKUP($D60,Résultats!$B$2:$AZ$212,AD$2,FALSE)</f>
        <v>#N/A</v>
      </c>
      <c r="AE60" s="89" t="e">
        <f>VLOOKUP($D60,Résultats!$B$2:$AZ$212,AE$2,FALSE)</f>
        <v>#N/A</v>
      </c>
      <c r="AF60" s="89" t="e">
        <f>VLOOKUP($D60,Résultats!$B$2:$AZ$212,AF$2,FALSE)</f>
        <v>#N/A</v>
      </c>
      <c r="AG60" s="89" t="e">
        <f>VLOOKUP($D60,Résultats!$B$2:$AZ$212,AG$2,FALSE)</f>
        <v>#N/A</v>
      </c>
      <c r="AH60" s="89" t="e">
        <f>VLOOKUP($D60,Résultats!$B$2:$AZ$212,AH$2,FALSE)</f>
        <v>#N/A</v>
      </c>
      <c r="AI60" s="89" t="e">
        <f>VLOOKUP($D60,Résultats!$B$2:$AZ$212,AI$2,FALSE)</f>
        <v>#N/A</v>
      </c>
      <c r="AJ60" s="89" t="e">
        <f>VLOOKUP($D60,Résultats!$B$2:$AZ$212,AJ$2,FALSE)</f>
        <v>#N/A</v>
      </c>
      <c r="AK60" s="89" t="e">
        <f>VLOOKUP($D60,Résultats!$B$2:$AZ$212,AK$2,FALSE)</f>
        <v>#N/A</v>
      </c>
      <c r="AL60" s="89" t="e">
        <f>VLOOKUP($D60,Résultats!$B$2:$AZ$212,AL$2,FALSE)</f>
        <v>#N/A</v>
      </c>
      <c r="AM60" s="89" t="e">
        <f>VLOOKUP($D60,Résultats!$B$2:$AZ$212,AM$2,FALSE)</f>
        <v>#N/A</v>
      </c>
    </row>
    <row r="61" spans="3:40" x14ac:dyDescent="0.25">
      <c r="C61" s="56" t="s">
        <v>29</v>
      </c>
      <c r="D61" s="78" t="s">
        <v>48</v>
      </c>
      <c r="E61" s="89" t="e">
        <f>VLOOKUP($D61,Résultats!$B$2:$AZ$212,E$2,FALSE)</f>
        <v>#N/A</v>
      </c>
      <c r="F61" s="89" t="e">
        <f>VLOOKUP($D61,Résultats!$B$2:$AZ$212,F$2,FALSE)</f>
        <v>#N/A</v>
      </c>
      <c r="G61" s="89" t="e">
        <f>VLOOKUP($D61,Résultats!$B$2:$AZ$212,G$2,FALSE)</f>
        <v>#N/A</v>
      </c>
      <c r="H61" s="89" t="e">
        <f>VLOOKUP($D61,Résultats!$B$2:$AZ$212,H$2,FALSE)</f>
        <v>#N/A</v>
      </c>
      <c r="I61" s="89" t="e">
        <f>VLOOKUP($D61,Résultats!$B$2:$AZ$212,I$2,FALSE)</f>
        <v>#N/A</v>
      </c>
      <c r="J61" s="89" t="e">
        <f>VLOOKUP($D61,Résultats!$B$2:$AZ$212,J$2,FALSE)</f>
        <v>#N/A</v>
      </c>
      <c r="K61" s="89" t="e">
        <f>VLOOKUP($D61,Résultats!$B$2:$AZ$212,K$2,FALSE)</f>
        <v>#N/A</v>
      </c>
      <c r="L61" s="89" t="e">
        <f>VLOOKUP($D61,Résultats!$B$2:$AZ$212,L$2,FALSE)</f>
        <v>#N/A</v>
      </c>
      <c r="M61" s="89" t="e">
        <f>VLOOKUP($D61,Résultats!$B$2:$AZ$212,M$2,FALSE)</f>
        <v>#N/A</v>
      </c>
      <c r="N61" s="89" t="e">
        <f>VLOOKUP($D61,Résultats!$B$2:$AZ$212,N$2,FALSE)</f>
        <v>#N/A</v>
      </c>
      <c r="O61" s="89" t="e">
        <f>VLOOKUP($D61,Résultats!$B$2:$AZ$212,O$2,FALSE)</f>
        <v>#N/A</v>
      </c>
      <c r="P61" s="89" t="e">
        <f>VLOOKUP($D61,Résultats!$B$2:$AZ$212,P$2,FALSE)</f>
        <v>#N/A</v>
      </c>
      <c r="Q61" s="89" t="e">
        <f>VLOOKUP($D61,Résultats!$B$2:$AZ$212,Q$2,FALSE)</f>
        <v>#N/A</v>
      </c>
      <c r="R61" s="89" t="e">
        <f>VLOOKUP($D61,Résultats!$B$2:$AZ$212,R$2,FALSE)</f>
        <v>#N/A</v>
      </c>
      <c r="S61" s="89" t="e">
        <f>VLOOKUP($D61,Résultats!$B$2:$AZ$212,S$2,FALSE)</f>
        <v>#N/A</v>
      </c>
      <c r="T61" s="89" t="e">
        <f>VLOOKUP($D61,Résultats!$B$2:$AZ$212,T$2,FALSE)</f>
        <v>#N/A</v>
      </c>
      <c r="U61" s="89" t="e">
        <f>VLOOKUP($D61,Résultats!$B$2:$AZ$212,U$2,FALSE)</f>
        <v>#N/A</v>
      </c>
      <c r="V61" s="89" t="e">
        <f>VLOOKUP($D61,Résultats!$B$2:$AZ$212,V$2,FALSE)</f>
        <v>#N/A</v>
      </c>
      <c r="W61" s="89" t="e">
        <f>VLOOKUP($D61,Résultats!$B$2:$AZ$212,W$2,FALSE)</f>
        <v>#N/A</v>
      </c>
      <c r="X61" s="89" t="e">
        <f>VLOOKUP($D61,Résultats!$B$2:$AZ$212,X$2,FALSE)</f>
        <v>#N/A</v>
      </c>
      <c r="Y61" s="89" t="e">
        <f>VLOOKUP($D61,Résultats!$B$2:$AZ$212,Y$2,FALSE)</f>
        <v>#N/A</v>
      </c>
      <c r="Z61" s="89" t="e">
        <f>VLOOKUP($D61,Résultats!$B$2:$AZ$212,Z$2,FALSE)</f>
        <v>#N/A</v>
      </c>
      <c r="AA61" s="89" t="e">
        <f>VLOOKUP($D61,Résultats!$B$2:$AZ$212,AA$2,FALSE)</f>
        <v>#N/A</v>
      </c>
      <c r="AB61" s="89" t="e">
        <f>VLOOKUP($D61,Résultats!$B$2:$AZ$212,AB$2,FALSE)</f>
        <v>#N/A</v>
      </c>
      <c r="AC61" s="89" t="e">
        <f>VLOOKUP($D61,Résultats!$B$2:$AZ$212,AC$2,FALSE)</f>
        <v>#N/A</v>
      </c>
      <c r="AD61" s="89" t="e">
        <f>VLOOKUP($D61,Résultats!$B$2:$AZ$212,AD$2,FALSE)</f>
        <v>#N/A</v>
      </c>
      <c r="AE61" s="89" t="e">
        <f>VLOOKUP($D61,Résultats!$B$2:$AZ$212,AE$2,FALSE)</f>
        <v>#N/A</v>
      </c>
      <c r="AF61" s="89" t="e">
        <f>VLOOKUP($D61,Résultats!$B$2:$AZ$212,AF$2,FALSE)</f>
        <v>#N/A</v>
      </c>
      <c r="AG61" s="89" t="e">
        <f>VLOOKUP($D61,Résultats!$B$2:$AZ$212,AG$2,FALSE)</f>
        <v>#N/A</v>
      </c>
      <c r="AH61" s="89" t="e">
        <f>VLOOKUP($D61,Résultats!$B$2:$AZ$212,AH$2,FALSE)</f>
        <v>#N/A</v>
      </c>
      <c r="AI61" s="89" t="e">
        <f>VLOOKUP($D61,Résultats!$B$2:$AZ$212,AI$2,FALSE)</f>
        <v>#N/A</v>
      </c>
      <c r="AJ61" s="89" t="e">
        <f>VLOOKUP($D61,Résultats!$B$2:$AZ$212,AJ$2,FALSE)</f>
        <v>#N/A</v>
      </c>
      <c r="AK61" s="89" t="e">
        <f>VLOOKUP($D61,Résultats!$B$2:$AZ$212,AK$2,FALSE)</f>
        <v>#N/A</v>
      </c>
      <c r="AL61" s="89" t="e">
        <f>VLOOKUP($D61,Résultats!$B$2:$AZ$212,AL$2,FALSE)</f>
        <v>#N/A</v>
      </c>
      <c r="AM61" s="89" t="e">
        <f>VLOOKUP($D61,Résultats!$B$2:$AZ$212,AM$2,FALSE)</f>
        <v>#N/A</v>
      </c>
    </row>
    <row r="62" spans="3:40" x14ac:dyDescent="0.25">
      <c r="C62" s="56" t="s">
        <v>30</v>
      </c>
      <c r="D62" s="78" t="s">
        <v>49</v>
      </c>
      <c r="E62" s="89" t="e">
        <f>VLOOKUP($D62,Résultats!$B$2:$AZ$212,E$2,FALSE)</f>
        <v>#N/A</v>
      </c>
      <c r="F62" s="89" t="e">
        <f>VLOOKUP($D62,Résultats!$B$2:$AZ$212,F$2,FALSE)</f>
        <v>#N/A</v>
      </c>
      <c r="G62" s="89" t="e">
        <f>VLOOKUP($D62,Résultats!$B$2:$AZ$212,G$2,FALSE)</f>
        <v>#N/A</v>
      </c>
      <c r="H62" s="89" t="e">
        <f>VLOOKUP($D62,Résultats!$B$2:$AZ$212,H$2,FALSE)</f>
        <v>#N/A</v>
      </c>
      <c r="I62" s="89" t="e">
        <f>VLOOKUP($D62,Résultats!$B$2:$AZ$212,I$2,FALSE)</f>
        <v>#N/A</v>
      </c>
      <c r="J62" s="89" t="e">
        <f>VLOOKUP($D62,Résultats!$B$2:$AZ$212,J$2,FALSE)</f>
        <v>#N/A</v>
      </c>
      <c r="K62" s="89" t="e">
        <f>VLOOKUP($D62,Résultats!$B$2:$AZ$212,K$2,FALSE)</f>
        <v>#N/A</v>
      </c>
      <c r="L62" s="89" t="e">
        <f>VLOOKUP($D62,Résultats!$B$2:$AZ$212,L$2,FALSE)</f>
        <v>#N/A</v>
      </c>
      <c r="M62" s="89" t="e">
        <f>VLOOKUP($D62,Résultats!$B$2:$AZ$212,M$2,FALSE)</f>
        <v>#N/A</v>
      </c>
      <c r="N62" s="89" t="e">
        <f>VLOOKUP($D62,Résultats!$B$2:$AZ$212,N$2,FALSE)</f>
        <v>#N/A</v>
      </c>
      <c r="O62" s="89" t="e">
        <f>VLOOKUP($D62,Résultats!$B$2:$AZ$212,O$2,FALSE)</f>
        <v>#N/A</v>
      </c>
      <c r="P62" s="89" t="e">
        <f>VLOOKUP($D62,Résultats!$B$2:$AZ$212,P$2,FALSE)</f>
        <v>#N/A</v>
      </c>
      <c r="Q62" s="89" t="e">
        <f>VLOOKUP($D62,Résultats!$B$2:$AZ$212,Q$2,FALSE)</f>
        <v>#N/A</v>
      </c>
      <c r="R62" s="89" t="e">
        <f>VLOOKUP($D62,Résultats!$B$2:$AZ$212,R$2,FALSE)</f>
        <v>#N/A</v>
      </c>
      <c r="S62" s="89" t="e">
        <f>VLOOKUP($D62,Résultats!$B$2:$AZ$212,S$2,FALSE)</f>
        <v>#N/A</v>
      </c>
      <c r="T62" s="89" t="e">
        <f>VLOOKUP($D62,Résultats!$B$2:$AZ$212,T$2,FALSE)</f>
        <v>#N/A</v>
      </c>
      <c r="U62" s="89" t="e">
        <f>VLOOKUP($D62,Résultats!$B$2:$AZ$212,U$2,FALSE)</f>
        <v>#N/A</v>
      </c>
      <c r="V62" s="89" t="e">
        <f>VLOOKUP($D62,Résultats!$B$2:$AZ$212,V$2,FALSE)</f>
        <v>#N/A</v>
      </c>
      <c r="W62" s="89" t="e">
        <f>VLOOKUP($D62,Résultats!$B$2:$AZ$212,W$2,FALSE)</f>
        <v>#N/A</v>
      </c>
      <c r="X62" s="89" t="e">
        <f>VLOOKUP($D62,Résultats!$B$2:$AZ$212,X$2,FALSE)</f>
        <v>#N/A</v>
      </c>
      <c r="Y62" s="89" t="e">
        <f>VLOOKUP($D62,Résultats!$B$2:$AZ$212,Y$2,FALSE)</f>
        <v>#N/A</v>
      </c>
      <c r="Z62" s="89" t="e">
        <f>VLOOKUP($D62,Résultats!$B$2:$AZ$212,Z$2,FALSE)</f>
        <v>#N/A</v>
      </c>
      <c r="AA62" s="89" t="e">
        <f>VLOOKUP($D62,Résultats!$B$2:$AZ$212,AA$2,FALSE)</f>
        <v>#N/A</v>
      </c>
      <c r="AB62" s="89" t="e">
        <f>VLOOKUP($D62,Résultats!$B$2:$AZ$212,AB$2,FALSE)</f>
        <v>#N/A</v>
      </c>
      <c r="AC62" s="89" t="e">
        <f>VLOOKUP($D62,Résultats!$B$2:$AZ$212,AC$2,FALSE)</f>
        <v>#N/A</v>
      </c>
      <c r="AD62" s="89" t="e">
        <f>VLOOKUP($D62,Résultats!$B$2:$AZ$212,AD$2,FALSE)</f>
        <v>#N/A</v>
      </c>
      <c r="AE62" s="89" t="e">
        <f>VLOOKUP($D62,Résultats!$B$2:$AZ$212,AE$2,FALSE)</f>
        <v>#N/A</v>
      </c>
      <c r="AF62" s="89" t="e">
        <f>VLOOKUP($D62,Résultats!$B$2:$AZ$212,AF$2,FALSE)</f>
        <v>#N/A</v>
      </c>
      <c r="AG62" s="89" t="e">
        <f>VLOOKUP($D62,Résultats!$B$2:$AZ$212,AG$2,FALSE)</f>
        <v>#N/A</v>
      </c>
      <c r="AH62" s="89" t="e">
        <f>VLOOKUP($D62,Résultats!$B$2:$AZ$212,AH$2,FALSE)</f>
        <v>#N/A</v>
      </c>
      <c r="AI62" s="89" t="e">
        <f>VLOOKUP($D62,Résultats!$B$2:$AZ$212,AI$2,FALSE)</f>
        <v>#N/A</v>
      </c>
      <c r="AJ62" s="89" t="e">
        <f>VLOOKUP($D62,Résultats!$B$2:$AZ$212,AJ$2,FALSE)</f>
        <v>#N/A</v>
      </c>
      <c r="AK62" s="89" t="e">
        <f>VLOOKUP($D62,Résultats!$B$2:$AZ$212,AK$2,FALSE)</f>
        <v>#N/A</v>
      </c>
      <c r="AL62" s="89" t="e">
        <f>VLOOKUP($D62,Résultats!$B$2:$AZ$212,AL$2,FALSE)</f>
        <v>#N/A</v>
      </c>
      <c r="AM62" s="89" t="e">
        <f>VLOOKUP($D62,Résultats!$B$2:$AZ$212,AM$2,FALSE)</f>
        <v>#N/A</v>
      </c>
    </row>
    <row r="63" spans="3:40" x14ac:dyDescent="0.25">
      <c r="C63" s="56" t="s">
        <v>31</v>
      </c>
      <c r="D63" s="78" t="s">
        <v>50</v>
      </c>
      <c r="E63" s="89" t="e">
        <f>VLOOKUP($D63,Résultats!$B$2:$AZ$212,E$2,FALSE)</f>
        <v>#N/A</v>
      </c>
      <c r="F63" s="89" t="e">
        <f>VLOOKUP($D63,Résultats!$B$2:$AZ$212,F$2,FALSE)</f>
        <v>#N/A</v>
      </c>
      <c r="G63" s="89" t="e">
        <f>VLOOKUP($D63,Résultats!$B$2:$AZ$212,G$2,FALSE)</f>
        <v>#N/A</v>
      </c>
      <c r="H63" s="89" t="e">
        <f>VLOOKUP($D63,Résultats!$B$2:$AZ$212,H$2,FALSE)</f>
        <v>#N/A</v>
      </c>
      <c r="I63" s="89" t="e">
        <f>VLOOKUP($D63,Résultats!$B$2:$AZ$212,I$2,FALSE)</f>
        <v>#N/A</v>
      </c>
      <c r="J63" s="89" t="e">
        <f>VLOOKUP($D63,Résultats!$B$2:$AZ$212,J$2,FALSE)</f>
        <v>#N/A</v>
      </c>
      <c r="K63" s="89" t="e">
        <f>VLOOKUP($D63,Résultats!$B$2:$AZ$212,K$2,FALSE)</f>
        <v>#N/A</v>
      </c>
      <c r="L63" s="89" t="e">
        <f>VLOOKUP($D63,Résultats!$B$2:$AZ$212,L$2,FALSE)</f>
        <v>#N/A</v>
      </c>
      <c r="M63" s="89" t="e">
        <f>VLOOKUP($D63,Résultats!$B$2:$AZ$212,M$2,FALSE)</f>
        <v>#N/A</v>
      </c>
      <c r="N63" s="89" t="e">
        <f>VLOOKUP($D63,Résultats!$B$2:$AZ$212,N$2,FALSE)</f>
        <v>#N/A</v>
      </c>
      <c r="O63" s="89" t="e">
        <f>VLOOKUP($D63,Résultats!$B$2:$AZ$212,O$2,FALSE)</f>
        <v>#N/A</v>
      </c>
      <c r="P63" s="89" t="e">
        <f>VLOOKUP($D63,Résultats!$B$2:$AZ$212,P$2,FALSE)</f>
        <v>#N/A</v>
      </c>
      <c r="Q63" s="89" t="e">
        <f>VLOOKUP($D63,Résultats!$B$2:$AZ$212,Q$2,FALSE)</f>
        <v>#N/A</v>
      </c>
      <c r="R63" s="89" t="e">
        <f>VLOOKUP($D63,Résultats!$B$2:$AZ$212,R$2,FALSE)</f>
        <v>#N/A</v>
      </c>
      <c r="S63" s="89" t="e">
        <f>VLOOKUP($D63,Résultats!$B$2:$AZ$212,S$2,FALSE)</f>
        <v>#N/A</v>
      </c>
      <c r="T63" s="89" t="e">
        <f>VLOOKUP($D63,Résultats!$B$2:$AZ$212,T$2,FALSE)</f>
        <v>#N/A</v>
      </c>
      <c r="U63" s="89" t="e">
        <f>VLOOKUP($D63,Résultats!$B$2:$AZ$212,U$2,FALSE)</f>
        <v>#N/A</v>
      </c>
      <c r="V63" s="89" t="e">
        <f>VLOOKUP($D63,Résultats!$B$2:$AZ$212,V$2,FALSE)</f>
        <v>#N/A</v>
      </c>
      <c r="W63" s="89" t="e">
        <f>VLOOKUP($D63,Résultats!$B$2:$AZ$212,W$2,FALSE)</f>
        <v>#N/A</v>
      </c>
      <c r="X63" s="89" t="e">
        <f>VLOOKUP($D63,Résultats!$B$2:$AZ$212,X$2,FALSE)</f>
        <v>#N/A</v>
      </c>
      <c r="Y63" s="89" t="e">
        <f>VLOOKUP($D63,Résultats!$B$2:$AZ$212,Y$2,FALSE)</f>
        <v>#N/A</v>
      </c>
      <c r="Z63" s="89" t="e">
        <f>VLOOKUP($D63,Résultats!$B$2:$AZ$212,Z$2,FALSE)</f>
        <v>#N/A</v>
      </c>
      <c r="AA63" s="89" t="e">
        <f>VLOOKUP($D63,Résultats!$B$2:$AZ$212,AA$2,FALSE)</f>
        <v>#N/A</v>
      </c>
      <c r="AB63" s="89" t="e">
        <f>VLOOKUP($D63,Résultats!$B$2:$AZ$212,AB$2,FALSE)</f>
        <v>#N/A</v>
      </c>
      <c r="AC63" s="89" t="e">
        <f>VLOOKUP($D63,Résultats!$B$2:$AZ$212,AC$2,FALSE)</f>
        <v>#N/A</v>
      </c>
      <c r="AD63" s="89" t="e">
        <f>VLOOKUP($D63,Résultats!$B$2:$AZ$212,AD$2,FALSE)</f>
        <v>#N/A</v>
      </c>
      <c r="AE63" s="89" t="e">
        <f>VLOOKUP($D63,Résultats!$B$2:$AZ$212,AE$2,FALSE)</f>
        <v>#N/A</v>
      </c>
      <c r="AF63" s="89" t="e">
        <f>VLOOKUP($D63,Résultats!$B$2:$AZ$212,AF$2,FALSE)</f>
        <v>#N/A</v>
      </c>
      <c r="AG63" s="89" t="e">
        <f>VLOOKUP($D63,Résultats!$B$2:$AZ$212,AG$2,FALSE)</f>
        <v>#N/A</v>
      </c>
      <c r="AH63" s="89" t="e">
        <f>VLOOKUP($D63,Résultats!$B$2:$AZ$212,AH$2,FALSE)</f>
        <v>#N/A</v>
      </c>
      <c r="AI63" s="89" t="e">
        <f>VLOOKUP($D63,Résultats!$B$2:$AZ$212,AI$2,FALSE)</f>
        <v>#N/A</v>
      </c>
      <c r="AJ63" s="89" t="e">
        <f>VLOOKUP($D63,Résultats!$B$2:$AZ$212,AJ$2,FALSE)</f>
        <v>#N/A</v>
      </c>
      <c r="AK63" s="89" t="e">
        <f>VLOOKUP($D63,Résultats!$B$2:$AZ$212,AK$2,FALSE)</f>
        <v>#N/A</v>
      </c>
      <c r="AL63" s="89" t="e">
        <f>VLOOKUP($D63,Résultats!$B$2:$AZ$212,AL$2,FALSE)</f>
        <v>#N/A</v>
      </c>
      <c r="AM63" s="89" t="e">
        <f>VLOOKUP($D63,Résultats!$B$2:$AZ$212,AM$2,FALSE)</f>
        <v>#N/A</v>
      </c>
    </row>
    <row r="64" spans="3:40" x14ac:dyDescent="0.25">
      <c r="C64" s="56" t="s">
        <v>32</v>
      </c>
      <c r="D64" s="78" t="s">
        <v>51</v>
      </c>
      <c r="E64" s="89" t="e">
        <f>VLOOKUP($D64,Résultats!$B$2:$AZ$212,E$2,FALSE)</f>
        <v>#N/A</v>
      </c>
      <c r="F64" s="89" t="e">
        <f>VLOOKUP($D64,Résultats!$B$2:$AZ$212,F$2,FALSE)</f>
        <v>#N/A</v>
      </c>
      <c r="G64" s="89" t="e">
        <f>VLOOKUP($D64,Résultats!$B$2:$AZ$212,G$2,FALSE)</f>
        <v>#N/A</v>
      </c>
      <c r="H64" s="89" t="e">
        <f>VLOOKUP($D64,Résultats!$B$2:$AZ$212,H$2,FALSE)</f>
        <v>#N/A</v>
      </c>
      <c r="I64" s="89" t="e">
        <f>VLOOKUP($D64,Résultats!$B$2:$AZ$212,I$2,FALSE)</f>
        <v>#N/A</v>
      </c>
      <c r="J64" s="89" t="e">
        <f>VLOOKUP($D64,Résultats!$B$2:$AZ$212,J$2,FALSE)</f>
        <v>#N/A</v>
      </c>
      <c r="K64" s="89" t="e">
        <f>VLOOKUP($D64,Résultats!$B$2:$AZ$212,K$2,FALSE)</f>
        <v>#N/A</v>
      </c>
      <c r="L64" s="89" t="e">
        <f>VLOOKUP($D64,Résultats!$B$2:$AZ$212,L$2,FALSE)</f>
        <v>#N/A</v>
      </c>
      <c r="M64" s="89" t="e">
        <f>VLOOKUP($D64,Résultats!$B$2:$AZ$212,M$2,FALSE)</f>
        <v>#N/A</v>
      </c>
      <c r="N64" s="89" t="e">
        <f>VLOOKUP($D64,Résultats!$B$2:$AZ$212,N$2,FALSE)</f>
        <v>#N/A</v>
      </c>
      <c r="O64" s="89" t="e">
        <f>VLOOKUP($D64,Résultats!$B$2:$AZ$212,O$2,FALSE)</f>
        <v>#N/A</v>
      </c>
      <c r="P64" s="89" t="e">
        <f>VLOOKUP($D64,Résultats!$B$2:$AZ$212,P$2,FALSE)</f>
        <v>#N/A</v>
      </c>
      <c r="Q64" s="89" t="e">
        <f>VLOOKUP($D64,Résultats!$B$2:$AZ$212,Q$2,FALSE)</f>
        <v>#N/A</v>
      </c>
      <c r="R64" s="89" t="e">
        <f>VLOOKUP($D64,Résultats!$B$2:$AZ$212,R$2,FALSE)</f>
        <v>#N/A</v>
      </c>
      <c r="S64" s="89" t="e">
        <f>VLOOKUP($D64,Résultats!$B$2:$AZ$212,S$2,FALSE)</f>
        <v>#N/A</v>
      </c>
      <c r="T64" s="89" t="e">
        <f>VLOOKUP($D64,Résultats!$B$2:$AZ$212,T$2,FALSE)</f>
        <v>#N/A</v>
      </c>
      <c r="U64" s="89" t="e">
        <f>VLOOKUP($D64,Résultats!$B$2:$AZ$212,U$2,FALSE)</f>
        <v>#N/A</v>
      </c>
      <c r="V64" s="89" t="e">
        <f>VLOOKUP($D64,Résultats!$B$2:$AZ$212,V$2,FALSE)</f>
        <v>#N/A</v>
      </c>
      <c r="W64" s="89" t="e">
        <f>VLOOKUP($D64,Résultats!$B$2:$AZ$212,W$2,FALSE)</f>
        <v>#N/A</v>
      </c>
      <c r="X64" s="89" t="e">
        <f>VLOOKUP($D64,Résultats!$B$2:$AZ$212,X$2,FALSE)</f>
        <v>#N/A</v>
      </c>
      <c r="Y64" s="89" t="e">
        <f>VLOOKUP($D64,Résultats!$B$2:$AZ$212,Y$2,FALSE)</f>
        <v>#N/A</v>
      </c>
      <c r="Z64" s="89" t="e">
        <f>VLOOKUP($D64,Résultats!$B$2:$AZ$212,Z$2,FALSE)</f>
        <v>#N/A</v>
      </c>
      <c r="AA64" s="89" t="e">
        <f>VLOOKUP($D64,Résultats!$B$2:$AZ$212,AA$2,FALSE)</f>
        <v>#N/A</v>
      </c>
      <c r="AB64" s="89" t="e">
        <f>VLOOKUP($D64,Résultats!$B$2:$AZ$212,AB$2,FALSE)</f>
        <v>#N/A</v>
      </c>
      <c r="AC64" s="89" t="e">
        <f>VLOOKUP($D64,Résultats!$B$2:$AZ$212,AC$2,FALSE)</f>
        <v>#N/A</v>
      </c>
      <c r="AD64" s="89" t="e">
        <f>VLOOKUP($D64,Résultats!$B$2:$AZ$212,AD$2,FALSE)</f>
        <v>#N/A</v>
      </c>
      <c r="AE64" s="89" t="e">
        <f>VLOOKUP($D64,Résultats!$B$2:$AZ$212,AE$2,FALSE)</f>
        <v>#N/A</v>
      </c>
      <c r="AF64" s="89" t="e">
        <f>VLOOKUP($D64,Résultats!$B$2:$AZ$212,AF$2,FALSE)</f>
        <v>#N/A</v>
      </c>
      <c r="AG64" s="89" t="e">
        <f>VLOOKUP($D64,Résultats!$B$2:$AZ$212,AG$2,FALSE)</f>
        <v>#N/A</v>
      </c>
      <c r="AH64" s="89" t="e">
        <f>VLOOKUP($D64,Résultats!$B$2:$AZ$212,AH$2,FALSE)</f>
        <v>#N/A</v>
      </c>
      <c r="AI64" s="89" t="e">
        <f>VLOOKUP($D64,Résultats!$B$2:$AZ$212,AI$2,FALSE)</f>
        <v>#N/A</v>
      </c>
      <c r="AJ64" s="89" t="e">
        <f>VLOOKUP($D64,Résultats!$B$2:$AZ$212,AJ$2,FALSE)</f>
        <v>#N/A</v>
      </c>
      <c r="AK64" s="89" t="e">
        <f>VLOOKUP($D64,Résultats!$B$2:$AZ$212,AK$2,FALSE)</f>
        <v>#N/A</v>
      </c>
      <c r="AL64" s="89" t="e">
        <f>VLOOKUP($D64,Résultats!$B$2:$AZ$212,AL$2,FALSE)</f>
        <v>#N/A</v>
      </c>
      <c r="AM64" s="89" t="e">
        <f>VLOOKUP($D64,Résultats!$B$2:$AZ$212,AM$2,FALSE)</f>
        <v>#N/A</v>
      </c>
    </row>
    <row r="65" spans="2:39" x14ac:dyDescent="0.25">
      <c r="C65" s="56" t="s">
        <v>33</v>
      </c>
      <c r="D65" s="78" t="s">
        <v>52</v>
      </c>
      <c r="E65" s="89" t="e">
        <f>VLOOKUP($D65,Résultats!$B$2:$AZ$212,E$2,FALSE)</f>
        <v>#N/A</v>
      </c>
      <c r="F65" s="89" t="e">
        <f>VLOOKUP($D65,Résultats!$B$2:$AZ$212,F$2,FALSE)</f>
        <v>#N/A</v>
      </c>
      <c r="G65" s="89" t="e">
        <f>VLOOKUP($D65,Résultats!$B$2:$AZ$212,G$2,FALSE)</f>
        <v>#N/A</v>
      </c>
      <c r="H65" s="89" t="e">
        <f>VLOOKUP($D65,Résultats!$B$2:$AZ$212,H$2,FALSE)</f>
        <v>#N/A</v>
      </c>
      <c r="I65" s="89" t="e">
        <f>VLOOKUP($D65,Résultats!$B$2:$AZ$212,I$2,FALSE)</f>
        <v>#N/A</v>
      </c>
      <c r="J65" s="89" t="e">
        <f>VLOOKUP($D65,Résultats!$B$2:$AZ$212,J$2,FALSE)</f>
        <v>#N/A</v>
      </c>
      <c r="K65" s="89" t="e">
        <f>VLOOKUP($D65,Résultats!$B$2:$AZ$212,K$2,FALSE)</f>
        <v>#N/A</v>
      </c>
      <c r="L65" s="89" t="e">
        <f>VLOOKUP($D65,Résultats!$B$2:$AZ$212,L$2,FALSE)</f>
        <v>#N/A</v>
      </c>
      <c r="M65" s="89" t="e">
        <f>VLOOKUP($D65,Résultats!$B$2:$AZ$212,M$2,FALSE)</f>
        <v>#N/A</v>
      </c>
      <c r="N65" s="89" t="e">
        <f>VLOOKUP($D65,Résultats!$B$2:$AZ$212,N$2,FALSE)</f>
        <v>#N/A</v>
      </c>
      <c r="O65" s="89" t="e">
        <f>VLOOKUP($D65,Résultats!$B$2:$AZ$212,O$2,FALSE)</f>
        <v>#N/A</v>
      </c>
      <c r="P65" s="89" t="e">
        <f>VLOOKUP($D65,Résultats!$B$2:$AZ$212,P$2,FALSE)</f>
        <v>#N/A</v>
      </c>
      <c r="Q65" s="89" t="e">
        <f>VLOOKUP($D65,Résultats!$B$2:$AZ$212,Q$2,FALSE)</f>
        <v>#N/A</v>
      </c>
      <c r="R65" s="89" t="e">
        <f>VLOOKUP($D65,Résultats!$B$2:$AZ$212,R$2,FALSE)</f>
        <v>#N/A</v>
      </c>
      <c r="S65" s="89" t="e">
        <f>VLOOKUP($D65,Résultats!$B$2:$AZ$212,S$2,FALSE)</f>
        <v>#N/A</v>
      </c>
      <c r="T65" s="89" t="e">
        <f>VLOOKUP($D65,Résultats!$B$2:$AZ$212,T$2,FALSE)</f>
        <v>#N/A</v>
      </c>
      <c r="U65" s="89" t="e">
        <f>VLOOKUP($D65,Résultats!$B$2:$AZ$212,U$2,FALSE)</f>
        <v>#N/A</v>
      </c>
      <c r="V65" s="89" t="e">
        <f>VLOOKUP($D65,Résultats!$B$2:$AZ$212,V$2,FALSE)</f>
        <v>#N/A</v>
      </c>
      <c r="W65" s="89" t="e">
        <f>VLOOKUP($D65,Résultats!$B$2:$AZ$212,W$2,FALSE)</f>
        <v>#N/A</v>
      </c>
      <c r="X65" s="89" t="e">
        <f>VLOOKUP($D65,Résultats!$B$2:$AZ$212,X$2,FALSE)</f>
        <v>#N/A</v>
      </c>
      <c r="Y65" s="89" t="e">
        <f>VLOOKUP($D65,Résultats!$B$2:$AZ$212,Y$2,FALSE)</f>
        <v>#N/A</v>
      </c>
      <c r="Z65" s="89" t="e">
        <f>VLOOKUP($D65,Résultats!$B$2:$AZ$212,Z$2,FALSE)</f>
        <v>#N/A</v>
      </c>
      <c r="AA65" s="89" t="e">
        <f>VLOOKUP($D65,Résultats!$B$2:$AZ$212,AA$2,FALSE)</f>
        <v>#N/A</v>
      </c>
      <c r="AB65" s="89" t="e">
        <f>VLOOKUP($D65,Résultats!$B$2:$AZ$212,AB$2,FALSE)</f>
        <v>#N/A</v>
      </c>
      <c r="AC65" s="89" t="e">
        <f>VLOOKUP($D65,Résultats!$B$2:$AZ$212,AC$2,FALSE)</f>
        <v>#N/A</v>
      </c>
      <c r="AD65" s="89" t="e">
        <f>VLOOKUP($D65,Résultats!$B$2:$AZ$212,AD$2,FALSE)</f>
        <v>#N/A</v>
      </c>
      <c r="AE65" s="89" t="e">
        <f>VLOOKUP($D65,Résultats!$B$2:$AZ$212,AE$2,FALSE)</f>
        <v>#N/A</v>
      </c>
      <c r="AF65" s="89" t="e">
        <f>VLOOKUP($D65,Résultats!$B$2:$AZ$212,AF$2,FALSE)</f>
        <v>#N/A</v>
      </c>
      <c r="AG65" s="89" t="e">
        <f>VLOOKUP($D65,Résultats!$B$2:$AZ$212,AG$2,FALSE)</f>
        <v>#N/A</v>
      </c>
      <c r="AH65" s="89" t="e">
        <f>VLOOKUP($D65,Résultats!$B$2:$AZ$212,AH$2,FALSE)</f>
        <v>#N/A</v>
      </c>
      <c r="AI65" s="89" t="e">
        <f>VLOOKUP($D65,Résultats!$B$2:$AZ$212,AI$2,FALSE)</f>
        <v>#N/A</v>
      </c>
      <c r="AJ65" s="89" t="e">
        <f>VLOOKUP($D65,Résultats!$B$2:$AZ$212,AJ$2,FALSE)</f>
        <v>#N/A</v>
      </c>
      <c r="AK65" s="89" t="e">
        <f>VLOOKUP($D65,Résultats!$B$2:$AZ$212,AK$2,FALSE)</f>
        <v>#N/A</v>
      </c>
      <c r="AL65" s="89" t="e">
        <f>VLOOKUP($D65,Résultats!$B$2:$AZ$212,AL$2,FALSE)</f>
        <v>#N/A</v>
      </c>
      <c r="AM65" s="89" t="e">
        <f>VLOOKUP($D65,Résultats!$B$2:$AZ$212,AM$2,FALSE)</f>
        <v>#N/A</v>
      </c>
    </row>
    <row r="68" spans="2:39" x14ac:dyDescent="0.25">
      <c r="C68" s="12"/>
      <c r="D68" s="12"/>
      <c r="E68" s="117">
        <v>2016</v>
      </c>
      <c r="F68" s="117">
        <v>2017</v>
      </c>
      <c r="G68" s="117">
        <v>2018</v>
      </c>
      <c r="H68" s="117">
        <v>2019</v>
      </c>
      <c r="I68" s="117">
        <v>2020</v>
      </c>
      <c r="J68" s="26">
        <v>2021</v>
      </c>
      <c r="K68" s="4">
        <v>2022</v>
      </c>
      <c r="L68" s="4">
        <v>2023</v>
      </c>
      <c r="M68" s="4">
        <v>2024</v>
      </c>
      <c r="N68" s="117">
        <v>2025</v>
      </c>
      <c r="O68" s="26">
        <v>2026</v>
      </c>
      <c r="P68" s="4">
        <v>2027</v>
      </c>
      <c r="Q68" s="4">
        <v>2028</v>
      </c>
      <c r="R68" s="4">
        <v>2029</v>
      </c>
      <c r="S68" s="117">
        <v>2030</v>
      </c>
      <c r="T68" s="117">
        <v>2031</v>
      </c>
      <c r="U68" s="117">
        <v>2032</v>
      </c>
      <c r="V68" s="117">
        <v>2033</v>
      </c>
      <c r="W68" s="117">
        <v>2034</v>
      </c>
      <c r="X68" s="118">
        <v>2035</v>
      </c>
      <c r="Y68" s="118">
        <v>2036</v>
      </c>
      <c r="Z68" s="118">
        <v>2037</v>
      </c>
      <c r="AA68" s="118">
        <v>2038</v>
      </c>
      <c r="AB68" s="118">
        <v>2039</v>
      </c>
      <c r="AC68" s="118">
        <v>2040</v>
      </c>
      <c r="AD68" s="118">
        <v>2041</v>
      </c>
      <c r="AE68" s="118">
        <v>2042</v>
      </c>
      <c r="AF68" s="118">
        <v>2043</v>
      </c>
      <c r="AG68" s="118">
        <v>2044</v>
      </c>
      <c r="AH68" s="118">
        <v>2045</v>
      </c>
      <c r="AI68" s="118">
        <v>2046</v>
      </c>
      <c r="AJ68" s="118">
        <v>2047</v>
      </c>
      <c r="AK68" s="118">
        <v>2048</v>
      </c>
      <c r="AL68" s="118">
        <v>2049</v>
      </c>
      <c r="AM68" s="118">
        <v>2050</v>
      </c>
    </row>
    <row r="69" spans="2:39" x14ac:dyDescent="0.25">
      <c r="B69" s="23" t="s">
        <v>192</v>
      </c>
      <c r="C69" s="74" t="s">
        <v>161</v>
      </c>
      <c r="D69" s="74" t="s">
        <v>64</v>
      </c>
      <c r="E69" s="75" t="e">
        <f t="shared" ref="E69:F69" si="11">E26</f>
        <v>#N/A</v>
      </c>
      <c r="F69" s="75" t="e">
        <f t="shared" si="11"/>
        <v>#N/A</v>
      </c>
      <c r="G69" s="75" t="e">
        <f t="shared" ref="G69:AM69" si="12">G26</f>
        <v>#N/A</v>
      </c>
      <c r="H69" s="75" t="e">
        <f t="shared" si="12"/>
        <v>#N/A</v>
      </c>
      <c r="I69" s="75" t="e">
        <f t="shared" si="12"/>
        <v>#N/A</v>
      </c>
      <c r="J69" s="75" t="e">
        <f t="shared" si="12"/>
        <v>#N/A</v>
      </c>
      <c r="K69" s="75" t="e">
        <f t="shared" si="12"/>
        <v>#N/A</v>
      </c>
      <c r="L69" s="75" t="e">
        <f t="shared" si="12"/>
        <v>#N/A</v>
      </c>
      <c r="M69" s="75" t="e">
        <f t="shared" si="12"/>
        <v>#N/A</v>
      </c>
      <c r="N69" s="75" t="e">
        <f t="shared" si="12"/>
        <v>#N/A</v>
      </c>
      <c r="O69" s="75" t="e">
        <f t="shared" si="12"/>
        <v>#N/A</v>
      </c>
      <c r="P69" s="75" t="e">
        <f t="shared" si="12"/>
        <v>#N/A</v>
      </c>
      <c r="Q69" s="75" t="e">
        <f t="shared" si="12"/>
        <v>#N/A</v>
      </c>
      <c r="R69" s="75" t="e">
        <f t="shared" si="12"/>
        <v>#N/A</v>
      </c>
      <c r="S69" s="75" t="e">
        <f t="shared" si="12"/>
        <v>#N/A</v>
      </c>
      <c r="T69" s="75" t="e">
        <f t="shared" si="12"/>
        <v>#N/A</v>
      </c>
      <c r="U69" s="75" t="e">
        <f t="shared" si="12"/>
        <v>#N/A</v>
      </c>
      <c r="V69" s="75" t="e">
        <f t="shared" si="12"/>
        <v>#N/A</v>
      </c>
      <c r="W69" s="75" t="e">
        <f t="shared" si="12"/>
        <v>#N/A</v>
      </c>
      <c r="X69" s="75" t="e">
        <f t="shared" si="12"/>
        <v>#N/A</v>
      </c>
      <c r="Y69" s="75" t="e">
        <f t="shared" si="12"/>
        <v>#N/A</v>
      </c>
      <c r="Z69" s="75" t="e">
        <f t="shared" si="12"/>
        <v>#N/A</v>
      </c>
      <c r="AA69" s="75" t="e">
        <f t="shared" si="12"/>
        <v>#N/A</v>
      </c>
      <c r="AB69" s="75" t="e">
        <f t="shared" si="12"/>
        <v>#N/A</v>
      </c>
      <c r="AC69" s="75" t="e">
        <f t="shared" si="12"/>
        <v>#N/A</v>
      </c>
      <c r="AD69" s="75" t="e">
        <f t="shared" si="12"/>
        <v>#N/A</v>
      </c>
      <c r="AE69" s="75" t="e">
        <f t="shared" si="12"/>
        <v>#N/A</v>
      </c>
      <c r="AF69" s="75" t="e">
        <f t="shared" si="12"/>
        <v>#N/A</v>
      </c>
      <c r="AG69" s="75" t="e">
        <f t="shared" si="12"/>
        <v>#N/A</v>
      </c>
      <c r="AH69" s="75" t="e">
        <f t="shared" si="12"/>
        <v>#N/A</v>
      </c>
      <c r="AI69" s="75" t="e">
        <f t="shared" si="12"/>
        <v>#N/A</v>
      </c>
      <c r="AJ69" s="75" t="e">
        <f t="shared" si="12"/>
        <v>#N/A</v>
      </c>
      <c r="AK69" s="75" t="e">
        <f t="shared" si="12"/>
        <v>#N/A</v>
      </c>
      <c r="AL69" s="75" t="e">
        <f t="shared" si="12"/>
        <v>#N/A</v>
      </c>
      <c r="AM69" s="75" t="e">
        <f t="shared" si="12"/>
        <v>#N/A</v>
      </c>
    </row>
    <row r="70" spans="2:39" x14ac:dyDescent="0.25">
      <c r="C70" s="76" t="s">
        <v>118</v>
      </c>
      <c r="D70" s="76" t="s">
        <v>194</v>
      </c>
      <c r="E70" s="149" t="e">
        <f t="shared" ref="E70:F77" si="13">E27/E$26</f>
        <v>#N/A</v>
      </c>
      <c r="F70" s="149" t="e">
        <f t="shared" si="13"/>
        <v>#N/A</v>
      </c>
      <c r="G70" s="149" t="e">
        <f t="shared" ref="G70:AM77" si="14">G27/G$26</f>
        <v>#N/A</v>
      </c>
      <c r="H70" s="149" t="e">
        <f t="shared" si="14"/>
        <v>#N/A</v>
      </c>
      <c r="I70" s="149" t="e">
        <f t="shared" si="14"/>
        <v>#N/A</v>
      </c>
      <c r="J70" s="148" t="e">
        <f t="shared" si="14"/>
        <v>#N/A</v>
      </c>
      <c r="K70" s="91" t="e">
        <f t="shared" si="14"/>
        <v>#N/A</v>
      </c>
      <c r="L70" s="91" t="e">
        <f t="shared" si="14"/>
        <v>#N/A</v>
      </c>
      <c r="M70" s="91" t="e">
        <f t="shared" si="14"/>
        <v>#N/A</v>
      </c>
      <c r="N70" s="149" t="e">
        <f t="shared" si="14"/>
        <v>#N/A</v>
      </c>
      <c r="O70" s="148" t="e">
        <f t="shared" si="14"/>
        <v>#N/A</v>
      </c>
      <c r="P70" s="91" t="e">
        <f t="shared" si="14"/>
        <v>#N/A</v>
      </c>
      <c r="Q70" s="91" t="e">
        <f t="shared" si="14"/>
        <v>#N/A</v>
      </c>
      <c r="R70" s="91" t="e">
        <f t="shared" si="14"/>
        <v>#N/A</v>
      </c>
      <c r="S70" s="149" t="e">
        <f t="shared" si="14"/>
        <v>#N/A</v>
      </c>
      <c r="T70" s="149" t="e">
        <f t="shared" si="14"/>
        <v>#N/A</v>
      </c>
      <c r="U70" s="149" t="e">
        <f t="shared" si="14"/>
        <v>#N/A</v>
      </c>
      <c r="V70" s="149" t="e">
        <f t="shared" si="14"/>
        <v>#N/A</v>
      </c>
      <c r="W70" s="149" t="e">
        <f t="shared" si="14"/>
        <v>#N/A</v>
      </c>
      <c r="X70" s="143" t="e">
        <f t="shared" si="14"/>
        <v>#N/A</v>
      </c>
      <c r="Y70" s="143" t="e">
        <f t="shared" si="14"/>
        <v>#N/A</v>
      </c>
      <c r="Z70" s="143" t="e">
        <f t="shared" si="14"/>
        <v>#N/A</v>
      </c>
      <c r="AA70" s="143" t="e">
        <f t="shared" si="14"/>
        <v>#N/A</v>
      </c>
      <c r="AB70" s="143" t="e">
        <f t="shared" si="14"/>
        <v>#N/A</v>
      </c>
      <c r="AC70" s="143" t="e">
        <f t="shared" si="14"/>
        <v>#N/A</v>
      </c>
      <c r="AD70" s="143" t="e">
        <f t="shared" si="14"/>
        <v>#N/A</v>
      </c>
      <c r="AE70" s="143" t="e">
        <f t="shared" si="14"/>
        <v>#N/A</v>
      </c>
      <c r="AF70" s="143" t="e">
        <f t="shared" si="14"/>
        <v>#N/A</v>
      </c>
      <c r="AG70" s="143" t="e">
        <f t="shared" si="14"/>
        <v>#N/A</v>
      </c>
      <c r="AH70" s="143" t="e">
        <f t="shared" si="14"/>
        <v>#N/A</v>
      </c>
      <c r="AI70" s="143" t="e">
        <f t="shared" si="14"/>
        <v>#N/A</v>
      </c>
      <c r="AJ70" s="143" t="e">
        <f t="shared" si="14"/>
        <v>#N/A</v>
      </c>
      <c r="AK70" s="143" t="e">
        <f t="shared" si="14"/>
        <v>#N/A</v>
      </c>
      <c r="AL70" s="143" t="e">
        <f t="shared" si="14"/>
        <v>#N/A</v>
      </c>
      <c r="AM70" s="143" t="e">
        <f t="shared" si="14"/>
        <v>#N/A</v>
      </c>
    </row>
    <row r="71" spans="2:39" x14ac:dyDescent="0.25">
      <c r="C71" s="56" t="s">
        <v>27</v>
      </c>
      <c r="D71" s="78" t="s">
        <v>195</v>
      </c>
      <c r="E71" s="136" t="e">
        <f t="shared" si="13"/>
        <v>#N/A</v>
      </c>
      <c r="F71" s="136" t="e">
        <f t="shared" si="13"/>
        <v>#N/A</v>
      </c>
      <c r="G71" s="136" t="e">
        <f t="shared" si="14"/>
        <v>#N/A</v>
      </c>
      <c r="H71" s="136" t="e">
        <f t="shared" si="14"/>
        <v>#N/A</v>
      </c>
      <c r="I71" s="136" t="e">
        <f t="shared" si="14"/>
        <v>#N/A</v>
      </c>
      <c r="J71" s="135" t="e">
        <f t="shared" si="14"/>
        <v>#N/A</v>
      </c>
      <c r="K71" s="92" t="e">
        <f t="shared" si="14"/>
        <v>#N/A</v>
      </c>
      <c r="L71" s="92" t="e">
        <f t="shared" si="14"/>
        <v>#N/A</v>
      </c>
      <c r="M71" s="92" t="e">
        <f t="shared" si="14"/>
        <v>#N/A</v>
      </c>
      <c r="N71" s="136" t="e">
        <f t="shared" si="14"/>
        <v>#N/A</v>
      </c>
      <c r="O71" s="135" t="e">
        <f t="shared" si="14"/>
        <v>#N/A</v>
      </c>
      <c r="P71" s="92" t="e">
        <f t="shared" si="14"/>
        <v>#N/A</v>
      </c>
      <c r="Q71" s="92" t="e">
        <f t="shared" si="14"/>
        <v>#N/A</v>
      </c>
      <c r="R71" s="92" t="e">
        <f t="shared" si="14"/>
        <v>#N/A</v>
      </c>
      <c r="S71" s="136" t="e">
        <f t="shared" si="14"/>
        <v>#N/A</v>
      </c>
      <c r="T71" s="136" t="e">
        <f t="shared" si="14"/>
        <v>#N/A</v>
      </c>
      <c r="U71" s="136" t="e">
        <f t="shared" si="14"/>
        <v>#N/A</v>
      </c>
      <c r="V71" s="136" t="e">
        <f t="shared" si="14"/>
        <v>#N/A</v>
      </c>
      <c r="W71" s="136" t="e">
        <f t="shared" si="14"/>
        <v>#N/A</v>
      </c>
      <c r="X71" s="141" t="e">
        <f t="shared" si="14"/>
        <v>#N/A</v>
      </c>
      <c r="Y71" s="141" t="e">
        <f t="shared" si="14"/>
        <v>#N/A</v>
      </c>
      <c r="Z71" s="141" t="e">
        <f t="shared" si="14"/>
        <v>#N/A</v>
      </c>
      <c r="AA71" s="141" t="e">
        <f t="shared" si="14"/>
        <v>#N/A</v>
      </c>
      <c r="AB71" s="141" t="e">
        <f t="shared" si="14"/>
        <v>#N/A</v>
      </c>
      <c r="AC71" s="141" t="e">
        <f t="shared" si="14"/>
        <v>#N/A</v>
      </c>
      <c r="AD71" s="141" t="e">
        <f t="shared" si="14"/>
        <v>#N/A</v>
      </c>
      <c r="AE71" s="141" t="e">
        <f t="shared" si="14"/>
        <v>#N/A</v>
      </c>
      <c r="AF71" s="141" t="e">
        <f t="shared" si="14"/>
        <v>#N/A</v>
      </c>
      <c r="AG71" s="141" t="e">
        <f t="shared" si="14"/>
        <v>#N/A</v>
      </c>
      <c r="AH71" s="141" t="e">
        <f t="shared" si="14"/>
        <v>#N/A</v>
      </c>
      <c r="AI71" s="141" t="e">
        <f t="shared" si="14"/>
        <v>#N/A</v>
      </c>
      <c r="AJ71" s="141" t="e">
        <f t="shared" si="14"/>
        <v>#N/A</v>
      </c>
      <c r="AK71" s="141" t="e">
        <f t="shared" si="14"/>
        <v>#N/A</v>
      </c>
      <c r="AL71" s="141" t="e">
        <f t="shared" si="14"/>
        <v>#N/A</v>
      </c>
      <c r="AM71" s="141" t="e">
        <f t="shared" si="14"/>
        <v>#N/A</v>
      </c>
    </row>
    <row r="72" spans="2:39" x14ac:dyDescent="0.25">
      <c r="C72" s="56" t="s">
        <v>28</v>
      </c>
      <c r="D72" s="78" t="s">
        <v>196</v>
      </c>
      <c r="E72" s="136" t="e">
        <f t="shared" si="13"/>
        <v>#N/A</v>
      </c>
      <c r="F72" s="136" t="e">
        <f t="shared" si="13"/>
        <v>#N/A</v>
      </c>
      <c r="G72" s="136" t="e">
        <f t="shared" si="14"/>
        <v>#N/A</v>
      </c>
      <c r="H72" s="136" t="e">
        <f t="shared" si="14"/>
        <v>#N/A</v>
      </c>
      <c r="I72" s="136" t="e">
        <f t="shared" si="14"/>
        <v>#N/A</v>
      </c>
      <c r="J72" s="135" t="e">
        <f t="shared" si="14"/>
        <v>#N/A</v>
      </c>
      <c r="K72" s="92" t="e">
        <f t="shared" si="14"/>
        <v>#N/A</v>
      </c>
      <c r="L72" s="92" t="e">
        <f t="shared" si="14"/>
        <v>#N/A</v>
      </c>
      <c r="M72" s="92" t="e">
        <f t="shared" si="14"/>
        <v>#N/A</v>
      </c>
      <c r="N72" s="136" t="e">
        <f t="shared" si="14"/>
        <v>#N/A</v>
      </c>
      <c r="O72" s="135" t="e">
        <f t="shared" si="14"/>
        <v>#N/A</v>
      </c>
      <c r="P72" s="92" t="e">
        <f t="shared" si="14"/>
        <v>#N/A</v>
      </c>
      <c r="Q72" s="92" t="e">
        <f t="shared" si="14"/>
        <v>#N/A</v>
      </c>
      <c r="R72" s="92" t="e">
        <f t="shared" si="14"/>
        <v>#N/A</v>
      </c>
      <c r="S72" s="136" t="e">
        <f t="shared" si="14"/>
        <v>#N/A</v>
      </c>
      <c r="T72" s="136" t="e">
        <f t="shared" si="14"/>
        <v>#N/A</v>
      </c>
      <c r="U72" s="136" t="e">
        <f t="shared" si="14"/>
        <v>#N/A</v>
      </c>
      <c r="V72" s="136" t="e">
        <f t="shared" si="14"/>
        <v>#N/A</v>
      </c>
      <c r="W72" s="136" t="e">
        <f t="shared" si="14"/>
        <v>#N/A</v>
      </c>
      <c r="X72" s="141" t="e">
        <f t="shared" si="14"/>
        <v>#N/A</v>
      </c>
      <c r="Y72" s="141" t="e">
        <f t="shared" si="14"/>
        <v>#N/A</v>
      </c>
      <c r="Z72" s="141" t="e">
        <f t="shared" si="14"/>
        <v>#N/A</v>
      </c>
      <c r="AA72" s="141" t="e">
        <f t="shared" si="14"/>
        <v>#N/A</v>
      </c>
      <c r="AB72" s="141" t="e">
        <f t="shared" si="14"/>
        <v>#N/A</v>
      </c>
      <c r="AC72" s="141" t="e">
        <f t="shared" si="14"/>
        <v>#N/A</v>
      </c>
      <c r="AD72" s="141" t="e">
        <f t="shared" si="14"/>
        <v>#N/A</v>
      </c>
      <c r="AE72" s="141" t="e">
        <f t="shared" si="14"/>
        <v>#N/A</v>
      </c>
      <c r="AF72" s="141" t="e">
        <f t="shared" si="14"/>
        <v>#N/A</v>
      </c>
      <c r="AG72" s="141" t="e">
        <f t="shared" si="14"/>
        <v>#N/A</v>
      </c>
      <c r="AH72" s="141" t="e">
        <f t="shared" si="14"/>
        <v>#N/A</v>
      </c>
      <c r="AI72" s="141" t="e">
        <f t="shared" si="14"/>
        <v>#N/A</v>
      </c>
      <c r="AJ72" s="141" t="e">
        <f t="shared" si="14"/>
        <v>#N/A</v>
      </c>
      <c r="AK72" s="141" t="e">
        <f t="shared" si="14"/>
        <v>#N/A</v>
      </c>
      <c r="AL72" s="141" t="e">
        <f t="shared" si="14"/>
        <v>#N/A</v>
      </c>
      <c r="AM72" s="141" t="e">
        <f t="shared" si="14"/>
        <v>#N/A</v>
      </c>
    </row>
    <row r="73" spans="2:39" x14ac:dyDescent="0.25">
      <c r="C73" s="56" t="s">
        <v>29</v>
      </c>
      <c r="D73" s="78" t="s">
        <v>197</v>
      </c>
      <c r="E73" s="136" t="e">
        <f t="shared" si="13"/>
        <v>#N/A</v>
      </c>
      <c r="F73" s="136" t="e">
        <f t="shared" si="13"/>
        <v>#N/A</v>
      </c>
      <c r="G73" s="136" t="e">
        <f t="shared" si="14"/>
        <v>#N/A</v>
      </c>
      <c r="H73" s="136" t="e">
        <f t="shared" si="14"/>
        <v>#N/A</v>
      </c>
      <c r="I73" s="136" t="e">
        <f t="shared" si="14"/>
        <v>#N/A</v>
      </c>
      <c r="J73" s="135" t="e">
        <f t="shared" si="14"/>
        <v>#N/A</v>
      </c>
      <c r="K73" s="92" t="e">
        <f t="shared" si="14"/>
        <v>#N/A</v>
      </c>
      <c r="L73" s="92" t="e">
        <f t="shared" si="14"/>
        <v>#N/A</v>
      </c>
      <c r="M73" s="92" t="e">
        <f t="shared" si="14"/>
        <v>#N/A</v>
      </c>
      <c r="N73" s="136" t="e">
        <f t="shared" si="14"/>
        <v>#N/A</v>
      </c>
      <c r="O73" s="135" t="e">
        <f t="shared" si="14"/>
        <v>#N/A</v>
      </c>
      <c r="P73" s="92" t="e">
        <f t="shared" si="14"/>
        <v>#N/A</v>
      </c>
      <c r="Q73" s="92" t="e">
        <f t="shared" si="14"/>
        <v>#N/A</v>
      </c>
      <c r="R73" s="92" t="e">
        <f t="shared" si="14"/>
        <v>#N/A</v>
      </c>
      <c r="S73" s="136" t="e">
        <f t="shared" si="14"/>
        <v>#N/A</v>
      </c>
      <c r="T73" s="136" t="e">
        <f t="shared" si="14"/>
        <v>#N/A</v>
      </c>
      <c r="U73" s="136" t="e">
        <f t="shared" si="14"/>
        <v>#N/A</v>
      </c>
      <c r="V73" s="136" t="e">
        <f t="shared" si="14"/>
        <v>#N/A</v>
      </c>
      <c r="W73" s="136" t="e">
        <f t="shared" si="14"/>
        <v>#N/A</v>
      </c>
      <c r="X73" s="141" t="e">
        <f t="shared" si="14"/>
        <v>#N/A</v>
      </c>
      <c r="Y73" s="141" t="e">
        <f t="shared" si="14"/>
        <v>#N/A</v>
      </c>
      <c r="Z73" s="141" t="e">
        <f t="shared" si="14"/>
        <v>#N/A</v>
      </c>
      <c r="AA73" s="141" t="e">
        <f t="shared" si="14"/>
        <v>#N/A</v>
      </c>
      <c r="AB73" s="141" t="e">
        <f t="shared" si="14"/>
        <v>#N/A</v>
      </c>
      <c r="AC73" s="141" t="e">
        <f t="shared" si="14"/>
        <v>#N/A</v>
      </c>
      <c r="AD73" s="141" t="e">
        <f t="shared" si="14"/>
        <v>#N/A</v>
      </c>
      <c r="AE73" s="141" t="e">
        <f t="shared" si="14"/>
        <v>#N/A</v>
      </c>
      <c r="AF73" s="141" t="e">
        <f t="shared" si="14"/>
        <v>#N/A</v>
      </c>
      <c r="AG73" s="141" t="e">
        <f t="shared" si="14"/>
        <v>#N/A</v>
      </c>
      <c r="AH73" s="141" t="e">
        <f t="shared" si="14"/>
        <v>#N/A</v>
      </c>
      <c r="AI73" s="141" t="e">
        <f t="shared" si="14"/>
        <v>#N/A</v>
      </c>
      <c r="AJ73" s="141" t="e">
        <f t="shared" si="14"/>
        <v>#N/A</v>
      </c>
      <c r="AK73" s="141" t="e">
        <f t="shared" si="14"/>
        <v>#N/A</v>
      </c>
      <c r="AL73" s="141" t="e">
        <f t="shared" si="14"/>
        <v>#N/A</v>
      </c>
      <c r="AM73" s="141" t="e">
        <f t="shared" si="14"/>
        <v>#N/A</v>
      </c>
    </row>
    <row r="74" spans="2:39" x14ac:dyDescent="0.25">
      <c r="C74" s="56" t="s">
        <v>30</v>
      </c>
      <c r="D74" s="78" t="s">
        <v>198</v>
      </c>
      <c r="E74" s="136" t="e">
        <f t="shared" si="13"/>
        <v>#N/A</v>
      </c>
      <c r="F74" s="136" t="e">
        <f t="shared" si="13"/>
        <v>#N/A</v>
      </c>
      <c r="G74" s="136" t="e">
        <f t="shared" si="14"/>
        <v>#N/A</v>
      </c>
      <c r="H74" s="136" t="e">
        <f t="shared" si="14"/>
        <v>#N/A</v>
      </c>
      <c r="I74" s="136" t="e">
        <f t="shared" si="14"/>
        <v>#N/A</v>
      </c>
      <c r="J74" s="135" t="e">
        <f t="shared" si="14"/>
        <v>#N/A</v>
      </c>
      <c r="K74" s="92" t="e">
        <f t="shared" si="14"/>
        <v>#N/A</v>
      </c>
      <c r="L74" s="92" t="e">
        <f t="shared" si="14"/>
        <v>#N/A</v>
      </c>
      <c r="M74" s="92" t="e">
        <f t="shared" si="14"/>
        <v>#N/A</v>
      </c>
      <c r="N74" s="136" t="e">
        <f t="shared" si="14"/>
        <v>#N/A</v>
      </c>
      <c r="O74" s="135" t="e">
        <f t="shared" si="14"/>
        <v>#N/A</v>
      </c>
      <c r="P74" s="92" t="e">
        <f t="shared" si="14"/>
        <v>#N/A</v>
      </c>
      <c r="Q74" s="92" t="e">
        <f t="shared" si="14"/>
        <v>#N/A</v>
      </c>
      <c r="R74" s="92" t="e">
        <f t="shared" si="14"/>
        <v>#N/A</v>
      </c>
      <c r="S74" s="136" t="e">
        <f t="shared" si="14"/>
        <v>#N/A</v>
      </c>
      <c r="T74" s="136" t="e">
        <f t="shared" si="14"/>
        <v>#N/A</v>
      </c>
      <c r="U74" s="136" t="e">
        <f t="shared" si="14"/>
        <v>#N/A</v>
      </c>
      <c r="V74" s="136" t="e">
        <f t="shared" si="14"/>
        <v>#N/A</v>
      </c>
      <c r="W74" s="136" t="e">
        <f t="shared" si="14"/>
        <v>#N/A</v>
      </c>
      <c r="X74" s="141" t="e">
        <f t="shared" si="14"/>
        <v>#N/A</v>
      </c>
      <c r="Y74" s="141" t="e">
        <f t="shared" si="14"/>
        <v>#N/A</v>
      </c>
      <c r="Z74" s="141" t="e">
        <f t="shared" si="14"/>
        <v>#N/A</v>
      </c>
      <c r="AA74" s="141" t="e">
        <f t="shared" si="14"/>
        <v>#N/A</v>
      </c>
      <c r="AB74" s="141" t="e">
        <f t="shared" si="14"/>
        <v>#N/A</v>
      </c>
      <c r="AC74" s="141" t="e">
        <f t="shared" si="14"/>
        <v>#N/A</v>
      </c>
      <c r="AD74" s="141" t="e">
        <f t="shared" si="14"/>
        <v>#N/A</v>
      </c>
      <c r="AE74" s="141" t="e">
        <f t="shared" si="14"/>
        <v>#N/A</v>
      </c>
      <c r="AF74" s="141" t="e">
        <f t="shared" si="14"/>
        <v>#N/A</v>
      </c>
      <c r="AG74" s="141" t="e">
        <f t="shared" si="14"/>
        <v>#N/A</v>
      </c>
      <c r="AH74" s="141" t="e">
        <f t="shared" si="14"/>
        <v>#N/A</v>
      </c>
      <c r="AI74" s="141" t="e">
        <f t="shared" si="14"/>
        <v>#N/A</v>
      </c>
      <c r="AJ74" s="141" t="e">
        <f t="shared" si="14"/>
        <v>#N/A</v>
      </c>
      <c r="AK74" s="141" t="e">
        <f t="shared" si="14"/>
        <v>#N/A</v>
      </c>
      <c r="AL74" s="141" t="e">
        <f t="shared" si="14"/>
        <v>#N/A</v>
      </c>
      <c r="AM74" s="141" t="e">
        <f t="shared" si="14"/>
        <v>#N/A</v>
      </c>
    </row>
    <row r="75" spans="2:39" x14ac:dyDescent="0.25">
      <c r="C75" s="56" t="s">
        <v>31</v>
      </c>
      <c r="D75" s="78" t="s">
        <v>199</v>
      </c>
      <c r="E75" s="136" t="e">
        <f t="shared" si="13"/>
        <v>#N/A</v>
      </c>
      <c r="F75" s="136" t="e">
        <f t="shared" si="13"/>
        <v>#N/A</v>
      </c>
      <c r="G75" s="136" t="e">
        <f t="shared" si="14"/>
        <v>#N/A</v>
      </c>
      <c r="H75" s="136" t="e">
        <f t="shared" si="14"/>
        <v>#N/A</v>
      </c>
      <c r="I75" s="136" t="e">
        <f t="shared" si="14"/>
        <v>#N/A</v>
      </c>
      <c r="J75" s="135" t="e">
        <f t="shared" si="14"/>
        <v>#N/A</v>
      </c>
      <c r="K75" s="92" t="e">
        <f t="shared" si="14"/>
        <v>#N/A</v>
      </c>
      <c r="L75" s="92" t="e">
        <f t="shared" si="14"/>
        <v>#N/A</v>
      </c>
      <c r="M75" s="92" t="e">
        <f t="shared" si="14"/>
        <v>#N/A</v>
      </c>
      <c r="N75" s="136" t="e">
        <f t="shared" si="14"/>
        <v>#N/A</v>
      </c>
      <c r="O75" s="135" t="e">
        <f t="shared" si="14"/>
        <v>#N/A</v>
      </c>
      <c r="P75" s="92" t="e">
        <f t="shared" si="14"/>
        <v>#N/A</v>
      </c>
      <c r="Q75" s="92" t="e">
        <f t="shared" si="14"/>
        <v>#N/A</v>
      </c>
      <c r="R75" s="92" t="e">
        <f t="shared" si="14"/>
        <v>#N/A</v>
      </c>
      <c r="S75" s="136" t="e">
        <f t="shared" si="14"/>
        <v>#N/A</v>
      </c>
      <c r="T75" s="136" t="e">
        <f t="shared" si="14"/>
        <v>#N/A</v>
      </c>
      <c r="U75" s="136" t="e">
        <f t="shared" si="14"/>
        <v>#N/A</v>
      </c>
      <c r="V75" s="136" t="e">
        <f t="shared" si="14"/>
        <v>#N/A</v>
      </c>
      <c r="W75" s="136" t="e">
        <f t="shared" si="14"/>
        <v>#N/A</v>
      </c>
      <c r="X75" s="141" t="e">
        <f t="shared" si="14"/>
        <v>#N/A</v>
      </c>
      <c r="Y75" s="141" t="e">
        <f t="shared" si="14"/>
        <v>#N/A</v>
      </c>
      <c r="Z75" s="141" t="e">
        <f t="shared" si="14"/>
        <v>#N/A</v>
      </c>
      <c r="AA75" s="141" t="e">
        <f t="shared" si="14"/>
        <v>#N/A</v>
      </c>
      <c r="AB75" s="141" t="e">
        <f t="shared" si="14"/>
        <v>#N/A</v>
      </c>
      <c r="AC75" s="141" t="e">
        <f t="shared" si="14"/>
        <v>#N/A</v>
      </c>
      <c r="AD75" s="141" t="e">
        <f t="shared" si="14"/>
        <v>#N/A</v>
      </c>
      <c r="AE75" s="141" t="e">
        <f t="shared" si="14"/>
        <v>#N/A</v>
      </c>
      <c r="AF75" s="141" t="e">
        <f t="shared" si="14"/>
        <v>#N/A</v>
      </c>
      <c r="AG75" s="141" t="e">
        <f t="shared" si="14"/>
        <v>#N/A</v>
      </c>
      <c r="AH75" s="141" t="e">
        <f t="shared" si="14"/>
        <v>#N/A</v>
      </c>
      <c r="AI75" s="141" t="e">
        <f t="shared" si="14"/>
        <v>#N/A</v>
      </c>
      <c r="AJ75" s="141" t="e">
        <f t="shared" si="14"/>
        <v>#N/A</v>
      </c>
      <c r="AK75" s="141" t="e">
        <f t="shared" si="14"/>
        <v>#N/A</v>
      </c>
      <c r="AL75" s="141" t="e">
        <f t="shared" si="14"/>
        <v>#N/A</v>
      </c>
      <c r="AM75" s="141" t="e">
        <f t="shared" si="14"/>
        <v>#N/A</v>
      </c>
    </row>
    <row r="76" spans="2:39" x14ac:dyDescent="0.25">
      <c r="C76" s="56" t="s">
        <v>32</v>
      </c>
      <c r="D76" s="78" t="s">
        <v>200</v>
      </c>
      <c r="E76" s="136" t="e">
        <f t="shared" si="13"/>
        <v>#N/A</v>
      </c>
      <c r="F76" s="136" t="e">
        <f t="shared" si="13"/>
        <v>#N/A</v>
      </c>
      <c r="G76" s="136" t="e">
        <f t="shared" si="14"/>
        <v>#N/A</v>
      </c>
      <c r="H76" s="136" t="e">
        <f t="shared" si="14"/>
        <v>#N/A</v>
      </c>
      <c r="I76" s="136" t="e">
        <f t="shared" si="14"/>
        <v>#N/A</v>
      </c>
      <c r="J76" s="135" t="e">
        <f t="shared" si="14"/>
        <v>#N/A</v>
      </c>
      <c r="K76" s="92" t="e">
        <f t="shared" si="14"/>
        <v>#N/A</v>
      </c>
      <c r="L76" s="92" t="e">
        <f t="shared" si="14"/>
        <v>#N/A</v>
      </c>
      <c r="M76" s="92" t="e">
        <f t="shared" si="14"/>
        <v>#N/A</v>
      </c>
      <c r="N76" s="136" t="e">
        <f t="shared" si="14"/>
        <v>#N/A</v>
      </c>
      <c r="O76" s="135" t="e">
        <f t="shared" si="14"/>
        <v>#N/A</v>
      </c>
      <c r="P76" s="92" t="e">
        <f t="shared" si="14"/>
        <v>#N/A</v>
      </c>
      <c r="Q76" s="92" t="e">
        <f t="shared" si="14"/>
        <v>#N/A</v>
      </c>
      <c r="R76" s="92" t="e">
        <f t="shared" si="14"/>
        <v>#N/A</v>
      </c>
      <c r="S76" s="136" t="e">
        <f t="shared" si="14"/>
        <v>#N/A</v>
      </c>
      <c r="T76" s="136" t="e">
        <f t="shared" si="14"/>
        <v>#N/A</v>
      </c>
      <c r="U76" s="136" t="e">
        <f t="shared" si="14"/>
        <v>#N/A</v>
      </c>
      <c r="V76" s="136" t="e">
        <f t="shared" si="14"/>
        <v>#N/A</v>
      </c>
      <c r="W76" s="136" t="e">
        <f t="shared" si="14"/>
        <v>#N/A</v>
      </c>
      <c r="X76" s="141" t="e">
        <f t="shared" si="14"/>
        <v>#N/A</v>
      </c>
      <c r="Y76" s="141" t="e">
        <f t="shared" si="14"/>
        <v>#N/A</v>
      </c>
      <c r="Z76" s="141" t="e">
        <f t="shared" si="14"/>
        <v>#N/A</v>
      </c>
      <c r="AA76" s="141" t="e">
        <f t="shared" si="14"/>
        <v>#N/A</v>
      </c>
      <c r="AB76" s="141" t="e">
        <f t="shared" si="14"/>
        <v>#N/A</v>
      </c>
      <c r="AC76" s="141" t="e">
        <f t="shared" si="14"/>
        <v>#N/A</v>
      </c>
      <c r="AD76" s="141" t="e">
        <f t="shared" si="14"/>
        <v>#N/A</v>
      </c>
      <c r="AE76" s="141" t="e">
        <f t="shared" si="14"/>
        <v>#N/A</v>
      </c>
      <c r="AF76" s="141" t="e">
        <f t="shared" si="14"/>
        <v>#N/A</v>
      </c>
      <c r="AG76" s="141" t="e">
        <f t="shared" si="14"/>
        <v>#N/A</v>
      </c>
      <c r="AH76" s="141" t="e">
        <f t="shared" si="14"/>
        <v>#N/A</v>
      </c>
      <c r="AI76" s="141" t="e">
        <f t="shared" si="14"/>
        <v>#N/A</v>
      </c>
      <c r="AJ76" s="141" t="e">
        <f t="shared" si="14"/>
        <v>#N/A</v>
      </c>
      <c r="AK76" s="141" t="e">
        <f t="shared" si="14"/>
        <v>#N/A</v>
      </c>
      <c r="AL76" s="141" t="e">
        <f t="shared" si="14"/>
        <v>#N/A</v>
      </c>
      <c r="AM76" s="141" t="e">
        <f t="shared" si="14"/>
        <v>#N/A</v>
      </c>
    </row>
    <row r="77" spans="2:39" x14ac:dyDescent="0.25">
      <c r="C77" s="56" t="s">
        <v>33</v>
      </c>
      <c r="D77" s="78" t="s">
        <v>201</v>
      </c>
      <c r="E77" s="151" t="e">
        <f t="shared" si="13"/>
        <v>#N/A</v>
      </c>
      <c r="F77" s="151" t="e">
        <f t="shared" si="13"/>
        <v>#N/A</v>
      </c>
      <c r="G77" s="151" t="e">
        <f t="shared" si="14"/>
        <v>#N/A</v>
      </c>
      <c r="H77" s="151" t="e">
        <f t="shared" si="14"/>
        <v>#N/A</v>
      </c>
      <c r="I77" s="151" t="e">
        <f t="shared" si="14"/>
        <v>#N/A</v>
      </c>
      <c r="J77" s="150" t="e">
        <f t="shared" si="14"/>
        <v>#N/A</v>
      </c>
      <c r="K77" s="93" t="e">
        <f t="shared" si="14"/>
        <v>#N/A</v>
      </c>
      <c r="L77" s="93" t="e">
        <f t="shared" si="14"/>
        <v>#N/A</v>
      </c>
      <c r="M77" s="93" t="e">
        <f t="shared" si="14"/>
        <v>#N/A</v>
      </c>
      <c r="N77" s="151" t="e">
        <f t="shared" si="14"/>
        <v>#N/A</v>
      </c>
      <c r="O77" s="150" t="e">
        <f t="shared" ref="O77:AM85" si="15">O34/O$26</f>
        <v>#N/A</v>
      </c>
      <c r="P77" s="93" t="e">
        <f t="shared" si="15"/>
        <v>#N/A</v>
      </c>
      <c r="Q77" s="93" t="e">
        <f t="shared" si="15"/>
        <v>#N/A</v>
      </c>
      <c r="R77" s="93" t="e">
        <f t="shared" si="15"/>
        <v>#N/A</v>
      </c>
      <c r="S77" s="151" t="e">
        <f t="shared" si="15"/>
        <v>#N/A</v>
      </c>
      <c r="T77" s="151" t="e">
        <f t="shared" si="15"/>
        <v>#N/A</v>
      </c>
      <c r="U77" s="151" t="e">
        <f t="shared" si="15"/>
        <v>#N/A</v>
      </c>
      <c r="V77" s="151" t="e">
        <f t="shared" si="15"/>
        <v>#N/A</v>
      </c>
      <c r="W77" s="151" t="e">
        <f t="shared" si="15"/>
        <v>#N/A</v>
      </c>
      <c r="X77" s="144" t="e">
        <f t="shared" si="15"/>
        <v>#N/A</v>
      </c>
      <c r="Y77" s="144" t="e">
        <f t="shared" si="15"/>
        <v>#N/A</v>
      </c>
      <c r="Z77" s="144" t="e">
        <f t="shared" si="15"/>
        <v>#N/A</v>
      </c>
      <c r="AA77" s="144" t="e">
        <f t="shared" si="15"/>
        <v>#N/A</v>
      </c>
      <c r="AB77" s="144" t="e">
        <f t="shared" si="15"/>
        <v>#N/A</v>
      </c>
      <c r="AC77" s="144" t="e">
        <f t="shared" si="15"/>
        <v>#N/A</v>
      </c>
      <c r="AD77" s="144" t="e">
        <f t="shared" si="15"/>
        <v>#N/A</v>
      </c>
      <c r="AE77" s="144" t="e">
        <f t="shared" si="15"/>
        <v>#N/A</v>
      </c>
      <c r="AF77" s="144" t="e">
        <f t="shared" si="15"/>
        <v>#N/A</v>
      </c>
      <c r="AG77" s="144" t="e">
        <f t="shared" si="15"/>
        <v>#N/A</v>
      </c>
      <c r="AH77" s="144" t="e">
        <f t="shared" si="15"/>
        <v>#N/A</v>
      </c>
      <c r="AI77" s="144" t="e">
        <f t="shared" si="15"/>
        <v>#N/A</v>
      </c>
      <c r="AJ77" s="144" t="e">
        <f t="shared" si="15"/>
        <v>#N/A</v>
      </c>
      <c r="AK77" s="144" t="e">
        <f t="shared" si="15"/>
        <v>#N/A</v>
      </c>
      <c r="AL77" s="144" t="e">
        <f t="shared" si="15"/>
        <v>#N/A</v>
      </c>
      <c r="AM77" s="144" t="e">
        <f t="shared" si="15"/>
        <v>#N/A</v>
      </c>
    </row>
    <row r="78" spans="2:39" x14ac:dyDescent="0.25">
      <c r="C78" s="76" t="s">
        <v>119</v>
      </c>
      <c r="D78" s="76" t="s">
        <v>202</v>
      </c>
      <c r="E78" s="149" t="e">
        <f t="shared" ref="E78:F78" si="16">E35/E$26</f>
        <v>#N/A</v>
      </c>
      <c r="F78" s="149" t="e">
        <f t="shared" si="16"/>
        <v>#N/A</v>
      </c>
      <c r="G78" s="149" t="e">
        <f t="shared" ref="G78:S85" si="17">G35/G$26</f>
        <v>#N/A</v>
      </c>
      <c r="H78" s="149" t="e">
        <f t="shared" si="17"/>
        <v>#N/A</v>
      </c>
      <c r="I78" s="149" t="e">
        <f t="shared" si="17"/>
        <v>#N/A</v>
      </c>
      <c r="J78" s="148" t="e">
        <f t="shared" si="17"/>
        <v>#N/A</v>
      </c>
      <c r="K78" s="91" t="e">
        <f t="shared" si="17"/>
        <v>#N/A</v>
      </c>
      <c r="L78" s="91" t="e">
        <f t="shared" si="17"/>
        <v>#N/A</v>
      </c>
      <c r="M78" s="91" t="e">
        <f t="shared" si="17"/>
        <v>#N/A</v>
      </c>
      <c r="N78" s="149" t="e">
        <f t="shared" si="17"/>
        <v>#N/A</v>
      </c>
      <c r="O78" s="148" t="e">
        <f t="shared" si="17"/>
        <v>#N/A</v>
      </c>
      <c r="P78" s="91" t="e">
        <f t="shared" si="17"/>
        <v>#N/A</v>
      </c>
      <c r="Q78" s="91" t="e">
        <f t="shared" si="17"/>
        <v>#N/A</v>
      </c>
      <c r="R78" s="91" t="e">
        <f t="shared" si="17"/>
        <v>#N/A</v>
      </c>
      <c r="S78" s="149" t="e">
        <f t="shared" si="17"/>
        <v>#N/A</v>
      </c>
      <c r="T78" s="149" t="e">
        <f t="shared" si="15"/>
        <v>#N/A</v>
      </c>
      <c r="U78" s="149" t="e">
        <f t="shared" si="15"/>
        <v>#N/A</v>
      </c>
      <c r="V78" s="149" t="e">
        <f t="shared" si="15"/>
        <v>#N/A</v>
      </c>
      <c r="W78" s="149" t="e">
        <f t="shared" si="15"/>
        <v>#N/A</v>
      </c>
      <c r="X78" s="143" t="e">
        <f t="shared" si="15"/>
        <v>#N/A</v>
      </c>
      <c r="Y78" s="143" t="e">
        <f t="shared" si="15"/>
        <v>#N/A</v>
      </c>
      <c r="Z78" s="143" t="e">
        <f t="shared" si="15"/>
        <v>#N/A</v>
      </c>
      <c r="AA78" s="143" t="e">
        <f t="shared" si="15"/>
        <v>#N/A</v>
      </c>
      <c r="AB78" s="143" t="e">
        <f t="shared" si="15"/>
        <v>#N/A</v>
      </c>
      <c r="AC78" s="143" t="e">
        <f t="shared" si="15"/>
        <v>#N/A</v>
      </c>
      <c r="AD78" s="143" t="e">
        <f t="shared" si="15"/>
        <v>#N/A</v>
      </c>
      <c r="AE78" s="143" t="e">
        <f t="shared" si="15"/>
        <v>#N/A</v>
      </c>
      <c r="AF78" s="143" t="e">
        <f t="shared" si="15"/>
        <v>#N/A</v>
      </c>
      <c r="AG78" s="143" t="e">
        <f t="shared" si="15"/>
        <v>#N/A</v>
      </c>
      <c r="AH78" s="143" t="e">
        <f t="shared" si="15"/>
        <v>#N/A</v>
      </c>
      <c r="AI78" s="143" t="e">
        <f t="shared" si="15"/>
        <v>#N/A</v>
      </c>
      <c r="AJ78" s="143" t="e">
        <f t="shared" si="15"/>
        <v>#N/A</v>
      </c>
      <c r="AK78" s="143" t="e">
        <f t="shared" si="15"/>
        <v>#N/A</v>
      </c>
      <c r="AL78" s="143" t="e">
        <f t="shared" si="15"/>
        <v>#N/A</v>
      </c>
      <c r="AM78" s="143" t="e">
        <f t="shared" si="15"/>
        <v>#N/A</v>
      </c>
    </row>
    <row r="79" spans="2:39" x14ac:dyDescent="0.25">
      <c r="C79" s="56" t="s">
        <v>27</v>
      </c>
      <c r="D79" s="3" t="s">
        <v>203</v>
      </c>
      <c r="E79" s="136" t="e">
        <f t="shared" ref="E79:F79" si="18">E36/E$26</f>
        <v>#N/A</v>
      </c>
      <c r="F79" s="136" t="e">
        <f t="shared" si="18"/>
        <v>#N/A</v>
      </c>
      <c r="G79" s="136" t="e">
        <f t="shared" si="17"/>
        <v>#N/A</v>
      </c>
      <c r="H79" s="136" t="e">
        <f t="shared" si="17"/>
        <v>#N/A</v>
      </c>
      <c r="I79" s="136" t="e">
        <f t="shared" si="17"/>
        <v>#N/A</v>
      </c>
      <c r="J79" s="135" t="e">
        <f t="shared" si="17"/>
        <v>#N/A</v>
      </c>
      <c r="K79" s="92" t="e">
        <f t="shared" si="17"/>
        <v>#N/A</v>
      </c>
      <c r="L79" s="92" t="e">
        <f t="shared" si="17"/>
        <v>#N/A</v>
      </c>
      <c r="M79" s="92" t="e">
        <f t="shared" si="17"/>
        <v>#N/A</v>
      </c>
      <c r="N79" s="136" t="e">
        <f t="shared" si="17"/>
        <v>#N/A</v>
      </c>
      <c r="O79" s="135" t="e">
        <f t="shared" si="17"/>
        <v>#N/A</v>
      </c>
      <c r="P79" s="92" t="e">
        <f t="shared" si="17"/>
        <v>#N/A</v>
      </c>
      <c r="Q79" s="92" t="e">
        <f t="shared" si="17"/>
        <v>#N/A</v>
      </c>
      <c r="R79" s="92" t="e">
        <f t="shared" si="17"/>
        <v>#N/A</v>
      </c>
      <c r="S79" s="136" t="e">
        <f t="shared" si="17"/>
        <v>#N/A</v>
      </c>
      <c r="T79" s="136" t="e">
        <f t="shared" si="15"/>
        <v>#N/A</v>
      </c>
      <c r="U79" s="136" t="e">
        <f t="shared" si="15"/>
        <v>#N/A</v>
      </c>
      <c r="V79" s="136" t="e">
        <f t="shared" si="15"/>
        <v>#N/A</v>
      </c>
      <c r="W79" s="136" t="e">
        <f t="shared" si="15"/>
        <v>#N/A</v>
      </c>
      <c r="X79" s="141" t="e">
        <f t="shared" si="15"/>
        <v>#N/A</v>
      </c>
      <c r="Y79" s="141" t="e">
        <f t="shared" si="15"/>
        <v>#N/A</v>
      </c>
      <c r="Z79" s="141" t="e">
        <f t="shared" si="15"/>
        <v>#N/A</v>
      </c>
      <c r="AA79" s="141" t="e">
        <f t="shared" si="15"/>
        <v>#N/A</v>
      </c>
      <c r="AB79" s="141" t="e">
        <f t="shared" si="15"/>
        <v>#N/A</v>
      </c>
      <c r="AC79" s="141" t="e">
        <f t="shared" si="15"/>
        <v>#N/A</v>
      </c>
      <c r="AD79" s="141" t="e">
        <f t="shared" si="15"/>
        <v>#N/A</v>
      </c>
      <c r="AE79" s="141" t="e">
        <f t="shared" si="15"/>
        <v>#N/A</v>
      </c>
      <c r="AF79" s="141" t="e">
        <f t="shared" si="15"/>
        <v>#N/A</v>
      </c>
      <c r="AG79" s="141" t="e">
        <f t="shared" si="15"/>
        <v>#N/A</v>
      </c>
      <c r="AH79" s="141" t="e">
        <f t="shared" si="15"/>
        <v>#N/A</v>
      </c>
      <c r="AI79" s="141" t="e">
        <f t="shared" si="15"/>
        <v>#N/A</v>
      </c>
      <c r="AJ79" s="141" t="e">
        <f t="shared" si="15"/>
        <v>#N/A</v>
      </c>
      <c r="AK79" s="141" t="e">
        <f t="shared" si="15"/>
        <v>#N/A</v>
      </c>
      <c r="AL79" s="141" t="e">
        <f t="shared" si="15"/>
        <v>#N/A</v>
      </c>
      <c r="AM79" s="141" t="e">
        <f t="shared" si="15"/>
        <v>#N/A</v>
      </c>
    </row>
    <row r="80" spans="2:39" x14ac:dyDescent="0.25">
      <c r="C80" s="56" t="s">
        <v>28</v>
      </c>
      <c r="D80" s="3" t="s">
        <v>204</v>
      </c>
      <c r="E80" s="136" t="e">
        <f t="shared" ref="E80:F80" si="19">E37/E$26</f>
        <v>#N/A</v>
      </c>
      <c r="F80" s="136" t="e">
        <f t="shared" si="19"/>
        <v>#N/A</v>
      </c>
      <c r="G80" s="136" t="e">
        <f t="shared" si="17"/>
        <v>#N/A</v>
      </c>
      <c r="H80" s="136" t="e">
        <f t="shared" si="17"/>
        <v>#N/A</v>
      </c>
      <c r="I80" s="136" t="e">
        <f t="shared" si="17"/>
        <v>#N/A</v>
      </c>
      <c r="J80" s="135" t="e">
        <f t="shared" si="17"/>
        <v>#N/A</v>
      </c>
      <c r="K80" s="92" t="e">
        <f t="shared" si="17"/>
        <v>#N/A</v>
      </c>
      <c r="L80" s="92" t="e">
        <f t="shared" si="17"/>
        <v>#N/A</v>
      </c>
      <c r="M80" s="92" t="e">
        <f t="shared" si="17"/>
        <v>#N/A</v>
      </c>
      <c r="N80" s="136" t="e">
        <f t="shared" si="17"/>
        <v>#N/A</v>
      </c>
      <c r="O80" s="135" t="e">
        <f t="shared" si="17"/>
        <v>#N/A</v>
      </c>
      <c r="P80" s="92" t="e">
        <f t="shared" si="17"/>
        <v>#N/A</v>
      </c>
      <c r="Q80" s="92" t="e">
        <f t="shared" si="17"/>
        <v>#N/A</v>
      </c>
      <c r="R80" s="92" t="e">
        <f t="shared" si="17"/>
        <v>#N/A</v>
      </c>
      <c r="S80" s="136" t="e">
        <f t="shared" si="17"/>
        <v>#N/A</v>
      </c>
      <c r="T80" s="136" t="e">
        <f t="shared" si="15"/>
        <v>#N/A</v>
      </c>
      <c r="U80" s="136" t="e">
        <f t="shared" si="15"/>
        <v>#N/A</v>
      </c>
      <c r="V80" s="136" t="e">
        <f t="shared" si="15"/>
        <v>#N/A</v>
      </c>
      <c r="W80" s="136" t="e">
        <f t="shared" si="15"/>
        <v>#N/A</v>
      </c>
      <c r="X80" s="141" t="e">
        <f t="shared" si="15"/>
        <v>#N/A</v>
      </c>
      <c r="Y80" s="141" t="e">
        <f t="shared" si="15"/>
        <v>#N/A</v>
      </c>
      <c r="Z80" s="141" t="e">
        <f t="shared" si="15"/>
        <v>#N/A</v>
      </c>
      <c r="AA80" s="141" t="e">
        <f t="shared" si="15"/>
        <v>#N/A</v>
      </c>
      <c r="AB80" s="141" t="e">
        <f t="shared" si="15"/>
        <v>#N/A</v>
      </c>
      <c r="AC80" s="141" t="e">
        <f t="shared" si="15"/>
        <v>#N/A</v>
      </c>
      <c r="AD80" s="141" t="e">
        <f t="shared" si="15"/>
        <v>#N/A</v>
      </c>
      <c r="AE80" s="141" t="e">
        <f t="shared" si="15"/>
        <v>#N/A</v>
      </c>
      <c r="AF80" s="141" t="e">
        <f t="shared" si="15"/>
        <v>#N/A</v>
      </c>
      <c r="AG80" s="141" t="e">
        <f t="shared" si="15"/>
        <v>#N/A</v>
      </c>
      <c r="AH80" s="141" t="e">
        <f t="shared" si="15"/>
        <v>#N/A</v>
      </c>
      <c r="AI80" s="141" t="e">
        <f t="shared" si="15"/>
        <v>#N/A</v>
      </c>
      <c r="AJ80" s="141" t="e">
        <f t="shared" si="15"/>
        <v>#N/A</v>
      </c>
      <c r="AK80" s="141" t="e">
        <f t="shared" si="15"/>
        <v>#N/A</v>
      </c>
      <c r="AL80" s="141" t="e">
        <f t="shared" si="15"/>
        <v>#N/A</v>
      </c>
      <c r="AM80" s="141" t="e">
        <f t="shared" si="15"/>
        <v>#N/A</v>
      </c>
    </row>
    <row r="81" spans="2:39" x14ac:dyDescent="0.25">
      <c r="C81" s="56" t="s">
        <v>29</v>
      </c>
      <c r="D81" s="3" t="s">
        <v>205</v>
      </c>
      <c r="E81" s="136" t="e">
        <f t="shared" ref="E81:F81" si="20">E38/E$26</f>
        <v>#N/A</v>
      </c>
      <c r="F81" s="136" t="e">
        <f t="shared" si="20"/>
        <v>#N/A</v>
      </c>
      <c r="G81" s="136" t="e">
        <f t="shared" si="17"/>
        <v>#N/A</v>
      </c>
      <c r="H81" s="136" t="e">
        <f t="shared" si="17"/>
        <v>#N/A</v>
      </c>
      <c r="I81" s="136" t="e">
        <f t="shared" si="17"/>
        <v>#N/A</v>
      </c>
      <c r="J81" s="135" t="e">
        <f t="shared" si="17"/>
        <v>#N/A</v>
      </c>
      <c r="K81" s="92" t="e">
        <f t="shared" si="17"/>
        <v>#N/A</v>
      </c>
      <c r="L81" s="92" t="e">
        <f t="shared" si="17"/>
        <v>#N/A</v>
      </c>
      <c r="M81" s="92" t="e">
        <f t="shared" si="17"/>
        <v>#N/A</v>
      </c>
      <c r="N81" s="136" t="e">
        <f t="shared" si="17"/>
        <v>#N/A</v>
      </c>
      <c r="O81" s="135" t="e">
        <f t="shared" si="17"/>
        <v>#N/A</v>
      </c>
      <c r="P81" s="92" t="e">
        <f t="shared" si="17"/>
        <v>#N/A</v>
      </c>
      <c r="Q81" s="92" t="e">
        <f t="shared" si="17"/>
        <v>#N/A</v>
      </c>
      <c r="R81" s="92" t="e">
        <f t="shared" si="17"/>
        <v>#N/A</v>
      </c>
      <c r="S81" s="136" t="e">
        <f t="shared" si="17"/>
        <v>#N/A</v>
      </c>
      <c r="T81" s="136" t="e">
        <f t="shared" si="15"/>
        <v>#N/A</v>
      </c>
      <c r="U81" s="136" t="e">
        <f t="shared" si="15"/>
        <v>#N/A</v>
      </c>
      <c r="V81" s="136" t="e">
        <f t="shared" si="15"/>
        <v>#N/A</v>
      </c>
      <c r="W81" s="136" t="e">
        <f t="shared" si="15"/>
        <v>#N/A</v>
      </c>
      <c r="X81" s="141" t="e">
        <f t="shared" si="15"/>
        <v>#N/A</v>
      </c>
      <c r="Y81" s="141" t="e">
        <f t="shared" si="15"/>
        <v>#N/A</v>
      </c>
      <c r="Z81" s="141" t="e">
        <f t="shared" si="15"/>
        <v>#N/A</v>
      </c>
      <c r="AA81" s="141" t="e">
        <f t="shared" si="15"/>
        <v>#N/A</v>
      </c>
      <c r="AB81" s="141" t="e">
        <f t="shared" si="15"/>
        <v>#N/A</v>
      </c>
      <c r="AC81" s="141" t="e">
        <f t="shared" si="15"/>
        <v>#N/A</v>
      </c>
      <c r="AD81" s="141" t="e">
        <f t="shared" si="15"/>
        <v>#N/A</v>
      </c>
      <c r="AE81" s="141" t="e">
        <f t="shared" si="15"/>
        <v>#N/A</v>
      </c>
      <c r="AF81" s="141" t="e">
        <f t="shared" si="15"/>
        <v>#N/A</v>
      </c>
      <c r="AG81" s="141" t="e">
        <f t="shared" si="15"/>
        <v>#N/A</v>
      </c>
      <c r="AH81" s="141" t="e">
        <f t="shared" si="15"/>
        <v>#N/A</v>
      </c>
      <c r="AI81" s="141" t="e">
        <f t="shared" si="15"/>
        <v>#N/A</v>
      </c>
      <c r="AJ81" s="141" t="e">
        <f t="shared" si="15"/>
        <v>#N/A</v>
      </c>
      <c r="AK81" s="141" t="e">
        <f t="shared" si="15"/>
        <v>#N/A</v>
      </c>
      <c r="AL81" s="141" t="e">
        <f t="shared" si="15"/>
        <v>#N/A</v>
      </c>
      <c r="AM81" s="141" t="e">
        <f t="shared" si="15"/>
        <v>#N/A</v>
      </c>
    </row>
    <row r="82" spans="2:39" x14ac:dyDescent="0.25">
      <c r="C82" s="56" t="s">
        <v>30</v>
      </c>
      <c r="D82" s="3" t="s">
        <v>206</v>
      </c>
      <c r="E82" s="136" t="e">
        <f t="shared" ref="E82:F82" si="21">E39/E$26</f>
        <v>#N/A</v>
      </c>
      <c r="F82" s="136" t="e">
        <f t="shared" si="21"/>
        <v>#N/A</v>
      </c>
      <c r="G82" s="136" t="e">
        <f t="shared" si="17"/>
        <v>#N/A</v>
      </c>
      <c r="H82" s="136" t="e">
        <f t="shared" si="17"/>
        <v>#N/A</v>
      </c>
      <c r="I82" s="136" t="e">
        <f t="shared" si="17"/>
        <v>#N/A</v>
      </c>
      <c r="J82" s="135" t="e">
        <f t="shared" si="17"/>
        <v>#N/A</v>
      </c>
      <c r="K82" s="92" t="e">
        <f t="shared" si="17"/>
        <v>#N/A</v>
      </c>
      <c r="L82" s="92" t="e">
        <f t="shared" si="17"/>
        <v>#N/A</v>
      </c>
      <c r="M82" s="92" t="e">
        <f t="shared" si="17"/>
        <v>#N/A</v>
      </c>
      <c r="N82" s="136" t="e">
        <f t="shared" si="17"/>
        <v>#N/A</v>
      </c>
      <c r="O82" s="135" t="e">
        <f t="shared" si="17"/>
        <v>#N/A</v>
      </c>
      <c r="P82" s="92" t="e">
        <f t="shared" si="17"/>
        <v>#N/A</v>
      </c>
      <c r="Q82" s="92" t="e">
        <f t="shared" si="17"/>
        <v>#N/A</v>
      </c>
      <c r="R82" s="92" t="e">
        <f t="shared" si="17"/>
        <v>#N/A</v>
      </c>
      <c r="S82" s="136" t="e">
        <f t="shared" si="17"/>
        <v>#N/A</v>
      </c>
      <c r="T82" s="136" t="e">
        <f t="shared" si="15"/>
        <v>#N/A</v>
      </c>
      <c r="U82" s="136" t="e">
        <f t="shared" si="15"/>
        <v>#N/A</v>
      </c>
      <c r="V82" s="136" t="e">
        <f t="shared" si="15"/>
        <v>#N/A</v>
      </c>
      <c r="W82" s="136" t="e">
        <f t="shared" si="15"/>
        <v>#N/A</v>
      </c>
      <c r="X82" s="141" t="e">
        <f t="shared" si="15"/>
        <v>#N/A</v>
      </c>
      <c r="Y82" s="141" t="e">
        <f t="shared" si="15"/>
        <v>#N/A</v>
      </c>
      <c r="Z82" s="141" t="e">
        <f t="shared" si="15"/>
        <v>#N/A</v>
      </c>
      <c r="AA82" s="141" t="e">
        <f t="shared" si="15"/>
        <v>#N/A</v>
      </c>
      <c r="AB82" s="141" t="e">
        <f t="shared" si="15"/>
        <v>#N/A</v>
      </c>
      <c r="AC82" s="141" t="e">
        <f t="shared" si="15"/>
        <v>#N/A</v>
      </c>
      <c r="AD82" s="141" t="e">
        <f t="shared" si="15"/>
        <v>#N/A</v>
      </c>
      <c r="AE82" s="141" t="e">
        <f t="shared" si="15"/>
        <v>#N/A</v>
      </c>
      <c r="AF82" s="141" t="e">
        <f t="shared" si="15"/>
        <v>#N/A</v>
      </c>
      <c r="AG82" s="141" t="e">
        <f t="shared" si="15"/>
        <v>#N/A</v>
      </c>
      <c r="AH82" s="141" t="e">
        <f t="shared" si="15"/>
        <v>#N/A</v>
      </c>
      <c r="AI82" s="141" t="e">
        <f t="shared" si="15"/>
        <v>#N/A</v>
      </c>
      <c r="AJ82" s="141" t="e">
        <f t="shared" si="15"/>
        <v>#N/A</v>
      </c>
      <c r="AK82" s="141" t="e">
        <f t="shared" si="15"/>
        <v>#N/A</v>
      </c>
      <c r="AL82" s="141" t="e">
        <f t="shared" si="15"/>
        <v>#N/A</v>
      </c>
      <c r="AM82" s="141" t="e">
        <f t="shared" si="15"/>
        <v>#N/A</v>
      </c>
    </row>
    <row r="83" spans="2:39" x14ac:dyDescent="0.25">
      <c r="C83" s="56" t="s">
        <v>31</v>
      </c>
      <c r="D83" s="3" t="s">
        <v>207</v>
      </c>
      <c r="E83" s="136" t="e">
        <f t="shared" ref="E83:F83" si="22">E40/E$26</f>
        <v>#N/A</v>
      </c>
      <c r="F83" s="136" t="e">
        <f t="shared" si="22"/>
        <v>#N/A</v>
      </c>
      <c r="G83" s="136" t="e">
        <f t="shared" si="17"/>
        <v>#N/A</v>
      </c>
      <c r="H83" s="136" t="e">
        <f t="shared" si="17"/>
        <v>#N/A</v>
      </c>
      <c r="I83" s="136" t="e">
        <f t="shared" si="17"/>
        <v>#N/A</v>
      </c>
      <c r="J83" s="135" t="e">
        <f t="shared" si="17"/>
        <v>#N/A</v>
      </c>
      <c r="K83" s="92" t="e">
        <f t="shared" si="17"/>
        <v>#N/A</v>
      </c>
      <c r="L83" s="92" t="e">
        <f t="shared" si="17"/>
        <v>#N/A</v>
      </c>
      <c r="M83" s="92" t="e">
        <f t="shared" si="17"/>
        <v>#N/A</v>
      </c>
      <c r="N83" s="136" t="e">
        <f t="shared" si="17"/>
        <v>#N/A</v>
      </c>
      <c r="O83" s="135" t="e">
        <f t="shared" si="17"/>
        <v>#N/A</v>
      </c>
      <c r="P83" s="92" t="e">
        <f t="shared" si="17"/>
        <v>#N/A</v>
      </c>
      <c r="Q83" s="92" t="e">
        <f t="shared" si="17"/>
        <v>#N/A</v>
      </c>
      <c r="R83" s="92" t="e">
        <f t="shared" si="17"/>
        <v>#N/A</v>
      </c>
      <c r="S83" s="136" t="e">
        <f t="shared" si="17"/>
        <v>#N/A</v>
      </c>
      <c r="T83" s="136" t="e">
        <f t="shared" si="15"/>
        <v>#N/A</v>
      </c>
      <c r="U83" s="136" t="e">
        <f t="shared" si="15"/>
        <v>#N/A</v>
      </c>
      <c r="V83" s="136" t="e">
        <f t="shared" si="15"/>
        <v>#N/A</v>
      </c>
      <c r="W83" s="136" t="e">
        <f t="shared" si="15"/>
        <v>#N/A</v>
      </c>
      <c r="X83" s="141" t="e">
        <f t="shared" si="15"/>
        <v>#N/A</v>
      </c>
      <c r="Y83" s="141" t="e">
        <f t="shared" si="15"/>
        <v>#N/A</v>
      </c>
      <c r="Z83" s="141" t="e">
        <f t="shared" si="15"/>
        <v>#N/A</v>
      </c>
      <c r="AA83" s="141" t="e">
        <f t="shared" si="15"/>
        <v>#N/A</v>
      </c>
      <c r="AB83" s="141" t="e">
        <f t="shared" si="15"/>
        <v>#N/A</v>
      </c>
      <c r="AC83" s="141" t="e">
        <f t="shared" si="15"/>
        <v>#N/A</v>
      </c>
      <c r="AD83" s="141" t="e">
        <f t="shared" si="15"/>
        <v>#N/A</v>
      </c>
      <c r="AE83" s="141" t="e">
        <f t="shared" si="15"/>
        <v>#N/A</v>
      </c>
      <c r="AF83" s="141" t="e">
        <f t="shared" si="15"/>
        <v>#N/A</v>
      </c>
      <c r="AG83" s="141" t="e">
        <f t="shared" si="15"/>
        <v>#N/A</v>
      </c>
      <c r="AH83" s="141" t="e">
        <f t="shared" si="15"/>
        <v>#N/A</v>
      </c>
      <c r="AI83" s="141" t="e">
        <f t="shared" si="15"/>
        <v>#N/A</v>
      </c>
      <c r="AJ83" s="141" t="e">
        <f t="shared" si="15"/>
        <v>#N/A</v>
      </c>
      <c r="AK83" s="141" t="e">
        <f t="shared" si="15"/>
        <v>#N/A</v>
      </c>
      <c r="AL83" s="141" t="e">
        <f t="shared" si="15"/>
        <v>#N/A</v>
      </c>
      <c r="AM83" s="141" t="e">
        <f t="shared" si="15"/>
        <v>#N/A</v>
      </c>
    </row>
    <row r="84" spans="2:39" x14ac:dyDescent="0.25">
      <c r="C84" s="56" t="s">
        <v>32</v>
      </c>
      <c r="D84" s="3" t="s">
        <v>208</v>
      </c>
      <c r="E84" s="136" t="e">
        <f t="shared" ref="E84:F84" si="23">E41/E$26</f>
        <v>#N/A</v>
      </c>
      <c r="F84" s="136" t="e">
        <f t="shared" si="23"/>
        <v>#N/A</v>
      </c>
      <c r="G84" s="136" t="e">
        <f t="shared" si="17"/>
        <v>#N/A</v>
      </c>
      <c r="H84" s="136" t="e">
        <f t="shared" si="17"/>
        <v>#N/A</v>
      </c>
      <c r="I84" s="136" t="e">
        <f t="shared" si="17"/>
        <v>#N/A</v>
      </c>
      <c r="J84" s="135" t="e">
        <f t="shared" si="17"/>
        <v>#N/A</v>
      </c>
      <c r="K84" s="92" t="e">
        <f t="shared" si="17"/>
        <v>#N/A</v>
      </c>
      <c r="L84" s="92" t="e">
        <f t="shared" si="17"/>
        <v>#N/A</v>
      </c>
      <c r="M84" s="92" t="e">
        <f t="shared" si="17"/>
        <v>#N/A</v>
      </c>
      <c r="N84" s="136" t="e">
        <f t="shared" si="17"/>
        <v>#N/A</v>
      </c>
      <c r="O84" s="135" t="e">
        <f t="shared" si="17"/>
        <v>#N/A</v>
      </c>
      <c r="P84" s="92" t="e">
        <f t="shared" si="17"/>
        <v>#N/A</v>
      </c>
      <c r="Q84" s="92" t="e">
        <f t="shared" si="17"/>
        <v>#N/A</v>
      </c>
      <c r="R84" s="92" t="e">
        <f t="shared" si="17"/>
        <v>#N/A</v>
      </c>
      <c r="S84" s="136" t="e">
        <f t="shared" si="17"/>
        <v>#N/A</v>
      </c>
      <c r="T84" s="136" t="e">
        <f t="shared" si="15"/>
        <v>#N/A</v>
      </c>
      <c r="U84" s="136" t="e">
        <f t="shared" si="15"/>
        <v>#N/A</v>
      </c>
      <c r="V84" s="136" t="e">
        <f t="shared" si="15"/>
        <v>#N/A</v>
      </c>
      <c r="W84" s="136" t="e">
        <f t="shared" si="15"/>
        <v>#N/A</v>
      </c>
      <c r="X84" s="141" t="e">
        <f t="shared" si="15"/>
        <v>#N/A</v>
      </c>
      <c r="Y84" s="141" t="e">
        <f t="shared" si="15"/>
        <v>#N/A</v>
      </c>
      <c r="Z84" s="141" t="e">
        <f t="shared" si="15"/>
        <v>#N/A</v>
      </c>
      <c r="AA84" s="141" t="e">
        <f t="shared" si="15"/>
        <v>#N/A</v>
      </c>
      <c r="AB84" s="141" t="e">
        <f t="shared" si="15"/>
        <v>#N/A</v>
      </c>
      <c r="AC84" s="141" t="e">
        <f t="shared" si="15"/>
        <v>#N/A</v>
      </c>
      <c r="AD84" s="141" t="e">
        <f t="shared" si="15"/>
        <v>#N/A</v>
      </c>
      <c r="AE84" s="141" t="e">
        <f t="shared" si="15"/>
        <v>#N/A</v>
      </c>
      <c r="AF84" s="141" t="e">
        <f t="shared" si="15"/>
        <v>#N/A</v>
      </c>
      <c r="AG84" s="141" t="e">
        <f t="shared" si="15"/>
        <v>#N/A</v>
      </c>
      <c r="AH84" s="141" t="e">
        <f t="shared" si="15"/>
        <v>#N/A</v>
      </c>
      <c r="AI84" s="141" t="e">
        <f t="shared" si="15"/>
        <v>#N/A</v>
      </c>
      <c r="AJ84" s="141" t="e">
        <f t="shared" si="15"/>
        <v>#N/A</v>
      </c>
      <c r="AK84" s="141" t="e">
        <f t="shared" si="15"/>
        <v>#N/A</v>
      </c>
      <c r="AL84" s="141" t="e">
        <f t="shared" si="15"/>
        <v>#N/A</v>
      </c>
      <c r="AM84" s="141" t="e">
        <f t="shared" si="15"/>
        <v>#N/A</v>
      </c>
    </row>
    <row r="85" spans="2:39" x14ac:dyDescent="0.25">
      <c r="C85" s="80" t="s">
        <v>33</v>
      </c>
      <c r="D85" s="7" t="s">
        <v>209</v>
      </c>
      <c r="E85" s="138" t="e">
        <f t="shared" ref="E85:F85" si="24">E42/E$26</f>
        <v>#N/A</v>
      </c>
      <c r="F85" s="138" t="e">
        <f t="shared" si="24"/>
        <v>#N/A</v>
      </c>
      <c r="G85" s="138" t="e">
        <f t="shared" si="17"/>
        <v>#N/A</v>
      </c>
      <c r="H85" s="138" t="e">
        <f t="shared" si="17"/>
        <v>#N/A</v>
      </c>
      <c r="I85" s="138" t="e">
        <f t="shared" si="17"/>
        <v>#N/A</v>
      </c>
      <c r="J85" s="137" t="e">
        <f t="shared" si="17"/>
        <v>#N/A</v>
      </c>
      <c r="K85" s="94" t="e">
        <f t="shared" si="17"/>
        <v>#N/A</v>
      </c>
      <c r="L85" s="94" t="e">
        <f t="shared" si="17"/>
        <v>#N/A</v>
      </c>
      <c r="M85" s="94" t="e">
        <f t="shared" si="17"/>
        <v>#N/A</v>
      </c>
      <c r="N85" s="138" t="e">
        <f t="shared" si="17"/>
        <v>#N/A</v>
      </c>
      <c r="O85" s="137" t="e">
        <f t="shared" si="17"/>
        <v>#N/A</v>
      </c>
      <c r="P85" s="94" t="e">
        <f t="shared" si="17"/>
        <v>#N/A</v>
      </c>
      <c r="Q85" s="94" t="e">
        <f t="shared" si="17"/>
        <v>#N/A</v>
      </c>
      <c r="R85" s="94" t="e">
        <f t="shared" si="17"/>
        <v>#N/A</v>
      </c>
      <c r="S85" s="138" t="e">
        <f t="shared" si="17"/>
        <v>#N/A</v>
      </c>
      <c r="T85" s="138" t="e">
        <f t="shared" si="15"/>
        <v>#N/A</v>
      </c>
      <c r="U85" s="138" t="e">
        <f t="shared" si="15"/>
        <v>#N/A</v>
      </c>
      <c r="V85" s="138" t="e">
        <f t="shared" si="15"/>
        <v>#N/A</v>
      </c>
      <c r="W85" s="138" t="e">
        <f t="shared" si="15"/>
        <v>#N/A</v>
      </c>
      <c r="X85" s="142" t="e">
        <f t="shared" si="15"/>
        <v>#N/A</v>
      </c>
      <c r="Y85" s="142" t="e">
        <f t="shared" si="15"/>
        <v>#N/A</v>
      </c>
      <c r="Z85" s="142" t="e">
        <f t="shared" si="15"/>
        <v>#N/A</v>
      </c>
      <c r="AA85" s="142" t="e">
        <f t="shared" si="15"/>
        <v>#N/A</v>
      </c>
      <c r="AB85" s="142" t="e">
        <f t="shared" si="15"/>
        <v>#N/A</v>
      </c>
      <c r="AC85" s="142" t="e">
        <f t="shared" si="15"/>
        <v>#N/A</v>
      </c>
      <c r="AD85" s="142" t="e">
        <f t="shared" si="15"/>
        <v>#N/A</v>
      </c>
      <c r="AE85" s="142" t="e">
        <f t="shared" si="15"/>
        <v>#N/A</v>
      </c>
      <c r="AF85" s="142" t="e">
        <f t="shared" si="15"/>
        <v>#N/A</v>
      </c>
      <c r="AG85" s="142" t="e">
        <f t="shared" si="15"/>
        <v>#N/A</v>
      </c>
      <c r="AH85" s="142" t="e">
        <f t="shared" si="15"/>
        <v>#N/A</v>
      </c>
      <c r="AI85" s="142" t="e">
        <f t="shared" si="15"/>
        <v>#N/A</v>
      </c>
      <c r="AJ85" s="142" t="e">
        <f t="shared" si="15"/>
        <v>#N/A</v>
      </c>
      <c r="AK85" s="142" t="e">
        <f t="shared" si="15"/>
        <v>#N/A</v>
      </c>
      <c r="AL85" s="142" t="e">
        <f t="shared" si="15"/>
        <v>#N/A</v>
      </c>
      <c r="AM85" s="142" t="e">
        <f t="shared" si="15"/>
        <v>#N/A</v>
      </c>
    </row>
    <row r="86" spans="2:39" x14ac:dyDescent="0.25">
      <c r="C86" s="56"/>
      <c r="D86" s="3"/>
      <c r="E86" s="136"/>
      <c r="F86" s="136"/>
      <c r="G86" s="136"/>
      <c r="H86" s="136"/>
      <c r="I86" s="136"/>
      <c r="J86" s="135"/>
      <c r="K86" s="92"/>
      <c r="L86" s="92"/>
      <c r="M86" s="92"/>
      <c r="N86" s="136"/>
      <c r="O86" s="135"/>
      <c r="P86" s="92"/>
      <c r="Q86" s="92"/>
      <c r="R86" s="92"/>
      <c r="S86" s="136"/>
      <c r="T86" s="136"/>
      <c r="U86" s="136"/>
      <c r="V86" s="136"/>
      <c r="W86" s="136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41"/>
      <c r="AM86" s="141"/>
    </row>
    <row r="87" spans="2:39" x14ac:dyDescent="0.25">
      <c r="B87" s="23" t="s">
        <v>193</v>
      </c>
      <c r="C87" s="82" t="s">
        <v>162</v>
      </c>
      <c r="D87" s="82" t="s">
        <v>45</v>
      </c>
      <c r="E87" s="125" t="e">
        <f t="shared" ref="E87:AM87" si="25">E44</f>
        <v>#N/A</v>
      </c>
      <c r="F87" s="125" t="e">
        <f t="shared" si="25"/>
        <v>#N/A</v>
      </c>
      <c r="G87" s="125" t="e">
        <f t="shared" si="25"/>
        <v>#N/A</v>
      </c>
      <c r="H87" s="125" t="e">
        <f t="shared" si="25"/>
        <v>#N/A</v>
      </c>
      <c r="I87" s="125" t="e">
        <f t="shared" si="25"/>
        <v>#N/A</v>
      </c>
      <c r="J87" s="124" t="e">
        <f t="shared" si="25"/>
        <v>#N/A</v>
      </c>
      <c r="K87" s="75" t="e">
        <f t="shared" si="25"/>
        <v>#N/A</v>
      </c>
      <c r="L87" s="75" t="e">
        <f t="shared" si="25"/>
        <v>#N/A</v>
      </c>
      <c r="M87" s="75" t="e">
        <f t="shared" si="25"/>
        <v>#N/A</v>
      </c>
      <c r="N87" s="125" t="e">
        <f t="shared" si="25"/>
        <v>#N/A</v>
      </c>
      <c r="O87" s="124" t="e">
        <f t="shared" si="25"/>
        <v>#N/A</v>
      </c>
      <c r="P87" s="75" t="e">
        <f t="shared" si="25"/>
        <v>#N/A</v>
      </c>
      <c r="Q87" s="75" t="e">
        <f t="shared" si="25"/>
        <v>#N/A</v>
      </c>
      <c r="R87" s="75" t="e">
        <f t="shared" si="25"/>
        <v>#N/A</v>
      </c>
      <c r="S87" s="125" t="e">
        <f t="shared" si="25"/>
        <v>#N/A</v>
      </c>
      <c r="T87" s="125" t="e">
        <f t="shared" si="25"/>
        <v>#N/A</v>
      </c>
      <c r="U87" s="125" t="e">
        <f t="shared" si="25"/>
        <v>#N/A</v>
      </c>
      <c r="V87" s="125" t="e">
        <f t="shared" si="25"/>
        <v>#N/A</v>
      </c>
      <c r="W87" s="125" t="e">
        <f t="shared" si="25"/>
        <v>#N/A</v>
      </c>
      <c r="X87" s="129" t="e">
        <f t="shared" si="25"/>
        <v>#N/A</v>
      </c>
      <c r="Y87" s="129" t="e">
        <f t="shared" si="25"/>
        <v>#N/A</v>
      </c>
      <c r="Z87" s="129" t="e">
        <f t="shared" si="25"/>
        <v>#N/A</v>
      </c>
      <c r="AA87" s="129" t="e">
        <f t="shared" si="25"/>
        <v>#N/A</v>
      </c>
      <c r="AB87" s="129" t="e">
        <f t="shared" si="25"/>
        <v>#N/A</v>
      </c>
      <c r="AC87" s="129" t="e">
        <f t="shared" si="25"/>
        <v>#N/A</v>
      </c>
      <c r="AD87" s="129" t="e">
        <f t="shared" si="25"/>
        <v>#N/A</v>
      </c>
      <c r="AE87" s="129" t="e">
        <f t="shared" si="25"/>
        <v>#N/A</v>
      </c>
      <c r="AF87" s="129" t="e">
        <f t="shared" si="25"/>
        <v>#N/A</v>
      </c>
      <c r="AG87" s="129" t="e">
        <f t="shared" si="25"/>
        <v>#N/A</v>
      </c>
      <c r="AH87" s="129" t="e">
        <f t="shared" si="25"/>
        <v>#N/A</v>
      </c>
      <c r="AI87" s="129" t="e">
        <f t="shared" si="25"/>
        <v>#N/A</v>
      </c>
      <c r="AJ87" s="129" t="e">
        <f t="shared" si="25"/>
        <v>#N/A</v>
      </c>
      <c r="AK87" s="129" t="e">
        <f t="shared" si="25"/>
        <v>#N/A</v>
      </c>
      <c r="AL87" s="129" t="e">
        <f t="shared" si="25"/>
        <v>#N/A</v>
      </c>
      <c r="AM87" s="129" t="e">
        <f t="shared" si="25"/>
        <v>#N/A</v>
      </c>
    </row>
    <row r="88" spans="2:39" x14ac:dyDescent="0.25">
      <c r="C88" s="56" t="s">
        <v>8</v>
      </c>
      <c r="D88" s="78" t="s">
        <v>210</v>
      </c>
      <c r="E88" s="136" t="e">
        <f t="shared" ref="E88:AM91" si="26">E45/E$44</f>
        <v>#N/A</v>
      </c>
      <c r="F88" s="136" t="e">
        <f t="shared" si="26"/>
        <v>#N/A</v>
      </c>
      <c r="G88" s="136" t="e">
        <f t="shared" si="26"/>
        <v>#N/A</v>
      </c>
      <c r="H88" s="136" t="e">
        <f t="shared" si="26"/>
        <v>#N/A</v>
      </c>
      <c r="I88" s="136" t="e">
        <f t="shared" si="26"/>
        <v>#N/A</v>
      </c>
      <c r="J88" s="135" t="e">
        <f t="shared" si="26"/>
        <v>#N/A</v>
      </c>
      <c r="K88" s="92" t="e">
        <f t="shared" si="26"/>
        <v>#N/A</v>
      </c>
      <c r="L88" s="92" t="e">
        <f t="shared" si="26"/>
        <v>#N/A</v>
      </c>
      <c r="M88" s="92" t="e">
        <f t="shared" si="26"/>
        <v>#N/A</v>
      </c>
      <c r="N88" s="136" t="e">
        <f t="shared" si="26"/>
        <v>#N/A</v>
      </c>
      <c r="O88" s="135" t="e">
        <f t="shared" si="26"/>
        <v>#N/A</v>
      </c>
      <c r="P88" s="92" t="e">
        <f t="shared" si="26"/>
        <v>#N/A</v>
      </c>
      <c r="Q88" s="92" t="e">
        <f t="shared" si="26"/>
        <v>#N/A</v>
      </c>
      <c r="R88" s="92" t="e">
        <f t="shared" si="26"/>
        <v>#N/A</v>
      </c>
      <c r="S88" s="136" t="e">
        <f t="shared" si="26"/>
        <v>#N/A</v>
      </c>
      <c r="T88" s="136" t="e">
        <f t="shared" si="26"/>
        <v>#N/A</v>
      </c>
      <c r="U88" s="136" t="e">
        <f t="shared" si="26"/>
        <v>#N/A</v>
      </c>
      <c r="V88" s="136" t="e">
        <f t="shared" si="26"/>
        <v>#N/A</v>
      </c>
      <c r="W88" s="136" t="e">
        <f t="shared" si="26"/>
        <v>#N/A</v>
      </c>
      <c r="X88" s="141" t="e">
        <f t="shared" si="26"/>
        <v>#N/A</v>
      </c>
      <c r="Y88" s="141" t="e">
        <f t="shared" si="26"/>
        <v>#N/A</v>
      </c>
      <c r="Z88" s="141" t="e">
        <f t="shared" si="26"/>
        <v>#N/A</v>
      </c>
      <c r="AA88" s="141" t="e">
        <f t="shared" si="26"/>
        <v>#N/A</v>
      </c>
      <c r="AB88" s="141" t="e">
        <f t="shared" si="26"/>
        <v>#N/A</v>
      </c>
      <c r="AC88" s="141" t="e">
        <f t="shared" si="26"/>
        <v>#N/A</v>
      </c>
      <c r="AD88" s="141" t="e">
        <f t="shared" si="26"/>
        <v>#N/A</v>
      </c>
      <c r="AE88" s="141" t="e">
        <f t="shared" si="26"/>
        <v>#N/A</v>
      </c>
      <c r="AF88" s="141" t="e">
        <f t="shared" si="26"/>
        <v>#N/A</v>
      </c>
      <c r="AG88" s="141" t="e">
        <f t="shared" si="26"/>
        <v>#N/A</v>
      </c>
      <c r="AH88" s="141" t="e">
        <f t="shared" si="26"/>
        <v>#N/A</v>
      </c>
      <c r="AI88" s="141" t="e">
        <f t="shared" si="26"/>
        <v>#N/A</v>
      </c>
      <c r="AJ88" s="141" t="e">
        <f t="shared" si="26"/>
        <v>#N/A</v>
      </c>
      <c r="AK88" s="141" t="e">
        <f t="shared" si="26"/>
        <v>#N/A</v>
      </c>
      <c r="AL88" s="141" t="e">
        <f t="shared" si="26"/>
        <v>#N/A</v>
      </c>
      <c r="AM88" s="141" t="e">
        <f t="shared" si="26"/>
        <v>#N/A</v>
      </c>
    </row>
    <row r="89" spans="2:39" x14ac:dyDescent="0.25">
      <c r="C89" s="56" t="s">
        <v>6</v>
      </c>
      <c r="D89" s="3" t="s">
        <v>211</v>
      </c>
      <c r="E89" s="136" t="e">
        <f t="shared" si="26"/>
        <v>#N/A</v>
      </c>
      <c r="F89" s="136" t="e">
        <f t="shared" si="26"/>
        <v>#N/A</v>
      </c>
      <c r="G89" s="136" t="e">
        <f t="shared" si="26"/>
        <v>#N/A</v>
      </c>
      <c r="H89" s="136" t="e">
        <f t="shared" si="26"/>
        <v>#N/A</v>
      </c>
      <c r="I89" s="136" t="e">
        <f t="shared" si="26"/>
        <v>#N/A</v>
      </c>
      <c r="J89" s="135" t="e">
        <f t="shared" si="26"/>
        <v>#N/A</v>
      </c>
      <c r="K89" s="92" t="e">
        <f t="shared" si="26"/>
        <v>#N/A</v>
      </c>
      <c r="L89" s="92" t="e">
        <f t="shared" si="26"/>
        <v>#N/A</v>
      </c>
      <c r="M89" s="92" t="e">
        <f t="shared" si="26"/>
        <v>#N/A</v>
      </c>
      <c r="N89" s="136" t="e">
        <f t="shared" si="26"/>
        <v>#N/A</v>
      </c>
      <c r="O89" s="135" t="e">
        <f t="shared" si="26"/>
        <v>#N/A</v>
      </c>
      <c r="P89" s="92" t="e">
        <f t="shared" si="26"/>
        <v>#N/A</v>
      </c>
      <c r="Q89" s="92" t="e">
        <f t="shared" si="26"/>
        <v>#N/A</v>
      </c>
      <c r="R89" s="92" t="e">
        <f t="shared" si="26"/>
        <v>#N/A</v>
      </c>
      <c r="S89" s="136" t="e">
        <f t="shared" si="26"/>
        <v>#N/A</v>
      </c>
      <c r="T89" s="136" t="e">
        <f t="shared" si="26"/>
        <v>#N/A</v>
      </c>
      <c r="U89" s="136" t="e">
        <f t="shared" si="26"/>
        <v>#N/A</v>
      </c>
      <c r="V89" s="136" t="e">
        <f t="shared" si="26"/>
        <v>#N/A</v>
      </c>
      <c r="W89" s="136" t="e">
        <f t="shared" si="26"/>
        <v>#N/A</v>
      </c>
      <c r="X89" s="141" t="e">
        <f t="shared" si="26"/>
        <v>#N/A</v>
      </c>
      <c r="Y89" s="141" t="e">
        <f t="shared" si="26"/>
        <v>#N/A</v>
      </c>
      <c r="Z89" s="141" t="e">
        <f t="shared" si="26"/>
        <v>#N/A</v>
      </c>
      <c r="AA89" s="141" t="e">
        <f t="shared" si="26"/>
        <v>#N/A</v>
      </c>
      <c r="AB89" s="141" t="e">
        <f t="shared" si="26"/>
        <v>#N/A</v>
      </c>
      <c r="AC89" s="141" t="e">
        <f t="shared" si="26"/>
        <v>#N/A</v>
      </c>
      <c r="AD89" s="141" t="e">
        <f t="shared" si="26"/>
        <v>#N/A</v>
      </c>
      <c r="AE89" s="141" t="e">
        <f t="shared" si="26"/>
        <v>#N/A</v>
      </c>
      <c r="AF89" s="141" t="e">
        <f t="shared" si="26"/>
        <v>#N/A</v>
      </c>
      <c r="AG89" s="141" t="e">
        <f t="shared" si="26"/>
        <v>#N/A</v>
      </c>
      <c r="AH89" s="141" t="e">
        <f t="shared" si="26"/>
        <v>#N/A</v>
      </c>
      <c r="AI89" s="141" t="e">
        <f t="shared" si="26"/>
        <v>#N/A</v>
      </c>
      <c r="AJ89" s="141" t="e">
        <f t="shared" si="26"/>
        <v>#N/A</v>
      </c>
      <c r="AK89" s="141" t="e">
        <f t="shared" si="26"/>
        <v>#N/A</v>
      </c>
      <c r="AL89" s="141" t="e">
        <f t="shared" si="26"/>
        <v>#N/A</v>
      </c>
      <c r="AM89" s="141" t="e">
        <f t="shared" si="26"/>
        <v>#N/A</v>
      </c>
    </row>
    <row r="90" spans="2:39" x14ac:dyDescent="0.25">
      <c r="C90" s="56" t="s">
        <v>34</v>
      </c>
      <c r="D90" s="3" t="s">
        <v>187</v>
      </c>
      <c r="E90" s="136" t="e">
        <f t="shared" si="26"/>
        <v>#N/A</v>
      </c>
      <c r="F90" s="136" t="e">
        <f t="shared" si="26"/>
        <v>#N/A</v>
      </c>
      <c r="G90" s="136" t="e">
        <f t="shared" si="26"/>
        <v>#N/A</v>
      </c>
      <c r="H90" s="136" t="e">
        <f t="shared" si="26"/>
        <v>#N/A</v>
      </c>
      <c r="I90" s="136" t="e">
        <f t="shared" si="26"/>
        <v>#N/A</v>
      </c>
      <c r="J90" s="135" t="e">
        <f t="shared" si="26"/>
        <v>#N/A</v>
      </c>
      <c r="K90" s="92" t="e">
        <f t="shared" si="26"/>
        <v>#N/A</v>
      </c>
      <c r="L90" s="92" t="e">
        <f t="shared" si="26"/>
        <v>#N/A</v>
      </c>
      <c r="M90" s="92" t="e">
        <f t="shared" si="26"/>
        <v>#N/A</v>
      </c>
      <c r="N90" s="136" t="e">
        <f t="shared" si="26"/>
        <v>#N/A</v>
      </c>
      <c r="O90" s="135" t="e">
        <f t="shared" si="26"/>
        <v>#N/A</v>
      </c>
      <c r="P90" s="92" t="e">
        <f t="shared" si="26"/>
        <v>#N/A</v>
      </c>
      <c r="Q90" s="92" t="e">
        <f t="shared" si="26"/>
        <v>#N/A</v>
      </c>
      <c r="R90" s="92" t="e">
        <f t="shared" si="26"/>
        <v>#N/A</v>
      </c>
      <c r="S90" s="136" t="e">
        <f t="shared" si="26"/>
        <v>#N/A</v>
      </c>
      <c r="T90" s="136" t="e">
        <f t="shared" si="26"/>
        <v>#N/A</v>
      </c>
      <c r="U90" s="136" t="e">
        <f t="shared" si="26"/>
        <v>#N/A</v>
      </c>
      <c r="V90" s="136" t="e">
        <f t="shared" si="26"/>
        <v>#N/A</v>
      </c>
      <c r="W90" s="136" t="e">
        <f t="shared" si="26"/>
        <v>#N/A</v>
      </c>
      <c r="X90" s="141" t="e">
        <f t="shared" si="26"/>
        <v>#N/A</v>
      </c>
      <c r="Y90" s="141" t="e">
        <f t="shared" si="26"/>
        <v>#N/A</v>
      </c>
      <c r="Z90" s="141" t="e">
        <f t="shared" si="26"/>
        <v>#N/A</v>
      </c>
      <c r="AA90" s="141" t="e">
        <f t="shared" si="26"/>
        <v>#N/A</v>
      </c>
      <c r="AB90" s="141" t="e">
        <f t="shared" si="26"/>
        <v>#N/A</v>
      </c>
      <c r="AC90" s="141" t="e">
        <f t="shared" si="26"/>
        <v>#N/A</v>
      </c>
      <c r="AD90" s="141" t="e">
        <f t="shared" si="26"/>
        <v>#N/A</v>
      </c>
      <c r="AE90" s="141" t="e">
        <f t="shared" si="26"/>
        <v>#N/A</v>
      </c>
      <c r="AF90" s="141" t="e">
        <f t="shared" si="26"/>
        <v>#N/A</v>
      </c>
      <c r="AG90" s="141" t="e">
        <f t="shared" si="26"/>
        <v>#N/A</v>
      </c>
      <c r="AH90" s="141" t="e">
        <f t="shared" si="26"/>
        <v>#N/A</v>
      </c>
      <c r="AI90" s="141" t="e">
        <f t="shared" si="26"/>
        <v>#N/A</v>
      </c>
      <c r="AJ90" s="141" t="e">
        <f t="shared" si="26"/>
        <v>#N/A</v>
      </c>
      <c r="AK90" s="141" t="e">
        <f t="shared" si="26"/>
        <v>#N/A</v>
      </c>
      <c r="AL90" s="141" t="e">
        <f t="shared" si="26"/>
        <v>#N/A</v>
      </c>
      <c r="AM90" s="141" t="e">
        <f t="shared" si="26"/>
        <v>#N/A</v>
      </c>
    </row>
    <row r="91" spans="2:39" x14ac:dyDescent="0.25">
      <c r="C91" s="56" t="s">
        <v>35</v>
      </c>
      <c r="D91" s="3" t="s">
        <v>212</v>
      </c>
      <c r="E91" s="136" t="e">
        <f t="shared" si="26"/>
        <v>#N/A</v>
      </c>
      <c r="F91" s="136" t="e">
        <f t="shared" si="26"/>
        <v>#N/A</v>
      </c>
      <c r="G91" s="136" t="e">
        <f t="shared" si="26"/>
        <v>#N/A</v>
      </c>
      <c r="H91" s="136" t="e">
        <f t="shared" si="26"/>
        <v>#N/A</v>
      </c>
      <c r="I91" s="136" t="e">
        <f t="shared" si="26"/>
        <v>#N/A</v>
      </c>
      <c r="J91" s="135" t="e">
        <f t="shared" si="26"/>
        <v>#N/A</v>
      </c>
      <c r="K91" s="92" t="e">
        <f t="shared" si="26"/>
        <v>#N/A</v>
      </c>
      <c r="L91" s="92" t="e">
        <f t="shared" si="26"/>
        <v>#N/A</v>
      </c>
      <c r="M91" s="92" t="e">
        <f t="shared" si="26"/>
        <v>#N/A</v>
      </c>
      <c r="N91" s="136" t="e">
        <f t="shared" si="26"/>
        <v>#N/A</v>
      </c>
      <c r="O91" s="135" t="e">
        <f t="shared" si="26"/>
        <v>#N/A</v>
      </c>
      <c r="P91" s="92" t="e">
        <f t="shared" si="26"/>
        <v>#N/A</v>
      </c>
      <c r="Q91" s="92" t="e">
        <f t="shared" si="26"/>
        <v>#N/A</v>
      </c>
      <c r="R91" s="92" t="e">
        <f t="shared" si="26"/>
        <v>#N/A</v>
      </c>
      <c r="S91" s="136" t="e">
        <f t="shared" si="26"/>
        <v>#N/A</v>
      </c>
      <c r="T91" s="136" t="e">
        <f t="shared" si="26"/>
        <v>#N/A</v>
      </c>
      <c r="U91" s="136" t="e">
        <f t="shared" si="26"/>
        <v>#N/A</v>
      </c>
      <c r="V91" s="136" t="e">
        <f t="shared" si="26"/>
        <v>#N/A</v>
      </c>
      <c r="W91" s="136" t="e">
        <f t="shared" si="26"/>
        <v>#N/A</v>
      </c>
      <c r="X91" s="141" t="e">
        <f t="shared" si="26"/>
        <v>#N/A</v>
      </c>
      <c r="Y91" s="141" t="e">
        <f t="shared" si="26"/>
        <v>#N/A</v>
      </c>
      <c r="Z91" s="141" t="e">
        <f t="shared" si="26"/>
        <v>#N/A</v>
      </c>
      <c r="AA91" s="141" t="e">
        <f t="shared" si="26"/>
        <v>#N/A</v>
      </c>
      <c r="AB91" s="141" t="e">
        <f t="shared" si="26"/>
        <v>#N/A</v>
      </c>
      <c r="AC91" s="141" t="e">
        <f t="shared" si="26"/>
        <v>#N/A</v>
      </c>
      <c r="AD91" s="141" t="e">
        <f t="shared" si="26"/>
        <v>#N/A</v>
      </c>
      <c r="AE91" s="141" t="e">
        <f t="shared" si="26"/>
        <v>#N/A</v>
      </c>
      <c r="AF91" s="141" t="e">
        <f t="shared" si="26"/>
        <v>#N/A</v>
      </c>
      <c r="AG91" s="141" t="e">
        <f t="shared" si="26"/>
        <v>#N/A</v>
      </c>
      <c r="AH91" s="141" t="e">
        <f t="shared" si="26"/>
        <v>#N/A</v>
      </c>
      <c r="AI91" s="141" t="e">
        <f t="shared" si="26"/>
        <v>#N/A</v>
      </c>
      <c r="AJ91" s="141" t="e">
        <f t="shared" si="26"/>
        <v>#N/A</v>
      </c>
      <c r="AK91" s="141" t="e">
        <f t="shared" si="26"/>
        <v>#N/A</v>
      </c>
      <c r="AL91" s="141" t="e">
        <f t="shared" si="26"/>
        <v>#N/A</v>
      </c>
      <c r="AM91" s="141" t="e">
        <f t="shared" si="26"/>
        <v>#N/A</v>
      </c>
    </row>
    <row r="92" spans="2:39" x14ac:dyDescent="0.25">
      <c r="C92" s="82" t="s">
        <v>162</v>
      </c>
      <c r="D92" s="82" t="s">
        <v>45</v>
      </c>
      <c r="E92" s="83" t="e">
        <f>E44</f>
        <v>#N/A</v>
      </c>
      <c r="F92" s="83" t="e">
        <f t="shared" ref="F92:AM92" si="27">F44</f>
        <v>#N/A</v>
      </c>
      <c r="G92" s="83" t="e">
        <f t="shared" si="27"/>
        <v>#N/A</v>
      </c>
      <c r="H92" s="83" t="e">
        <f t="shared" si="27"/>
        <v>#N/A</v>
      </c>
      <c r="I92" s="83" t="e">
        <f t="shared" si="27"/>
        <v>#N/A</v>
      </c>
      <c r="J92" s="83" t="e">
        <f t="shared" si="27"/>
        <v>#N/A</v>
      </c>
      <c r="K92" s="83" t="e">
        <f t="shared" si="27"/>
        <v>#N/A</v>
      </c>
      <c r="L92" s="83" t="e">
        <f t="shared" si="27"/>
        <v>#N/A</v>
      </c>
      <c r="M92" s="83" t="e">
        <f t="shared" si="27"/>
        <v>#N/A</v>
      </c>
      <c r="N92" s="83" t="e">
        <f t="shared" si="27"/>
        <v>#N/A</v>
      </c>
      <c r="O92" s="83" t="e">
        <f t="shared" si="27"/>
        <v>#N/A</v>
      </c>
      <c r="P92" s="83" t="e">
        <f t="shared" si="27"/>
        <v>#N/A</v>
      </c>
      <c r="Q92" s="83" t="e">
        <f t="shared" si="27"/>
        <v>#N/A</v>
      </c>
      <c r="R92" s="83" t="e">
        <f t="shared" si="27"/>
        <v>#N/A</v>
      </c>
      <c r="S92" s="83" t="e">
        <f t="shared" si="27"/>
        <v>#N/A</v>
      </c>
      <c r="T92" s="83" t="e">
        <f t="shared" si="27"/>
        <v>#N/A</v>
      </c>
      <c r="U92" s="83" t="e">
        <f t="shared" si="27"/>
        <v>#N/A</v>
      </c>
      <c r="V92" s="83" t="e">
        <f t="shared" si="27"/>
        <v>#N/A</v>
      </c>
      <c r="W92" s="83" t="e">
        <f t="shared" si="27"/>
        <v>#N/A</v>
      </c>
      <c r="X92" s="83" t="e">
        <f t="shared" si="27"/>
        <v>#N/A</v>
      </c>
      <c r="Y92" s="83" t="e">
        <f t="shared" si="27"/>
        <v>#N/A</v>
      </c>
      <c r="Z92" s="83" t="e">
        <f t="shared" si="27"/>
        <v>#N/A</v>
      </c>
      <c r="AA92" s="83" t="e">
        <f t="shared" si="27"/>
        <v>#N/A</v>
      </c>
      <c r="AB92" s="83" t="e">
        <f t="shared" si="27"/>
        <v>#N/A</v>
      </c>
      <c r="AC92" s="83" t="e">
        <f t="shared" si="27"/>
        <v>#N/A</v>
      </c>
      <c r="AD92" s="83" t="e">
        <f t="shared" si="27"/>
        <v>#N/A</v>
      </c>
      <c r="AE92" s="83" t="e">
        <f t="shared" si="27"/>
        <v>#N/A</v>
      </c>
      <c r="AF92" s="83" t="e">
        <f t="shared" si="27"/>
        <v>#N/A</v>
      </c>
      <c r="AG92" s="83" t="e">
        <f t="shared" si="27"/>
        <v>#N/A</v>
      </c>
      <c r="AH92" s="83" t="e">
        <f t="shared" si="27"/>
        <v>#N/A</v>
      </c>
      <c r="AI92" s="83" t="e">
        <f t="shared" si="27"/>
        <v>#N/A</v>
      </c>
      <c r="AJ92" s="83" t="e">
        <f t="shared" si="27"/>
        <v>#N/A</v>
      </c>
      <c r="AK92" s="83" t="e">
        <f t="shared" si="27"/>
        <v>#N/A</v>
      </c>
      <c r="AL92" s="83" t="e">
        <f t="shared" si="27"/>
        <v>#N/A</v>
      </c>
      <c r="AM92" s="83" t="e">
        <f t="shared" si="27"/>
        <v>#N/A</v>
      </c>
    </row>
    <row r="93" spans="2:39" x14ac:dyDescent="0.25">
      <c r="C93" s="84" t="s">
        <v>118</v>
      </c>
      <c r="D93" s="3" t="s">
        <v>187</v>
      </c>
      <c r="E93" s="153" t="e">
        <f t="shared" ref="E93:AM100" si="28">E50/E$49</f>
        <v>#N/A</v>
      </c>
      <c r="F93" s="153" t="e">
        <f t="shared" si="28"/>
        <v>#N/A</v>
      </c>
      <c r="G93" s="153" t="e">
        <f t="shared" si="28"/>
        <v>#N/A</v>
      </c>
      <c r="H93" s="153" t="e">
        <f t="shared" si="28"/>
        <v>#N/A</v>
      </c>
      <c r="I93" s="153" t="e">
        <f t="shared" si="28"/>
        <v>#N/A</v>
      </c>
      <c r="J93" s="152" t="e">
        <f t="shared" si="28"/>
        <v>#N/A</v>
      </c>
      <c r="K93" s="95" t="e">
        <f t="shared" si="28"/>
        <v>#N/A</v>
      </c>
      <c r="L93" s="95" t="e">
        <f t="shared" si="28"/>
        <v>#N/A</v>
      </c>
      <c r="M93" s="95" t="e">
        <f t="shared" si="28"/>
        <v>#N/A</v>
      </c>
      <c r="N93" s="153" t="e">
        <f t="shared" si="28"/>
        <v>#N/A</v>
      </c>
      <c r="O93" s="152" t="e">
        <f t="shared" si="28"/>
        <v>#N/A</v>
      </c>
      <c r="P93" s="95" t="e">
        <f t="shared" si="28"/>
        <v>#N/A</v>
      </c>
      <c r="Q93" s="95" t="e">
        <f t="shared" si="28"/>
        <v>#N/A</v>
      </c>
      <c r="R93" s="95" t="e">
        <f t="shared" si="28"/>
        <v>#N/A</v>
      </c>
      <c r="S93" s="153" t="e">
        <f t="shared" si="28"/>
        <v>#N/A</v>
      </c>
      <c r="T93" s="153" t="e">
        <f t="shared" si="28"/>
        <v>#N/A</v>
      </c>
      <c r="U93" s="153" t="e">
        <f t="shared" si="28"/>
        <v>#N/A</v>
      </c>
      <c r="V93" s="153" t="e">
        <f t="shared" si="28"/>
        <v>#N/A</v>
      </c>
      <c r="W93" s="153" t="e">
        <f t="shared" si="28"/>
        <v>#N/A</v>
      </c>
      <c r="X93" s="145" t="e">
        <f t="shared" si="28"/>
        <v>#N/A</v>
      </c>
      <c r="Y93" s="145" t="e">
        <f t="shared" si="28"/>
        <v>#N/A</v>
      </c>
      <c r="Z93" s="145" t="e">
        <f t="shared" si="28"/>
        <v>#N/A</v>
      </c>
      <c r="AA93" s="145" t="e">
        <f t="shared" si="28"/>
        <v>#N/A</v>
      </c>
      <c r="AB93" s="145" t="e">
        <f t="shared" si="28"/>
        <v>#N/A</v>
      </c>
      <c r="AC93" s="145" t="e">
        <f t="shared" si="28"/>
        <v>#N/A</v>
      </c>
      <c r="AD93" s="145" t="e">
        <f t="shared" si="28"/>
        <v>#N/A</v>
      </c>
      <c r="AE93" s="145" t="e">
        <f t="shared" si="28"/>
        <v>#N/A</v>
      </c>
      <c r="AF93" s="145" t="e">
        <f t="shared" si="28"/>
        <v>#N/A</v>
      </c>
      <c r="AG93" s="145" t="e">
        <f t="shared" si="28"/>
        <v>#N/A</v>
      </c>
      <c r="AH93" s="145" t="e">
        <f t="shared" si="28"/>
        <v>#N/A</v>
      </c>
      <c r="AI93" s="145" t="e">
        <f t="shared" si="28"/>
        <v>#N/A</v>
      </c>
      <c r="AJ93" s="145" t="e">
        <f t="shared" si="28"/>
        <v>#N/A</v>
      </c>
      <c r="AK93" s="145" t="e">
        <f t="shared" si="28"/>
        <v>#N/A</v>
      </c>
      <c r="AL93" s="145" t="e">
        <f t="shared" si="28"/>
        <v>#N/A</v>
      </c>
      <c r="AM93" s="145" t="e">
        <f t="shared" si="28"/>
        <v>#N/A</v>
      </c>
    </row>
    <row r="94" spans="2:39" x14ac:dyDescent="0.25">
      <c r="C94" s="86" t="s">
        <v>27</v>
      </c>
      <c r="D94" s="87" t="s">
        <v>213</v>
      </c>
      <c r="E94" s="136" t="e">
        <f t="shared" si="28"/>
        <v>#N/A</v>
      </c>
      <c r="F94" s="136" t="e">
        <f t="shared" si="28"/>
        <v>#N/A</v>
      </c>
      <c r="G94" s="136" t="e">
        <f t="shared" si="28"/>
        <v>#N/A</v>
      </c>
      <c r="H94" s="136" t="e">
        <f t="shared" si="28"/>
        <v>#N/A</v>
      </c>
      <c r="I94" s="136" t="e">
        <f t="shared" si="28"/>
        <v>#N/A</v>
      </c>
      <c r="J94" s="135" t="e">
        <f t="shared" si="28"/>
        <v>#N/A</v>
      </c>
      <c r="K94" s="92" t="e">
        <f t="shared" si="28"/>
        <v>#N/A</v>
      </c>
      <c r="L94" s="92" t="e">
        <f t="shared" si="28"/>
        <v>#N/A</v>
      </c>
      <c r="M94" s="92" t="e">
        <f t="shared" si="28"/>
        <v>#N/A</v>
      </c>
      <c r="N94" s="136" t="e">
        <f t="shared" si="28"/>
        <v>#N/A</v>
      </c>
      <c r="O94" s="135" t="e">
        <f t="shared" si="28"/>
        <v>#N/A</v>
      </c>
      <c r="P94" s="92" t="e">
        <f t="shared" si="28"/>
        <v>#N/A</v>
      </c>
      <c r="Q94" s="92" t="e">
        <f t="shared" si="28"/>
        <v>#N/A</v>
      </c>
      <c r="R94" s="92" t="e">
        <f t="shared" si="28"/>
        <v>#N/A</v>
      </c>
      <c r="S94" s="136" t="e">
        <f t="shared" si="28"/>
        <v>#N/A</v>
      </c>
      <c r="T94" s="136" t="e">
        <f t="shared" si="28"/>
        <v>#N/A</v>
      </c>
      <c r="U94" s="136" t="e">
        <f t="shared" si="28"/>
        <v>#N/A</v>
      </c>
      <c r="V94" s="136" t="e">
        <f t="shared" si="28"/>
        <v>#N/A</v>
      </c>
      <c r="W94" s="136" t="e">
        <f t="shared" si="28"/>
        <v>#N/A</v>
      </c>
      <c r="X94" s="141" t="e">
        <f t="shared" si="28"/>
        <v>#N/A</v>
      </c>
      <c r="Y94" s="141" t="e">
        <f t="shared" si="28"/>
        <v>#N/A</v>
      </c>
      <c r="Z94" s="141" t="e">
        <f t="shared" si="28"/>
        <v>#N/A</v>
      </c>
      <c r="AA94" s="141" t="e">
        <f t="shared" si="28"/>
        <v>#N/A</v>
      </c>
      <c r="AB94" s="141" t="e">
        <f t="shared" si="28"/>
        <v>#N/A</v>
      </c>
      <c r="AC94" s="141" t="e">
        <f t="shared" si="28"/>
        <v>#N/A</v>
      </c>
      <c r="AD94" s="141" t="e">
        <f t="shared" si="28"/>
        <v>#N/A</v>
      </c>
      <c r="AE94" s="141" t="e">
        <f t="shared" si="28"/>
        <v>#N/A</v>
      </c>
      <c r="AF94" s="141" t="e">
        <f t="shared" si="28"/>
        <v>#N/A</v>
      </c>
      <c r="AG94" s="141" t="e">
        <f t="shared" si="28"/>
        <v>#N/A</v>
      </c>
      <c r="AH94" s="141" t="e">
        <f t="shared" si="28"/>
        <v>#N/A</v>
      </c>
      <c r="AI94" s="141" t="e">
        <f t="shared" si="28"/>
        <v>#N/A</v>
      </c>
      <c r="AJ94" s="141" t="e">
        <f t="shared" si="28"/>
        <v>#N/A</v>
      </c>
      <c r="AK94" s="141" t="e">
        <f t="shared" si="28"/>
        <v>#N/A</v>
      </c>
      <c r="AL94" s="141" t="e">
        <f t="shared" si="28"/>
        <v>#N/A</v>
      </c>
      <c r="AM94" s="141" t="e">
        <f t="shared" si="28"/>
        <v>#N/A</v>
      </c>
    </row>
    <row r="95" spans="2:39" x14ac:dyDescent="0.25">
      <c r="C95" s="56" t="s">
        <v>28</v>
      </c>
      <c r="D95" s="78" t="s">
        <v>214</v>
      </c>
      <c r="E95" s="136" t="e">
        <f t="shared" si="28"/>
        <v>#N/A</v>
      </c>
      <c r="F95" s="136" t="e">
        <f t="shared" si="28"/>
        <v>#N/A</v>
      </c>
      <c r="G95" s="136" t="e">
        <f t="shared" si="28"/>
        <v>#N/A</v>
      </c>
      <c r="H95" s="136" t="e">
        <f t="shared" si="28"/>
        <v>#N/A</v>
      </c>
      <c r="I95" s="136" t="e">
        <f t="shared" si="28"/>
        <v>#N/A</v>
      </c>
      <c r="J95" s="135" t="e">
        <f t="shared" si="28"/>
        <v>#N/A</v>
      </c>
      <c r="K95" s="92" t="e">
        <f t="shared" si="28"/>
        <v>#N/A</v>
      </c>
      <c r="L95" s="92" t="e">
        <f t="shared" si="28"/>
        <v>#N/A</v>
      </c>
      <c r="M95" s="92" t="e">
        <f t="shared" si="28"/>
        <v>#N/A</v>
      </c>
      <c r="N95" s="136" t="e">
        <f t="shared" si="28"/>
        <v>#N/A</v>
      </c>
      <c r="O95" s="135" t="e">
        <f t="shared" si="28"/>
        <v>#N/A</v>
      </c>
      <c r="P95" s="92" t="e">
        <f t="shared" si="28"/>
        <v>#N/A</v>
      </c>
      <c r="Q95" s="92" t="e">
        <f t="shared" si="28"/>
        <v>#N/A</v>
      </c>
      <c r="R95" s="92" t="e">
        <f t="shared" si="28"/>
        <v>#N/A</v>
      </c>
      <c r="S95" s="136" t="e">
        <f t="shared" si="28"/>
        <v>#N/A</v>
      </c>
      <c r="T95" s="136" t="e">
        <f t="shared" si="28"/>
        <v>#N/A</v>
      </c>
      <c r="U95" s="136" t="e">
        <f t="shared" si="28"/>
        <v>#N/A</v>
      </c>
      <c r="V95" s="136" t="e">
        <f t="shared" si="28"/>
        <v>#N/A</v>
      </c>
      <c r="W95" s="136" t="e">
        <f t="shared" si="28"/>
        <v>#N/A</v>
      </c>
      <c r="X95" s="141" t="e">
        <f t="shared" si="28"/>
        <v>#N/A</v>
      </c>
      <c r="Y95" s="141" t="e">
        <f t="shared" si="28"/>
        <v>#N/A</v>
      </c>
      <c r="Z95" s="141" t="e">
        <f t="shared" si="28"/>
        <v>#N/A</v>
      </c>
      <c r="AA95" s="141" t="e">
        <f t="shared" si="28"/>
        <v>#N/A</v>
      </c>
      <c r="AB95" s="141" t="e">
        <f t="shared" si="28"/>
        <v>#N/A</v>
      </c>
      <c r="AC95" s="141" t="e">
        <f t="shared" si="28"/>
        <v>#N/A</v>
      </c>
      <c r="AD95" s="141" t="e">
        <f t="shared" si="28"/>
        <v>#N/A</v>
      </c>
      <c r="AE95" s="141" t="e">
        <f t="shared" si="28"/>
        <v>#N/A</v>
      </c>
      <c r="AF95" s="141" t="e">
        <f t="shared" si="28"/>
        <v>#N/A</v>
      </c>
      <c r="AG95" s="141" t="e">
        <f t="shared" si="28"/>
        <v>#N/A</v>
      </c>
      <c r="AH95" s="141" t="e">
        <f t="shared" si="28"/>
        <v>#N/A</v>
      </c>
      <c r="AI95" s="141" t="e">
        <f t="shared" si="28"/>
        <v>#N/A</v>
      </c>
      <c r="AJ95" s="141" t="e">
        <f t="shared" si="28"/>
        <v>#N/A</v>
      </c>
      <c r="AK95" s="141" t="e">
        <f t="shared" si="28"/>
        <v>#N/A</v>
      </c>
      <c r="AL95" s="141" t="e">
        <f t="shared" si="28"/>
        <v>#N/A</v>
      </c>
      <c r="AM95" s="141" t="e">
        <f t="shared" si="28"/>
        <v>#N/A</v>
      </c>
    </row>
    <row r="96" spans="2:39" x14ac:dyDescent="0.25">
      <c r="C96" s="56" t="s">
        <v>29</v>
      </c>
      <c r="D96" s="78" t="s">
        <v>215</v>
      </c>
      <c r="E96" s="136" t="e">
        <f t="shared" si="28"/>
        <v>#N/A</v>
      </c>
      <c r="F96" s="136" t="e">
        <f t="shared" si="28"/>
        <v>#N/A</v>
      </c>
      <c r="G96" s="136" t="e">
        <f t="shared" si="28"/>
        <v>#N/A</v>
      </c>
      <c r="H96" s="136" t="e">
        <f t="shared" si="28"/>
        <v>#N/A</v>
      </c>
      <c r="I96" s="136" t="e">
        <f t="shared" si="28"/>
        <v>#N/A</v>
      </c>
      <c r="J96" s="135" t="e">
        <f t="shared" si="28"/>
        <v>#N/A</v>
      </c>
      <c r="K96" s="92" t="e">
        <f t="shared" si="28"/>
        <v>#N/A</v>
      </c>
      <c r="L96" s="92" t="e">
        <f t="shared" si="28"/>
        <v>#N/A</v>
      </c>
      <c r="M96" s="92" t="e">
        <f t="shared" si="28"/>
        <v>#N/A</v>
      </c>
      <c r="N96" s="136" t="e">
        <f t="shared" si="28"/>
        <v>#N/A</v>
      </c>
      <c r="O96" s="135" t="e">
        <f t="shared" si="28"/>
        <v>#N/A</v>
      </c>
      <c r="P96" s="92" t="e">
        <f t="shared" si="28"/>
        <v>#N/A</v>
      </c>
      <c r="Q96" s="92" t="e">
        <f t="shared" si="28"/>
        <v>#N/A</v>
      </c>
      <c r="R96" s="92" t="e">
        <f t="shared" si="28"/>
        <v>#N/A</v>
      </c>
      <c r="S96" s="136" t="e">
        <f t="shared" si="28"/>
        <v>#N/A</v>
      </c>
      <c r="T96" s="136" t="e">
        <f t="shared" si="28"/>
        <v>#N/A</v>
      </c>
      <c r="U96" s="136" t="e">
        <f t="shared" si="28"/>
        <v>#N/A</v>
      </c>
      <c r="V96" s="136" t="e">
        <f t="shared" si="28"/>
        <v>#N/A</v>
      </c>
      <c r="W96" s="136" t="e">
        <f t="shared" si="28"/>
        <v>#N/A</v>
      </c>
      <c r="X96" s="141" t="e">
        <f t="shared" si="28"/>
        <v>#N/A</v>
      </c>
      <c r="Y96" s="141" t="e">
        <f t="shared" si="28"/>
        <v>#N/A</v>
      </c>
      <c r="Z96" s="141" t="e">
        <f t="shared" si="28"/>
        <v>#N/A</v>
      </c>
      <c r="AA96" s="141" t="e">
        <f t="shared" si="28"/>
        <v>#N/A</v>
      </c>
      <c r="AB96" s="141" t="e">
        <f t="shared" si="28"/>
        <v>#N/A</v>
      </c>
      <c r="AC96" s="141" t="e">
        <f t="shared" si="28"/>
        <v>#N/A</v>
      </c>
      <c r="AD96" s="141" t="e">
        <f t="shared" si="28"/>
        <v>#N/A</v>
      </c>
      <c r="AE96" s="141" t="e">
        <f t="shared" si="28"/>
        <v>#N/A</v>
      </c>
      <c r="AF96" s="141" t="e">
        <f t="shared" si="28"/>
        <v>#N/A</v>
      </c>
      <c r="AG96" s="141" t="e">
        <f t="shared" si="28"/>
        <v>#N/A</v>
      </c>
      <c r="AH96" s="141" t="e">
        <f t="shared" si="28"/>
        <v>#N/A</v>
      </c>
      <c r="AI96" s="141" t="e">
        <f t="shared" si="28"/>
        <v>#N/A</v>
      </c>
      <c r="AJ96" s="141" t="e">
        <f t="shared" si="28"/>
        <v>#N/A</v>
      </c>
      <c r="AK96" s="141" t="e">
        <f t="shared" si="28"/>
        <v>#N/A</v>
      </c>
      <c r="AL96" s="141" t="e">
        <f t="shared" si="28"/>
        <v>#N/A</v>
      </c>
      <c r="AM96" s="141" t="e">
        <f t="shared" si="28"/>
        <v>#N/A</v>
      </c>
    </row>
    <row r="97" spans="3:40" x14ac:dyDescent="0.25">
      <c r="C97" s="56" t="s">
        <v>30</v>
      </c>
      <c r="D97" s="78" t="s">
        <v>216</v>
      </c>
      <c r="E97" s="136" t="e">
        <f t="shared" si="28"/>
        <v>#N/A</v>
      </c>
      <c r="F97" s="136" t="e">
        <f t="shared" si="28"/>
        <v>#N/A</v>
      </c>
      <c r="G97" s="136" t="e">
        <f t="shared" si="28"/>
        <v>#N/A</v>
      </c>
      <c r="H97" s="136" t="e">
        <f t="shared" si="28"/>
        <v>#N/A</v>
      </c>
      <c r="I97" s="136" t="e">
        <f t="shared" si="28"/>
        <v>#N/A</v>
      </c>
      <c r="J97" s="135" t="e">
        <f t="shared" si="28"/>
        <v>#N/A</v>
      </c>
      <c r="K97" s="92" t="e">
        <f t="shared" si="28"/>
        <v>#N/A</v>
      </c>
      <c r="L97" s="92" t="e">
        <f t="shared" si="28"/>
        <v>#N/A</v>
      </c>
      <c r="M97" s="92" t="e">
        <f t="shared" si="28"/>
        <v>#N/A</v>
      </c>
      <c r="N97" s="136" t="e">
        <f t="shared" si="28"/>
        <v>#N/A</v>
      </c>
      <c r="O97" s="135" t="e">
        <f t="shared" si="28"/>
        <v>#N/A</v>
      </c>
      <c r="P97" s="92" t="e">
        <f t="shared" si="28"/>
        <v>#N/A</v>
      </c>
      <c r="Q97" s="92" t="e">
        <f t="shared" si="28"/>
        <v>#N/A</v>
      </c>
      <c r="R97" s="92" t="e">
        <f t="shared" si="28"/>
        <v>#N/A</v>
      </c>
      <c r="S97" s="136" t="e">
        <f t="shared" si="28"/>
        <v>#N/A</v>
      </c>
      <c r="T97" s="136" t="e">
        <f t="shared" si="28"/>
        <v>#N/A</v>
      </c>
      <c r="U97" s="136" t="e">
        <f t="shared" si="28"/>
        <v>#N/A</v>
      </c>
      <c r="V97" s="136" t="e">
        <f t="shared" si="28"/>
        <v>#N/A</v>
      </c>
      <c r="W97" s="136" t="e">
        <f t="shared" si="28"/>
        <v>#N/A</v>
      </c>
      <c r="X97" s="141" t="e">
        <f t="shared" si="28"/>
        <v>#N/A</v>
      </c>
      <c r="Y97" s="141" t="e">
        <f t="shared" si="28"/>
        <v>#N/A</v>
      </c>
      <c r="Z97" s="141" t="e">
        <f t="shared" si="28"/>
        <v>#N/A</v>
      </c>
      <c r="AA97" s="141" t="e">
        <f t="shared" si="28"/>
        <v>#N/A</v>
      </c>
      <c r="AB97" s="141" t="e">
        <f t="shared" si="28"/>
        <v>#N/A</v>
      </c>
      <c r="AC97" s="141" t="e">
        <f t="shared" si="28"/>
        <v>#N/A</v>
      </c>
      <c r="AD97" s="141" t="e">
        <f t="shared" si="28"/>
        <v>#N/A</v>
      </c>
      <c r="AE97" s="141" t="e">
        <f t="shared" si="28"/>
        <v>#N/A</v>
      </c>
      <c r="AF97" s="141" t="e">
        <f t="shared" si="28"/>
        <v>#N/A</v>
      </c>
      <c r="AG97" s="141" t="e">
        <f t="shared" si="28"/>
        <v>#N/A</v>
      </c>
      <c r="AH97" s="141" t="e">
        <f t="shared" si="28"/>
        <v>#N/A</v>
      </c>
      <c r="AI97" s="141" t="e">
        <f t="shared" si="28"/>
        <v>#N/A</v>
      </c>
      <c r="AJ97" s="141" t="e">
        <f t="shared" si="28"/>
        <v>#N/A</v>
      </c>
      <c r="AK97" s="141" t="e">
        <f t="shared" si="28"/>
        <v>#N/A</v>
      </c>
      <c r="AL97" s="141" t="e">
        <f t="shared" si="28"/>
        <v>#N/A</v>
      </c>
      <c r="AM97" s="141" t="e">
        <f t="shared" si="28"/>
        <v>#N/A</v>
      </c>
    </row>
    <row r="98" spans="3:40" x14ac:dyDescent="0.25">
      <c r="C98" s="56" t="s">
        <v>31</v>
      </c>
      <c r="D98" s="78" t="s">
        <v>217</v>
      </c>
      <c r="E98" s="136" t="e">
        <f t="shared" si="28"/>
        <v>#N/A</v>
      </c>
      <c r="F98" s="136" t="e">
        <f t="shared" si="28"/>
        <v>#N/A</v>
      </c>
      <c r="G98" s="136" t="e">
        <f t="shared" si="28"/>
        <v>#N/A</v>
      </c>
      <c r="H98" s="136" t="e">
        <f t="shared" si="28"/>
        <v>#N/A</v>
      </c>
      <c r="I98" s="136" t="e">
        <f t="shared" si="28"/>
        <v>#N/A</v>
      </c>
      <c r="J98" s="135" t="e">
        <f t="shared" si="28"/>
        <v>#N/A</v>
      </c>
      <c r="K98" s="92" t="e">
        <f t="shared" si="28"/>
        <v>#N/A</v>
      </c>
      <c r="L98" s="92" t="e">
        <f t="shared" si="28"/>
        <v>#N/A</v>
      </c>
      <c r="M98" s="92" t="e">
        <f t="shared" si="28"/>
        <v>#N/A</v>
      </c>
      <c r="N98" s="136" t="e">
        <f t="shared" si="28"/>
        <v>#N/A</v>
      </c>
      <c r="O98" s="135" t="e">
        <f t="shared" si="28"/>
        <v>#N/A</v>
      </c>
      <c r="P98" s="92" t="e">
        <f t="shared" si="28"/>
        <v>#N/A</v>
      </c>
      <c r="Q98" s="92" t="e">
        <f t="shared" si="28"/>
        <v>#N/A</v>
      </c>
      <c r="R98" s="92" t="e">
        <f t="shared" si="28"/>
        <v>#N/A</v>
      </c>
      <c r="S98" s="136" t="e">
        <f t="shared" si="28"/>
        <v>#N/A</v>
      </c>
      <c r="T98" s="136" t="e">
        <f t="shared" si="28"/>
        <v>#N/A</v>
      </c>
      <c r="U98" s="136" t="e">
        <f t="shared" si="28"/>
        <v>#N/A</v>
      </c>
      <c r="V98" s="136" t="e">
        <f t="shared" si="28"/>
        <v>#N/A</v>
      </c>
      <c r="W98" s="136" t="e">
        <f t="shared" si="28"/>
        <v>#N/A</v>
      </c>
      <c r="X98" s="141" t="e">
        <f t="shared" si="28"/>
        <v>#N/A</v>
      </c>
      <c r="Y98" s="141" t="e">
        <f t="shared" si="28"/>
        <v>#N/A</v>
      </c>
      <c r="Z98" s="141" t="e">
        <f t="shared" si="28"/>
        <v>#N/A</v>
      </c>
      <c r="AA98" s="141" t="e">
        <f t="shared" si="28"/>
        <v>#N/A</v>
      </c>
      <c r="AB98" s="141" t="e">
        <f t="shared" si="28"/>
        <v>#N/A</v>
      </c>
      <c r="AC98" s="141" t="e">
        <f t="shared" si="28"/>
        <v>#N/A</v>
      </c>
      <c r="AD98" s="141" t="e">
        <f t="shared" si="28"/>
        <v>#N/A</v>
      </c>
      <c r="AE98" s="141" t="e">
        <f t="shared" si="28"/>
        <v>#N/A</v>
      </c>
      <c r="AF98" s="141" t="e">
        <f t="shared" si="28"/>
        <v>#N/A</v>
      </c>
      <c r="AG98" s="141" t="e">
        <f t="shared" si="28"/>
        <v>#N/A</v>
      </c>
      <c r="AH98" s="141" t="e">
        <f t="shared" si="28"/>
        <v>#N/A</v>
      </c>
      <c r="AI98" s="141" t="e">
        <f t="shared" si="28"/>
        <v>#N/A</v>
      </c>
      <c r="AJ98" s="141" t="e">
        <f t="shared" si="28"/>
        <v>#N/A</v>
      </c>
      <c r="AK98" s="141" t="e">
        <f t="shared" si="28"/>
        <v>#N/A</v>
      </c>
      <c r="AL98" s="141" t="e">
        <f t="shared" si="28"/>
        <v>#N/A</v>
      </c>
      <c r="AM98" s="141" t="e">
        <f t="shared" si="28"/>
        <v>#N/A</v>
      </c>
    </row>
    <row r="99" spans="3:40" x14ac:dyDescent="0.25">
      <c r="C99" s="56" t="s">
        <v>32</v>
      </c>
      <c r="D99" s="78" t="s">
        <v>218</v>
      </c>
      <c r="E99" s="136" t="e">
        <f t="shared" si="28"/>
        <v>#N/A</v>
      </c>
      <c r="F99" s="136" t="e">
        <f t="shared" si="28"/>
        <v>#N/A</v>
      </c>
      <c r="G99" s="136" t="e">
        <f t="shared" si="28"/>
        <v>#N/A</v>
      </c>
      <c r="H99" s="136" t="e">
        <f t="shared" si="28"/>
        <v>#N/A</v>
      </c>
      <c r="I99" s="136" t="e">
        <f t="shared" si="28"/>
        <v>#N/A</v>
      </c>
      <c r="J99" s="135" t="e">
        <f t="shared" si="28"/>
        <v>#N/A</v>
      </c>
      <c r="K99" s="92" t="e">
        <f t="shared" si="28"/>
        <v>#N/A</v>
      </c>
      <c r="L99" s="92" t="e">
        <f t="shared" si="28"/>
        <v>#N/A</v>
      </c>
      <c r="M99" s="92" t="e">
        <f t="shared" si="28"/>
        <v>#N/A</v>
      </c>
      <c r="N99" s="136" t="e">
        <f t="shared" si="28"/>
        <v>#N/A</v>
      </c>
      <c r="O99" s="135" t="e">
        <f t="shared" si="28"/>
        <v>#N/A</v>
      </c>
      <c r="P99" s="92" t="e">
        <f t="shared" si="28"/>
        <v>#N/A</v>
      </c>
      <c r="Q99" s="92" t="e">
        <f t="shared" si="28"/>
        <v>#N/A</v>
      </c>
      <c r="R99" s="92" t="e">
        <f t="shared" si="28"/>
        <v>#N/A</v>
      </c>
      <c r="S99" s="136" t="e">
        <f t="shared" si="28"/>
        <v>#N/A</v>
      </c>
      <c r="T99" s="136" t="e">
        <f t="shared" si="28"/>
        <v>#N/A</v>
      </c>
      <c r="U99" s="136" t="e">
        <f t="shared" si="28"/>
        <v>#N/A</v>
      </c>
      <c r="V99" s="136" t="e">
        <f t="shared" si="28"/>
        <v>#N/A</v>
      </c>
      <c r="W99" s="136" t="e">
        <f t="shared" si="28"/>
        <v>#N/A</v>
      </c>
      <c r="X99" s="141" t="e">
        <f t="shared" si="28"/>
        <v>#N/A</v>
      </c>
      <c r="Y99" s="141" t="e">
        <f t="shared" si="28"/>
        <v>#N/A</v>
      </c>
      <c r="Z99" s="141" t="e">
        <f t="shared" si="28"/>
        <v>#N/A</v>
      </c>
      <c r="AA99" s="141" t="e">
        <f t="shared" si="28"/>
        <v>#N/A</v>
      </c>
      <c r="AB99" s="141" t="e">
        <f t="shared" si="28"/>
        <v>#N/A</v>
      </c>
      <c r="AC99" s="141" t="e">
        <f t="shared" si="28"/>
        <v>#N/A</v>
      </c>
      <c r="AD99" s="141" t="e">
        <f t="shared" si="28"/>
        <v>#N/A</v>
      </c>
      <c r="AE99" s="141" t="e">
        <f t="shared" si="28"/>
        <v>#N/A</v>
      </c>
      <c r="AF99" s="141" t="e">
        <f t="shared" si="28"/>
        <v>#N/A</v>
      </c>
      <c r="AG99" s="141" t="e">
        <f t="shared" si="28"/>
        <v>#N/A</v>
      </c>
      <c r="AH99" s="141" t="e">
        <f t="shared" si="28"/>
        <v>#N/A</v>
      </c>
      <c r="AI99" s="141" t="e">
        <f t="shared" si="28"/>
        <v>#N/A</v>
      </c>
      <c r="AJ99" s="141" t="e">
        <f t="shared" si="28"/>
        <v>#N/A</v>
      </c>
      <c r="AK99" s="141" t="e">
        <f t="shared" si="28"/>
        <v>#N/A</v>
      </c>
      <c r="AL99" s="141" t="e">
        <f t="shared" si="28"/>
        <v>#N/A</v>
      </c>
      <c r="AM99" s="141" t="e">
        <f t="shared" si="28"/>
        <v>#N/A</v>
      </c>
    </row>
    <row r="100" spans="3:40" x14ac:dyDescent="0.25">
      <c r="C100" s="56" t="s">
        <v>33</v>
      </c>
      <c r="D100" s="78" t="s">
        <v>219</v>
      </c>
      <c r="E100" s="136" t="e">
        <f t="shared" si="28"/>
        <v>#N/A</v>
      </c>
      <c r="F100" s="136" t="e">
        <f t="shared" si="28"/>
        <v>#N/A</v>
      </c>
      <c r="G100" s="136" t="e">
        <f t="shared" si="28"/>
        <v>#N/A</v>
      </c>
      <c r="H100" s="136" t="e">
        <f t="shared" si="28"/>
        <v>#N/A</v>
      </c>
      <c r="I100" s="136" t="e">
        <f t="shared" si="28"/>
        <v>#N/A</v>
      </c>
      <c r="J100" s="135" t="e">
        <f t="shared" si="28"/>
        <v>#N/A</v>
      </c>
      <c r="K100" s="92" t="e">
        <f t="shared" si="28"/>
        <v>#N/A</v>
      </c>
      <c r="L100" s="92" t="e">
        <f t="shared" si="28"/>
        <v>#N/A</v>
      </c>
      <c r="M100" s="92" t="e">
        <f t="shared" si="28"/>
        <v>#N/A</v>
      </c>
      <c r="N100" s="136" t="e">
        <f t="shared" si="28"/>
        <v>#N/A</v>
      </c>
      <c r="O100" s="135" t="e">
        <f t="shared" ref="O100:AM108" si="29">O57/O$49</f>
        <v>#N/A</v>
      </c>
      <c r="P100" s="92" t="e">
        <f t="shared" si="29"/>
        <v>#N/A</v>
      </c>
      <c r="Q100" s="92" t="e">
        <f t="shared" si="29"/>
        <v>#N/A</v>
      </c>
      <c r="R100" s="92" t="e">
        <f t="shared" si="29"/>
        <v>#N/A</v>
      </c>
      <c r="S100" s="136" t="e">
        <f t="shared" si="29"/>
        <v>#N/A</v>
      </c>
      <c r="T100" s="136" t="e">
        <f t="shared" si="29"/>
        <v>#N/A</v>
      </c>
      <c r="U100" s="136" t="e">
        <f t="shared" si="29"/>
        <v>#N/A</v>
      </c>
      <c r="V100" s="136" t="e">
        <f t="shared" si="29"/>
        <v>#N/A</v>
      </c>
      <c r="W100" s="136" t="e">
        <f t="shared" si="29"/>
        <v>#N/A</v>
      </c>
      <c r="X100" s="141" t="e">
        <f t="shared" si="29"/>
        <v>#N/A</v>
      </c>
      <c r="Y100" s="141" t="e">
        <f t="shared" si="29"/>
        <v>#N/A</v>
      </c>
      <c r="Z100" s="141" t="e">
        <f t="shared" si="29"/>
        <v>#N/A</v>
      </c>
      <c r="AA100" s="141" t="e">
        <f t="shared" si="29"/>
        <v>#N/A</v>
      </c>
      <c r="AB100" s="141" t="e">
        <f t="shared" si="29"/>
        <v>#N/A</v>
      </c>
      <c r="AC100" s="141" t="e">
        <f t="shared" si="29"/>
        <v>#N/A</v>
      </c>
      <c r="AD100" s="141" t="e">
        <f t="shared" si="29"/>
        <v>#N/A</v>
      </c>
      <c r="AE100" s="141" t="e">
        <f t="shared" si="29"/>
        <v>#N/A</v>
      </c>
      <c r="AF100" s="141" t="e">
        <f t="shared" si="29"/>
        <v>#N/A</v>
      </c>
      <c r="AG100" s="141" t="e">
        <f t="shared" si="29"/>
        <v>#N/A</v>
      </c>
      <c r="AH100" s="141" t="e">
        <f t="shared" si="29"/>
        <v>#N/A</v>
      </c>
      <c r="AI100" s="141" t="e">
        <f t="shared" si="29"/>
        <v>#N/A</v>
      </c>
      <c r="AJ100" s="141" t="e">
        <f t="shared" si="29"/>
        <v>#N/A</v>
      </c>
      <c r="AK100" s="141" t="e">
        <f t="shared" si="29"/>
        <v>#N/A</v>
      </c>
      <c r="AL100" s="141" t="e">
        <f t="shared" si="29"/>
        <v>#N/A</v>
      </c>
      <c r="AM100" s="141" t="e">
        <f t="shared" si="29"/>
        <v>#N/A</v>
      </c>
    </row>
    <row r="101" spans="3:40" x14ac:dyDescent="0.25">
      <c r="C101" s="88" t="s">
        <v>119</v>
      </c>
      <c r="D101" s="76" t="s">
        <v>211</v>
      </c>
      <c r="E101" s="153" t="e">
        <f t="shared" ref="E101:AM108" si="30">E58/E$49</f>
        <v>#N/A</v>
      </c>
      <c r="F101" s="153" t="e">
        <f t="shared" si="30"/>
        <v>#N/A</v>
      </c>
      <c r="G101" s="153" t="e">
        <f t="shared" si="30"/>
        <v>#N/A</v>
      </c>
      <c r="H101" s="153" t="e">
        <f t="shared" si="30"/>
        <v>#N/A</v>
      </c>
      <c r="I101" s="153" t="e">
        <f t="shared" si="30"/>
        <v>#N/A</v>
      </c>
      <c r="J101" s="152" t="e">
        <f t="shared" si="30"/>
        <v>#N/A</v>
      </c>
      <c r="K101" s="95" t="e">
        <f t="shared" si="30"/>
        <v>#N/A</v>
      </c>
      <c r="L101" s="95" t="e">
        <f t="shared" si="30"/>
        <v>#N/A</v>
      </c>
      <c r="M101" s="95" t="e">
        <f t="shared" si="30"/>
        <v>#N/A</v>
      </c>
      <c r="N101" s="153" t="e">
        <f t="shared" si="30"/>
        <v>#N/A</v>
      </c>
      <c r="O101" s="152" t="e">
        <f t="shared" si="30"/>
        <v>#N/A</v>
      </c>
      <c r="P101" s="95" t="e">
        <f t="shared" si="30"/>
        <v>#N/A</v>
      </c>
      <c r="Q101" s="95" t="e">
        <f t="shared" si="30"/>
        <v>#N/A</v>
      </c>
      <c r="R101" s="95" t="e">
        <f t="shared" si="30"/>
        <v>#N/A</v>
      </c>
      <c r="S101" s="153" t="e">
        <f t="shared" si="30"/>
        <v>#N/A</v>
      </c>
      <c r="T101" s="153" t="e">
        <f t="shared" si="29"/>
        <v>#N/A</v>
      </c>
      <c r="U101" s="153" t="e">
        <f t="shared" si="29"/>
        <v>#N/A</v>
      </c>
      <c r="V101" s="153" t="e">
        <f t="shared" si="29"/>
        <v>#N/A</v>
      </c>
      <c r="W101" s="153" t="e">
        <f t="shared" si="29"/>
        <v>#N/A</v>
      </c>
      <c r="X101" s="145" t="e">
        <f t="shared" si="30"/>
        <v>#N/A</v>
      </c>
      <c r="Y101" s="145" t="e">
        <f t="shared" si="29"/>
        <v>#N/A</v>
      </c>
      <c r="Z101" s="145" t="e">
        <f t="shared" si="29"/>
        <v>#N/A</v>
      </c>
      <c r="AA101" s="145" t="e">
        <f t="shared" si="29"/>
        <v>#N/A</v>
      </c>
      <c r="AB101" s="145" t="e">
        <f t="shared" si="29"/>
        <v>#N/A</v>
      </c>
      <c r="AC101" s="145" t="e">
        <f t="shared" si="30"/>
        <v>#N/A</v>
      </c>
      <c r="AD101" s="145" t="e">
        <f t="shared" si="29"/>
        <v>#N/A</v>
      </c>
      <c r="AE101" s="145" t="e">
        <f t="shared" si="29"/>
        <v>#N/A</v>
      </c>
      <c r="AF101" s="145" t="e">
        <f t="shared" si="29"/>
        <v>#N/A</v>
      </c>
      <c r="AG101" s="145" t="e">
        <f t="shared" si="29"/>
        <v>#N/A</v>
      </c>
      <c r="AH101" s="145" t="e">
        <f t="shared" si="30"/>
        <v>#N/A</v>
      </c>
      <c r="AI101" s="145" t="e">
        <f t="shared" si="29"/>
        <v>#N/A</v>
      </c>
      <c r="AJ101" s="145" t="e">
        <f t="shared" si="29"/>
        <v>#N/A</v>
      </c>
      <c r="AK101" s="145" t="e">
        <f t="shared" si="29"/>
        <v>#N/A</v>
      </c>
      <c r="AL101" s="145" t="e">
        <f t="shared" si="29"/>
        <v>#N/A</v>
      </c>
      <c r="AM101" s="145" t="e">
        <f t="shared" si="30"/>
        <v>#N/A</v>
      </c>
      <c r="AN101" s="162"/>
    </row>
    <row r="102" spans="3:40" x14ac:dyDescent="0.25">
      <c r="C102" s="56" t="s">
        <v>27</v>
      </c>
      <c r="D102" s="78" t="s">
        <v>220</v>
      </c>
      <c r="E102" s="155" t="e">
        <f t="shared" si="30"/>
        <v>#N/A</v>
      </c>
      <c r="F102" s="155" t="e">
        <f t="shared" si="30"/>
        <v>#N/A</v>
      </c>
      <c r="G102" s="155" t="e">
        <f t="shared" si="30"/>
        <v>#N/A</v>
      </c>
      <c r="H102" s="155" t="e">
        <f t="shared" si="30"/>
        <v>#N/A</v>
      </c>
      <c r="I102" s="155" t="e">
        <f t="shared" si="30"/>
        <v>#N/A</v>
      </c>
      <c r="J102" s="154" t="e">
        <f t="shared" si="30"/>
        <v>#N/A</v>
      </c>
      <c r="K102" s="96" t="e">
        <f t="shared" si="30"/>
        <v>#N/A</v>
      </c>
      <c r="L102" s="96" t="e">
        <f t="shared" si="30"/>
        <v>#N/A</v>
      </c>
      <c r="M102" s="96" t="e">
        <f t="shared" si="30"/>
        <v>#N/A</v>
      </c>
      <c r="N102" s="155" t="e">
        <f t="shared" si="30"/>
        <v>#N/A</v>
      </c>
      <c r="O102" s="154" t="e">
        <f t="shared" si="30"/>
        <v>#N/A</v>
      </c>
      <c r="P102" s="96" t="e">
        <f t="shared" si="30"/>
        <v>#N/A</v>
      </c>
      <c r="Q102" s="96" t="e">
        <f t="shared" si="30"/>
        <v>#N/A</v>
      </c>
      <c r="R102" s="96" t="e">
        <f t="shared" si="30"/>
        <v>#N/A</v>
      </c>
      <c r="S102" s="155" t="e">
        <f t="shared" si="30"/>
        <v>#N/A</v>
      </c>
      <c r="T102" s="155" t="e">
        <f t="shared" si="29"/>
        <v>#N/A</v>
      </c>
      <c r="U102" s="155" t="e">
        <f t="shared" si="29"/>
        <v>#N/A</v>
      </c>
      <c r="V102" s="155" t="e">
        <f t="shared" si="29"/>
        <v>#N/A</v>
      </c>
      <c r="W102" s="155" t="e">
        <f t="shared" si="29"/>
        <v>#N/A</v>
      </c>
      <c r="X102" s="146" t="e">
        <f t="shared" si="30"/>
        <v>#N/A</v>
      </c>
      <c r="Y102" s="146" t="e">
        <f t="shared" si="29"/>
        <v>#N/A</v>
      </c>
      <c r="Z102" s="146" t="e">
        <f t="shared" si="29"/>
        <v>#N/A</v>
      </c>
      <c r="AA102" s="146" t="e">
        <f t="shared" si="29"/>
        <v>#N/A</v>
      </c>
      <c r="AB102" s="146" t="e">
        <f t="shared" si="29"/>
        <v>#N/A</v>
      </c>
      <c r="AC102" s="146" t="e">
        <f t="shared" si="30"/>
        <v>#N/A</v>
      </c>
      <c r="AD102" s="146" t="e">
        <f t="shared" si="29"/>
        <v>#N/A</v>
      </c>
      <c r="AE102" s="146" t="e">
        <f t="shared" si="29"/>
        <v>#N/A</v>
      </c>
      <c r="AF102" s="146" t="e">
        <f t="shared" si="29"/>
        <v>#N/A</v>
      </c>
      <c r="AG102" s="146" t="e">
        <f t="shared" si="29"/>
        <v>#N/A</v>
      </c>
      <c r="AH102" s="146" t="e">
        <f t="shared" si="30"/>
        <v>#N/A</v>
      </c>
      <c r="AI102" s="146" t="e">
        <f t="shared" si="29"/>
        <v>#N/A</v>
      </c>
      <c r="AJ102" s="146" t="e">
        <f t="shared" si="29"/>
        <v>#N/A</v>
      </c>
      <c r="AK102" s="146" t="e">
        <f t="shared" si="29"/>
        <v>#N/A</v>
      </c>
      <c r="AL102" s="146" t="e">
        <f t="shared" si="29"/>
        <v>#N/A</v>
      </c>
      <c r="AM102" s="146" t="e">
        <f t="shared" si="30"/>
        <v>#N/A</v>
      </c>
    </row>
    <row r="103" spans="3:40" x14ac:dyDescent="0.25">
      <c r="C103" s="56" t="s">
        <v>28</v>
      </c>
      <c r="D103" s="78" t="s">
        <v>221</v>
      </c>
      <c r="E103" s="155" t="e">
        <f t="shared" si="30"/>
        <v>#N/A</v>
      </c>
      <c r="F103" s="155" t="e">
        <f t="shared" si="30"/>
        <v>#N/A</v>
      </c>
      <c r="G103" s="155" t="e">
        <f t="shared" si="30"/>
        <v>#N/A</v>
      </c>
      <c r="H103" s="155" t="e">
        <f t="shared" si="30"/>
        <v>#N/A</v>
      </c>
      <c r="I103" s="155" t="e">
        <f t="shared" si="30"/>
        <v>#N/A</v>
      </c>
      <c r="J103" s="154" t="e">
        <f t="shared" si="30"/>
        <v>#N/A</v>
      </c>
      <c r="K103" s="96" t="e">
        <f t="shared" si="30"/>
        <v>#N/A</v>
      </c>
      <c r="L103" s="96" t="e">
        <f t="shared" si="30"/>
        <v>#N/A</v>
      </c>
      <c r="M103" s="96" t="e">
        <f t="shared" si="30"/>
        <v>#N/A</v>
      </c>
      <c r="N103" s="155" t="e">
        <f t="shared" si="30"/>
        <v>#N/A</v>
      </c>
      <c r="O103" s="154" t="e">
        <f t="shared" si="30"/>
        <v>#N/A</v>
      </c>
      <c r="P103" s="96" t="e">
        <f t="shared" si="30"/>
        <v>#N/A</v>
      </c>
      <c r="Q103" s="96" t="e">
        <f t="shared" si="30"/>
        <v>#N/A</v>
      </c>
      <c r="R103" s="96" t="e">
        <f t="shared" si="30"/>
        <v>#N/A</v>
      </c>
      <c r="S103" s="155" t="e">
        <f t="shared" si="30"/>
        <v>#N/A</v>
      </c>
      <c r="T103" s="155" t="e">
        <f t="shared" si="29"/>
        <v>#N/A</v>
      </c>
      <c r="U103" s="155" t="e">
        <f t="shared" si="29"/>
        <v>#N/A</v>
      </c>
      <c r="V103" s="155" t="e">
        <f t="shared" si="29"/>
        <v>#N/A</v>
      </c>
      <c r="W103" s="155" t="e">
        <f t="shared" si="29"/>
        <v>#N/A</v>
      </c>
      <c r="X103" s="146" t="e">
        <f t="shared" si="30"/>
        <v>#N/A</v>
      </c>
      <c r="Y103" s="146" t="e">
        <f t="shared" si="29"/>
        <v>#N/A</v>
      </c>
      <c r="Z103" s="146" t="e">
        <f t="shared" si="29"/>
        <v>#N/A</v>
      </c>
      <c r="AA103" s="146" t="e">
        <f t="shared" si="29"/>
        <v>#N/A</v>
      </c>
      <c r="AB103" s="146" t="e">
        <f t="shared" si="29"/>
        <v>#N/A</v>
      </c>
      <c r="AC103" s="146" t="e">
        <f t="shared" si="30"/>
        <v>#N/A</v>
      </c>
      <c r="AD103" s="146" t="e">
        <f t="shared" si="29"/>
        <v>#N/A</v>
      </c>
      <c r="AE103" s="146" t="e">
        <f t="shared" si="29"/>
        <v>#N/A</v>
      </c>
      <c r="AF103" s="146" t="e">
        <f t="shared" si="29"/>
        <v>#N/A</v>
      </c>
      <c r="AG103" s="146" t="e">
        <f t="shared" si="29"/>
        <v>#N/A</v>
      </c>
      <c r="AH103" s="146" t="e">
        <f t="shared" si="30"/>
        <v>#N/A</v>
      </c>
      <c r="AI103" s="146" t="e">
        <f t="shared" si="29"/>
        <v>#N/A</v>
      </c>
      <c r="AJ103" s="146" t="e">
        <f t="shared" si="29"/>
        <v>#N/A</v>
      </c>
      <c r="AK103" s="146" t="e">
        <f t="shared" si="29"/>
        <v>#N/A</v>
      </c>
      <c r="AL103" s="146" t="e">
        <f t="shared" si="29"/>
        <v>#N/A</v>
      </c>
      <c r="AM103" s="146" t="e">
        <f t="shared" si="30"/>
        <v>#N/A</v>
      </c>
    </row>
    <row r="104" spans="3:40" x14ac:dyDescent="0.25">
      <c r="C104" s="56" t="s">
        <v>29</v>
      </c>
      <c r="D104" s="78" t="s">
        <v>222</v>
      </c>
      <c r="E104" s="155" t="e">
        <f t="shared" si="30"/>
        <v>#N/A</v>
      </c>
      <c r="F104" s="155" t="e">
        <f t="shared" si="30"/>
        <v>#N/A</v>
      </c>
      <c r="G104" s="155" t="e">
        <f t="shared" si="30"/>
        <v>#N/A</v>
      </c>
      <c r="H104" s="155" t="e">
        <f t="shared" si="30"/>
        <v>#N/A</v>
      </c>
      <c r="I104" s="155" t="e">
        <f t="shared" si="30"/>
        <v>#N/A</v>
      </c>
      <c r="J104" s="154" t="e">
        <f t="shared" si="30"/>
        <v>#N/A</v>
      </c>
      <c r="K104" s="96" t="e">
        <f t="shared" si="30"/>
        <v>#N/A</v>
      </c>
      <c r="L104" s="96" t="e">
        <f t="shared" si="30"/>
        <v>#N/A</v>
      </c>
      <c r="M104" s="96" t="e">
        <f t="shared" si="30"/>
        <v>#N/A</v>
      </c>
      <c r="N104" s="155" t="e">
        <f t="shared" si="30"/>
        <v>#N/A</v>
      </c>
      <c r="O104" s="154" t="e">
        <f t="shared" si="30"/>
        <v>#N/A</v>
      </c>
      <c r="P104" s="96" t="e">
        <f t="shared" si="30"/>
        <v>#N/A</v>
      </c>
      <c r="Q104" s="96" t="e">
        <f t="shared" si="30"/>
        <v>#N/A</v>
      </c>
      <c r="R104" s="96" t="e">
        <f t="shared" si="30"/>
        <v>#N/A</v>
      </c>
      <c r="S104" s="155" t="e">
        <f t="shared" si="30"/>
        <v>#N/A</v>
      </c>
      <c r="T104" s="155" t="e">
        <f t="shared" si="29"/>
        <v>#N/A</v>
      </c>
      <c r="U104" s="155" t="e">
        <f t="shared" si="29"/>
        <v>#N/A</v>
      </c>
      <c r="V104" s="155" t="e">
        <f t="shared" si="29"/>
        <v>#N/A</v>
      </c>
      <c r="W104" s="155" t="e">
        <f t="shared" si="29"/>
        <v>#N/A</v>
      </c>
      <c r="X104" s="146" t="e">
        <f t="shared" si="30"/>
        <v>#N/A</v>
      </c>
      <c r="Y104" s="146" t="e">
        <f t="shared" si="29"/>
        <v>#N/A</v>
      </c>
      <c r="Z104" s="146" t="e">
        <f t="shared" si="29"/>
        <v>#N/A</v>
      </c>
      <c r="AA104" s="146" t="e">
        <f t="shared" si="29"/>
        <v>#N/A</v>
      </c>
      <c r="AB104" s="146" t="e">
        <f t="shared" si="29"/>
        <v>#N/A</v>
      </c>
      <c r="AC104" s="146" t="e">
        <f t="shared" si="30"/>
        <v>#N/A</v>
      </c>
      <c r="AD104" s="146" t="e">
        <f t="shared" si="29"/>
        <v>#N/A</v>
      </c>
      <c r="AE104" s="146" t="e">
        <f t="shared" si="29"/>
        <v>#N/A</v>
      </c>
      <c r="AF104" s="146" t="e">
        <f t="shared" si="29"/>
        <v>#N/A</v>
      </c>
      <c r="AG104" s="146" t="e">
        <f t="shared" si="29"/>
        <v>#N/A</v>
      </c>
      <c r="AH104" s="146" t="e">
        <f t="shared" si="30"/>
        <v>#N/A</v>
      </c>
      <c r="AI104" s="146" t="e">
        <f t="shared" si="29"/>
        <v>#N/A</v>
      </c>
      <c r="AJ104" s="146" t="e">
        <f t="shared" si="29"/>
        <v>#N/A</v>
      </c>
      <c r="AK104" s="146" t="e">
        <f t="shared" si="29"/>
        <v>#N/A</v>
      </c>
      <c r="AL104" s="146" t="e">
        <f t="shared" si="29"/>
        <v>#N/A</v>
      </c>
      <c r="AM104" s="146" t="e">
        <f t="shared" si="30"/>
        <v>#N/A</v>
      </c>
    </row>
    <row r="105" spans="3:40" x14ac:dyDescent="0.25">
      <c r="C105" s="56" t="s">
        <v>30</v>
      </c>
      <c r="D105" s="78" t="s">
        <v>223</v>
      </c>
      <c r="E105" s="155" t="e">
        <f t="shared" si="30"/>
        <v>#N/A</v>
      </c>
      <c r="F105" s="155" t="e">
        <f t="shared" si="30"/>
        <v>#N/A</v>
      </c>
      <c r="G105" s="155" t="e">
        <f t="shared" si="30"/>
        <v>#N/A</v>
      </c>
      <c r="H105" s="155" t="e">
        <f t="shared" si="30"/>
        <v>#N/A</v>
      </c>
      <c r="I105" s="155" t="e">
        <f t="shared" si="30"/>
        <v>#N/A</v>
      </c>
      <c r="J105" s="154" t="e">
        <f t="shared" si="30"/>
        <v>#N/A</v>
      </c>
      <c r="K105" s="96" t="e">
        <f t="shared" si="30"/>
        <v>#N/A</v>
      </c>
      <c r="L105" s="96" t="e">
        <f t="shared" si="30"/>
        <v>#N/A</v>
      </c>
      <c r="M105" s="96" t="e">
        <f t="shared" si="30"/>
        <v>#N/A</v>
      </c>
      <c r="N105" s="155" t="e">
        <f t="shared" si="30"/>
        <v>#N/A</v>
      </c>
      <c r="O105" s="154" t="e">
        <f t="shared" si="30"/>
        <v>#N/A</v>
      </c>
      <c r="P105" s="96" t="e">
        <f t="shared" si="30"/>
        <v>#N/A</v>
      </c>
      <c r="Q105" s="96" t="e">
        <f t="shared" si="30"/>
        <v>#N/A</v>
      </c>
      <c r="R105" s="96" t="e">
        <f t="shared" si="30"/>
        <v>#N/A</v>
      </c>
      <c r="S105" s="155" t="e">
        <f t="shared" si="30"/>
        <v>#N/A</v>
      </c>
      <c r="T105" s="155" t="e">
        <f t="shared" si="29"/>
        <v>#N/A</v>
      </c>
      <c r="U105" s="155" t="e">
        <f t="shared" si="29"/>
        <v>#N/A</v>
      </c>
      <c r="V105" s="155" t="e">
        <f t="shared" si="29"/>
        <v>#N/A</v>
      </c>
      <c r="W105" s="155" t="e">
        <f t="shared" si="29"/>
        <v>#N/A</v>
      </c>
      <c r="X105" s="146" t="e">
        <f t="shared" si="30"/>
        <v>#N/A</v>
      </c>
      <c r="Y105" s="146" t="e">
        <f t="shared" si="29"/>
        <v>#N/A</v>
      </c>
      <c r="Z105" s="146" t="e">
        <f t="shared" si="29"/>
        <v>#N/A</v>
      </c>
      <c r="AA105" s="146" t="e">
        <f t="shared" si="29"/>
        <v>#N/A</v>
      </c>
      <c r="AB105" s="146" t="e">
        <f t="shared" si="29"/>
        <v>#N/A</v>
      </c>
      <c r="AC105" s="146" t="e">
        <f t="shared" si="30"/>
        <v>#N/A</v>
      </c>
      <c r="AD105" s="146" t="e">
        <f t="shared" si="29"/>
        <v>#N/A</v>
      </c>
      <c r="AE105" s="146" t="e">
        <f t="shared" si="29"/>
        <v>#N/A</v>
      </c>
      <c r="AF105" s="146" t="e">
        <f t="shared" si="29"/>
        <v>#N/A</v>
      </c>
      <c r="AG105" s="146" t="e">
        <f t="shared" si="29"/>
        <v>#N/A</v>
      </c>
      <c r="AH105" s="146" t="e">
        <f t="shared" si="30"/>
        <v>#N/A</v>
      </c>
      <c r="AI105" s="146" t="e">
        <f t="shared" si="29"/>
        <v>#N/A</v>
      </c>
      <c r="AJ105" s="146" t="e">
        <f t="shared" si="29"/>
        <v>#N/A</v>
      </c>
      <c r="AK105" s="146" t="e">
        <f t="shared" si="29"/>
        <v>#N/A</v>
      </c>
      <c r="AL105" s="146" t="e">
        <f t="shared" si="29"/>
        <v>#N/A</v>
      </c>
      <c r="AM105" s="146" t="e">
        <f t="shared" si="30"/>
        <v>#N/A</v>
      </c>
    </row>
    <row r="106" spans="3:40" x14ac:dyDescent="0.25">
      <c r="C106" s="56" t="s">
        <v>31</v>
      </c>
      <c r="D106" s="78" t="s">
        <v>224</v>
      </c>
      <c r="E106" s="155" t="e">
        <f t="shared" si="30"/>
        <v>#N/A</v>
      </c>
      <c r="F106" s="155" t="e">
        <f t="shared" si="30"/>
        <v>#N/A</v>
      </c>
      <c r="G106" s="155" t="e">
        <f t="shared" si="30"/>
        <v>#N/A</v>
      </c>
      <c r="H106" s="155" t="e">
        <f t="shared" si="30"/>
        <v>#N/A</v>
      </c>
      <c r="I106" s="155" t="e">
        <f t="shared" si="30"/>
        <v>#N/A</v>
      </c>
      <c r="J106" s="154" t="e">
        <f t="shared" si="30"/>
        <v>#N/A</v>
      </c>
      <c r="K106" s="96" t="e">
        <f t="shared" si="30"/>
        <v>#N/A</v>
      </c>
      <c r="L106" s="96" t="e">
        <f t="shared" si="30"/>
        <v>#N/A</v>
      </c>
      <c r="M106" s="96" t="e">
        <f t="shared" si="30"/>
        <v>#N/A</v>
      </c>
      <c r="N106" s="155" t="e">
        <f t="shared" si="30"/>
        <v>#N/A</v>
      </c>
      <c r="O106" s="154" t="e">
        <f t="shared" si="30"/>
        <v>#N/A</v>
      </c>
      <c r="P106" s="96" t="e">
        <f t="shared" si="30"/>
        <v>#N/A</v>
      </c>
      <c r="Q106" s="96" t="e">
        <f t="shared" si="30"/>
        <v>#N/A</v>
      </c>
      <c r="R106" s="96" t="e">
        <f t="shared" si="30"/>
        <v>#N/A</v>
      </c>
      <c r="S106" s="155" t="e">
        <f t="shared" si="30"/>
        <v>#N/A</v>
      </c>
      <c r="T106" s="155" t="e">
        <f t="shared" si="29"/>
        <v>#N/A</v>
      </c>
      <c r="U106" s="155" t="e">
        <f t="shared" si="29"/>
        <v>#N/A</v>
      </c>
      <c r="V106" s="155" t="e">
        <f t="shared" si="29"/>
        <v>#N/A</v>
      </c>
      <c r="W106" s="155" t="e">
        <f t="shared" si="29"/>
        <v>#N/A</v>
      </c>
      <c r="X106" s="146" t="e">
        <f t="shared" si="30"/>
        <v>#N/A</v>
      </c>
      <c r="Y106" s="146" t="e">
        <f t="shared" si="29"/>
        <v>#N/A</v>
      </c>
      <c r="Z106" s="146" t="e">
        <f t="shared" si="29"/>
        <v>#N/A</v>
      </c>
      <c r="AA106" s="146" t="e">
        <f t="shared" si="29"/>
        <v>#N/A</v>
      </c>
      <c r="AB106" s="146" t="e">
        <f t="shared" si="29"/>
        <v>#N/A</v>
      </c>
      <c r="AC106" s="146" t="e">
        <f t="shared" si="30"/>
        <v>#N/A</v>
      </c>
      <c r="AD106" s="146" t="e">
        <f t="shared" si="29"/>
        <v>#N/A</v>
      </c>
      <c r="AE106" s="146" t="e">
        <f t="shared" si="29"/>
        <v>#N/A</v>
      </c>
      <c r="AF106" s="146" t="e">
        <f t="shared" si="29"/>
        <v>#N/A</v>
      </c>
      <c r="AG106" s="146" t="e">
        <f t="shared" si="29"/>
        <v>#N/A</v>
      </c>
      <c r="AH106" s="146" t="e">
        <f t="shared" si="30"/>
        <v>#N/A</v>
      </c>
      <c r="AI106" s="146" t="e">
        <f t="shared" si="29"/>
        <v>#N/A</v>
      </c>
      <c r="AJ106" s="146" t="e">
        <f t="shared" si="29"/>
        <v>#N/A</v>
      </c>
      <c r="AK106" s="146" t="e">
        <f t="shared" si="29"/>
        <v>#N/A</v>
      </c>
      <c r="AL106" s="146" t="e">
        <f t="shared" si="29"/>
        <v>#N/A</v>
      </c>
      <c r="AM106" s="146" t="e">
        <f t="shared" si="30"/>
        <v>#N/A</v>
      </c>
    </row>
    <row r="107" spans="3:40" x14ac:dyDescent="0.25">
      <c r="C107" s="56" t="s">
        <v>32</v>
      </c>
      <c r="D107" s="78" t="s">
        <v>225</v>
      </c>
      <c r="E107" s="155" t="e">
        <f t="shared" si="30"/>
        <v>#N/A</v>
      </c>
      <c r="F107" s="155" t="e">
        <f t="shared" si="30"/>
        <v>#N/A</v>
      </c>
      <c r="G107" s="155" t="e">
        <f t="shared" si="30"/>
        <v>#N/A</v>
      </c>
      <c r="H107" s="155" t="e">
        <f t="shared" si="30"/>
        <v>#N/A</v>
      </c>
      <c r="I107" s="155" t="e">
        <f t="shared" si="30"/>
        <v>#N/A</v>
      </c>
      <c r="J107" s="154" t="e">
        <f t="shared" si="30"/>
        <v>#N/A</v>
      </c>
      <c r="K107" s="96" t="e">
        <f t="shared" si="30"/>
        <v>#N/A</v>
      </c>
      <c r="L107" s="96" t="e">
        <f t="shared" si="30"/>
        <v>#N/A</v>
      </c>
      <c r="M107" s="96" t="e">
        <f t="shared" si="30"/>
        <v>#N/A</v>
      </c>
      <c r="N107" s="155" t="e">
        <f t="shared" si="30"/>
        <v>#N/A</v>
      </c>
      <c r="O107" s="154" t="e">
        <f t="shared" si="30"/>
        <v>#N/A</v>
      </c>
      <c r="P107" s="96" t="e">
        <f t="shared" si="30"/>
        <v>#N/A</v>
      </c>
      <c r="Q107" s="96" t="e">
        <f t="shared" si="30"/>
        <v>#N/A</v>
      </c>
      <c r="R107" s="96" t="e">
        <f t="shared" si="30"/>
        <v>#N/A</v>
      </c>
      <c r="S107" s="155" t="e">
        <f t="shared" si="30"/>
        <v>#N/A</v>
      </c>
      <c r="T107" s="155" t="e">
        <f t="shared" si="29"/>
        <v>#N/A</v>
      </c>
      <c r="U107" s="155" t="e">
        <f t="shared" si="29"/>
        <v>#N/A</v>
      </c>
      <c r="V107" s="155" t="e">
        <f t="shared" si="29"/>
        <v>#N/A</v>
      </c>
      <c r="W107" s="155" t="e">
        <f t="shared" si="29"/>
        <v>#N/A</v>
      </c>
      <c r="X107" s="146" t="e">
        <f t="shared" si="30"/>
        <v>#N/A</v>
      </c>
      <c r="Y107" s="146" t="e">
        <f t="shared" si="29"/>
        <v>#N/A</v>
      </c>
      <c r="Z107" s="146" t="e">
        <f t="shared" si="29"/>
        <v>#N/A</v>
      </c>
      <c r="AA107" s="146" t="e">
        <f t="shared" si="29"/>
        <v>#N/A</v>
      </c>
      <c r="AB107" s="146" t="e">
        <f t="shared" si="29"/>
        <v>#N/A</v>
      </c>
      <c r="AC107" s="146" t="e">
        <f t="shared" si="30"/>
        <v>#N/A</v>
      </c>
      <c r="AD107" s="146" t="e">
        <f t="shared" si="29"/>
        <v>#N/A</v>
      </c>
      <c r="AE107" s="146" t="e">
        <f t="shared" si="29"/>
        <v>#N/A</v>
      </c>
      <c r="AF107" s="146" t="e">
        <f t="shared" si="29"/>
        <v>#N/A</v>
      </c>
      <c r="AG107" s="146" t="e">
        <f t="shared" si="29"/>
        <v>#N/A</v>
      </c>
      <c r="AH107" s="146" t="e">
        <f t="shared" si="30"/>
        <v>#N/A</v>
      </c>
      <c r="AI107" s="146" t="e">
        <f t="shared" si="29"/>
        <v>#N/A</v>
      </c>
      <c r="AJ107" s="146" t="e">
        <f t="shared" si="29"/>
        <v>#N/A</v>
      </c>
      <c r="AK107" s="146" t="e">
        <f t="shared" si="29"/>
        <v>#N/A</v>
      </c>
      <c r="AL107" s="146" t="e">
        <f t="shared" si="29"/>
        <v>#N/A</v>
      </c>
      <c r="AM107" s="146" t="e">
        <f t="shared" si="30"/>
        <v>#N/A</v>
      </c>
    </row>
    <row r="108" spans="3:40" x14ac:dyDescent="0.25">
      <c r="C108" s="80" t="s">
        <v>33</v>
      </c>
      <c r="D108" s="90" t="s">
        <v>226</v>
      </c>
      <c r="E108" s="157" t="e">
        <f t="shared" si="30"/>
        <v>#N/A</v>
      </c>
      <c r="F108" s="157" t="e">
        <f t="shared" si="30"/>
        <v>#N/A</v>
      </c>
      <c r="G108" s="157" t="e">
        <f t="shared" si="30"/>
        <v>#N/A</v>
      </c>
      <c r="H108" s="157" t="e">
        <f t="shared" si="30"/>
        <v>#N/A</v>
      </c>
      <c r="I108" s="157" t="e">
        <f t="shared" si="30"/>
        <v>#N/A</v>
      </c>
      <c r="J108" s="156" t="e">
        <f t="shared" si="30"/>
        <v>#N/A</v>
      </c>
      <c r="K108" s="97" t="e">
        <f t="shared" si="30"/>
        <v>#N/A</v>
      </c>
      <c r="L108" s="97" t="e">
        <f t="shared" si="30"/>
        <v>#N/A</v>
      </c>
      <c r="M108" s="97" t="e">
        <f t="shared" si="30"/>
        <v>#N/A</v>
      </c>
      <c r="N108" s="157" t="e">
        <f t="shared" si="30"/>
        <v>#N/A</v>
      </c>
      <c r="O108" s="156" t="e">
        <f t="shared" si="30"/>
        <v>#N/A</v>
      </c>
      <c r="P108" s="97" t="e">
        <f t="shared" si="30"/>
        <v>#N/A</v>
      </c>
      <c r="Q108" s="97" t="e">
        <f t="shared" si="30"/>
        <v>#N/A</v>
      </c>
      <c r="R108" s="97" t="e">
        <f t="shared" si="30"/>
        <v>#N/A</v>
      </c>
      <c r="S108" s="157" t="e">
        <f t="shared" si="30"/>
        <v>#N/A</v>
      </c>
      <c r="T108" s="157" t="e">
        <f t="shared" si="29"/>
        <v>#N/A</v>
      </c>
      <c r="U108" s="157" t="e">
        <f t="shared" si="29"/>
        <v>#N/A</v>
      </c>
      <c r="V108" s="157" t="e">
        <f t="shared" si="29"/>
        <v>#N/A</v>
      </c>
      <c r="W108" s="157" t="e">
        <f t="shared" si="29"/>
        <v>#N/A</v>
      </c>
      <c r="X108" s="147" t="e">
        <f t="shared" si="30"/>
        <v>#N/A</v>
      </c>
      <c r="Y108" s="147" t="e">
        <f t="shared" si="29"/>
        <v>#N/A</v>
      </c>
      <c r="Z108" s="147" t="e">
        <f t="shared" si="29"/>
        <v>#N/A</v>
      </c>
      <c r="AA108" s="147" t="e">
        <f t="shared" si="29"/>
        <v>#N/A</v>
      </c>
      <c r="AB108" s="147" t="e">
        <f t="shared" si="29"/>
        <v>#N/A</v>
      </c>
      <c r="AC108" s="147" t="e">
        <f t="shared" si="30"/>
        <v>#N/A</v>
      </c>
      <c r="AD108" s="147" t="e">
        <f t="shared" si="29"/>
        <v>#N/A</v>
      </c>
      <c r="AE108" s="147" t="e">
        <f t="shared" si="29"/>
        <v>#N/A</v>
      </c>
      <c r="AF108" s="147" t="e">
        <f t="shared" si="29"/>
        <v>#N/A</v>
      </c>
      <c r="AG108" s="147" t="e">
        <f t="shared" si="29"/>
        <v>#N/A</v>
      </c>
      <c r="AH108" s="147" t="e">
        <f t="shared" si="30"/>
        <v>#N/A</v>
      </c>
      <c r="AI108" s="147" t="e">
        <f t="shared" si="29"/>
        <v>#N/A</v>
      </c>
      <c r="AJ108" s="147" t="e">
        <f t="shared" si="29"/>
        <v>#N/A</v>
      </c>
      <c r="AK108" s="147" t="e">
        <f t="shared" si="29"/>
        <v>#N/A</v>
      </c>
      <c r="AL108" s="147" t="e">
        <f t="shared" si="29"/>
        <v>#N/A</v>
      </c>
      <c r="AM108" s="147" t="e">
        <f t="shared" si="30"/>
        <v>#N/A</v>
      </c>
    </row>
  </sheetData>
  <pageMargins left="0.7" right="0.7" top="0.75" bottom="0.75" header="0.3" footer="0.3"/>
  <pageSetup paperSize="9" scale="6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AL25"/>
  <sheetViews>
    <sheetView zoomScale="80" zoomScaleNormal="80" workbookViewId="0">
      <selection activeCell="W4" sqref="W4"/>
    </sheetView>
  </sheetViews>
  <sheetFormatPr baseColWidth="10" defaultRowHeight="15" x14ac:dyDescent="0.25"/>
  <cols>
    <col min="2" max="2" width="19.7109375" customWidth="1"/>
    <col min="3" max="3" width="26.140625" customWidth="1"/>
    <col min="4" max="4" width="23" customWidth="1"/>
    <col min="5" max="6" width="13.5703125" customWidth="1"/>
    <col min="7" max="22" width="7.140625" bestFit="1" customWidth="1"/>
    <col min="23" max="23" width="7.85546875" customWidth="1"/>
    <col min="29" max="29" width="11.42578125" customWidth="1"/>
    <col min="32" max="32" width="10.85546875" customWidth="1"/>
    <col min="33" max="33" width="16.28515625" customWidth="1"/>
    <col min="34" max="34" width="13.140625" customWidth="1"/>
    <col min="35" max="35" width="12.7109375" customWidth="1"/>
    <col min="36" max="36" width="14.85546875" customWidth="1"/>
    <col min="37" max="37" width="12.85546875" customWidth="1"/>
    <col min="38" max="38" width="13.5703125" customWidth="1"/>
  </cols>
  <sheetData>
    <row r="1" spans="1:38" ht="23.25" x14ac:dyDescent="0.35">
      <c r="A1" s="1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8" s="3" customFormat="1" ht="23.25" x14ac:dyDescent="0.35">
      <c r="A2" s="70"/>
      <c r="D2" s="7"/>
      <c r="E2" s="238">
        <f>'T energie vecteurs'!E5</f>
        <v>4</v>
      </c>
      <c r="F2" s="238">
        <f>E2+9</f>
        <v>13</v>
      </c>
      <c r="G2" s="238">
        <f>F2+3</f>
        <v>16</v>
      </c>
      <c r="H2" s="238">
        <f t="shared" ref="H2:S2" si="0">G2+1</f>
        <v>17</v>
      </c>
      <c r="I2" s="238">
        <f t="shared" si="0"/>
        <v>18</v>
      </c>
      <c r="J2" s="238">
        <f t="shared" si="0"/>
        <v>19</v>
      </c>
      <c r="K2" s="238">
        <f t="shared" si="0"/>
        <v>20</v>
      </c>
      <c r="L2" s="238">
        <f t="shared" si="0"/>
        <v>21</v>
      </c>
      <c r="M2" s="238">
        <f t="shared" si="0"/>
        <v>22</v>
      </c>
      <c r="N2" s="238">
        <f t="shared" si="0"/>
        <v>23</v>
      </c>
      <c r="O2" s="238">
        <f t="shared" si="0"/>
        <v>24</v>
      </c>
      <c r="P2" s="238">
        <f t="shared" si="0"/>
        <v>25</v>
      </c>
      <c r="Q2" s="238">
        <f t="shared" si="0"/>
        <v>26</v>
      </c>
      <c r="R2" s="238">
        <f t="shared" si="0"/>
        <v>27</v>
      </c>
      <c r="S2" s="238">
        <f t="shared" si="0"/>
        <v>28</v>
      </c>
      <c r="T2" s="238">
        <f>S2+5</f>
        <v>33</v>
      </c>
      <c r="U2" s="238">
        <f>T2+5</f>
        <v>38</v>
      </c>
      <c r="V2" s="238">
        <f>U2+5</f>
        <v>43</v>
      </c>
      <c r="W2" s="238">
        <f>V2+5</f>
        <v>48</v>
      </c>
    </row>
    <row r="3" spans="1:38" ht="23.25" x14ac:dyDescent="0.35">
      <c r="A3" s="240"/>
      <c r="B3" s="3"/>
      <c r="C3" s="66"/>
      <c r="D3" s="12"/>
      <c r="E3" s="73">
        <v>2006</v>
      </c>
      <c r="F3" s="73">
        <v>2015</v>
      </c>
      <c r="G3" s="26">
        <v>2018</v>
      </c>
      <c r="H3" s="4">
        <v>2019</v>
      </c>
      <c r="I3" s="108">
        <v>2020</v>
      </c>
      <c r="J3" s="116">
        <v>2021</v>
      </c>
      <c r="K3" s="33">
        <v>2022</v>
      </c>
      <c r="L3" s="4">
        <v>2023</v>
      </c>
      <c r="M3" s="33">
        <v>2024</v>
      </c>
      <c r="N3" s="108">
        <v>2025</v>
      </c>
      <c r="O3" s="116">
        <v>2026</v>
      </c>
      <c r="P3" s="4">
        <v>2027</v>
      </c>
      <c r="Q3" s="33">
        <v>2028</v>
      </c>
      <c r="R3" s="33">
        <v>2029</v>
      </c>
      <c r="S3" s="108">
        <v>2030</v>
      </c>
      <c r="T3" s="118">
        <v>2035</v>
      </c>
      <c r="U3" s="118">
        <v>2040</v>
      </c>
      <c r="V3" s="4">
        <v>2045</v>
      </c>
      <c r="W3" s="118">
        <v>2050</v>
      </c>
      <c r="X3" s="3"/>
      <c r="AG3" s="14"/>
      <c r="AH3" s="102"/>
      <c r="AI3" s="102"/>
      <c r="AJ3" s="102"/>
      <c r="AK3" s="102"/>
      <c r="AL3" s="102"/>
    </row>
    <row r="4" spans="1:38" ht="23.25" x14ac:dyDescent="0.35">
      <c r="A4" s="194" t="str">
        <f>Résultats!B1</f>
        <v>TEND</v>
      </c>
      <c r="B4" s="239" t="s">
        <v>246</v>
      </c>
      <c r="C4" s="5" t="s">
        <v>238</v>
      </c>
      <c r="D4" s="13" t="s">
        <v>81</v>
      </c>
      <c r="E4" s="22" t="e">
        <f>VLOOKUP($D4,Résultats!$B$2:$AX$212,E$2,FALSE)</f>
        <v>#N/A</v>
      </c>
      <c r="F4" s="22" t="e">
        <f>VLOOKUP($D4,Résultats!$B$2:$AX$212,F$2,FALSE)</f>
        <v>#N/A</v>
      </c>
      <c r="G4" s="131" t="e">
        <f>VLOOKUP($D4,Résultats!$B$2:$AX$212,G$2,FALSE)/1000000</f>
        <v>#N/A</v>
      </c>
      <c r="H4" s="22" t="e">
        <f>VLOOKUP($D4,Résultats!$B$2:$AX$212,H$2,FALSE)/1000000</f>
        <v>#N/A</v>
      </c>
      <c r="I4" s="132" t="e">
        <f>VLOOKUP($D4,Résultats!$B$2:$AX$212,I$2,FALSE)/1000000</f>
        <v>#N/A</v>
      </c>
      <c r="J4" s="131" t="e">
        <f>VLOOKUP($D4,Résultats!$B$2:$AX$212,J$2,FALSE)/1000000</f>
        <v>#N/A</v>
      </c>
      <c r="K4" s="22" t="e">
        <f>VLOOKUP($D4,Résultats!$B$2:$AX$212,K$2,FALSE)/1000000</f>
        <v>#N/A</v>
      </c>
      <c r="L4" s="22" t="e">
        <f>VLOOKUP($D4,Résultats!$B$2:$AX$212,L$2,FALSE)/1000000</f>
        <v>#N/A</v>
      </c>
      <c r="M4" s="22" t="e">
        <f>VLOOKUP($D4,Résultats!$B$2:$AX$212,M$2,FALSE)/1000000</f>
        <v>#N/A</v>
      </c>
      <c r="N4" s="132" t="e">
        <f>VLOOKUP($D4,Résultats!$B$2:$AX$212,N$2,FALSE)/1000000</f>
        <v>#N/A</v>
      </c>
      <c r="O4" s="131" t="e">
        <f>VLOOKUP($D4,Résultats!$B$2:$AX$212,O$2,FALSE)/1000000</f>
        <v>#N/A</v>
      </c>
      <c r="P4" s="22" t="e">
        <f>VLOOKUP($D4,Résultats!$B$2:$AX$212,P$2,FALSE)/1000000</f>
        <v>#N/A</v>
      </c>
      <c r="Q4" s="22" t="e">
        <f>VLOOKUP($D4,Résultats!$B$2:$AX$212,Q$2,FALSE)/1000000</f>
        <v>#N/A</v>
      </c>
      <c r="R4" s="22" t="e">
        <f>VLOOKUP($D4,Résultats!$B$2:$AX$212,R$2,FALSE)/1000000</f>
        <v>#N/A</v>
      </c>
      <c r="S4" s="132" t="e">
        <f>VLOOKUP($D4,Résultats!$B$2:$AX$212,S$2,FALSE)/1000000</f>
        <v>#N/A</v>
      </c>
      <c r="T4" s="139" t="e">
        <f>VLOOKUP($D4,Résultats!$B$2:$AX$212,T$2,FALSE)/1000000</f>
        <v>#N/A</v>
      </c>
      <c r="U4" s="139" t="e">
        <f>VLOOKUP($D4,Résultats!$B$2:$AX$212,U$2,FALSE)/1000000</f>
        <v>#N/A</v>
      </c>
      <c r="V4" s="22" t="e">
        <f>VLOOKUP($D4,Résultats!$B$2:$AX$212,V$2,FALSE)/1000000</f>
        <v>#N/A</v>
      </c>
      <c r="W4" s="139" t="e">
        <f>VLOOKUP($D4,Résultats!$B$2:$AX$212,W$2,FALSE)/1000000</f>
        <v>#N/A</v>
      </c>
      <c r="X4" s="3"/>
      <c r="AG4" s="14"/>
      <c r="AH4" s="102"/>
      <c r="AI4" s="102"/>
      <c r="AJ4" s="102"/>
      <c r="AK4" s="102"/>
      <c r="AL4" s="102"/>
    </row>
    <row r="5" spans="1:38" x14ac:dyDescent="0.25">
      <c r="A5" s="3"/>
      <c r="B5" s="241"/>
      <c r="C5" s="56" t="s">
        <v>27</v>
      </c>
      <c r="D5" s="16" t="s">
        <v>82</v>
      </c>
      <c r="E5" s="31" t="e">
        <f>VLOOKUP($D5,Résultats!$B$2:$AX$212,E$2,FALSE)</f>
        <v>#N/A</v>
      </c>
      <c r="F5" s="31" t="e">
        <f>VLOOKUP($D5,Résultats!$B$2:$AX$212,F$2,FALSE)</f>
        <v>#N/A</v>
      </c>
      <c r="G5" s="126" t="e">
        <f>VLOOKUP($D5,Résultats!$B$2:$AX$212,G$2,FALSE)/1000000</f>
        <v>#N/A</v>
      </c>
      <c r="H5" s="31" t="e">
        <f>VLOOKUP($D5,Résultats!$B$2:$AX$212,H$2,FALSE)/1000000</f>
        <v>#N/A</v>
      </c>
      <c r="I5" s="127" t="e">
        <f>VLOOKUP($D5,Résultats!$B$2:$AX$212,I$2,FALSE)/1000000</f>
        <v>#N/A</v>
      </c>
      <c r="J5" s="126" t="e">
        <f>VLOOKUP($D5,Résultats!$B$2:$AX$212,J$2,FALSE)/1000000</f>
        <v>#N/A</v>
      </c>
      <c r="K5" s="31" t="e">
        <f>VLOOKUP($D5,Résultats!$B$2:$AX$212,K$2,FALSE)/1000000</f>
        <v>#N/A</v>
      </c>
      <c r="L5" s="31" t="e">
        <f>VLOOKUP($D5,Résultats!$B$2:$AX$212,L$2,FALSE)/1000000</f>
        <v>#N/A</v>
      </c>
      <c r="M5" s="31" t="e">
        <f>VLOOKUP($D5,Résultats!$B$2:$AX$212,M$2,FALSE)/1000000</f>
        <v>#N/A</v>
      </c>
      <c r="N5" s="127" t="e">
        <f>VLOOKUP($D5,Résultats!$B$2:$AX$212,N$2,FALSE)/1000000</f>
        <v>#N/A</v>
      </c>
      <c r="O5" s="126" t="e">
        <f>VLOOKUP($D5,Résultats!$B$2:$AX$212,O$2,FALSE)/1000000</f>
        <v>#N/A</v>
      </c>
      <c r="P5" s="31" t="e">
        <f>VLOOKUP($D5,Résultats!$B$2:$AX$212,P$2,FALSE)/1000000</f>
        <v>#N/A</v>
      </c>
      <c r="Q5" s="31" t="e">
        <f>VLOOKUP($D5,Résultats!$B$2:$AX$212,Q$2,FALSE)/1000000</f>
        <v>#N/A</v>
      </c>
      <c r="R5" s="31" t="e">
        <f>VLOOKUP($D5,Résultats!$B$2:$AX$212,R$2,FALSE)/1000000</f>
        <v>#N/A</v>
      </c>
      <c r="S5" s="127" t="e">
        <f>VLOOKUP($D5,Résultats!$B$2:$AX$212,S$2,FALSE)/1000000</f>
        <v>#N/A</v>
      </c>
      <c r="T5" s="130" t="e">
        <f>VLOOKUP($D5,Résultats!$B$2:$AX$212,T$2,FALSE)/1000000</f>
        <v>#N/A</v>
      </c>
      <c r="U5" s="130" t="e">
        <f>VLOOKUP($D5,Résultats!$B$2:$AX$212,U$2,FALSE)/1000000</f>
        <v>#N/A</v>
      </c>
      <c r="V5" s="31" t="e">
        <f>VLOOKUP($D5,Résultats!$B$2:$AX$212,V$2,FALSE)/1000000</f>
        <v>#N/A</v>
      </c>
      <c r="W5" s="130" t="e">
        <f>VLOOKUP($D5,Résultats!$B$2:$AX$212,W$2,FALSE)/1000000</f>
        <v>#N/A</v>
      </c>
      <c r="X5" s="3"/>
      <c r="AG5" s="14"/>
      <c r="AH5" s="42"/>
      <c r="AI5" s="42"/>
      <c r="AJ5" s="42"/>
      <c r="AK5" s="42"/>
      <c r="AL5" s="42"/>
    </row>
    <row r="6" spans="1:38" x14ac:dyDescent="0.25">
      <c r="A6" s="3"/>
      <c r="B6" s="241"/>
      <c r="C6" s="56" t="s">
        <v>28</v>
      </c>
      <c r="D6" s="16" t="s">
        <v>83</v>
      </c>
      <c r="E6" s="31" t="e">
        <f>VLOOKUP($D6,Résultats!$B$2:$AX$212,E$2,FALSE)</f>
        <v>#N/A</v>
      </c>
      <c r="F6" s="31" t="e">
        <f>VLOOKUP($D6,Résultats!$B$2:$AX$212,F$2,FALSE)</f>
        <v>#N/A</v>
      </c>
      <c r="G6" s="126" t="e">
        <f>VLOOKUP($D6,Résultats!$B$2:$AX$212,G$2,FALSE)/1000000</f>
        <v>#N/A</v>
      </c>
      <c r="H6" s="31" t="e">
        <f>VLOOKUP($D6,Résultats!$B$2:$AX$212,H$2,FALSE)/1000000</f>
        <v>#N/A</v>
      </c>
      <c r="I6" s="127" t="e">
        <f>VLOOKUP($D6,Résultats!$B$2:$AX$212,I$2,FALSE)/1000000</f>
        <v>#N/A</v>
      </c>
      <c r="J6" s="126" t="e">
        <f>VLOOKUP($D6,Résultats!$B$2:$AX$212,J$2,FALSE)/1000000</f>
        <v>#N/A</v>
      </c>
      <c r="K6" s="31" t="e">
        <f>VLOOKUP($D6,Résultats!$B$2:$AX$212,K$2,FALSE)/1000000</f>
        <v>#N/A</v>
      </c>
      <c r="L6" s="31" t="e">
        <f>VLOOKUP($D6,Résultats!$B$2:$AX$212,L$2,FALSE)/1000000</f>
        <v>#N/A</v>
      </c>
      <c r="M6" s="31" t="e">
        <f>VLOOKUP($D6,Résultats!$B$2:$AX$212,M$2,FALSE)/1000000</f>
        <v>#N/A</v>
      </c>
      <c r="N6" s="127" t="e">
        <f>VLOOKUP($D6,Résultats!$B$2:$AX$212,N$2,FALSE)/1000000</f>
        <v>#N/A</v>
      </c>
      <c r="O6" s="126" t="e">
        <f>VLOOKUP($D6,Résultats!$B$2:$AX$212,O$2,FALSE)/1000000</f>
        <v>#N/A</v>
      </c>
      <c r="P6" s="31" t="e">
        <f>VLOOKUP($D6,Résultats!$B$2:$AX$212,P$2,FALSE)/1000000</f>
        <v>#N/A</v>
      </c>
      <c r="Q6" s="31" t="e">
        <f>VLOOKUP($D6,Résultats!$B$2:$AX$212,Q$2,FALSE)/1000000</f>
        <v>#N/A</v>
      </c>
      <c r="R6" s="31" t="e">
        <f>VLOOKUP($D6,Résultats!$B$2:$AX$212,R$2,FALSE)/1000000</f>
        <v>#N/A</v>
      </c>
      <c r="S6" s="127" t="e">
        <f>VLOOKUP($D6,Résultats!$B$2:$AX$212,S$2,FALSE)/1000000</f>
        <v>#N/A</v>
      </c>
      <c r="T6" s="130" t="e">
        <f>VLOOKUP($D6,Résultats!$B$2:$AX$212,T$2,FALSE)/1000000</f>
        <v>#N/A</v>
      </c>
      <c r="U6" s="130" t="e">
        <f>VLOOKUP($D6,Résultats!$B$2:$AX$212,U$2,FALSE)/1000000</f>
        <v>#N/A</v>
      </c>
      <c r="V6" s="31" t="e">
        <f>VLOOKUP($D6,Résultats!$B$2:$AX$212,V$2,FALSE)/1000000</f>
        <v>#N/A</v>
      </c>
      <c r="W6" s="130" t="e">
        <f>VLOOKUP($D6,Résultats!$B$2:$AX$212,W$2,FALSE)/1000000</f>
        <v>#N/A</v>
      </c>
      <c r="X6" s="3"/>
    </row>
    <row r="7" spans="1:38" x14ac:dyDescent="0.25">
      <c r="A7" s="3"/>
      <c r="B7" s="241"/>
      <c r="C7" s="56" t="s">
        <v>29</v>
      </c>
      <c r="D7" s="16" t="s">
        <v>84</v>
      </c>
      <c r="E7" s="31" t="e">
        <f>VLOOKUP($D7,Résultats!$B$2:$AX$212,E$2,FALSE)</f>
        <v>#N/A</v>
      </c>
      <c r="F7" s="31" t="e">
        <f>VLOOKUP($D7,Résultats!$B$2:$AX$212,F$2,FALSE)</f>
        <v>#N/A</v>
      </c>
      <c r="G7" s="126" t="e">
        <f>VLOOKUP($D7,Résultats!$B$2:$AX$212,G$2,FALSE)/1000000</f>
        <v>#N/A</v>
      </c>
      <c r="H7" s="31" t="e">
        <f>VLOOKUP($D7,Résultats!$B$2:$AX$212,H$2,FALSE)/1000000</f>
        <v>#N/A</v>
      </c>
      <c r="I7" s="127" t="e">
        <f>VLOOKUP($D7,Résultats!$B$2:$AX$212,I$2,FALSE)/1000000</f>
        <v>#N/A</v>
      </c>
      <c r="J7" s="126" t="e">
        <f>VLOOKUP($D7,Résultats!$B$2:$AX$212,J$2,FALSE)/1000000</f>
        <v>#N/A</v>
      </c>
      <c r="K7" s="31" t="e">
        <f>VLOOKUP($D7,Résultats!$B$2:$AX$212,K$2,FALSE)/1000000</f>
        <v>#N/A</v>
      </c>
      <c r="L7" s="31" t="e">
        <f>VLOOKUP($D7,Résultats!$B$2:$AX$212,L$2,FALSE)/1000000</f>
        <v>#N/A</v>
      </c>
      <c r="M7" s="31" t="e">
        <f>VLOOKUP($D7,Résultats!$B$2:$AX$212,M$2,FALSE)/1000000</f>
        <v>#N/A</v>
      </c>
      <c r="N7" s="127" t="e">
        <f>VLOOKUP($D7,Résultats!$B$2:$AX$212,N$2,FALSE)/1000000</f>
        <v>#N/A</v>
      </c>
      <c r="O7" s="126" t="e">
        <f>VLOOKUP($D7,Résultats!$B$2:$AX$212,O$2,FALSE)/1000000</f>
        <v>#N/A</v>
      </c>
      <c r="P7" s="31" t="e">
        <f>VLOOKUP($D7,Résultats!$B$2:$AX$212,P$2,FALSE)/1000000</f>
        <v>#N/A</v>
      </c>
      <c r="Q7" s="31" t="e">
        <f>VLOOKUP($D7,Résultats!$B$2:$AX$212,Q$2,FALSE)/1000000</f>
        <v>#N/A</v>
      </c>
      <c r="R7" s="31" t="e">
        <f>VLOOKUP($D7,Résultats!$B$2:$AX$212,R$2,FALSE)/1000000</f>
        <v>#N/A</v>
      </c>
      <c r="S7" s="127" t="e">
        <f>VLOOKUP($D7,Résultats!$B$2:$AX$212,S$2,FALSE)/1000000</f>
        <v>#N/A</v>
      </c>
      <c r="T7" s="130" t="e">
        <f>VLOOKUP($D7,Résultats!$B$2:$AX$212,T$2,FALSE)/1000000</f>
        <v>#N/A</v>
      </c>
      <c r="U7" s="130" t="e">
        <f>VLOOKUP($D7,Résultats!$B$2:$AX$212,U$2,FALSE)/1000000</f>
        <v>#N/A</v>
      </c>
      <c r="V7" s="31" t="e">
        <f>VLOOKUP($D7,Résultats!$B$2:$AX$212,V$2,FALSE)/1000000</f>
        <v>#N/A</v>
      </c>
      <c r="W7" s="130" t="e">
        <f>VLOOKUP($D7,Résultats!$B$2:$AX$212,W$2,FALSE)/1000000</f>
        <v>#N/A</v>
      </c>
      <c r="X7" s="3"/>
    </row>
    <row r="8" spans="1:38" x14ac:dyDescent="0.25">
      <c r="A8" s="3"/>
      <c r="B8" s="241"/>
      <c r="C8" s="56" t="s">
        <v>30</v>
      </c>
      <c r="D8" s="16" t="s">
        <v>85</v>
      </c>
      <c r="E8" s="31" t="e">
        <f>VLOOKUP($D8,Résultats!$B$2:$AX$212,E$2,FALSE)</f>
        <v>#N/A</v>
      </c>
      <c r="F8" s="31" t="e">
        <f>VLOOKUP($D8,Résultats!$B$2:$AX$212,F$2,FALSE)</f>
        <v>#N/A</v>
      </c>
      <c r="G8" s="126" t="e">
        <f>VLOOKUP($D8,Résultats!$B$2:$AX$212,G$2,FALSE)/1000000</f>
        <v>#N/A</v>
      </c>
      <c r="H8" s="31" t="e">
        <f>VLOOKUP($D8,Résultats!$B$2:$AX$212,H$2,FALSE)/1000000</f>
        <v>#N/A</v>
      </c>
      <c r="I8" s="127" t="e">
        <f>VLOOKUP($D8,Résultats!$B$2:$AX$212,I$2,FALSE)/1000000</f>
        <v>#N/A</v>
      </c>
      <c r="J8" s="126" t="e">
        <f>VLOOKUP($D8,Résultats!$B$2:$AX$212,J$2,FALSE)/1000000</f>
        <v>#N/A</v>
      </c>
      <c r="K8" s="31" t="e">
        <f>VLOOKUP($D8,Résultats!$B$2:$AX$212,K$2,FALSE)/1000000</f>
        <v>#N/A</v>
      </c>
      <c r="L8" s="31" t="e">
        <f>VLOOKUP($D8,Résultats!$B$2:$AX$212,L$2,FALSE)/1000000</f>
        <v>#N/A</v>
      </c>
      <c r="M8" s="31" t="e">
        <f>VLOOKUP($D8,Résultats!$B$2:$AX$212,M$2,FALSE)/1000000</f>
        <v>#N/A</v>
      </c>
      <c r="N8" s="127" t="e">
        <f>VLOOKUP($D8,Résultats!$B$2:$AX$212,N$2,FALSE)/1000000</f>
        <v>#N/A</v>
      </c>
      <c r="O8" s="126" t="e">
        <f>VLOOKUP($D8,Résultats!$B$2:$AX$212,O$2,FALSE)/1000000</f>
        <v>#N/A</v>
      </c>
      <c r="P8" s="31" t="e">
        <f>VLOOKUP($D8,Résultats!$B$2:$AX$212,P$2,FALSE)/1000000</f>
        <v>#N/A</v>
      </c>
      <c r="Q8" s="31" t="e">
        <f>VLOOKUP($D8,Résultats!$B$2:$AX$212,Q$2,FALSE)/1000000</f>
        <v>#N/A</v>
      </c>
      <c r="R8" s="31" t="e">
        <f>VLOOKUP($D8,Résultats!$B$2:$AX$212,R$2,FALSE)/1000000</f>
        <v>#N/A</v>
      </c>
      <c r="S8" s="127" t="e">
        <f>VLOOKUP($D8,Résultats!$B$2:$AX$212,S$2,FALSE)/1000000</f>
        <v>#N/A</v>
      </c>
      <c r="T8" s="130" t="e">
        <f>VLOOKUP($D8,Résultats!$B$2:$AX$212,T$2,FALSE)/1000000</f>
        <v>#N/A</v>
      </c>
      <c r="U8" s="130" t="e">
        <f>VLOOKUP($D8,Résultats!$B$2:$AX$212,U$2,FALSE)/1000000</f>
        <v>#N/A</v>
      </c>
      <c r="V8" s="31" t="e">
        <f>VLOOKUP($D8,Résultats!$B$2:$AX$212,V$2,FALSE)/1000000</f>
        <v>#N/A</v>
      </c>
      <c r="W8" s="130" t="e">
        <f>VLOOKUP($D8,Résultats!$B$2:$AX$212,W$2,FALSE)/1000000</f>
        <v>#N/A</v>
      </c>
      <c r="X8" s="3"/>
    </row>
    <row r="9" spans="1:38" x14ac:dyDescent="0.25">
      <c r="A9" s="3"/>
      <c r="B9" s="241"/>
      <c r="C9" s="56" t="s">
        <v>31</v>
      </c>
      <c r="D9" s="16" t="s">
        <v>86</v>
      </c>
      <c r="E9" s="31" t="e">
        <f>VLOOKUP($D9,Résultats!$B$2:$AX$212,E$2,FALSE)</f>
        <v>#N/A</v>
      </c>
      <c r="F9" s="31" t="e">
        <f>VLOOKUP($D9,Résultats!$B$2:$AX$212,F$2,FALSE)</f>
        <v>#N/A</v>
      </c>
      <c r="G9" s="126" t="e">
        <f>VLOOKUP($D9,Résultats!$B$2:$AX$212,G$2,FALSE)/1000000</f>
        <v>#N/A</v>
      </c>
      <c r="H9" s="31" t="e">
        <f>VLOOKUP($D9,Résultats!$B$2:$AX$212,H$2,FALSE)/1000000</f>
        <v>#N/A</v>
      </c>
      <c r="I9" s="127" t="e">
        <f>VLOOKUP($D9,Résultats!$B$2:$AX$212,I$2,FALSE)/1000000</f>
        <v>#N/A</v>
      </c>
      <c r="J9" s="126" t="e">
        <f>VLOOKUP($D9,Résultats!$B$2:$AX$212,J$2,FALSE)/1000000</f>
        <v>#N/A</v>
      </c>
      <c r="K9" s="31" t="e">
        <f>VLOOKUP($D9,Résultats!$B$2:$AX$212,K$2,FALSE)/1000000</f>
        <v>#N/A</v>
      </c>
      <c r="L9" s="31" t="e">
        <f>VLOOKUP($D9,Résultats!$B$2:$AX$212,L$2,FALSE)/1000000</f>
        <v>#N/A</v>
      </c>
      <c r="M9" s="31" t="e">
        <f>VLOOKUP($D9,Résultats!$B$2:$AX$212,M$2,FALSE)/1000000</f>
        <v>#N/A</v>
      </c>
      <c r="N9" s="127" t="e">
        <f>VLOOKUP($D9,Résultats!$B$2:$AX$212,N$2,FALSE)/1000000</f>
        <v>#N/A</v>
      </c>
      <c r="O9" s="126" t="e">
        <f>VLOOKUP($D9,Résultats!$B$2:$AX$212,O$2,FALSE)/1000000</f>
        <v>#N/A</v>
      </c>
      <c r="P9" s="31" t="e">
        <f>VLOOKUP($D9,Résultats!$B$2:$AX$212,P$2,FALSE)/1000000</f>
        <v>#N/A</v>
      </c>
      <c r="Q9" s="31" t="e">
        <f>VLOOKUP($D9,Résultats!$B$2:$AX$212,Q$2,FALSE)/1000000</f>
        <v>#N/A</v>
      </c>
      <c r="R9" s="31" t="e">
        <f>VLOOKUP($D9,Résultats!$B$2:$AX$212,R$2,FALSE)/1000000</f>
        <v>#N/A</v>
      </c>
      <c r="S9" s="127" t="e">
        <f>VLOOKUP($D9,Résultats!$B$2:$AX$212,S$2,FALSE)/1000000</f>
        <v>#N/A</v>
      </c>
      <c r="T9" s="130" t="e">
        <f>VLOOKUP($D9,Résultats!$B$2:$AX$212,T$2,FALSE)/1000000</f>
        <v>#N/A</v>
      </c>
      <c r="U9" s="130" t="e">
        <f>VLOOKUP($D9,Résultats!$B$2:$AX$212,U$2,FALSE)/1000000</f>
        <v>#N/A</v>
      </c>
      <c r="V9" s="31" t="e">
        <f>VLOOKUP($D9,Résultats!$B$2:$AX$212,V$2,FALSE)/1000000</f>
        <v>#N/A</v>
      </c>
      <c r="W9" s="130" t="e">
        <f>VLOOKUP($D9,Résultats!$B$2:$AX$212,W$2,FALSE)/1000000</f>
        <v>#N/A</v>
      </c>
      <c r="X9" s="3"/>
    </row>
    <row r="10" spans="1:38" x14ac:dyDescent="0.25">
      <c r="A10" s="3"/>
      <c r="B10" s="241"/>
      <c r="C10" s="56" t="s">
        <v>32</v>
      </c>
      <c r="D10" s="16" t="s">
        <v>87</v>
      </c>
      <c r="E10" s="31" t="e">
        <f>VLOOKUP($D10,Résultats!$B$2:$AX$212,E$2,FALSE)</f>
        <v>#N/A</v>
      </c>
      <c r="F10" s="31" t="e">
        <f>VLOOKUP($D10,Résultats!$B$2:$AX$212,F$2,FALSE)</f>
        <v>#N/A</v>
      </c>
      <c r="G10" s="126" t="e">
        <f>VLOOKUP($D10,Résultats!$B$2:$AX$212,G$2,FALSE)/1000000</f>
        <v>#N/A</v>
      </c>
      <c r="H10" s="31" t="e">
        <f>VLOOKUP($D10,Résultats!$B$2:$AX$212,H$2,FALSE)/1000000</f>
        <v>#N/A</v>
      </c>
      <c r="I10" s="127" t="e">
        <f>VLOOKUP($D10,Résultats!$B$2:$AX$212,I$2,FALSE)/1000000</f>
        <v>#N/A</v>
      </c>
      <c r="J10" s="126" t="e">
        <f>VLOOKUP($D10,Résultats!$B$2:$AX$212,J$2,FALSE)/1000000</f>
        <v>#N/A</v>
      </c>
      <c r="K10" s="31" t="e">
        <f>VLOOKUP($D10,Résultats!$B$2:$AX$212,K$2,FALSE)/1000000</f>
        <v>#N/A</v>
      </c>
      <c r="L10" s="31" t="e">
        <f>VLOOKUP($D10,Résultats!$B$2:$AX$212,L$2,FALSE)/1000000</f>
        <v>#N/A</v>
      </c>
      <c r="M10" s="31" t="e">
        <f>VLOOKUP($D10,Résultats!$B$2:$AX$212,M$2,FALSE)/1000000</f>
        <v>#N/A</v>
      </c>
      <c r="N10" s="127" t="e">
        <f>VLOOKUP($D10,Résultats!$B$2:$AX$212,N$2,FALSE)/1000000</f>
        <v>#N/A</v>
      </c>
      <c r="O10" s="126" t="e">
        <f>VLOOKUP($D10,Résultats!$B$2:$AX$212,O$2,FALSE)/1000000</f>
        <v>#N/A</v>
      </c>
      <c r="P10" s="31" t="e">
        <f>VLOOKUP($D10,Résultats!$B$2:$AX$212,P$2,FALSE)/1000000</f>
        <v>#N/A</v>
      </c>
      <c r="Q10" s="31" t="e">
        <f>VLOOKUP($D10,Résultats!$B$2:$AX$212,Q$2,FALSE)/1000000</f>
        <v>#N/A</v>
      </c>
      <c r="R10" s="31" t="e">
        <f>VLOOKUP($D10,Résultats!$B$2:$AX$212,R$2,FALSE)/1000000</f>
        <v>#N/A</v>
      </c>
      <c r="S10" s="127" t="e">
        <f>VLOOKUP($D10,Résultats!$B$2:$AX$212,S$2,FALSE)/1000000</f>
        <v>#N/A</v>
      </c>
      <c r="T10" s="130" t="e">
        <f>VLOOKUP($D10,Résultats!$B$2:$AX$212,T$2,FALSE)/1000000</f>
        <v>#N/A</v>
      </c>
      <c r="U10" s="130" t="e">
        <f>VLOOKUP($D10,Résultats!$B$2:$AX$212,U$2,FALSE)/1000000</f>
        <v>#N/A</v>
      </c>
      <c r="V10" s="31" t="e">
        <f>VLOOKUP($D10,Résultats!$B$2:$AX$212,V$2,FALSE)/1000000</f>
        <v>#N/A</v>
      </c>
      <c r="W10" s="130" t="e">
        <f>VLOOKUP($D10,Résultats!$B$2:$AX$212,W$2,FALSE)/1000000</f>
        <v>#N/A</v>
      </c>
      <c r="X10" s="3"/>
    </row>
    <row r="11" spans="1:38" x14ac:dyDescent="0.25">
      <c r="A11" s="3"/>
      <c r="B11" s="241"/>
      <c r="C11" s="80" t="s">
        <v>33</v>
      </c>
      <c r="D11" s="32" t="s">
        <v>88</v>
      </c>
      <c r="E11" s="20" t="e">
        <f>VLOOKUP($D11,Résultats!$B$2:$AX$212,E$2,FALSE)</f>
        <v>#N/A</v>
      </c>
      <c r="F11" s="20" t="e">
        <f>VLOOKUP($D11,Résultats!$B$2:$AX$212,F$2,FALSE)</f>
        <v>#N/A</v>
      </c>
      <c r="G11" s="113" t="e">
        <f>VLOOKUP($D11,Résultats!$B$2:$AX$212,G$2,FALSE)/1000000</f>
        <v>#N/A</v>
      </c>
      <c r="H11" s="20" t="e">
        <f>VLOOKUP($D11,Résultats!$B$2:$AX$212,H$2,FALSE)/1000000</f>
        <v>#N/A</v>
      </c>
      <c r="I11" s="114" t="e">
        <f>VLOOKUP($D11,Résultats!$B$2:$AX$212,I$2,FALSE)/1000000</f>
        <v>#N/A</v>
      </c>
      <c r="J11" s="113" t="e">
        <f>VLOOKUP($D11,Résultats!$B$2:$AX$212,J$2,FALSE)/1000000</f>
        <v>#N/A</v>
      </c>
      <c r="K11" s="20" t="e">
        <f>VLOOKUP($D11,Résultats!$B$2:$AX$212,K$2,FALSE)/1000000</f>
        <v>#N/A</v>
      </c>
      <c r="L11" s="20" t="e">
        <f>VLOOKUP($D11,Résultats!$B$2:$AX$212,L$2,FALSE)/1000000</f>
        <v>#N/A</v>
      </c>
      <c r="M11" s="20" t="e">
        <f>VLOOKUP($D11,Résultats!$B$2:$AX$212,M$2,FALSE)/1000000</f>
        <v>#N/A</v>
      </c>
      <c r="N11" s="114" t="e">
        <f>VLOOKUP($D11,Résultats!$B$2:$AX$212,N$2,FALSE)/1000000</f>
        <v>#N/A</v>
      </c>
      <c r="O11" s="113" t="e">
        <f>VLOOKUP($D11,Résultats!$B$2:$AX$212,O$2,FALSE)/1000000</f>
        <v>#N/A</v>
      </c>
      <c r="P11" s="20" t="e">
        <f>VLOOKUP($D11,Résultats!$B$2:$AX$212,P$2,FALSE)/1000000</f>
        <v>#N/A</v>
      </c>
      <c r="Q11" s="20" t="e">
        <f>VLOOKUP($D11,Résultats!$B$2:$AX$212,Q$2,FALSE)/1000000</f>
        <v>#N/A</v>
      </c>
      <c r="R11" s="20" t="e">
        <f>VLOOKUP($D11,Résultats!$B$2:$AX$212,R$2,FALSE)/1000000</f>
        <v>#N/A</v>
      </c>
      <c r="S11" s="114" t="e">
        <f>VLOOKUP($D11,Résultats!$B$2:$AX$212,S$2,FALSE)/1000000</f>
        <v>#N/A</v>
      </c>
      <c r="T11" s="122" t="e">
        <f>VLOOKUP($D11,Résultats!$B$2:$AX$212,T$2,FALSE)/1000000</f>
        <v>#N/A</v>
      </c>
      <c r="U11" s="122" t="e">
        <f>VLOOKUP($D11,Résultats!$B$2:$AX$212,U$2,FALSE)/1000000</f>
        <v>#N/A</v>
      </c>
      <c r="V11" s="20" t="e">
        <f>VLOOKUP($D11,Résultats!$B$2:$AX$212,V$2,FALSE)/1000000</f>
        <v>#N/A</v>
      </c>
      <c r="W11" s="122" t="e">
        <f>VLOOKUP($D11,Résultats!$B$2:$AX$212,W$2,FALSE)/1000000</f>
        <v>#N/A</v>
      </c>
      <c r="X11" s="3"/>
    </row>
    <row r="12" spans="1:3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8" x14ac:dyDescent="0.25">
      <c r="A14" s="3"/>
      <c r="B14" s="3"/>
      <c r="C14" s="66"/>
      <c r="D14" s="12"/>
      <c r="E14" s="30">
        <v>2006</v>
      </c>
      <c r="F14" s="30">
        <v>2015</v>
      </c>
      <c r="G14" s="26">
        <v>2018</v>
      </c>
      <c r="H14" s="4">
        <v>2019</v>
      </c>
      <c r="I14" s="108">
        <v>2020</v>
      </c>
      <c r="J14" s="116">
        <v>2021</v>
      </c>
      <c r="K14" s="33">
        <v>2022</v>
      </c>
      <c r="L14" s="4">
        <v>2023</v>
      </c>
      <c r="M14" s="33">
        <v>2024</v>
      </c>
      <c r="N14" s="108">
        <v>2025</v>
      </c>
      <c r="O14" s="116">
        <v>2026</v>
      </c>
      <c r="P14" s="4">
        <v>2027</v>
      </c>
      <c r="Q14" s="33">
        <v>2028</v>
      </c>
      <c r="R14" s="33">
        <v>2029</v>
      </c>
      <c r="S14" s="108">
        <v>2030</v>
      </c>
      <c r="T14" s="4">
        <v>2035</v>
      </c>
      <c r="U14" s="118">
        <v>2040</v>
      </c>
      <c r="V14" s="4">
        <v>2045</v>
      </c>
      <c r="W14" s="118">
        <v>2050</v>
      </c>
      <c r="X14" s="3"/>
    </row>
    <row r="15" spans="1:38" ht="15.75" thickBot="1" x14ac:dyDescent="0.3">
      <c r="A15" s="3"/>
      <c r="B15" s="242" t="s">
        <v>247</v>
      </c>
      <c r="C15" s="5" t="s">
        <v>44</v>
      </c>
      <c r="D15" s="13" t="s">
        <v>81</v>
      </c>
      <c r="E15" s="22" t="e">
        <f>E4/100</f>
        <v>#N/A</v>
      </c>
      <c r="F15" s="22" t="e">
        <f>F4/100</f>
        <v>#N/A</v>
      </c>
      <c r="G15" s="131" t="e">
        <f>G4*1000/100</f>
        <v>#N/A</v>
      </c>
      <c r="H15" s="22" t="e">
        <f t="shared" ref="H15:W15" si="1">H4*1000/100</f>
        <v>#N/A</v>
      </c>
      <c r="I15" s="132" t="e">
        <f t="shared" si="1"/>
        <v>#N/A</v>
      </c>
      <c r="J15" s="131" t="e">
        <f t="shared" si="1"/>
        <v>#N/A</v>
      </c>
      <c r="K15" s="22" t="e">
        <f t="shared" si="1"/>
        <v>#N/A</v>
      </c>
      <c r="L15" s="22" t="e">
        <f t="shared" si="1"/>
        <v>#N/A</v>
      </c>
      <c r="M15" s="22" t="e">
        <f t="shared" si="1"/>
        <v>#N/A</v>
      </c>
      <c r="N15" s="132" t="e">
        <f t="shared" si="1"/>
        <v>#N/A</v>
      </c>
      <c r="O15" s="131" t="e">
        <f t="shared" si="1"/>
        <v>#N/A</v>
      </c>
      <c r="P15" s="22" t="e">
        <f t="shared" si="1"/>
        <v>#N/A</v>
      </c>
      <c r="Q15" s="22" t="e">
        <f t="shared" si="1"/>
        <v>#N/A</v>
      </c>
      <c r="R15" s="22" t="e">
        <f t="shared" si="1"/>
        <v>#N/A</v>
      </c>
      <c r="S15" s="132" t="e">
        <f t="shared" si="1"/>
        <v>#N/A</v>
      </c>
      <c r="T15" s="22" t="e">
        <f t="shared" si="1"/>
        <v>#N/A</v>
      </c>
      <c r="U15" s="139" t="e">
        <f t="shared" si="1"/>
        <v>#N/A</v>
      </c>
      <c r="V15" s="22" t="e">
        <f t="shared" si="1"/>
        <v>#N/A</v>
      </c>
      <c r="W15" s="139" t="e">
        <f t="shared" si="1"/>
        <v>#N/A</v>
      </c>
      <c r="X15" s="3"/>
      <c r="Y15" s="51" t="s">
        <v>248</v>
      </c>
    </row>
    <row r="16" spans="1:38" x14ac:dyDescent="0.25">
      <c r="A16" s="3"/>
      <c r="B16" s="241"/>
      <c r="C16" s="56" t="s">
        <v>27</v>
      </c>
      <c r="D16" s="16" t="s">
        <v>82</v>
      </c>
      <c r="E16" s="98" t="e">
        <f>E5/E$4</f>
        <v>#N/A</v>
      </c>
      <c r="F16" s="98" t="e">
        <f>F5/F$4</f>
        <v>#N/A</v>
      </c>
      <c r="G16" s="133" t="e">
        <f>G5/G$4</f>
        <v>#N/A</v>
      </c>
      <c r="H16" s="98" t="e">
        <f t="shared" ref="H16:W16" si="2">H5/H$4</f>
        <v>#N/A</v>
      </c>
      <c r="I16" s="134" t="e">
        <f t="shared" si="2"/>
        <v>#N/A</v>
      </c>
      <c r="J16" s="133" t="e">
        <f t="shared" si="2"/>
        <v>#N/A</v>
      </c>
      <c r="K16" s="98" t="e">
        <f t="shared" si="2"/>
        <v>#N/A</v>
      </c>
      <c r="L16" s="98" t="e">
        <f t="shared" si="2"/>
        <v>#N/A</v>
      </c>
      <c r="M16" s="98" t="e">
        <f t="shared" si="2"/>
        <v>#N/A</v>
      </c>
      <c r="N16" s="134" t="e">
        <f t="shared" si="2"/>
        <v>#N/A</v>
      </c>
      <c r="O16" s="133" t="e">
        <f t="shared" si="2"/>
        <v>#N/A</v>
      </c>
      <c r="P16" s="98" t="e">
        <f t="shared" si="2"/>
        <v>#N/A</v>
      </c>
      <c r="Q16" s="98" t="e">
        <f t="shared" si="2"/>
        <v>#N/A</v>
      </c>
      <c r="R16" s="98" t="e">
        <f t="shared" si="2"/>
        <v>#N/A</v>
      </c>
      <c r="S16" s="134" t="e">
        <f t="shared" si="2"/>
        <v>#N/A</v>
      </c>
      <c r="T16" s="98" t="e">
        <f t="shared" si="2"/>
        <v>#N/A</v>
      </c>
      <c r="U16" s="140" t="e">
        <f t="shared" si="2"/>
        <v>#N/A</v>
      </c>
      <c r="V16" s="98" t="e">
        <f t="shared" si="2"/>
        <v>#N/A</v>
      </c>
      <c r="W16" s="140" t="e">
        <f t="shared" si="2"/>
        <v>#N/A</v>
      </c>
      <c r="X16" s="3"/>
      <c r="Y16" s="158"/>
      <c r="Z16" s="159">
        <v>2020</v>
      </c>
      <c r="AA16" s="159">
        <v>2030</v>
      </c>
      <c r="AB16" s="160">
        <v>2050</v>
      </c>
    </row>
    <row r="17" spans="1:28" x14ac:dyDescent="0.25">
      <c r="A17" s="3"/>
      <c r="B17" s="241"/>
      <c r="C17" s="56" t="s">
        <v>28</v>
      </c>
      <c r="D17" s="16" t="s">
        <v>83</v>
      </c>
      <c r="E17" s="92" t="e">
        <f t="shared" ref="E17:G22" si="3">E6/E$4</f>
        <v>#N/A</v>
      </c>
      <c r="F17" s="92" t="e">
        <f t="shared" si="3"/>
        <v>#N/A</v>
      </c>
      <c r="G17" s="135" t="e">
        <f t="shared" si="3"/>
        <v>#N/A</v>
      </c>
      <c r="H17" s="92" t="e">
        <f t="shared" ref="H17:W17" si="4">H6/H$4</f>
        <v>#N/A</v>
      </c>
      <c r="I17" s="136" t="e">
        <f t="shared" si="4"/>
        <v>#N/A</v>
      </c>
      <c r="J17" s="135" t="e">
        <f t="shared" si="4"/>
        <v>#N/A</v>
      </c>
      <c r="K17" s="92" t="e">
        <f t="shared" si="4"/>
        <v>#N/A</v>
      </c>
      <c r="L17" s="92" t="e">
        <f t="shared" si="4"/>
        <v>#N/A</v>
      </c>
      <c r="M17" s="92" t="e">
        <f t="shared" si="4"/>
        <v>#N/A</v>
      </c>
      <c r="N17" s="136" t="e">
        <f t="shared" si="4"/>
        <v>#N/A</v>
      </c>
      <c r="O17" s="135" t="e">
        <f t="shared" si="4"/>
        <v>#N/A</v>
      </c>
      <c r="P17" s="92" t="e">
        <f t="shared" si="4"/>
        <v>#N/A</v>
      </c>
      <c r="Q17" s="92" t="e">
        <f t="shared" si="4"/>
        <v>#N/A</v>
      </c>
      <c r="R17" s="92" t="e">
        <f t="shared" si="4"/>
        <v>#N/A</v>
      </c>
      <c r="S17" s="136" t="e">
        <f t="shared" si="4"/>
        <v>#N/A</v>
      </c>
      <c r="T17" s="92" t="e">
        <f t="shared" si="4"/>
        <v>#N/A</v>
      </c>
      <c r="U17" s="141" t="e">
        <f t="shared" si="4"/>
        <v>#N/A</v>
      </c>
      <c r="V17" s="92" t="e">
        <f t="shared" si="4"/>
        <v>#N/A</v>
      </c>
      <c r="W17" s="141" t="e">
        <f t="shared" si="4"/>
        <v>#N/A</v>
      </c>
      <c r="X17" s="3"/>
      <c r="Y17" s="161" t="s">
        <v>164</v>
      </c>
      <c r="Z17" s="162" t="e">
        <f>I16+I17</f>
        <v>#N/A</v>
      </c>
      <c r="AA17" s="162" t="e">
        <f>S16+S17</f>
        <v>#N/A</v>
      </c>
      <c r="AB17" s="163" t="e">
        <f>W16+W17</f>
        <v>#N/A</v>
      </c>
    </row>
    <row r="18" spans="1:28" x14ac:dyDescent="0.25">
      <c r="A18" s="3"/>
      <c r="B18" s="241"/>
      <c r="C18" s="56" t="s">
        <v>29</v>
      </c>
      <c r="D18" s="16" t="s">
        <v>84</v>
      </c>
      <c r="E18" s="92" t="e">
        <f t="shared" si="3"/>
        <v>#N/A</v>
      </c>
      <c r="F18" s="92" t="e">
        <f t="shared" si="3"/>
        <v>#N/A</v>
      </c>
      <c r="G18" s="135" t="e">
        <f t="shared" si="3"/>
        <v>#N/A</v>
      </c>
      <c r="H18" s="92" t="e">
        <f t="shared" ref="H18:W18" si="5">H7/H$4</f>
        <v>#N/A</v>
      </c>
      <c r="I18" s="136" t="e">
        <f t="shared" si="5"/>
        <v>#N/A</v>
      </c>
      <c r="J18" s="135" t="e">
        <f t="shared" si="5"/>
        <v>#N/A</v>
      </c>
      <c r="K18" s="92" t="e">
        <f t="shared" si="5"/>
        <v>#N/A</v>
      </c>
      <c r="L18" s="92" t="e">
        <f t="shared" si="5"/>
        <v>#N/A</v>
      </c>
      <c r="M18" s="92" t="e">
        <f t="shared" si="5"/>
        <v>#N/A</v>
      </c>
      <c r="N18" s="136" t="e">
        <f t="shared" si="5"/>
        <v>#N/A</v>
      </c>
      <c r="O18" s="135" t="e">
        <f t="shared" si="5"/>
        <v>#N/A</v>
      </c>
      <c r="P18" s="92" t="e">
        <f t="shared" si="5"/>
        <v>#N/A</v>
      </c>
      <c r="Q18" s="92" t="e">
        <f t="shared" si="5"/>
        <v>#N/A</v>
      </c>
      <c r="R18" s="92" t="e">
        <f t="shared" si="5"/>
        <v>#N/A</v>
      </c>
      <c r="S18" s="136" t="e">
        <f t="shared" si="5"/>
        <v>#N/A</v>
      </c>
      <c r="T18" s="92" t="e">
        <f t="shared" si="5"/>
        <v>#N/A</v>
      </c>
      <c r="U18" s="141" t="e">
        <f t="shared" si="5"/>
        <v>#N/A</v>
      </c>
      <c r="V18" s="92" t="e">
        <f t="shared" si="5"/>
        <v>#N/A</v>
      </c>
      <c r="W18" s="141" t="e">
        <f t="shared" si="5"/>
        <v>#N/A</v>
      </c>
      <c r="X18" s="3"/>
      <c r="Y18" s="161" t="s">
        <v>165</v>
      </c>
      <c r="Z18" s="162" t="e">
        <f>I18+I19+I20</f>
        <v>#N/A</v>
      </c>
      <c r="AA18" s="162" t="e">
        <f>S18+S19+S20</f>
        <v>#N/A</v>
      </c>
      <c r="AB18" s="163" t="e">
        <f>W18+W19+W20</f>
        <v>#N/A</v>
      </c>
    </row>
    <row r="19" spans="1:28" ht="15.75" thickBot="1" x14ac:dyDescent="0.3">
      <c r="A19" s="3"/>
      <c r="B19" s="241"/>
      <c r="C19" s="56" t="s">
        <v>30</v>
      </c>
      <c r="D19" s="16" t="s">
        <v>85</v>
      </c>
      <c r="E19" s="92" t="e">
        <f t="shared" si="3"/>
        <v>#N/A</v>
      </c>
      <c r="F19" s="92" t="e">
        <f t="shared" si="3"/>
        <v>#N/A</v>
      </c>
      <c r="G19" s="135" t="e">
        <f t="shared" si="3"/>
        <v>#N/A</v>
      </c>
      <c r="H19" s="92" t="e">
        <f t="shared" ref="H19:W19" si="6">H8/H$4</f>
        <v>#N/A</v>
      </c>
      <c r="I19" s="136" t="e">
        <f t="shared" si="6"/>
        <v>#N/A</v>
      </c>
      <c r="J19" s="135" t="e">
        <f t="shared" si="6"/>
        <v>#N/A</v>
      </c>
      <c r="K19" s="92" t="e">
        <f t="shared" si="6"/>
        <v>#N/A</v>
      </c>
      <c r="L19" s="92" t="e">
        <f t="shared" si="6"/>
        <v>#N/A</v>
      </c>
      <c r="M19" s="92" t="e">
        <f t="shared" si="6"/>
        <v>#N/A</v>
      </c>
      <c r="N19" s="136" t="e">
        <f t="shared" si="6"/>
        <v>#N/A</v>
      </c>
      <c r="O19" s="135" t="e">
        <f t="shared" si="6"/>
        <v>#N/A</v>
      </c>
      <c r="P19" s="92" t="e">
        <f t="shared" si="6"/>
        <v>#N/A</v>
      </c>
      <c r="Q19" s="92" t="e">
        <f t="shared" si="6"/>
        <v>#N/A</v>
      </c>
      <c r="R19" s="92" t="e">
        <f t="shared" si="6"/>
        <v>#N/A</v>
      </c>
      <c r="S19" s="136" t="e">
        <f t="shared" si="6"/>
        <v>#N/A</v>
      </c>
      <c r="T19" s="92" t="e">
        <f t="shared" si="6"/>
        <v>#N/A</v>
      </c>
      <c r="U19" s="141" t="e">
        <f t="shared" si="6"/>
        <v>#N/A</v>
      </c>
      <c r="V19" s="92" t="e">
        <f t="shared" si="6"/>
        <v>#N/A</v>
      </c>
      <c r="W19" s="141" t="e">
        <f t="shared" si="6"/>
        <v>#N/A</v>
      </c>
      <c r="X19" s="3"/>
      <c r="Y19" s="164" t="s">
        <v>170</v>
      </c>
      <c r="Z19" s="165" t="e">
        <f>I21+I22</f>
        <v>#N/A</v>
      </c>
      <c r="AA19" s="165" t="e">
        <f>S21+S22</f>
        <v>#N/A</v>
      </c>
      <c r="AB19" s="166" t="e">
        <f>W21+W22</f>
        <v>#N/A</v>
      </c>
    </row>
    <row r="20" spans="1:28" x14ac:dyDescent="0.25">
      <c r="A20" s="3"/>
      <c r="B20" s="241"/>
      <c r="C20" s="56" t="s">
        <v>31</v>
      </c>
      <c r="D20" s="16" t="s">
        <v>86</v>
      </c>
      <c r="E20" s="92" t="e">
        <f t="shared" si="3"/>
        <v>#N/A</v>
      </c>
      <c r="F20" s="92" t="e">
        <f t="shared" si="3"/>
        <v>#N/A</v>
      </c>
      <c r="G20" s="135" t="e">
        <f t="shared" si="3"/>
        <v>#N/A</v>
      </c>
      <c r="H20" s="92" t="e">
        <f t="shared" ref="H20:W20" si="7">H9/H$4</f>
        <v>#N/A</v>
      </c>
      <c r="I20" s="136" t="e">
        <f t="shared" si="7"/>
        <v>#N/A</v>
      </c>
      <c r="J20" s="135" t="e">
        <f t="shared" si="7"/>
        <v>#N/A</v>
      </c>
      <c r="K20" s="92" t="e">
        <f t="shared" si="7"/>
        <v>#N/A</v>
      </c>
      <c r="L20" s="92" t="e">
        <f t="shared" si="7"/>
        <v>#N/A</v>
      </c>
      <c r="M20" s="92" t="e">
        <f t="shared" si="7"/>
        <v>#N/A</v>
      </c>
      <c r="N20" s="136" t="e">
        <f t="shared" si="7"/>
        <v>#N/A</v>
      </c>
      <c r="O20" s="135" t="e">
        <f t="shared" si="7"/>
        <v>#N/A</v>
      </c>
      <c r="P20" s="92" t="e">
        <f t="shared" si="7"/>
        <v>#N/A</v>
      </c>
      <c r="Q20" s="92" t="e">
        <f t="shared" si="7"/>
        <v>#N/A</v>
      </c>
      <c r="R20" s="92" t="e">
        <f t="shared" si="7"/>
        <v>#N/A</v>
      </c>
      <c r="S20" s="136" t="e">
        <f t="shared" si="7"/>
        <v>#N/A</v>
      </c>
      <c r="T20" s="92" t="e">
        <f t="shared" si="7"/>
        <v>#N/A</v>
      </c>
      <c r="U20" s="141" t="e">
        <f t="shared" si="7"/>
        <v>#N/A</v>
      </c>
      <c r="V20" s="92" t="e">
        <f t="shared" si="7"/>
        <v>#N/A</v>
      </c>
      <c r="W20" s="141" t="e">
        <f t="shared" si="7"/>
        <v>#N/A</v>
      </c>
      <c r="X20" s="3"/>
      <c r="Y20" s="227" t="s">
        <v>238</v>
      </c>
      <c r="Z20" s="228" t="e">
        <f>SUM(Z17:Z19)</f>
        <v>#N/A</v>
      </c>
      <c r="AA20" s="228" t="e">
        <f t="shared" ref="AA20:AB20" si="8">SUM(AA17:AA19)</f>
        <v>#N/A</v>
      </c>
      <c r="AB20" s="228" t="e">
        <f t="shared" si="8"/>
        <v>#N/A</v>
      </c>
    </row>
    <row r="21" spans="1:28" x14ac:dyDescent="0.25">
      <c r="A21" s="3"/>
      <c r="B21" s="241"/>
      <c r="C21" s="56" t="s">
        <v>32</v>
      </c>
      <c r="D21" s="16" t="s">
        <v>87</v>
      </c>
      <c r="E21" s="92" t="e">
        <f t="shared" si="3"/>
        <v>#N/A</v>
      </c>
      <c r="F21" s="92" t="e">
        <f t="shared" si="3"/>
        <v>#N/A</v>
      </c>
      <c r="G21" s="135" t="e">
        <f t="shared" si="3"/>
        <v>#N/A</v>
      </c>
      <c r="H21" s="92" t="e">
        <f t="shared" ref="H21:W21" si="9">H10/H$4</f>
        <v>#N/A</v>
      </c>
      <c r="I21" s="136" t="e">
        <f t="shared" si="9"/>
        <v>#N/A</v>
      </c>
      <c r="J21" s="135" t="e">
        <f t="shared" si="9"/>
        <v>#N/A</v>
      </c>
      <c r="K21" s="92" t="e">
        <f t="shared" si="9"/>
        <v>#N/A</v>
      </c>
      <c r="L21" s="92" t="e">
        <f t="shared" si="9"/>
        <v>#N/A</v>
      </c>
      <c r="M21" s="92" t="e">
        <f t="shared" si="9"/>
        <v>#N/A</v>
      </c>
      <c r="N21" s="136" t="e">
        <f t="shared" si="9"/>
        <v>#N/A</v>
      </c>
      <c r="O21" s="135" t="e">
        <f t="shared" si="9"/>
        <v>#N/A</v>
      </c>
      <c r="P21" s="92" t="e">
        <f t="shared" si="9"/>
        <v>#N/A</v>
      </c>
      <c r="Q21" s="92" t="e">
        <f t="shared" si="9"/>
        <v>#N/A</v>
      </c>
      <c r="R21" s="92" t="e">
        <f t="shared" si="9"/>
        <v>#N/A</v>
      </c>
      <c r="S21" s="136" t="e">
        <f t="shared" si="9"/>
        <v>#N/A</v>
      </c>
      <c r="T21" s="92" t="e">
        <f t="shared" si="9"/>
        <v>#N/A</v>
      </c>
      <c r="U21" s="141" t="e">
        <f t="shared" si="9"/>
        <v>#N/A</v>
      </c>
      <c r="V21" s="92" t="e">
        <f t="shared" si="9"/>
        <v>#N/A</v>
      </c>
      <c r="W21" s="141" t="e">
        <f t="shared" si="9"/>
        <v>#N/A</v>
      </c>
      <c r="X21" s="3"/>
    </row>
    <row r="22" spans="1:28" x14ac:dyDescent="0.25">
      <c r="A22" s="3"/>
      <c r="B22" s="241"/>
      <c r="C22" s="80" t="s">
        <v>33</v>
      </c>
      <c r="D22" s="32" t="s">
        <v>88</v>
      </c>
      <c r="E22" s="94" t="e">
        <f t="shared" si="3"/>
        <v>#N/A</v>
      </c>
      <c r="F22" s="94" t="e">
        <f t="shared" si="3"/>
        <v>#N/A</v>
      </c>
      <c r="G22" s="137" t="e">
        <f t="shared" si="3"/>
        <v>#N/A</v>
      </c>
      <c r="H22" s="94" t="e">
        <f t="shared" ref="H22:W22" si="10">H11/H$4</f>
        <v>#N/A</v>
      </c>
      <c r="I22" s="138" t="e">
        <f t="shared" si="10"/>
        <v>#N/A</v>
      </c>
      <c r="J22" s="137" t="e">
        <f t="shared" si="10"/>
        <v>#N/A</v>
      </c>
      <c r="K22" s="94" t="e">
        <f t="shared" si="10"/>
        <v>#N/A</v>
      </c>
      <c r="L22" s="94" t="e">
        <f t="shared" si="10"/>
        <v>#N/A</v>
      </c>
      <c r="M22" s="94" t="e">
        <f t="shared" si="10"/>
        <v>#N/A</v>
      </c>
      <c r="N22" s="138" t="e">
        <f t="shared" si="10"/>
        <v>#N/A</v>
      </c>
      <c r="O22" s="137" t="e">
        <f t="shared" si="10"/>
        <v>#N/A</v>
      </c>
      <c r="P22" s="94" t="e">
        <f t="shared" si="10"/>
        <v>#N/A</v>
      </c>
      <c r="Q22" s="94" t="e">
        <f t="shared" si="10"/>
        <v>#N/A</v>
      </c>
      <c r="R22" s="94" t="e">
        <f t="shared" si="10"/>
        <v>#N/A</v>
      </c>
      <c r="S22" s="138" t="e">
        <f t="shared" si="10"/>
        <v>#N/A</v>
      </c>
      <c r="T22" s="94" t="e">
        <f t="shared" si="10"/>
        <v>#N/A</v>
      </c>
      <c r="U22" s="142" t="e">
        <f t="shared" si="10"/>
        <v>#N/A</v>
      </c>
      <c r="V22" s="94" t="e">
        <f t="shared" si="10"/>
        <v>#N/A</v>
      </c>
      <c r="W22" s="142" t="e">
        <f t="shared" si="10"/>
        <v>#N/A</v>
      </c>
      <c r="X22" s="3"/>
    </row>
    <row r="23" spans="1:2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4:B10"/>
  <sheetViews>
    <sheetView workbookViewId="0">
      <selection activeCell="P29" sqref="P29"/>
    </sheetView>
  </sheetViews>
  <sheetFormatPr baseColWidth="10" defaultRowHeight="15" x14ac:dyDescent="0.25"/>
  <sheetData>
    <row r="4" spans="2:2" x14ac:dyDescent="0.25">
      <c r="B4" t="str">
        <f>Résultats!B1&amp;" : Energie finale par usage et énergie primaire (Mtep)"</f>
        <v>TEND : Energie finale par usage et énergie primaire (Mtep)</v>
      </c>
    </row>
    <row r="5" spans="2:2" x14ac:dyDescent="0.25">
      <c r="B5" t="str">
        <f>Résultats!B1&amp;" : Ventilation du mix electrique (%)"</f>
        <v>TEND : Ventilation du mix electrique (%)</v>
      </c>
    </row>
    <row r="6" spans="2:2" x14ac:dyDescent="0.25">
      <c r="B6" t="str">
        <f>Résultats!B1&amp;" : Ventilation du mix carburant (%)"</f>
        <v>TEND : Ventilation du mix carburant (%)</v>
      </c>
    </row>
    <row r="7" spans="2:2" x14ac:dyDescent="0.25">
      <c r="B7" t="str">
        <f>Résultats!B1&amp;" : Ventilation du mix gaz (%)"</f>
        <v>TEND : Ventilation du mix gaz (%)</v>
      </c>
    </row>
    <row r="8" spans="2:2" x14ac:dyDescent="0.25">
      <c r="B8" t="str">
        <f>Résultats!B1&amp;" : Emissions CO2 (Mt.eqCO2)"</f>
        <v>TEND : Emissions CO2 (Mt.eqCO2)</v>
      </c>
    </row>
    <row r="9" spans="2:2" x14ac:dyDescent="0.25">
      <c r="B9" t="str">
        <f>Résultats!B1&amp;" : Ventilation du parc auto (%)"</f>
        <v>TEND : Ventilation du parc auto (%)</v>
      </c>
    </row>
    <row r="10" spans="2:2" x14ac:dyDescent="0.25">
      <c r="B10" t="str">
        <f>Résultats!B1&amp;" : Ventilation du parc de logements (%)"</f>
        <v>TEND : Ventilation du parc de logements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Résultats</vt:lpstr>
      <vt:lpstr>T energie vecteurs</vt:lpstr>
      <vt:lpstr>T energie usages</vt:lpstr>
      <vt:lpstr>T CO2</vt:lpstr>
      <vt:lpstr>T parc auto</vt:lpstr>
      <vt:lpstr>T logement</vt:lpstr>
      <vt:lpstr>Table Graphs</vt:lpstr>
      <vt:lpstr>Graphique1</vt:lpstr>
      <vt:lpstr>Graphique2</vt:lpstr>
      <vt:lpstr>Graphique3</vt:lpstr>
      <vt:lpstr>Graphique4</vt:lpstr>
      <vt:lpstr>Graphique5</vt:lpstr>
      <vt:lpstr>Graphique6</vt:lpstr>
      <vt:lpstr>Graphique7</vt:lpstr>
      <vt:lpstr>'T parc auto'!Zone_d_impression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 RIVERA</dc:creator>
  <cp:lastModifiedBy>MONSERAND Alma</cp:lastModifiedBy>
  <cp:lastPrinted>2018-11-29T16:44:02Z</cp:lastPrinted>
  <dcterms:created xsi:type="dcterms:W3CDTF">2016-06-15T08:53:28Z</dcterms:created>
  <dcterms:modified xsi:type="dcterms:W3CDTF">2024-12-23T19:01:55Z</dcterms:modified>
</cp:coreProperties>
</file>